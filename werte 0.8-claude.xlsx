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AD37B786-C4A5-4141-AC88-0F9A33B5C8C4}"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R82" i="47"/>
  <c r="AQ82" i="47"/>
  <c r="AE82" i="47"/>
  <c r="AD82" i="47"/>
  <c r="AB82" i="47"/>
  <c r="AF82" i="47" s="1"/>
  <c r="AA82" i="47"/>
  <c r="Z82" i="47"/>
  <c r="Y82" i="47"/>
  <c r="X82" i="47"/>
  <c r="W82" i="47"/>
  <c r="V82" i="47"/>
  <c r="U82" i="47"/>
  <c r="T82" i="47"/>
  <c r="S82" i="47"/>
  <c r="R82" i="47"/>
  <c r="Q82" i="47"/>
  <c r="P82" i="47"/>
  <c r="O82" i="47"/>
  <c r="N82" i="47"/>
  <c r="M82" i="47"/>
  <c r="L82" i="47"/>
  <c r="K82" i="47"/>
  <c r="AR81" i="47"/>
  <c r="AQ81" i="47"/>
  <c r="AE81" i="47"/>
  <c r="AD81" i="47"/>
  <c r="AB81" i="47"/>
  <c r="AF81" i="47" s="1"/>
  <c r="AA81" i="47"/>
  <c r="Z81" i="47"/>
  <c r="Y81" i="47"/>
  <c r="X81" i="47"/>
  <c r="W81" i="47"/>
  <c r="V81" i="47"/>
  <c r="U81" i="47"/>
  <c r="T81" i="47"/>
  <c r="S81" i="47"/>
  <c r="R81" i="47"/>
  <c r="Q81" i="47"/>
  <c r="P81" i="47"/>
  <c r="O81" i="47"/>
  <c r="N81" i="47"/>
  <c r="M81" i="47"/>
  <c r="L81" i="47"/>
  <c r="K81" i="47"/>
  <c r="AR80" i="47"/>
  <c r="AQ80" i="47"/>
  <c r="AE80" i="47"/>
  <c r="AD80" i="47"/>
  <c r="AB80" i="47"/>
  <c r="AF80" i="47" s="1"/>
  <c r="AA80" i="47"/>
  <c r="Z80" i="47"/>
  <c r="Y80" i="47"/>
  <c r="X80" i="47"/>
  <c r="W80" i="47"/>
  <c r="V80" i="47"/>
  <c r="U80" i="47"/>
  <c r="T80" i="47"/>
  <c r="S80" i="47"/>
  <c r="R80" i="47"/>
  <c r="Q80" i="47"/>
  <c r="P80" i="47"/>
  <c r="O80" i="47"/>
  <c r="N80" i="47"/>
  <c r="M80" i="47"/>
  <c r="L80" i="47"/>
  <c r="K80" i="47"/>
  <c r="AR79" i="47"/>
  <c r="AQ79"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F76" i="47"/>
  <c r="AE76" i="47"/>
  <c r="AD76" i="47"/>
  <c r="AC76" i="47" s="1"/>
  <c r="AB76" i="47"/>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C74" i="47" s="1"/>
  <c r="AD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C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C69" i="47" s="1"/>
  <c r="AD69" i="47"/>
  <c r="AB69" i="47"/>
  <c r="AF69" i="47" s="1"/>
  <c r="AA69" i="47"/>
  <c r="Z69" i="47"/>
  <c r="Y69" i="47"/>
  <c r="X69" i="47"/>
  <c r="W69" i="47"/>
  <c r="V69" i="47"/>
  <c r="U69" i="47"/>
  <c r="T69" i="47"/>
  <c r="S69" i="47"/>
  <c r="R69" i="47"/>
  <c r="Q69" i="47"/>
  <c r="P69" i="47"/>
  <c r="O69" i="47"/>
  <c r="N69" i="47"/>
  <c r="M69" i="47"/>
  <c r="L69" i="47"/>
  <c r="K69" i="47"/>
  <c r="AQ68" i="47"/>
  <c r="AE68" i="47"/>
  <c r="AC68" i="47" s="1"/>
  <c r="AD68" i="47"/>
  <c r="AB68" i="47"/>
  <c r="AF68" i="47" s="1"/>
  <c r="AA68" i="47"/>
  <c r="Z68" i="47"/>
  <c r="Y68" i="47"/>
  <c r="X68" i="47"/>
  <c r="W68" i="47"/>
  <c r="V68" i="47"/>
  <c r="U68" i="47"/>
  <c r="T68" i="47"/>
  <c r="S68" i="47"/>
  <c r="R68" i="47"/>
  <c r="Q68" i="47"/>
  <c r="P68" i="47"/>
  <c r="O68" i="47"/>
  <c r="N68" i="47"/>
  <c r="M68" i="47"/>
  <c r="L68" i="47"/>
  <c r="K68" i="47"/>
  <c r="AQ67" i="47"/>
  <c r="AE67" i="47"/>
  <c r="AD67" i="47"/>
  <c r="AC67" i="47"/>
  <c r="AB67" i="47"/>
  <c r="AF67" i="47" s="1"/>
  <c r="AA67" i="47"/>
  <c r="Z67" i="47"/>
  <c r="Y67" i="47"/>
  <c r="X67" i="47"/>
  <c r="W67" i="47"/>
  <c r="V67" i="47"/>
  <c r="U67" i="47"/>
  <c r="T67" i="47"/>
  <c r="S67" i="47"/>
  <c r="R67" i="47"/>
  <c r="Q67" i="47"/>
  <c r="P67" i="47"/>
  <c r="O67" i="47"/>
  <c r="N67" i="47"/>
  <c r="M67" i="47"/>
  <c r="L67" i="47"/>
  <c r="K67" i="47"/>
  <c r="AQ66" i="47"/>
  <c r="AE66" i="47"/>
  <c r="AC66" i="47" s="1"/>
  <c r="AD66" i="47"/>
  <c r="AB66" i="47"/>
  <c r="AF66" i="47" s="1"/>
  <c r="AA66" i="47"/>
  <c r="Z66" i="47"/>
  <c r="Y66" i="47"/>
  <c r="X66" i="47"/>
  <c r="W66" i="47"/>
  <c r="V66" i="47"/>
  <c r="U66" i="47"/>
  <c r="T66" i="47"/>
  <c r="S66" i="47"/>
  <c r="R66" i="47"/>
  <c r="Q66" i="47"/>
  <c r="P66" i="47"/>
  <c r="O66" i="47"/>
  <c r="N66" i="47"/>
  <c r="M66" i="47"/>
  <c r="L66" i="47"/>
  <c r="K66" i="47"/>
  <c r="AQ65" i="47"/>
  <c r="AF65" i="47"/>
  <c r="AE65" i="47"/>
  <c r="AD65" i="47"/>
  <c r="AB65" i="47"/>
  <c r="AA65" i="47"/>
  <c r="Z65" i="47"/>
  <c r="Y65" i="47"/>
  <c r="X65" i="47"/>
  <c r="W65" i="47"/>
  <c r="V65" i="47"/>
  <c r="U65" i="47"/>
  <c r="T65" i="47"/>
  <c r="S65" i="47"/>
  <c r="R65" i="47"/>
  <c r="Q65" i="47"/>
  <c r="P65" i="47"/>
  <c r="O65" i="47"/>
  <c r="N65" i="47"/>
  <c r="M65" i="47"/>
  <c r="L65" i="47"/>
  <c r="K65" i="47"/>
  <c r="AQ64" i="47"/>
  <c r="AF64" i="47"/>
  <c r="AE64" i="47"/>
  <c r="AD64" i="47"/>
  <c r="AB64" i="47"/>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C61" i="47" s="1"/>
  <c r="AD61" i="47"/>
  <c r="AB61" i="47"/>
  <c r="AF61" i="47" s="1"/>
  <c r="AA61" i="47"/>
  <c r="Z61" i="47"/>
  <c r="Y61" i="47"/>
  <c r="X61" i="47"/>
  <c r="W61" i="47"/>
  <c r="V61" i="47"/>
  <c r="U61" i="47"/>
  <c r="T61" i="47"/>
  <c r="S61" i="47"/>
  <c r="R61" i="47"/>
  <c r="Q61" i="47"/>
  <c r="P61" i="47"/>
  <c r="O61" i="47"/>
  <c r="N61" i="47"/>
  <c r="M61" i="47"/>
  <c r="L61" i="47"/>
  <c r="K61" i="47"/>
  <c r="AE60" i="47"/>
  <c r="AC60" i="47" s="1"/>
  <c r="AD60" i="47"/>
  <c r="AB60" i="47"/>
  <c r="AF60" i="47" s="1"/>
  <c r="AA60" i="47"/>
  <c r="Z60" i="47"/>
  <c r="Y60" i="47"/>
  <c r="X60" i="47"/>
  <c r="W60" i="47"/>
  <c r="V60" i="47"/>
  <c r="U60" i="47"/>
  <c r="T60" i="47"/>
  <c r="S60" i="47"/>
  <c r="R60" i="47"/>
  <c r="Q60" i="47"/>
  <c r="P60" i="47"/>
  <c r="O60" i="47"/>
  <c r="N60" i="47"/>
  <c r="M60" i="47"/>
  <c r="L60" i="47"/>
  <c r="K60" i="47"/>
  <c r="AR59" i="47"/>
  <c r="AQ59" i="47"/>
  <c r="AF59" i="47"/>
  <c r="AE59" i="47"/>
  <c r="AD59" i="47"/>
  <c r="AB59" i="47"/>
  <c r="AA59" i="47"/>
  <c r="Z59" i="47"/>
  <c r="Y59" i="47"/>
  <c r="X59" i="47"/>
  <c r="W59" i="47"/>
  <c r="V59" i="47"/>
  <c r="U59" i="47"/>
  <c r="T59" i="47"/>
  <c r="S59" i="47"/>
  <c r="R59" i="47"/>
  <c r="Q59" i="47"/>
  <c r="P59" i="47"/>
  <c r="O59" i="47"/>
  <c r="N59" i="47"/>
  <c r="M59" i="47"/>
  <c r="L59" i="47"/>
  <c r="K59" i="47"/>
  <c r="AR58" i="47"/>
  <c r="AQ58" i="47"/>
  <c r="AF58" i="47"/>
  <c r="AE58" i="47"/>
  <c r="AD58" i="47"/>
  <c r="AC58" i="47" s="1"/>
  <c r="AB58" i="47"/>
  <c r="AA58" i="47"/>
  <c r="Z58" i="47"/>
  <c r="Y58" i="47"/>
  <c r="X58" i="47"/>
  <c r="W58" i="47"/>
  <c r="V58" i="47"/>
  <c r="U58" i="47"/>
  <c r="T58" i="47"/>
  <c r="S58" i="47"/>
  <c r="R58" i="47"/>
  <c r="Q58" i="47"/>
  <c r="P58" i="47"/>
  <c r="O58" i="47"/>
  <c r="N58" i="47"/>
  <c r="M58" i="47"/>
  <c r="L58" i="47"/>
  <c r="K58" i="47"/>
  <c r="AR57" i="47"/>
  <c r="AQ57" i="47"/>
  <c r="AF57" i="47"/>
  <c r="AE57" i="47"/>
  <c r="AD57" i="47"/>
  <c r="AC57" i="47" s="1"/>
  <c r="AB57" i="47"/>
  <c r="AA57" i="47"/>
  <c r="Z57" i="47"/>
  <c r="Y57" i="47"/>
  <c r="X57" i="47"/>
  <c r="W57" i="47"/>
  <c r="V57" i="47"/>
  <c r="U57" i="47"/>
  <c r="T57" i="47"/>
  <c r="S57" i="47"/>
  <c r="R57" i="47"/>
  <c r="Q57" i="47"/>
  <c r="P57" i="47"/>
  <c r="O57" i="47"/>
  <c r="N57" i="47"/>
  <c r="M57" i="47"/>
  <c r="L57" i="47"/>
  <c r="K57" i="47"/>
  <c r="AR56" i="47"/>
  <c r="AQ56" i="47"/>
  <c r="AF56" i="47"/>
  <c r="AE56" i="47"/>
  <c r="AD56" i="47"/>
  <c r="AC56" i="47" s="1"/>
  <c r="AB56" i="47"/>
  <c r="AA56" i="47"/>
  <c r="Z56" i="47"/>
  <c r="Y56" i="47"/>
  <c r="X56" i="47"/>
  <c r="W56" i="47"/>
  <c r="V56" i="47"/>
  <c r="U56" i="47"/>
  <c r="T56" i="47"/>
  <c r="S56" i="47"/>
  <c r="R56" i="47"/>
  <c r="Q56" i="47"/>
  <c r="P56" i="47"/>
  <c r="O56" i="47"/>
  <c r="N56" i="47"/>
  <c r="M56" i="47"/>
  <c r="L56" i="47"/>
  <c r="K56" i="47"/>
  <c r="AQ55" i="47"/>
  <c r="AE55" i="47"/>
  <c r="AD55" i="47"/>
  <c r="AB55" i="47"/>
  <c r="AF55" i="47" s="1"/>
  <c r="AA55" i="47"/>
  <c r="Z55" i="47"/>
  <c r="Y55" i="47"/>
  <c r="X55" i="47"/>
  <c r="W55" i="47"/>
  <c r="V55" i="47"/>
  <c r="U55" i="47"/>
  <c r="T55" i="47"/>
  <c r="S55" i="47"/>
  <c r="R55" i="47"/>
  <c r="Q55" i="47"/>
  <c r="P55" i="47"/>
  <c r="O55" i="47"/>
  <c r="N55" i="47"/>
  <c r="M55" i="47"/>
  <c r="L55" i="47"/>
  <c r="K55" i="47"/>
  <c r="AQ54" i="47"/>
  <c r="AE54" i="47"/>
  <c r="AD54" i="47"/>
  <c r="AC54" i="47"/>
  <c r="AB54" i="47"/>
  <c r="AF54" i="47" s="1"/>
  <c r="AA54" i="47"/>
  <c r="Z54" i="47"/>
  <c r="Y54" i="47"/>
  <c r="X54" i="47"/>
  <c r="W54" i="47"/>
  <c r="V54" i="47"/>
  <c r="U54" i="47"/>
  <c r="T54" i="47"/>
  <c r="S54" i="47"/>
  <c r="R54" i="47"/>
  <c r="Q54" i="47"/>
  <c r="P54" i="47"/>
  <c r="O54" i="47"/>
  <c r="N54" i="47"/>
  <c r="M54" i="47"/>
  <c r="L54" i="47"/>
  <c r="K54" i="47"/>
  <c r="AQ53" i="47"/>
  <c r="AE53" i="47"/>
  <c r="AC53" i="47" s="1"/>
  <c r="AD53" i="47"/>
  <c r="AB53" i="47"/>
  <c r="AF53" i="47" s="1"/>
  <c r="AA53" i="47"/>
  <c r="Z53" i="47"/>
  <c r="Y53" i="47"/>
  <c r="X53" i="47"/>
  <c r="W53" i="47"/>
  <c r="V53" i="47"/>
  <c r="U53" i="47"/>
  <c r="T53" i="47"/>
  <c r="S53" i="47"/>
  <c r="R53" i="47"/>
  <c r="Q53" i="47"/>
  <c r="P53" i="47"/>
  <c r="O53" i="47"/>
  <c r="N53" i="47"/>
  <c r="M53" i="47"/>
  <c r="L53" i="47"/>
  <c r="K53" i="47"/>
  <c r="AQ52" i="47"/>
  <c r="AE52" i="47"/>
  <c r="AC52" i="47" s="1"/>
  <c r="AD52" i="47"/>
  <c r="AB52" i="47"/>
  <c r="AF52" i="47" s="1"/>
  <c r="AA52" i="47"/>
  <c r="Z52" i="47"/>
  <c r="Y52" i="47"/>
  <c r="X52" i="47"/>
  <c r="W52" i="47"/>
  <c r="V52" i="47"/>
  <c r="U52" i="47"/>
  <c r="T52" i="47"/>
  <c r="S52" i="47"/>
  <c r="R52" i="47"/>
  <c r="Q52" i="47"/>
  <c r="P52" i="47"/>
  <c r="O52" i="47"/>
  <c r="N52" i="47"/>
  <c r="M52" i="47"/>
  <c r="L52" i="47"/>
  <c r="K52" i="47"/>
  <c r="AQ51" i="47"/>
  <c r="AE51" i="47"/>
  <c r="AC51" i="47" s="1"/>
  <c r="AD51" i="47"/>
  <c r="AB51" i="47"/>
  <c r="AF51" i="47" s="1"/>
  <c r="AA51" i="47"/>
  <c r="Z51" i="47"/>
  <c r="Y51" i="47"/>
  <c r="X51" i="47"/>
  <c r="W51" i="47"/>
  <c r="V51" i="47"/>
  <c r="U51" i="47"/>
  <c r="T51" i="47"/>
  <c r="S51" i="47"/>
  <c r="R51" i="47"/>
  <c r="Q51" i="47"/>
  <c r="P51" i="47"/>
  <c r="O51" i="47"/>
  <c r="N51" i="47"/>
  <c r="M51" i="47"/>
  <c r="L51" i="47"/>
  <c r="K51" i="47"/>
  <c r="AQ50" i="47"/>
  <c r="AE50" i="47"/>
  <c r="AC50" i="47" s="1"/>
  <c r="AD50" i="47"/>
  <c r="AB50" i="47"/>
  <c r="AF50" i="47" s="1"/>
  <c r="AA50" i="47"/>
  <c r="Z50" i="47"/>
  <c r="Y50" i="47"/>
  <c r="X50" i="47"/>
  <c r="W50" i="47"/>
  <c r="V50" i="47"/>
  <c r="U50" i="47"/>
  <c r="T50" i="47"/>
  <c r="S50" i="47"/>
  <c r="R50" i="47"/>
  <c r="Q50" i="47"/>
  <c r="P50" i="47"/>
  <c r="O50" i="47"/>
  <c r="N50" i="47"/>
  <c r="M50" i="47"/>
  <c r="L50" i="47"/>
  <c r="K50" i="47"/>
  <c r="AF49" i="47"/>
  <c r="AE49" i="47"/>
  <c r="AD49" i="47"/>
  <c r="AC49" i="47" s="1"/>
  <c r="AB49" i="47"/>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C47" i="47"/>
  <c r="AB47" i="47"/>
  <c r="AF47" i="47" s="1"/>
  <c r="AA47" i="47"/>
  <c r="Z47" i="47"/>
  <c r="Y47" i="47"/>
  <c r="X47" i="47"/>
  <c r="W47" i="47"/>
  <c r="V47" i="47"/>
  <c r="U47" i="47"/>
  <c r="T47" i="47"/>
  <c r="S47" i="47"/>
  <c r="R47" i="47"/>
  <c r="Q47" i="47"/>
  <c r="P47" i="47"/>
  <c r="O47" i="47"/>
  <c r="N47" i="47"/>
  <c r="M47" i="47"/>
  <c r="L47" i="47"/>
  <c r="K47" i="47"/>
  <c r="AF46" i="47"/>
  <c r="AE46" i="47"/>
  <c r="AC46" i="47" s="1"/>
  <c r="AD46" i="47"/>
  <c r="AB46" i="47"/>
  <c r="AA46" i="47"/>
  <c r="Z46" i="47"/>
  <c r="Y46" i="47"/>
  <c r="X46" i="47"/>
  <c r="W46" i="47"/>
  <c r="V46" i="47"/>
  <c r="U46" i="47"/>
  <c r="T46" i="47"/>
  <c r="S46" i="47"/>
  <c r="R46" i="47"/>
  <c r="Q46" i="47"/>
  <c r="P46" i="47"/>
  <c r="O46" i="47"/>
  <c r="N46" i="47"/>
  <c r="M46" i="47"/>
  <c r="L46" i="47"/>
  <c r="K46" i="47"/>
  <c r="AQ45" i="47"/>
  <c r="AE45" i="47"/>
  <c r="AD45" i="47"/>
  <c r="AB45" i="47"/>
  <c r="AF45" i="47" s="1"/>
  <c r="AA45" i="47"/>
  <c r="Z45" i="47"/>
  <c r="Y45" i="47"/>
  <c r="X45" i="47"/>
  <c r="W45" i="47"/>
  <c r="V45" i="47"/>
  <c r="U45" i="47"/>
  <c r="T45" i="47"/>
  <c r="S45" i="47"/>
  <c r="R45" i="47"/>
  <c r="Q45" i="47"/>
  <c r="P45" i="47"/>
  <c r="O45" i="47"/>
  <c r="N45" i="47"/>
  <c r="M45" i="47"/>
  <c r="L45" i="47"/>
  <c r="K45" i="47"/>
  <c r="AE44" i="47"/>
  <c r="AD44" i="47"/>
  <c r="AC44" i="47"/>
  <c r="AB44" i="47"/>
  <c r="AF44" i="47" s="1"/>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R41" i="47"/>
  <c r="AQ41" i="47"/>
  <c r="AE41" i="47"/>
  <c r="AD41" i="47"/>
  <c r="AC41" i="47" s="1"/>
  <c r="AB41" i="47"/>
  <c r="AF41" i="47" s="1"/>
  <c r="AA41" i="47"/>
  <c r="Z41" i="47"/>
  <c r="Y41" i="47"/>
  <c r="X41" i="47"/>
  <c r="W41" i="47"/>
  <c r="V41" i="47"/>
  <c r="U41" i="47"/>
  <c r="T41" i="47"/>
  <c r="S41" i="47"/>
  <c r="R41" i="47"/>
  <c r="Q41" i="47"/>
  <c r="P41" i="47"/>
  <c r="O41" i="47"/>
  <c r="N41" i="47"/>
  <c r="M41" i="47"/>
  <c r="L41" i="47"/>
  <c r="K41" i="47"/>
  <c r="AR40" i="47"/>
  <c r="AQ40" i="47"/>
  <c r="AE40" i="47"/>
  <c r="AD40" i="47"/>
  <c r="AC40" i="47" s="1"/>
  <c r="AB40" i="47"/>
  <c r="AF40" i="47" s="1"/>
  <c r="AA40" i="47"/>
  <c r="Z40" i="47"/>
  <c r="Y40" i="47"/>
  <c r="X40" i="47"/>
  <c r="W40" i="47"/>
  <c r="V40" i="47"/>
  <c r="U40" i="47"/>
  <c r="T40" i="47"/>
  <c r="S40" i="47"/>
  <c r="R40" i="47"/>
  <c r="Q40" i="47"/>
  <c r="P40" i="47"/>
  <c r="O40" i="47"/>
  <c r="N40" i="47"/>
  <c r="M40" i="47"/>
  <c r="L40" i="47"/>
  <c r="K40" i="47"/>
  <c r="AR39" i="47"/>
  <c r="AQ39"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C37" i="47" s="1"/>
  <c r="AD37" i="47"/>
  <c r="AB37" i="47"/>
  <c r="AF37" i="47" s="1"/>
  <c r="AA37" i="47"/>
  <c r="Z37" i="47"/>
  <c r="Y37" i="47"/>
  <c r="X37" i="47"/>
  <c r="W37" i="47"/>
  <c r="V37" i="47"/>
  <c r="U37" i="47"/>
  <c r="T37" i="47"/>
  <c r="S37" i="47"/>
  <c r="R37" i="47"/>
  <c r="Q37" i="47"/>
  <c r="P37" i="47"/>
  <c r="O37" i="47"/>
  <c r="N37" i="47"/>
  <c r="M37" i="47"/>
  <c r="L37" i="47"/>
  <c r="K37" i="47"/>
  <c r="AE36" i="47"/>
  <c r="AC36" i="47" s="1"/>
  <c r="AD36" i="47"/>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F26" i="47"/>
  <c r="AE26" i="47"/>
  <c r="AD26" i="47"/>
  <c r="AB26" i="47"/>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F18" i="47"/>
  <c r="AE18" i="47"/>
  <c r="AD18" i="47"/>
  <c r="AB18" i="47"/>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F7" i="47"/>
  <c r="AE7" i="47"/>
  <c r="AD7" i="47"/>
  <c r="AC7" i="47"/>
  <c r="AB7" i="47"/>
  <c r="AA7" i="47"/>
  <c r="Z7" i="47"/>
  <c r="Y7" i="47"/>
  <c r="X7" i="47"/>
  <c r="W7" i="47"/>
  <c r="V7" i="47"/>
  <c r="U7" i="47"/>
  <c r="T7" i="47"/>
  <c r="S7" i="47"/>
  <c r="R7" i="47"/>
  <c r="Q7" i="47"/>
  <c r="P7" i="47"/>
  <c r="O7" i="47"/>
  <c r="N7" i="47"/>
  <c r="M7" i="47"/>
  <c r="L7" i="47"/>
  <c r="K7" i="47"/>
  <c r="AF6" i="47"/>
  <c r="AE6" i="47"/>
  <c r="AD6" i="47"/>
  <c r="AC6" i="47" s="1"/>
  <c r="AB6" i="47"/>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F2" i="47"/>
  <c r="AE2" i="47"/>
  <c r="AD2" i="47"/>
  <c r="AB2" i="47"/>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19" i="47" l="1"/>
  <c r="AC26" i="47"/>
  <c r="AC45" i="47"/>
  <c r="AC64" i="47"/>
  <c r="AC82" i="47"/>
  <c r="AC10" i="47"/>
  <c r="AC20" i="47"/>
  <c r="AC80" i="47"/>
  <c r="AC85" i="47"/>
  <c r="AC34" i="47"/>
  <c r="AC77" i="47"/>
  <c r="AC59" i="47"/>
  <c r="AC65" i="47"/>
  <c r="AC43" i="47"/>
  <c r="AC62" i="47"/>
  <c r="AC71" i="47"/>
  <c r="AC83" i="47"/>
  <c r="AC86" i="47"/>
  <c r="AC18" i="47"/>
  <c r="AC28" i="47"/>
  <c r="AC35" i="47"/>
  <c r="AC55" i="47"/>
  <c r="AC75" i="47"/>
  <c r="AC81" i="47"/>
  <c r="AC87" i="47"/>
  <c r="AC63" i="47"/>
  <c r="AC2" i="47"/>
  <c r="AC12"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<sst xmlns="http://schemas.openxmlformats.org/spreadsheetml/2006/main" count="37858" uniqueCount="9409">
  <si>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</si>
  <si>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</si>
  <si>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</si>
  <si>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</si>
  <si>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</si>
  <si>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</si>
  <si>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</si>
  <si>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</si>
  <si>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</si>
  <si>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</si>
  <si>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</si>
  <si>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</si>
  <si>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</si>
  <si>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</si>
  <si>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</si>
  <si>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</si>
  <si>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</si>
  <si>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</si>
  <si>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</si>
  <si>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</si>
  <si>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</si>
  <si>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</si>
  <si>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</si>
  <si>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</si>
  <si>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</si>
  <si>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</si>
  <si>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</si>
  <si>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</si>
  <si>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</si>
  <si>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</si>
  <si>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</si>
  <si>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</si>
  <si>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</si>
  <si>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</si>
  <si>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</si>
  <si>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</si>
  <si>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</si>
  <si>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</si>
  <si>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</si>
  <si>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</si>
  <si>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</si>
  <si>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</si>
  <si>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</si>
  <si>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</si>
  <si>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</si>
  <si>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</si>
  <si>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</si>
  <si>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</si>
  <si>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</si>
  <si>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</si>
  <si>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</si>
  <si>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</si>
  <si>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</si>
  <si>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</si>
  <si>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</si>
  <si>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</si>
  <si>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</si>
  <si>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</si>
  <si>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</si>
  <si>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</si>
  <si>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</si>
  <si>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</si>
  <si>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</si>
  <si>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</si>
  <si>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</si>
  <si>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</si>
  <si>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</si>
  <si>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</si>
  <si>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</si>
  <si>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</si>
  <si>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</si>
  <si>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</si>
  <si>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</si>
  <si>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</si>
  <si>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</si>
  <si>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</si>
  <si>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</si>
  <si>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</si>
  <si>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</si>
  <si>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</si>
  <si>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</si>
  <si>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</si>
  <si>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</si>
  <si>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</si>
  <si>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</si>
  <si>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</si>
  <si>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</si>
  <si>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</si>
  <si>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</si>
  <si>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</si>
  <si>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</si>
  <si>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</si>
  <si>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</si>
  <si>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</si>
  <si>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</si>
  <si>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</si>
  <si>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</si>
  <si>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</si>
  <si>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</si>
  <si>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</si>
  <si>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</si>
  <si>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</si>
  <si>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</si>
  <si>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</si>
  <si>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</si>
  <si>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</si>
  <si>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</si>
  <si>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</si>
  <si>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</si>
  <si>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</si>
  <si>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</si>
  <si>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</si>
  <si>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</si>
  <si>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</si>
  <si>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</si>
  <si>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</si>
  <si>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</si>
  <si>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</si>
  <si>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</si>
  <si>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</si>
  <si>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</si>
  <si>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</si>
  <si>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</si>
  <si>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</si>
  <si>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</si>
  <si>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</si>
  <si>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</si>
  <si>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</si>
  <si>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</si>
  <si>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</si>
  <si>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</si>
  <si>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</si>
  <si>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</si>
  <si>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</si>
  <si>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</si>
  <si>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</si>
  <si>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</si>
  <si>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</si>
  <si>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</si>
  <si>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</si>
  <si>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</si>
  <si>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</si>
  <si>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</si>
  <si>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</si>
  <si>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</si>
  <si>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</si>
  <si>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</si>
  <si>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</si>
  <si>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</si>
  <si>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</si>
  <si>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</si>
  <si>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</si>
  <si>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</si>
  <si>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</si>
  <si>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</si>
  <si>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</si>
  <si>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</si>
  <si>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</si>
  <si>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</si>
  <si>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</si>
  <si>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</si>
  <si>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</si>
  <si>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</si>
  <si>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</si>
  <si>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</si>
  <si>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</si>
  <si>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</si>
  <si>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</si>
  <si>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</si>
  <si>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</si>
  <si>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</si>
  <si>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</si>
  <si>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</si>
  <si>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</si>
  <si>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</si>
  <si>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</si>
  <si>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</si>
  <si>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</si>
  <si>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</si>
  <si>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</si>
  <si>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</si>
  <si>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</si>
  <si>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</si>
  <si>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</si>
  <si>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</si>
  <si>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</si>
  <si>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</si>
  <si>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</si>
  <si>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</si>
  <si>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</si>
  <si>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</si>
  <si>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</si>
  <si>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</si>
  <si>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</si>
  <si>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</si>
  <si>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</si>
  <si>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</si>
  <si>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</si>
  <si>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</si>
  <si>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</si>
  <si>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</si>
  <si>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</si>
  <si>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</si>
  <si>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</si>
  <si>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</si>
  <si>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</si>
  <si>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</si>
  <si>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</si>
  <si>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</si>
  <si>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</si>
  <si>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</si>
  <si>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</si>
  <si>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</si>
  <si>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</si>
  <si>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</si>
  <si>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</si>
  <si>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</si>
  <si>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</si>
  <si>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</si>
  <si>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</si>
  <si>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</si>
  <si>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</si>
  <si>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</si>
  <si>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</si>
  <si>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</si>
  <si>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</si>
  <si>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</si>
  <si>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</si>
  <si>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</si>
  <si>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</si>
  <si>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</si>
  <si>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</si>
  <si>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</si>
  <si>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</si>
  <si>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</si>
  <si>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</si>
  <si>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</si>
  <si>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</si>
  <si>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</si>
  <si>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</si>
  <si>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</si>
  <si>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</si>
  <si>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</si>
  <si>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</si>
  <si>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</si>
  <si>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</si>
  <si>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</si>
  <si>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</si>
  <si>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</si>
  <si>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</si>
  <si>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</si>
  <si>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</si>
  <si>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</si>
  <si>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</si>
  <si>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</si>
  <si>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</si>
  <si>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</si>
  <si>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</si>
  <si>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</si>
  <si>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</si>
  <si>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</si>
  <si>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</si>
  <si>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</si>
  <si>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</si>
  <si>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</si>
  <si>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</si>
  <si>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</si>
  <si>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</si>
  <si>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</si>
  <si>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</si>
  <si>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</si>
  <si>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</si>
  <si>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</si>
  <si>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</si>
  <si>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</si>
  <si>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</si>
  <si>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</si>
  <si>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</si>
  <si>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</si>
  <si>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</si>
  <si>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</si>
  <si>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</si>
  <si>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</si>
  <si>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</si>
  <si>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</si>
  <si>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</si>
  <si>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</si>
  <si>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</si>
  <si>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</si>
  <si>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</si>
  <si>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</si>
  <si>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</si>
  <si>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</si>
  <si>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</si>
  <si>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</si>
  <si>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</si>
  <si>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</si>
  <si>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</si>
  <si>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</si>
  <si>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</si>
  <si>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</si>
  <si>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</si>
  <si>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</si>
  <si>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</si>
  <si>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</si>
  <si>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</si>
  <si>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</si>
  <si>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</si>
  <si>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</si>
  <si>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</si>
  <si>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</si>
  <si>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</si>
  <si>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</si>
  <si>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</si>
  <si>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</si>
  <si>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</si>
  <si>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</si>
  <si>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</si>
  <si>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</si>
  <si>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</si>
  <si>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</si>
  <si>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</si>
  <si>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</si>
  <si>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</si>
  <si>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</si>
  <si>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</si>
  <si>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</si>
  <si>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</si>
  <si>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</si>
  <si>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</si>
  <si>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</si>
  <si>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</si>
  <si>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</si>
  <si>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</si>
  <si>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</si>
  <si>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</si>
  <si>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</si>
  <si>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</si>
  <si>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</si>
  <si>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</si>
  <si>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</si>
  <si>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</si>
  <si>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</si>
  <si>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</si>
  <si>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</si>
  <si>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</si>
  <si>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</si>
  <si>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</si>
  <si>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</si>
  <si>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</si>
  <si>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</si>
  <si>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</si>
  <si>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</si>
  <si>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</si>
  <si>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</si>
  <si>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</si>
  <si>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</si>
  <si>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</si>
  <si>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</si>
  <si>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</si>
  <si>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</si>
  <si>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</si>
  <si>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</si>
  <si>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</si>
  <si>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</si>
  <si>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</si>
  <si>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</si>
  <si>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</si>
  <si>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</si>
  <si>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</si>
  <si>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</si>
  <si>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</si>
  <si>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</si>
  <si>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</si>
  <si>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</si>
  <si>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</si>
  <si>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</si>
  <si>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</si>
  <si>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</si>
  <si>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</si>
  <si>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</si>
  <si>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</si>
  <si>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</si>
  <si>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</si>
  <si>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</si>
  <si>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</si>
  <si>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</si>
  <si>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</si>
  <si>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</si>
  <si>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</si>
  <si>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</si>
  <si>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</si>
  <si>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</si>
  <si>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</si>
  <si>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</si>
  <si>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</si>
  <si>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</si>
  <si>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</si>
  <si>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</si>
  <si>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</si>
  <si>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</si>
  <si>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</si>
  <si>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</si>
  <si>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</si>
  <si>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</si>
  <si>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</si>
  <si>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</si>
  <si>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</si>
  <si>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</si>
  <si>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</si>
  <si>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</si>
  <si>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</si>
  <si>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</si>
  <si>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</si>
  <si>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</si>
  <si>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</si>
  <si>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</si>
  <si>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</si>
  <si>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</si>
  <si>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</si>
  <si>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</si>
  <si>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</si>
  <si>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</si>
  <si>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</si>
  <si>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</si>
  <si>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</si>
  <si>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</si>
  <si>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</si>
  <si>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</si>
  <si>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</si>
  <si>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</si>
  <si>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</si>
  <si>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</si>
  <si>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</si>
  <si>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</si>
  <si>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</si>
  <si>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</si>
  <si>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</si>
  <si>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</si>
  <si>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</si>
  <si>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</si>
  <si>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</si>
  <si>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</si>
  <si>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</si>
  <si>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</si>
  <si>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</si>
  <si>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</si>
  <si>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</si>
  <si>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</si>
  <si>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</si>
  <si>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</si>
  <si>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</si>
  <si>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</si>
  <si>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</si>
  <si>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</si>
  <si>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</si>
  <si>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</si>
  <si>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</si>
  <si>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</si>
  <si>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</si>
  <si>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</si>
  <si>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</si>
  <si>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</si>
  <si>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</si>
  <si>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</si>
  <si>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</si>
  <si>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</si>
  <si>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</si>
  <si>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</si>
  <si>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</si>
  <si>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</si>
  <si>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</si>
  <si>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</si>
  <si>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</si>
  <si>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</si>
  <si>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</si>
  <si>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</si>
  <si>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</si>
  <si>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</si>
  <si>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</si>
  <si>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</si>
  <si>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</si>
  <si>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</si>
  <si>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</si>
  <si>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</si>
  <si>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</si>
  <si>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</si>
  <si>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</si>
  <si>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</si>
  <si>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</si>
  <si>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</si>
  <si>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</si>
  <si>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</si>
  <si>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</si>
  <si>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</si>
  <si>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</si>
  <si>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</si>
  <si>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</si>
  <si>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</si>
  <si>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</si>
  <si>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</si>
  <si>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</si>
  <si>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</si>
  <si>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</si>
  <si>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</si>
  <si>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</si>
  <si>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</si>
  <si>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</si>
  <si>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</si>
  <si>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</si>
  <si>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</si>
  <si>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</si>
  <si>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</si>
  <si>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</si>
  <si>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</si>
  <si>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</si>
  <si>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</si>
  <si>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</si>
  <si>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</si>
  <si>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</si>
  <si>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</si>
  <si>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</si>
  <si>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</si>
  <si>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</si>
  <si>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</si>
  <si>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</si>
  <si>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</si>
  <si>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</si>
  <si>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</si>
  <si>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</si>
  <si>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</si>
  <si>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</si>
  <si>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</si>
  <si>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</si>
  <si>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</si>
  <si>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</si>
  <si>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</si>
  <si>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</si>
  <si>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</si>
  <si>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</si>
  <si>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</si>
  <si>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</si>
  <si>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</si>
  <si>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</si>
  <si>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</si>
  <si>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</si>
  <si>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</si>
  <si>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</si>
  <si>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</si>
  <si>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</si>
  <si>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</si>
  <si>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</si>
  <si>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</si>
  <si>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</si>
  <si>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</si>
  <si>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</si>
  <si>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</si>
  <si>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</si>
  <si>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</si>
  <si>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</si>
  <si>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</si>
  <si>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</si>
  <si>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</si>
  <si>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</si>
  <si>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</si>
  <si>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</si>
  <si>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</si>
  <si>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</si>
  <si>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</si>
  <si>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</si>
  <si>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</si>
  <si>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</si>
  <si>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</si>
  <si>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</si>
  <si>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</si>
  <si>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</si>
  <si>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</si>
  <si>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</si>
  <si>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</si>
  <si>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</si>
  <si>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</si>
  <si>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</si>
  <si>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</si>
  <si>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</si>
  <si>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</si>
  <si>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</si>
  <si>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</si>
  <si>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</si>
  <si>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</si>
  <si>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</si>
  <si>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</si>
  <si>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</si>
  <si>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</si>
  <si>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</si>
  <si>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</si>
  <si>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</si>
  <si>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</si>
  <si>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</si>
  <si>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</si>
  <si>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</si>
  <si>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</si>
  <si>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</si>
  <si>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</si>
  <si>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</si>
  <si>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</si>
  <si>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</si>
  <si>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</si>
  <si>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</si>
  <si>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</si>
  <si>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</si>
  <si>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</si>
  <si>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</si>
  <si>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</si>
  <si>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</si>
  <si>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</si>
  <si>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</si>
  <si>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</si>
  <si>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</si>
  <si>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</si>
  <si>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</si>
  <si>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</si>
  <si>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</si>
  <si>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</si>
  <si>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</si>
  <si>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</si>
  <si>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</si>
  <si>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</si>
  <si>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</si>
  <si>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</si>
  <si>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</si>
  <si>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</si>
  <si>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</si>
  <si>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</si>
  <si>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</si>
  <si>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</si>
  <si>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</si>
  <si>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</si>
  <si>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</si>
  <si>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</si>
  <si>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</si>
  <si>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</si>
  <si>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</si>
  <si>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</si>
  <si>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</si>
  <si>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</si>
  <si>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</si>
  <si>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</si>
  <si>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</si>
  <si>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</si>
  <si>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</si>
  <si>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</si>
  <si>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</si>
  <si>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</si>
  <si>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</si>
  <si>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</si>
  <si>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</si>
  <si>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</si>
  <si>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</si>
  <si>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</si>
  <si>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</si>
  <si>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</si>
  <si>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</si>
  <si>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</si>
  <si>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</si>
  <si>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</si>
  <si>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</si>
  <si>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</si>
  <si>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</si>
  <si>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</si>
  <si>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</si>
  <si>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</si>
  <si>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</si>
  <si>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</si>
  <si>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</si>
  <si>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</si>
  <si>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</si>
  <si>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</si>
  <si>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</si>
  <si>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</si>
  <si>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</si>
  <si>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</si>
  <si>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</si>
  <si>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</si>
  <si>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</si>
  <si>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</si>
  <si>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</si>
  <si>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</si>
  <si>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</si>
  <si>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</si>
  <si>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</si>
  <si>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</si>
  <si>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</si>
  <si>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</si>
  <si>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</si>
  <si>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</si>
  <si>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</si>
  <si>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</si>
  <si>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</si>
  <si>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</si>
  <si>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</si>
  <si>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</si>
  <si>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</si>
  <si>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</si>
  <si>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</si>
  <si>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</si>
  <si>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</si>
  <si>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</si>
  <si>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</si>
  <si>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</si>
  <si>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</si>
  <si>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</si>
  <si>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</si>
  <si>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</si>
  <si>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</si>
  <si>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</si>
  <si>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</si>
  <si>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</si>
  <si>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</si>
  <si>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</si>
  <si>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</si>
  <si>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</si>
  <si>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</si>
  <si>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</si>
  <si>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</si>
  <si>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</si>
  <si>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</si>
  <si>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</si>
  <si>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</si>
  <si>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</si>
  <si>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</si>
  <si>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</si>
  <si>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</si>
  <si>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</si>
  <si>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</si>
  <si>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</si>
  <si>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</si>
  <si>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</si>
  <si>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</si>
  <si>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</si>
  <si>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</si>
  <si>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</si>
  <si>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</si>
  <si>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</si>
  <si>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</si>
  <si>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</si>
  <si>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</si>
  <si>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</si>
  <si>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</si>
  <si>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</si>
  <si>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</si>
  <si>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</si>
  <si>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</si>
  <si>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</si>
  <si>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</si>
  <si>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</si>
  <si>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</si>
  <si>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</si>
  <si>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</si>
  <si>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</si>
  <si>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</si>
  <si>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</si>
  <si>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</si>
  <si>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</si>
  <si>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</si>
  <si>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</si>
  <si>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</si>
  <si>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</si>
  <si>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</si>
  <si>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</si>
  <si>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</si>
  <si>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</si>
  <si>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</si>
  <si>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</si>
  <si>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</si>
  <si>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</si>
  <si>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</si>
  <si>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</si>
  <si>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</si>
  <si>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</si>
  <si>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</si>
  <si>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</si>
  <si>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</si>
  <si>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</si>
  <si>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</si>
  <si>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</si>
  <si>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</si>
  <si>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</si>
  <si>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</si>
  <si>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</si>
  <si>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</si>
  <si>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</si>
  <si>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</si>
  <si>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</si>
  <si>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</si>
  <si>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</si>
  <si>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</si>
  <si>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</si>
  <si>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</si>
  <si>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</si>
  <si>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</si>
  <si>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</si>
  <si>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</si>
  <si>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</si>
  <si>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</si>
  <si>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</si>
  <si>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</si>
  <si>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</si>
  <si>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</si>
  <si>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</si>
  <si>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</si>
  <si>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</si>
  <si>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</si>
  <si>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</si>
  <si>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</si>
  <si>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</si>
  <si>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</si>
  <si>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</si>
  <si>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</si>
  <si>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</si>
  <si>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</si>
  <si>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</si>
  <si>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</si>
  <si>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</si>
  <si>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</si>
  <si>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</si>
  <si>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</si>
  <si>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</si>
  <si>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</si>
  <si>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</si>
  <si>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</si>
  <si>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</si>
  <si>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</si>
  <si>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</si>
  <si>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</si>
  <si>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</si>
  <si>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</si>
  <si>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</si>
  <si>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</si>
  <si>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</si>
  <si>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</si>
  <si>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</si>
  <si>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</si>
  <si>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</si>
  <si>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</si>
  <si>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</si>
  <si>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</si>
  <si>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</si>
  <si>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</si>
  <si>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</si>
  <si>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</si>
  <si>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</si>
  <si>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</si>
  <si>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</si>
  <si>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</si>
  <si>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</si>
  <si>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</si>
  <si>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</si>
  <si>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</si>
  <si>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</si>
  <si>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</si>
  <si>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</si>
  <si>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</si>
  <si>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</si>
  <si>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</si>
  <si>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</si>
  <si>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</si>
  <si>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</si>
  <si>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</si>
  <si>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</si>
  <si>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</si>
  <si>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</si>
  <si>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</si>
  <si>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</si>
  <si>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</si>
  <si>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</si>
  <si>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</si>
  <si>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</si>
  <si>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</si>
  <si>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</si>
  <si>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</si>
  <si>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</si>
  <si>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</si>
  <si>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</si>
  <si>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</si>
  <si>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</si>
  <si>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</si>
  <si>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</si>
  <si>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</si>
  <si>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</si>
  <si>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</si>
  <si>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</si>
  <si>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</si>
  <si>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</si>
  <si>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</si>
  <si>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</si>
  <si>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</si>
  <si>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</si>
  <si>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</si>
  <si>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</si>
  <si>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</si>
  <si>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</si>
  <si>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</si>
  <si>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</si>
  <si>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</si>
  <si>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</si>
  <si>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</si>
  <si>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</si>
  <si>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</si>
  <si>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</si>
  <si>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</si>
  <si>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</si>
  <si>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</si>
  <si>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</si>
  <si>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</si>
  <si>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</si>
  <si>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</si>
  <si>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</si>
  <si>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</si>
  <si>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</si>
  <si>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</si>
  <si>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</si>
  <si>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</si>
  <si>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</si>
  <si>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</si>
  <si>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</si>
  <si>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</si>
  <si>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</si>
  <si>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</si>
  <si>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</si>
  <si>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</si>
  <si>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</si>
  <si>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</si>
  <si>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</si>
  <si>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</si>
  <si>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</si>
  <si>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</si>
  <si>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</si>
  <si>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</si>
  <si>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</si>
  <si>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</si>
  <si>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</si>
  <si>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</si>
  <si>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</si>
  <si>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</si>
  <si>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</si>
  <si>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</si>
  <si>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</si>
  <si>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</si>
  <si>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</si>
  <si>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</si>
  <si>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</si>
  <si>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</si>
  <si>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</si>
  <si>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</si>
  <si>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</si>
  <si>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</si>
  <si>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</si>
  <si>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</si>
  <si>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</si>
  <si>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</si>
  <si>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</si>
  <si>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</si>
  <si>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</si>
  <si>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</si>
  <si>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</si>
  <si>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</si>
  <si>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</si>
  <si>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</si>
  <si>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</si>
  <si>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</si>
  <si>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</si>
  <si>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</si>
  <si>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</si>
  <si>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</si>
  <si>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</si>
  <si>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</si>
  <si>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</si>
  <si>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</si>
  <si>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</si>
  <si>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</si>
  <si>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</si>
  <si>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</si>
  <si>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</si>
  <si>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</si>
  <si>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</si>
  <si>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</si>
  <si>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</si>
  <si>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</si>
  <si>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</si>
  <si>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</si>
  <si>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</si>
  <si>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</si>
  <si>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</si>
  <si>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</si>
  <si>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</si>
  <si>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</si>
  <si>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</si>
  <si>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</si>
  <si>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</si>
  <si>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</si>
  <si>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</si>
  <si>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</si>
  <si>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</si>
  <si>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</si>
  <si>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</si>
  <si>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</si>
  <si>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</si>
  <si>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</si>
  <si>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</si>
  <si>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</si>
  <si>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</si>
  <si>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</si>
  <si>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</si>
  <si>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</si>
  <si>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</si>
  <si>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</si>
  <si>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</si>
  <si>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</si>
  <si>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</si>
  <si>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</si>
  <si>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</si>
  <si>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</si>
  <si>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</si>
  <si>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</si>
  <si>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</si>
  <si>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</si>
  <si>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</si>
  <si>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</si>
  <si>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</si>
  <si>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</si>
  <si>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</si>
  <si>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</si>
  <si>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</si>
  <si>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</si>
  <si>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</si>
  <si>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</si>
  <si>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</si>
  <si>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</si>
  <si>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</si>
  <si>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</si>
  <si>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</si>
  <si>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</si>
  <si>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</si>
  <si>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</si>
  <si>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</si>
  <si>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</si>
  <si>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</si>
  <si>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</si>
  <si>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</si>
  <si>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</si>
  <si>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</si>
  <si>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</si>
  <si>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</si>
  <si>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</si>
  <si>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</si>
  <si>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</si>
  <si>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</si>
  <si>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</si>
  <si>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</si>
  <si>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</si>
  <si>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</si>
  <si>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</si>
  <si>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</si>
  <si>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</si>
  <si>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</si>
  <si>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</si>
  <si>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</si>
  <si>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</si>
  <si>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</si>
  <si>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</si>
  <si>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</si>
  <si>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</si>
  <si>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</si>
  <si>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</si>
  <si>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</si>
  <si>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</si>
  <si>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</si>
  <si>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</si>
  <si>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</si>
  <si>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</si>
  <si>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</si>
  <si>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</si>
  <si>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</si>
  <si>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</si>
  <si>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</si>
  <si>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</si>
  <si>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</si>
  <si>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</si>
  <si>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</si>
  <si>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</si>
  <si>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</si>
  <si>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</si>
  <si>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</si>
  <si>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</si>
  <si>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</si>
  <si>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</si>
  <si>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</si>
  <si>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</si>
  <si>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</si>
  <si>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</si>
  <si>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</si>
  <si>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</si>
  <si>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</si>
  <si>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</si>
  <si>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</si>
  <si>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</si>
  <si>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</si>
  <si>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</si>
  <si>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</si>
  <si>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</si>
  <si>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</si>
  <si>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</si>
  <si>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</si>
  <si>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</si>
  <si>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</si>
  <si>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</si>
  <si>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</si>
  <si>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</si>
  <si>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</si>
  <si>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</si>
  <si>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</si>
  <si>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</si>
  <si>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</si>
  <si>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</si>
  <si>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</si>
  <si>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</si>
  <si>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</si>
  <si>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</si>
  <si>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</si>
  <si>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</si>
  <si>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</si>
  <si>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</si>
  <si>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</si>
  <si>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</si>
  <si>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</si>
  <si>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</si>
  <si>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</si>
  <si>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</si>
  <si>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</si>
  <si>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</si>
  <si>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</si>
  <si>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</si>
  <si>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</si>
  <si>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</si>
  <si>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</si>
  <si>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</si>
  <si>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</si>
  <si>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</si>
  <si>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</si>
  <si>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</si>
  <si>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</si>
  <si>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</si>
  <si>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</si>
  <si>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</si>
  <si>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</si>
  <si>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</si>
  <si>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</si>
  <si>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</si>
  <si>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</si>
  <si>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</si>
  <si>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</si>
  <si>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</si>
  <si>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</si>
  <si>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</si>
  <si>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</si>
  <si>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</si>
  <si>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</si>
  <si>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</si>
  <si>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</si>
  <si>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</si>
  <si>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</si>
  <si>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</si>
  <si>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</si>
  <si>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</si>
  <si>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</si>
  <si>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</si>
  <si>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</si>
  <si>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</si>
  <si>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</si>
  <si>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</si>
  <si>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</si>
  <si>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</si>
  <si>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</si>
  <si>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</si>
  <si>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</si>
  <si>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</si>
  <si>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</si>
  <si>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</si>
  <si>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</si>
  <si>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</si>
  <si>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</si>
  <si>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</si>
  <si>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</si>
  <si>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</si>
  <si>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</si>
  <si>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</si>
  <si>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</si>
  <si>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</si>
  <si>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</si>
  <si>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</si>
  <si>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</si>
  <si>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</si>
  <si>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</si>
  <si>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</si>
  <si>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</si>
  <si>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</si>
  <si>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</si>
  <si>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</si>
  <si>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</si>
  <si>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</si>
  <si>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</si>
  <si>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</si>
  <si>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</si>
  <si>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</si>
  <si>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</si>
  <si>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</si>
  <si>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</si>
  <si>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</si>
  <si>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</si>
  <si>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</si>
  <si>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</si>
  <si>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</si>
  <si>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</si>
  <si>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</si>
  <si>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</si>
  <si>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</si>
  <si>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</si>
  <si>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</si>
  <si>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</si>
  <si>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</si>
  <si>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</si>
  <si>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</si>
  <si>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</si>
  <si>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</si>
  <si>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</si>
  <si>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</si>
  <si>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</si>
  <si>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</si>
  <si>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</si>
  <si>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</si>
  <si>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</si>
  <si>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</si>
  <si>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</si>
  <si>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</si>
  <si>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</si>
  <si>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</si>
  <si>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</si>
  <si>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</si>
  <si>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</si>
  <si>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</si>
  <si>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</si>
  <si>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</si>
  <si>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</si>
  <si>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</si>
  <si>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</si>
  <si>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</si>
  <si>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</si>
  <si>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</si>
  <si>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</si>
  <si>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</si>
  <si>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</si>
  <si>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</si>
  <si>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</si>
  <si>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</si>
  <si>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</si>
  <si>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</si>
  <si>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</si>
  <si>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</si>
  <si>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</si>
  <si>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</si>
  <si>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</si>
  <si>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</si>
  <si>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</si>
  <si>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</si>
  <si>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</si>
  <si>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</si>
  <si>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</si>
  <si>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</si>
  <si>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</si>
  <si>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</si>
  <si>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</si>
  <si>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</si>
  <si>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</si>
  <si>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</si>
  <si>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</si>
  <si>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</si>
  <si>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</si>
  <si>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</si>
  <si>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</si>
  <si>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</si>
  <si>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</si>
  <si>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</si>
  <si>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</si>
  <si>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</si>
  <si>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</si>
  <si>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</si>
  <si>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</si>
  <si>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</si>
  <si>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</si>
  <si>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</si>
  <si>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</si>
  <si>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</si>
  <si>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</si>
  <si>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</si>
  <si>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</si>
  <si>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</si>
  <si>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</si>
  <si>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</si>
  <si>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</si>
  <si>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</si>
  <si>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</si>
  <si>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</si>
  <si>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</si>
  <si>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</si>
  <si>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</si>
  <si>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</si>
  <si>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</si>
  <si>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</si>
  <si>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</si>
  <si>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</si>
  <si>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</si>
  <si>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</si>
  <si>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</si>
  <si>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</si>
  <si>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</si>
  <si>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</si>
  <si>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</si>
  <si>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</si>
  <si>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</si>
  <si>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</si>
  <si>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</si>
  <si>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</si>
  <si>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</si>
  <si>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</si>
  <si>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</si>
  <si>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</si>
  <si>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</si>
  <si>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</si>
  <si>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</si>
  <si>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</si>
  <si>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</si>
  <si>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</si>
  <si>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</si>
  <si>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</si>
  <si>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</si>
  <si>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</si>
  <si>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</si>
  <si>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</si>
  <si>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</si>
  <si>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</si>
  <si>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</si>
  <si>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</si>
  <si>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</si>
  <si>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</si>
  <si>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</si>
  <si>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</si>
  <si>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</si>
  <si>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</si>
  <si>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</si>
  <si>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</si>
  <si>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</si>
  <si>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</si>
  <si>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</si>
  <si>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</si>
  <si>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</si>
  <si>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</si>
  <si>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</si>
  <si>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</si>
  <si>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</si>
  <si>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</si>
  <si>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</si>
  <si>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</si>
  <si>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</si>
  <si>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</si>
  <si>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</si>
  <si>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</si>
  <si>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</si>
  <si>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</si>
  <si>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</si>
  <si>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</si>
  <si>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</si>
  <si>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</si>
  <si>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</si>
  <si>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</si>
  <si>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</si>
  <si>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</si>
  <si>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</si>
  <si>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</si>
  <si>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</si>
  <si>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</si>
  <si>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</si>
  <si>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</si>
  <si>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</si>
  <si>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</si>
  <si>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</si>
  <si>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</si>
  <si>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</si>
  <si>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</si>
  <si>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</si>
  <si>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</si>
  <si>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</si>
  <si>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</si>
  <si>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</si>
  <si>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</si>
  <si>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</si>
  <si>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</si>
  <si>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</si>
  <si>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</si>
  <si>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</si>
  <si>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</si>
  <si>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</si>
  <si>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</si>
  <si>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</si>
  <si>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</si>
  <si>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</si>
  <si>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</si>
  <si>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</si>
  <si>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</si>
  <si>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</si>
  <si>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</si>
  <si>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</si>
  <si>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</si>
  <si>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</si>
  <si>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</si>
  <si>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</si>
  <si>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</si>
  <si>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</si>
  <si>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</si>
  <si>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</si>
  <si>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</si>
  <si>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</si>
  <si>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</si>
  <si>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</si>
  <si>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</si>
  <si>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</si>
  <si>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</si>
  <si>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</si>
  <si>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</si>
  <si>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</si>
  <si>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</si>
  <si>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</si>
  <si>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</si>
  <si>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</si>
  <si>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</si>
  <si>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</si>
  <si>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</si>
  <si>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</si>
  <si>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</si>
  <si>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</si>
  <si>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</si>
  <si>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</si>
  <si>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</si>
  <si>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</si>
  <si>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</si>
  <si>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</si>
  <si>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</si>
  <si>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</si>
  <si>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</si>
  <si>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</si>
  <si>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</si>
  <si>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</si>
  <si>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</si>
  <si>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</si>
  <si>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</si>
  <si>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</si>
  <si>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</si>
  <si>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</si>
  <si>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</si>
  <si>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</si>
  <si>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</si>
  <si>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</si>
  <si>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</si>
  <si>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</si>
  <si>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</si>
  <si>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</si>
  <si>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</si>
  <si>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</si>
  <si>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</si>
  <si>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</si>
  <si>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</si>
  <si>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</si>
  <si>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</si>
  <si>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</si>
  <si>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</si>
  <si>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</si>
  <si>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</si>
  <si>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</si>
  <si>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</si>
  <si>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</si>
  <si>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</si>
  <si>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</si>
  <si>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</si>
  <si>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</si>
  <si>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</si>
  <si>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</si>
  <si>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</si>
  <si>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</si>
  <si>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</si>
  <si>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</si>
  <si>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</si>
  <si>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</si>
  <si>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</si>
  <si>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</si>
  <si>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</si>
  <si>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</si>
  <si>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</si>
  <si>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</si>
  <si>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</si>
  <si>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</si>
  <si>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</si>
  <si>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</si>
  <si>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</si>
  <si>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</si>
  <si>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</si>
  <si>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</si>
  <si>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</si>
  <si>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</si>
  <si>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</si>
  <si>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</si>
  <si>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</si>
  <si>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</si>
  <si>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</si>
  <si>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</si>
  <si>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</si>
  <si>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</si>
  <si>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</si>
  <si>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</si>
  <si>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</si>
  <si>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</si>
  <si>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</si>
  <si>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</si>
  <si>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</si>
  <si>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</si>
  <si>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</si>
  <si>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</si>
  <si>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</si>
  <si>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</si>
  <si>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</si>
  <si>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</si>
  <si>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</si>
  <si>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</si>
  <si>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</si>
  <si>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</si>
  <si>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</si>
  <si>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</si>
  <si>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</si>
  <si>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</si>
  <si>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</si>
  <si>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</si>
  <si>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</si>
  <si>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</si>
  <si>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</si>
  <si>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</si>
  <si>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</si>
  <si>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</si>
  <si>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</si>
  <si>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</si>
  <si>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</si>
  <si>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</si>
  <si>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</si>
  <si>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</si>
  <si>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</si>
  <si>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</si>
  <si>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</si>
  <si>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</si>
  <si>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</si>
  <si>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</si>
  <si>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</si>
  <si>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</si>
  <si>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</si>
  <si>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</si>
  <si>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</si>
  <si>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</si>
  <si>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</si>
  <si>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</si>
  <si>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</si>
  <si>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</si>
  <si>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</si>
  <si>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</si>
  <si>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</si>
  <si>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</si>
  <si>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</si>
  <si>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</si>
  <si>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</si>
  <si>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</si>
  <si>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</si>
  <si>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</si>
  <si>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</si>
  <si>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</si>
  <si>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</si>
  <si>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</si>
  <si>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</si>
  <si>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</si>
  <si>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</si>
  <si>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</si>
  <si>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</si>
  <si>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</si>
  <si>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</si>
  <si>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</si>
  <si>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</si>
  <si>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</si>
  <si>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</si>
  <si>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</si>
  <si>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</si>
  <si>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</si>
  <si>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</si>
  <si>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</si>
  <si>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</si>
  <si>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</si>
  <si>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</si>
  <si>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</si>
  <si>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</si>
  <si>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</si>
  <si>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</si>
  <si>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</si>
  <si>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</si>
  <si>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</si>
  <si>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</si>
  <si>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</si>
  <si>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</si>
  <si>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</si>
  <si>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</si>
  <si>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</si>
  <si>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</si>
  <si>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</si>
  <si>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</si>
  <si>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</si>
  <si>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</si>
  <si>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</si>
  <si>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</si>
  <si>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</si>
  <si>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</si>
  <si>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</si>
  <si>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</si>
  <si>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</si>
  <si>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</si>
  <si>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</si>
  <si>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</si>
  <si>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</si>
  <si>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</si>
  <si>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</si>
  <si>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</si>
  <si>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</si>
  <si>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</si>
  <si>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</si>
  <si>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</si>
  <si>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</si>
  <si>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</si>
  <si>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</si>
  <si>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</si>
  <si>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</si>
  <si>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</si>
  <si>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</si>
  <si>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</si>
  <si>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</si>
  <si>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</si>
  <si>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</si>
  <si>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</si>
  <si>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</si>
  <si>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</si>
  <si>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</si>
  <si>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</si>
  <si>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</si>
  <si>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</si>
  <si>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</si>
  <si>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</si>
  <si>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</si>
  <si>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</si>
  <si>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</si>
  <si>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</si>
  <si>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</si>
  <si>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</si>
  <si>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</si>
  <si>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</si>
  <si>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</si>
  <si>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</si>
  <si>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</si>
  <si>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</si>
  <si>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</si>
  <si>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</si>
  <si>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</si>
  <si>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</si>
  <si>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</si>
  <si>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</si>
  <si>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</si>
  <si>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</si>
  <si>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</si>
  <si>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</si>
  <si>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</si>
  <si>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</si>
  <si>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</si>
  <si>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</si>
  <si>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</si>
  <si>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</si>
  <si>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</si>
  <si>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</si>
  <si>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</si>
  <si>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</si>
  <si>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</si>
  <si>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</si>
  <si>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</si>
  <si>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</si>
  <si>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</si>
  <si>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</si>
  <si>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</si>
  <si>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</si>
  <si>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</si>
  <si>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</si>
  <si>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</si>
  <si>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</si>
  <si>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</si>
  <si>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</si>
  <si>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</si>
  <si>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</si>
  <si>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</si>
  <si>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</si>
  <si>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</si>
  <si>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</si>
  <si>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</si>
  <si>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</si>
  <si>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</si>
  <si>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</si>
  <si>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</si>
  <si>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</si>
  <si>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</si>
  <si>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</si>
  <si>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</si>
  <si>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</si>
  <si>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</si>
  <si>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</si>
  <si>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</si>
  <si>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</si>
  <si>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</si>
  <si>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</si>
  <si>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</si>
  <si>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</si>
  <si>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</si>
  <si>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</si>
  <si>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</si>
  <si>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</si>
  <si>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</si>
  <si>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</si>
  <si>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</si>
  <si>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</si>
  <si>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</si>
  <si>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</si>
  <si>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</si>
  <si>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</si>
  <si>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</si>
  <si>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</si>
  <si>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</si>
  <si>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</si>
  <si>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</si>
  <si>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</si>
  <si>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</si>
  <si>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</si>
  <si>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</si>
  <si>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</si>
  <si>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</si>
  <si>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</si>
  <si>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</si>
  <si>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</si>
  <si>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</si>
  <si>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</si>
  <si>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</si>
  <si>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</si>
  <si>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</si>
  <si>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</si>
  <si>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</si>
  <si>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</si>
  <si>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</si>
  <si>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</si>
  <si>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</si>
  <si>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</si>
  <si>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</si>
  <si>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</si>
  <si>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</si>
  <si>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</si>
  <si>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</si>
  <si>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</si>
  <si>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</si>
  <si>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</si>
  <si>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</si>
  <si>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</si>
  <si>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</si>
  <si>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</si>
  <si>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</si>
  <si>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</si>
  <si>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</si>
  <si>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</si>
  <si>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</si>
  <si>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</si>
  <si>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</si>
  <si>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</si>
  <si>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</si>
  <si>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</si>
  <si>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</si>
  <si>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</si>
  <si>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</si>
  <si>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</si>
  <si>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</si>
  <si>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</si>
  <si>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</si>
  <si>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</si>
  <si>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</si>
  <si>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</si>
  <si>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</si>
  <si>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</si>
  <si>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</si>
  <si>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</si>
  <si>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</si>
  <si>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</si>
  <si>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</si>
  <si>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</si>
  <si>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</si>
  <si>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</si>
  <si>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</si>
  <si>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</si>
  <si>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</si>
  <si>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</si>
  <si>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</si>
  <si>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</si>
  <si>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</si>
  <si>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</si>
  <si>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</si>
  <si>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</si>
  <si>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</si>
  <si>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</si>
  <si>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</si>
  <si>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</si>
  <si>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</si>
  <si>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</si>
  <si>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</si>
  <si>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</si>
  <si>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</si>
  <si>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</si>
  <si>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</si>
  <si>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</si>
  <si>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</si>
  <si>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</si>
  <si>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</si>
  <si>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</si>
  <si>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</si>
  <si>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</si>
  <si>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</si>
  <si>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</si>
  <si>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</si>
  <si>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</si>
  <si>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</si>
  <si>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</si>
  <si>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</si>
  <si>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</si>
  <si>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</si>
  <si>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</si>
  <si>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</si>
  <si>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</si>
  <si>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</si>
  <si>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</si>
  <si>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</si>
  <si>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</si>
  <si>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</si>
  <si>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</si>
  <si>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</si>
  <si>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</si>
  <si>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</si>
  <si>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</si>
  <si>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</si>
  <si>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</si>
  <si>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</si>
  <si>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</si>
  <si>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</si>
  <si>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</si>
  <si>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</si>
  <si>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</si>
  <si>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</si>
  <si>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</si>
  <si>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</si>
  <si>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</si>
  <si>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</si>
  <si>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</si>
  <si>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</si>
  <si>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</si>
  <si>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</si>
  <si>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</si>
  <si>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</si>
  <si>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</si>
  <si>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</si>
  <si>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</si>
  <si>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</si>
  <si>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</si>
  <si>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</si>
  <si>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</si>
  <si>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</si>
  <si>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</si>
  <si>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</si>
  <si>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</si>
  <si>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</si>
  <si>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</si>
  <si>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</si>
  <si>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</si>
  <si>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</si>
  <si>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</si>
  <si>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</si>
  <si>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</si>
  <si>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</si>
  <si>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</si>
  <si>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</si>
  <si>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</si>
  <si>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</si>
  <si>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</si>
  <si>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</si>
  <si>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</si>
  <si>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</si>
  <si>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</si>
  <si>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</si>
  <si>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</si>
  <si>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</si>
  <si>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</si>
  <si>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</si>
  <si>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</si>
  <si>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</si>
  <si>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</si>
  <si>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</si>
  <si>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</si>
  <si>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</si>
  <si>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</si>
  <si>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</si>
  <si>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</si>
  <si>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</si>
  <si>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</si>
  <si>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</si>
  <si>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</si>
  <si>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</si>
  <si>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</si>
  <si>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</si>
  <si>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</si>
  <si>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</si>
  <si>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</si>
  <si>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</si>
  <si>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</si>
  <si>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</si>
  <si>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</si>
  <si>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</si>
  <si>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</si>
  <si>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</si>
  <si>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</si>
  <si>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</si>
  <si>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</si>
  <si>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</si>
  <si>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</si>
  <si>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</si>
  <si>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</si>
  <si>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</si>
  <si>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</si>
  <si>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</si>
  <si>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</si>
  <si>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</si>
  <si>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</si>
  <si>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</si>
  <si>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</si>
  <si>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</si>
  <si>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</si>
  <si>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</si>
  <si>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</si>
  <si>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</si>
  <si>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</si>
  <si>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</si>
  <si>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</si>
  <si>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</si>
  <si>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</si>
  <si>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</si>
  <si>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</si>
  <si>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</si>
  <si>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</si>
  <si>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</si>
  <si>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</si>
  <si>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</si>
  <si>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</si>
  <si>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</si>
  <si>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</si>
  <si>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</si>
  <si>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</si>
  <si>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</si>
  <si>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</si>
  <si>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</si>
  <si>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</si>
  <si>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</si>
  <si>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</si>
  <si>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</si>
  <si>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</si>
  <si>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</si>
  <si>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</si>
  <si>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</si>
  <si>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</si>
  <si>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</si>
  <si>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</si>
  <si>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</si>
  <si>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</si>
  <si>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</si>
  <si>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</si>
  <si>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</si>
  <si>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</si>
  <si>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</si>
  <si>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</si>
  <si>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</si>
  <si>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</si>
  <si>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</si>
  <si>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</si>
  <si>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</si>
  <si>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</si>
  <si>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</si>
  <si>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</si>
  <si>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</si>
  <si>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</si>
  <si>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</si>
  <si>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</si>
  <si>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</si>
  <si>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</si>
  <si>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</si>
  <si>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</si>
  <si>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</si>
  <si>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</si>
  <si>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</si>
  <si>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</si>
  <si>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</si>
  <si>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</si>
  <si>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</si>
  <si>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</si>
  <si>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</si>
  <si>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</si>
  <si>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</si>
  <si>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</si>
  <si>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</si>
  <si>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</si>
  <si>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</si>
  <si>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</si>
  <si>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</si>
  <si>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</si>
  <si>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</si>
  <si>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</si>
  <si>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</si>
  <si>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</si>
  <si>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</si>
  <si>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</si>
  <si>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</si>
  <si>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</si>
  <si>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</si>
  <si>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</si>
  <si>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</si>
  <si>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</si>
  <si>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</si>
  <si>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</si>
  <si>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</si>
  <si>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</si>
  <si>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</si>
  <si>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</si>
  <si>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</si>
  <si>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</si>
  <si>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</si>
  <si>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</si>
  <si>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</si>
  <si>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</si>
  <si>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</si>
  <si>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</si>
  <si>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</si>
  <si>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</si>
  <si>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</si>
  <si>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</si>
  <si>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</si>
  <si>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</si>
  <si>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</si>
  <si>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</si>
  <si>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</si>
  <si>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</si>
  <si>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</si>
  <si>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</si>
  <si>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</si>
  <si>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</si>
  <si>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</si>
  <si>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</si>
  <si>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</si>
  <si>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</si>
  <si>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</si>
  <si>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</si>
  <si>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</si>
  <si>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</si>
  <si>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</si>
  <si>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</si>
  <si>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</si>
  <si>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</si>
  <si>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</si>
  <si>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</si>
  <si>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</si>
  <si>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</si>
  <si>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</si>
  <si>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</si>
  <si>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</si>
  <si>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</si>
  <si>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</si>
  <si>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</si>
  <si>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</si>
  <si>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</si>
  <si>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</si>
  <si>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</si>
  <si>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</si>
  <si>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</si>
  <si>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</si>
  <si>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</si>
  <si>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</si>
  <si>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</si>
  <si>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</si>
  <si>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</si>
  <si>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</si>
  <si>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</si>
  <si>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</si>
  <si>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</si>
  <si>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</si>
  <si>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</si>
  <si>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</si>
  <si>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</si>
  <si>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</si>
  <si>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</si>
  <si>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</si>
  <si>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</si>
  <si>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</si>
  <si>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</si>
  <si>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</si>
  <si>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</si>
  <si>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</si>
  <si>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</si>
  <si>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</si>
  <si>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</si>
  <si>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</si>
  <si>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</si>
  <si>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</si>
  <si>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</si>
  <si>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</si>
  <si>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</si>
  <si>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</si>
  <si>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</si>
  <si>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</si>
  <si>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</si>
  <si>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</si>
  <si>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</si>
  <si>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</si>
  <si>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</si>
  <si>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</si>
  <si>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</si>
  <si>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</si>
  <si>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</si>
  <si>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</si>
  <si>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</si>
  <si>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</si>
  <si>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</si>
  <si>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</si>
  <si>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</si>
  <si>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</si>
  <si>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</si>
  <si>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</si>
  <si>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</si>
  <si>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</si>
  <si>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</si>
  <si>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</si>
  <si>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</si>
  <si>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</si>
  <si>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</si>
  <si>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</si>
  <si>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</si>
  <si>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</si>
  <si>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</si>
  <si>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</si>
  <si>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</si>
  <si>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</si>
  <si>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</si>
  <si>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</si>
  <si>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</si>
  <si>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</si>
  <si>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</si>
  <si>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</si>
  <si>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</si>
  <si>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</si>
  <si>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</si>
  <si>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</si>
  <si>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</si>
  <si>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</si>
  <si>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</si>
  <si>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</si>
  <si>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</si>
  <si>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</si>
  <si>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</si>
  <si>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</si>
  <si>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</si>
  <si>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</si>
  <si>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</si>
  <si>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</si>
  <si>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</si>
  <si>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</si>
  <si>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</si>
  <si>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</si>
  <si>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</si>
  <si>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</si>
  <si>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</si>
  <si>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</si>
  <si>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</si>
  <si>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</si>
  <si>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</si>
  <si>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</si>
  <si>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</si>
  <si>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</si>
  <si>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</si>
  <si>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</si>
  <si>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</si>
  <si>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</si>
  <si>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</si>
  <si>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</si>
  <si>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</si>
  <si>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</si>
  <si>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</si>
  <si>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</si>
  <si>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</si>
  <si>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</si>
  <si>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</si>
  <si>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</si>
  <si>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</si>
  <si>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</si>
  <si>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</si>
  <si>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</si>
  <si>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</si>
  <si>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</si>
  <si>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</si>
  <si>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</si>
  <si>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</si>
  <si>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</si>
  <si>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</si>
  <si>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</si>
  <si>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</si>
  <si>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</si>
  <si>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</si>
  <si>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</si>
  <si>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</si>
  <si>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</si>
  <si>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</si>
  <si>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</si>
  <si>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</si>
  <si>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</si>
  <si>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</si>
  <si>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</si>
  <si>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</si>
  <si>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</si>
  <si>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</si>
  <si>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</si>
  <si>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</si>
  <si>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</si>
  <si>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</si>
  <si>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</si>
  <si>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</si>
  <si>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</si>
  <si>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</si>
  <si>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</si>
  <si>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</si>
  <si>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</si>
  <si>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</si>
  <si>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</si>
  <si>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</si>
  <si>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</si>
  <si>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</si>
  <si>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</si>
  <si>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</si>
  <si>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</si>
  <si>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</si>
  <si>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</si>
  <si>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</si>
  <si>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</si>
  <si>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</si>
  <si>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</si>
  <si>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</si>
  <si>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</si>
  <si>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</si>
  <si>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</si>
  <si>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</si>
  <si>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</si>
  <si>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</si>
  <si>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</si>
  <si>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</si>
  <si>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</si>
  <si>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</si>
  <si>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</si>
  <si>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</si>
  <si>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</si>
  <si>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</si>
  <si>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</si>
  <si>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</si>
  <si>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</si>
  <si>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</si>
  <si>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</si>
  <si>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</si>
  <si>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</si>
  <si>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</si>
  <si>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</si>
  <si>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</si>
  <si>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</si>
  <si>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</si>
  <si>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</si>
  <si>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</si>
  <si>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</si>
  <si>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</si>
  <si>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</si>
  <si>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</si>
  <si>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</si>
  <si>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</si>
  <si>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</si>
  <si>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</si>
  <si>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</si>
  <si>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</si>
  <si>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</si>
  <si>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</si>
  <si>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</si>
  <si>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</si>
  <si>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</si>
  <si>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</si>
  <si>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</si>
  <si>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</si>
  <si>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</si>
  <si>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</si>
  <si>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</si>
  <si>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</si>
  <si>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</si>
  <si>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</si>
  <si>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</si>
  <si>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</si>
  <si>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</si>
  <si>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</si>
  <si>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</si>
  <si>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</si>
  <si>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</si>
  <si>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</si>
  <si>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</si>
  <si>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</si>
  <si>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</si>
  <si>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</si>
  <si>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</si>
  <si>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</si>
  <si>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</si>
  <si>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</si>
  <si>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</si>
  <si>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</si>
  <si>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</si>
  <si>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</si>
  <si>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</si>
  <si>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</si>
  <si>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</si>
  <si>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</si>
  <si>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</si>
  <si>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</si>
  <si>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</si>
  <si>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</si>
  <si>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</si>
  <si>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</si>
  <si>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</si>
  <si>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</si>
  <si>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</si>
  <si>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</si>
  <si>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</si>
  <si>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</si>
  <si>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</si>
  <si>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</si>
  <si>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</si>
  <si>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</si>
  <si>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</si>
  <si>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</si>
  <si>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</si>
  <si>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</si>
  <si>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</si>
  <si>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</si>
  <si>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</si>
  <si>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</si>
  <si>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</si>
  <si>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</si>
  <si>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</si>
  <si>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</si>
  <si>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</si>
  <si>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</si>
  <si>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</si>
  <si>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</si>
  <si>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</si>
  <si>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</si>
  <si>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</si>
  <si>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</si>
  <si>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</si>
  <si>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</si>
  <si>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</si>
  <si>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</si>
  <si>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</si>
  <si>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</si>
  <si>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</si>
  <si>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</si>
  <si>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</si>
  <si>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</si>
  <si>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</si>
  <si>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</si>
  <si>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</si>
  <si>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</si>
  <si>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</si>
  <si>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</si>
  <si>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</si>
  <si>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</si>
  <si>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</si>
  <si>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</si>
  <si>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</si>
  <si>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</si>
  <si>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</si>
  <si>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</si>
  <si>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</si>
  <si>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</si>
  <si>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</si>
  <si>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</si>
  <si>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</si>
  <si>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</si>
  <si>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</si>
  <si>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</si>
  <si>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</si>
  <si>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</si>
  <si>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</si>
  <si>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</si>
  <si>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</si>
  <si>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</si>
  <si>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</si>
  <si>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</si>
  <si>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</si>
  <si>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</si>
  <si>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</si>
  <si>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</si>
  <si>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</si>
  <si>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</si>
  <si>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</si>
  <si>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</si>
  <si>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</si>
  <si>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</si>
  <si>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</si>
  <si>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</si>
  <si>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</si>
  <si>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</si>
  <si>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</si>
  <si>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</si>
  <si>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</si>
  <si>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</si>
  <si>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</si>
  <si>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</si>
  <si>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</si>
  <si>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</si>
  <si>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</si>
  <si>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</si>
  <si>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</si>
  <si>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</si>
  <si>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</si>
  <si>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</si>
  <si>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</si>
  <si>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</si>
  <si>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</si>
  <si>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</si>
  <si>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</si>
  <si>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</si>
  <si>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</si>
  <si>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</si>
  <si>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</si>
  <si>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</si>
  <si>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</si>
  <si>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</si>
  <si>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</si>
  <si>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</si>
  <si>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</si>
  <si>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</si>
  <si>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</si>
  <si>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</si>
  <si>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</si>
  <si>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</si>
  <si>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</si>
  <si>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</si>
  <si>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</si>
  <si>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</si>
  <si>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</si>
  <si>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</si>
  <si>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</si>
  <si>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</si>
  <si>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</si>
  <si>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</si>
  <si>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</si>
  <si>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</si>
  <si>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</si>
  <si>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</si>
  <si>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</si>
  <si>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</si>
  <si>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</si>
  <si>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</si>
  <si>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</si>
  <si>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</si>
  <si>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</si>
  <si>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</si>
  <si>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</si>
  <si>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</si>
  <si>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</si>
  <si>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</si>
  <si>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</si>
  <si>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</si>
  <si>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</si>
  <si>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</si>
  <si>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</si>
  <si>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</si>
  <si>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</si>
  <si>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</si>
  <si>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</si>
  <si>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</si>
  <si>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</si>
  <si>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</si>
  <si>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</si>
  <si>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</si>
  <si>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</si>
  <si>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</si>
  <si>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</si>
  <si>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</si>
  <si>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</si>
  <si>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</si>
  <si>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</si>
  <si>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</si>
  <si>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</si>
  <si>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</si>
  <si>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</si>
  <si>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</si>
  <si>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</si>
  <si>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</si>
  <si>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</si>
  <si>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</si>
  <si>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</si>
  <si>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</si>
  <si>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</si>
  <si>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</si>
  <si>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</si>
  <si>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</si>
  <si>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</si>
  <si>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</si>
  <si>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</si>
  <si>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</si>
  <si>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</si>
  <si>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</si>
  <si>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</si>
  <si>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</si>
  <si>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</si>
  <si>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</si>
  <si>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</si>
  <si>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</si>
  <si>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</si>
  <si>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</si>
  <si>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</si>
  <si>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</si>
  <si>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</si>
  <si>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</si>
  <si>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</si>
  <si>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</si>
  <si>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</si>
  <si>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</si>
  <si>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</si>
  <si>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</si>
  <si>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</si>
  <si>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</si>
  <si>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</si>
  <si>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</si>
  <si>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</si>
  <si>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</si>
  <si>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</si>
  <si>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</si>
  <si>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</si>
  <si>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</si>
  <si>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</si>
  <si>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</si>
  <si>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</si>
  <si>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</si>
  <si>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</si>
  <si>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</si>
  <si>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</si>
  <si>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</si>
  <si>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</si>
  <si>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</si>
  <si>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</si>
  <si>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</si>
  <si>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</si>
  <si>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</si>
  <si>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</si>
  <si>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</si>
  <si>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</si>
  <si>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</si>
  <si>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</si>
  <si>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</si>
  <si>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</si>
  <si>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</si>
  <si>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</si>
  <si>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</si>
  <si>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</si>
  <si>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</si>
  <si>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</si>
  <si>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</si>
  <si>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</si>
  <si>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</si>
  <si>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</si>
  <si>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</si>
  <si>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</si>
  <si>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</si>
  <si>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</si>
  <si>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</si>
  <si>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</si>
  <si>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</si>
  <si>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</si>
  <si>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</si>
  <si>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</si>
  <si>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</si>
  <si>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</si>
  <si>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</si>
  <si>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</si>
  <si>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</si>
  <si>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</si>
  <si>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</si>
  <si>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</si>
  <si>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</si>
  <si>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</si>
  <si>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</si>
  <si>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</si>
  <si>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</si>
  <si>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</si>
  <si>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</si>
  <si>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</si>
  <si>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</si>
  <si>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</si>
  <si>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</si>
  <si>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</si>
  <si>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</si>
  <si>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</si>
  <si>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</si>
  <si>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</si>
  <si>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</si>
  <si>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</si>
  <si>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</si>
  <si>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</si>
  <si>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</si>
  <si>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</si>
  <si>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</si>
  <si>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</si>
  <si>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</si>
  <si>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</si>
  <si>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</si>
  <si>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</si>
  <si>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</si>
  <si>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</si>
  <si>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</si>
  <si>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</si>
  <si>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</si>
  <si>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</si>
  <si>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</si>
  <si>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</si>
  <si>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</si>
  <si>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</si>
  <si>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</si>
  <si>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</si>
  <si>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</si>
  <si>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</si>
  <si>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</si>
  <si>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</si>
  <si>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</si>
  <si>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</si>
  <si>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</si>
  <si>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</si>
  <si>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</si>
  <si>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</si>
  <si>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</si>
  <si>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</si>
  <si>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</si>
  <si>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</si>
  <si>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</si>
  <si>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</si>
  <si>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</si>
  <si>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</si>
  <si>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</si>
  <si>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</si>
  <si>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</si>
  <si>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</si>
  <si>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</si>
  <si>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</si>
  <si>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</si>
  <si>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</si>
  <si>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</si>
  <si>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</si>
  <si>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</si>
  <si>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</si>
  <si>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</si>
  <si>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</si>
  <si>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</si>
  <si>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</si>
  <si>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</si>
  <si>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</si>
  <si>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</si>
  <si>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</si>
  <si>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</si>
  <si>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</si>
  <si>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</si>
  <si>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</si>
  <si>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</si>
  <si>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</si>
  <si>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</si>
  <si>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</si>
  <si>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</si>
  <si>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</si>
  <si>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</si>
  <si>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</si>
  <si>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</si>
  <si>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</si>
  <si>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</si>
  <si>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</si>
  <si>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</si>
  <si>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</si>
  <si>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</si>
  <si>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</si>
  <si>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</si>
  <si>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</si>
  <si>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</si>
  <si>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</si>
  <si>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</si>
  <si>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</si>
  <si>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</si>
  <si>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</si>
  <si>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</si>
  <si>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</si>
  <si>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</si>
  <si>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</si>
  <si>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</si>
  <si>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</si>
  <si>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</si>
  <si>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</si>
  <si>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</si>
  <si>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</si>
  <si>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</si>
  <si>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</si>
  <si>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</si>
  <si>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</si>
  <si>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</si>
  <si>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</si>
  <si>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</si>
  <si>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</si>
  <si>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</si>
  <si>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</si>
  <si>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</si>
  <si>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</si>
  <si>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</si>
  <si>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</si>
  <si>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</si>
  <si>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</si>
  <si>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</si>
  <si>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</si>
  <si>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</si>
  <si>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</si>
  <si>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</si>
  <si>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</si>
  <si>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</si>
  <si>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</si>
  <si>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</si>
  <si>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</si>
  <si>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</si>
  <si>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</si>
  <si>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</si>
  <si>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</si>
  <si>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</si>
  <si>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</si>
  <si>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</si>
  <si>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</si>
  <si>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</si>
  <si>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</si>
  <si>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</si>
  <si>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</si>
  <si>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</si>
  <si>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</si>
  <si>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</si>
  <si>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</si>
  <si>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</si>
  <si>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</si>
  <si>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</si>
  <si>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</si>
  <si>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</si>
  <si>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</si>
  <si>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</si>
  <si>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</si>
  <si>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</si>
  <si>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</si>
  <si>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</si>
  <si>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</si>
  <si>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</si>
  <si>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</si>
  <si>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</si>
  <si>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</si>
  <si>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</si>
  <si>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</si>
  <si>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</si>
  <si>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</si>
  <si>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</si>
  <si>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</si>
  <si>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</si>
  <si>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</si>
  <si>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</si>
  <si>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</si>
  <si>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</si>
  <si>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</si>
  <si>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</si>
  <si>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</si>
  <si>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</si>
  <si>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</si>
  <si>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</si>
  <si>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</si>
  <si>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</si>
  <si>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</si>
  <si>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</si>
  <si>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</si>
  <si>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</si>
  <si>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</si>
  <si>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</si>
  <si>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</si>
  <si>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</si>
  <si>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</si>
  <si>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</si>
  <si>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</si>
  <si>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</si>
  <si>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</si>
  <si>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</si>
  <si>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</si>
  <si>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</si>
  <si>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</si>
  <si>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</si>
  <si>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</si>
  <si>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</si>
  <si>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</si>
  <si>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</si>
  <si>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</si>
  <si>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</si>
  <si>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</si>
  <si>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</si>
  <si>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</si>
  <si>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</si>
  <si>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</si>
  <si>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</si>
  <si>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</si>
  <si>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</si>
  <si>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</si>
  <si>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</si>
  <si>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</si>
  <si>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</si>
  <si>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</si>
  <si>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</si>
  <si>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</si>
  <si>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</si>
  <si>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</si>
  <si>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</si>
  <si>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</si>
  <si>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</si>
  <si>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</si>
  <si>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</si>
  <si>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</si>
  <si>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</si>
  <si>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</si>
  <si>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</si>
  <si>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</si>
  <si>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</si>
  <si>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</si>
  <si>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</si>
  <si>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</si>
  <si>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</si>
  <si>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</si>
  <si>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</si>
  <si>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</si>
  <si>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</si>
  <si>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</si>
  <si>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</si>
  <si>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</si>
  <si>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</si>
  <si>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</si>
  <si>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</si>
  <si>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</si>
  <si>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</si>
  <si>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</si>
  <si>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</si>
  <si>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</si>
  <si>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</si>
  <si>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</si>
  <si>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</si>
  <si>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</si>
  <si>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</si>
  <si>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</si>
  <si>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</si>
  <si>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</si>
  <si>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</si>
  <si>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</si>
  <si>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</si>
  <si>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</si>
  <si>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</si>
  <si>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</si>
  <si>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</si>
  <si>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</si>
  <si>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</si>
  <si>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</si>
  <si>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</si>
  <si>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</si>
  <si>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</si>
  <si>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</si>
  <si>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</si>
  <si>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</si>
  <si>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</si>
  <si>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</si>
  <si>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</si>
  <si>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</si>
  <si>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</si>
  <si>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</si>
  <si>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</si>
  <si>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</si>
  <si>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</si>
  <si>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</si>
  <si>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</si>
  <si>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</si>
  <si>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</si>
  <si>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</si>
  <si>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</si>
  <si>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</si>
  <si>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</si>
  <si>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</si>
  <si>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</si>
  <si>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</si>
  <si>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</si>
  <si>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</si>
  <si>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</si>
  <si>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</si>
  <si>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</si>
  <si>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</si>
  <si>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</si>
  <si>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</si>
  <si>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</si>
  <si>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</si>
  <si>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</si>
  <si>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</si>
  <si>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</si>
  <si>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</si>
  <si>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</si>
  <si>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</si>
  <si>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</si>
  <si>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</si>
  <si>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</si>
  <si>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</si>
  <si>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</si>
  <si>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</si>
  <si>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</si>
  <si>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</si>
  <si>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</si>
  <si>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</si>
  <si>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</si>
  <si>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</si>
  <si>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</si>
  <si>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</si>
  <si>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</si>
  <si>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</si>
  <si>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</si>
  <si>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</si>
  <si>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</si>
  <si>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</si>
  <si>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</si>
  <si>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</si>
  <si>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</si>
  <si>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</si>
  <si>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</si>
  <si>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</si>
  <si>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</si>
  <si>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</si>
  <si>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</si>
  <si>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</si>
  <si>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</si>
  <si>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</si>
  <si>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</si>
  <si>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</si>
  <si>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</si>
  <si>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</si>
  <si>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</si>
  <si>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</si>
  <si>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</si>
  <si>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</si>
  <si>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</si>
  <si>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</si>
  <si>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</si>
  <si>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</si>
  <si>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</si>
  <si>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</si>
  <si>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</si>
  <si>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</si>
  <si>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</si>
  <si>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</si>
  <si>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</si>
  <si>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</si>
  <si>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</si>
  <si>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</si>
  <si>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</si>
  <si>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</si>
  <si>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</si>
  <si>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</si>
  <si>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</si>
  <si>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</si>
  <si>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</si>
  <si>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</si>
  <si>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</si>
  <si>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</si>
  <si>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</si>
  <si>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</si>
  <si>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</si>
  <si>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</si>
  <si>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</si>
  <si>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</si>
  <si>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</si>
  <si>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</si>
  <si>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</si>
  <si>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</si>
  <si>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</si>
  <si>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</si>
  <si>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</si>
  <si>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</si>
  <si>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</si>
  <si>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</si>
  <si>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</si>
  <si>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</si>
  <si>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</si>
  <si>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</si>
  <si>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</si>
  <si>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</si>
  <si>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</si>
  <si>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</si>
  <si>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</si>
  <si>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</si>
  <si>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</si>
  <si>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</si>
  <si>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</si>
  <si>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</si>
  <si>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</si>
  <si>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</si>
  <si>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</si>
  <si>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</si>
  <si>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</si>
  <si>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</si>
  <si>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</si>
  <si>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</si>
  <si>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</si>
  <si>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</si>
  <si>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</si>
  <si>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</si>
  <si>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</si>
  <si>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</si>
  <si>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</si>
  <si>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</si>
  <si>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</si>
  <si>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</si>
  <si>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</si>
  <si>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</si>
  <si>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</si>
  <si>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</si>
  <si>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</si>
  <si>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</si>
  <si>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</si>
  <si>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</si>
  <si>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</si>
  <si>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</si>
  <si>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</si>
  <si>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</si>
  <si>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</si>
  <si>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</si>
  <si>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</si>
  <si>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</si>
  <si>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</si>
  <si>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</si>
  <si>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</si>
  <si>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</si>
  <si>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</si>
  <si>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</si>
  <si>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</si>
  <si>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</si>
  <si>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</si>
  <si>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</si>
  <si>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</si>
  <si>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</si>
  <si>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</si>
  <si>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</si>
  <si>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</si>
  <si>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</si>
  <si>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</si>
  <si>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</si>
  <si>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</si>
  <si>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</si>
  <si>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</si>
  <si>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</si>
  <si>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</si>
  <si>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</si>
  <si>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</si>
  <si>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</si>
  <si>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</si>
  <si>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</si>
  <si>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</si>
  <si>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</si>
  <si>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</si>
  <si>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</si>
  <si>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</si>
  <si>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</si>
  <si>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</si>
  <si>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</si>
  <si>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</si>
  <si>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</si>
  <si>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</si>
  <si>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</si>
  <si>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</si>
  <si>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</si>
  <si>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</si>
  <si>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</si>
  <si>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</si>
  <si>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</si>
  <si>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</si>
  <si>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</si>
  <si>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</si>
  <si>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</si>
  <si>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</si>
  <si>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</si>
  <si>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</si>
  <si>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</si>
  <si>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</si>
  <si>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</si>
  <si>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</si>
  <si>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</si>
  <si>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</si>
  <si>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</si>
  <si>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</si>
  <si>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</si>
  <si>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</si>
  <si>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</si>
  <si>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</si>
  <si>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</si>
  <si>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</si>
  <si>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</si>
  <si>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</si>
  <si>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</si>
  <si>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</si>
  <si>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</si>
  <si>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</si>
  <si>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</si>
  <si>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</si>
  <si>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</si>
  <si>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</si>
  <si>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</si>
  <si>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</si>
  <si>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</si>
  <si>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</si>
  <si>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</si>
  <si>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</si>
  <si>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</si>
  <si>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</si>
  <si>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</si>
  <si>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</si>
  <si>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</si>
  <si>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</si>
  <si>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</si>
  <si>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</si>
  <si>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</si>
  <si>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</si>
  <si>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</si>
  <si>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</si>
  <si>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</si>
  <si>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</si>
  <si>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</si>
  <si>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</si>
  <si>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</si>
  <si>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</si>
  <si>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</si>
  <si>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</si>
  <si>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</si>
  <si>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</si>
  <si>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</si>
  <si>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</si>
  <si>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</si>
  <si>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</si>
  <si>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</si>
  <si>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</si>
  <si>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</si>
  <si>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</si>
  <si>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</si>
  <si>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</si>
  <si>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</si>
  <si>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</si>
  <si>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</si>
  <si>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</si>
  <si>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</si>
  <si>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</si>
  <si>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</si>
  <si>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</si>
  <si>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</si>
  <si>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</si>
  <si>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</si>
  <si>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</si>
  <si>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</si>
  <si>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</si>
  <si>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</si>
  <si>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</si>
  <si>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</si>
  <si>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</si>
  <si>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</si>
  <si>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</si>
  <si>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</si>
  <si>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</si>
  <si>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</si>
  <si>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</si>
  <si>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</si>
  <si>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</si>
  <si>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</si>
  <si>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</si>
  <si>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</si>
  <si>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</si>
  <si>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</si>
  <si>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</si>
  <si>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</si>
  <si>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</si>
  <si>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</si>
  <si>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</si>
  <si>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</si>
  <si>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</si>
  <si>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</si>
  <si>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</si>
  <si>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</si>
  <si>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</si>
  <si>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</si>
  <si>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</si>
  <si>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</si>
  <si>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</si>
  <si>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</si>
  <si>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</si>
  <si>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</si>
  <si>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</si>
  <si>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</si>
  <si>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</si>
  <si>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</si>
  <si>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</si>
  <si>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</si>
  <si>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</si>
  <si>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</si>
  <si>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</si>
  <si>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</si>
  <si>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</si>
  <si>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</si>
  <si>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</si>
  <si>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</si>
  <si>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</si>
  <si>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</si>
  <si>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</si>
  <si>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</si>
  <si>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</si>
  <si>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</si>
  <si>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</si>
  <si>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</si>
  <si>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</si>
  <si>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</si>
  <si>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</si>
  <si>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</si>
  <si>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</si>
  <si>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</si>
  <si>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</si>
  <si>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</si>
  <si>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</si>
  <si>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</si>
  <si>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</si>
  <si>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</si>
  <si>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</si>
  <si>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</si>
  <si>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</si>
  <si>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</si>
  <si>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</si>
  <si>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</si>
  <si>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</si>
  <si>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</si>
  <si>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</si>
  <si>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</si>
  <si>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</si>
  <si>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</si>
  <si>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</si>
  <si>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</si>
  <si>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</si>
  <si>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</si>
  <si>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</si>
  <si>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</si>
  <si>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</si>
  <si>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</si>
  <si>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</si>
  <si>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</si>
  <si>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</si>
  <si>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</si>
  <si>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</si>
  <si>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</si>
  <si>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</si>
  <si>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</si>
  <si>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</si>
  <si>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</si>
  <si>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</si>
  <si>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</si>
  <si>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</si>
  <si>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</si>
  <si>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</si>
  <si>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</si>
  <si>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</si>
  <si>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</si>
  <si>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</si>
  <si>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</si>
  <si>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</si>
  <si>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</si>
  <si>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</si>
  <si>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</si>
  <si>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</si>
  <si>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</si>
  <si>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</si>
  <si>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</si>
  <si>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</si>
  <si>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</si>
  <si>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</si>
  <si>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</si>
  <si>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</si>
  <si>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</si>
  <si>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</si>
  <si>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</si>
  <si>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</si>
  <si>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</si>
  <si>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</si>
  <si>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</si>
  <si>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</si>
  <si>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</si>
  <si>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</si>
  <si>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</si>
  <si>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</si>
  <si>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</si>
  <si>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</si>
  <si>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</si>
  <si>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</si>
  <si>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</si>
  <si>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</si>
  <si>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</si>
  <si>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</si>
  <si>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</si>
  <si>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</si>
  <si>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</si>
  <si>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</si>
  <si>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</si>
  <si>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</si>
  <si>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</si>
  <si>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</si>
  <si>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</si>
  <si>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</si>
  <si>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</si>
  <si>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</si>
  <si>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</si>
  <si>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</si>
  <si>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</si>
  <si>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</si>
  <si>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</si>
  <si>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</si>
  <si>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</si>
  <si>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</si>
  <si>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</si>
  <si>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</si>
  <si>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</si>
  <si>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</si>
  <si>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</si>
  <si>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</si>
  <si>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</si>
  <si>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</si>
  <si>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</si>
  <si>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</si>
  <si>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</si>
  <si>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</si>
  <si>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</si>
  <si>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</si>
  <si>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</si>
  <si>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</si>
  <si>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</si>
  <si>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</si>
  <si>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</si>
  <si>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</si>
  <si>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</si>
  <si>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</si>
  <si>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</si>
  <si>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</si>
  <si>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</si>
  <si>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</si>
  <si>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</si>
  <si>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</si>
  <si>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</si>
  <si>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</si>
  <si>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</si>
  <si>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</si>
  <si>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</si>
  <si>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</si>
  <si>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</si>
  <si>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</si>
  <si>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</si>
  <si>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</si>
  <si>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</si>
  <si>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</si>
  <si>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</si>
  <si>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</si>
  <si>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</si>
  <si>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</si>
  <si>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</si>
  <si>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</si>
  <si>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</si>
  <si>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</si>
  <si>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</si>
  <si>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</si>
  <si>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</si>
  <si>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</si>
  <si>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</si>
  <si>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</si>
  <si>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</si>
  <si>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</si>
  <si>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</si>
  <si>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</si>
  <si>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</si>
  <si>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</si>
  <si>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</si>
  <si>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</si>
  <si>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</si>
  <si>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</si>
  <si>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</si>
  <si>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</si>
  <si>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</si>
  <si>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</si>
  <si>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</si>
  <si>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</si>
  <si>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</si>
  <si>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</si>
  <si>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</si>
  <si>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</si>
  <si>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</si>
  <si>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</si>
  <si>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</si>
  <si>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</si>
  <si>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</si>
  <si>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</si>
  <si>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</si>
  <si>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</si>
  <si>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</si>
  <si>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</si>
  <si>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</si>
  <si>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</si>
  <si>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</si>
  <si>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</si>
  <si>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</si>
  <si>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</si>
  <si>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</si>
  <si>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</si>
  <si>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</si>
  <si>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</si>
  <si>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</si>
  <si>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</si>
  <si>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</si>
  <si>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</si>
  <si>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</si>
  <si>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</si>
  <si>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</si>
  <si>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</si>
  <si>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</si>
  <si>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</si>
  <si>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</si>
  <si>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</si>
  <si>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</si>
  <si>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</si>
  <si>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</si>
  <si>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</si>
  <si>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</si>
  <si>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</si>
  <si>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</si>
  <si>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</si>
  <si>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</si>
  <si>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</si>
  <si>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</si>
  <si>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</si>
  <si>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</si>
  <si>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</si>
  <si>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</si>
  <si>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</si>
  <si>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</si>
  <si>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</si>
  <si>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</si>
  <si>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</si>
  <si>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</si>
  <si>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</si>
  <si>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</si>
  <si>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</si>
  <si>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</si>
  <si>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</si>
  <si>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</si>
  <si>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</si>
  <si>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</si>
  <si>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</si>
  <si>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</si>
  <si>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</si>
  <si>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</si>
  <si>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</si>
  <si>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</si>
  <si>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</si>
  <si>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</si>
  <si>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</si>
  <si>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</si>
  <si>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</si>
  <si>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</si>
  <si>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</si>
  <si>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</si>
  <si>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</si>
  <si>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</si>
  <si>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</si>
  <si>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</si>
  <si>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</si>
  <si>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</si>
  <si>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</si>
  <si>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</si>
  <si>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</si>
  <si>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</si>
  <si>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</si>
  <si>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</si>
  <si>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</si>
  <si>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</si>
  <si>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</si>
  <si>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</si>
  <si>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</si>
  <si>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</si>
  <si>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</si>
  <si>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</si>
  <si>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</si>
  <si>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</si>
  <si>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</si>
  <si>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</si>
  <si>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</si>
  <si>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</si>
  <si>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</si>
  <si>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</si>
  <si>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</si>
  <si>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</si>
  <si>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</si>
  <si>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</si>
  <si>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</si>
  <si>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</si>
  <si>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</si>
  <si>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</si>
  <si>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</si>
  <si>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</si>
  <si>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</si>
  <si>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</si>
  <si>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</si>
  <si>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</si>
  <si>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</si>
  <si>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</si>
  <si>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</si>
  <si>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</si>
  <si>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</si>
  <si>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</si>
  <si>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</si>
  <si>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</si>
  <si>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</si>
  <si>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</si>
  <si>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</si>
  <si>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</si>
  <si>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</si>
  <si>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</si>
  <si>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</si>
  <si>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</si>
  <si>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</si>
  <si>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</si>
  <si>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</si>
  <si>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</si>
  <si>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</si>
  <si>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</si>
  <si>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</si>
  <si>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</si>
  <si>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</si>
  <si>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</si>
  <si>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</si>
  <si>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</si>
  <si>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</si>
  <si>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</si>
  <si>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</si>
  <si>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</si>
  <si>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</si>
  <si>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</si>
  <si>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</si>
  <si>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</si>
  <si>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</si>
  <si>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</si>
  <si>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</si>
  <si>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</si>
  <si>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</si>
  <si>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</si>
  <si>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</si>
  <si>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</si>
  <si>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</si>
  <si>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</si>
  <si>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</si>
  <si>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</si>
  <si>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</si>
  <si>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</si>
  <si>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</si>
  <si>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</si>
  <si>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</si>
  <si>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</si>
  <si>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</si>
  <si>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</si>
  <si>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</si>
  <si>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</si>
  <si>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</si>
  <si>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</si>
  <si>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</si>
  <si>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</si>
  <si>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</si>
  <si>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</si>
  <si>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</si>
  <si>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</si>
  <si>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</si>
  <si>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</si>
  <si>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</si>
  <si>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</si>
  <si>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</si>
  <si>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</si>
  <si>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</si>
  <si>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</si>
  <si>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</si>
  <si>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</si>
  <si>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</si>
  <si>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</si>
  <si>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</si>
  <si>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</si>
  <si>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</si>
  <si>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</si>
  <si>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</si>
  <si>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</si>
  <si>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</si>
  <si>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</si>
  <si>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</si>
  <si>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</si>
  <si>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</si>
  <si>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</si>
  <si>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</si>
  <si>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</si>
  <si>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</si>
  <si>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</si>
  <si>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</si>
  <si>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</si>
  <si>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</si>
  <si>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</si>
  <si>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</si>
  <si>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</si>
  <si>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</si>
  <si>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</si>
  <si>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</si>
  <si>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</si>
  <si>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</si>
  <si>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</si>
  <si>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</si>
  <si>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</si>
  <si>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</si>
  <si>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</si>
  <si>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</si>
  <si>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</si>
  <si>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</si>
  <si>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</si>
  <si>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</si>
  <si>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</si>
  <si>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</si>
  <si>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</si>
  <si>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</si>
  <si>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</si>
  <si>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</si>
  <si>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</si>
  <si>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</si>
  <si>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</si>
  <si>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</si>
  <si>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</si>
  <si>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</si>
  <si>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</si>
  <si>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</si>
  <si>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</si>
  <si>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</si>
  <si>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</si>
  <si>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</si>
  <si>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</si>
  <si>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</si>
  <si>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</si>
  <si>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</si>
  <si>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</si>
  <si>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</si>
  <si>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</si>
  <si>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</si>
  <si>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</si>
  <si>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</si>
  <si>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</si>
  <si>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</si>
  <si>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</si>
  <si>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</si>
  <si>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</si>
  <si>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</si>
  <si>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</si>
  <si>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</si>
  <si>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</si>
  <si>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</si>
  <si>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</si>
  <si>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</si>
  <si>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</si>
  <si>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</si>
  <si>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</si>
  <si>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</si>
  <si>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</si>
  <si>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</si>
  <si>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</si>
  <si>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</si>
  <si>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</si>
  <si>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</si>
  <si>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</si>
  <si>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</si>
  <si>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</si>
  <si>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</si>
  <si>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</si>
  <si>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</si>
  <si>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</si>
  <si>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</si>
  <si>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</si>
  <si>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</si>
  <si>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</si>
  <si>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</si>
  <si>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</si>
  <si>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</si>
  <si>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</si>
  <si>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</si>
  <si>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</si>
  <si>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</si>
  <si>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</si>
  <si>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</si>
  <si>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</si>
  <si>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</si>
  <si>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</si>
  <si>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</si>
  <si>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</si>
  <si>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</si>
  <si>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</si>
  <si>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</si>
  <si>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</si>
  <si>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</si>
  <si>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</si>
  <si>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</si>
  <si>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</si>
  <si>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</si>
  <si>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</si>
  <si>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</si>
  <si>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</si>
  <si>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</si>
  <si>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</si>
  <si>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</si>
  <si>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</si>
  <si>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</si>
  <si>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</si>
  <si>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</si>
  <si>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</si>
  <si>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</si>
  <si>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</si>
  <si>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</si>
  <si>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</si>
  <si>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</si>
  <si>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</si>
  <si>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</si>
  <si>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</si>
  <si>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</si>
  <si>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</si>
  <si>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</si>
  <si>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</si>
  <si>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</si>
  <si>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</si>
  <si>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</si>
  <si>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</si>
  <si>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</si>
  <si>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</si>
  <si>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</si>
  <si>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</si>
  <si>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</si>
  <si>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</si>
  <si>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</si>
  <si>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</si>
  <si>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</si>
  <si>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</si>
  <si>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</si>
  <si>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</si>
  <si>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</si>
  <si>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</si>
  <si>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</si>
  <si>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</si>
  <si>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</si>
  <si>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</si>
  <si>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</si>
  <si>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</si>
  <si>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</si>
  <si>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</si>
  <si>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</si>
  <si>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</si>
  <si>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</si>
  <si>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</si>
  <si>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</si>
  <si>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</si>
  <si>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</si>
  <si>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</si>
  <si>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</si>
  <si>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</si>
  <si>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</si>
  <si>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</si>
  <si>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</si>
  <si>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</si>
  <si>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</si>
  <si>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</si>
  <si>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</si>
  <si>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</si>
  <si>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</si>
  <si>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</si>
  <si>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</si>
  <si>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</si>
  <si>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</si>
  <si>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</si>
  <si>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</si>
  <si>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</si>
  <si>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</si>
  <si>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</si>
  <si>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</si>
  <si>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</si>
  <si>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</si>
  <si>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</si>
  <si>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</si>
  <si>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</si>
  <si>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</si>
  <si>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</si>
  <si>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</si>
  <si>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</si>
  <si>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</si>
  <si>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</si>
  <si>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</si>
  <si>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</si>
  <si>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</si>
  <si>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</si>
  <si>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</si>
  <si>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</si>
  <si>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</si>
  <si>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</si>
  <si>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</si>
  <si>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</si>
  <si>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</si>
  <si>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</si>
  <si>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</si>
  <si>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</si>
  <si>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</si>
  <si>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</si>
  <si>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</si>
  <si>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</si>
  <si>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</si>
  <si>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</si>
  <si>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</si>
  <si>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</si>
  <si>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</si>
  <si>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</si>
  <si>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</si>
  <si>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</si>
  <si>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</si>
  <si>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</si>
  <si>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</si>
  <si>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</si>
  <si>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</si>
  <si>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</si>
  <si>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</si>
  <si>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</si>
  <si>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</si>
  <si>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</si>
  <si>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</si>
  <si>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</si>
  <si>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</si>
  <si>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</si>
  <si>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</si>
  <si>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</si>
  <si>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</si>
  <si>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</si>
  <si>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</si>
  <si>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</si>
  <si>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</si>
  <si>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</si>
  <si>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</si>
  <si>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</si>
  <si>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</si>
  <si>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</si>
  <si>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</si>
  <si>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</si>
  <si>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</si>
  <si>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</si>
  <si>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</si>
  <si>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</si>
  <si>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</si>
  <si>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</si>
  <si>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</si>
  <si>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</si>
  <si>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</si>
  <si>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</si>
  <si>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</si>
  <si>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</si>
  <si>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</si>
  <si>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</si>
  <si>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</si>
  <si>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</si>
  <si>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</si>
  <si>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</si>
  <si>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</si>
  <si>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</si>
  <si>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</si>
  <si>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</si>
  <si>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</si>
  <si>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</si>
  <si>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</si>
  <si>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</si>
  <si>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</si>
  <si>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</si>
  <si>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</si>
  <si>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</si>
  <si>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</si>
  <si>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</si>
  <si>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</si>
  <si>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</si>
  <si>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</si>
  <si>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</si>
  <si>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</si>
  <si>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</si>
  <si>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</si>
  <si>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</si>
  <si>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</si>
  <si>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</si>
  <si>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</si>
  <si>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</si>
  <si>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</si>
  <si>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</si>
  <si>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</si>
  <si>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</si>
  <si>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</si>
  <si>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</si>
  <si>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</si>
  <si>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</si>
  <si>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</si>
  <si>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</si>
  <si>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</si>
  <si>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</si>
  <si>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</si>
  <si>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</si>
  <si>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</si>
  <si>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</si>
  <si>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</si>
  <si>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</si>
  <si>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</si>
  <si>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</si>
  <si>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</si>
  <si>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</si>
  <si>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</si>
  <si>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</si>
  <si>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</si>
  <si>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</si>
  <si>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</si>
  <si>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</si>
  <si>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</si>
  <si>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</si>
  <si>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</si>
  <si>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</si>
  <si>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</si>
  <si>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</si>
  <si>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</si>
  <si>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</si>
  <si>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</si>
  <si>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</si>
  <si>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</si>
  <si>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</si>
  <si>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</si>
  <si>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</si>
  <si>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</si>
  <si>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</si>
  <si>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</si>
  <si>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</si>
  <si>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</si>
  <si>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</si>
  <si>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</si>
  <si>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</si>
  <si>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</si>
  <si>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</si>
  <si>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</si>
  <si>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</si>
  <si>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</si>
  <si>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</si>
  <si>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</si>
  <si>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</si>
  <si>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</si>
  <si>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</si>
  <si>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</si>
  <si>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</si>
  <si>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</si>
  <si>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</si>
  <si>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</si>
  <si>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</si>
  <si>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</si>
  <si>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</si>
  <si>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</si>
  <si>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</si>
  <si>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</si>
  <si>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</si>
  <si>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</si>
  <si>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</si>
  <si>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</si>
  <si>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</si>
  <si>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</si>
  <si>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</si>
  <si>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</si>
  <si>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</si>
  <si>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</si>
  <si>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</si>
  <si>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</si>
  <si>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</si>
  <si>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</si>
  <si>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</si>
  <si>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</si>
  <si>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</si>
  <si>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</si>
  <si>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</si>
  <si>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</si>
  <si>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</si>
  <si>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</si>
  <si>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</si>
  <si>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</si>
  <si>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</si>
  <si>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</si>
  <si>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</si>
  <si>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</si>
  <si>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</si>
  <si>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</si>
  <si>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</si>
  <si>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</si>
  <si>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</si>
  <si>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</si>
  <si>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</si>
  <si>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</si>
  <si>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</si>
  <si>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</si>
  <si>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</si>
  <si>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</si>
  <si>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</si>
  <si>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</si>
  <si>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</si>
  <si>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</si>
  <si>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</si>
  <si>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</si>
  <si>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</si>
  <si>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</si>
  <si>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</si>
  <si>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</si>
  <si>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</si>
  <si>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</si>
  <si>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</si>
  <si>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</si>
  <si>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</si>
  <si>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</si>
  <si>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</si>
  <si>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</si>
  <si>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</si>
  <si>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</si>
  <si>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</si>
  <si>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</si>
  <si>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</si>
  <si>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</si>
  <si>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</si>
  <si>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</si>
  <si>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</si>
  <si>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</si>
  <si>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</si>
  <si>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</si>
  <si>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</si>
  <si>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</si>
  <si>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</si>
  <si>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</si>
  <si>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</si>
  <si>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</si>
  <si>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</si>
  <si>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</si>
  <si>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</si>
  <si>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</si>
  <si>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</si>
  <si>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</si>
  <si>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</si>
  <si>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</si>
  <si>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</si>
  <si>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</si>
  <si>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</si>
  <si>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</si>
  <si>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</si>
  <si>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</si>
  <si>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</si>
  <si>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</si>
  <si>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</si>
  <si>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</si>
  <si>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</si>
  <si>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</si>
  <si>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</si>
  <si>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</si>
  <si>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</si>
  <si>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</si>
  <si>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</si>
  <si>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</si>
  <si>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</si>
  <si>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</si>
  <si>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</si>
  <si>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</si>
  <si>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</si>
  <si>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</si>
  <si>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</si>
  <si>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</si>
  <si>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</si>
  <si>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</si>
  <si>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</si>
  <si>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</si>
  <si>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</si>
  <si>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</si>
  <si>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</si>
  <si>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</si>
  <si>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</si>
  <si>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</si>
  <si>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</si>
  <si>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</si>
  <si>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</si>
  <si>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</si>
  <si>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</si>
  <si>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</si>
  <si>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</si>
  <si>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</si>
  <si>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</si>
  <si>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</si>
  <si>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</si>
  <si>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</si>
  <si>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</si>
  <si>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</si>
  <si>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</si>
  <si>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</si>
  <si>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</si>
  <si>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</si>
  <si>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</si>
  <si>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</si>
  <si>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</si>
  <si>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</si>
  <si>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</si>
  <si>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</si>
  <si>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</si>
  <si>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</si>
  <si>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</si>
  <si>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</si>
  <si>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</si>
  <si>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</si>
  <si>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</si>
  <si>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</si>
  <si>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</si>
  <si>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</si>
  <si>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</si>
  <si>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</si>
  <si>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</si>
  <si>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</si>
  <si>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</si>
  <si>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</si>
  <si>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</si>
  <si>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</si>
  <si>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</si>
  <si>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</si>
  <si>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</si>
  <si>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</si>
  <si>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</si>
  <si>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</si>
  <si>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</si>
  <si>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</si>
  <si>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</si>
  <si>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</si>
  <si>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</si>
  <si>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</si>
  <si>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</si>
  <si>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</si>
  <si>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</si>
  <si>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</si>
  <si>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</si>
  <si>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</si>
  <si>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</si>
  <si>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</si>
  <si>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</si>
  <si>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</si>
  <si>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</si>
  <si>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</si>
  <si>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</si>
  <si>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</si>
  <si>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</si>
  <si>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</si>
  <si>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</si>
  <si>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</si>
  <si>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</si>
  <si>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</si>
  <si>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</si>
  <si>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</si>
  <si>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</si>
  <si>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</si>
  <si>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</si>
  <si>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</si>
  <si>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</si>
  <si>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</si>
  <si>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</si>
  <si>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</si>
  <si>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</si>
  <si>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</si>
  <si>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</si>
  <si>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</si>
  <si>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</si>
  <si>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</si>
  <si>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</si>
  <si>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</si>
  <si>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</si>
  <si>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</si>
  <si>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</si>
  <si>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</si>
  <si>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</si>
  <si>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</si>
  <si>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</si>
  <si>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</si>
  <si>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</si>
  <si>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</si>
  <si>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</si>
  <si>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</si>
  <si>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</si>
  <si>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</si>
  <si>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</si>
  <si>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</si>
  <si>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</si>
  <si>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</si>
  <si>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</si>
  <si>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</si>
  <si>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</si>
  <si>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</si>
  <si>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</si>
  <si>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</si>
  <si>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</si>
  <si>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</si>
  <si>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 Die Kontrollreichweite ist {M}*20m.</t>
  </si>
  <si>
    <t>spruchmagie_verzauberung_6_last_des_alters</t>
  </si>
  <si>
    <t>spruchmagie_verzauberung_6_dummheit</t>
  </si>
  <si>
    <t>spruchmagie_verzauberung_6_eisenhaut</t>
  </si>
  <si>
    <t>spruchmagie_verzauberung_7_verjuengung</t>
  </si>
  <si>
    <t>spruchmagie_verzauberung_7_grosser_golem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</si>
  <si>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 Die Kontrollreichweite ist {M}*20m.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</si>
  <si>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</si>
  <si>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</si>
  <si>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</si>
  <si>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</si>
  <si>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</si>
  <si>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</si>
  <si>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</si>
  <si>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</si>
  <si>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</si>
  <si>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</si>
  <si>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</si>
  <si>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</si>
  <si>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</si>
  <si>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</si>
  <si>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</si>
  <si>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</si>
  <si>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</si>
  <si>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</si>
  <si>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</si>
  <si>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</si>
  <si>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</si>
  <si>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</si>
  <si>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</si>
  <si>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</si>
  <si>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</si>
  <si>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</si>
  <si>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</si>
  <si>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</si>
  <si>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</si>
  <si>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</si>
  <si>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</si>
  <si>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</si>
  <si>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</si>
  <si>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</si>
  <si>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</si>
  <si>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</si>
  <si>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</si>
  <si>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</si>
  <si>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</si>
  <si>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</si>
  <si>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</si>
  <si>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</si>
  <si>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</si>
  <si>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</si>
  <si>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</si>
  <si>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</si>
  <si>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</si>
  <si>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</si>
  <si>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</si>
  <si>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</si>
  <si>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</si>
  <si>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</si>
  <si>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</si>
  <si>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</si>
  <si>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</si>
  <si>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</si>
  <si>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</si>
  <si>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</si>
  <si>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</si>
  <si>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</si>
  <si>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</si>
  <si>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</si>
  <si>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</si>
  <si>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</si>
  <si>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</si>
  <si>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</si>
  <si>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</si>
  <si>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</si>
  <si>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</si>
  <si>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</si>
  <si>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</si>
  <si>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</si>
  <si>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</si>
  <si>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</si>
  <si>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</si>
  <si>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</si>
  <si>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</si>
  <si>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</si>
  <si>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</si>
  <si>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</si>
  <si>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</si>
  <si>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</si>
  <si>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</si>
  <si>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</si>
  <si>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</si>
  <si>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</si>
  <si>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</si>
  <si>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</si>
  <si>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</si>
  <si>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</si>
  <si>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</si>
  <si>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</si>
  <si>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</si>
  <si>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</si>
  <si>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</si>
  <si>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</si>
  <si>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</si>
  <si>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</si>
  <si>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</si>
  <si>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</si>
  <si>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</si>
  <si>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</si>
  <si>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</si>
  <si>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</si>
  <si>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</si>
  <si>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</si>
  <si>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</si>
  <si>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</si>
  <si>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</si>
  <si>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</si>
  <si>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</si>
  <si>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</si>
  <si>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</si>
  <si>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</si>
  <si>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</si>
  <si>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</si>
  <si>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</si>
  <si>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</si>
  <si>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</si>
  <si>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</si>
  <si>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</si>
  <si>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</si>
  <si>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</si>
  <si>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</si>
  <si>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</si>
  <si>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</si>
  <si>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</si>
  <si>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</si>
  <si>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</si>
  <si>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</si>
  <si>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</si>
  <si>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</si>
  <si>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</si>
  <si>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</si>
  <si>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</si>
  <si>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</si>
  <si>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</si>
  <si>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</si>
  <si>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</si>
  <si>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</si>
  <si>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</si>
  <si>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</si>
  <si>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</si>
  <si>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</si>
  <si>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</si>
  <si>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</si>
  <si>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</si>
  <si>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</si>
  <si>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</si>
  <si>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</si>
  <si>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</si>
  <si>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</si>
  <si>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</si>
  <si>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</si>
  <si>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</si>
  <si>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</si>
  <si>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</si>
  <si>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</si>
  <si>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</si>
  <si>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</si>
  <si>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</si>
  <si>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</si>
  <si>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</si>
  <si>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</si>
  <si>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</si>
  <si>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</si>
  <si>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</si>
  <si>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</si>
  <si>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</si>
  <si>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</si>
  <si>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</si>
  <si>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</si>
  <si>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</si>
  <si>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</si>
  <si>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</si>
  <si>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</si>
  <si>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</si>
  <si>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</si>
  <si>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</si>
  <si>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</si>
  <si>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</si>
  <si>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</si>
  <si>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</si>
  <si>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</si>
  <si>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</si>
  <si>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</si>
  <si>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</si>
  <si>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</si>
  <si>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</si>
  <si>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</si>
  <si>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</si>
  <si>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</si>
  <si>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</si>
  <si>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</si>
  <si>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</si>
  <si>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</si>
  <si>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</si>
  <si>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</si>
  <si>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</si>
  <si>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</si>
  <si>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</si>
  <si>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</si>
  <si>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</si>
  <si>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</si>
  <si>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</si>
  <si>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</si>
  <si>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</si>
  <si>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</si>
  <si>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</si>
  <si>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</si>
  <si>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</si>
  <si>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</si>
  <si>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</si>
  <si>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</si>
  <si>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</si>
  <si>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</si>
  <si>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</si>
  <si>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</si>
  <si>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</si>
  <si>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</si>
  <si>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</si>
  <si>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</si>
  <si>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</si>
  <si>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</si>
  <si>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</si>
  <si>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</si>
  <si>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</si>
  <si>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</si>
  <si>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</si>
  <si>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</si>
  <si>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</si>
  <si>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</si>
  <si>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</si>
  <si>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</si>
  <si>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</si>
  <si>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</si>
  <si>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</si>
  <si>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</si>
  <si>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</si>
  <si>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</si>
  <si>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</si>
  <si>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</si>
  <si>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</si>
  <si>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</si>
  <si>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</si>
  <si>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</si>
  <si>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</si>
  <si>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</si>
  <si>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</si>
  <si>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</si>
  <si>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</si>
  <si>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</si>
  <si>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</si>
  <si>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</si>
  <si>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</si>
  <si>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</si>
  <si>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</si>
  <si>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</si>
  <si>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</si>
  <si>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</si>
  <si>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</si>
  <si>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</si>
  <si>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</si>
  <si>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</si>
  <si>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</si>
  <si>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</si>
  <si>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</si>
  <si>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</si>
  <si>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</si>
  <si>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</si>
  <si>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</si>
  <si>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</si>
  <si>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</si>
  <si>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</si>
  <si>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</si>
  <si>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</si>
  <si>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</si>
  <si>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</si>
  <si>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</si>
  <si>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</si>
  <si>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</si>
  <si>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</si>
  <si>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</si>
  <si>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</si>
  <si>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</si>
  <si>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</si>
  <si>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</si>
  <si>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</si>
  <si>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</si>
  <si>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</si>
  <si>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</si>
  <si>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</si>
  <si>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</si>
  <si>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</si>
  <si>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</si>
  <si>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</si>
  <si>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</si>
  <si>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</si>
  <si>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</si>
  <si>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</si>
  <si>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</si>
  <si>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</si>
  <si>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</si>
  <si>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</si>
  <si>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</si>
  <si>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</si>
  <si>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</si>
  <si>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</si>
  <si>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</si>
  <si>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</si>
  <si>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</si>
  <si>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</si>
  <si>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</si>
  <si>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</si>
  <si>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</si>
  <si>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</si>
  <si>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</si>
  <si>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</si>
  <si>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</si>
  <si>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</si>
  <si>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</si>
  <si>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</si>
  <si>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</si>
  <si>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</si>
  <si>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</si>
  <si>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</si>
  <si>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</si>
  <si>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</si>
  <si>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</si>
  <si>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</si>
  <si>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</si>
  <si>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</si>
  <si>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</si>
  <si>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</si>
  <si>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</si>
  <si>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</si>
  <si>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</si>
  <si>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</si>
  <si>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</si>
  <si>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</si>
  <si>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</si>
  <si>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</si>
  <si>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</si>
  <si>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</si>
  <si>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</si>
  <si>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</si>
  <si>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</si>
  <si>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</si>
  <si>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</si>
  <si>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</si>
  <si>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</si>
  <si>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</si>
  <si>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</si>
  <si>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</si>
  <si>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</si>
  <si>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</si>
  <si>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</si>
  <si>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</si>
  <si>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</si>
  <si>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</si>
  <si>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</si>
  <si>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</si>
  <si>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</si>
  <si>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</si>
  <si>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</si>
  <si>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</si>
  <si>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</si>
  <si>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</si>
  <si>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</si>
  <si>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</si>
  <si>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</si>
  <si>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</si>
  <si>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</si>
  <si>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</si>
  <si>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</si>
  <si>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</si>
  <si>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</si>
  <si>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</si>
  <si>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</si>
  <si>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</si>
  <si>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</si>
  <si>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</si>
  <si>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</si>
  <si>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</si>
  <si>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</si>
  <si>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</si>
  <si>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</si>
  <si>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</si>
  <si>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</si>
  <si>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</si>
  <si>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</si>
  <si>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</si>
  <si>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</si>
  <si>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</si>
  <si>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</si>
  <si>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</si>
  <si>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</si>
  <si>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</si>
  <si>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</si>
  <si>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</si>
  <si>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</si>
  <si>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</si>
  <si>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</si>
  <si>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</si>
  <si>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</si>
  <si>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</si>
  <si>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</si>
  <si>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</si>
  <si>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</si>
  <si>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</si>
  <si>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</si>
  <si>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</si>
  <si>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</si>
  <si>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</si>
  <si>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</si>
  <si>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</si>
  <si>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</si>
  <si>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</si>
  <si>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</si>
  <si>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</si>
  <si>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</si>
  <si>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</si>
  <si>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</si>
  <si>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</si>
  <si>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</si>
  <si>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</si>
  <si>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</si>
  <si>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</si>
  <si>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</si>
  <si>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</si>
  <si>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</si>
  <si>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</si>
  <si>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</si>
  <si>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</si>
  <si>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</si>
  <si>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</si>
  <si>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</si>
  <si>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</si>
  <si>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</si>
  <si>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</si>
  <si>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</si>
  <si>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</si>
  <si>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</si>
  <si>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</si>
  <si>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</si>
  <si>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</si>
  <si>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</si>
  <si>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</si>
  <si>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</si>
  <si>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</si>
  <si>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</si>
  <si>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</si>
  <si>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</si>
  <si>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</si>
  <si>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</si>
  <si>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</si>
  <si>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</si>
  <si>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</si>
  <si>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</si>
  <si>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</si>
  <si>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</si>
  <si>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</si>
  <si>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</si>
  <si>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</si>
  <si>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</si>
  <si>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</si>
  <si>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</si>
  <si>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</si>
  <si>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</si>
  <si>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</si>
  <si>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</si>
  <si>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</si>
  <si>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</si>
  <si>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</si>
  <si>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</si>
  <si>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</si>
  <si>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</si>
  <si>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</si>
  <si>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</si>
  <si>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</si>
  <si>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</si>
  <si>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</si>
  <si>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</si>
  <si>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</si>
  <si>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</si>
  <si>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</si>
  <si>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</si>
  <si>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</si>
  <si>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</si>
  <si>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</si>
  <si>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</si>
  <si>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</si>
  <si>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</si>
  <si>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</si>
  <si>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</si>
  <si>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</si>
  <si>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</si>
  <si>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</si>
  <si>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</si>
  <si>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</si>
  <si>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</si>
  <si>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</si>
  <si>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</si>
  <si>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</si>
  <si>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</si>
  <si>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</si>
  <si>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</si>
  <si>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</si>
  <si>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</si>
  <si>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</si>
  <si>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</si>
  <si>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</si>
  <si>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</si>
  <si>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</si>
  <si>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</si>
  <si>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</si>
  <si>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</si>
  <si>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</si>
  <si>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</si>
  <si>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</si>
  <si>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</si>
  <si>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</si>
  <si>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</si>
  <si>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</si>
  <si>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</si>
  <si>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</si>
  <si>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</si>
  <si>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</si>
  <si>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</si>
  <si>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</si>
  <si>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</si>
  <si>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</si>
  <si>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</si>
  <si>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</si>
  <si>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</si>
  <si>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</si>
  <si>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</si>
  <si>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</si>
  <si>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</si>
  <si>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</si>
  <si>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</si>
  <si>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</si>
  <si>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</si>
  <si>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</si>
  <si>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</si>
  <si>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</si>
  <si>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</si>
  <si>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</si>
  <si>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</si>
  <si>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</si>
  <si>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</si>
  <si>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</si>
  <si>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</si>
  <si>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</si>
  <si>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</si>
  <si>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</si>
  <si>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</si>
  <si>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</si>
  <si>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</si>
  <si>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</si>
  <si>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</si>
  <si>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</si>
  <si>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</si>
  <si>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</si>
  <si>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</si>
  <si>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</si>
  <si>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</si>
  <si>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</si>
  <si>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</si>
  <si>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</si>
  <si>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</si>
  <si>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</si>
  <si>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</si>
  <si>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</si>
  <si>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</si>
  <si>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</si>
  <si>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</si>
  <si>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</si>
  <si>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</si>
  <si>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</si>
  <si>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</si>
  <si>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</si>
  <si>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</si>
  <si>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</si>
  <si>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</si>
  <si>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</si>
  <si>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</si>
  <si>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</si>
  <si>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</si>
  <si>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</si>
  <si>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</si>
  <si>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</si>
  <si>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</si>
  <si>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</si>
  <si>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</si>
  <si>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</si>
  <si>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</si>
  <si>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</si>
  <si>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</si>
  <si>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</si>
  <si>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</si>
  <si>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</si>
  <si>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</si>
  <si>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</si>
  <si>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</si>
  <si>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</si>
  <si>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</si>
  <si>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</si>
  <si>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</si>
  <si>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</si>
  <si>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</si>
  <si>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</si>
  <si>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</si>
  <si>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</si>
  <si>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</si>
  <si>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</si>
  <si>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</si>
  <si>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</si>
  <si>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</si>
  <si>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</si>
  <si>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</si>
  <si>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</si>
  <si>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</si>
  <si>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</si>
  <si>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</si>
  <si>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</si>
  <si>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</si>
  <si>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</si>
  <si>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</si>
  <si>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</si>
  <si>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</si>
  <si>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</si>
  <si>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</si>
  <si>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</si>
  <si>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</si>
  <si>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</si>
  <si>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</si>
  <si>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</si>
  <si>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</si>
  <si>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</si>
  <si>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</si>
  <si>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</si>
  <si>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</si>
  <si>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</si>
  <si>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</si>
  <si>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</si>
  <si>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</si>
  <si>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</si>
  <si>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</si>
  <si>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</si>
  <si>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</si>
  <si>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</si>
  <si>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</si>
  <si>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</si>
  <si>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</si>
  <si>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</si>
  <si>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</si>
  <si>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</si>
  <si>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</si>
  <si>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</si>
  <si>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</si>
  <si>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</si>
  <si>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</si>
  <si>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</si>
  <si>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</si>
  <si>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</si>
  <si>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</si>
  <si>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</si>
  <si>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</si>
  <si>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</si>
  <si>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</si>
  <si>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</si>
  <si>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</si>
  <si>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</si>
  <si>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</si>
  <si>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</si>
  <si>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</si>
  <si>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</si>
  <si>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</si>
  <si>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</si>
  <si>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</si>
  <si>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</si>
  <si>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</si>
  <si>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</si>
  <si>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</si>
  <si>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</si>
  <si>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</si>
  <si>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</si>
  <si>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</si>
  <si>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</si>
  <si>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</si>
  <si>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</si>
  <si>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</si>
  <si>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</si>
  <si>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</si>
  <si>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</si>
  <si>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</si>
  <si>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</si>
  <si>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</si>
  <si>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</si>
  <si>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</si>
  <si>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</si>
  <si>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</si>
  <si>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</si>
  <si>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</si>
  <si>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</si>
  <si>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</si>
  <si>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</si>
  <si>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</si>
  <si>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</si>
  <si>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</si>
  <si>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</si>
  <si>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</si>
  <si>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</si>
  <si>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</si>
  <si>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</si>
  <si>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</si>
  <si>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</si>
  <si>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</si>
  <si>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</si>
  <si>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</si>
  <si>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</si>
  <si>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</si>
  <si>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</si>
  <si>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</si>
  <si>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</si>
  <si>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</si>
  <si>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</si>
  <si>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</si>
  <si>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</si>
  <si>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</si>
  <si>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</si>
  <si>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</si>
  <si>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</si>
  <si>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</si>
  <si>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</si>
  <si>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</si>
  <si>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</si>
  <si>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</si>
  <si>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</si>
  <si>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</si>
  <si>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</si>
  <si>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</si>
  <si>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</si>
  <si>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</si>
  <si>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</si>
  <si>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</si>
  <si>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</si>
  <si>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</si>
  <si>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</si>
  <si>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</si>
  <si>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</si>
  <si>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</si>
  <si>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</si>
  <si>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</si>
  <si>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</si>
  <si>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</si>
  <si>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</si>
  <si>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</si>
  <si>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</si>
  <si>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</si>
  <si>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</si>
  <si>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</si>
  <si>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</si>
  <si>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</si>
  <si>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</si>
  <si>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</si>
  <si>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</si>
  <si>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</si>
  <si>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</si>
  <si>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</si>
  <si>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</si>
  <si>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</si>
  <si>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</si>
  <si>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</si>
  <si>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</si>
  <si>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</si>
  <si>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</si>
  <si>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</si>
  <si>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</si>
  <si>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</si>
  <si>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</si>
  <si>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</si>
  <si>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</si>
  <si>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</si>
  <si>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</si>
  <si>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</si>
  <si>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</si>
  <si>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</si>
  <si>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</si>
  <si>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</si>
  <si>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</si>
  <si>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</si>
  <si>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</si>
  <si>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</si>
  <si>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</si>
  <si>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</si>
  <si>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</si>
  <si>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</si>
  <si>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</si>
  <si>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</si>
  <si>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</si>
  <si>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</si>
  <si>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</si>
  <si>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</si>
  <si>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</si>
  <si>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</si>
  <si>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</si>
  <si>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</si>
  <si>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</si>
  <si>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</si>
  <si>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</si>
  <si>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</si>
  <si>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</si>
  <si>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</si>
  <si>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</si>
  <si>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</si>
  <si>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</si>
  <si>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</si>
  <si>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</si>
  <si>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</si>
  <si>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</si>
  <si>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</si>
  <si>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</si>
  <si>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</si>
  <si>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</si>
  <si>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</si>
  <si>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</si>
  <si>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</si>
  <si>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</si>
  <si>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</si>
  <si>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</si>
  <si>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</si>
  <si>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</si>
  <si>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</si>
  <si>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</si>
  <si>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</si>
  <si>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</si>
  <si>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</si>
  <si>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</si>
  <si>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</si>
  <si>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</si>
  <si>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</si>
  <si>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</si>
  <si>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</si>
  <si>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</si>
  <si>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</si>
  <si>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</si>
  <si>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</si>
  <si>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</si>
  <si>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</si>
  <si>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</si>
  <si>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</si>
  <si>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</si>
  <si>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</si>
  <si>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</si>
  <si>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</si>
  <si>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</si>
  <si>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</si>
  <si>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</si>
  <si>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</si>
  <si>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</si>
  <si>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</si>
  <si>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</si>
  <si>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</si>
  <si>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</si>
  <si>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</si>
  <si>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</si>
  <si>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</si>
  <si>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</si>
  <si>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</si>
  <si>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</si>
  <si>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</si>
  <si>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</si>
  <si>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</si>
  <si>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</si>
  <si>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</si>
  <si>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</si>
  <si>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</si>
  <si>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</si>
  <si>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</si>
  <si>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</si>
  <si>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</si>
  <si>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</si>
  <si>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</si>
  <si>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</si>
  <si>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</si>
  <si>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</si>
  <si>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</si>
  <si>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</si>
  <si>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</si>
  <si>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</si>
  <si>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</si>
  <si>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</si>
  <si>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</si>
  <si>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</si>
  <si>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</si>
  <si>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</si>
  <si>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</si>
  <si>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</si>
  <si>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</si>
  <si>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</si>
  <si>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</si>
  <si>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</si>
  <si>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</si>
  <si>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</si>
  <si>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</si>
  <si>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</si>
  <si>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</si>
  <si>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</si>
  <si>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</si>
  <si>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</si>
  <si>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</si>
  <si>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</si>
  <si>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</si>
  <si>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</si>
  <si>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</si>
  <si>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</si>
  <si>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</si>
  <si>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</si>
  <si>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</si>
  <si>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</si>
  <si>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</si>
  <si>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</si>
  <si>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</si>
  <si>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</si>
  <si>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</si>
  <si>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</si>
  <si>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</si>
  <si>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</si>
  <si>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</si>
  <si>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</si>
  <si>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</si>
  <si>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</si>
  <si>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</si>
  <si>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</si>
  <si>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</si>
  <si>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</si>
  <si>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</si>
  <si>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</si>
  <si>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</si>
  <si>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</si>
  <si>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</si>
  <si>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</si>
  <si>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</si>
  <si>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</si>
  <si>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</si>
  <si>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</si>
  <si>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</si>
  <si>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</si>
  <si>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</si>
  <si>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</si>
  <si>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</si>
  <si>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</si>
  <si>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</si>
  <si>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</si>
  <si>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</si>
  <si>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</si>
  <si>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</si>
  <si>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</si>
  <si>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</si>
  <si>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</si>
  <si>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</si>
  <si>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</si>
  <si>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</si>
  <si>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</si>
  <si>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</si>
  <si>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</si>
  <si>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</si>
  <si>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</si>
  <si>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</si>
  <si>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</si>
  <si>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</si>
  <si>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</si>
  <si>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</si>
  <si>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</si>
  <si>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</si>
  <si>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</si>
  <si>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</si>
  <si>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</si>
  <si>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</si>
  <si>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</si>
  <si>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</si>
  <si>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</si>
  <si>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</si>
  <si>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</si>
  <si>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</si>
  <si>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</si>
  <si>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</si>
  <si>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</si>
  <si>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</si>
  <si>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</si>
  <si>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</si>
  <si>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</si>
  <si>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</si>
  <si>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</si>
  <si>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</si>
  <si>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</si>
  <si>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</si>
  <si>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</si>
  <si>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</si>
  <si>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</si>
  <si>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</si>
  <si>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</si>
  <si>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</si>
  <si>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</si>
  <si>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</si>
  <si>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</si>
  <si>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</si>
  <si>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</si>
  <si>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</si>
  <si>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</si>
  <si>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</si>
  <si>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</si>
  <si>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</si>
  <si>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</si>
  <si>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</si>
  <si>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</si>
  <si>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</si>
  <si>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</si>
  <si>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</si>
  <si>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</si>
  <si>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</si>
  <si>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</si>
  <si>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</si>
  <si>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</si>
  <si>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</si>
  <si>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</si>
  <si>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</si>
  <si>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</si>
  <si>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</si>
  <si>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</si>
  <si>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</si>
  <si>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</si>
  <si>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</si>
  <si>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</si>
  <si>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</si>
  <si>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</si>
  <si>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</si>
  <si>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</si>
  <si>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</si>
  <si>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</si>
  <si>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</si>
  <si>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</si>
  <si>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</si>
  <si>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</si>
  <si>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</si>
  <si>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</si>
  <si>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</si>
  <si>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</si>
  <si>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</si>
  <si>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</si>
  <si>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</si>
  <si>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</si>
  <si>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</si>
  <si>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</si>
  <si>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</si>
  <si>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</si>
  <si>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</si>
  <si>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</si>
  <si>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</si>
  <si>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</si>
  <si>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</si>
  <si>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</si>
  <si>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</si>
  <si>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</si>
  <si>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</si>
  <si>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</si>
  <si>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</si>
  <si>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</si>
  <si>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</si>
  <si>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</si>
  <si>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</si>
  <si>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</si>
  <si>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</si>
  <si>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</si>
  <si>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</si>
  <si>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</si>
  <si>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</si>
  <si>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</si>
  <si>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</si>
  <si>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</si>
  <si>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</si>
  <si>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</si>
  <si>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</si>
  <si>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</si>
  <si>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</si>
  <si>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</si>
  <si>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</si>
  <si>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</si>
  <si>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</si>
  <si>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</si>
  <si>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</si>
  <si>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</si>
  <si>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</si>
  <si>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</si>
  <si>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</si>
  <si>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</si>
  <si>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</si>
  <si>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</si>
  <si>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</si>
  <si>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</si>
  <si>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</si>
  <si>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</si>
  <si>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</si>
  <si>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</si>
  <si>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</si>
  <si>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</si>
  <si>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</si>
  <si>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</si>
  <si>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</si>
  <si>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</si>
  <si>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</si>
  <si>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</si>
  <si>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</si>
  <si>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</si>
  <si>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</si>
  <si>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</si>
  <si>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</si>
  <si>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</si>
  <si>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</si>
  <si>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</si>
  <si>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</si>
  <si>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</si>
  <si>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</si>
  <si>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</si>
  <si>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</si>
  <si>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</si>
  <si>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</si>
  <si>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</si>
  <si>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</si>
  <si>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</si>
  <si>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</si>
  <si>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</si>
  <si>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</si>
  <si>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</si>
  <si>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</si>
  <si>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</si>
  <si>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</si>
  <si>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</si>
  <si>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</si>
  <si>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</si>
  <si>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</si>
  <si>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</si>
  <si>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</si>
  <si>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</si>
  <si>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</si>
  <si>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</si>
  <si>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</si>
  <si>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</si>
  <si>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</si>
  <si>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</si>
  <si>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</si>
  <si>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</si>
  <si>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</si>
  <si>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</si>
  <si>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</si>
  <si>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</si>
  <si>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</si>
  <si>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</si>
  <si>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</si>
  <si>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</si>
  <si>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</si>
  <si>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</si>
  <si>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</si>
  <si>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</si>
  <si>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</si>
  <si>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</si>
  <si>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</si>
  <si>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</si>
  <si>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</si>
  <si>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</si>
  <si>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</si>
  <si>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</si>
  <si>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</si>
  <si>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</si>
  <si>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</si>
  <si>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</si>
  <si>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</si>
  <si>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</si>
  <si>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</si>
  <si>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</si>
  <si>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</si>
  <si>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</si>
  <si>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</si>
  <si>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</si>
  <si>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</si>
  <si>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</si>
  <si>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</si>
  <si>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</si>
  <si>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</si>
  <si>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</si>
  <si>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</si>
  <si>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</si>
  <si>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</si>
  <si>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</si>
  <si>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</si>
  <si>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</si>
  <si>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</si>
  <si>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</si>
  <si>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</si>
  <si>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</si>
  <si>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</si>
  <si>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</si>
  <si>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</si>
  <si>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</si>
  <si>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</si>
  <si>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</si>
  <si>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</si>
  <si>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</si>
  <si>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</si>
  <si>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</si>
  <si>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</si>
  <si>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</si>
  <si>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</si>
  <si>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</si>
  <si>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</si>
  <si>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</si>
  <si>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</si>
  <si>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</si>
  <si>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</si>
  <si>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</si>
  <si>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</si>
  <si>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</si>
  <si>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</si>
  <si>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</si>
  <si>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</si>
  <si>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</si>
  <si>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</si>
  <si>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</si>
  <si>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</si>
  <si>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</si>
  <si>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</si>
  <si>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</si>
  <si>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</si>
  <si>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</si>
  <si>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</si>
  <si>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</si>
  <si>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</si>
  <si>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</si>
  <si>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</si>
  <si>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</si>
  <si>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</si>
  <si>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</si>
  <si>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</si>
  <si>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</si>
  <si>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</si>
  <si>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</si>
  <si>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</si>
  <si>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</si>
  <si>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</si>
  <si>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</si>
  <si>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</si>
  <si>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</si>
  <si>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</si>
  <si>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</si>
  <si>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</si>
  <si>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</si>
  <si>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</si>
  <si>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</si>
  <si>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</si>
  <si>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</si>
  <si>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</si>
  <si>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</si>
  <si>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</si>
  <si>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</si>
  <si>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</si>
  <si>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</si>
  <si>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</si>
  <si>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</si>
  <si>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</si>
  <si>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</si>
  <si>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</si>
  <si>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</si>
  <si>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</si>
  <si>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</si>
  <si>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</si>
  <si>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</si>
  <si>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</si>
  <si>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</si>
  <si>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</si>
  <si>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</si>
  <si>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</si>
  <si>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</si>
  <si>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</si>
  <si>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</si>
  <si>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</si>
  <si>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</si>
  <si>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</si>
  <si>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</si>
  <si>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</si>
  <si>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</si>
  <si>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</si>
  <si>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</si>
  <si>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</si>
  <si>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</si>
  <si>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</si>
  <si>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</si>
  <si>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</si>
  <si>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</si>
  <si>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</si>
  <si>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</si>
  <si>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</si>
  <si>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</si>
  <si>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</si>
  <si>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</si>
  <si>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</si>
  <si>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</si>
  <si>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</si>
  <si>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</si>
  <si>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</si>
  <si>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</si>
  <si>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</si>
  <si>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</si>
  <si>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</si>
  <si>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</si>
  <si>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</si>
  <si>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</si>
  <si>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</si>
  <si>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</si>
  <si>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</si>
  <si>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</si>
  <si>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</si>
  <si>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</si>
  <si>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</si>
  <si>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</si>
  <si>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</si>
  <si>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</si>
  <si>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</si>
  <si>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</si>
  <si>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</si>
  <si>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</si>
  <si>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</si>
  <si>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</si>
  <si>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</si>
  <si>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</si>
  <si>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</si>
  <si>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</si>
  <si>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</si>
  <si>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</si>
  <si>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</si>
  <si>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</si>
  <si>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</si>
  <si>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</si>
  <si>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</si>
  <si>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</si>
  <si>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</si>
  <si>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</si>
  <si>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</si>
  <si>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</si>
  <si>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</si>
  <si>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</si>
  <si>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</si>
  <si>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</si>
  <si>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</si>
  <si>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</si>
  <si>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</si>
  <si>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</si>
  <si>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</si>
  <si>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</si>
  <si>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</si>
  <si>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</si>
  <si>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</si>
  <si>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</si>
  <si>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</si>
  <si>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</si>
  <si>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</si>
  <si>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</si>
  <si>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</si>
  <si>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</si>
  <si>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</si>
  <si>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</si>
  <si>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</si>
  <si>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</si>
  <si>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</si>
  <si>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</si>
  <si>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</si>
  <si>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</si>
  <si>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</si>
  <si>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</si>
  <si>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</si>
  <si>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</si>
  <si>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</si>
  <si>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</si>
  <si>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</si>
  <si>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</si>
  <si>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</si>
  <si>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</si>
  <si>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</si>
  <si>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</si>
  <si>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</si>
  <si>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</si>
  <si>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</si>
  <si>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</si>
  <si>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</si>
  <si>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</si>
  <si>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</si>
  <si>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</si>
  <si>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</si>
  <si>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</si>
  <si>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</si>
  <si>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</si>
  <si>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</si>
  <si>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</si>
  <si>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</si>
  <si>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</si>
  <si>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</si>
  <si>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</si>
  <si>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</si>
  <si>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</si>
  <si>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</si>
  <si>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</si>
  <si>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</si>
  <si>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</si>
  <si>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</si>
  <si>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</si>
  <si>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</si>
  <si>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</si>
  <si>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</si>
  <si>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</si>
  <si>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</si>
  <si>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</si>
  <si>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</si>
  <si>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</si>
  <si>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</si>
  <si>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</si>
  <si>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</si>
  <si>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</si>
  <si>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</si>
  <si>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</si>
  <si>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</si>
  <si>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</si>
  <si>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</si>
  <si>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</si>
  <si>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</si>
  <si>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</si>
  <si>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</si>
  <si>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</si>
  <si>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</si>
  <si>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</si>
  <si>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</si>
  <si>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</si>
  <si>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</si>
  <si>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</si>
  <si>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</si>
  <si>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</si>
  <si>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</si>
  <si>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</si>
  <si>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</si>
  <si>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</si>
  <si>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</si>
  <si>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</si>
  <si>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</si>
  <si>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</si>
  <si>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</si>
  <si>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</si>
  <si>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</si>
  <si>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</si>
  <si>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</si>
  <si>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</si>
  <si>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</si>
  <si>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</si>
  <si>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</si>
  <si>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</si>
  <si>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</si>
  <si>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</si>
  <si>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</si>
  <si>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</si>
  <si>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</si>
  <si>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</si>
  <si>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</si>
  <si>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</si>
  <si>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</si>
  <si>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</si>
  <si>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</si>
  <si>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</si>
  <si>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</si>
  <si>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</si>
  <si>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</si>
  <si>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</si>
  <si>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</si>
  <si>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</si>
  <si>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</si>
  <si>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</si>
  <si>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</si>
  <si>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</si>
  <si>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</si>
  <si>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</si>
  <si>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</si>
  <si>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</si>
  <si>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</si>
  <si>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</si>
  <si>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</si>
  <si>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</si>
  <si>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</si>
  <si>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</si>
  <si>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</si>
  <si>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</si>
  <si>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</si>
  <si>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</si>
  <si>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</si>
  <si>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</si>
  <si>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</si>
  <si>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</si>
  <si>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</si>
  <si>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</si>
  <si>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</si>
  <si>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</si>
  <si>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</si>
  <si>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</si>
  <si>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</si>
  <si>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</si>
  <si>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</si>
  <si>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</si>
  <si>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</si>
  <si>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</si>
  <si>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</si>
  <si>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</si>
  <si>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</si>
  <si>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</si>
  <si>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</si>
  <si>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</si>
  <si>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</si>
  <si>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</si>
  <si>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</si>
  <si>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</si>
  <si>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</si>
  <si>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</si>
  <si>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</si>
  <si>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</si>
  <si>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</si>
  <si>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</si>
  <si>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</si>
  <si>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</si>
  <si>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</si>
  <si>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</si>
  <si>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</si>
  <si>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</si>
  <si>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</si>
  <si>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</si>
  <si>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</si>
  <si>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</si>
  <si>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</si>
  <si>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</si>
  <si>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</si>
  <si>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</si>
  <si>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</si>
  <si>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</si>
  <si>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</si>
  <si>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</si>
  <si>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</si>
  <si>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</si>
  <si>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</si>
  <si>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</si>
  <si>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</si>
  <si>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</si>
  <si>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</si>
  <si>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</si>
  <si>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</si>
  <si>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</si>
  <si>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</si>
  <si>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</si>
  <si>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</si>
  <si>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</si>
  <si>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</si>
  <si>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</si>
  <si>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</si>
  <si>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</si>
  <si>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</si>
  <si>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</si>
  <si>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</si>
  <si>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</si>
  <si>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</si>
  <si>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</si>
  <si>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</si>
  <si>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</si>
  <si>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</si>
  <si>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</si>
  <si>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</si>
  <si>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</si>
  <si>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</si>
  <si>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</si>
  <si>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</si>
  <si>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</si>
  <si>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</si>
  <si>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</si>
  <si>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</si>
  <si>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</si>
  <si>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</si>
  <si>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</si>
  <si>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</si>
  <si>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</si>
  <si>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</si>
  <si>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</si>
  <si>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</si>
  <si>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</si>
  <si>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</si>
  <si>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</si>
  <si>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</si>
  <si>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</si>
  <si>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</si>
  <si>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</si>
  <si>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</si>
  <si>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</si>
  <si>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</si>
  <si>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</si>
  <si>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</si>
  <si>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</si>
  <si>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</si>
  <si>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</si>
  <si>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</si>
  <si>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</si>
  <si>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</si>
  <si>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</si>
  <si>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</si>
  <si>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</si>
  <si>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</si>
  <si>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</si>
  <si>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</si>
  <si>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</si>
  <si>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</si>
  <si>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</si>
  <si>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</si>
  <si>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</si>
  <si>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</si>
  <si>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</si>
  <si>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</si>
  <si>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</si>
  <si>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</si>
  <si>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</si>
  <si>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</si>
  <si>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</si>
  <si>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</si>
  <si>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</si>
  <si>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</si>
  <si>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</si>
  <si>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</si>
  <si>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</si>
  <si>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</si>
  <si>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</si>
  <si>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</si>
  <si>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</si>
  <si>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</si>
  <si>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</si>
  <si>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</si>
  <si>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</si>
  <si>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</si>
  <si>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</si>
  <si>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</si>
  <si>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</si>
  <si>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</si>
  <si>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</si>
  <si>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</si>
  <si>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</si>
  <si>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</si>
  <si>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</si>
  <si>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</si>
  <si>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</si>
  <si>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</si>
  <si>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</si>
  <si>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</si>
  <si>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</si>
  <si>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</si>
  <si>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</si>
  <si>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</si>
  <si>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</si>
  <si>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</si>
  <si>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</si>
  <si>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</si>
  <si>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</si>
  <si>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</si>
  <si>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</si>
  <si>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</si>
  <si>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</si>
  <si>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</si>
  <si>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</si>
  <si>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</si>
  <si>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</si>
  <si>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</si>
  <si>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</si>
  <si>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</si>
  <si>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</si>
  <si>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</si>
  <si>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</si>
  <si>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</si>
  <si>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</si>
  <si>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</si>
  <si>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</si>
  <si>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</si>
  <si>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</si>
  <si>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</si>
  <si>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</si>
  <si>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</si>
  <si>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</si>
  <si>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</si>
  <si>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</si>
  <si>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</si>
  <si>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</si>
  <si>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</si>
  <si>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</si>
  <si>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</si>
  <si>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</si>
  <si>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</si>
  <si>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</si>
  <si>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</si>
  <si>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</si>
  <si>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</si>
  <si>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</si>
  <si>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</si>
  <si>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</si>
  <si>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</si>
  <si>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</si>
  <si>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</si>
  <si>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</si>
  <si>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</si>
  <si>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</si>
  <si>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</si>
  <si>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</si>
  <si>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</si>
  <si>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</si>
  <si>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</si>
  <si>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</si>
  <si>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</si>
  <si>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</si>
  <si>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</si>
  <si>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</si>
  <si>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</si>
  <si>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</si>
  <si>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</si>
  <si>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</si>
  <si>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</si>
  <si>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</si>
  <si>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</si>
  <si>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</si>
  <si>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</si>
  <si>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</si>
  <si>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</si>
  <si>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</si>
  <si>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</si>
  <si>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</si>
  <si>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</si>
  <si>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</si>
  <si>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</si>
  <si>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</si>
  <si>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</si>
  <si>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</si>
  <si>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</si>
  <si>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</si>
  <si>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</si>
  <si>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</si>
  <si>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</si>
  <si>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</si>
  <si>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</si>
  <si>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</si>
  <si>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</si>
  <si>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</si>
  <si>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</si>
  <si>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</si>
  <si>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</si>
  <si>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</si>
  <si>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</si>
  <si>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</si>
  <si>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</si>
  <si>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</si>
  <si>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</si>
  <si>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</si>
  <si>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</si>
  <si>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</si>
  <si>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</si>
  <si>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</si>
  <si>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</si>
  <si>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</si>
  <si>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</si>
  <si>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</si>
  <si>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</si>
  <si>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</si>
  <si>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</si>
  <si>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</si>
  <si>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</si>
  <si>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</si>
  <si>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</si>
  <si>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</si>
  <si>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</si>
  <si>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</si>
  <si>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</si>
  <si>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</si>
  <si>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</si>
  <si>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</si>
  <si>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</si>
  <si>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</si>
  <si>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</si>
  <si>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</si>
  <si>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</si>
  <si>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</si>
  <si>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</si>
  <si>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</si>
  <si>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</si>
  <si>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</si>
  <si>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</si>
  <si>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</si>
  <si>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</si>
  <si>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</si>
  <si>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</si>
  <si>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</si>
  <si>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</si>
  <si>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</si>
  <si>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</si>
  <si>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</si>
  <si>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</si>
  <si>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</si>
  <si>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</si>
  <si>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</si>
  <si>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</si>
  <si>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</si>
  <si>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</si>
  <si>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</si>
  <si>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</si>
  <si>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</si>
  <si>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</si>
  <si>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</si>
  <si>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</si>
  <si>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</si>
  <si>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</si>
  <si>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</si>
  <si>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</si>
  <si>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</si>
  <si>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</si>
  <si>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</si>
  <si>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</si>
  <si>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</si>
  <si>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</si>
  <si>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</si>
  <si>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</si>
  <si>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</si>
  <si>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</si>
  <si>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</si>
  <si>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</si>
  <si>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</si>
  <si>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</si>
  <si>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</si>
  <si>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</si>
  <si>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</si>
  <si>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</si>
  <si>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</si>
  <si>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</si>
  <si>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</si>
  <si>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</si>
  <si>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</si>
  <si>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</si>
  <si>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</si>
  <si>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</si>
  <si>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</si>
  <si>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</si>
  <si>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</si>
  <si>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</si>
  <si>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</si>
  <si>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</si>
  <si>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</si>
  <si>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</si>
  <si>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</si>
  <si>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</si>
  <si>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</si>
  <si>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</si>
  <si>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</si>
  <si>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</si>
  <si>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</si>
  <si>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</si>
  <si>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</si>
  <si>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</si>
  <si>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</si>
  <si>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</si>
  <si>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</si>
  <si>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</si>
  <si>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</si>
  <si>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</si>
  <si>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</si>
  <si>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</si>
  <si>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</si>
  <si>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</si>
  <si>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</si>
  <si>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</si>
  <si>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</si>
  <si>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</si>
  <si>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</si>
  <si>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</si>
  <si>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</si>
  <si>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</si>
  <si>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</si>
  <si>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</si>
  <si>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</si>
  <si>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</si>
  <si>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</si>
  <si>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</si>
  <si>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</si>
  <si>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</si>
  <si>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</si>
  <si>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</si>
  <si>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</si>
  <si>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</si>
  <si>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</si>
  <si>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</si>
  <si>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</si>
  <si>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</si>
  <si>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</si>
  <si>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</si>
  <si>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</si>
  <si>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</si>
  <si>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</si>
  <si>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</si>
  <si>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</si>
  <si>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</si>
  <si>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</si>
  <si>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</si>
  <si>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</si>
  <si>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</si>
  <si>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</si>
  <si>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</si>
  <si>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</si>
  <si>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</si>
  <si>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</si>
  <si>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</si>
  <si>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</si>
  <si>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</si>
  <si>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</si>
  <si>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</si>
  <si>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</si>
  <si>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</si>
  <si>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</si>
  <si>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</si>
  <si>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</si>
  <si>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</si>
  <si>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</si>
  <si>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</si>
  <si>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</si>
  <si>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</si>
  <si>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</si>
  <si>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</si>
  <si>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</si>
  <si>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</si>
  <si>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</si>
  <si>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</si>
  <si>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</si>
  <si>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</si>
  <si>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</si>
  <si>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</si>
  <si>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</si>
  <si>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</si>
  <si>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</si>
  <si>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</si>
  <si>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</si>
  <si>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</si>
  <si>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</si>
  <si>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</si>
  <si>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</si>
  <si>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</si>
  <si>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</si>
  <si>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</si>
  <si>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</si>
  <si>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</si>
  <si>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</si>
  <si>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</si>
  <si>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</si>
  <si>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</si>
  <si>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</si>
  <si>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</si>
  <si>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</si>
  <si>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</si>
  <si>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</si>
  <si>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</si>
  <si>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</si>
  <si>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</si>
  <si>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</si>
  <si>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</si>
  <si>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</si>
  <si>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</si>
  <si>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</si>
  <si>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</si>
  <si>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</si>
  <si>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</si>
  <si>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</si>
  <si>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</si>
  <si>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</si>
  <si>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</si>
  <si>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</si>
  <si>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</si>
  <si>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</si>
  <si>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</si>
  <si>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</si>
  <si>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</si>
  <si>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</si>
  <si>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</si>
  <si>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</si>
  <si>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</si>
  <si>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</si>
  <si>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</si>
  <si>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</si>
  <si>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</si>
  <si>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</si>
  <si>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</si>
  <si>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</si>
  <si>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</si>
  <si>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</si>
  <si>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</si>
  <si>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</si>
  <si>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</si>
  <si>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</si>
  <si>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</si>
  <si>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</si>
  <si>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</si>
  <si>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</si>
  <si>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</si>
  <si>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</si>
  <si>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</si>
  <si>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</si>
  <si>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</si>
  <si>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</si>
  <si>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</si>
  <si>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</si>
  <si>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</si>
  <si>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</si>
  <si>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</si>
  <si>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</si>
  <si>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</si>
  <si>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</si>
  <si>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</si>
  <si>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</si>
  <si>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</si>
  <si>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</si>
  <si>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</si>
  <si>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</si>
  <si>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</si>
  <si>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</si>
  <si>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</si>
  <si>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</si>
  <si>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</si>
  <si>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</si>
  <si>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</si>
  <si>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</si>
  <si>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</si>
  <si>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</si>
  <si>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</si>
  <si>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</si>
  <si>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</si>
  <si>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</si>
  <si>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</si>
  <si>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</si>
  <si>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</si>
  <si>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</si>
  <si>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</si>
  <si>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</si>
  <si>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</si>
  <si>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</si>
  <si>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</si>
  <si>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</si>
  <si>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</si>
  <si>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</si>
  <si>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</si>
  <si>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</si>
  <si>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</si>
  <si>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</si>
  <si>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</si>
  <si>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</si>
  <si>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</si>
  <si>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</si>
  <si>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</si>
  <si>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</si>
  <si>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</si>
  <si>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</si>
  <si>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</si>
  <si>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</si>
  <si>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</si>
  <si>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</si>
  <si>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</si>
  <si>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</si>
  <si>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</si>
  <si>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</si>
  <si>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</si>
  <si>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</si>
  <si>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</si>
  <si>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</si>
  <si>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</si>
  <si>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</si>
  <si>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</si>
  <si>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</si>
  <si>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</si>
  <si>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</si>
  <si>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</si>
  <si>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</si>
  <si>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</si>
  <si>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</si>
  <si>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</si>
  <si>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</si>
  <si>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</si>
  <si>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</si>
  <si>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</si>
  <si>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</si>
  <si>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</si>
  <si>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</si>
  <si>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</si>
  <si>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</si>
  <si>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</si>
  <si>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</si>
  <si>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</si>
  <si>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</si>
  <si>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</si>
  <si>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</si>
  <si>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</si>
  <si>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</si>
  <si>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</si>
  <si>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</si>
  <si>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</si>
  <si>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</si>
  <si>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</si>
  <si>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</si>
  <si>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</si>
  <si>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</si>
  <si>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</si>
  <si>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</si>
  <si>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</si>
  <si>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</si>
  <si>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</si>
  <si>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</si>
  <si>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</si>
  <si>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</si>
  <si>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</si>
  <si>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</si>
  <si>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</si>
  <si>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</si>
  <si>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</si>
  <si>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</si>
  <si>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</si>
  <si>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</si>
  <si>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</si>
  <si>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</si>
  <si>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</si>
  <si>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</si>
  <si>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</si>
  <si>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</si>
  <si>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</si>
  <si>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</si>
  <si>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</si>
  <si>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</si>
  <si>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</si>
  <si>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</si>
  <si>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</si>
  <si>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</si>
  <si>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</si>
  <si>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</si>
  <si>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</si>
  <si>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</si>
  <si>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</si>
  <si>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</si>
  <si>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</si>
  <si>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</si>
  <si>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</si>
  <si>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</si>
  <si>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</si>
  <si>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</si>
  <si>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</si>
  <si>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</si>
  <si>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</si>
  <si>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</si>
  <si>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</si>
  <si>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</si>
  <si>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</si>
  <si>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</si>
  <si>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</si>
  <si>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</si>
  <si>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</si>
  <si>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</si>
  <si>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</si>
  <si>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</si>
  <si>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</si>
  <si>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</si>
  <si>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</si>
  <si>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</si>
  <si>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</si>
  <si>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</si>
  <si>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</si>
  <si>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</si>
  <si>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</si>
  <si>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</si>
  <si>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</si>
  <si>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</si>
  <si>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</si>
  <si>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</si>
  <si>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</si>
  <si>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</si>
  <si>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</si>
  <si>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</si>
  <si>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</si>
  <si>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</si>
  <si>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</si>
  <si>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</si>
  <si>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</si>
  <si>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</si>
  <si>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</si>
  <si>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</si>
  <si>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</si>
  <si>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</si>
  <si>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</si>
  <si>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</si>
  <si>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</si>
  <si>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</si>
  <si>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</si>
  <si>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</si>
  <si>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</si>
  <si>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</si>
  <si>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</si>
  <si>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</si>
  <si>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</si>
  <si>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</si>
  <si>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</si>
  <si>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</si>
  <si>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</si>
  <si>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</si>
  <si>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</si>
  <si>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</si>
  <si>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</si>
  <si>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</si>
  <si>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</si>
  <si>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</si>
  <si>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</si>
  <si>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</si>
  <si>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</si>
  <si>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</si>
  <si>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</si>
  <si>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</si>
  <si>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</si>
  <si>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</si>
  <si>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</si>
  <si>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</si>
  <si>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</si>
  <si>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</si>
  <si>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</si>
  <si>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</si>
  <si>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</si>
  <si>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</si>
  <si>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</si>
  <si>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</si>
  <si>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</si>
  <si>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</si>
  <si>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</si>
  <si>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</si>
  <si>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</si>
  <si>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</si>
  <si>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</si>
  <si>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</si>
  <si>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</si>
  <si>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</si>
  <si>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</si>
  <si>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</si>
  <si>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</si>
  <si>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</si>
  <si>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</si>
  <si>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</si>
  <si>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</si>
  <si>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</si>
  <si>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</si>
  <si>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</si>
  <si>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</si>
  <si>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</si>
  <si>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</si>
  <si>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</si>
  <si>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</si>
  <si>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</si>
  <si>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</si>
  <si>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</si>
  <si>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</si>
  <si>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</si>
  <si>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</si>
  <si>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</si>
  <si>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</si>
  <si>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</si>
  <si>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</si>
  <si>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</si>
  <si>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</si>
  <si>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</si>
  <si>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</si>
  <si>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</si>
  <si>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</si>
  <si>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</si>
  <si>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</si>
  <si>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</si>
  <si>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</si>
  <si>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</si>
  <si>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</si>
  <si>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</si>
  <si>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</si>
  <si>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</si>
  <si>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</si>
  <si>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</si>
  <si>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</si>
  <si>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</si>
  <si>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</si>
  <si>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</si>
  <si>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</si>
  <si>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</si>
  <si>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</si>
  <si>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</si>
  <si>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</si>
  <si>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</si>
  <si>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</si>
  <si>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</si>
  <si>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</si>
  <si>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</si>
  <si>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</si>
  <si>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</si>
  <si>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</si>
  <si>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</si>
  <si>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</si>
  <si>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</si>
  <si>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</si>
  <si>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</si>
  <si>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</si>
  <si>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</si>
  <si>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</si>
  <si>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</si>
  <si>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</si>
  <si>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</si>
  <si>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</si>
  <si>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</si>
  <si>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</si>
  <si>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</si>
  <si>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</si>
  <si>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</si>
  <si>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</si>
  <si>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</si>
  <si>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</si>
  <si>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</si>
  <si>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</si>
  <si>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</si>
  <si>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</si>
  <si>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</si>
  <si>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</si>
  <si>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</si>
  <si>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</si>
  <si>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</si>
  <si>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</si>
  <si>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</si>
  <si>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</si>
  <si>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</si>
  <si>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</si>
  <si>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</si>
  <si>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</si>
  <si>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</si>
  <si>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</si>
  <si>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</si>
  <si>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</si>
  <si>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</si>
  <si>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</si>
  <si>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</si>
  <si>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</si>
  <si>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</si>
  <si>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</si>
  <si>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</si>
  <si>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</si>
  <si>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</si>
  <si>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</si>
  <si>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</si>
  <si>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</si>
  <si>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</si>
  <si>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</si>
  <si>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</si>
  <si>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</si>
  <si>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</si>
  <si>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</si>
  <si>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</si>
  <si>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</si>
  <si>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</si>
  <si>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</si>
  <si>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</si>
  <si>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</si>
  <si>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</si>
  <si>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</si>
  <si>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</si>
  <si>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</si>
  <si>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</si>
  <si>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</si>
  <si>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</si>
  <si>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</si>
  <si>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</si>
  <si>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</si>
  <si>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</si>
  <si>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</si>
  <si>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</si>
  <si>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</si>
  <si>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</si>
  <si>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</si>
  <si>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</si>
  <si>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</si>
  <si>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</si>
  <si>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</si>
  <si>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</si>
  <si>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</si>
  <si>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</si>
  <si>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</si>
  <si>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</si>
  <si>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</si>
  <si>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</si>
  <si>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</si>
  <si>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</si>
  <si>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</si>
  <si>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</si>
  <si>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</si>
  <si>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</si>
  <si>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</si>
  <si>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</si>
  <si>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</si>
  <si>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</si>
  <si>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</si>
  <si>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</si>
  <si>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</si>
  <si>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</si>
  <si>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</si>
  <si>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</si>
  <si>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</si>
  <si>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</si>
  <si>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</si>
  <si>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</si>
  <si>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</si>
  <si>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</si>
  <si>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</si>
  <si>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</si>
  <si>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</si>
  <si>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</si>
  <si>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</si>
  <si>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</si>
  <si>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</si>
  <si>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</si>
  <si>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</si>
  <si>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</si>
  <si>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</si>
  <si>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</si>
  <si>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</si>
  <si>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</si>
  <si>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</si>
  <si>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</si>
  <si>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</si>
  <si>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</si>
  <si>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</si>
  <si>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</si>
  <si>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</si>
  <si>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</si>
  <si>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</si>
  <si>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</si>
  <si>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</si>
  <si>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</si>
  <si>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</si>
  <si>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</si>
  <si>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</si>
  <si>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</si>
  <si>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</si>
  <si>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</si>
  <si>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</si>
  <si>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</si>
  <si>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</si>
  <si>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</si>
  <si>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</si>
  <si>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</si>
  <si>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</si>
  <si>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</si>
  <si>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</si>
  <si>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</si>
  <si>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</si>
  <si>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</si>
  <si>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</si>
  <si>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</si>
  <si>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</si>
  <si>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</si>
  <si>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</si>
  <si>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</si>
  <si>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</si>
  <si>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</si>
  <si>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</si>
  <si>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</si>
  <si>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</si>
  <si>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</si>
  <si>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</si>
  <si>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</si>
  <si>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</si>
  <si>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</si>
  <si>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</si>
  <si>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</si>
  <si>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</si>
  <si>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</si>
  <si>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</si>
  <si>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</si>
  <si>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</si>
  <si>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</si>
  <si>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</si>
  <si>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</si>
  <si>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</si>
  <si>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</si>
  <si>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</si>
  <si>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</si>
  <si>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</si>
  <si>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</si>
  <si>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</si>
  <si>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</si>
  <si>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</si>
  <si>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</si>
  <si>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</si>
  <si>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</si>
  <si>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</si>
  <si>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</si>
  <si>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</si>
  <si>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</si>
  <si>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</si>
  <si>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</si>
  <si>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</si>
  <si>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</si>
  <si>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</si>
  <si>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</si>
  <si>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</si>
  <si>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</si>
  <si>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</si>
  <si>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</si>
  <si>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</si>
  <si>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</si>
  <si>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</si>
  <si>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</si>
  <si>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</si>
  <si>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</si>
  <si>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</si>
  <si>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</si>
  <si>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</si>
  <si>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</si>
  <si>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</si>
  <si>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</si>
  <si>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</si>
  <si>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</si>
  <si>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</si>
  <si>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</si>
  <si>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</si>
  <si>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</si>
  <si>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</si>
  <si>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</si>
  <si>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</si>
  <si>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</si>
  <si>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</si>
  <si>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</si>
  <si>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</si>
  <si>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</si>
  <si>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</si>
  <si>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</si>
  <si>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</si>
  <si>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</si>
  <si>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</si>
  <si>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</si>
  <si>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</si>
  <si>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</si>
  <si>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</si>
  <si>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</si>
  <si>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</si>
  <si>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</si>
  <si>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</si>
  <si>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</si>
  <si>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</si>
  <si>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</si>
  <si>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</si>
  <si>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</si>
  <si>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</si>
  <si>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</si>
  <si>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</si>
  <si>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</si>
  <si>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</si>
  <si>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</si>
  <si>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</si>
  <si>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</si>
  <si>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</si>
  <si>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</si>
  <si>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</si>
  <si>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</si>
  <si>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</si>
  <si>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</si>
  <si>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</si>
  <si>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</si>
  <si>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</si>
  <si>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</si>
  <si>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</si>
  <si>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</si>
  <si>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</si>
  <si>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</si>
  <si>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</si>
  <si>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</si>
  <si>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</si>
  <si>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</si>
  <si>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</si>
  <si>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</si>
  <si>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</si>
  <si>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</si>
  <si>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</si>
  <si>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</si>
  <si>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</si>
  <si>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</si>
  <si>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</si>
  <si>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</si>
  <si>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</si>
  <si>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</si>
  <si>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</si>
  <si>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</si>
  <si>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</si>
  <si>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</si>
  <si>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</si>
  <si>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</si>
  <si>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</si>
  <si>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</si>
  <si>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</si>
  <si>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</si>
  <si>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</si>
  <si>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</si>
  <si>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</si>
  <si>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</si>
  <si>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</si>
  <si>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</si>
  <si>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</si>
  <si>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</si>
  <si>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</si>
  <si>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</si>
  <si>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</si>
  <si>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</si>
  <si>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</si>
  <si>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</si>
  <si>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</si>
  <si>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</si>
  <si>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</si>
  <si>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</si>
  <si>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</si>
  <si>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</si>
  <si>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</si>
  <si>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</si>
  <si>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</si>
  <si>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</si>
  <si>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</si>
  <si>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</si>
  <si>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</si>
  <si>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</si>
  <si>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</si>
  <si>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</si>
  <si>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</si>
  <si>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</si>
  <si>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</si>
  <si>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</si>
  <si>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</si>
  <si>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</si>
  <si>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</si>
  <si>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</si>
  <si>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</si>
  <si>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</si>
  <si>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</si>
  <si>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</si>
  <si>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</si>
  <si>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</si>
  <si>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</si>
  <si>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</si>
  <si>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</si>
  <si>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</si>
  <si>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</si>
  <si>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</si>
  <si>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</si>
  <si>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</si>
  <si>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</si>
  <si>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</si>
  <si>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</si>
  <si>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</si>
  <si>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</si>
  <si>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</si>
  <si>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</si>
  <si>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</si>
  <si>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</si>
  <si>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</si>
  <si>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</si>
  <si>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</si>
  <si>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</si>
  <si>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</si>
  <si>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</si>
  <si>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</si>
  <si>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</si>
  <si>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</si>
  <si>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</si>
  <si>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</si>
  <si>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</si>
  <si>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</si>
  <si>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</si>
  <si>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</si>
  <si>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</si>
  <si>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</si>
  <si>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</si>
  <si>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</si>
  <si>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</si>
  <si>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</si>
  <si>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</si>
  <si>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</si>
  <si>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</si>
  <si>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</si>
  <si>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</si>
  <si>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</si>
  <si>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</si>
  <si>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</si>
  <si>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</si>
  <si>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</si>
  <si>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</si>
  <si>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</si>
  <si>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</si>
  <si>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</si>
  <si>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</si>
  <si>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</si>
  <si>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</si>
  <si>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</si>
  <si>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</si>
  <si>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</si>
  <si>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</si>
  <si>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</si>
  <si>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</si>
  <si>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</si>
  <si>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</si>
  <si>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</si>
  <si>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</si>
  <si>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</si>
  <si>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</si>
  <si>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</si>
  <si>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</si>
  <si>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</si>
  <si>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</si>
  <si>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</si>
  <si>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</si>
  <si>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</si>
  <si>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</si>
  <si>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</si>
  <si>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</si>
  <si>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</si>
  <si>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</si>
  <si>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</si>
  <si>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</si>
  <si>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</si>
  <si>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</si>
  <si>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</si>
  <si>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</si>
  <si>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</si>
  <si>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</si>
  <si>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</si>
  <si>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</si>
  <si>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</si>
  <si>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</si>
  <si>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</si>
  <si>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</si>
  <si>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</si>
  <si>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</si>
  <si>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</si>
  <si>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</si>
  <si>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</si>
  <si>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</si>
  <si>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</si>
  <si>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</si>
  <si>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</si>
  <si>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</si>
  <si>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</si>
  <si>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</si>
  <si>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</si>
  <si>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</si>
  <si>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</si>
  <si>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</si>
  <si>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</si>
  <si>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</si>
  <si>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</si>
  <si>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</si>
  <si>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</si>
  <si>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</si>
  <si>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</si>
  <si>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</si>
  <si>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</si>
  <si>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</si>
  <si>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</si>
  <si>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</si>
  <si>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</si>
  <si>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</si>
  <si>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</si>
  <si>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</si>
  <si>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</si>
  <si>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</si>
  <si>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</si>
  <si>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</si>
  <si>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</si>
  <si>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</si>
  <si>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</si>
  <si>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</si>
  <si>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</si>
  <si>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</si>
  <si>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</si>
  <si>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</si>
  <si>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</si>
  <si>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</si>
  <si>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</si>
  <si>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</si>
  <si>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</si>
  <si>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</si>
  <si>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</si>
  <si>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</si>
  <si>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</si>
  <si>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</si>
  <si>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</si>
  <si>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</si>
  <si>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</si>
  <si>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</si>
  <si>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</si>
  <si>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</si>
  <si>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</si>
  <si>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</si>
  <si>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</si>
  <si>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</si>
  <si>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</si>
  <si>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</si>
  <si>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</si>
  <si>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</si>
  <si>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</si>
  <si>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</si>
  <si>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</si>
  <si>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</si>
  <si>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</si>
  <si>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</si>
  <si>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</si>
  <si>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</si>
  <si>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</si>
  <si>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</si>
  <si>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</si>
  <si>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</si>
  <si>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</si>
  <si>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</si>
  <si>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</si>
  <si>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</si>
  <si>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</si>
  <si>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</si>
  <si>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</si>
  <si>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</si>
  <si>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</si>
  <si>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</si>
  <si>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</si>
  <si>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</si>
  <si>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</si>
  <si>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</si>
  <si>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</si>
  <si>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</si>
  <si>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</si>
  <si>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</si>
  <si>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</si>
  <si>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</si>
  <si>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</si>
  <si>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</si>
  <si>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</si>
  <si>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</si>
  <si>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</si>
  <si>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</si>
  <si>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</si>
  <si>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</si>
  <si>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</si>
  <si>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</si>
  <si>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</si>
  <si>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</si>
  <si>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</si>
  <si>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</si>
  <si>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</si>
  <si>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</si>
  <si>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</si>
  <si>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</si>
  <si>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</si>
  <si>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</si>
  <si>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</si>
  <si>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</si>
  <si>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</si>
  <si>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</si>
  <si>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</si>
  <si>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</si>
  <si>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</si>
  <si>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</si>
  <si>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</si>
  <si>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</si>
  <si>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</si>
  <si>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</si>
  <si>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</si>
  <si>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</si>
  <si>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</si>
  <si>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</si>
  <si>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</si>
  <si>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</si>
  <si>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</si>
  <si>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</si>
  <si>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</si>
  <si>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</si>
  <si>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</si>
  <si>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</si>
  <si>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</si>
  <si>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</si>
  <si>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</si>
  <si>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</si>
  <si>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</si>
  <si>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</si>
  <si>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</si>
  <si>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</si>
  <si>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</si>
  <si>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</si>
  <si>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</si>
  <si>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</si>
  <si>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</si>
  <si>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</si>
  <si>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</si>
  <si>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</si>
  <si>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</si>
  <si>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</si>
  <si>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</si>
  <si>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</si>
  <si>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</si>
  <si>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</si>
  <si>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</si>
  <si>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</si>
  <si>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</si>
  <si>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</si>
  <si>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</si>
  <si>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</si>
  <si>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</si>
  <si>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</si>
  <si>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</si>
  <si>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</si>
  <si>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</si>
  <si>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</si>
  <si>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</si>
  <si>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</si>
  <si>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</si>
  <si>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</si>
  <si>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</si>
  <si>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</si>
  <si>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</si>
  <si>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</si>
  <si>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</si>
  <si>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</si>
  <si>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</si>
  <si>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</si>
  <si>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</si>
  <si>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</si>
  <si>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</si>
  <si>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</si>
  <si>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</si>
  <si>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</si>
  <si>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</si>
  <si>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</si>
  <si>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</si>
  <si>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</si>
  <si>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</si>
  <si>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</si>
  <si>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</si>
  <si>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</si>
  <si>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</si>
  <si>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</si>
  <si>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</si>
  <si>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</si>
  <si>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</si>
  <si>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</si>
  <si>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</si>
  <si>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</si>
  <si>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</si>
  <si>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</si>
  <si>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</si>
  <si>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</si>
  <si>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</si>
  <si>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</si>
  <si>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</si>
  <si>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</si>
  <si>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</si>
  <si>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</si>
  <si>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</si>
  <si>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</si>
  <si>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</si>
  <si>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</si>
  <si>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</si>
  <si>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</si>
  <si>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</si>
  <si>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</si>
  <si>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</si>
  <si>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</si>
  <si>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</si>
  <si>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</si>
  <si>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</si>
  <si>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</si>
  <si>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</si>
  <si>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</si>
  <si>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</si>
  <si>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</si>
  <si>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</si>
  <si>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</si>
  <si>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</si>
  <si>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</si>
  <si>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</si>
  <si>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</si>
  <si>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</si>
  <si>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</si>
  <si>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</si>
  <si>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</si>
  <si>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</si>
  <si>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</si>
  <si>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</si>
  <si>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</si>
  <si>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</si>
  <si>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</si>
  <si>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</si>
  <si>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</si>
  <si>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</si>
  <si>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</si>
  <si>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</si>
  <si>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</si>
  <si>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</si>
  <si>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</si>
  <si>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</si>
  <si>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</si>
  <si>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</si>
  <si>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</si>
  <si>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</si>
  <si>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</si>
  <si>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</si>
  <si>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</si>
  <si>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</si>
  <si>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</si>
  <si>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</si>
  <si>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</si>
  <si>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</si>
  <si>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</si>
  <si>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</si>
  <si>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</si>
  <si>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</si>
  <si>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</si>
  <si>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</si>
  <si>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</si>
  <si>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</si>
  <si>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</si>
  <si>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</si>
  <si>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</si>
  <si>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</si>
  <si>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</si>
  <si>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</si>
  <si>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</si>
  <si>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</si>
  <si>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</si>
  <si>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</si>
  <si>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</si>
  <si>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</si>
  <si>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</si>
  <si>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</si>
  <si>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</si>
  <si>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</si>
  <si>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</si>
  <si>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</si>
  <si>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</si>
  <si>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</si>
  <si>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</si>
  <si>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</si>
  <si>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</si>
  <si>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</si>
  <si>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</si>
  <si>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</si>
  <si>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</si>
  <si>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</si>
  <si>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</si>
  <si>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</si>
  <si>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</si>
  <si>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</si>
  <si>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</si>
  <si>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</si>
  <si>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</si>
  <si>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</si>
  <si>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</si>
  <si>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</si>
  <si>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</si>
  <si>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</si>
  <si>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</si>
  <si>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</si>
  <si>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</si>
  <si>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</si>
  <si>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</si>
  <si>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</si>
  <si>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</si>
  <si>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</si>
  <si>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</si>
  <si>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</si>
  <si>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</si>
  <si>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</si>
  <si>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</si>
  <si>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</si>
  <si>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</si>
  <si>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</si>
  <si>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</si>
  <si>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</si>
  <si>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</si>
  <si>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</si>
  <si>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</si>
  <si>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</si>
  <si>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</si>
  <si>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</si>
  <si>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</si>
  <si>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</si>
  <si>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</si>
  <si>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</si>
  <si>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</si>
  <si>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</si>
  <si>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</si>
  <si>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</si>
  <si>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</si>
  <si>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</si>
  <si>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</si>
  <si>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</si>
  <si>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</si>
  <si>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</si>
  <si>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</si>
  <si>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</si>
  <si>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</si>
  <si>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</si>
  <si>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</si>
  <si>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</si>
  <si>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</si>
  <si>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</si>
  <si>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</si>
  <si>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</si>
  <si>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</si>
  <si>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</si>
  <si>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</si>
  <si>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</si>
  <si>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</si>
  <si>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</si>
  <si>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</si>
  <si>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</si>
  <si>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</si>
  <si>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</si>
  <si>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</si>
  <si>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</si>
  <si>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</si>
  <si>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</si>
  <si>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</si>
  <si>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</si>
  <si>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</si>
  <si>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</si>
  <si>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</si>
  <si>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</si>
  <si>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</si>
  <si>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</si>
  <si>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</si>
  <si>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</si>
  <si>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</si>
  <si>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</si>
  <si>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</si>
  <si>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</si>
  <si>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</si>
  <si>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</si>
  <si>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</si>
  <si>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</si>
  <si>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</si>
  <si>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</si>
  <si>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</si>
  <si>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</si>
  <si>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</si>
  <si>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</si>
  <si>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</si>
  <si>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</si>
  <si>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</si>
  <si>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</si>
  <si>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</si>
  <si>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</si>
  <si>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</si>
  <si>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</si>
  <si>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</si>
  <si>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</si>
  <si>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</si>
  <si>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</si>
  <si>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</si>
  <si>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</si>
  <si>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</si>
  <si>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</si>
  <si>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</si>
  <si>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</si>
  <si>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</si>
  <si>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</si>
  <si>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</si>
  <si>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</si>
  <si>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</si>
  <si>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</si>
  <si>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</si>
  <si>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</si>
  <si>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</si>
  <si>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</si>
  <si>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</si>
  <si>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</si>
  <si>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</si>
  <si>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</si>
  <si>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</si>
  <si>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</si>
  <si>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</si>
  <si>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</si>
  <si>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</si>
  <si>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</si>
  <si>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</si>
  <si>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</si>
  <si>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</si>
  <si>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</si>
  <si>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</si>
  <si>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</si>
  <si>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</si>
  <si>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</si>
  <si>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</si>
  <si>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</si>
  <si>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</si>
  <si>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</si>
  <si>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</si>
  <si>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</si>
  <si>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</si>
  <si>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</si>
  <si>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</si>
  <si>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</si>
  <si>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</si>
  <si>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</si>
  <si>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</si>
  <si>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</si>
  <si>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</si>
  <si>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</si>
  <si>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</si>
  <si>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</si>
  <si>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</si>
  <si>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</si>
  <si>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</si>
  <si>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</si>
  <si>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</si>
  <si>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</si>
  <si>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</si>
  <si>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</si>
  <si>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</si>
  <si>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</si>
  <si>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</si>
  <si>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</si>
  <si>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</si>
  <si>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</si>
  <si>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</si>
  <si>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</si>
  <si>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</si>
  <si>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</si>
  <si>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</si>
  <si>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</si>
  <si>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</si>
  <si>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</si>
  <si>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</si>
  <si>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</si>
  <si>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</si>
  <si>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</si>
  <si>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</si>
  <si>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</si>
  <si>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</si>
  <si>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</si>
  <si>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</si>
  <si>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</si>
  <si>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</si>
  <si>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</si>
  <si>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</si>
  <si>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</si>
  <si>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</si>
  <si>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</si>
  <si>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</si>
  <si>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</si>
  <si>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</si>
  <si>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</si>
  <si>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</si>
  <si>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</si>
  <si>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</si>
  <si>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</si>
  <si>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</si>
  <si>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</si>
  <si>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</si>
  <si>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</si>
  <si>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</si>
  <si>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</si>
  <si>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</si>
  <si>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</si>
  <si>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</si>
  <si>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</si>
  <si>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</si>
  <si>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</si>
  <si>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</si>
  <si>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</si>
  <si>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</si>
  <si>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</si>
  <si>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</si>
  <si>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</si>
  <si>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</si>
  <si>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</si>
  <si>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</si>
  <si>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</si>
  <si>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</si>
  <si>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</si>
  <si>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</si>
  <si>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</si>
  <si>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</si>
  <si>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</si>
  <si>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</si>
  <si>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</si>
  <si>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</si>
  <si>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</si>
  <si>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</si>
  <si>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</si>
  <si>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</si>
  <si>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</si>
  <si>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</si>
  <si>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</si>
  <si>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</si>
  <si>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</si>
  <si>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</si>
  <si>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</si>
  <si>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</si>
  <si>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</si>
  <si>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</si>
  <si>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</si>
  <si>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</si>
  <si>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</si>
  <si>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</si>
  <si>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</si>
  <si>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</si>
  <si>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</si>
  <si>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</si>
  <si>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</si>
  <si>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</si>
  <si>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</si>
  <si>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</si>
  <si>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</si>
  <si>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</si>
  <si>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</si>
  <si>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</si>
  <si>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</si>
  <si>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</si>
  <si>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</si>
  <si>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</si>
  <si>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</si>
  <si>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</si>
  <si>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</si>
  <si>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</si>
  <si>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</si>
  <si>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</si>
  <si>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</si>
  <si>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</si>
  <si>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</si>
  <si>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</si>
  <si>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</si>
  <si>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</si>
  <si>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</si>
  <si>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</si>
  <si>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</si>
  <si>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</si>
  <si>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</si>
  <si>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</si>
  <si>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</si>
  <si>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</si>
  <si>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</si>
  <si>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</si>
  <si>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</si>
  <si>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</si>
  <si>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</si>
  <si>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</si>
  <si>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</si>
  <si>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</si>
  <si>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</si>
  <si>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</si>
  <si>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</si>
  <si>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</si>
  <si>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</si>
  <si>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</si>
  <si>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</si>
  <si>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</si>
  <si>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</si>
  <si>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</si>
  <si>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</si>
  <si>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</si>
  <si>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</si>
  <si>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</si>
  <si>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</si>
  <si>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</si>
  <si>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</si>
  <si>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</si>
  <si>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</si>
  <si>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</si>
  <si>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</si>
  <si>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</si>
  <si>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</si>
  <si>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</si>
  <si>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</si>
  <si>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</si>
  <si>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</si>
  <si>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</si>
  <si>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</si>
  <si>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</si>
  <si>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</si>
  <si>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</si>
  <si>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</si>
  <si>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</si>
  <si>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</si>
  <si>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</si>
  <si>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</si>
  <si>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</si>
  <si>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</si>
  <si>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</si>
  <si>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</si>
  <si>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</si>
  <si>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</si>
  <si>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</si>
  <si>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</si>
  <si>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</si>
  <si>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</si>
  <si>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</si>
  <si>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</si>
  <si>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</si>
  <si>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</si>
  <si>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</si>
  <si>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</si>
  <si>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</si>
  <si>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</si>
  <si>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</si>
  <si>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</si>
  <si>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</si>
  <si>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</si>
  <si>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</si>
  <si>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</si>
  <si>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</si>
  <si>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</si>
  <si>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</si>
  <si>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</si>
  <si>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</si>
  <si>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</si>
  <si>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</si>
  <si>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</si>
  <si>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</si>
  <si>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</si>
  <si>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</si>
  <si>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</si>
  <si>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</si>
  <si>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</si>
  <si>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</si>
  <si>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</si>
  <si>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</si>
  <si>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</si>
  <si>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</si>
  <si>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</si>
  <si>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</si>
  <si>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</si>
  <si>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</si>
  <si>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</si>
  <si>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</si>
  <si>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</si>
  <si>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</si>
  <si>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</si>
  <si>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</si>
  <si>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</si>
  <si>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</si>
  <si>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</si>
  <si>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</si>
  <si>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</si>
  <si>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</si>
  <si>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</si>
  <si>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</si>
  <si>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</si>
  <si>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</si>
  <si>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</si>
  <si>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</si>
  <si>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</si>
  <si>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</si>
  <si>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</si>
  <si>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</si>
  <si>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</si>
  <si>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</si>
  <si>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</si>
  <si>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</si>
  <si>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</si>
  <si>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</si>
  <si>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</si>
  <si>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</si>
  <si>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</si>
  <si>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</si>
  <si>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</si>
  <si>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</si>
  <si>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</si>
  <si>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</si>
  <si>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</si>
  <si>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</si>
  <si>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</si>
  <si>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</si>
  <si>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</si>
  <si>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</si>
  <si>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</si>
  <si>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</si>
  <si>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</si>
  <si>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</si>
  <si>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</si>
  <si>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</si>
  <si>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</si>
  <si>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</si>
  <si>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</si>
  <si>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</si>
  <si>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</si>
  <si>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</si>
  <si>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</si>
  <si>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</si>
  <si>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</si>
  <si>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</si>
  <si>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</si>
  <si>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</si>
  <si>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</si>
  <si>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</si>
  <si>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</si>
  <si>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</si>
  <si>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</si>
  <si>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</si>
  <si>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</si>
  <si>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</si>
  <si>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</si>
  <si>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</si>
  <si>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</si>
  <si>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</si>
  <si>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</si>
  <si>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</si>
  <si>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</si>
  <si>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</si>
  <si>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</si>
  <si>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</si>
  <si>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</si>
  <si>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</si>
  <si>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</si>
  <si>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</si>
  <si>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</si>
  <si>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</si>
  <si>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</si>
  <si>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</si>
  <si>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</si>
  <si>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</si>
  <si>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</si>
  <si>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</si>
  <si>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</si>
  <si>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</si>
  <si>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</si>
  <si>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</si>
  <si>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</si>
  <si>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</si>
  <si>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</si>
  <si>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</si>
  <si>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</si>
  <si>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</si>
  <si>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</si>
  <si>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</si>
  <si>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</si>
  <si>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</si>
  <si>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</si>
  <si>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</si>
  <si>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</si>
  <si>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</si>
  <si>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</si>
  <si>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</si>
  <si>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</si>
  <si>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</si>
  <si>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</si>
  <si>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</si>
  <si>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</si>
  <si>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</si>
  <si>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</si>
  <si>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</si>
  <si>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</si>
  <si>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</si>
  <si>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</si>
  <si>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</si>
  <si>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</si>
  <si>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</si>
  <si>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</si>
  <si>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</si>
  <si>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</si>
  <si>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</si>
  <si>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</si>
  <si>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</si>
  <si>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</si>
  <si>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</si>
  <si>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</si>
  <si>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</si>
  <si>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</si>
  <si>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</si>
  <si>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</si>
  <si>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</si>
  <si>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</si>
  <si>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</si>
  <si>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</si>
  <si>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</si>
  <si>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</si>
  <si>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</si>
  <si>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</si>
  <si>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</si>
  <si>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</si>
  <si>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</si>
  <si>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</si>
  <si>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</si>
  <si>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</si>
  <si>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</si>
  <si>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</si>
  <si>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</si>
  <si>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</si>
  <si>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</si>
  <si>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</si>
  <si>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</si>
  <si>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</si>
  <si>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</si>
  <si>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</si>
  <si>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</si>
  <si>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</si>
  <si>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</si>
  <si>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</si>
  <si>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</si>
  <si>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</si>
  <si>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</si>
  <si>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</si>
  <si>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</si>
  <si>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</si>
  <si>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</si>
  <si>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</si>
  <si>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</si>
  <si>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</si>
  <si>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</si>
  <si>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</si>
  <si>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</si>
  <si>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</si>
  <si>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</si>
  <si>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</si>
  <si>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</si>
  <si>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</si>
  <si>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</si>
  <si>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</si>
  <si>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</si>
  <si>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</si>
  <si>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</si>
  <si>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</si>
  <si>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</si>
  <si>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</si>
  <si>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</si>
  <si>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</si>
  <si>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</si>
  <si>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</si>
  <si>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</si>
  <si>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</si>
  <si>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</si>
  <si>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</si>
  <si>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</si>
  <si>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</si>
  <si>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</si>
  <si>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</si>
  <si>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</si>
  <si>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</si>
  <si>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</si>
  <si>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</si>
  <si>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</si>
  <si>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</si>
  <si>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</si>
  <si>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</si>
  <si>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</si>
  <si>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</si>
  <si>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</si>
  <si>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</si>
  <si>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</si>
  <si>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</si>
  <si>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</si>
  <si>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</si>
  <si>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</si>
  <si>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</si>
  <si>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</si>
  <si>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</si>
  <si>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</si>
  <si>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</si>
  <si>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</si>
  <si>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</si>
  <si>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</si>
  <si>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</si>
  <si>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</si>
  <si>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</si>
  <si>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</si>
  <si>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</si>
  <si>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</si>
  <si>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</si>
  <si>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</si>
  <si>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</si>
  <si>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</si>
  <si>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</si>
  <si>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</si>
  <si>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</si>
  <si>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</si>
  <si>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</si>
  <si>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</si>
  <si>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</si>
  <si>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</si>
  <si>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</si>
  <si>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</si>
  <si>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</si>
  <si>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</si>
  <si>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</si>
  <si>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</si>
  <si>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</si>
  <si>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</si>
  <si>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</si>
  <si>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</si>
  <si>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</si>
  <si>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</si>
  <si>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</si>
  <si>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</si>
  <si>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</si>
  <si>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</si>
  <si>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</si>
  <si>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</si>
  <si>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</si>
  <si>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</si>
  <si>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</si>
  <si>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</si>
  <si>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</si>
  <si>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</si>
  <si>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</si>
  <si>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</si>
  <si>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</si>
  <si>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</si>
  <si>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</si>
  <si>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</si>
  <si>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</si>
  <si>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</si>
  <si>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</si>
  <si>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</si>
  <si>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</si>
  <si>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</si>
  <si>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</si>
  <si>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</si>
  <si>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</si>
  <si>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</si>
  <si>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</si>
  <si>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</si>
  <si>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</si>
  <si>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</si>
  <si>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</si>
  <si>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</si>
  <si>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</si>
  <si>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</si>
  <si>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</si>
  <si>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</si>
  <si>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</si>
  <si>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</si>
  <si>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</si>
  <si>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</si>
  <si>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</si>
  <si>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</si>
  <si>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</si>
  <si>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</si>
  <si>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</si>
  <si>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</si>
  <si>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</si>
  <si>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</si>
  <si>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</si>
  <si>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</si>
  <si>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</si>
  <si>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</si>
  <si>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</si>
  <si>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</si>
  <si>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</si>
  <si>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</si>
  <si>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</si>
  <si>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</si>
  <si>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</si>
  <si>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</si>
  <si>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</si>
  <si>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</si>
  <si>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</si>
  <si>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</si>
  <si>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</si>
  <si>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</si>
  <si>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</si>
  <si>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</si>
  <si>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</si>
  <si>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</si>
  <si>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</si>
  <si>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</si>
  <si>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</si>
  <si>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</si>
  <si>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</si>
  <si>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</si>
  <si>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</si>
  <si>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</si>
  <si>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</si>
  <si>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</si>
  <si>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</si>
  <si>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</si>
  <si>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</si>
  <si>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</si>
  <si>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</si>
  <si>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</si>
  <si>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</si>
  <si>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</si>
  <si>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</si>
  <si>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</si>
  <si>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</si>
  <si>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</si>
  <si>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</si>
  <si>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</si>
  <si>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</si>
  <si>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</si>
  <si>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</si>
  <si>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</si>
  <si>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</si>
  <si>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</si>
  <si>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</si>
  <si>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</si>
  <si>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</si>
  <si>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</si>
  <si>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</si>
  <si>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</si>
  <si>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</si>
  <si>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</si>
  <si>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</si>
  <si>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</si>
  <si>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</si>
  <si>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</si>
  <si>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</si>
  <si>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</si>
  <si>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</si>
  <si>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</si>
  <si>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</si>
  <si>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</si>
  <si>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</si>
  <si>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</si>
  <si>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</si>
  <si>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</si>
  <si>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</si>
  <si>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</si>
  <si>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</si>
  <si>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</si>
  <si>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</si>
  <si>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</si>
  <si>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</si>
  <si>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</si>
  <si>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</si>
  <si>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</si>
  <si>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</si>
  <si>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</si>
  <si>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</si>
  <si>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</si>
  <si>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</si>
  <si>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</si>
  <si>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</si>
  <si>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</si>
  <si>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</si>
  <si>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</si>
  <si>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</si>
  <si>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</si>
  <si>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</si>
  <si>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</si>
  <si>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</si>
  <si>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</si>
  <si>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</si>
  <si>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</si>
  <si>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</si>
  <si>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</si>
  <si>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</si>
  <si>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</si>
  <si>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</si>
  <si>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</si>
  <si>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</si>
  <si>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</si>
  <si>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</si>
  <si>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</si>
  <si>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</si>
  <si>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</si>
  <si>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</si>
  <si>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</si>
  <si>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</si>
  <si>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</si>
  <si>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</si>
  <si>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</si>
  <si>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</si>
  <si>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</si>
  <si>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</si>
  <si>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</si>
  <si>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</si>
  <si>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</si>
  <si>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</si>
  <si>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</si>
  <si>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</si>
  <si>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</si>
  <si>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</si>
  <si>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</si>
  <si>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</si>
  <si>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</si>
  <si>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</si>
  <si>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</si>
  <si>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</si>
  <si>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</si>
  <si>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</si>
  <si>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</si>
  <si>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</si>
  <si>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</si>
  <si>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</si>
  <si>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</si>
  <si>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</si>
  <si>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</si>
  <si>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</si>
  <si>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</si>
  <si>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</si>
  <si>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</si>
  <si>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</si>
  <si>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</si>
  <si>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</si>
  <si>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</si>
  <si>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</si>
  <si>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</si>
  <si>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</si>
  <si>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</si>
  <si>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</si>
  <si>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</si>
  <si>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</si>
  <si>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</si>
  <si>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</si>
  <si>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</si>
  <si>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</si>
  <si>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</si>
  <si>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</si>
  <si>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</si>
  <si>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</si>
  <si>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</si>
  <si>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</si>
  <si>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</si>
  <si>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</si>
  <si>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</si>
  <si>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</si>
  <si>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</si>
  <si>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</si>
  <si>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</si>
  <si>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</si>
  <si>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</si>
  <si>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</si>
  <si>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</si>
  <si>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</si>
  <si>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</si>
  <si>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</si>
  <si>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</si>
  <si>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</si>
  <si>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</si>
  <si>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</si>
  <si>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</si>
  <si>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</si>
  <si>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</si>
  <si>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</si>
  <si>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</si>
  <si>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</si>
  <si>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</si>
  <si>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</si>
  <si>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</si>
  <si>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</si>
  <si>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</si>
  <si>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</si>
  <si>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</si>
  <si>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</si>
  <si>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</si>
  <si>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</si>
  <si>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</si>
  <si>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</si>
  <si>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</si>
  <si>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</si>
  <si>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</si>
  <si>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</si>
  <si>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</si>
  <si>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</si>
  <si>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</si>
  <si>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</si>
  <si>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</si>
  <si>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</si>
  <si>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</si>
  <si>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</si>
  <si>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</si>
  <si>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</si>
  <si>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</si>
  <si>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</si>
  <si>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</si>
  <si>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</si>
  <si>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</si>
  <si>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</si>
  <si>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</si>
  <si>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</si>
  <si>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</si>
  <si>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</si>
  <si>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</si>
  <si>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</si>
  <si>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</si>
  <si>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</si>
  <si>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</si>
  <si>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</si>
  <si>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</si>
  <si>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</si>
  <si>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</si>
  <si>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</si>
  <si>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</si>
  <si>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</si>
  <si>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</si>
  <si>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</si>
  <si>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</si>
  <si>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</si>
  <si>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</si>
  <si>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</si>
  <si>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</si>
  <si>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</si>
  <si>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</si>
  <si>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</si>
  <si>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</si>
  <si>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</si>
  <si>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</si>
  <si>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</si>
  <si>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</si>
  <si>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</si>
  <si>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</si>
  <si>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</si>
  <si>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</si>
  <si>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</si>
  <si>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</si>
  <si>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</si>
  <si>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</si>
  <si>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</si>
  <si>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</si>
  <si>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</si>
  <si>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</si>
  <si>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</si>
  <si>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</si>
  <si>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</si>
  <si>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</si>
  <si>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</si>
  <si>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</si>
  <si>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</si>
  <si>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</si>
  <si>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</si>
  <si>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</si>
  <si>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</si>
  <si>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</si>
  <si>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</si>
  <si>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</si>
  <si>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</si>
  <si>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</si>
  <si>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</si>
  <si>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</si>
  <si>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</si>
  <si>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</si>
  <si>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</si>
  <si>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</si>
  <si>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</si>
  <si>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</si>
  <si>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</si>
  <si>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</si>
  <si>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</si>
  <si>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</si>
  <si>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</si>
  <si>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</si>
  <si>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</si>
  <si>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</si>
  <si>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</si>
  <si>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</si>
  <si>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</si>
  <si>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</si>
  <si>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</si>
  <si>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</si>
  <si>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</si>
  <si>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</si>
  <si>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</si>
  <si>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</si>
  <si>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</si>
  <si>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</si>
  <si>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</si>
  <si>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</si>
  <si>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</si>
  <si>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</si>
  <si>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</si>
  <si>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</si>
  <si>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</si>
  <si>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</si>
  <si>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</si>
  <si>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</si>
  <si>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</si>
  <si>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</si>
  <si>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</si>
  <si>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</si>
  <si>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</si>
  <si>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</si>
  <si>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</si>
  <si>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</si>
  <si>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</si>
  <si>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</si>
  <si>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</si>
  <si>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</si>
  <si>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</si>
  <si>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</si>
  <si>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</si>
  <si>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</si>
  <si>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</si>
  <si>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</si>
  <si>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</si>
  <si>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</si>
  <si>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</si>
  <si>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</si>
  <si>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</si>
  <si>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</si>
  <si>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</si>
  <si>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</si>
  <si>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</si>
  <si>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</si>
  <si>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</si>
  <si>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</si>
  <si>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</si>
  <si>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</si>
  <si>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</si>
  <si>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</si>
  <si>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</si>
  <si>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</si>
  <si>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</si>
  <si>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</si>
  <si>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</si>
  <si>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</si>
  <si>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</si>
  <si>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</si>
  <si>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</si>
  <si>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</si>
  <si>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</si>
  <si>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</si>
  <si>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</si>
  <si>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</si>
  <si>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</si>
  <si>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</si>
  <si>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</si>
  <si>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</si>
  <si>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</si>
  <si>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</si>
  <si>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</si>
  <si>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</si>
  <si>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</si>
  <si>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</si>
  <si>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</si>
  <si>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</si>
  <si>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</si>
  <si>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</si>
  <si>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</si>
  <si>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</si>
  <si>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</si>
  <si>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</si>
  <si>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</si>
  <si>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</si>
  <si>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</si>
  <si>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</si>
  <si>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</si>
  <si>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</si>
  <si>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</si>
  <si>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</si>
  <si>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</si>
  <si>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</si>
  <si>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</si>
  <si>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</si>
  <si>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</si>
  <si>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</si>
  <si>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</si>
  <si>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</si>
  <si>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</si>
  <si>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</si>
  <si>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</si>
  <si>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</si>
  <si>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</si>
  <si>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</si>
  <si>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</si>
  <si>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</si>
  <si>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</si>
  <si>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</si>
  <si>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</si>
  <si>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</si>
  <si>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</si>
  <si>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</si>
  <si>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</si>
  <si>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</si>
  <si>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</si>
  <si>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</si>
  <si>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</si>
  <si>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</si>
  <si>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</si>
  <si>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</si>
  <si>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</si>
  <si>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</si>
  <si>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</si>
  <si>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</si>
  <si>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</si>
  <si>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</si>
  <si>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</si>
  <si>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</si>
  <si>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</si>
  <si>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</si>
  <si>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</si>
  <si>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</si>
  <si>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</si>
  <si>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</si>
  <si>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</si>
  <si>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</si>
  <si>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</si>
  <si>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</si>
  <si>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</si>
  <si>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</si>
  <si>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</si>
  <si>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</si>
  <si>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</si>
  <si>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</si>
  <si>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</si>
  <si>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</si>
  <si>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</si>
  <si>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</si>
  <si>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</si>
  <si>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</si>
  <si>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</si>
  <si>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</si>
  <si>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</si>
  <si>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</si>
  <si>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</si>
  <si>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</si>
  <si>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</si>
  <si>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</si>
  <si>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</si>
  <si>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</si>
  <si>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</si>
  <si>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</si>
  <si>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</si>
  <si>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</si>
  <si>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</si>
  <si>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</si>
  <si>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</si>
  <si>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</si>
  <si>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</si>
  <si>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</si>
  <si>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</si>
  <si>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</si>
  <si>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</si>
  <si>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</si>
  <si>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</si>
  <si>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</si>
  <si>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</si>
  <si>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</si>
  <si>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</si>
  <si>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</si>
  <si>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</si>
  <si>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</si>
  <si>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</si>
  <si>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</si>
  <si>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</si>
  <si>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</si>
  <si>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</si>
  <si>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</si>
  <si>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</si>
  <si>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</si>
  <si>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</si>
  <si>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</si>
  <si>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</si>
  <si>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</si>
  <si>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</si>
  <si>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</si>
  <si>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</si>
  <si>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</si>
  <si>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</si>
  <si>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</si>
  <si>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</si>
  <si>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</si>
  <si>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</si>
  <si>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</si>
  <si>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</si>
  <si>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</si>
  <si>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</si>
  <si>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</si>
  <si>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</si>
  <si>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</si>
  <si>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</si>
  <si>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</si>
  <si>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</si>
  <si>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</si>
  <si>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</si>
  <si>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</si>
  <si>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</si>
  <si>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</si>
  <si>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</si>
  <si>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</si>
  <si>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</si>
  <si>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</si>
  <si>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</si>
  <si>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</si>
  <si>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</si>
  <si>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</si>
  <si>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</si>
  <si>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</si>
  <si>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</si>
  <si>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</si>
  <si>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</si>
  <si>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</si>
  <si>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</si>
  <si>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</si>
  <si>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</si>
  <si>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</si>
  <si>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</si>
  <si>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</si>
  <si>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</si>
  <si>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</si>
  <si>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</si>
  <si>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</si>
  <si>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</si>
  <si>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</si>
  <si>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</si>
  <si>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</si>
  <si>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</si>
  <si>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</si>
  <si>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</si>
  <si>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</si>
  <si>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</si>
  <si>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</si>
  <si>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</si>
  <si>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</si>
  <si>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</si>
  <si>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</si>
  <si>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</si>
  <si>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</si>
  <si>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</si>
  <si>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</si>
  <si>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</si>
  <si>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</si>
  <si>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</si>
  <si>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</si>
  <si>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</si>
  <si>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</si>
  <si>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</si>
  <si>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</si>
  <si>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</si>
  <si>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</si>
  <si>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</si>
  <si>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</si>
  <si>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</si>
  <si>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</si>
  <si>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</si>
  <si>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</si>
  <si>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</si>
  <si>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</si>
  <si>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</si>
  <si>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</si>
  <si>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</si>
  <si>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</si>
  <si>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</si>
  <si>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</si>
  <si>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</si>
  <si>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</si>
  <si>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</si>
  <si>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</si>
  <si>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</si>
  <si>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</si>
  <si>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</si>
  <si>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</si>
  <si>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</si>
  <si>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</si>
  <si>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</si>
  <si>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</si>
  <si>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</si>
  <si>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</si>
  <si>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</si>
  <si>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</si>
  <si>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</si>
  <si>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</si>
  <si>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</si>
  <si>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</si>
  <si>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</si>
  <si>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</si>
  <si>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</si>
  <si>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</si>
  <si>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</si>
  <si>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</si>
  <si>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</si>
  <si>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</si>
  <si>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</si>
  <si>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</si>
  <si>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</si>
  <si>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</si>
  <si>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</si>
  <si>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</si>
  <si>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</si>
  <si>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</si>
  <si>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</si>
  <si>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</si>
  <si>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</si>
  <si>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</si>
  <si>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</si>
  <si>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</si>
  <si>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</si>
  <si>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</si>
  <si>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</si>
  <si>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</si>
  <si>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</si>
  <si>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</si>
  <si>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</si>
  <si>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</si>
  <si>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</si>
  <si>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</si>
  <si>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</si>
  <si>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</si>
  <si>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</si>
  <si>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</si>
  <si>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</si>
  <si>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</si>
  <si>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</si>
  <si>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</si>
  <si>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</si>
  <si>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</si>
  <si>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</si>
  <si>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</si>
  <si>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</si>
  <si>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</si>
  <si>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</si>
  <si>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</si>
  <si>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</si>
  <si>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</si>
  <si>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</si>
  <si>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</si>
  <si>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</si>
  <si>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</si>
  <si>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</si>
  <si>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</si>
  <si>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</si>
  <si>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</si>
  <si>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</si>
  <si>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</si>
  <si>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</si>
  <si>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</si>
  <si>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</si>
  <si>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</si>
  <si>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</si>
  <si>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</si>
  <si>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</si>
  <si>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</si>
  <si>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</si>
  <si>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</si>
  <si>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</si>
  <si>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</si>
  <si>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</si>
  <si>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</si>
  <si>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</si>
  <si>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</si>
  <si>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</si>
  <si>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</si>
  <si>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</si>
  <si>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</si>
  <si>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</si>
  <si>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</si>
  <si>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</si>
  <si>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</si>
  <si>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</si>
  <si>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</si>
  <si>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</si>
  <si>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</si>
  <si>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</si>
  <si>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</si>
  <si>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</si>
  <si>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</si>
  <si>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</si>
  <si>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</si>
  <si>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</si>
  <si>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</si>
  <si>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</si>
  <si>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</si>
  <si>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</si>
  <si>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</si>
  <si>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</si>
  <si>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</si>
  <si>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</si>
  <si>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</si>
  <si>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</si>
  <si>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</si>
  <si>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</si>
  <si>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</si>
  <si>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</si>
  <si>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</si>
  <si>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</si>
  <si>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</si>
  <si>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</si>
  <si>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</si>
  <si>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</si>
  <si>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</si>
  <si>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</si>
  <si>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</si>
  <si>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</si>
  <si>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</si>
  <si>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</si>
  <si>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</si>
  <si>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</si>
  <si>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</si>
  <si>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</si>
  <si>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</si>
  <si>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</si>
  <si>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</si>
  <si>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</si>
  <si>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</si>
  <si>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</si>
  <si>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</si>
  <si>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</si>
  <si>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</si>
  <si>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</si>
  <si>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</si>
  <si>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</si>
  <si>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</si>
  <si>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</si>
  <si>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</si>
  <si>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</si>
  <si>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</si>
  <si>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</si>
  <si>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</si>
  <si>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</si>
  <si>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</si>
  <si>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</si>
  <si>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</si>
  <si>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</si>
  <si>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</si>
  <si>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</si>
  <si>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</si>
  <si>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</si>
  <si>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</si>
  <si>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</si>
  <si>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</si>
  <si>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</si>
  <si>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</si>
  <si>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</si>
  <si>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</si>
  <si>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</si>
  <si>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</si>
  <si>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</si>
  <si>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</si>
  <si>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</si>
  <si>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</si>
  <si>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</si>
  <si>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</si>
  <si>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</si>
  <si>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</si>
  <si>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</si>
  <si>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</si>
  <si>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</si>
  <si>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</si>
  <si>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</si>
  <si>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</si>
  <si>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</si>
  <si>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</si>
  <si>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</si>
  <si>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</si>
  <si>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</si>
  <si>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</si>
  <si>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</si>
  <si>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</si>
  <si>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</si>
  <si>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</si>
  <si>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</si>
  <si>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</si>
  <si>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</si>
  <si>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</si>
  <si>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</si>
  <si>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</si>
  <si>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</si>
  <si>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</si>
  <si>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</si>
  <si>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</si>
  <si>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</si>
  <si>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</si>
  <si>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</si>
  <si>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</si>
  <si>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</si>
  <si>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</si>
  <si>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</si>
  <si>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</si>
  <si>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</si>
  <si>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</si>
  <si>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</si>
  <si>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</si>
  <si>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</si>
  <si>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</si>
  <si>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</si>
  <si>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</si>
  <si>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</si>
  <si>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</si>
  <si>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</si>
  <si>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</si>
  <si>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</si>
  <si>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</si>
  <si>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</si>
  <si>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</si>
  <si>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</si>
  <si>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</si>
  <si>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</si>
  <si>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</si>
  <si>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</si>
  <si>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</si>
  <si>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</si>
  <si>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</si>
  <si>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</si>
  <si>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</si>
  <si>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</si>
  <si>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</si>
  <si>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</si>
  <si>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</si>
  <si>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</si>
  <si>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</si>
  <si>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</si>
  <si>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</si>
  <si>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</si>
  <si>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</si>
  <si>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</si>
  <si>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</si>
  <si>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</si>
  <si>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</si>
  <si>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</si>
  <si>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</si>
  <si>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</si>
  <si>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</si>
  <si>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</si>
  <si>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</si>
  <si>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</si>
  <si>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</si>
  <si>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</si>
  <si>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</si>
  <si>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</si>
  <si>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</si>
  <si>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</si>
  <si>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</si>
  <si>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</si>
  <si>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</si>
  <si>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</si>
  <si>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</si>
  <si>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</si>
  <si>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</si>
  <si>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</si>
  <si>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</si>
  <si>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</si>
  <si>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</si>
  <si>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</si>
  <si>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</si>
  <si>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</si>
  <si>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</si>
  <si>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</si>
  <si>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</si>
  <si>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</si>
  <si>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</si>
  <si>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</si>
  <si>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</si>
  <si>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</si>
  <si>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</si>
  <si>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</si>
  <si>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</si>
  <si>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</si>
  <si>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</si>
  <si>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</si>
  <si>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</si>
  <si>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</si>
  <si>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</si>
  <si>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</si>
  <si>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</si>
  <si>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</si>
  <si>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</si>
  <si>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</si>
  <si>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</si>
  <si>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</si>
  <si>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</si>
  <si>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</si>
  <si>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</si>
  <si>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</si>
  <si>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</si>
  <si>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</si>
  <si>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</si>
  <si>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</si>
  <si>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</si>
  <si>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</si>
  <si>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</si>
  <si>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</si>
  <si>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</si>
  <si>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</si>
  <si>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</si>
  <si>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</si>
  <si>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</si>
  <si>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</si>
  <si>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</si>
  <si>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</si>
  <si>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</si>
  <si>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</si>
  <si>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</si>
  <si>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</si>
  <si>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</si>
  <si>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</si>
  <si>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</si>
  <si>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</si>
  <si>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</si>
  <si>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</si>
  <si>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</si>
  <si>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</si>
  <si>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</si>
  <si>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</si>
  <si>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</si>
  <si>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</si>
  <si>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</si>
  <si>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</si>
  <si>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</si>
  <si>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</si>
  <si>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</si>
  <si>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</si>
  <si>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</si>
  <si>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</si>
  <si>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</si>
  <si>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</si>
  <si>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</si>
  <si>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</si>
  <si>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</si>
  <si>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</si>
  <si>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</si>
  <si>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</si>
  <si>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</si>
  <si>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</si>
  <si>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</si>
  <si>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</si>
  <si>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</si>
  <si>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</si>
  <si>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</si>
  <si>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</si>
  <si>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</si>
  <si>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</si>
  <si>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</si>
  <si>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</si>
  <si>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</si>
  <si>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</si>
  <si>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</si>
  <si>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</si>
  <si>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</si>
  <si>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</si>
  <si>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</si>
  <si>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</si>
  <si>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</si>
  <si>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</si>
  <si>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</si>
  <si>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</si>
  <si>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</si>
  <si>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</si>
  <si>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</si>
  <si>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</si>
  <si>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</si>
  <si>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</si>
  <si>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</si>
  <si>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</si>
  <si>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</si>
  <si>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</si>
  <si>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</si>
  <si>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</si>
  <si>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</si>
  <si>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</si>
  <si>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</si>
  <si>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</si>
  <si>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</si>
  <si>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</si>
  <si>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</si>
  <si>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</si>
  <si>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</si>
  <si>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</si>
  <si>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</si>
  <si>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</si>
  <si>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</si>
  <si>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</si>
  <si>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</si>
  <si>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</si>
  <si>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</si>
  <si>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</si>
  <si>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</si>
  <si>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</si>
  <si>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</si>
  <si>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33</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</si>
  <si>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</si>
  <si>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</si>
  <si>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</si>
  <si>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</si>
  <si>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</si>
  <si>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</si>
  <si>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</si>
  <si>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</si>
  <si>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Das Opfer legt eine Mut + (M)-Probe ab, erschwert um {M}, alle {Magie} + 1 sec eine weitere. Gelingt die Probe, endet der Zauber.</t>
  </si>
  <si>
    <t>Jedes Opfer in RW legt eine Mut + (M)-Probe ab, erschwert um {M}, alle {Magie}*2 sec eine weitere. Gelingt die Probe, endet der Zauber.</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</si>
  <si>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</si>
  <si>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</si>
  <si>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</si>
  <si>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</si>
  <si>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</si>
  <si>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</si>
  <si>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</si>
  <si>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</si>
  <si>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</si>
  <si>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</si>
  <si>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</si>
  <si>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</si>
  <si>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</si>
  <si>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</si>
  <si>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</si>
  <si>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</si>
  <si>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</si>
  <si>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</si>
  <si>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</si>
  <si>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22</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</si>
  <si>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</si>
  <si>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</si>
  <si>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</si>
  <si>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</si>
  <si>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</si>
  <si>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</si>
  <si>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</si>
  <si>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</si>
  <si>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</si>
  <si>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</si>
  <si>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</si>
  <si>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</si>
  <si>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</si>
  <si>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</si>
  <si>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</si>
  <si>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</si>
  <si>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</si>
  <si>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</si>
  <si>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</si>
  <si>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</si>
  <si>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</si>
  <si>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</si>
  <si>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</si>
  <si>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</si>
  <si>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</si>
  <si>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</si>
  <si>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</si>
  <si>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</si>
  <si>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</si>
  <si>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</si>
  <si>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</si>
  <si>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</si>
  <si>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</si>
  <si>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</si>
  <si>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</si>
  <si>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</si>
  <si>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</si>
  <si>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</si>
  <si>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</si>
  <si>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</si>
  <si>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</si>
  <si>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</si>
  <si>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</si>
  <si>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</si>
  <si>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</si>
  <si>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35</t>
  </si>
  <si>
    <t>Das Opfer legt eine Intelligenz + (M)-Probe ab, erschwert um {M}, alle 10 Stunden eine weitere. Gelingt die Probe, endet der Zauber.</t>
  </si>
  <si>
    <t>(M)/6m</t>
  </si>
  <si>
    <t>10 + 1 / 6 sec</t>
  </si>
  <si>
    <t>11 + 2 / sec</t>
  </si>
  <si>
    <t>Magie*3m</t>
  </si>
  <si>
    <t>Strahl</t>
  </si>
  <si>
    <t>Magie*sec</t>
  </si>
  <si>
    <t>8 + 4 / sec</t>
  </si>
  <si>
    <t>26</t>
  </si>
  <si>
    <t>4/Ball</t>
  </si>
  <si>
    <t>2sec</t>
  </si>
  <si>
    <t>20 + 1 / 3 sec</t>
  </si>
  <si>
    <t>(M)*3m</t>
  </si>
  <si>
    <t>Magie*4m</t>
  </si>
  <si>
    <t>15+ 7 / sec</t>
  </si>
  <si>
    <t>(M)*5m</t>
  </si>
  <si>
    <t>16/Bolzen</t>
  </si>
  <si>
    <t>180</t>
  </si>
  <si>
    <t>360</t>
  </si>
  <si>
    <t>LE/3h</t>
  </si>
  <si>
    <t>60sec</t>
  </si>
  <si>
    <t>5400</t>
  </si>
  <si>
    <t>28</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</si>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</sst>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79" width="9.140625" style="11" customWidth="1"/>
    <col min="80"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1783</v>
      </c>
    </row>
    <row r="1400" spans="1:17" ht="15.75" hidden="1" customHeight="1">
      <c r="A1400" t="s">
        <v>3907</v>
      </c>
      <c r="B1400" t="s">
        <v>17</v>
      </c>
      <c r="C1400" t="s">
        <v>1788</v>
      </c>
      <c r="F1400" t="s">
        <v>264</v>
      </c>
      <c r="G1400" t="s">
        <v>20</v>
      </c>
      <c r="K1400" t="s">
        <v>3890</v>
      </c>
      <c r="L1400" t="s">
        <v>22</v>
      </c>
      <c r="P1400" t="s">
        <v>125</v>
      </c>
      <c r="Q1400" t="s">
        <v>1789</v>
      </c>
    </row>
    <row r="1401" spans="1:17" ht="15.75" hidden="1" customHeight="1">
      <c r="A1401" t="s">
        <v>3908</v>
      </c>
      <c r="B1401" t="s">
        <v>17</v>
      </c>
      <c r="C1401" t="s">
        <v>1791</v>
      </c>
      <c r="F1401" t="s">
        <v>264</v>
      </c>
      <c r="G1401" t="s">
        <v>20</v>
      </c>
      <c r="K1401" t="s">
        <v>3890</v>
      </c>
      <c r="L1401" t="s">
        <v>22</v>
      </c>
      <c r="P1401" t="s">
        <v>125</v>
      </c>
      <c r="Q1401" t="s">
        <v>3909</v>
      </c>
    </row>
    <row r="1402" spans="1:17" ht="15.75" hidden="1" customHeight="1">
      <c r="A1402" t="s">
        <v>3910</v>
      </c>
      <c r="B1402" t="s">
        <v>17</v>
      </c>
      <c r="C1402" t="s">
        <v>1984</v>
      </c>
      <c r="F1402" t="s">
        <v>1985</v>
      </c>
      <c r="G1402" t="s">
        <v>20</v>
      </c>
      <c r="K1402" t="s">
        <v>3868</v>
      </c>
      <c r="L1402" t="s">
        <v>22</v>
      </c>
      <c r="P1402" t="s">
        <v>741</v>
      </c>
      <c r="Q1402" t="s">
        <v>3911</v>
      </c>
    </row>
    <row r="1403" spans="1:17" ht="15.75" hidden="1" customHeight="1">
      <c r="A1403" t="s">
        <v>3912</v>
      </c>
      <c r="B1403" t="s">
        <v>17</v>
      </c>
      <c r="C1403" t="s">
        <v>1997</v>
      </c>
      <c r="F1403" t="s">
        <v>1985</v>
      </c>
      <c r="G1403" t="s">
        <v>20</v>
      </c>
      <c r="K1403" t="s">
        <v>3874</v>
      </c>
      <c r="L1403" t="s">
        <v>22</v>
      </c>
      <c r="P1403" t="s">
        <v>125</v>
      </c>
      <c r="Q1403" t="s">
        <v>1998</v>
      </c>
    </row>
    <row r="1404" spans="1:17" ht="15.75" hidden="1" customHeight="1">
      <c r="A1404" t="s">
        <v>3913</v>
      </c>
      <c r="B1404" t="s">
        <v>17</v>
      </c>
      <c r="C1404" t="s">
        <v>2012</v>
      </c>
      <c r="F1404" t="s">
        <v>1985</v>
      </c>
      <c r="G1404" t="s">
        <v>20</v>
      </c>
      <c r="K1404" t="s">
        <v>3880</v>
      </c>
      <c r="L1404" t="s">
        <v>22</v>
      </c>
      <c r="P1404" t="s">
        <v>741</v>
      </c>
      <c r="Q1404" t="s">
        <v>2013</v>
      </c>
    </row>
    <row r="1405" spans="1:17" ht="15.75" hidden="1" customHeight="1">
      <c r="A1405" t="s">
        <v>3914</v>
      </c>
      <c r="B1405" t="s">
        <v>17</v>
      </c>
      <c r="C1405" t="s">
        <v>2027</v>
      </c>
      <c r="F1405" t="s">
        <v>1985</v>
      </c>
      <c r="G1405" t="s">
        <v>20</v>
      </c>
      <c r="K1405" t="s">
        <v>3883</v>
      </c>
      <c r="L1405" t="s">
        <v>22</v>
      </c>
      <c r="P1405" t="s">
        <v>741</v>
      </c>
      <c r="Q1405" t="s">
        <v>2028</v>
      </c>
    </row>
    <row r="1406" spans="1:17" ht="15.75" hidden="1" customHeight="1">
      <c r="A1406" t="s">
        <v>3915</v>
      </c>
      <c r="B1406" t="s">
        <v>17</v>
      </c>
      <c r="C1406" t="s">
        <v>2036</v>
      </c>
      <c r="F1406" t="s">
        <v>1985</v>
      </c>
      <c r="G1406" t="s">
        <v>20</v>
      </c>
      <c r="K1406" t="s">
        <v>3886</v>
      </c>
      <c r="L1406" t="s">
        <v>22</v>
      </c>
      <c r="P1406" t="s">
        <v>741</v>
      </c>
      <c r="Q1406" t="s">
        <v>2037</v>
      </c>
    </row>
    <row r="1407" spans="1:17" ht="15.75" hidden="1" customHeight="1">
      <c r="A1407" t="s">
        <v>3916</v>
      </c>
      <c r="B1407" t="s">
        <v>17</v>
      </c>
      <c r="C1407" t="s">
        <v>2045</v>
      </c>
      <c r="F1407" t="s">
        <v>1985</v>
      </c>
      <c r="G1407" t="s">
        <v>20</v>
      </c>
      <c r="K1407" t="s">
        <v>3888</v>
      </c>
      <c r="L1407" t="s">
        <v>22</v>
      </c>
      <c r="P1407" t="s">
        <v>741</v>
      </c>
      <c r="Q1407" t="s">
        <v>2046</v>
      </c>
    </row>
    <row r="1408" spans="1:17" ht="15.75" hidden="1" customHeight="1">
      <c r="A1408" t="s">
        <v>3917</v>
      </c>
      <c r="B1408" t="s">
        <v>17</v>
      </c>
      <c r="C1408" t="s">
        <v>2048</v>
      </c>
      <c r="F1408" t="s">
        <v>1985</v>
      </c>
      <c r="G1408" t="s">
        <v>20</v>
      </c>
      <c r="K1408" t="s">
        <v>3888</v>
      </c>
      <c r="L1408" t="s">
        <v>22</v>
      </c>
      <c r="P1408" t="s">
        <v>741</v>
      </c>
      <c r="Q1408" t="s">
        <v>2049</v>
      </c>
    </row>
    <row r="1409" spans="1:17" ht="15.75" hidden="1" customHeight="1">
      <c r="A1409" t="s">
        <v>3918</v>
      </c>
      <c r="B1409" t="s">
        <v>17</v>
      </c>
      <c r="C1409" t="s">
        <v>2042</v>
      </c>
      <c r="F1409" t="s">
        <v>1985</v>
      </c>
      <c r="G1409" t="s">
        <v>20</v>
      </c>
      <c r="K1409" t="s">
        <v>3888</v>
      </c>
      <c r="L1409" t="s">
        <v>22</v>
      </c>
      <c r="P1409" t="s">
        <v>741</v>
      </c>
      <c r="Q1409" t="s">
        <v>2043</v>
      </c>
    </row>
    <row r="1410" spans="1:17" ht="15.75" hidden="1" customHeight="1">
      <c r="A1410" t="s">
        <v>3919</v>
      </c>
      <c r="B1410" t="s">
        <v>17</v>
      </c>
      <c r="C1410" t="s">
        <v>2051</v>
      </c>
      <c r="F1410" t="s">
        <v>1985</v>
      </c>
      <c r="G1410" t="s">
        <v>20</v>
      </c>
      <c r="K1410" t="s">
        <v>3890</v>
      </c>
      <c r="L1410" t="s">
        <v>22</v>
      </c>
      <c r="P1410" t="s">
        <v>741</v>
      </c>
      <c r="Q1410" t="s">
        <v>2052</v>
      </c>
    </row>
    <row r="1411" spans="1:17" ht="15.75" hidden="1" customHeight="1">
      <c r="A1411" t="s">
        <v>3920</v>
      </c>
      <c r="B1411" t="s">
        <v>17</v>
      </c>
      <c r="C1411" t="s">
        <v>2090</v>
      </c>
      <c r="F1411" t="s">
        <v>124</v>
      </c>
      <c r="G1411" t="s">
        <v>20</v>
      </c>
      <c r="K1411" t="s">
        <v>3868</v>
      </c>
      <c r="L1411" t="s">
        <v>22</v>
      </c>
      <c r="P1411" t="s">
        <v>125</v>
      </c>
      <c r="Q1411" t="s">
        <v>2091</v>
      </c>
    </row>
    <row r="1412" spans="1:17" ht="15.75" hidden="1" customHeight="1">
      <c r="A1412" t="s">
        <v>3921</v>
      </c>
      <c r="B1412" t="s">
        <v>17</v>
      </c>
      <c r="C1412" t="s">
        <v>2096</v>
      </c>
      <c r="F1412" t="s">
        <v>124</v>
      </c>
      <c r="G1412" t="s">
        <v>20</v>
      </c>
      <c r="K1412" t="s">
        <v>3874</v>
      </c>
      <c r="L1412" t="s">
        <v>22</v>
      </c>
      <c r="P1412" t="s">
        <v>125</v>
      </c>
      <c r="Q1412" t="s">
        <v>2097</v>
      </c>
    </row>
    <row r="1413" spans="1:17" ht="15.75" hidden="1" customHeight="1">
      <c r="A1413" t="s">
        <v>3922</v>
      </c>
      <c r="B1413" t="s">
        <v>17</v>
      </c>
      <c r="C1413" t="s">
        <v>134</v>
      </c>
      <c r="F1413" t="s">
        <v>124</v>
      </c>
      <c r="G1413" t="s">
        <v>20</v>
      </c>
      <c r="K1413" t="s">
        <v>3880</v>
      </c>
      <c r="L1413" t="s">
        <v>22</v>
      </c>
      <c r="P1413" t="s">
        <v>125</v>
      </c>
      <c r="Q1413" t="s">
        <v>3923</v>
      </c>
    </row>
    <row r="1414" spans="1:17" ht="15.75" hidden="1" customHeight="1">
      <c r="A1414" t="s">
        <v>3924</v>
      </c>
      <c r="B1414" t="s">
        <v>17</v>
      </c>
      <c r="C1414" t="s">
        <v>966</v>
      </c>
      <c r="F1414" t="s">
        <v>124</v>
      </c>
      <c r="G1414" t="s">
        <v>20</v>
      </c>
      <c r="K1414" t="s">
        <v>3883</v>
      </c>
      <c r="L1414" t="s">
        <v>22</v>
      </c>
      <c r="P1414" t="s">
        <v>125</v>
      </c>
      <c r="Q1414" t="s">
        <v>967</v>
      </c>
    </row>
    <row r="1415" spans="1:17" ht="15.75" hidden="1" customHeight="1">
      <c r="A1415" t="s">
        <v>3925</v>
      </c>
      <c r="B1415" t="s">
        <v>17</v>
      </c>
      <c r="C1415" t="s">
        <v>140</v>
      </c>
      <c r="F1415" t="s">
        <v>124</v>
      </c>
      <c r="G1415" t="s">
        <v>20</v>
      </c>
      <c r="K1415" t="s">
        <v>3886</v>
      </c>
      <c r="L1415" t="s">
        <v>22</v>
      </c>
      <c r="P1415" t="s">
        <v>125</v>
      </c>
      <c r="Q1415" t="s">
        <v>3926</v>
      </c>
    </row>
    <row r="1416" spans="1:17" ht="15.75" hidden="1" customHeight="1">
      <c r="A1416" t="s">
        <v>3927</v>
      </c>
      <c r="B1416" t="s">
        <v>17</v>
      </c>
      <c r="C1416" t="s">
        <v>146</v>
      </c>
      <c r="F1416" t="s">
        <v>124</v>
      </c>
      <c r="G1416" t="s">
        <v>20</v>
      </c>
      <c r="K1416" t="s">
        <v>3886</v>
      </c>
      <c r="L1416" t="s">
        <v>22</v>
      </c>
      <c r="P1416" t="s">
        <v>125</v>
      </c>
      <c r="Q1416" t="s">
        <v>3928</v>
      </c>
    </row>
    <row r="1417" spans="1:17" ht="15.75" hidden="1" customHeight="1">
      <c r="A1417" t="s">
        <v>3929</v>
      </c>
      <c r="B1417" t="s">
        <v>17</v>
      </c>
      <c r="C1417" t="s">
        <v>972</v>
      </c>
      <c r="F1417" t="s">
        <v>124</v>
      </c>
      <c r="G1417" t="s">
        <v>20</v>
      </c>
      <c r="K1417" t="s">
        <v>3888</v>
      </c>
      <c r="L1417" t="s">
        <v>22</v>
      </c>
      <c r="P1417" t="s">
        <v>125</v>
      </c>
      <c r="Q1417" t="s">
        <v>973</v>
      </c>
    </row>
    <row r="1418" spans="1:17" ht="15.75" hidden="1" customHeight="1">
      <c r="A1418" t="s">
        <v>3930</v>
      </c>
      <c r="B1418" t="s">
        <v>17</v>
      </c>
      <c r="C1418" t="s">
        <v>155</v>
      </c>
      <c r="F1418" t="s">
        <v>124</v>
      </c>
      <c r="G1418" t="s">
        <v>20</v>
      </c>
      <c r="K1418" t="s">
        <v>3890</v>
      </c>
      <c r="L1418" t="s">
        <v>22</v>
      </c>
      <c r="P1418" t="s">
        <v>125</v>
      </c>
      <c r="Q1418" t="s">
        <v>3931</v>
      </c>
    </row>
    <row r="1419" spans="1:17" ht="15.75" hidden="1" customHeight="1">
      <c r="A1419" t="s">
        <v>3932</v>
      </c>
      <c r="B1419" t="s">
        <v>17</v>
      </c>
      <c r="C1419" t="s">
        <v>1579</v>
      </c>
      <c r="F1419" t="s">
        <v>1580</v>
      </c>
      <c r="G1419" t="s">
        <v>20</v>
      </c>
      <c r="K1419" t="s">
        <v>3868</v>
      </c>
      <c r="L1419" t="s">
        <v>22</v>
      </c>
      <c r="P1419" t="s">
        <v>274</v>
      </c>
      <c r="Q1419" t="s">
        <v>1581</v>
      </c>
    </row>
    <row r="1420" spans="1:17" ht="15.75" hidden="1" customHeight="1">
      <c r="A1420" t="s">
        <v>3933</v>
      </c>
      <c r="B1420" t="s">
        <v>17</v>
      </c>
      <c r="C1420" t="s">
        <v>1586</v>
      </c>
      <c r="F1420" t="s">
        <v>1580</v>
      </c>
      <c r="G1420" t="s">
        <v>20</v>
      </c>
      <c r="K1420" t="s">
        <v>3874</v>
      </c>
      <c r="L1420" t="s">
        <v>22</v>
      </c>
      <c r="P1420" t="s">
        <v>274</v>
      </c>
      <c r="Q1420" t="s">
        <v>1587</v>
      </c>
    </row>
    <row r="1421" spans="1:17" ht="15.75" hidden="1" customHeight="1">
      <c r="A1421" t="s">
        <v>3934</v>
      </c>
      <c r="B1421" t="s">
        <v>17</v>
      </c>
      <c r="C1421" t="s">
        <v>1604</v>
      </c>
      <c r="F1421" t="s">
        <v>1580</v>
      </c>
      <c r="G1421" t="s">
        <v>20</v>
      </c>
      <c r="K1421" t="s">
        <v>3880</v>
      </c>
      <c r="L1421" t="s">
        <v>22</v>
      </c>
      <c r="P1421" t="s">
        <v>274</v>
      </c>
      <c r="Q1421" t="s">
        <v>1605</v>
      </c>
    </row>
    <row r="1422" spans="1:17" ht="15.75" hidden="1" customHeight="1">
      <c r="A1422" t="s">
        <v>3935</v>
      </c>
      <c r="B1422" t="s">
        <v>17</v>
      </c>
      <c r="C1422" t="s">
        <v>1607</v>
      </c>
      <c r="F1422" t="s">
        <v>1580</v>
      </c>
      <c r="G1422" t="s">
        <v>20</v>
      </c>
      <c r="K1422" t="s">
        <v>3880</v>
      </c>
      <c r="L1422" t="s">
        <v>22</v>
      </c>
      <c r="P1422" t="s">
        <v>274</v>
      </c>
      <c r="Q1422" t="s">
        <v>1605</v>
      </c>
    </row>
    <row r="1423" spans="1:17" ht="15.75" hidden="1" customHeight="1">
      <c r="A1423" t="s">
        <v>3936</v>
      </c>
      <c r="B1423" t="s">
        <v>17</v>
      </c>
      <c r="C1423" t="s">
        <v>1609</v>
      </c>
      <c r="F1423" t="s">
        <v>1580</v>
      </c>
      <c r="G1423" t="s">
        <v>20</v>
      </c>
      <c r="K1423" t="s">
        <v>3880</v>
      </c>
      <c r="L1423" t="s">
        <v>22</v>
      </c>
      <c r="P1423" t="s">
        <v>274</v>
      </c>
      <c r="Q1423" t="s">
        <v>1605</v>
      </c>
    </row>
    <row r="1424" spans="1:17" ht="15.75" hidden="1" customHeight="1">
      <c r="A1424" t="s">
        <v>3937</v>
      </c>
      <c r="B1424" t="s">
        <v>17</v>
      </c>
      <c r="C1424" t="s">
        <v>1611</v>
      </c>
      <c r="F1424" t="s">
        <v>1580</v>
      </c>
      <c r="G1424" t="s">
        <v>20</v>
      </c>
      <c r="K1424" t="s">
        <v>3880</v>
      </c>
      <c r="L1424" t="s">
        <v>22</v>
      </c>
      <c r="P1424" t="s">
        <v>274</v>
      </c>
      <c r="Q1424" t="s">
        <v>1605</v>
      </c>
    </row>
    <row r="1425" spans="1:17" ht="15.75" hidden="1" customHeight="1">
      <c r="A1425" t="s">
        <v>3938</v>
      </c>
      <c r="B1425" t="s">
        <v>17</v>
      </c>
      <c r="C1425" t="s">
        <v>1613</v>
      </c>
      <c r="F1425" t="s">
        <v>1580</v>
      </c>
      <c r="G1425" t="s">
        <v>20</v>
      </c>
      <c r="K1425" t="s">
        <v>3880</v>
      </c>
      <c r="L1425" t="s">
        <v>22</v>
      </c>
      <c r="P1425" t="s">
        <v>274</v>
      </c>
      <c r="Q1425" t="s">
        <v>1605</v>
      </c>
    </row>
    <row r="1426" spans="1:17" ht="15.75" hidden="1" customHeight="1">
      <c r="A1426" t="s">
        <v>3939</v>
      </c>
      <c r="B1426" t="s">
        <v>17</v>
      </c>
      <c r="C1426" t="s">
        <v>1615</v>
      </c>
      <c r="F1426" t="s">
        <v>1580</v>
      </c>
      <c r="G1426" t="s">
        <v>20</v>
      </c>
      <c r="K1426" t="s">
        <v>3880</v>
      </c>
      <c r="L1426" t="s">
        <v>22</v>
      </c>
      <c r="P1426" t="s">
        <v>274</v>
      </c>
      <c r="Q1426" t="s">
        <v>1605</v>
      </c>
    </row>
    <row r="1427" spans="1:17" ht="15.75" hidden="1" customHeight="1">
      <c r="A1427" t="s">
        <v>3940</v>
      </c>
      <c r="B1427" t="s">
        <v>17</v>
      </c>
      <c r="C1427" t="s">
        <v>1617</v>
      </c>
      <c r="F1427" t="s">
        <v>1580</v>
      </c>
      <c r="G1427" t="s">
        <v>20</v>
      </c>
      <c r="K1427" t="s">
        <v>3880</v>
      </c>
      <c r="L1427" t="s">
        <v>22</v>
      </c>
      <c r="P1427" t="s">
        <v>274</v>
      </c>
      <c r="Q1427" t="s">
        <v>1605</v>
      </c>
    </row>
    <row r="1428" spans="1:17" ht="15.75" hidden="1" customHeight="1">
      <c r="A1428" t="s">
        <v>3941</v>
      </c>
      <c r="B1428" t="s">
        <v>17</v>
      </c>
      <c r="C1428" t="s">
        <v>1619</v>
      </c>
      <c r="F1428" t="s">
        <v>1580</v>
      </c>
      <c r="G1428" t="s">
        <v>20</v>
      </c>
      <c r="K1428" t="s">
        <v>3880</v>
      </c>
      <c r="L1428" t="s">
        <v>22</v>
      </c>
      <c r="P1428" t="s">
        <v>274</v>
      </c>
      <c r="Q1428" t="s">
        <v>1605</v>
      </c>
    </row>
    <row r="1429" spans="1:17" ht="15.75" hidden="1" customHeight="1">
      <c r="A1429" t="s">
        <v>3942</v>
      </c>
      <c r="B1429" t="s">
        <v>17</v>
      </c>
      <c r="C1429" t="s">
        <v>1621</v>
      </c>
      <c r="F1429" t="s">
        <v>1580</v>
      </c>
      <c r="G1429" t="s">
        <v>20</v>
      </c>
      <c r="K1429" t="s">
        <v>3880</v>
      </c>
      <c r="L1429" t="s">
        <v>22</v>
      </c>
      <c r="P1429" t="s">
        <v>274</v>
      </c>
      <c r="Q1429" t="s">
        <v>1605</v>
      </c>
    </row>
    <row r="1430" spans="1:17" ht="15.75" hidden="1" customHeight="1">
      <c r="A1430" t="s">
        <v>3943</v>
      </c>
      <c r="B1430" t="s">
        <v>17</v>
      </c>
      <c r="C1430" t="s">
        <v>1623</v>
      </c>
      <c r="F1430" t="s">
        <v>1580</v>
      </c>
      <c r="G1430" t="s">
        <v>20</v>
      </c>
      <c r="K1430" t="s">
        <v>3880</v>
      </c>
      <c r="L1430" t="s">
        <v>22</v>
      </c>
      <c r="P1430" t="s">
        <v>274</v>
      </c>
      <c r="Q1430" t="s">
        <v>1605</v>
      </c>
    </row>
    <row r="1431" spans="1:17" ht="15.75" hidden="1" customHeight="1">
      <c r="A1431" t="s">
        <v>3944</v>
      </c>
      <c r="B1431" t="s">
        <v>17</v>
      </c>
      <c r="C1431" t="s">
        <v>1625</v>
      </c>
      <c r="F1431" t="s">
        <v>1580</v>
      </c>
      <c r="G1431" t="s">
        <v>20</v>
      </c>
      <c r="K1431" t="s">
        <v>3880</v>
      </c>
      <c r="L1431" t="s">
        <v>22</v>
      </c>
      <c r="P1431" t="s">
        <v>274</v>
      </c>
      <c r="Q1431" t="s">
        <v>1605</v>
      </c>
    </row>
    <row r="1432" spans="1:17" ht="15.75" hidden="1" customHeight="1">
      <c r="A1432" t="s">
        <v>3945</v>
      </c>
      <c r="B1432" t="s">
        <v>17</v>
      </c>
      <c r="C1432" t="s">
        <v>1627</v>
      </c>
      <c r="F1432" t="s">
        <v>1580</v>
      </c>
      <c r="G1432" t="s">
        <v>20</v>
      </c>
      <c r="K1432" t="s">
        <v>3880</v>
      </c>
      <c r="L1432" t="s">
        <v>22</v>
      </c>
      <c r="P1432" t="s">
        <v>274</v>
      </c>
      <c r="Q1432" t="s">
        <v>1605</v>
      </c>
    </row>
    <row r="1433" spans="1:17" ht="15.75" hidden="1" customHeight="1">
      <c r="A1433" t="s">
        <v>3946</v>
      </c>
      <c r="B1433" t="s">
        <v>17</v>
      </c>
      <c r="C1433" t="s">
        <v>1641</v>
      </c>
      <c r="F1433" t="s">
        <v>1580</v>
      </c>
      <c r="G1433" t="s">
        <v>20</v>
      </c>
      <c r="K1433" t="s">
        <v>3886</v>
      </c>
      <c r="L1433" t="s">
        <v>22</v>
      </c>
      <c r="P1433" t="s">
        <v>741</v>
      </c>
      <c r="Q1433" t="s">
        <v>1642</v>
      </c>
    </row>
    <row r="1434" spans="1:17" ht="15.75" hidden="1" customHeight="1">
      <c r="A1434" t="s">
        <v>3947</v>
      </c>
      <c r="B1434" t="s">
        <v>17</v>
      </c>
      <c r="C1434" t="s">
        <v>1638</v>
      </c>
      <c r="F1434" t="s">
        <v>1580</v>
      </c>
      <c r="G1434" t="s">
        <v>20</v>
      </c>
      <c r="K1434" t="s">
        <v>3886</v>
      </c>
      <c r="L1434" t="s">
        <v>22</v>
      </c>
      <c r="P1434" t="s">
        <v>274</v>
      </c>
      <c r="Q1434" t="s">
        <v>3948</v>
      </c>
    </row>
    <row r="1435" spans="1:17" ht="15.75" hidden="1" customHeight="1">
      <c r="A1435" t="s">
        <v>3949</v>
      </c>
      <c r="B1435" t="s">
        <v>17</v>
      </c>
      <c r="C1435" t="s">
        <v>1635</v>
      </c>
      <c r="F1435" t="s">
        <v>1580</v>
      </c>
      <c r="G1435" t="s">
        <v>20</v>
      </c>
      <c r="K1435" t="s">
        <v>3886</v>
      </c>
      <c r="L1435" t="s">
        <v>22</v>
      </c>
      <c r="P1435" t="s">
        <v>274</v>
      </c>
      <c r="Q1435" t="s">
        <v>1636</v>
      </c>
    </row>
    <row r="1436" spans="1:17" ht="15.75" hidden="1" customHeight="1">
      <c r="A1436" t="s">
        <v>3950</v>
      </c>
      <c r="B1436" t="s">
        <v>17</v>
      </c>
      <c r="C1436" t="s">
        <v>1644</v>
      </c>
      <c r="F1436" t="s">
        <v>1580</v>
      </c>
      <c r="G1436" t="s">
        <v>20</v>
      </c>
      <c r="K1436" t="s">
        <v>3886</v>
      </c>
      <c r="L1436" t="s">
        <v>22</v>
      </c>
      <c r="P1436" t="s">
        <v>741</v>
      </c>
      <c r="Q1436" t="s">
        <v>1642</v>
      </c>
    </row>
    <row r="1437" spans="1:17" ht="15.75" hidden="1" customHeight="1">
      <c r="A1437" t="s">
        <v>3951</v>
      </c>
      <c r="B1437" t="s">
        <v>17</v>
      </c>
      <c r="C1437" t="s">
        <v>1650</v>
      </c>
      <c r="F1437" t="s">
        <v>1580</v>
      </c>
      <c r="G1437" t="s">
        <v>20</v>
      </c>
      <c r="K1437" t="s">
        <v>3886</v>
      </c>
      <c r="L1437" t="s">
        <v>22</v>
      </c>
      <c r="P1437" t="s">
        <v>741</v>
      </c>
      <c r="Q1437" t="s">
        <v>1642</v>
      </c>
    </row>
    <row r="1438" spans="1:17" ht="15.75" hidden="1" customHeight="1">
      <c r="A1438" t="s">
        <v>3952</v>
      </c>
      <c r="B1438" t="s">
        <v>17</v>
      </c>
      <c r="C1438" t="s">
        <v>1652</v>
      </c>
      <c r="F1438" t="s">
        <v>1580</v>
      </c>
      <c r="G1438" t="s">
        <v>20</v>
      </c>
      <c r="K1438" t="s">
        <v>3886</v>
      </c>
      <c r="L1438" t="s">
        <v>22</v>
      </c>
      <c r="P1438" t="s">
        <v>741</v>
      </c>
      <c r="Q1438" t="s">
        <v>1642</v>
      </c>
    </row>
    <row r="1439" spans="1:17" ht="15.75" hidden="1" customHeight="1">
      <c r="A1439" t="s">
        <v>3953</v>
      </c>
      <c r="B1439" t="s">
        <v>17</v>
      </c>
      <c r="C1439" t="s">
        <v>1646</v>
      </c>
      <c r="F1439" t="s">
        <v>1580</v>
      </c>
      <c r="G1439" t="s">
        <v>20</v>
      </c>
      <c r="K1439" t="s">
        <v>3886</v>
      </c>
      <c r="L1439" t="s">
        <v>22</v>
      </c>
      <c r="P1439" t="s">
        <v>741</v>
      </c>
      <c r="Q1439" t="s">
        <v>1642</v>
      </c>
    </row>
    <row r="1440" spans="1:17" ht="15.75" hidden="1" customHeight="1">
      <c r="A1440" t="s">
        <v>3954</v>
      </c>
      <c r="B1440" t="s">
        <v>17</v>
      </c>
      <c r="C1440" t="s">
        <v>1656</v>
      </c>
      <c r="F1440" t="s">
        <v>1580</v>
      </c>
      <c r="G1440" t="s">
        <v>20</v>
      </c>
      <c r="K1440" t="s">
        <v>3886</v>
      </c>
      <c r="L1440" t="s">
        <v>22</v>
      </c>
      <c r="P1440" t="s">
        <v>741</v>
      </c>
      <c r="Q1440" t="s">
        <v>1642</v>
      </c>
    </row>
    <row r="1441" spans="1:17" ht="15.75" hidden="1" customHeight="1">
      <c r="A1441" t="s">
        <v>3955</v>
      </c>
      <c r="B1441" t="s">
        <v>17</v>
      </c>
      <c r="C1441" t="s">
        <v>1658</v>
      </c>
      <c r="F1441" t="s">
        <v>1580</v>
      </c>
      <c r="G1441" t="s">
        <v>20</v>
      </c>
      <c r="K1441" t="s">
        <v>3886</v>
      </c>
      <c r="L1441" t="s">
        <v>22</v>
      </c>
      <c r="P1441" t="s">
        <v>741</v>
      </c>
      <c r="Q1441" t="s">
        <v>1642</v>
      </c>
    </row>
    <row r="1442" spans="1:17" ht="15.75" hidden="1" customHeight="1">
      <c r="A1442" t="s">
        <v>3956</v>
      </c>
      <c r="B1442" t="s">
        <v>17</v>
      </c>
      <c r="C1442" t="s">
        <v>1664</v>
      </c>
      <c r="F1442" t="s">
        <v>1580</v>
      </c>
      <c r="G1442" t="s">
        <v>20</v>
      </c>
      <c r="K1442" t="s">
        <v>3886</v>
      </c>
      <c r="L1442" t="s">
        <v>22</v>
      </c>
      <c r="P1442" t="s">
        <v>741</v>
      </c>
      <c r="Q1442" t="s">
        <v>1642</v>
      </c>
    </row>
    <row r="1443" spans="1:17" ht="15.75" hidden="1" customHeight="1">
      <c r="A1443" t="s">
        <v>3957</v>
      </c>
      <c r="B1443" t="s">
        <v>17</v>
      </c>
      <c r="C1443" t="s">
        <v>1648</v>
      </c>
      <c r="F1443" t="s">
        <v>1580</v>
      </c>
      <c r="G1443" t="s">
        <v>20</v>
      </c>
      <c r="K1443" t="s">
        <v>3886</v>
      </c>
      <c r="L1443" t="s">
        <v>22</v>
      </c>
      <c r="P1443" t="s">
        <v>741</v>
      </c>
      <c r="Q1443" t="s">
        <v>1642</v>
      </c>
    </row>
    <row r="1444" spans="1:17" ht="15.75" hidden="1" customHeight="1">
      <c r="A1444" t="s">
        <v>3958</v>
      </c>
      <c r="B1444" t="s">
        <v>17</v>
      </c>
      <c r="C1444" t="s">
        <v>1662</v>
      </c>
      <c r="F1444" t="s">
        <v>1580</v>
      </c>
      <c r="G1444" t="s">
        <v>20</v>
      </c>
      <c r="K1444" t="s">
        <v>3886</v>
      </c>
      <c r="L1444" t="s">
        <v>22</v>
      </c>
      <c r="P1444" t="s">
        <v>741</v>
      </c>
      <c r="Q1444" t="s">
        <v>1642</v>
      </c>
    </row>
    <row r="1445" spans="1:17" ht="15.75" hidden="1" customHeight="1">
      <c r="A1445" t="s">
        <v>3959</v>
      </c>
      <c r="B1445" t="s">
        <v>17</v>
      </c>
      <c r="C1445" t="s">
        <v>1660</v>
      </c>
      <c r="F1445" t="s">
        <v>1580</v>
      </c>
      <c r="G1445" t="s">
        <v>20</v>
      </c>
      <c r="K1445" t="s">
        <v>3886</v>
      </c>
      <c r="L1445" t="s">
        <v>22</v>
      </c>
      <c r="P1445" t="s">
        <v>741</v>
      </c>
      <c r="Q1445" t="s">
        <v>1642</v>
      </c>
    </row>
    <row r="1446" spans="1:17" ht="15.75" hidden="1" customHeight="1">
      <c r="A1446" t="s">
        <v>3960</v>
      </c>
      <c r="B1446" t="s">
        <v>17</v>
      </c>
      <c r="C1446" t="s">
        <v>1654</v>
      </c>
      <c r="F1446" t="s">
        <v>1580</v>
      </c>
      <c r="G1446" t="s">
        <v>20</v>
      </c>
      <c r="K1446" t="s">
        <v>3886</v>
      </c>
      <c r="L1446" t="s">
        <v>22</v>
      </c>
      <c r="P1446" t="s">
        <v>741</v>
      </c>
      <c r="Q1446" t="s">
        <v>1642</v>
      </c>
    </row>
    <row r="1447" spans="1:17" ht="15.75" hidden="1" customHeight="1">
      <c r="A1447" t="s">
        <v>3961</v>
      </c>
      <c r="B1447" t="s">
        <v>17</v>
      </c>
      <c r="C1447" t="s">
        <v>1695</v>
      </c>
      <c r="F1447" t="s">
        <v>1580</v>
      </c>
      <c r="G1447" t="s">
        <v>20</v>
      </c>
      <c r="K1447" t="s">
        <v>3888</v>
      </c>
      <c r="L1447" t="s">
        <v>22</v>
      </c>
      <c r="P1447" t="s">
        <v>278</v>
      </c>
      <c r="Q1447" t="s">
        <v>1696</v>
      </c>
    </row>
    <row r="1448" spans="1:17" ht="15.75" hidden="1" customHeight="1">
      <c r="A1448" t="s">
        <v>3962</v>
      </c>
      <c r="B1448" t="s">
        <v>17</v>
      </c>
      <c r="C1448" t="s">
        <v>1672</v>
      </c>
      <c r="F1448" t="s">
        <v>1580</v>
      </c>
      <c r="G1448" t="s">
        <v>20</v>
      </c>
      <c r="K1448" t="s">
        <v>3888</v>
      </c>
      <c r="L1448" t="s">
        <v>22</v>
      </c>
      <c r="P1448" t="s">
        <v>274</v>
      </c>
      <c r="Q1448" t="s">
        <v>1673</v>
      </c>
    </row>
    <row r="1449" spans="1:17" ht="15.75" hidden="1" customHeight="1">
      <c r="A1449" t="s">
        <v>3963</v>
      </c>
      <c r="B1449" t="s">
        <v>17</v>
      </c>
      <c r="C1449" t="s">
        <v>1675</v>
      </c>
      <c r="F1449" t="s">
        <v>1580</v>
      </c>
      <c r="G1449" t="s">
        <v>20</v>
      </c>
      <c r="K1449" t="s">
        <v>3888</v>
      </c>
      <c r="L1449" t="s">
        <v>22</v>
      </c>
      <c r="P1449" t="s">
        <v>274</v>
      </c>
      <c r="Q1449" t="s">
        <v>1673</v>
      </c>
    </row>
    <row r="1450" spans="1:17" ht="15.75" hidden="1" customHeight="1">
      <c r="A1450" t="s">
        <v>3964</v>
      </c>
      <c r="B1450" t="s">
        <v>17</v>
      </c>
      <c r="C1450" t="s">
        <v>1681</v>
      </c>
      <c r="F1450" t="s">
        <v>1580</v>
      </c>
      <c r="G1450" t="s">
        <v>20</v>
      </c>
      <c r="K1450" t="s">
        <v>3888</v>
      </c>
      <c r="L1450" t="s">
        <v>22</v>
      </c>
      <c r="P1450" t="s">
        <v>274</v>
      </c>
      <c r="Q1450" t="s">
        <v>1673</v>
      </c>
    </row>
    <row r="1451" spans="1:17" ht="15.75" hidden="1" customHeight="1">
      <c r="A1451" t="s">
        <v>3965</v>
      </c>
      <c r="B1451" t="s">
        <v>17</v>
      </c>
      <c r="C1451" t="s">
        <v>1683</v>
      </c>
      <c r="F1451" t="s">
        <v>1580</v>
      </c>
      <c r="G1451" t="s">
        <v>20</v>
      </c>
      <c r="K1451" t="s">
        <v>3888</v>
      </c>
      <c r="L1451" t="s">
        <v>22</v>
      </c>
      <c r="P1451" t="s">
        <v>274</v>
      </c>
      <c r="Q1451" t="s">
        <v>1673</v>
      </c>
    </row>
    <row r="1452" spans="1:17" ht="15.75" hidden="1" customHeight="1">
      <c r="A1452" t="s">
        <v>3966</v>
      </c>
      <c r="B1452" t="s">
        <v>17</v>
      </c>
      <c r="C1452" t="s">
        <v>1677</v>
      </c>
      <c r="F1452" t="s">
        <v>1580</v>
      </c>
      <c r="G1452" t="s">
        <v>20</v>
      </c>
      <c r="K1452" t="s">
        <v>3888</v>
      </c>
      <c r="L1452" t="s">
        <v>22</v>
      </c>
      <c r="P1452" t="s">
        <v>274</v>
      </c>
      <c r="Q1452" t="s">
        <v>1673</v>
      </c>
    </row>
    <row r="1453" spans="1:17" ht="15.75" hidden="1" customHeight="1">
      <c r="A1453" t="s">
        <v>3967</v>
      </c>
      <c r="B1453" t="s">
        <v>17</v>
      </c>
      <c r="C1453" t="s">
        <v>1687</v>
      </c>
      <c r="F1453" t="s">
        <v>1580</v>
      </c>
      <c r="G1453" t="s">
        <v>20</v>
      </c>
      <c r="K1453" t="s">
        <v>3888</v>
      </c>
      <c r="L1453" t="s">
        <v>22</v>
      </c>
      <c r="P1453" t="s">
        <v>274</v>
      </c>
      <c r="Q1453" t="s">
        <v>1673</v>
      </c>
    </row>
    <row r="1454" spans="1:17" ht="15.75" hidden="1" customHeight="1">
      <c r="A1454" t="s">
        <v>3968</v>
      </c>
      <c r="B1454" t="s">
        <v>17</v>
      </c>
      <c r="C1454" t="s">
        <v>1689</v>
      </c>
      <c r="F1454" t="s">
        <v>1580</v>
      </c>
      <c r="G1454" t="s">
        <v>20</v>
      </c>
      <c r="K1454" t="s">
        <v>3888</v>
      </c>
      <c r="L1454" t="s">
        <v>22</v>
      </c>
      <c r="P1454" t="s">
        <v>274</v>
      </c>
      <c r="Q1454" t="s">
        <v>1673</v>
      </c>
    </row>
    <row r="1455" spans="1:17" ht="15.75" hidden="1" customHeight="1">
      <c r="A1455" t="s">
        <v>3969</v>
      </c>
      <c r="B1455" t="s">
        <v>17</v>
      </c>
      <c r="C1455" t="s">
        <v>1693</v>
      </c>
      <c r="F1455" t="s">
        <v>1580</v>
      </c>
      <c r="G1455" t="s">
        <v>20</v>
      </c>
      <c r="K1455" t="s">
        <v>3888</v>
      </c>
      <c r="L1455" t="s">
        <v>22</v>
      </c>
      <c r="P1455" t="s">
        <v>274</v>
      </c>
      <c r="Q1455" t="s">
        <v>1673</v>
      </c>
    </row>
    <row r="1456" spans="1:17" ht="15.75" hidden="1" customHeight="1">
      <c r="A1456" t="s">
        <v>3970</v>
      </c>
      <c r="B1456" t="s">
        <v>17</v>
      </c>
      <c r="C1456" t="s">
        <v>1679</v>
      </c>
      <c r="F1456" t="s">
        <v>1580</v>
      </c>
      <c r="G1456" t="s">
        <v>20</v>
      </c>
      <c r="K1456" t="s">
        <v>3888</v>
      </c>
      <c r="L1456" t="s">
        <v>22</v>
      </c>
      <c r="P1456" t="s">
        <v>274</v>
      </c>
      <c r="Q1456" t="s">
        <v>1673</v>
      </c>
    </row>
    <row r="1457" spans="1:17" ht="15.75" hidden="1" customHeight="1">
      <c r="A1457" t="s">
        <v>3971</v>
      </c>
      <c r="B1457" t="s">
        <v>17</v>
      </c>
      <c r="C1457" t="s">
        <v>1691</v>
      </c>
      <c r="F1457" t="s">
        <v>1580</v>
      </c>
      <c r="G1457" t="s">
        <v>20</v>
      </c>
      <c r="K1457" t="s">
        <v>3888</v>
      </c>
      <c r="L1457" t="s">
        <v>22</v>
      </c>
      <c r="P1457" t="s">
        <v>274</v>
      </c>
      <c r="Q1457" t="s">
        <v>1673</v>
      </c>
    </row>
    <row r="1458" spans="1:17" ht="15.75" hidden="1" customHeight="1">
      <c r="A1458" t="s">
        <v>3972</v>
      </c>
      <c r="B1458" t="s">
        <v>17</v>
      </c>
      <c r="C1458" t="s">
        <v>1685</v>
      </c>
      <c r="F1458" t="s">
        <v>1580</v>
      </c>
      <c r="G1458" t="s">
        <v>20</v>
      </c>
      <c r="K1458" t="s">
        <v>3888</v>
      </c>
      <c r="L1458" t="s">
        <v>22</v>
      </c>
      <c r="P1458" t="s">
        <v>274</v>
      </c>
      <c r="Q1458" t="s">
        <v>1673</v>
      </c>
    </row>
    <row r="1459" spans="1:17" ht="15.75" hidden="1" customHeight="1">
      <c r="A1459" t="s">
        <v>3973</v>
      </c>
      <c r="B1459" t="s">
        <v>17</v>
      </c>
      <c r="C1459" t="s">
        <v>1698</v>
      </c>
      <c r="F1459" t="s">
        <v>1580</v>
      </c>
      <c r="G1459" t="s">
        <v>20</v>
      </c>
      <c r="K1459" t="s">
        <v>3890</v>
      </c>
      <c r="L1459" t="s">
        <v>22</v>
      </c>
      <c r="P1459" t="s">
        <v>278</v>
      </c>
      <c r="Q1459" t="s">
        <v>1699</v>
      </c>
    </row>
    <row r="1460" spans="1:17" ht="15.75" hidden="1" customHeight="1">
      <c r="A1460" t="s">
        <v>3974</v>
      </c>
      <c r="B1460" t="s">
        <v>17</v>
      </c>
      <c r="C1460" t="s">
        <v>1701</v>
      </c>
      <c r="F1460" t="s">
        <v>1580</v>
      </c>
      <c r="G1460" t="s">
        <v>20</v>
      </c>
      <c r="K1460" t="s">
        <v>3890</v>
      </c>
      <c r="L1460" t="s">
        <v>22</v>
      </c>
      <c r="P1460" t="s">
        <v>274</v>
      </c>
      <c r="Q1460" t="s">
        <v>1702</v>
      </c>
    </row>
    <row r="1461" spans="1:17" ht="15.75" hidden="1" customHeight="1">
      <c r="A1461" t="s">
        <v>3975</v>
      </c>
      <c r="B1461" t="s">
        <v>17</v>
      </c>
      <c r="C1461" t="s">
        <v>1707</v>
      </c>
      <c r="F1461" t="s">
        <v>264</v>
      </c>
      <c r="G1461" t="s">
        <v>20</v>
      </c>
      <c r="K1461" t="s">
        <v>3868</v>
      </c>
      <c r="L1461" t="s">
        <v>22</v>
      </c>
      <c r="P1461" t="s">
        <v>125</v>
      </c>
      <c r="Q1461" t="s">
        <v>3976</v>
      </c>
    </row>
    <row r="1462" spans="1:17" ht="15.75" hidden="1" customHeight="1">
      <c r="A1462" t="s">
        <v>3977</v>
      </c>
      <c r="B1462" t="s">
        <v>17</v>
      </c>
      <c r="C1462" t="s">
        <v>1710</v>
      </c>
      <c r="F1462" t="s">
        <v>264</v>
      </c>
      <c r="G1462" t="s">
        <v>20</v>
      </c>
      <c r="K1462" t="s">
        <v>3868</v>
      </c>
      <c r="L1462" t="s">
        <v>22</v>
      </c>
      <c r="P1462" t="s">
        <v>125</v>
      </c>
      <c r="Q1462" t="s">
        <v>1711</v>
      </c>
    </row>
    <row r="1463" spans="1:17" ht="15.75" hidden="1" customHeight="1">
      <c r="A1463" t="s">
        <v>3978</v>
      </c>
      <c r="B1463" t="s">
        <v>17</v>
      </c>
      <c r="C1463" t="s">
        <v>1716</v>
      </c>
      <c r="F1463" t="s">
        <v>264</v>
      </c>
      <c r="G1463" t="s">
        <v>20</v>
      </c>
      <c r="K1463" t="s">
        <v>3868</v>
      </c>
      <c r="L1463" t="s">
        <v>22</v>
      </c>
      <c r="P1463" t="s">
        <v>125</v>
      </c>
      <c r="Q1463" t="s">
        <v>3979</v>
      </c>
    </row>
    <row r="1464" spans="1:17" ht="15.75" hidden="1" customHeight="1">
      <c r="A1464" t="s">
        <v>3980</v>
      </c>
      <c r="B1464" t="s">
        <v>17</v>
      </c>
      <c r="C1464" t="s">
        <v>1725</v>
      </c>
      <c r="F1464" t="s">
        <v>264</v>
      </c>
      <c r="G1464" t="s">
        <v>20</v>
      </c>
      <c r="K1464" t="s">
        <v>3874</v>
      </c>
      <c r="L1464" t="s">
        <v>22</v>
      </c>
      <c r="P1464" t="s">
        <v>125</v>
      </c>
      <c r="Q1464" t="s">
        <v>1726</v>
      </c>
    </row>
    <row r="1465" spans="1:17" ht="15.75" hidden="1" customHeight="1">
      <c r="A1465" t="s">
        <v>3981</v>
      </c>
      <c r="B1465" t="s">
        <v>17</v>
      </c>
      <c r="C1465" t="s">
        <v>1728</v>
      </c>
      <c r="F1465" t="s">
        <v>264</v>
      </c>
      <c r="G1465" t="s">
        <v>20</v>
      </c>
      <c r="K1465" t="s">
        <v>3874</v>
      </c>
      <c r="L1465" t="s">
        <v>22</v>
      </c>
      <c r="P1465" t="s">
        <v>125</v>
      </c>
      <c r="Q1465" t="s">
        <v>1729</v>
      </c>
    </row>
    <row r="1466" spans="1:17" ht="15.75" hidden="1" customHeight="1">
      <c r="A1466" t="s">
        <v>3982</v>
      </c>
      <c r="B1466" t="s">
        <v>17</v>
      </c>
      <c r="C1466" t="s">
        <v>1719</v>
      </c>
      <c r="F1466" t="s">
        <v>264</v>
      </c>
      <c r="G1466" t="s">
        <v>20</v>
      </c>
      <c r="K1466" t="s">
        <v>3874</v>
      </c>
      <c r="L1466" t="s">
        <v>22</v>
      </c>
      <c r="P1466" t="s">
        <v>125</v>
      </c>
      <c r="Q1466" t="s">
        <v>3983</v>
      </c>
    </row>
    <row r="1467" spans="1:17" ht="15.75" hidden="1" customHeight="1">
      <c r="A1467" t="s">
        <v>3984</v>
      </c>
      <c r="B1467" t="s">
        <v>17</v>
      </c>
      <c r="C1467" t="s">
        <v>1731</v>
      </c>
      <c r="F1467" t="s">
        <v>264</v>
      </c>
      <c r="G1467" t="s">
        <v>20</v>
      </c>
      <c r="K1467" t="s">
        <v>3874</v>
      </c>
      <c r="L1467" t="s">
        <v>22</v>
      </c>
      <c r="P1467" t="s">
        <v>125</v>
      </c>
      <c r="Q1467" t="s">
        <v>1732</v>
      </c>
    </row>
    <row r="1468" spans="1:17" ht="15.75" hidden="1" customHeight="1">
      <c r="A1468" t="s">
        <v>3985</v>
      </c>
      <c r="B1468" t="s">
        <v>17</v>
      </c>
      <c r="C1468" t="s">
        <v>277</v>
      </c>
      <c r="F1468" t="s">
        <v>264</v>
      </c>
      <c r="G1468" t="s">
        <v>20</v>
      </c>
      <c r="K1468" t="s">
        <v>3874</v>
      </c>
      <c r="L1468" t="s">
        <v>22</v>
      </c>
      <c r="P1468" t="s">
        <v>278</v>
      </c>
      <c r="Q1468" t="s">
        <v>279</v>
      </c>
    </row>
    <row r="1469" spans="1:17" ht="15.75" hidden="1" customHeight="1">
      <c r="A1469" t="s">
        <v>3986</v>
      </c>
      <c r="B1469" t="s">
        <v>17</v>
      </c>
      <c r="C1469" t="s">
        <v>1737</v>
      </c>
      <c r="F1469" t="s">
        <v>264</v>
      </c>
      <c r="G1469" t="s">
        <v>20</v>
      </c>
      <c r="K1469" t="s">
        <v>3880</v>
      </c>
      <c r="L1469" t="s">
        <v>22</v>
      </c>
      <c r="P1469" t="s">
        <v>125</v>
      </c>
      <c r="Q1469" t="s">
        <v>3987</v>
      </c>
    </row>
    <row r="1470" spans="1:17" ht="15.75" hidden="1" customHeight="1">
      <c r="A1470" t="s">
        <v>3988</v>
      </c>
      <c r="B1470" t="s">
        <v>17</v>
      </c>
      <c r="C1470" t="s">
        <v>1743</v>
      </c>
      <c r="F1470" t="s">
        <v>264</v>
      </c>
      <c r="G1470" t="s">
        <v>20</v>
      </c>
      <c r="K1470" t="s">
        <v>3880</v>
      </c>
      <c r="L1470" t="s">
        <v>22</v>
      </c>
      <c r="P1470" t="s">
        <v>125</v>
      </c>
      <c r="Q1470" t="s">
        <v>3989</v>
      </c>
    </row>
    <row r="1471" spans="1:17" ht="15.75" hidden="1" customHeight="1">
      <c r="A1471" t="s">
        <v>3990</v>
      </c>
      <c r="B1471" t="s">
        <v>17</v>
      </c>
      <c r="C1471" t="s">
        <v>1746</v>
      </c>
      <c r="F1471" t="s">
        <v>264</v>
      </c>
      <c r="G1471" t="s">
        <v>20</v>
      </c>
      <c r="K1471" t="s">
        <v>3880</v>
      </c>
      <c r="L1471" t="s">
        <v>22</v>
      </c>
      <c r="P1471" t="s">
        <v>55</v>
      </c>
      <c r="Q1471" t="s">
        <v>3991</v>
      </c>
    </row>
    <row r="1472" spans="1:17" ht="15.75" hidden="1" customHeight="1">
      <c r="A1472" t="s">
        <v>3992</v>
      </c>
      <c r="B1472" t="s">
        <v>17</v>
      </c>
      <c r="C1472" t="s">
        <v>273</v>
      </c>
      <c r="F1472" t="s">
        <v>264</v>
      </c>
      <c r="G1472" t="s">
        <v>20</v>
      </c>
      <c r="K1472" t="s">
        <v>3880</v>
      </c>
      <c r="L1472" t="s">
        <v>22</v>
      </c>
      <c r="P1472" t="s">
        <v>274</v>
      </c>
      <c r="Q1472" t="s">
        <v>275</v>
      </c>
    </row>
    <row r="1473" spans="1:17" ht="15.75" hidden="1" customHeight="1">
      <c r="A1473" t="s">
        <v>3993</v>
      </c>
      <c r="B1473" t="s">
        <v>17</v>
      </c>
      <c r="C1473" t="s">
        <v>1752</v>
      </c>
      <c r="F1473" t="s">
        <v>264</v>
      </c>
      <c r="G1473" t="s">
        <v>20</v>
      </c>
      <c r="K1473" t="s">
        <v>3883</v>
      </c>
      <c r="L1473" t="s">
        <v>22</v>
      </c>
      <c r="P1473" t="s">
        <v>55</v>
      </c>
      <c r="Q1473" t="s">
        <v>3994</v>
      </c>
    </row>
    <row r="1474" spans="1:17" ht="15.75" hidden="1" customHeight="1">
      <c r="A1474" t="s">
        <v>3995</v>
      </c>
      <c r="B1474" t="s">
        <v>17</v>
      </c>
      <c r="C1474" t="s">
        <v>263</v>
      </c>
      <c r="F1474" t="s">
        <v>264</v>
      </c>
      <c r="G1474" t="s">
        <v>20</v>
      </c>
      <c r="K1474" t="s">
        <v>3883</v>
      </c>
      <c r="L1474" t="s">
        <v>22</v>
      </c>
      <c r="P1474" t="s">
        <v>125</v>
      </c>
      <c r="Q1474" t="s">
        <v>265</v>
      </c>
    </row>
    <row r="1475" spans="1:17" ht="15.75" hidden="1" customHeight="1">
      <c r="A1475" t="s">
        <v>3996</v>
      </c>
      <c r="B1475" t="s">
        <v>17</v>
      </c>
      <c r="C1475" t="s">
        <v>1749</v>
      </c>
      <c r="F1475" t="s">
        <v>264</v>
      </c>
      <c r="G1475" t="s">
        <v>20</v>
      </c>
      <c r="K1475" t="s">
        <v>3883</v>
      </c>
      <c r="L1475" t="s">
        <v>22</v>
      </c>
      <c r="P1475" t="s">
        <v>125</v>
      </c>
      <c r="Q1475" t="s">
        <v>3997</v>
      </c>
    </row>
    <row r="1476" spans="1:17" ht="15.75" hidden="1" customHeight="1">
      <c r="A1476" t="s">
        <v>3998</v>
      </c>
      <c r="B1476" t="s">
        <v>17</v>
      </c>
      <c r="C1476" t="s">
        <v>1761</v>
      </c>
      <c r="F1476" t="s">
        <v>264</v>
      </c>
      <c r="G1476" t="s">
        <v>20</v>
      </c>
      <c r="K1476" t="s">
        <v>3883</v>
      </c>
      <c r="L1476" t="s">
        <v>22</v>
      </c>
      <c r="P1476" t="s">
        <v>278</v>
      </c>
      <c r="Q1476" t="s">
        <v>3999</v>
      </c>
    </row>
    <row r="1477" spans="1:17" ht="15.75" hidden="1" customHeight="1">
      <c r="A1477" t="s">
        <v>4000</v>
      </c>
      <c r="B1477" t="s">
        <v>17</v>
      </c>
      <c r="C1477" t="s">
        <v>270</v>
      </c>
      <c r="F1477" t="s">
        <v>264</v>
      </c>
      <c r="G1477" t="s">
        <v>20</v>
      </c>
      <c r="K1477" t="s">
        <v>3886</v>
      </c>
      <c r="L1477" t="s">
        <v>22</v>
      </c>
      <c r="P1477" t="s">
        <v>125</v>
      </c>
      <c r="Q1477" t="s">
        <v>4001</v>
      </c>
    </row>
    <row r="1478" spans="1:17" ht="15.75" hidden="1" customHeight="1">
      <c r="A1478" t="s">
        <v>4002</v>
      </c>
      <c r="B1478" t="s">
        <v>17</v>
      </c>
      <c r="C1478" t="s">
        <v>1776</v>
      </c>
      <c r="F1478" t="s">
        <v>264</v>
      </c>
      <c r="G1478" t="s">
        <v>20</v>
      </c>
      <c r="K1478" t="s">
        <v>3888</v>
      </c>
      <c r="L1478" t="s">
        <v>22</v>
      </c>
      <c r="P1478" t="s">
        <v>55</v>
      </c>
      <c r="Q1478" t="s">
        <v>4003</v>
      </c>
    </row>
    <row r="1479" spans="1:17" ht="15.75" hidden="1" customHeight="1">
      <c r="A1479" t="s">
        <v>4004</v>
      </c>
      <c r="B1479" t="s">
        <v>17</v>
      </c>
      <c r="C1479" t="s">
        <v>1782</v>
      </c>
      <c r="F1479" t="s">
        <v>264</v>
      </c>
      <c r="G1479" t="s">
        <v>20</v>
      </c>
      <c r="K1479" t="s">
        <v>3888</v>
      </c>
      <c r="L1479" t="s">
        <v>22</v>
      </c>
      <c r="P1479" t="s">
        <v>274</v>
      </c>
      <c r="Q1479" t="s">
        <v>1783</v>
      </c>
    </row>
    <row r="1480" spans="1:17" ht="15.75" hidden="1" customHeight="1">
      <c r="A1480" t="s">
        <v>4005</v>
      </c>
      <c r="B1480" t="s">
        <v>17</v>
      </c>
      <c r="C1480" t="s">
        <v>18</v>
      </c>
      <c r="F1480" t="s">
        <v>19</v>
      </c>
      <c r="G1480" t="s">
        <v>20</v>
      </c>
      <c r="K1480" t="s">
        <v>3868</v>
      </c>
      <c r="L1480" t="s">
        <v>22</v>
      </c>
      <c r="P1480" t="s">
        <v>23</v>
      </c>
      <c r="Q1480" t="s">
        <v>24</v>
      </c>
    </row>
    <row r="1481" spans="1:17" ht="15.75" hidden="1" customHeight="1">
      <c r="A1481" t="s">
        <v>4006</v>
      </c>
      <c r="B1481" t="s">
        <v>17</v>
      </c>
      <c r="C1481" t="s">
        <v>1800</v>
      </c>
      <c r="F1481" t="s">
        <v>19</v>
      </c>
      <c r="G1481" t="s">
        <v>20</v>
      </c>
      <c r="K1481" t="s">
        <v>3868</v>
      </c>
      <c r="L1481" t="s">
        <v>22</v>
      </c>
      <c r="P1481" t="s">
        <v>23</v>
      </c>
      <c r="Q1481" t="s">
        <v>1801</v>
      </c>
    </row>
    <row r="1482" spans="1:17" ht="15.75" hidden="1" customHeight="1">
      <c r="A1482" t="s">
        <v>4007</v>
      </c>
      <c r="B1482" t="s">
        <v>17</v>
      </c>
      <c r="C1482" t="s">
        <v>1794</v>
      </c>
      <c r="F1482" t="s">
        <v>19</v>
      </c>
      <c r="G1482" t="s">
        <v>20</v>
      </c>
      <c r="K1482" t="s">
        <v>3868</v>
      </c>
      <c r="L1482" t="s">
        <v>22</v>
      </c>
      <c r="P1482" t="s">
        <v>23</v>
      </c>
      <c r="Q1482" t="s">
        <v>1795</v>
      </c>
    </row>
    <row r="1483" spans="1:17" ht="15.75" hidden="1" customHeight="1">
      <c r="A1483" t="s">
        <v>4008</v>
      </c>
      <c r="B1483" t="s">
        <v>17</v>
      </c>
      <c r="C1483" t="s">
        <v>1806</v>
      </c>
      <c r="F1483" t="s">
        <v>19</v>
      </c>
      <c r="G1483" t="s">
        <v>20</v>
      </c>
      <c r="K1483" t="s">
        <v>3874</v>
      </c>
      <c r="L1483" t="s">
        <v>22</v>
      </c>
      <c r="P1483" t="s">
        <v>23</v>
      </c>
      <c r="Q1483" t="s">
        <v>1807</v>
      </c>
    </row>
    <row r="1484" spans="1:17" ht="15.75" hidden="1" customHeight="1">
      <c r="A1484" t="s">
        <v>4009</v>
      </c>
      <c r="B1484" t="s">
        <v>17</v>
      </c>
      <c r="C1484" t="s">
        <v>190</v>
      </c>
      <c r="F1484" t="s">
        <v>19</v>
      </c>
      <c r="G1484" t="s">
        <v>20</v>
      </c>
      <c r="K1484" t="s">
        <v>3874</v>
      </c>
      <c r="L1484" t="s">
        <v>22</v>
      </c>
      <c r="P1484" t="s">
        <v>23</v>
      </c>
      <c r="Q1484" t="s">
        <v>192</v>
      </c>
    </row>
    <row r="1485" spans="1:17" ht="15.75" hidden="1" customHeight="1">
      <c r="A1485" t="s">
        <v>4010</v>
      </c>
      <c r="B1485" t="s">
        <v>17</v>
      </c>
      <c r="C1485" t="s">
        <v>26</v>
      </c>
      <c r="F1485" t="s">
        <v>19</v>
      </c>
      <c r="G1485" t="s">
        <v>20</v>
      </c>
      <c r="K1485" t="s">
        <v>3874</v>
      </c>
      <c r="L1485" t="s">
        <v>22</v>
      </c>
      <c r="P1485" t="s">
        <v>23</v>
      </c>
      <c r="Q1485" t="s">
        <v>27</v>
      </c>
    </row>
    <row r="1486" spans="1:17" ht="15.75" hidden="1" customHeight="1">
      <c r="A1486" t="s">
        <v>4011</v>
      </c>
      <c r="B1486" t="s">
        <v>17</v>
      </c>
      <c r="C1486" t="s">
        <v>194</v>
      </c>
      <c r="F1486" t="s">
        <v>19</v>
      </c>
      <c r="G1486" t="s">
        <v>20</v>
      </c>
      <c r="K1486" t="s">
        <v>3880</v>
      </c>
      <c r="L1486" t="s">
        <v>22</v>
      </c>
      <c r="P1486" t="s">
        <v>23</v>
      </c>
      <c r="Q1486" t="s">
        <v>195</v>
      </c>
    </row>
    <row r="1487" spans="1:17" ht="15.75" hidden="1" customHeight="1">
      <c r="A1487" t="s">
        <v>4012</v>
      </c>
      <c r="B1487" t="s">
        <v>17</v>
      </c>
      <c r="C1487" t="s">
        <v>197</v>
      </c>
      <c r="F1487" t="s">
        <v>19</v>
      </c>
      <c r="G1487" t="s">
        <v>20</v>
      </c>
      <c r="K1487" t="s">
        <v>3880</v>
      </c>
      <c r="L1487" t="s">
        <v>22</v>
      </c>
      <c r="P1487" t="s">
        <v>23</v>
      </c>
      <c r="Q1487" t="s">
        <v>4013</v>
      </c>
    </row>
    <row r="1488" spans="1:17" ht="15.75" hidden="1" customHeight="1">
      <c r="A1488" t="s">
        <v>4014</v>
      </c>
      <c r="B1488" t="s">
        <v>17</v>
      </c>
      <c r="C1488" t="s">
        <v>1812</v>
      </c>
      <c r="F1488" t="s">
        <v>19</v>
      </c>
      <c r="G1488" t="s">
        <v>20</v>
      </c>
      <c r="K1488" t="s">
        <v>3880</v>
      </c>
      <c r="L1488" t="s">
        <v>22</v>
      </c>
      <c r="P1488" t="s">
        <v>23</v>
      </c>
      <c r="Q1488" t="s">
        <v>1813</v>
      </c>
    </row>
    <row r="1489" spans="1:17" ht="15.75" hidden="1" customHeight="1">
      <c r="A1489" t="s">
        <v>4015</v>
      </c>
      <c r="B1489" t="s">
        <v>17</v>
      </c>
      <c r="C1489" t="s">
        <v>906</v>
      </c>
      <c r="F1489" t="s">
        <v>19</v>
      </c>
      <c r="G1489" t="s">
        <v>20</v>
      </c>
      <c r="K1489" t="s">
        <v>3880</v>
      </c>
      <c r="L1489" t="s">
        <v>22</v>
      </c>
      <c r="P1489" t="s">
        <v>23</v>
      </c>
      <c r="Q1489" t="s">
        <v>907</v>
      </c>
    </row>
    <row r="1490" spans="1:17" ht="15.75" hidden="1" customHeight="1">
      <c r="A1490" t="s">
        <v>4016</v>
      </c>
      <c r="B1490" t="s">
        <v>17</v>
      </c>
      <c r="C1490" t="s">
        <v>29</v>
      </c>
      <c r="F1490" t="s">
        <v>19</v>
      </c>
      <c r="G1490" t="s">
        <v>20</v>
      </c>
      <c r="K1490" t="s">
        <v>3880</v>
      </c>
      <c r="L1490" t="s">
        <v>22</v>
      </c>
      <c r="P1490" t="s">
        <v>23</v>
      </c>
      <c r="Q1490" t="s">
        <v>30</v>
      </c>
    </row>
    <row r="1491" spans="1:17" ht="15.75" hidden="1" customHeight="1">
      <c r="A1491" t="s">
        <v>4017</v>
      </c>
      <c r="B1491" t="s">
        <v>17</v>
      </c>
      <c r="C1491" t="s">
        <v>912</v>
      </c>
      <c r="F1491" t="s">
        <v>19</v>
      </c>
      <c r="G1491" t="s">
        <v>20</v>
      </c>
      <c r="K1491" t="s">
        <v>3883</v>
      </c>
      <c r="L1491" t="s">
        <v>22</v>
      </c>
      <c r="P1491" t="s">
        <v>23</v>
      </c>
      <c r="Q1491" t="s">
        <v>913</v>
      </c>
    </row>
    <row r="1492" spans="1:17" ht="15.75" hidden="1" customHeight="1">
      <c r="A1492" t="s">
        <v>4018</v>
      </c>
      <c r="B1492" t="s">
        <v>17</v>
      </c>
      <c r="C1492" t="s">
        <v>1818</v>
      </c>
      <c r="F1492" t="s">
        <v>19</v>
      </c>
      <c r="G1492" t="s">
        <v>20</v>
      </c>
      <c r="K1492" t="s">
        <v>3883</v>
      </c>
      <c r="L1492" t="s">
        <v>22</v>
      </c>
      <c r="P1492" t="s">
        <v>23</v>
      </c>
      <c r="Q1492" t="s">
        <v>1819</v>
      </c>
    </row>
    <row r="1493" spans="1:17" ht="15.75" hidden="1" customHeight="1">
      <c r="A1493" t="s">
        <v>4019</v>
      </c>
      <c r="B1493" t="s">
        <v>17</v>
      </c>
      <c r="C1493" t="s">
        <v>32</v>
      </c>
      <c r="F1493" t="s">
        <v>19</v>
      </c>
      <c r="G1493" t="s">
        <v>20</v>
      </c>
      <c r="K1493" t="s">
        <v>3883</v>
      </c>
      <c r="L1493" t="s">
        <v>22</v>
      </c>
      <c r="P1493" t="s">
        <v>23</v>
      </c>
      <c r="Q1493" t="s">
        <v>33</v>
      </c>
    </row>
    <row r="1494" spans="1:17" ht="15.75" hidden="1" customHeight="1">
      <c r="A1494" t="s">
        <v>4020</v>
      </c>
      <c r="B1494" t="s">
        <v>17</v>
      </c>
      <c r="C1494" t="s">
        <v>35</v>
      </c>
      <c r="F1494" t="s">
        <v>19</v>
      </c>
      <c r="G1494" t="s">
        <v>20</v>
      </c>
      <c r="K1494" t="s">
        <v>3886</v>
      </c>
      <c r="L1494" t="s">
        <v>22</v>
      </c>
      <c r="P1494" t="s">
        <v>23</v>
      </c>
      <c r="Q1494" t="s">
        <v>36</v>
      </c>
    </row>
    <row r="1495" spans="1:17" ht="15.75" hidden="1" customHeight="1">
      <c r="A1495" t="s">
        <v>4021</v>
      </c>
      <c r="B1495" t="s">
        <v>17</v>
      </c>
      <c r="C1495" t="s">
        <v>41</v>
      </c>
      <c r="F1495" t="s">
        <v>19</v>
      </c>
      <c r="G1495" t="s">
        <v>20</v>
      </c>
      <c r="K1495" t="s">
        <v>3886</v>
      </c>
      <c r="L1495" t="s">
        <v>22</v>
      </c>
      <c r="P1495" t="s">
        <v>23</v>
      </c>
      <c r="Q1495" t="s">
        <v>42</v>
      </c>
    </row>
    <row r="1496" spans="1:17" ht="15.75" hidden="1" customHeight="1">
      <c r="A1496" t="s">
        <v>4022</v>
      </c>
      <c r="B1496" t="s">
        <v>17</v>
      </c>
      <c r="C1496" t="s">
        <v>38</v>
      </c>
      <c r="F1496" t="s">
        <v>19</v>
      </c>
      <c r="G1496" t="s">
        <v>20</v>
      </c>
      <c r="K1496" t="s">
        <v>3886</v>
      </c>
      <c r="L1496" t="s">
        <v>22</v>
      </c>
      <c r="P1496" t="s">
        <v>23</v>
      </c>
      <c r="Q1496" t="s">
        <v>39</v>
      </c>
    </row>
    <row r="1497" spans="1:17" ht="15.75" hidden="1" customHeight="1">
      <c r="A1497" t="s">
        <v>4023</v>
      </c>
      <c r="B1497" t="s">
        <v>17</v>
      </c>
      <c r="C1497" t="s">
        <v>918</v>
      </c>
      <c r="F1497" t="s">
        <v>19</v>
      </c>
      <c r="G1497" t="s">
        <v>20</v>
      </c>
      <c r="K1497" t="s">
        <v>3888</v>
      </c>
      <c r="L1497" t="s">
        <v>22</v>
      </c>
      <c r="P1497" t="s">
        <v>23</v>
      </c>
      <c r="Q1497" t="s">
        <v>919</v>
      </c>
    </row>
    <row r="1498" spans="1:17" ht="15.75" hidden="1" customHeight="1">
      <c r="A1498" t="s">
        <v>4024</v>
      </c>
      <c r="B1498" t="s">
        <v>17</v>
      </c>
      <c r="C1498" t="s">
        <v>44</v>
      </c>
      <c r="F1498" t="s">
        <v>19</v>
      </c>
      <c r="G1498" t="s">
        <v>20</v>
      </c>
      <c r="K1498" t="s">
        <v>3888</v>
      </c>
      <c r="L1498" t="s">
        <v>22</v>
      </c>
      <c r="P1498" t="s">
        <v>23</v>
      </c>
      <c r="Q1498" t="s">
        <v>45</v>
      </c>
    </row>
    <row r="1499" spans="1:17" ht="15.75" hidden="1" customHeight="1">
      <c r="A1499" t="s">
        <v>4025</v>
      </c>
      <c r="B1499" t="s">
        <v>17</v>
      </c>
      <c r="C1499" t="s">
        <v>47</v>
      </c>
      <c r="F1499" t="s">
        <v>19</v>
      </c>
      <c r="G1499" t="s">
        <v>20</v>
      </c>
      <c r="K1499" t="s">
        <v>3888</v>
      </c>
      <c r="L1499" t="s">
        <v>22</v>
      </c>
      <c r="P1499" t="s">
        <v>23</v>
      </c>
      <c r="Q1499" t="s">
        <v>48</v>
      </c>
    </row>
    <row r="1500" spans="1:17" ht="15.75" hidden="1" customHeight="1">
      <c r="A1500" t="s">
        <v>4026</v>
      </c>
      <c r="B1500" t="s">
        <v>17</v>
      </c>
      <c r="C1500" t="s">
        <v>50</v>
      </c>
      <c r="F1500" t="s">
        <v>19</v>
      </c>
      <c r="G1500" t="s">
        <v>20</v>
      </c>
      <c r="K1500" t="s">
        <v>3890</v>
      </c>
      <c r="L1500" t="s">
        <v>22</v>
      </c>
      <c r="P1500" t="s">
        <v>23</v>
      </c>
      <c r="Q1500" t="s">
        <v>4027</v>
      </c>
    </row>
    <row r="1501" spans="1:17" ht="15.75" hidden="1" customHeight="1">
      <c r="A1501" t="s">
        <v>4028</v>
      </c>
      <c r="B1501" t="s">
        <v>17</v>
      </c>
      <c r="C1501" t="s">
        <v>200</v>
      </c>
      <c r="F1501" t="s">
        <v>19</v>
      </c>
      <c r="G1501" t="s">
        <v>20</v>
      </c>
      <c r="K1501" t="s">
        <v>3890</v>
      </c>
      <c r="L1501" t="s">
        <v>22</v>
      </c>
      <c r="P1501" t="s">
        <v>23</v>
      </c>
      <c r="Q1501" t="s">
        <v>4029</v>
      </c>
    </row>
    <row r="1502" spans="1:17" ht="15.75" hidden="1" customHeight="1">
      <c r="A1502" t="s">
        <v>4030</v>
      </c>
      <c r="B1502" t="s">
        <v>17</v>
      </c>
      <c r="C1502" t="s">
        <v>1830</v>
      </c>
      <c r="F1502" t="s">
        <v>54</v>
      </c>
      <c r="G1502" t="s">
        <v>20</v>
      </c>
      <c r="K1502" t="s">
        <v>3868</v>
      </c>
      <c r="L1502" t="s">
        <v>22</v>
      </c>
      <c r="P1502" t="s">
        <v>55</v>
      </c>
      <c r="Q1502" t="s">
        <v>1831</v>
      </c>
    </row>
    <row r="1503" spans="1:17" ht="15.75" hidden="1" customHeight="1">
      <c r="A1503" t="s">
        <v>4031</v>
      </c>
      <c r="B1503" t="s">
        <v>17</v>
      </c>
      <c r="C1503" t="s">
        <v>1824</v>
      </c>
      <c r="F1503" t="s">
        <v>54</v>
      </c>
      <c r="G1503" t="s">
        <v>20</v>
      </c>
      <c r="K1503" t="s">
        <v>3868</v>
      </c>
      <c r="L1503" t="s">
        <v>22</v>
      </c>
      <c r="P1503" t="s">
        <v>55</v>
      </c>
      <c r="Q1503" t="s">
        <v>1825</v>
      </c>
    </row>
    <row r="1504" spans="1:17" ht="15.75" hidden="1" customHeight="1">
      <c r="A1504" t="s">
        <v>4032</v>
      </c>
      <c r="B1504" t="s">
        <v>17</v>
      </c>
      <c r="C1504" t="s">
        <v>53</v>
      </c>
      <c r="F1504" t="s">
        <v>54</v>
      </c>
      <c r="G1504" t="s">
        <v>20</v>
      </c>
      <c r="K1504" t="s">
        <v>3868</v>
      </c>
      <c r="L1504" t="s">
        <v>22</v>
      </c>
      <c r="P1504" t="s">
        <v>55</v>
      </c>
      <c r="Q1504" t="s">
        <v>56</v>
      </c>
    </row>
    <row r="1505" spans="1:17" ht="15.75" hidden="1" customHeight="1">
      <c r="A1505" t="s">
        <v>4033</v>
      </c>
      <c r="B1505" t="s">
        <v>17</v>
      </c>
      <c r="C1505" t="s">
        <v>1836</v>
      </c>
      <c r="F1505" t="s">
        <v>54</v>
      </c>
      <c r="G1505" t="s">
        <v>20</v>
      </c>
      <c r="K1505" t="s">
        <v>3874</v>
      </c>
      <c r="L1505" t="s">
        <v>22</v>
      </c>
      <c r="P1505" t="s">
        <v>55</v>
      </c>
      <c r="Q1505" t="s">
        <v>1837</v>
      </c>
    </row>
    <row r="1506" spans="1:17" ht="15.75" hidden="1" customHeight="1">
      <c r="A1506" t="s">
        <v>4034</v>
      </c>
      <c r="B1506" t="s">
        <v>17</v>
      </c>
      <c r="C1506" t="s">
        <v>58</v>
      </c>
      <c r="F1506" t="s">
        <v>54</v>
      </c>
      <c r="G1506" t="s">
        <v>20</v>
      </c>
      <c r="K1506" t="s">
        <v>3874</v>
      </c>
      <c r="L1506" t="s">
        <v>22</v>
      </c>
      <c r="P1506" t="s">
        <v>55</v>
      </c>
      <c r="Q1506" t="s">
        <v>59</v>
      </c>
    </row>
    <row r="1507" spans="1:17" ht="15.75" hidden="1" customHeight="1">
      <c r="A1507" t="s">
        <v>4035</v>
      </c>
      <c r="B1507" t="s">
        <v>17</v>
      </c>
      <c r="C1507" t="s">
        <v>61</v>
      </c>
      <c r="F1507" t="s">
        <v>54</v>
      </c>
      <c r="G1507" t="s">
        <v>20</v>
      </c>
      <c r="K1507" t="s">
        <v>3874</v>
      </c>
      <c r="L1507" t="s">
        <v>22</v>
      </c>
      <c r="P1507" t="s">
        <v>55</v>
      </c>
      <c r="Q1507" t="s">
        <v>62</v>
      </c>
    </row>
    <row r="1508" spans="1:17" ht="15.75" hidden="1" customHeight="1">
      <c r="A1508" t="s">
        <v>4036</v>
      </c>
      <c r="B1508" t="s">
        <v>17</v>
      </c>
      <c r="C1508" t="s">
        <v>1842</v>
      </c>
      <c r="F1508" t="s">
        <v>54</v>
      </c>
      <c r="G1508" t="s">
        <v>20</v>
      </c>
      <c r="K1508" t="s">
        <v>3880</v>
      </c>
      <c r="L1508" t="s">
        <v>22</v>
      </c>
      <c r="P1508" t="s">
        <v>55</v>
      </c>
      <c r="Q1508" t="s">
        <v>1843</v>
      </c>
    </row>
    <row r="1509" spans="1:17" ht="15.75" hidden="1" customHeight="1">
      <c r="A1509" t="s">
        <v>4037</v>
      </c>
      <c r="B1509" t="s">
        <v>17</v>
      </c>
      <c r="C1509" t="s">
        <v>924</v>
      </c>
      <c r="F1509" t="s">
        <v>54</v>
      </c>
      <c r="G1509" t="s">
        <v>20</v>
      </c>
      <c r="K1509" t="s">
        <v>3880</v>
      </c>
      <c r="L1509" t="s">
        <v>22</v>
      </c>
      <c r="P1509" t="s">
        <v>55</v>
      </c>
      <c r="Q1509" t="s">
        <v>925</v>
      </c>
    </row>
    <row r="1510" spans="1:17" ht="15.75" hidden="1" customHeight="1">
      <c r="A1510" t="s">
        <v>4038</v>
      </c>
      <c r="B1510" t="s">
        <v>17</v>
      </c>
      <c r="C1510" t="s">
        <v>203</v>
      </c>
      <c r="F1510" t="s">
        <v>54</v>
      </c>
      <c r="G1510" t="s">
        <v>20</v>
      </c>
      <c r="K1510" t="s">
        <v>3880</v>
      </c>
      <c r="L1510" t="s">
        <v>22</v>
      </c>
      <c r="P1510" t="s">
        <v>55</v>
      </c>
      <c r="Q1510" t="s">
        <v>4039</v>
      </c>
    </row>
    <row r="1511" spans="1:17" ht="15.75" hidden="1" customHeight="1">
      <c r="A1511" t="s">
        <v>4040</v>
      </c>
      <c r="B1511" t="s">
        <v>17</v>
      </c>
      <c r="C1511" t="s">
        <v>206</v>
      </c>
      <c r="F1511" t="s">
        <v>54</v>
      </c>
      <c r="G1511" t="s">
        <v>20</v>
      </c>
      <c r="K1511" t="s">
        <v>3880</v>
      </c>
      <c r="L1511" t="s">
        <v>22</v>
      </c>
      <c r="P1511" t="s">
        <v>55</v>
      </c>
      <c r="Q1511" t="s">
        <v>4041</v>
      </c>
    </row>
    <row r="1512" spans="1:17" ht="15.75" hidden="1" customHeight="1">
      <c r="A1512" t="s">
        <v>4042</v>
      </c>
      <c r="B1512" t="s">
        <v>17</v>
      </c>
      <c r="C1512" t="s">
        <v>64</v>
      </c>
      <c r="F1512" t="s">
        <v>54</v>
      </c>
      <c r="G1512" t="s">
        <v>20</v>
      </c>
      <c r="K1512" t="s">
        <v>3880</v>
      </c>
      <c r="L1512" t="s">
        <v>22</v>
      </c>
      <c r="P1512" t="s">
        <v>55</v>
      </c>
      <c r="Q1512" t="s">
        <v>65</v>
      </c>
    </row>
    <row r="1513" spans="1:17" ht="15.75" hidden="1" customHeight="1">
      <c r="A1513" t="s">
        <v>4043</v>
      </c>
      <c r="B1513" t="s">
        <v>17</v>
      </c>
      <c r="C1513" t="s">
        <v>1848</v>
      </c>
      <c r="F1513" t="s">
        <v>54</v>
      </c>
      <c r="G1513" t="s">
        <v>20</v>
      </c>
      <c r="K1513" t="s">
        <v>3883</v>
      </c>
      <c r="L1513" t="s">
        <v>22</v>
      </c>
      <c r="P1513" t="s">
        <v>55</v>
      </c>
      <c r="Q1513" t="s">
        <v>1849</v>
      </c>
    </row>
    <row r="1514" spans="1:17" ht="15.75" hidden="1" customHeight="1">
      <c r="A1514" t="s">
        <v>4044</v>
      </c>
      <c r="B1514" t="s">
        <v>17</v>
      </c>
      <c r="C1514" t="s">
        <v>930</v>
      </c>
      <c r="F1514" t="s">
        <v>54</v>
      </c>
      <c r="G1514" t="s">
        <v>20</v>
      </c>
      <c r="K1514" t="s">
        <v>3883</v>
      </c>
      <c r="L1514" t="s">
        <v>22</v>
      </c>
      <c r="P1514" t="s">
        <v>55</v>
      </c>
      <c r="Q1514" t="s">
        <v>931</v>
      </c>
    </row>
    <row r="1515" spans="1:17" ht="15.75" hidden="1" customHeight="1">
      <c r="A1515" t="s">
        <v>4045</v>
      </c>
      <c r="B1515" t="s">
        <v>17</v>
      </c>
      <c r="C1515" t="s">
        <v>67</v>
      </c>
      <c r="F1515" t="s">
        <v>54</v>
      </c>
      <c r="G1515" t="s">
        <v>20</v>
      </c>
      <c r="K1515" t="s">
        <v>3883</v>
      </c>
      <c r="L1515" t="s">
        <v>22</v>
      </c>
      <c r="P1515" t="s">
        <v>55</v>
      </c>
      <c r="Q1515" t="s">
        <v>68</v>
      </c>
    </row>
    <row r="1516" spans="1:17" ht="15.75" hidden="1" customHeight="1">
      <c r="A1516" t="s">
        <v>4046</v>
      </c>
      <c r="B1516" t="s">
        <v>17</v>
      </c>
      <c r="C1516" t="s">
        <v>73</v>
      </c>
      <c r="F1516" t="s">
        <v>54</v>
      </c>
      <c r="G1516" t="s">
        <v>20</v>
      </c>
      <c r="K1516" t="s">
        <v>3886</v>
      </c>
      <c r="L1516" t="s">
        <v>22</v>
      </c>
      <c r="P1516" t="s">
        <v>55</v>
      </c>
      <c r="Q1516" t="s">
        <v>74</v>
      </c>
    </row>
    <row r="1517" spans="1:17" ht="15.75" hidden="1" customHeight="1">
      <c r="A1517" t="s">
        <v>4047</v>
      </c>
      <c r="B1517" t="s">
        <v>17</v>
      </c>
      <c r="C1517" t="s">
        <v>70</v>
      </c>
      <c r="F1517" t="s">
        <v>54</v>
      </c>
      <c r="G1517" t="s">
        <v>20</v>
      </c>
      <c r="K1517" t="s">
        <v>3886</v>
      </c>
      <c r="L1517" t="s">
        <v>22</v>
      </c>
      <c r="P1517" t="s">
        <v>55</v>
      </c>
      <c r="Q1517" t="s">
        <v>71</v>
      </c>
    </row>
    <row r="1518" spans="1:17" ht="15.75" hidden="1" customHeight="1">
      <c r="A1518" t="s">
        <v>4048</v>
      </c>
      <c r="B1518" t="s">
        <v>17</v>
      </c>
      <c r="C1518" t="s">
        <v>76</v>
      </c>
      <c r="F1518" t="s">
        <v>54</v>
      </c>
      <c r="G1518" t="s">
        <v>20</v>
      </c>
      <c r="K1518" t="s">
        <v>3886</v>
      </c>
      <c r="L1518" t="s">
        <v>22</v>
      </c>
      <c r="P1518" t="s">
        <v>55</v>
      </c>
      <c r="Q1518" t="s">
        <v>77</v>
      </c>
    </row>
    <row r="1519" spans="1:17" ht="15.75" hidden="1" customHeight="1">
      <c r="A1519" t="s">
        <v>4049</v>
      </c>
      <c r="B1519" t="s">
        <v>17</v>
      </c>
      <c r="C1519" t="s">
        <v>936</v>
      </c>
      <c r="F1519" t="s">
        <v>54</v>
      </c>
      <c r="G1519" t="s">
        <v>20</v>
      </c>
      <c r="K1519" t="s">
        <v>3888</v>
      </c>
      <c r="L1519" t="s">
        <v>22</v>
      </c>
      <c r="P1519" t="s">
        <v>55</v>
      </c>
      <c r="Q1519" t="s">
        <v>937</v>
      </c>
    </row>
    <row r="1520" spans="1:17" ht="15.75" hidden="1" customHeight="1">
      <c r="A1520" t="s">
        <v>4050</v>
      </c>
      <c r="B1520" t="s">
        <v>17</v>
      </c>
      <c r="C1520" t="s">
        <v>82</v>
      </c>
      <c r="F1520" t="s">
        <v>54</v>
      </c>
      <c r="G1520" t="s">
        <v>20</v>
      </c>
      <c r="K1520" t="s">
        <v>3888</v>
      </c>
      <c r="L1520" t="s">
        <v>22</v>
      </c>
      <c r="P1520" t="s">
        <v>55</v>
      </c>
      <c r="Q1520" t="s">
        <v>83</v>
      </c>
    </row>
    <row r="1521" spans="1:17" ht="15.75" hidden="1" customHeight="1">
      <c r="A1521" t="s">
        <v>4051</v>
      </c>
      <c r="B1521" t="s">
        <v>17</v>
      </c>
      <c r="C1521" t="s">
        <v>79</v>
      </c>
      <c r="F1521" t="s">
        <v>54</v>
      </c>
      <c r="G1521" t="s">
        <v>20</v>
      </c>
      <c r="K1521" t="s">
        <v>3888</v>
      </c>
      <c r="L1521" t="s">
        <v>22</v>
      </c>
      <c r="P1521" t="s">
        <v>55</v>
      </c>
      <c r="Q1521" t="s">
        <v>80</v>
      </c>
    </row>
    <row r="1522" spans="1:17" ht="15.75" hidden="1" customHeight="1">
      <c r="A1522" t="s">
        <v>4052</v>
      </c>
      <c r="B1522" t="s">
        <v>17</v>
      </c>
      <c r="C1522" t="s">
        <v>85</v>
      </c>
      <c r="F1522" t="s">
        <v>54</v>
      </c>
      <c r="G1522" t="s">
        <v>20</v>
      </c>
      <c r="K1522" t="s">
        <v>3890</v>
      </c>
      <c r="L1522" t="s">
        <v>22</v>
      </c>
      <c r="P1522" t="s">
        <v>55</v>
      </c>
      <c r="Q1522" t="s">
        <v>86</v>
      </c>
    </row>
    <row r="1523" spans="1:17" ht="15.75" hidden="1" customHeight="1">
      <c r="A1523" t="s">
        <v>4053</v>
      </c>
      <c r="B1523" t="s">
        <v>17</v>
      </c>
      <c r="C1523" t="s">
        <v>209</v>
      </c>
      <c r="F1523" t="s">
        <v>54</v>
      </c>
      <c r="G1523" t="s">
        <v>20</v>
      </c>
      <c r="K1523" t="s">
        <v>3890</v>
      </c>
      <c r="L1523" t="s">
        <v>22</v>
      </c>
      <c r="P1523" t="s">
        <v>55</v>
      </c>
      <c r="Q1523" t="s">
        <v>4054</v>
      </c>
    </row>
    <row r="1524" spans="1:17" ht="15.75" hidden="1" customHeight="1">
      <c r="A1524" t="s">
        <v>4055</v>
      </c>
      <c r="B1524" t="s">
        <v>17</v>
      </c>
      <c r="C1524" t="s">
        <v>1858</v>
      </c>
      <c r="F1524" t="s">
        <v>1855</v>
      </c>
      <c r="G1524" t="s">
        <v>20</v>
      </c>
      <c r="K1524" t="s">
        <v>3868</v>
      </c>
      <c r="L1524" t="s">
        <v>22</v>
      </c>
      <c r="P1524" t="s">
        <v>741</v>
      </c>
      <c r="Q1524" t="s">
        <v>1859</v>
      </c>
    </row>
    <row r="1525" spans="1:17" ht="15.75" hidden="1" customHeight="1">
      <c r="A1525" t="s">
        <v>4056</v>
      </c>
      <c r="B1525" t="s">
        <v>17</v>
      </c>
      <c r="C1525" t="s">
        <v>1854</v>
      </c>
      <c r="F1525" t="s">
        <v>1855</v>
      </c>
      <c r="G1525" t="s">
        <v>20</v>
      </c>
      <c r="K1525" t="s">
        <v>3868</v>
      </c>
      <c r="L1525" t="s">
        <v>22</v>
      </c>
      <c r="P1525" t="s">
        <v>737</v>
      </c>
      <c r="Q1525" t="s">
        <v>1856</v>
      </c>
    </row>
    <row r="1526" spans="1:17" ht="15.75" hidden="1" customHeight="1">
      <c r="A1526" t="s">
        <v>4057</v>
      </c>
      <c r="B1526" t="s">
        <v>17</v>
      </c>
      <c r="C1526" t="s">
        <v>1864</v>
      </c>
      <c r="F1526" t="s">
        <v>1855</v>
      </c>
      <c r="G1526" t="s">
        <v>20</v>
      </c>
      <c r="K1526" t="s">
        <v>3868</v>
      </c>
      <c r="L1526" t="s">
        <v>22</v>
      </c>
      <c r="P1526" t="s">
        <v>274</v>
      </c>
      <c r="Q1526" t="s">
        <v>1865</v>
      </c>
    </row>
    <row r="1527" spans="1:17" ht="15.75" hidden="1" customHeight="1">
      <c r="A1527" t="s">
        <v>4058</v>
      </c>
      <c r="B1527" t="s">
        <v>17</v>
      </c>
      <c r="C1527" t="s">
        <v>1876</v>
      </c>
      <c r="F1527" t="s">
        <v>1855</v>
      </c>
      <c r="G1527" t="s">
        <v>20</v>
      </c>
      <c r="K1527" t="s">
        <v>3874</v>
      </c>
      <c r="L1527" t="s">
        <v>22</v>
      </c>
      <c r="P1527" t="s">
        <v>737</v>
      </c>
      <c r="Q1527" t="s">
        <v>1877</v>
      </c>
    </row>
    <row r="1528" spans="1:17" ht="15.75" hidden="1" customHeight="1">
      <c r="A1528" t="s">
        <v>4059</v>
      </c>
      <c r="B1528" t="s">
        <v>17</v>
      </c>
      <c r="C1528" t="s">
        <v>1867</v>
      </c>
      <c r="F1528" t="s">
        <v>1855</v>
      </c>
      <c r="G1528" t="s">
        <v>20</v>
      </c>
      <c r="K1528" t="s">
        <v>3874</v>
      </c>
      <c r="L1528" t="s">
        <v>22</v>
      </c>
      <c r="P1528" t="s">
        <v>160</v>
      </c>
      <c r="Q1528" t="s">
        <v>1868</v>
      </c>
    </row>
    <row r="1529" spans="1:17" ht="15.75" hidden="1" customHeight="1">
      <c r="A1529" t="s">
        <v>4060</v>
      </c>
      <c r="B1529" t="s">
        <v>17</v>
      </c>
      <c r="C1529" t="s">
        <v>1870</v>
      </c>
      <c r="F1529" t="s">
        <v>1855</v>
      </c>
      <c r="G1529" t="s">
        <v>20</v>
      </c>
      <c r="K1529" t="s">
        <v>3874</v>
      </c>
      <c r="L1529" t="s">
        <v>22</v>
      </c>
      <c r="P1529" t="s">
        <v>737</v>
      </c>
      <c r="Q1529" t="s">
        <v>4061</v>
      </c>
    </row>
    <row r="1530" spans="1:17" ht="15.75" hidden="1" customHeight="1">
      <c r="A1530" t="s">
        <v>4062</v>
      </c>
      <c r="B1530" t="s">
        <v>17</v>
      </c>
      <c r="C1530" t="s">
        <v>1879</v>
      </c>
      <c r="F1530" t="s">
        <v>1855</v>
      </c>
      <c r="G1530" t="s">
        <v>20</v>
      </c>
      <c r="K1530" t="s">
        <v>3880</v>
      </c>
      <c r="L1530" t="s">
        <v>22</v>
      </c>
      <c r="P1530" t="s">
        <v>737</v>
      </c>
      <c r="Q1530" t="s">
        <v>1880</v>
      </c>
    </row>
    <row r="1531" spans="1:17" ht="15.75" hidden="1" customHeight="1">
      <c r="A1531" t="s">
        <v>4063</v>
      </c>
      <c r="B1531" t="s">
        <v>17</v>
      </c>
      <c r="C1531" t="s">
        <v>1885</v>
      </c>
      <c r="F1531" t="s">
        <v>1855</v>
      </c>
      <c r="G1531" t="s">
        <v>20</v>
      </c>
      <c r="K1531" t="s">
        <v>3880</v>
      </c>
      <c r="L1531" t="s">
        <v>22</v>
      </c>
      <c r="P1531" t="s">
        <v>737</v>
      </c>
      <c r="Q1531" t="s">
        <v>1886</v>
      </c>
    </row>
    <row r="1532" spans="1:17" ht="15.75" hidden="1" customHeight="1">
      <c r="A1532" t="s">
        <v>4064</v>
      </c>
      <c r="B1532" t="s">
        <v>17</v>
      </c>
      <c r="C1532" t="s">
        <v>1882</v>
      </c>
      <c r="F1532" t="s">
        <v>1855</v>
      </c>
      <c r="G1532" t="s">
        <v>20</v>
      </c>
      <c r="K1532" t="s">
        <v>3880</v>
      </c>
      <c r="L1532" t="s">
        <v>22</v>
      </c>
      <c r="P1532" t="s">
        <v>274</v>
      </c>
      <c r="Q1532" t="s">
        <v>1883</v>
      </c>
    </row>
    <row r="1533" spans="1:17" ht="15.75" hidden="1" customHeight="1">
      <c r="A1533" t="s">
        <v>4065</v>
      </c>
      <c r="B1533" t="s">
        <v>17</v>
      </c>
      <c r="C1533" t="s">
        <v>1891</v>
      </c>
      <c r="F1533" t="s">
        <v>1855</v>
      </c>
      <c r="G1533" t="s">
        <v>20</v>
      </c>
      <c r="K1533" t="s">
        <v>3883</v>
      </c>
      <c r="L1533" t="s">
        <v>22</v>
      </c>
      <c r="P1533" t="s">
        <v>737</v>
      </c>
      <c r="Q1533" t="s">
        <v>4066</v>
      </c>
    </row>
    <row r="1534" spans="1:17" ht="15.75" hidden="1" customHeight="1">
      <c r="A1534" t="s">
        <v>4067</v>
      </c>
      <c r="B1534" t="s">
        <v>17</v>
      </c>
      <c r="C1534" t="s">
        <v>1900</v>
      </c>
      <c r="F1534" t="s">
        <v>1855</v>
      </c>
      <c r="G1534" t="s">
        <v>20</v>
      </c>
      <c r="K1534" t="s">
        <v>3883</v>
      </c>
      <c r="L1534" t="s">
        <v>22</v>
      </c>
      <c r="P1534" t="s">
        <v>737</v>
      </c>
      <c r="Q1534" t="s">
        <v>4068</v>
      </c>
    </row>
    <row r="1535" spans="1:17" ht="15.75" hidden="1" customHeight="1">
      <c r="A1535" t="s">
        <v>4069</v>
      </c>
      <c r="B1535" t="s">
        <v>17</v>
      </c>
      <c r="C1535" t="s">
        <v>1894</v>
      </c>
      <c r="F1535" t="s">
        <v>1855</v>
      </c>
      <c r="G1535" t="s">
        <v>20</v>
      </c>
      <c r="K1535" t="s">
        <v>3883</v>
      </c>
      <c r="L1535" t="s">
        <v>22</v>
      </c>
      <c r="P1535" t="s">
        <v>737</v>
      </c>
      <c r="Q1535" t="s">
        <v>1895</v>
      </c>
    </row>
    <row r="1536" spans="1:17" ht="15.75" hidden="1" customHeight="1">
      <c r="A1536" t="s">
        <v>4070</v>
      </c>
      <c r="B1536" t="s">
        <v>17</v>
      </c>
      <c r="C1536" t="s">
        <v>1903</v>
      </c>
      <c r="F1536" t="s">
        <v>1855</v>
      </c>
      <c r="G1536" t="s">
        <v>20</v>
      </c>
      <c r="K1536" t="s">
        <v>3883</v>
      </c>
      <c r="L1536" t="s">
        <v>22</v>
      </c>
      <c r="P1536" t="s">
        <v>737</v>
      </c>
      <c r="Q1536" t="s">
        <v>4071</v>
      </c>
    </row>
    <row r="1537" spans="1:17" ht="15.75" hidden="1" customHeight="1">
      <c r="A1537" t="s">
        <v>4072</v>
      </c>
      <c r="B1537" t="s">
        <v>17</v>
      </c>
      <c r="C1537" t="s">
        <v>1906</v>
      </c>
      <c r="F1537" t="s">
        <v>1855</v>
      </c>
      <c r="G1537" t="s">
        <v>20</v>
      </c>
      <c r="K1537" t="s">
        <v>3886</v>
      </c>
      <c r="L1537" t="s">
        <v>22</v>
      </c>
      <c r="P1537" t="s">
        <v>737</v>
      </c>
      <c r="Q1537" t="s">
        <v>1907</v>
      </c>
    </row>
    <row r="1538" spans="1:17" ht="15.75" hidden="1" customHeight="1">
      <c r="A1538" t="s">
        <v>4073</v>
      </c>
      <c r="B1538" t="s">
        <v>17</v>
      </c>
      <c r="C1538" t="s">
        <v>1912</v>
      </c>
      <c r="F1538" t="s">
        <v>1855</v>
      </c>
      <c r="G1538" t="s">
        <v>20</v>
      </c>
      <c r="K1538" t="s">
        <v>3886</v>
      </c>
      <c r="L1538" t="s">
        <v>22</v>
      </c>
      <c r="P1538" t="s">
        <v>737</v>
      </c>
      <c r="Q1538" t="s">
        <v>4074</v>
      </c>
    </row>
    <row r="1539" spans="1:17" ht="15.75" hidden="1" customHeight="1">
      <c r="A1539" t="s">
        <v>4075</v>
      </c>
      <c r="B1539" t="s">
        <v>17</v>
      </c>
      <c r="C1539" t="s">
        <v>1909</v>
      </c>
      <c r="F1539" t="s">
        <v>1855</v>
      </c>
      <c r="G1539" t="s">
        <v>20</v>
      </c>
      <c r="K1539" t="s">
        <v>3886</v>
      </c>
      <c r="L1539" t="s">
        <v>22</v>
      </c>
      <c r="P1539" t="s">
        <v>737</v>
      </c>
      <c r="Q1539" t="s">
        <v>1910</v>
      </c>
    </row>
    <row r="1540" spans="1:17" ht="15.75" hidden="1" customHeight="1">
      <c r="A1540" t="s">
        <v>4076</v>
      </c>
      <c r="B1540" t="s">
        <v>17</v>
      </c>
      <c r="C1540" t="s">
        <v>1918</v>
      </c>
      <c r="F1540" t="s">
        <v>1855</v>
      </c>
      <c r="G1540" t="s">
        <v>20</v>
      </c>
      <c r="K1540" t="s">
        <v>3886</v>
      </c>
      <c r="L1540" t="s">
        <v>22</v>
      </c>
      <c r="P1540" t="s">
        <v>737</v>
      </c>
      <c r="Q1540" t="s">
        <v>1919</v>
      </c>
    </row>
    <row r="1541" spans="1:17" ht="15.75" hidden="1" customHeight="1">
      <c r="A1541" t="s">
        <v>4077</v>
      </c>
      <c r="B1541" t="s">
        <v>17</v>
      </c>
      <c r="C1541" t="s">
        <v>1915</v>
      </c>
      <c r="F1541" t="s">
        <v>1855</v>
      </c>
      <c r="G1541" t="s">
        <v>20</v>
      </c>
      <c r="K1541" t="s">
        <v>3886</v>
      </c>
      <c r="L1541" t="s">
        <v>22</v>
      </c>
      <c r="P1541" t="s">
        <v>737</v>
      </c>
      <c r="Q1541" t="s">
        <v>4078</v>
      </c>
    </row>
    <row r="1542" spans="1:17" ht="15.75" hidden="1" customHeight="1">
      <c r="A1542" t="s">
        <v>4079</v>
      </c>
      <c r="B1542" t="s">
        <v>17</v>
      </c>
      <c r="C1542" t="s">
        <v>1936</v>
      </c>
      <c r="F1542" t="s">
        <v>1855</v>
      </c>
      <c r="G1542" t="s">
        <v>20</v>
      </c>
      <c r="K1542" t="s">
        <v>3888</v>
      </c>
      <c r="L1542" t="s">
        <v>22</v>
      </c>
      <c r="P1542" t="s">
        <v>737</v>
      </c>
      <c r="Q1542" t="s">
        <v>1937</v>
      </c>
    </row>
    <row r="1543" spans="1:17" ht="15.75" hidden="1" customHeight="1">
      <c r="A1543" t="s">
        <v>4080</v>
      </c>
      <c r="B1543" t="s">
        <v>17</v>
      </c>
      <c r="C1543" t="s">
        <v>1927</v>
      </c>
      <c r="F1543" t="s">
        <v>1855</v>
      </c>
      <c r="G1543" t="s">
        <v>20</v>
      </c>
      <c r="K1543" t="s">
        <v>3888</v>
      </c>
      <c r="L1543" t="s">
        <v>22</v>
      </c>
      <c r="P1543" t="s">
        <v>737</v>
      </c>
      <c r="Q1543" t="s">
        <v>1928</v>
      </c>
    </row>
    <row r="1544" spans="1:17" ht="15.75" hidden="1" customHeight="1">
      <c r="A1544" t="s">
        <v>4081</v>
      </c>
      <c r="B1544" t="s">
        <v>17</v>
      </c>
      <c r="C1544" t="s">
        <v>1930</v>
      </c>
      <c r="F1544" t="s">
        <v>1855</v>
      </c>
      <c r="G1544" t="s">
        <v>20</v>
      </c>
      <c r="K1544" t="s">
        <v>3888</v>
      </c>
      <c r="L1544" t="s">
        <v>22</v>
      </c>
      <c r="P1544" t="s">
        <v>737</v>
      </c>
      <c r="Q1544" t="s">
        <v>1931</v>
      </c>
    </row>
    <row r="1545" spans="1:17" ht="15.75" hidden="1" customHeight="1">
      <c r="A1545" t="s">
        <v>4082</v>
      </c>
      <c r="B1545" t="s">
        <v>17</v>
      </c>
      <c r="C1545" t="s">
        <v>1933</v>
      </c>
      <c r="F1545" t="s">
        <v>1855</v>
      </c>
      <c r="G1545" t="s">
        <v>20</v>
      </c>
      <c r="K1545" t="s">
        <v>3888</v>
      </c>
      <c r="L1545" t="s">
        <v>22</v>
      </c>
      <c r="P1545" t="s">
        <v>737</v>
      </c>
      <c r="Q1545" t="s">
        <v>1934</v>
      </c>
    </row>
    <row r="1546" spans="1:17" ht="15.75" hidden="1" customHeight="1">
      <c r="A1546" t="s">
        <v>4083</v>
      </c>
      <c r="B1546" t="s">
        <v>17</v>
      </c>
      <c r="C1546" t="s">
        <v>1921</v>
      </c>
      <c r="F1546" t="s">
        <v>1855</v>
      </c>
      <c r="G1546" t="s">
        <v>20</v>
      </c>
      <c r="K1546" t="s">
        <v>3888</v>
      </c>
      <c r="L1546" t="s">
        <v>22</v>
      </c>
      <c r="P1546" t="s">
        <v>737</v>
      </c>
      <c r="Q1546" t="s">
        <v>4084</v>
      </c>
    </row>
    <row r="1547" spans="1:17" ht="15.75" hidden="1" customHeight="1">
      <c r="A1547" t="s">
        <v>4085</v>
      </c>
      <c r="B1547" t="s">
        <v>17</v>
      </c>
      <c r="C1547" t="s">
        <v>1924</v>
      </c>
      <c r="F1547" t="s">
        <v>1855</v>
      </c>
      <c r="G1547" t="s">
        <v>20</v>
      </c>
      <c r="K1547" t="s">
        <v>3888</v>
      </c>
      <c r="L1547" t="s">
        <v>22</v>
      </c>
      <c r="P1547" t="s">
        <v>737</v>
      </c>
      <c r="Q1547" t="s">
        <v>4086</v>
      </c>
    </row>
    <row r="1548" spans="1:17" ht="15.75" hidden="1" customHeight="1">
      <c r="A1548" t="s">
        <v>4087</v>
      </c>
      <c r="B1548" t="s">
        <v>17</v>
      </c>
      <c r="C1548" t="s">
        <v>1942</v>
      </c>
      <c r="F1548" t="s">
        <v>1855</v>
      </c>
      <c r="G1548" t="s">
        <v>20</v>
      </c>
      <c r="K1548" t="s">
        <v>3890</v>
      </c>
      <c r="L1548" t="s">
        <v>22</v>
      </c>
      <c r="P1548" t="s">
        <v>737</v>
      </c>
      <c r="Q1548" t="s">
        <v>1943</v>
      </c>
    </row>
    <row r="1549" spans="1:17" ht="15.75" hidden="1" customHeight="1">
      <c r="A1549" t="s">
        <v>4088</v>
      </c>
      <c r="B1549" t="s">
        <v>17</v>
      </c>
      <c r="C1549" t="s">
        <v>1945</v>
      </c>
      <c r="F1549" t="s">
        <v>1855</v>
      </c>
      <c r="G1549" t="s">
        <v>20</v>
      </c>
      <c r="K1549" t="s">
        <v>3890</v>
      </c>
      <c r="L1549" t="s">
        <v>22</v>
      </c>
      <c r="P1549" t="s">
        <v>737</v>
      </c>
      <c r="Q1549" t="s">
        <v>1946</v>
      </c>
    </row>
    <row r="1550" spans="1:17" ht="15.75" hidden="1" customHeight="1">
      <c r="A1550" t="s">
        <v>4089</v>
      </c>
      <c r="B1550" t="s">
        <v>17</v>
      </c>
      <c r="C1550" t="s">
        <v>1948</v>
      </c>
      <c r="F1550" t="s">
        <v>1855</v>
      </c>
      <c r="G1550" t="s">
        <v>20</v>
      </c>
      <c r="K1550" t="s">
        <v>3890</v>
      </c>
      <c r="L1550" t="s">
        <v>22</v>
      </c>
      <c r="P1550" t="s">
        <v>737</v>
      </c>
      <c r="Q1550" t="s">
        <v>1949</v>
      </c>
    </row>
    <row r="1551" spans="1:17" ht="15.75" hidden="1" customHeight="1">
      <c r="A1551" t="s">
        <v>4090</v>
      </c>
      <c r="B1551" t="s">
        <v>17</v>
      </c>
      <c r="C1551" t="s">
        <v>1939</v>
      </c>
      <c r="F1551" t="s">
        <v>1855</v>
      </c>
      <c r="G1551" t="s">
        <v>20</v>
      </c>
      <c r="K1551" t="s">
        <v>3890</v>
      </c>
      <c r="L1551" t="s">
        <v>22</v>
      </c>
      <c r="P1551" t="s">
        <v>737</v>
      </c>
      <c r="Q1551" t="s">
        <v>4091</v>
      </c>
    </row>
    <row r="1552" spans="1:17" ht="15.75" hidden="1" customHeight="1">
      <c r="A1552" t="s">
        <v>4092</v>
      </c>
      <c r="B1552" t="s">
        <v>17</v>
      </c>
      <c r="C1552" t="s">
        <v>1951</v>
      </c>
      <c r="F1552" t="s">
        <v>1952</v>
      </c>
      <c r="G1552" t="s">
        <v>20</v>
      </c>
      <c r="K1552" t="s">
        <v>3868</v>
      </c>
      <c r="L1552" t="s">
        <v>22</v>
      </c>
      <c r="P1552" t="s">
        <v>741</v>
      </c>
      <c r="Q1552" t="s">
        <v>1581</v>
      </c>
    </row>
    <row r="1553" spans="1:17" ht="15.75" hidden="1" customHeight="1">
      <c r="A1553" t="s">
        <v>4093</v>
      </c>
      <c r="B1553" t="s">
        <v>17</v>
      </c>
      <c r="C1553" t="s">
        <v>1954</v>
      </c>
      <c r="F1553" t="s">
        <v>1952</v>
      </c>
      <c r="G1553" t="s">
        <v>20</v>
      </c>
      <c r="K1553" t="s">
        <v>3868</v>
      </c>
      <c r="L1553" t="s">
        <v>22</v>
      </c>
      <c r="P1553" t="s">
        <v>741</v>
      </c>
      <c r="Q1553" t="s">
        <v>4094</v>
      </c>
    </row>
    <row r="1554" spans="1:17" ht="15.75" hidden="1" customHeight="1">
      <c r="A1554" t="s">
        <v>4095</v>
      </c>
      <c r="B1554" t="s">
        <v>17</v>
      </c>
      <c r="C1554" t="s">
        <v>1960</v>
      </c>
      <c r="F1554" t="s">
        <v>1952</v>
      </c>
      <c r="G1554" t="s">
        <v>20</v>
      </c>
      <c r="K1554" t="s">
        <v>3874</v>
      </c>
      <c r="L1554" t="s">
        <v>22</v>
      </c>
      <c r="P1554" t="s">
        <v>741</v>
      </c>
      <c r="Q1554" t="s">
        <v>1961</v>
      </c>
    </row>
    <row r="1555" spans="1:17" ht="15.75" hidden="1" customHeight="1">
      <c r="A1555" t="s">
        <v>4096</v>
      </c>
      <c r="B1555" t="s">
        <v>17</v>
      </c>
      <c r="C1555" t="s">
        <v>1957</v>
      </c>
      <c r="F1555" t="s">
        <v>1952</v>
      </c>
      <c r="G1555" t="s">
        <v>20</v>
      </c>
      <c r="K1555" t="s">
        <v>3874</v>
      </c>
      <c r="L1555" t="s">
        <v>22</v>
      </c>
      <c r="P1555" t="s">
        <v>741</v>
      </c>
      <c r="Q1555" t="s">
        <v>1958</v>
      </c>
    </row>
    <row r="1556" spans="1:17" ht="15.75" hidden="1" customHeight="1">
      <c r="A1556" t="s">
        <v>4097</v>
      </c>
      <c r="B1556" t="s">
        <v>17</v>
      </c>
      <c r="C1556" t="s">
        <v>1963</v>
      </c>
      <c r="F1556" t="s">
        <v>1952</v>
      </c>
      <c r="G1556" t="s">
        <v>20</v>
      </c>
      <c r="K1556" t="s">
        <v>3880</v>
      </c>
      <c r="L1556" t="s">
        <v>22</v>
      </c>
      <c r="P1556" t="s">
        <v>741</v>
      </c>
      <c r="Q1556" t="s">
        <v>1964</v>
      </c>
    </row>
    <row r="1557" spans="1:17" ht="15.75" hidden="1" customHeight="1">
      <c r="A1557" t="s">
        <v>4098</v>
      </c>
      <c r="B1557" t="s">
        <v>17</v>
      </c>
      <c r="C1557" t="s">
        <v>1966</v>
      </c>
      <c r="F1557" t="s">
        <v>1952</v>
      </c>
      <c r="G1557" t="s">
        <v>20</v>
      </c>
      <c r="K1557" t="s">
        <v>3880</v>
      </c>
      <c r="L1557" t="s">
        <v>22</v>
      </c>
      <c r="P1557" t="s">
        <v>741</v>
      </c>
      <c r="Q1557" t="s">
        <v>1967</v>
      </c>
    </row>
    <row r="1558" spans="1:17" ht="15.75" hidden="1" customHeight="1">
      <c r="A1558" t="s">
        <v>4099</v>
      </c>
      <c r="B1558" t="s">
        <v>17</v>
      </c>
      <c r="C1558" t="s">
        <v>1972</v>
      </c>
      <c r="F1558" t="s">
        <v>1952</v>
      </c>
      <c r="G1558" t="s">
        <v>20</v>
      </c>
      <c r="K1558" t="s">
        <v>3883</v>
      </c>
      <c r="L1558" t="s">
        <v>22</v>
      </c>
      <c r="P1558" t="s">
        <v>741</v>
      </c>
      <c r="Q1558" t="s">
        <v>1973</v>
      </c>
    </row>
    <row r="1559" spans="1:17" ht="15.75" hidden="1" customHeight="1">
      <c r="A1559" t="s">
        <v>4100</v>
      </c>
      <c r="B1559" t="s">
        <v>17</v>
      </c>
      <c r="C1559" t="s">
        <v>1969</v>
      </c>
      <c r="F1559" t="s">
        <v>1952</v>
      </c>
      <c r="G1559" t="s">
        <v>20</v>
      </c>
      <c r="K1559" t="s">
        <v>3883</v>
      </c>
      <c r="L1559" t="s">
        <v>22</v>
      </c>
      <c r="P1559" t="s">
        <v>741</v>
      </c>
      <c r="Q1559" t="s">
        <v>1970</v>
      </c>
    </row>
    <row r="1560" spans="1:17" ht="15.75" hidden="1" customHeight="1">
      <c r="A1560" t="s">
        <v>4101</v>
      </c>
      <c r="B1560" t="s">
        <v>17</v>
      </c>
      <c r="C1560" t="s">
        <v>1975</v>
      </c>
      <c r="F1560" t="s">
        <v>1952</v>
      </c>
      <c r="G1560" t="s">
        <v>20</v>
      </c>
      <c r="K1560" t="s">
        <v>3886</v>
      </c>
      <c r="L1560" t="s">
        <v>22</v>
      </c>
      <c r="P1560" t="s">
        <v>741</v>
      </c>
      <c r="Q1560" t="s">
        <v>1976</v>
      </c>
    </row>
    <row r="1561" spans="1:17" ht="15.75" hidden="1" customHeight="1">
      <c r="A1561" t="s">
        <v>4102</v>
      </c>
      <c r="B1561" t="s">
        <v>17</v>
      </c>
      <c r="C1561" t="s">
        <v>1978</v>
      </c>
      <c r="F1561" t="s">
        <v>1952</v>
      </c>
      <c r="G1561" t="s">
        <v>20</v>
      </c>
      <c r="K1561" t="s">
        <v>3888</v>
      </c>
      <c r="L1561" t="s">
        <v>22</v>
      </c>
      <c r="P1561" t="s">
        <v>741</v>
      </c>
      <c r="Q1561" t="s">
        <v>1979</v>
      </c>
    </row>
    <row r="1562" spans="1:17" ht="15.75" hidden="1" customHeight="1">
      <c r="A1562" t="s">
        <v>4103</v>
      </c>
      <c r="B1562" t="s">
        <v>17</v>
      </c>
      <c r="C1562" t="s">
        <v>1981</v>
      </c>
      <c r="F1562" t="s">
        <v>1952</v>
      </c>
      <c r="G1562" t="s">
        <v>20</v>
      </c>
      <c r="K1562" t="s">
        <v>3890</v>
      </c>
      <c r="L1562" t="s">
        <v>22</v>
      </c>
      <c r="P1562" t="s">
        <v>741</v>
      </c>
      <c r="Q1562" t="s">
        <v>1982</v>
      </c>
    </row>
    <row r="1563" spans="1:17" ht="15.75" hidden="1" customHeight="1">
      <c r="A1563" t="s">
        <v>4104</v>
      </c>
      <c r="B1563" t="s">
        <v>17</v>
      </c>
      <c r="C1563" t="s">
        <v>1988</v>
      </c>
      <c r="F1563" t="s">
        <v>1985</v>
      </c>
      <c r="G1563" t="s">
        <v>20</v>
      </c>
      <c r="K1563" t="s">
        <v>3868</v>
      </c>
      <c r="L1563" t="s">
        <v>22</v>
      </c>
      <c r="P1563" t="s">
        <v>125</v>
      </c>
      <c r="Q1563" t="s">
        <v>1989</v>
      </c>
    </row>
    <row r="1564" spans="1:17" ht="15.75" hidden="1" customHeight="1">
      <c r="A1564" t="s">
        <v>4105</v>
      </c>
      <c r="B1564" t="s">
        <v>17</v>
      </c>
      <c r="C1564" t="s">
        <v>1991</v>
      </c>
      <c r="F1564" t="s">
        <v>1985</v>
      </c>
      <c r="G1564" t="s">
        <v>20</v>
      </c>
      <c r="K1564" t="s">
        <v>3868</v>
      </c>
      <c r="L1564" t="s">
        <v>22</v>
      </c>
      <c r="P1564" t="s">
        <v>278</v>
      </c>
      <c r="Q1564" t="s">
        <v>4106</v>
      </c>
    </row>
    <row r="1565" spans="1:17" ht="15.75" hidden="1" customHeight="1">
      <c r="A1565" t="s">
        <v>4107</v>
      </c>
      <c r="B1565" t="s">
        <v>17</v>
      </c>
      <c r="C1565" t="s">
        <v>1994</v>
      </c>
      <c r="F1565" t="s">
        <v>1985</v>
      </c>
      <c r="G1565" t="s">
        <v>20</v>
      </c>
      <c r="K1565" t="s">
        <v>3868</v>
      </c>
      <c r="L1565" t="s">
        <v>22</v>
      </c>
      <c r="P1565" t="s">
        <v>125</v>
      </c>
      <c r="Q1565" t="s">
        <v>4108</v>
      </c>
    </row>
    <row r="1566" spans="1:17" ht="15.75" hidden="1" customHeight="1">
      <c r="A1566" t="s">
        <v>4109</v>
      </c>
      <c r="B1566" t="s">
        <v>17</v>
      </c>
      <c r="C1566" t="s">
        <v>2000</v>
      </c>
      <c r="F1566" t="s">
        <v>1985</v>
      </c>
      <c r="G1566" t="s">
        <v>20</v>
      </c>
      <c r="K1566" t="s">
        <v>3874</v>
      </c>
      <c r="L1566" t="s">
        <v>22</v>
      </c>
      <c r="P1566" t="s">
        <v>741</v>
      </c>
      <c r="Q1566" t="s">
        <v>2001</v>
      </c>
    </row>
    <row r="1567" spans="1:17" ht="15.75" hidden="1" customHeight="1">
      <c r="A1567" t="s">
        <v>4110</v>
      </c>
      <c r="B1567" t="s">
        <v>17</v>
      </c>
      <c r="C1567" t="s">
        <v>2006</v>
      </c>
      <c r="F1567" t="s">
        <v>1985</v>
      </c>
      <c r="G1567" t="s">
        <v>20</v>
      </c>
      <c r="K1567" t="s">
        <v>3874</v>
      </c>
      <c r="L1567" t="s">
        <v>22</v>
      </c>
      <c r="P1567" t="s">
        <v>741</v>
      </c>
      <c r="Q1567" t="s">
        <v>2007</v>
      </c>
    </row>
    <row r="1568" spans="1:17" ht="15.75" hidden="1" customHeight="1">
      <c r="A1568" t="s">
        <v>4111</v>
      </c>
      <c r="B1568" t="s">
        <v>17</v>
      </c>
      <c r="C1568" t="s">
        <v>2003</v>
      </c>
      <c r="F1568" t="s">
        <v>1985</v>
      </c>
      <c r="G1568" t="s">
        <v>20</v>
      </c>
      <c r="K1568" t="s">
        <v>3874</v>
      </c>
      <c r="L1568" t="s">
        <v>22</v>
      </c>
      <c r="P1568" t="s">
        <v>90</v>
      </c>
      <c r="Q1568" t="s">
        <v>2004</v>
      </c>
    </row>
    <row r="1569" spans="1:17" ht="15.75" hidden="1" customHeight="1">
      <c r="A1569" t="s">
        <v>4112</v>
      </c>
      <c r="B1569" t="s">
        <v>17</v>
      </c>
      <c r="C1569" t="s">
        <v>2009</v>
      </c>
      <c r="F1569" t="s">
        <v>1985</v>
      </c>
      <c r="G1569" t="s">
        <v>20</v>
      </c>
      <c r="K1569" t="s">
        <v>3874</v>
      </c>
      <c r="L1569" t="s">
        <v>22</v>
      </c>
      <c r="P1569" t="s">
        <v>125</v>
      </c>
      <c r="Q1569" t="s">
        <v>2010</v>
      </c>
    </row>
    <row r="1570" spans="1:17" ht="15.75" hidden="1" customHeight="1">
      <c r="A1570" t="s">
        <v>4113</v>
      </c>
      <c r="B1570" t="s">
        <v>17</v>
      </c>
      <c r="C1570" t="s">
        <v>2015</v>
      </c>
      <c r="F1570" t="s">
        <v>1985</v>
      </c>
      <c r="G1570" t="s">
        <v>20</v>
      </c>
      <c r="K1570" t="s">
        <v>3880</v>
      </c>
      <c r="L1570" t="s">
        <v>22</v>
      </c>
      <c r="P1570" t="s">
        <v>741</v>
      </c>
      <c r="Q1570" t="s">
        <v>2016</v>
      </c>
    </row>
    <row r="1571" spans="1:17" ht="15.75" hidden="1" customHeight="1">
      <c r="A1571" t="s">
        <v>4114</v>
      </c>
      <c r="B1571" t="s">
        <v>17</v>
      </c>
      <c r="C1571" t="s">
        <v>2018</v>
      </c>
      <c r="F1571" t="s">
        <v>1985</v>
      </c>
      <c r="G1571" t="s">
        <v>20</v>
      </c>
      <c r="K1571" t="s">
        <v>3880</v>
      </c>
      <c r="L1571" t="s">
        <v>22</v>
      </c>
      <c r="P1571" t="s">
        <v>125</v>
      </c>
      <c r="Q1571" t="s">
        <v>2019</v>
      </c>
    </row>
    <row r="1572" spans="1:17" ht="15.75" hidden="1" customHeight="1">
      <c r="A1572" t="s">
        <v>4115</v>
      </c>
      <c r="B1572" t="s">
        <v>17</v>
      </c>
      <c r="C1572" t="s">
        <v>2021</v>
      </c>
      <c r="F1572" t="s">
        <v>1985</v>
      </c>
      <c r="G1572" t="s">
        <v>20</v>
      </c>
      <c r="K1572" t="s">
        <v>3880</v>
      </c>
      <c r="L1572" t="s">
        <v>22</v>
      </c>
      <c r="P1572" t="s">
        <v>125</v>
      </c>
      <c r="Q1572" t="s">
        <v>2022</v>
      </c>
    </row>
    <row r="1573" spans="1:17" ht="15.75" hidden="1" customHeight="1">
      <c r="A1573" t="s">
        <v>4116</v>
      </c>
      <c r="B1573" t="s">
        <v>17</v>
      </c>
      <c r="C1573" t="s">
        <v>2030</v>
      </c>
      <c r="F1573" t="s">
        <v>1985</v>
      </c>
      <c r="G1573" t="s">
        <v>20</v>
      </c>
      <c r="K1573" t="s">
        <v>3883</v>
      </c>
      <c r="L1573" t="s">
        <v>22</v>
      </c>
      <c r="P1573" t="s">
        <v>741</v>
      </c>
      <c r="Q1573" t="s">
        <v>2031</v>
      </c>
    </row>
    <row r="1574" spans="1:17" ht="15.75" hidden="1" customHeight="1">
      <c r="A1574" t="s">
        <v>4117</v>
      </c>
      <c r="B1574" t="s">
        <v>17</v>
      </c>
      <c r="C1574" t="s">
        <v>2024</v>
      </c>
      <c r="F1574" t="s">
        <v>1985</v>
      </c>
      <c r="G1574" t="s">
        <v>20</v>
      </c>
      <c r="K1574" t="s">
        <v>3883</v>
      </c>
      <c r="L1574" t="s">
        <v>22</v>
      </c>
      <c r="P1574" t="s">
        <v>741</v>
      </c>
      <c r="Q1574" t="s">
        <v>4118</v>
      </c>
    </row>
    <row r="1575" spans="1:17" ht="15.75" hidden="1" customHeight="1">
      <c r="A1575" t="s">
        <v>4119</v>
      </c>
      <c r="B1575" t="s">
        <v>17</v>
      </c>
      <c r="C1575" t="s">
        <v>2033</v>
      </c>
      <c r="F1575" t="s">
        <v>1985</v>
      </c>
      <c r="G1575" t="s">
        <v>20</v>
      </c>
      <c r="K1575" t="s">
        <v>3886</v>
      </c>
      <c r="L1575" t="s">
        <v>22</v>
      </c>
      <c r="P1575" t="s">
        <v>741</v>
      </c>
      <c r="Q1575" t="s">
        <v>2034</v>
      </c>
    </row>
    <row r="1576" spans="1:17" ht="15.75" hidden="1" customHeight="1">
      <c r="A1576" t="s">
        <v>4120</v>
      </c>
      <c r="B1576" t="s">
        <v>17</v>
      </c>
      <c r="C1576" t="s">
        <v>2039</v>
      </c>
      <c r="F1576" t="s">
        <v>1985</v>
      </c>
      <c r="G1576" t="s">
        <v>20</v>
      </c>
      <c r="K1576" t="s">
        <v>3886</v>
      </c>
      <c r="L1576" t="s">
        <v>22</v>
      </c>
      <c r="P1576" t="s">
        <v>741</v>
      </c>
      <c r="Q1576" t="s">
        <v>2040</v>
      </c>
    </row>
    <row r="1577" spans="1:17" ht="15.75" hidden="1" customHeight="1">
      <c r="A1577" t="s">
        <v>4121</v>
      </c>
      <c r="B1577" t="s">
        <v>17</v>
      </c>
      <c r="C1577" t="s">
        <v>2060</v>
      </c>
      <c r="F1577" t="s">
        <v>89</v>
      </c>
      <c r="G1577" t="s">
        <v>20</v>
      </c>
      <c r="K1577" t="s">
        <v>3868</v>
      </c>
      <c r="L1577" t="s">
        <v>22</v>
      </c>
      <c r="P1577" t="s">
        <v>90</v>
      </c>
      <c r="Q1577" t="s">
        <v>4122</v>
      </c>
    </row>
    <row r="1578" spans="1:17" ht="15.75" hidden="1" customHeight="1">
      <c r="A1578" t="s">
        <v>4123</v>
      </c>
      <c r="B1578" t="s">
        <v>17</v>
      </c>
      <c r="C1578" t="s">
        <v>2054</v>
      </c>
      <c r="F1578" t="s">
        <v>89</v>
      </c>
      <c r="G1578" t="s">
        <v>20</v>
      </c>
      <c r="K1578" t="s">
        <v>3868</v>
      </c>
      <c r="L1578" t="s">
        <v>22</v>
      </c>
      <c r="P1578" t="s">
        <v>90</v>
      </c>
      <c r="Q1578" t="s">
        <v>4124</v>
      </c>
    </row>
    <row r="1579" spans="1:17" ht="15.75" hidden="1" customHeight="1">
      <c r="A1579" t="s">
        <v>4125</v>
      </c>
      <c r="B1579" t="s">
        <v>17</v>
      </c>
      <c r="C1579" t="s">
        <v>88</v>
      </c>
      <c r="F1579" t="s">
        <v>89</v>
      </c>
      <c r="G1579" t="s">
        <v>20</v>
      </c>
      <c r="K1579" t="s">
        <v>3868</v>
      </c>
      <c r="L1579" t="s">
        <v>22</v>
      </c>
      <c r="P1579" t="s">
        <v>90</v>
      </c>
      <c r="Q1579" t="s">
        <v>4126</v>
      </c>
    </row>
    <row r="1580" spans="1:17" ht="15.75" hidden="1" customHeight="1">
      <c r="A1580" t="s">
        <v>4127</v>
      </c>
      <c r="B1580" t="s">
        <v>17</v>
      </c>
      <c r="C1580" t="s">
        <v>2066</v>
      </c>
      <c r="F1580" t="s">
        <v>89</v>
      </c>
      <c r="G1580" t="s">
        <v>20</v>
      </c>
      <c r="K1580" t="s">
        <v>3874</v>
      </c>
      <c r="L1580" t="s">
        <v>22</v>
      </c>
      <c r="P1580" t="s">
        <v>90</v>
      </c>
      <c r="Q1580" t="s">
        <v>4128</v>
      </c>
    </row>
    <row r="1581" spans="1:17" ht="15.75" hidden="1" customHeight="1">
      <c r="A1581" t="s">
        <v>4129</v>
      </c>
      <c r="B1581" t="s">
        <v>17</v>
      </c>
      <c r="C1581" t="s">
        <v>93</v>
      </c>
      <c r="F1581" t="s">
        <v>89</v>
      </c>
      <c r="G1581" t="s">
        <v>20</v>
      </c>
      <c r="K1581" t="s">
        <v>3874</v>
      </c>
      <c r="L1581" t="s">
        <v>22</v>
      </c>
      <c r="P1581" t="s">
        <v>90</v>
      </c>
      <c r="Q1581" t="s">
        <v>4130</v>
      </c>
    </row>
    <row r="1582" spans="1:17" ht="15.75" hidden="1" customHeight="1">
      <c r="A1582" t="s">
        <v>4131</v>
      </c>
      <c r="B1582" t="s">
        <v>17</v>
      </c>
      <c r="C1582" t="s">
        <v>96</v>
      </c>
      <c r="F1582" t="s">
        <v>89</v>
      </c>
      <c r="G1582" t="s">
        <v>20</v>
      </c>
      <c r="K1582" t="s">
        <v>3874</v>
      </c>
      <c r="L1582" t="s">
        <v>22</v>
      </c>
      <c r="P1582" t="s">
        <v>90</v>
      </c>
      <c r="Q1582" t="s">
        <v>4132</v>
      </c>
    </row>
    <row r="1583" spans="1:17" ht="15.75" hidden="1" customHeight="1">
      <c r="A1583" t="s">
        <v>4133</v>
      </c>
      <c r="B1583" t="s">
        <v>17</v>
      </c>
      <c r="C1583" t="s">
        <v>2072</v>
      </c>
      <c r="F1583" t="s">
        <v>89</v>
      </c>
      <c r="G1583" t="s">
        <v>20</v>
      </c>
      <c r="K1583" t="s">
        <v>3880</v>
      </c>
      <c r="L1583" t="s">
        <v>22</v>
      </c>
      <c r="P1583" t="s">
        <v>90</v>
      </c>
      <c r="Q1583" t="s">
        <v>4134</v>
      </c>
    </row>
    <row r="1584" spans="1:17" ht="15.75" hidden="1" customHeight="1">
      <c r="A1584" t="s">
        <v>4135</v>
      </c>
      <c r="B1584" t="s">
        <v>17</v>
      </c>
      <c r="C1584" t="s">
        <v>942</v>
      </c>
      <c r="F1584" t="s">
        <v>89</v>
      </c>
      <c r="G1584" t="s">
        <v>20</v>
      </c>
      <c r="K1584" t="s">
        <v>3880</v>
      </c>
      <c r="L1584" t="s">
        <v>22</v>
      </c>
      <c r="P1584" t="s">
        <v>90</v>
      </c>
      <c r="Q1584" t="s">
        <v>4136</v>
      </c>
    </row>
    <row r="1585" spans="1:17" ht="15.75" hidden="1" customHeight="1">
      <c r="A1585" t="s">
        <v>4137</v>
      </c>
      <c r="B1585" t="s">
        <v>17</v>
      </c>
      <c r="C1585" t="s">
        <v>212</v>
      </c>
      <c r="F1585" t="s">
        <v>89</v>
      </c>
      <c r="G1585" t="s">
        <v>20</v>
      </c>
      <c r="K1585" t="s">
        <v>3880</v>
      </c>
      <c r="L1585" t="s">
        <v>22</v>
      </c>
      <c r="P1585" t="s">
        <v>90</v>
      </c>
      <c r="Q1585" t="s">
        <v>4138</v>
      </c>
    </row>
    <row r="1586" spans="1:17" ht="15.75" hidden="1" customHeight="1">
      <c r="A1586" t="s">
        <v>4139</v>
      </c>
      <c r="B1586" t="s">
        <v>17</v>
      </c>
      <c r="C1586" t="s">
        <v>215</v>
      </c>
      <c r="F1586" t="s">
        <v>89</v>
      </c>
      <c r="G1586" t="s">
        <v>20</v>
      </c>
      <c r="K1586" t="s">
        <v>3880</v>
      </c>
      <c r="L1586" t="s">
        <v>22</v>
      </c>
      <c r="P1586" t="s">
        <v>90</v>
      </c>
      <c r="Q1586" t="s">
        <v>4140</v>
      </c>
    </row>
    <row r="1587" spans="1:17" ht="15.75" hidden="1" customHeight="1">
      <c r="A1587" t="s">
        <v>4141</v>
      </c>
      <c r="B1587" t="s">
        <v>17</v>
      </c>
      <c r="C1587" t="s">
        <v>99</v>
      </c>
      <c r="F1587" t="s">
        <v>89</v>
      </c>
      <c r="G1587" t="s">
        <v>20</v>
      </c>
      <c r="K1587" t="s">
        <v>3880</v>
      </c>
      <c r="L1587" t="s">
        <v>22</v>
      </c>
      <c r="P1587" t="s">
        <v>90</v>
      </c>
      <c r="Q1587" t="s">
        <v>4142</v>
      </c>
    </row>
    <row r="1588" spans="1:17" ht="15.75" hidden="1" customHeight="1">
      <c r="A1588" t="s">
        <v>4143</v>
      </c>
      <c r="B1588" t="s">
        <v>17</v>
      </c>
      <c r="C1588" t="s">
        <v>2078</v>
      </c>
      <c r="F1588" t="s">
        <v>89</v>
      </c>
      <c r="G1588" t="s">
        <v>20</v>
      </c>
      <c r="K1588" t="s">
        <v>3883</v>
      </c>
      <c r="L1588" t="s">
        <v>22</v>
      </c>
      <c r="P1588" t="s">
        <v>90</v>
      </c>
      <c r="Q1588" t="s">
        <v>4144</v>
      </c>
    </row>
    <row r="1589" spans="1:17" ht="15.75" hidden="1" customHeight="1">
      <c r="A1589" t="s">
        <v>4145</v>
      </c>
      <c r="B1589" t="s">
        <v>17</v>
      </c>
      <c r="C1589" t="s">
        <v>948</v>
      </c>
      <c r="F1589" t="s">
        <v>89</v>
      </c>
      <c r="G1589" t="s">
        <v>20</v>
      </c>
      <c r="K1589" t="s">
        <v>3883</v>
      </c>
      <c r="L1589" t="s">
        <v>22</v>
      </c>
      <c r="P1589" t="s">
        <v>90</v>
      </c>
      <c r="Q1589" t="s">
        <v>4146</v>
      </c>
    </row>
    <row r="1590" spans="1:17" ht="15.75" hidden="1" customHeight="1">
      <c r="A1590" t="s">
        <v>4147</v>
      </c>
      <c r="B1590" t="s">
        <v>17</v>
      </c>
      <c r="C1590" t="s">
        <v>102</v>
      </c>
      <c r="F1590" t="s">
        <v>89</v>
      </c>
      <c r="G1590" t="s">
        <v>20</v>
      </c>
      <c r="K1590" t="s">
        <v>3883</v>
      </c>
      <c r="L1590" t="s">
        <v>22</v>
      </c>
      <c r="P1590" t="s">
        <v>90</v>
      </c>
      <c r="Q1590" t="s">
        <v>4148</v>
      </c>
    </row>
    <row r="1591" spans="1:17" ht="15.75" hidden="1" customHeight="1">
      <c r="A1591" t="s">
        <v>4149</v>
      </c>
      <c r="B1591" t="s">
        <v>17</v>
      </c>
      <c r="C1591" t="s">
        <v>105</v>
      </c>
      <c r="F1591" t="s">
        <v>89</v>
      </c>
      <c r="G1591" t="s">
        <v>20</v>
      </c>
      <c r="K1591" t="s">
        <v>3886</v>
      </c>
      <c r="L1591" t="s">
        <v>22</v>
      </c>
      <c r="P1591" t="s">
        <v>90</v>
      </c>
      <c r="Q1591" t="s">
        <v>4150</v>
      </c>
    </row>
    <row r="1592" spans="1:17" ht="15.75" hidden="1" customHeight="1">
      <c r="A1592" t="s">
        <v>4151</v>
      </c>
      <c r="B1592" t="s">
        <v>17</v>
      </c>
      <c r="C1592" t="s">
        <v>111</v>
      </c>
      <c r="F1592" t="s">
        <v>89</v>
      </c>
      <c r="G1592" t="s">
        <v>20</v>
      </c>
      <c r="K1592" t="s">
        <v>3886</v>
      </c>
      <c r="L1592" t="s">
        <v>22</v>
      </c>
      <c r="P1592" t="s">
        <v>90</v>
      </c>
      <c r="Q1592" t="s">
        <v>4152</v>
      </c>
    </row>
    <row r="1593" spans="1:17" ht="15.75" hidden="1" customHeight="1">
      <c r="A1593" t="s">
        <v>4153</v>
      </c>
      <c r="B1593" t="s">
        <v>17</v>
      </c>
      <c r="C1593" t="s">
        <v>108</v>
      </c>
      <c r="F1593" t="s">
        <v>89</v>
      </c>
      <c r="G1593" t="s">
        <v>20</v>
      </c>
      <c r="K1593" t="s">
        <v>3886</v>
      </c>
      <c r="L1593" t="s">
        <v>22</v>
      </c>
      <c r="P1593" t="s">
        <v>90</v>
      </c>
      <c r="Q1593" t="s">
        <v>4154</v>
      </c>
    </row>
    <row r="1594" spans="1:17" ht="15.75" hidden="1" customHeight="1">
      <c r="A1594" t="s">
        <v>4155</v>
      </c>
      <c r="B1594" t="s">
        <v>17</v>
      </c>
      <c r="C1594" t="s">
        <v>954</v>
      </c>
      <c r="F1594" t="s">
        <v>89</v>
      </c>
      <c r="G1594" t="s">
        <v>20</v>
      </c>
      <c r="K1594" t="s">
        <v>3888</v>
      </c>
      <c r="L1594" t="s">
        <v>22</v>
      </c>
      <c r="P1594" t="s">
        <v>90</v>
      </c>
      <c r="Q1594" t="s">
        <v>4156</v>
      </c>
    </row>
    <row r="1595" spans="1:17" ht="15.75" hidden="1" customHeight="1">
      <c r="A1595" t="s">
        <v>4157</v>
      </c>
      <c r="B1595" t="s">
        <v>17</v>
      </c>
      <c r="C1595" t="s">
        <v>117</v>
      </c>
      <c r="F1595" t="s">
        <v>89</v>
      </c>
      <c r="G1595" t="s">
        <v>20</v>
      </c>
      <c r="K1595" t="s">
        <v>3888</v>
      </c>
      <c r="L1595" t="s">
        <v>22</v>
      </c>
      <c r="P1595" t="s">
        <v>90</v>
      </c>
      <c r="Q1595" t="s">
        <v>4158</v>
      </c>
    </row>
    <row r="1596" spans="1:17" ht="15.75" hidden="1" customHeight="1">
      <c r="A1596" t="s">
        <v>4159</v>
      </c>
      <c r="B1596" t="s">
        <v>17</v>
      </c>
      <c r="C1596" t="s">
        <v>114</v>
      </c>
      <c r="F1596" t="s">
        <v>89</v>
      </c>
      <c r="G1596" t="s">
        <v>20</v>
      </c>
      <c r="K1596" t="s">
        <v>3888</v>
      </c>
      <c r="L1596" t="s">
        <v>22</v>
      </c>
      <c r="P1596" t="s">
        <v>90</v>
      </c>
      <c r="Q1596" t="s">
        <v>4160</v>
      </c>
    </row>
    <row r="1597" spans="1:17" ht="15.75" hidden="1" customHeight="1">
      <c r="A1597" t="s">
        <v>4161</v>
      </c>
      <c r="B1597" t="s">
        <v>17</v>
      </c>
      <c r="C1597" t="s">
        <v>120</v>
      </c>
      <c r="F1597" t="s">
        <v>89</v>
      </c>
      <c r="G1597" t="s">
        <v>20</v>
      </c>
      <c r="K1597" t="s">
        <v>3890</v>
      </c>
      <c r="L1597" t="s">
        <v>22</v>
      </c>
      <c r="P1597" t="s">
        <v>90</v>
      </c>
      <c r="Q1597" t="s">
        <v>4162</v>
      </c>
    </row>
    <row r="1598" spans="1:17" ht="15.75" hidden="1" customHeight="1">
      <c r="A1598" t="s">
        <v>4163</v>
      </c>
      <c r="B1598" t="s">
        <v>17</v>
      </c>
      <c r="C1598" t="s">
        <v>218</v>
      </c>
      <c r="F1598" t="s">
        <v>89</v>
      </c>
      <c r="G1598" t="s">
        <v>20</v>
      </c>
      <c r="K1598" t="s">
        <v>3890</v>
      </c>
      <c r="L1598" t="s">
        <v>22</v>
      </c>
      <c r="P1598" t="s">
        <v>90</v>
      </c>
      <c r="Q1598" t="s">
        <v>4164</v>
      </c>
    </row>
    <row r="1599" spans="1:17" ht="15.75" hidden="1" customHeight="1">
      <c r="A1599" t="s">
        <v>4165</v>
      </c>
      <c r="B1599" t="s">
        <v>17</v>
      </c>
      <c r="C1599" t="s">
        <v>2084</v>
      </c>
      <c r="F1599" t="s">
        <v>124</v>
      </c>
      <c r="G1599" t="s">
        <v>20</v>
      </c>
      <c r="K1599" t="s">
        <v>3868</v>
      </c>
      <c r="L1599" t="s">
        <v>22</v>
      </c>
      <c r="P1599" t="s">
        <v>125</v>
      </c>
      <c r="Q1599" t="s">
        <v>2085</v>
      </c>
    </row>
    <row r="1600" spans="1:17" ht="15.75" hidden="1" customHeight="1">
      <c r="A1600" t="s">
        <v>4166</v>
      </c>
      <c r="B1600" t="s">
        <v>17</v>
      </c>
      <c r="C1600" t="s">
        <v>123</v>
      </c>
      <c r="F1600" t="s">
        <v>124</v>
      </c>
      <c r="G1600" t="s">
        <v>20</v>
      </c>
      <c r="K1600" t="s">
        <v>3868</v>
      </c>
      <c r="L1600" t="s">
        <v>22</v>
      </c>
      <c r="P1600" t="s">
        <v>125</v>
      </c>
      <c r="Q1600" t="s">
        <v>126</v>
      </c>
    </row>
    <row r="1601" spans="1:17" ht="15.75" hidden="1" customHeight="1">
      <c r="A1601" t="s">
        <v>4167</v>
      </c>
      <c r="B1601" t="s">
        <v>17</v>
      </c>
      <c r="C1601" t="s">
        <v>128</v>
      </c>
      <c r="F1601" t="s">
        <v>124</v>
      </c>
      <c r="G1601" t="s">
        <v>20</v>
      </c>
      <c r="K1601" t="s">
        <v>3874</v>
      </c>
      <c r="L1601" t="s">
        <v>22</v>
      </c>
      <c r="P1601" t="s">
        <v>125</v>
      </c>
      <c r="Q1601" t="s">
        <v>129</v>
      </c>
    </row>
    <row r="1602" spans="1:17" ht="15.75" hidden="1" customHeight="1">
      <c r="A1602" t="s">
        <v>4168</v>
      </c>
      <c r="B1602" t="s">
        <v>17</v>
      </c>
      <c r="C1602" t="s">
        <v>131</v>
      </c>
      <c r="F1602" t="s">
        <v>124</v>
      </c>
      <c r="G1602" t="s">
        <v>20</v>
      </c>
      <c r="K1602" t="s">
        <v>3874</v>
      </c>
      <c r="L1602" t="s">
        <v>22</v>
      </c>
      <c r="P1602" t="s">
        <v>125</v>
      </c>
      <c r="Q1602" t="s">
        <v>132</v>
      </c>
    </row>
    <row r="1603" spans="1:17" ht="15.75" hidden="1" customHeight="1">
      <c r="A1603" t="s">
        <v>4169</v>
      </c>
      <c r="B1603" t="s">
        <v>17</v>
      </c>
      <c r="C1603" t="s">
        <v>2102</v>
      </c>
      <c r="F1603" t="s">
        <v>124</v>
      </c>
      <c r="G1603" t="s">
        <v>20</v>
      </c>
      <c r="K1603" t="s">
        <v>3880</v>
      </c>
      <c r="L1603" t="s">
        <v>22</v>
      </c>
      <c r="P1603" t="s">
        <v>125</v>
      </c>
      <c r="Q1603" t="s">
        <v>2103</v>
      </c>
    </row>
    <row r="1604" spans="1:17" ht="15.75" hidden="1" customHeight="1">
      <c r="A1604" t="s">
        <v>4170</v>
      </c>
      <c r="B1604" t="s">
        <v>17</v>
      </c>
      <c r="C1604" t="s">
        <v>960</v>
      </c>
      <c r="F1604" t="s">
        <v>124</v>
      </c>
      <c r="G1604" t="s">
        <v>20</v>
      </c>
      <c r="K1604" t="s">
        <v>3880</v>
      </c>
      <c r="L1604" t="s">
        <v>22</v>
      </c>
      <c r="P1604" t="s">
        <v>125</v>
      </c>
      <c r="Q1604" t="s">
        <v>961</v>
      </c>
    </row>
    <row r="1605" spans="1:17" ht="15.75" hidden="1" customHeight="1">
      <c r="A1605" t="s">
        <v>4171</v>
      </c>
      <c r="B1605" t="s">
        <v>17</v>
      </c>
      <c r="C1605" t="s">
        <v>221</v>
      </c>
      <c r="F1605" t="s">
        <v>124</v>
      </c>
      <c r="G1605" t="s">
        <v>20</v>
      </c>
      <c r="K1605" t="s">
        <v>3880</v>
      </c>
      <c r="L1605" t="s">
        <v>22</v>
      </c>
      <c r="P1605" t="s">
        <v>125</v>
      </c>
      <c r="Q1605" t="s">
        <v>222</v>
      </c>
    </row>
    <row r="1606" spans="1:17" ht="15.75" hidden="1" customHeight="1">
      <c r="A1606" t="s">
        <v>4172</v>
      </c>
      <c r="B1606" t="s">
        <v>17</v>
      </c>
      <c r="C1606" t="s">
        <v>224</v>
      </c>
      <c r="F1606" t="s">
        <v>124</v>
      </c>
      <c r="G1606" t="s">
        <v>20</v>
      </c>
      <c r="K1606" t="s">
        <v>3880</v>
      </c>
      <c r="L1606" t="s">
        <v>22</v>
      </c>
      <c r="P1606" t="s">
        <v>125</v>
      </c>
      <c r="Q1606" t="s">
        <v>225</v>
      </c>
    </row>
    <row r="1607" spans="1:17" ht="15.75" hidden="1" customHeight="1">
      <c r="A1607" t="s">
        <v>4173</v>
      </c>
      <c r="B1607" t="s">
        <v>17</v>
      </c>
      <c r="C1607" t="s">
        <v>2108</v>
      </c>
      <c r="F1607" t="s">
        <v>124</v>
      </c>
      <c r="G1607" t="s">
        <v>20</v>
      </c>
      <c r="K1607" t="s">
        <v>3883</v>
      </c>
      <c r="L1607" t="s">
        <v>22</v>
      </c>
      <c r="P1607" t="s">
        <v>125</v>
      </c>
      <c r="Q1607" t="s">
        <v>2109</v>
      </c>
    </row>
    <row r="1608" spans="1:17" ht="15.75" hidden="1" customHeight="1">
      <c r="A1608" t="s">
        <v>4174</v>
      </c>
      <c r="B1608" t="s">
        <v>17</v>
      </c>
      <c r="C1608" t="s">
        <v>137</v>
      </c>
      <c r="F1608" t="s">
        <v>124</v>
      </c>
      <c r="G1608" t="s">
        <v>20</v>
      </c>
      <c r="K1608" t="s">
        <v>3883</v>
      </c>
      <c r="L1608" t="s">
        <v>22</v>
      </c>
      <c r="P1608" t="s">
        <v>125</v>
      </c>
      <c r="Q1608" t="s">
        <v>138</v>
      </c>
    </row>
    <row r="1609" spans="1:17" ht="15.75" hidden="1" customHeight="1">
      <c r="A1609" t="s">
        <v>4175</v>
      </c>
      <c r="B1609" t="s">
        <v>17</v>
      </c>
      <c r="C1609" t="s">
        <v>143</v>
      </c>
      <c r="F1609" t="s">
        <v>124</v>
      </c>
      <c r="G1609" t="s">
        <v>20</v>
      </c>
      <c r="K1609" t="s">
        <v>3886</v>
      </c>
      <c r="L1609" t="s">
        <v>22</v>
      </c>
      <c r="P1609" t="s">
        <v>125</v>
      </c>
      <c r="Q1609" t="s">
        <v>144</v>
      </c>
    </row>
    <row r="1610" spans="1:17" ht="15.75" hidden="1" customHeight="1">
      <c r="A1610" t="s">
        <v>4176</v>
      </c>
      <c r="B1610" t="s">
        <v>17</v>
      </c>
      <c r="C1610" t="s">
        <v>152</v>
      </c>
      <c r="F1610" t="s">
        <v>124</v>
      </c>
      <c r="G1610" t="s">
        <v>20</v>
      </c>
      <c r="K1610" t="s">
        <v>3888</v>
      </c>
      <c r="L1610" t="s">
        <v>22</v>
      </c>
      <c r="P1610" t="s">
        <v>125</v>
      </c>
      <c r="Q1610" t="s">
        <v>153</v>
      </c>
    </row>
    <row r="1611" spans="1:17" ht="15.75" hidden="1" customHeight="1">
      <c r="A1611" t="s">
        <v>4177</v>
      </c>
      <c r="B1611" t="s">
        <v>17</v>
      </c>
      <c r="C1611" t="s">
        <v>149</v>
      </c>
      <c r="F1611" t="s">
        <v>124</v>
      </c>
      <c r="G1611" t="s">
        <v>20</v>
      </c>
      <c r="K1611" t="s">
        <v>3888</v>
      </c>
      <c r="L1611" t="s">
        <v>22</v>
      </c>
      <c r="P1611" t="s">
        <v>125</v>
      </c>
      <c r="Q1611" t="s">
        <v>150</v>
      </c>
    </row>
    <row r="1612" spans="1:17" ht="15.75" hidden="1" customHeight="1">
      <c r="A1612" t="s">
        <v>4178</v>
      </c>
      <c r="B1612" t="s">
        <v>17</v>
      </c>
      <c r="C1612" t="s">
        <v>227</v>
      </c>
      <c r="F1612" t="s">
        <v>124</v>
      </c>
      <c r="G1612" t="s">
        <v>20</v>
      </c>
      <c r="K1612" t="s">
        <v>3890</v>
      </c>
      <c r="L1612" t="s">
        <v>22</v>
      </c>
      <c r="P1612" t="s">
        <v>125</v>
      </c>
      <c r="Q1612" t="s">
        <v>228</v>
      </c>
    </row>
    <row r="1613" spans="1:17" ht="15.75" hidden="1" customHeight="1">
      <c r="A1613" t="s">
        <v>4179</v>
      </c>
      <c r="B1613" t="s">
        <v>17</v>
      </c>
      <c r="C1613" t="s">
        <v>2114</v>
      </c>
      <c r="F1613" t="s">
        <v>2115</v>
      </c>
      <c r="G1613" t="s">
        <v>20</v>
      </c>
      <c r="K1613" t="s">
        <v>3868</v>
      </c>
      <c r="L1613" t="s">
        <v>22</v>
      </c>
      <c r="P1613" t="s">
        <v>278</v>
      </c>
      <c r="Q1613" t="s">
        <v>2116</v>
      </c>
    </row>
    <row r="1614" spans="1:17" ht="15.75" hidden="1" customHeight="1">
      <c r="A1614" t="s">
        <v>4180</v>
      </c>
      <c r="B1614" t="s">
        <v>17</v>
      </c>
      <c r="C1614" t="s">
        <v>2124</v>
      </c>
      <c r="F1614" t="s">
        <v>2115</v>
      </c>
      <c r="G1614" t="s">
        <v>20</v>
      </c>
      <c r="K1614" t="s">
        <v>3874</v>
      </c>
      <c r="L1614" t="s">
        <v>22</v>
      </c>
      <c r="P1614" t="s">
        <v>23</v>
      </c>
      <c r="Q1614" t="s">
        <v>4181</v>
      </c>
    </row>
    <row r="1615" spans="1:17" ht="15.75" hidden="1" customHeight="1">
      <c r="A1615" t="s">
        <v>4182</v>
      </c>
      <c r="B1615" t="s">
        <v>17</v>
      </c>
      <c r="C1615" t="s">
        <v>2127</v>
      </c>
      <c r="F1615" t="s">
        <v>2115</v>
      </c>
      <c r="G1615" t="s">
        <v>20</v>
      </c>
      <c r="K1615" t="s">
        <v>3874</v>
      </c>
      <c r="L1615" t="s">
        <v>22</v>
      </c>
      <c r="P1615" t="s">
        <v>763</v>
      </c>
      <c r="Q1615" t="s">
        <v>2128</v>
      </c>
    </row>
    <row r="1616" spans="1:17" ht="15.75" hidden="1" customHeight="1">
      <c r="A1616" t="s">
        <v>4183</v>
      </c>
      <c r="B1616" t="s">
        <v>17</v>
      </c>
      <c r="C1616" t="s">
        <v>2130</v>
      </c>
      <c r="F1616" t="s">
        <v>2115</v>
      </c>
      <c r="G1616" t="s">
        <v>20</v>
      </c>
      <c r="K1616" t="s">
        <v>3874</v>
      </c>
      <c r="L1616" t="s">
        <v>22</v>
      </c>
      <c r="P1616" t="s">
        <v>23</v>
      </c>
      <c r="Q1616" t="s">
        <v>2131</v>
      </c>
    </row>
    <row r="1617" spans="1:17" ht="15.75" hidden="1" customHeight="1">
      <c r="A1617" t="s">
        <v>4184</v>
      </c>
      <c r="B1617" t="s">
        <v>17</v>
      </c>
      <c r="C1617" t="s">
        <v>2133</v>
      </c>
      <c r="F1617" t="s">
        <v>2115</v>
      </c>
      <c r="G1617" t="s">
        <v>20</v>
      </c>
      <c r="K1617" t="s">
        <v>3874</v>
      </c>
      <c r="L1617" t="s">
        <v>22</v>
      </c>
      <c r="P1617" t="s">
        <v>763</v>
      </c>
      <c r="Q1617" t="s">
        <v>2134</v>
      </c>
    </row>
    <row r="1618" spans="1:17" ht="15.75" hidden="1" customHeight="1">
      <c r="A1618" t="s">
        <v>4185</v>
      </c>
      <c r="B1618" t="s">
        <v>17</v>
      </c>
      <c r="C1618" t="s">
        <v>2145</v>
      </c>
      <c r="F1618" t="s">
        <v>2115</v>
      </c>
      <c r="G1618" t="s">
        <v>20</v>
      </c>
      <c r="K1618" t="s">
        <v>3880</v>
      </c>
      <c r="L1618" t="s">
        <v>22</v>
      </c>
      <c r="P1618" t="s">
        <v>737</v>
      </c>
      <c r="Q1618" t="s">
        <v>2146</v>
      </c>
    </row>
    <row r="1619" spans="1:17" ht="15.75" hidden="1" customHeight="1">
      <c r="A1619" t="s">
        <v>4186</v>
      </c>
      <c r="B1619" t="s">
        <v>17</v>
      </c>
      <c r="C1619" t="s">
        <v>2136</v>
      </c>
      <c r="F1619" t="s">
        <v>2115</v>
      </c>
      <c r="G1619" t="s">
        <v>20</v>
      </c>
      <c r="K1619" t="s">
        <v>3880</v>
      </c>
      <c r="L1619" t="s">
        <v>22</v>
      </c>
      <c r="P1619" t="s">
        <v>23</v>
      </c>
      <c r="Q1619" t="s">
        <v>2137</v>
      </c>
    </row>
    <row r="1620" spans="1:17" ht="15.75" hidden="1" customHeight="1">
      <c r="A1620" t="s">
        <v>4187</v>
      </c>
      <c r="B1620" t="s">
        <v>17</v>
      </c>
      <c r="C1620" t="s">
        <v>2142</v>
      </c>
      <c r="F1620" t="s">
        <v>2115</v>
      </c>
      <c r="G1620" t="s">
        <v>20</v>
      </c>
      <c r="K1620" t="s">
        <v>3880</v>
      </c>
      <c r="L1620" t="s">
        <v>22</v>
      </c>
      <c r="P1620" t="s">
        <v>737</v>
      </c>
      <c r="Q1620" t="s">
        <v>2143</v>
      </c>
    </row>
    <row r="1621" spans="1:17" ht="15.75" hidden="1" customHeight="1">
      <c r="A1621" t="s">
        <v>4188</v>
      </c>
      <c r="B1621" t="s">
        <v>17</v>
      </c>
      <c r="C1621" t="s">
        <v>2139</v>
      </c>
      <c r="F1621" t="s">
        <v>2115</v>
      </c>
      <c r="G1621" t="s">
        <v>20</v>
      </c>
      <c r="K1621" t="s">
        <v>3880</v>
      </c>
      <c r="L1621" t="s">
        <v>22</v>
      </c>
      <c r="P1621" t="s">
        <v>737</v>
      </c>
      <c r="Q1621" t="s">
        <v>2140</v>
      </c>
    </row>
    <row r="1622" spans="1:17" ht="15.75" hidden="1" customHeight="1">
      <c r="A1622" t="s">
        <v>4189</v>
      </c>
      <c r="B1622" t="s">
        <v>17</v>
      </c>
      <c r="C1622" t="s">
        <v>2148</v>
      </c>
      <c r="F1622" t="s">
        <v>2115</v>
      </c>
      <c r="G1622" t="s">
        <v>20</v>
      </c>
      <c r="K1622" t="s">
        <v>3880</v>
      </c>
      <c r="L1622" t="s">
        <v>22</v>
      </c>
      <c r="P1622" t="s">
        <v>274</v>
      </c>
      <c r="Q1622" t="s">
        <v>2149</v>
      </c>
    </row>
    <row r="1623" spans="1:17" ht="15.75" hidden="1" customHeight="1">
      <c r="A1623" t="s">
        <v>4190</v>
      </c>
      <c r="B1623" t="s">
        <v>17</v>
      </c>
      <c r="C1623" t="s">
        <v>2160</v>
      </c>
      <c r="F1623" t="s">
        <v>2115</v>
      </c>
      <c r="G1623" t="s">
        <v>20</v>
      </c>
      <c r="K1623" t="s">
        <v>3883</v>
      </c>
      <c r="L1623" t="s">
        <v>22</v>
      </c>
      <c r="P1623" t="s">
        <v>737</v>
      </c>
      <c r="Q1623" t="s">
        <v>2161</v>
      </c>
    </row>
    <row r="1624" spans="1:17" ht="15.75" hidden="1" customHeight="1">
      <c r="A1624" t="s">
        <v>4191</v>
      </c>
      <c r="B1624" t="s">
        <v>17</v>
      </c>
      <c r="C1624" t="s">
        <v>2154</v>
      </c>
      <c r="F1624" t="s">
        <v>2115</v>
      </c>
      <c r="G1624" t="s">
        <v>20</v>
      </c>
      <c r="K1624" t="s">
        <v>3883</v>
      </c>
      <c r="L1624" t="s">
        <v>22</v>
      </c>
      <c r="P1624" t="s">
        <v>737</v>
      </c>
      <c r="Q1624" t="s">
        <v>4192</v>
      </c>
    </row>
    <row r="1625" spans="1:17" ht="15.75" hidden="1" customHeight="1">
      <c r="A1625" t="s">
        <v>4193</v>
      </c>
      <c r="B1625" t="s">
        <v>17</v>
      </c>
      <c r="C1625" t="s">
        <v>2151</v>
      </c>
      <c r="F1625" t="s">
        <v>2115</v>
      </c>
      <c r="G1625" t="s">
        <v>20</v>
      </c>
      <c r="K1625" t="s">
        <v>3883</v>
      </c>
      <c r="L1625" t="s">
        <v>22</v>
      </c>
      <c r="P1625" t="s">
        <v>278</v>
      </c>
      <c r="Q1625" t="s">
        <v>2152</v>
      </c>
    </row>
    <row r="1626" spans="1:17" ht="15.75" hidden="1" customHeight="1">
      <c r="A1626" t="s">
        <v>4194</v>
      </c>
      <c r="B1626" t="s">
        <v>17</v>
      </c>
      <c r="C1626" t="s">
        <v>2157</v>
      </c>
      <c r="F1626" t="s">
        <v>2115</v>
      </c>
      <c r="G1626" t="s">
        <v>20</v>
      </c>
      <c r="K1626" t="s">
        <v>3883</v>
      </c>
      <c r="L1626" t="s">
        <v>22</v>
      </c>
      <c r="P1626" t="s">
        <v>23</v>
      </c>
      <c r="Q1626" t="s">
        <v>2158</v>
      </c>
    </row>
    <row r="1627" spans="1:17" ht="15.75" hidden="1" customHeight="1">
      <c r="A1627" t="s">
        <v>4195</v>
      </c>
      <c r="B1627" t="s">
        <v>17</v>
      </c>
      <c r="C1627" t="s">
        <v>2163</v>
      </c>
      <c r="F1627" t="s">
        <v>2115</v>
      </c>
      <c r="G1627" t="s">
        <v>20</v>
      </c>
      <c r="K1627" t="s">
        <v>3883</v>
      </c>
      <c r="L1627" t="s">
        <v>22</v>
      </c>
      <c r="P1627" t="s">
        <v>274</v>
      </c>
      <c r="Q1627" t="s">
        <v>2164</v>
      </c>
    </row>
    <row r="1628" spans="1:17" ht="15.75" hidden="1" customHeight="1">
      <c r="A1628" t="s">
        <v>4196</v>
      </c>
      <c r="B1628" t="s">
        <v>17</v>
      </c>
      <c r="C1628" t="s">
        <v>2172</v>
      </c>
      <c r="F1628" t="s">
        <v>2115</v>
      </c>
      <c r="G1628" t="s">
        <v>20</v>
      </c>
      <c r="K1628" t="s">
        <v>3886</v>
      </c>
      <c r="L1628" t="s">
        <v>22</v>
      </c>
      <c r="P1628" t="s">
        <v>23</v>
      </c>
      <c r="Q1628" t="s">
        <v>4197</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4250</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4256</v>
      </c>
    </row>
    <row r="1678" spans="1:17" ht="15.75" hidden="1" customHeight="1">
      <c r="A1678" t="s">
        <v>4257</v>
      </c>
      <c r="B1678" t="s">
        <v>17</v>
      </c>
      <c r="C1678" t="s">
        <v>2300</v>
      </c>
      <c r="F1678" t="s">
        <v>979</v>
      </c>
      <c r="G1678" t="s">
        <v>20</v>
      </c>
      <c r="K1678" t="s">
        <v>3890</v>
      </c>
      <c r="L1678" t="s">
        <v>22</v>
      </c>
      <c r="P1678" t="s">
        <v>278</v>
      </c>
      <c r="Q1678" t="s">
        <v>2301</v>
      </c>
    </row>
    <row r="1679" spans="1:17" ht="15.75" hidden="1" customHeight="1">
      <c r="A1679" t="s">
        <v>4258</v>
      </c>
      <c r="B1679" t="s">
        <v>17</v>
      </c>
      <c r="C1679" t="s">
        <v>2303</v>
      </c>
      <c r="F1679" t="s">
        <v>979</v>
      </c>
      <c r="G1679" t="s">
        <v>20</v>
      </c>
      <c r="K1679" t="s">
        <v>3890</v>
      </c>
      <c r="L1679" t="s">
        <v>22</v>
      </c>
      <c r="P1679" t="s">
        <v>274</v>
      </c>
      <c r="Q1679" t="s">
        <v>2304</v>
      </c>
    </row>
    <row r="1680" spans="1:17" ht="15.75" hidden="1" customHeight="1">
      <c r="A1680" t="s">
        <v>4259</v>
      </c>
      <c r="B1680" t="s">
        <v>17</v>
      </c>
      <c r="C1680" t="s">
        <v>2306</v>
      </c>
      <c r="F1680" t="s">
        <v>979</v>
      </c>
      <c r="G1680" t="s">
        <v>20</v>
      </c>
      <c r="K1680" t="s">
        <v>3890</v>
      </c>
      <c r="L1680" t="s">
        <v>22</v>
      </c>
      <c r="P1680" t="s">
        <v>23</v>
      </c>
      <c r="Q1680" t="s">
        <v>2307</v>
      </c>
    </row>
    <row r="1681" spans="1:17" ht="15.75" hidden="1" customHeight="1">
      <c r="A1681" t="s">
        <v>4260</v>
      </c>
      <c r="B1681" t="s">
        <v>17</v>
      </c>
      <c r="C1681" t="s">
        <v>158</v>
      </c>
      <c r="F1681" t="s">
        <v>159</v>
      </c>
      <c r="G1681" t="s">
        <v>20</v>
      </c>
      <c r="K1681" t="s">
        <v>3868</v>
      </c>
      <c r="L1681" t="s">
        <v>22</v>
      </c>
      <c r="P1681" t="s">
        <v>160</v>
      </c>
      <c r="Q1681" t="s">
        <v>4261</v>
      </c>
    </row>
    <row r="1682" spans="1:17" ht="15.75" hidden="1" customHeight="1">
      <c r="A1682" t="s">
        <v>4262</v>
      </c>
      <c r="B1682" t="s">
        <v>17</v>
      </c>
      <c r="C1682" t="s">
        <v>2321</v>
      </c>
      <c r="F1682" t="s">
        <v>159</v>
      </c>
      <c r="G1682" t="s">
        <v>20</v>
      </c>
      <c r="K1682" t="s">
        <v>3868</v>
      </c>
      <c r="L1682" t="s">
        <v>22</v>
      </c>
      <c r="P1682" t="s">
        <v>160</v>
      </c>
      <c r="Q1682" t="s">
        <v>2322</v>
      </c>
    </row>
    <row r="1683" spans="1:17" ht="15.75" hidden="1" customHeight="1">
      <c r="A1683" t="s">
        <v>4263</v>
      </c>
      <c r="B1683" t="s">
        <v>17</v>
      </c>
      <c r="C1683" t="s">
        <v>2315</v>
      </c>
      <c r="F1683" t="s">
        <v>159</v>
      </c>
      <c r="G1683" t="s">
        <v>20</v>
      </c>
      <c r="K1683" t="s">
        <v>3868</v>
      </c>
      <c r="L1683" t="s">
        <v>22</v>
      </c>
      <c r="P1683" t="s">
        <v>160</v>
      </c>
      <c r="Q1683" t="s">
        <v>2316</v>
      </c>
    </row>
    <row r="1684" spans="1:17" ht="15.75" hidden="1" customHeight="1">
      <c r="A1684" t="s">
        <v>4264</v>
      </c>
      <c r="B1684" t="s">
        <v>17</v>
      </c>
      <c r="C1684" t="s">
        <v>230</v>
      </c>
      <c r="F1684" t="s">
        <v>159</v>
      </c>
      <c r="G1684" t="s">
        <v>20</v>
      </c>
      <c r="K1684" t="s">
        <v>3874</v>
      </c>
      <c r="L1684" t="s">
        <v>22</v>
      </c>
      <c r="P1684" t="s">
        <v>160</v>
      </c>
      <c r="Q1684" t="s">
        <v>231</v>
      </c>
    </row>
    <row r="1685" spans="1:17" ht="15.75" hidden="1" customHeight="1">
      <c r="A1685" t="s">
        <v>4265</v>
      </c>
      <c r="B1685" t="s">
        <v>17</v>
      </c>
      <c r="C1685" t="s">
        <v>163</v>
      </c>
      <c r="F1685" t="s">
        <v>159</v>
      </c>
      <c r="G1685" t="s">
        <v>20</v>
      </c>
      <c r="K1685" t="s">
        <v>3874</v>
      </c>
      <c r="L1685" t="s">
        <v>22</v>
      </c>
      <c r="P1685" t="s">
        <v>160</v>
      </c>
      <c r="Q1685" t="s">
        <v>164</v>
      </c>
    </row>
    <row r="1686" spans="1:17" ht="15.75" hidden="1" customHeight="1">
      <c r="A1686" t="s">
        <v>4266</v>
      </c>
      <c r="B1686" t="s">
        <v>17</v>
      </c>
      <c r="C1686" t="s">
        <v>2327</v>
      </c>
      <c r="F1686" t="s">
        <v>159</v>
      </c>
      <c r="G1686" t="s">
        <v>20</v>
      </c>
      <c r="K1686" t="s">
        <v>3874</v>
      </c>
      <c r="L1686" t="s">
        <v>22</v>
      </c>
      <c r="P1686" t="s">
        <v>160</v>
      </c>
      <c r="Q1686" t="s">
        <v>2328</v>
      </c>
    </row>
    <row r="1687" spans="1:17" ht="15.75" hidden="1" customHeight="1">
      <c r="A1687" t="s">
        <v>4267</v>
      </c>
      <c r="B1687" t="s">
        <v>17</v>
      </c>
      <c r="C1687" t="s">
        <v>233</v>
      </c>
      <c r="F1687" t="s">
        <v>159</v>
      </c>
      <c r="G1687" t="s">
        <v>20</v>
      </c>
      <c r="K1687" t="s">
        <v>3880</v>
      </c>
      <c r="L1687" t="s">
        <v>22</v>
      </c>
      <c r="P1687" t="s">
        <v>160</v>
      </c>
      <c r="Q1687" t="s">
        <v>234</v>
      </c>
    </row>
    <row r="1688" spans="1:17" ht="15.75" hidden="1" customHeight="1">
      <c r="A1688" t="s">
        <v>4268</v>
      </c>
      <c r="B1688" t="s">
        <v>17</v>
      </c>
      <c r="C1688" t="s">
        <v>236</v>
      </c>
      <c r="F1688" t="s">
        <v>159</v>
      </c>
      <c r="G1688" t="s">
        <v>20</v>
      </c>
      <c r="K1688" t="s">
        <v>3880</v>
      </c>
      <c r="L1688" t="s">
        <v>22</v>
      </c>
      <c r="P1688" t="s">
        <v>160</v>
      </c>
      <c r="Q1688" t="s">
        <v>4269</v>
      </c>
    </row>
    <row r="1689" spans="1:17" ht="15.75" hidden="1" customHeight="1">
      <c r="A1689" t="s">
        <v>4270</v>
      </c>
      <c r="B1689" t="s">
        <v>17</v>
      </c>
      <c r="C1689" t="s">
        <v>166</v>
      </c>
      <c r="F1689" t="s">
        <v>159</v>
      </c>
      <c r="G1689" t="s">
        <v>20</v>
      </c>
      <c r="K1689" t="s">
        <v>3880</v>
      </c>
      <c r="L1689" t="s">
        <v>22</v>
      </c>
      <c r="P1689" t="s">
        <v>160</v>
      </c>
      <c r="Q1689" t="s">
        <v>167</v>
      </c>
    </row>
    <row r="1690" spans="1:17" ht="15.75" hidden="1" customHeight="1">
      <c r="A1690" t="s">
        <v>4271</v>
      </c>
      <c r="B1690" t="s">
        <v>17</v>
      </c>
      <c r="C1690" t="s">
        <v>2333</v>
      </c>
      <c r="F1690" t="s">
        <v>159</v>
      </c>
      <c r="G1690" t="s">
        <v>20</v>
      </c>
      <c r="K1690" t="s">
        <v>3880</v>
      </c>
      <c r="L1690" t="s">
        <v>22</v>
      </c>
      <c r="P1690" t="s">
        <v>160</v>
      </c>
      <c r="Q1690" t="s">
        <v>2334</v>
      </c>
    </row>
    <row r="1691" spans="1:17" ht="15.75" hidden="1" customHeight="1">
      <c r="A1691" t="s">
        <v>4272</v>
      </c>
      <c r="B1691" t="s">
        <v>17</v>
      </c>
      <c r="C1691" t="s">
        <v>1012</v>
      </c>
      <c r="F1691" t="s">
        <v>159</v>
      </c>
      <c r="G1691" t="s">
        <v>20</v>
      </c>
      <c r="K1691" t="s">
        <v>3880</v>
      </c>
      <c r="L1691" t="s">
        <v>22</v>
      </c>
      <c r="P1691" t="s">
        <v>160</v>
      </c>
      <c r="Q1691" t="s">
        <v>1013</v>
      </c>
    </row>
    <row r="1692" spans="1:17" ht="15.75" hidden="1" customHeight="1">
      <c r="A1692" t="s">
        <v>4273</v>
      </c>
      <c r="B1692" t="s">
        <v>17</v>
      </c>
      <c r="C1692" t="s">
        <v>169</v>
      </c>
      <c r="F1692" t="s">
        <v>159</v>
      </c>
      <c r="G1692" t="s">
        <v>20</v>
      </c>
      <c r="K1692" t="s">
        <v>3883</v>
      </c>
      <c r="L1692" t="s">
        <v>22</v>
      </c>
      <c r="P1692" t="s">
        <v>160</v>
      </c>
      <c r="Q1692" t="s">
        <v>170</v>
      </c>
    </row>
    <row r="1693" spans="1:17" ht="15.75" hidden="1" customHeight="1">
      <c r="A1693" t="s">
        <v>4274</v>
      </c>
      <c r="B1693" t="s">
        <v>17</v>
      </c>
      <c r="C1693" t="s">
        <v>2339</v>
      </c>
      <c r="F1693" t="s">
        <v>159</v>
      </c>
      <c r="G1693" t="s">
        <v>20</v>
      </c>
      <c r="K1693" t="s">
        <v>3883</v>
      </c>
      <c r="L1693" t="s">
        <v>22</v>
      </c>
      <c r="P1693" t="s">
        <v>160</v>
      </c>
      <c r="Q1693" t="s">
        <v>2340</v>
      </c>
    </row>
    <row r="1694" spans="1:17" ht="15.75" hidden="1" customHeight="1">
      <c r="A1694" t="s">
        <v>4275</v>
      </c>
      <c r="B1694" t="s">
        <v>17</v>
      </c>
      <c r="C1694" t="s">
        <v>1018</v>
      </c>
      <c r="F1694" t="s">
        <v>159</v>
      </c>
      <c r="G1694" t="s">
        <v>20</v>
      </c>
      <c r="K1694" t="s">
        <v>3883</v>
      </c>
      <c r="L1694" t="s">
        <v>22</v>
      </c>
      <c r="P1694" t="s">
        <v>160</v>
      </c>
      <c r="Q1694" t="s">
        <v>1019</v>
      </c>
    </row>
    <row r="1695" spans="1:17" ht="15.75" hidden="1" customHeight="1">
      <c r="A1695" t="s">
        <v>4276</v>
      </c>
      <c r="B1695" t="s">
        <v>17</v>
      </c>
      <c r="C1695" t="s">
        <v>175</v>
      </c>
      <c r="F1695" t="s">
        <v>159</v>
      </c>
      <c r="G1695" t="s">
        <v>20</v>
      </c>
      <c r="K1695" t="s">
        <v>3886</v>
      </c>
      <c r="L1695" t="s">
        <v>22</v>
      </c>
      <c r="P1695" t="s">
        <v>160</v>
      </c>
      <c r="Q1695" t="s">
        <v>176</v>
      </c>
    </row>
    <row r="1696" spans="1:17" ht="15.75" hidden="1" customHeight="1">
      <c r="A1696" t="s">
        <v>4277</v>
      </c>
      <c r="B1696" t="s">
        <v>17</v>
      </c>
      <c r="C1696" t="s">
        <v>172</v>
      </c>
      <c r="F1696" t="s">
        <v>159</v>
      </c>
      <c r="G1696" t="s">
        <v>20</v>
      </c>
      <c r="K1696" t="s">
        <v>3886</v>
      </c>
      <c r="L1696" t="s">
        <v>22</v>
      </c>
      <c r="P1696" t="s">
        <v>160</v>
      </c>
      <c r="Q1696" t="s">
        <v>173</v>
      </c>
    </row>
    <row r="1697" spans="1:17" ht="15.75" hidden="1" customHeight="1">
      <c r="A1697" t="s">
        <v>4278</v>
      </c>
      <c r="B1697" t="s">
        <v>17</v>
      </c>
      <c r="C1697" t="s">
        <v>178</v>
      </c>
      <c r="F1697" t="s">
        <v>159</v>
      </c>
      <c r="G1697" t="s">
        <v>20</v>
      </c>
      <c r="K1697" t="s">
        <v>3886</v>
      </c>
      <c r="L1697" t="s">
        <v>22</v>
      </c>
      <c r="P1697" t="s">
        <v>160</v>
      </c>
      <c r="Q1697" t="s">
        <v>179</v>
      </c>
    </row>
    <row r="1698" spans="1:17" ht="15.75" hidden="1" customHeight="1">
      <c r="A1698" t="s">
        <v>4279</v>
      </c>
      <c r="B1698" t="s">
        <v>17</v>
      </c>
      <c r="C1698" t="s">
        <v>184</v>
      </c>
      <c r="F1698" t="s">
        <v>159</v>
      </c>
      <c r="G1698" t="s">
        <v>20</v>
      </c>
      <c r="K1698" t="s">
        <v>3888</v>
      </c>
      <c r="L1698" t="s">
        <v>22</v>
      </c>
      <c r="P1698" t="s">
        <v>160</v>
      </c>
      <c r="Q1698" t="s">
        <v>185</v>
      </c>
    </row>
    <row r="1699" spans="1:17" ht="15.75" hidden="1" customHeight="1">
      <c r="A1699" t="s">
        <v>4280</v>
      </c>
      <c r="B1699" t="s">
        <v>17</v>
      </c>
      <c r="C1699" t="s">
        <v>181</v>
      </c>
      <c r="F1699" t="s">
        <v>159</v>
      </c>
      <c r="G1699" t="s">
        <v>20</v>
      </c>
      <c r="K1699" t="s">
        <v>3888</v>
      </c>
      <c r="L1699" t="s">
        <v>22</v>
      </c>
      <c r="P1699" t="s">
        <v>160</v>
      </c>
      <c r="Q1699" t="s">
        <v>182</v>
      </c>
    </row>
    <row r="1700" spans="1:17" ht="15.75" hidden="1" customHeight="1">
      <c r="A1700" t="s">
        <v>4281</v>
      </c>
      <c r="B1700" t="s">
        <v>17</v>
      </c>
      <c r="C1700" t="s">
        <v>1024</v>
      </c>
      <c r="F1700" t="s">
        <v>159</v>
      </c>
      <c r="G1700" t="s">
        <v>20</v>
      </c>
      <c r="K1700" t="s">
        <v>3888</v>
      </c>
      <c r="L1700" t="s">
        <v>22</v>
      </c>
      <c r="P1700" t="s">
        <v>160</v>
      </c>
      <c r="Q1700" t="s">
        <v>1025</v>
      </c>
    </row>
    <row r="1701" spans="1:17" ht="15.75" hidden="1" customHeight="1">
      <c r="A1701" t="s">
        <v>4282</v>
      </c>
      <c r="B1701" t="s">
        <v>17</v>
      </c>
      <c r="C1701" t="s">
        <v>187</v>
      </c>
      <c r="F1701" t="s">
        <v>159</v>
      </c>
      <c r="G1701" t="s">
        <v>20</v>
      </c>
      <c r="K1701" t="s">
        <v>3890</v>
      </c>
      <c r="L1701" t="s">
        <v>22</v>
      </c>
      <c r="P1701" t="s">
        <v>160</v>
      </c>
      <c r="Q1701" t="s">
        <v>188</v>
      </c>
    </row>
    <row r="1702" spans="1:17" ht="15.75" hidden="1" customHeight="1">
      <c r="A1702" t="s">
        <v>4283</v>
      </c>
      <c r="B1702" t="s">
        <v>17</v>
      </c>
      <c r="C1702" t="s">
        <v>239</v>
      </c>
      <c r="F1702" t="s">
        <v>159</v>
      </c>
      <c r="G1702" t="s">
        <v>20</v>
      </c>
      <c r="K1702" t="s">
        <v>3890</v>
      </c>
      <c r="L1702" t="s">
        <v>22</v>
      </c>
      <c r="P1702" t="s">
        <v>160</v>
      </c>
      <c r="Q1702" t="s">
        <v>240</v>
      </c>
    </row>
    <row r="1703" spans="1:17" ht="15.75" hidden="1" customHeight="1">
      <c r="A1703" t="s">
        <v>4284</v>
      </c>
      <c r="B1703" t="s">
        <v>464</v>
      </c>
      <c r="C1703" t="s">
        <v>4285</v>
      </c>
      <c r="F1703" t="s">
        <v>4286</v>
      </c>
      <c r="G1703" t="s">
        <v>285</v>
      </c>
      <c r="L1703">
        <v>5</v>
      </c>
      <c r="Q1703" t="s">
        <v>4287</v>
      </c>
    </row>
    <row r="1704" spans="1:17" ht="15.75" hidden="1" customHeight="1">
      <c r="A1704" t="s">
        <v>4288</v>
      </c>
      <c r="B1704" t="s">
        <v>464</v>
      </c>
      <c r="C1704" t="s">
        <v>4289</v>
      </c>
      <c r="F1704" t="s">
        <v>4286</v>
      </c>
      <c r="G1704" t="s">
        <v>285</v>
      </c>
      <c r="L1704">
        <v>5</v>
      </c>
      <c r="Q1704" t="s">
        <v>4290</v>
      </c>
    </row>
    <row r="1705" spans="1:17" ht="15.75" hidden="1" customHeight="1">
      <c r="A1705" t="s">
        <v>4291</v>
      </c>
      <c r="B1705" t="s">
        <v>464</v>
      </c>
      <c r="C1705" t="s">
        <v>4292</v>
      </c>
      <c r="F1705" t="s">
        <v>4286</v>
      </c>
      <c r="G1705" t="s">
        <v>285</v>
      </c>
      <c r="L1705">
        <v>5</v>
      </c>
      <c r="Q1705" t="s">
        <v>4293</v>
      </c>
    </row>
    <row r="1706" spans="1:17" ht="15.75" hidden="1" customHeight="1">
      <c r="A1706" t="s">
        <v>4294</v>
      </c>
      <c r="B1706" t="s">
        <v>464</v>
      </c>
      <c r="C1706" t="s">
        <v>4295</v>
      </c>
      <c r="F1706" t="s">
        <v>4286</v>
      </c>
      <c r="G1706" t="s">
        <v>285</v>
      </c>
      <c r="L1706">
        <v>5</v>
      </c>
      <c r="Q1706" t="s">
        <v>4296</v>
      </c>
    </row>
    <row r="1707" spans="1:17" ht="15.75" hidden="1" customHeight="1">
      <c r="A1707" t="s">
        <v>4297</v>
      </c>
      <c r="B1707" t="s">
        <v>464</v>
      </c>
      <c r="C1707" t="s">
        <v>4298</v>
      </c>
      <c r="F1707" t="s">
        <v>4286</v>
      </c>
      <c r="G1707" t="s">
        <v>285</v>
      </c>
      <c r="L1707">
        <v>5</v>
      </c>
      <c r="Q1707" t="s">
        <v>4299</v>
      </c>
    </row>
    <row r="1708" spans="1:17" ht="15.75" hidden="1" customHeight="1">
      <c r="A1708" t="s">
        <v>4300</v>
      </c>
      <c r="B1708" t="s">
        <v>464</v>
      </c>
      <c r="C1708" t="s">
        <v>4301</v>
      </c>
      <c r="F1708" t="s">
        <v>1168</v>
      </c>
      <c r="G1708" t="s">
        <v>285</v>
      </c>
      <c r="L1708">
        <v>20</v>
      </c>
      <c r="Q1708" t="s">
        <v>4302</v>
      </c>
    </row>
    <row r="1709" spans="1:17" ht="15.75" hidden="1" customHeight="1">
      <c r="A1709" t="s">
        <v>4303</v>
      </c>
      <c r="B1709" t="s">
        <v>464</v>
      </c>
      <c r="C1709" t="s">
        <v>4304</v>
      </c>
      <c r="F1709" t="s">
        <v>2477</v>
      </c>
      <c r="G1709" t="s">
        <v>285</v>
      </c>
      <c r="L1709">
        <v>5</v>
      </c>
      <c r="Q1709" t="s">
        <v>4305</v>
      </c>
    </row>
    <row r="1710" spans="1:17" ht="15.75" hidden="1" customHeight="1">
      <c r="A1710" t="s">
        <v>1388</v>
      </c>
      <c r="B1710" t="s">
        <v>363</v>
      </c>
      <c r="C1710" t="s">
        <v>4306</v>
      </c>
      <c r="G1710" t="s">
        <v>20</v>
      </c>
      <c r="L1710" t="s">
        <v>1375</v>
      </c>
    </row>
    <row r="1711" spans="1:17" ht="15.75" hidden="1" customHeight="1">
      <c r="A1711" t="s">
        <v>4307</v>
      </c>
      <c r="B1711" t="s">
        <v>363</v>
      </c>
      <c r="C1711" t="s">
        <v>4308</v>
      </c>
      <c r="G1711" t="s">
        <v>7</v>
      </c>
      <c r="H1711" t="s">
        <v>4309</v>
      </c>
    </row>
    <row r="1712" spans="1:17" ht="15.75" hidden="1" customHeight="1">
      <c r="A1712" t="s">
        <v>4310</v>
      </c>
      <c r="B1712" t="s">
        <v>363</v>
      </c>
      <c r="C1712" t="s">
        <v>4311</v>
      </c>
      <c r="G1712" t="s">
        <v>7</v>
      </c>
      <c r="H1712" t="s">
        <v>4312</v>
      </c>
    </row>
    <row r="1713" spans="1:17" ht="15.75" hidden="1" customHeight="1">
      <c r="A1713" t="s">
        <v>4313</v>
      </c>
      <c r="B1713" t="s">
        <v>363</v>
      </c>
      <c r="C1713" t="s">
        <v>4314</v>
      </c>
      <c r="G1713" t="s">
        <v>7</v>
      </c>
      <c r="H1713" t="s">
        <v>4315</v>
      </c>
    </row>
    <row r="1714" spans="1:17" ht="15.75" hidden="1" customHeight="1">
      <c r="A1714" t="s">
        <v>4316</v>
      </c>
      <c r="B1714" t="s">
        <v>464</v>
      </c>
      <c r="C1714" t="s">
        <v>4317</v>
      </c>
      <c r="F1714" s="10" t="s">
        <v>1168</v>
      </c>
      <c r="G1714" t="s">
        <v>285</v>
      </c>
      <c r="L1714">
        <v>2</v>
      </c>
      <c r="Q1714" t="s">
        <v>2622</v>
      </c>
    </row>
    <row r="1715" spans="1:17" ht="15.75" hidden="1" customHeight="1">
      <c r="A1715" t="s">
        <v>4318</v>
      </c>
      <c r="B1715" t="s">
        <v>4319</v>
      </c>
      <c r="C1715" t="s">
        <v>4320</v>
      </c>
      <c r="F1715" t="s">
        <v>4321</v>
      </c>
      <c r="G1715" t="s">
        <v>20</v>
      </c>
      <c r="L1715" t="s">
        <v>736</v>
      </c>
    </row>
    <row r="1716" spans="1:17" ht="15.75" hidden="1" customHeight="1">
      <c r="A1716" t="s">
        <v>4322</v>
      </c>
      <c r="B1716" t="s">
        <v>4319</v>
      </c>
      <c r="C1716" t="s">
        <v>4323</v>
      </c>
      <c r="F1716" t="s">
        <v>4320</v>
      </c>
      <c r="G1716" t="s">
        <v>20</v>
      </c>
      <c r="L1716" t="s">
        <v>4324</v>
      </c>
    </row>
    <row r="1717" spans="1:17" ht="15.75" hidden="1" customHeight="1">
      <c r="A1717" t="s">
        <v>4325</v>
      </c>
      <c r="B1717" t="s">
        <v>4319</v>
      </c>
      <c r="C1717" t="s">
        <v>4326</v>
      </c>
      <c r="F1717" t="s">
        <v>4320</v>
      </c>
      <c r="G1717" t="s">
        <v>20</v>
      </c>
      <c r="L1717" t="s">
        <v>4324</v>
      </c>
    </row>
    <row r="1718" spans="1:17" ht="15.75" hidden="1" customHeight="1">
      <c r="A1718" t="s">
        <v>4327</v>
      </c>
      <c r="B1718" t="s">
        <v>4319</v>
      </c>
      <c r="C1718" t="s">
        <v>4328</v>
      </c>
      <c r="F1718" t="s">
        <v>4320</v>
      </c>
      <c r="G1718" t="s">
        <v>20</v>
      </c>
      <c r="L1718" t="s">
        <v>4324</v>
      </c>
    </row>
    <row r="1719" spans="1:17" ht="15.75" hidden="1" customHeight="1">
      <c r="A1719" t="s">
        <v>4329</v>
      </c>
      <c r="B1719" t="s">
        <v>4319</v>
      </c>
      <c r="C1719" t="s">
        <v>4330</v>
      </c>
      <c r="F1719" t="s">
        <v>4320</v>
      </c>
      <c r="G1719" t="s">
        <v>20</v>
      </c>
      <c r="L1719" t="s">
        <v>4324</v>
      </c>
    </row>
    <row r="1720" spans="1:17" ht="15.75" hidden="1" customHeight="1">
      <c r="A1720" t="s">
        <v>4331</v>
      </c>
      <c r="B1720" t="s">
        <v>4319</v>
      </c>
      <c r="C1720" t="s">
        <v>4332</v>
      </c>
      <c r="F1720" t="s">
        <v>4321</v>
      </c>
      <c r="G1720" t="s">
        <v>20</v>
      </c>
      <c r="L1720" t="s">
        <v>736</v>
      </c>
    </row>
    <row r="1721" spans="1:17" ht="15.75" hidden="1" customHeight="1">
      <c r="A1721" t="s">
        <v>4333</v>
      </c>
      <c r="B1721" t="s">
        <v>4319</v>
      </c>
      <c r="C1721" t="s">
        <v>4334</v>
      </c>
      <c r="F1721" t="s">
        <v>4332</v>
      </c>
      <c r="G1721" t="s">
        <v>20</v>
      </c>
      <c r="L1721" t="s">
        <v>4324</v>
      </c>
    </row>
    <row r="1722" spans="1:17" ht="15.75" hidden="1" customHeight="1">
      <c r="A1722" t="s">
        <v>4335</v>
      </c>
      <c r="B1722" t="s">
        <v>4319</v>
      </c>
      <c r="C1722" t="s">
        <v>4336</v>
      </c>
      <c r="F1722" t="s">
        <v>4332</v>
      </c>
      <c r="G1722" t="s">
        <v>20</v>
      </c>
      <c r="L1722" t="s">
        <v>4324</v>
      </c>
    </row>
    <row r="1723" spans="1:17" ht="15.75" hidden="1" customHeight="1">
      <c r="A1723" t="s">
        <v>4337</v>
      </c>
      <c r="B1723" t="s">
        <v>4319</v>
      </c>
      <c r="C1723" t="s">
        <v>4338</v>
      </c>
      <c r="F1723" t="s">
        <v>4332</v>
      </c>
      <c r="G1723" t="s">
        <v>20</v>
      </c>
      <c r="L1723" t="s">
        <v>4324</v>
      </c>
    </row>
    <row r="1724" spans="1:17" ht="15.75" hidden="1" customHeight="1">
      <c r="A1724" t="s">
        <v>4339</v>
      </c>
      <c r="B1724" t="s">
        <v>4319</v>
      </c>
      <c r="C1724" t="s">
        <v>4340</v>
      </c>
      <c r="F1724" t="s">
        <v>4332</v>
      </c>
      <c r="G1724" t="s">
        <v>20</v>
      </c>
      <c r="L1724" t="s">
        <v>4324</v>
      </c>
    </row>
    <row r="1725" spans="1:17" ht="15.75" hidden="1" customHeight="1">
      <c r="A1725" t="s">
        <v>4341</v>
      </c>
      <c r="B1725" t="s">
        <v>4319</v>
      </c>
      <c r="C1725" t="s">
        <v>4342</v>
      </c>
      <c r="F1725" t="s">
        <v>4321</v>
      </c>
      <c r="G1725" t="s">
        <v>20</v>
      </c>
      <c r="L1725" t="s">
        <v>736</v>
      </c>
    </row>
    <row r="1726" spans="1:17" ht="15.75" hidden="1" customHeight="1">
      <c r="A1726" t="s">
        <v>4343</v>
      </c>
      <c r="B1726" t="s">
        <v>4319</v>
      </c>
      <c r="C1726" t="s">
        <v>4344</v>
      </c>
      <c r="F1726" t="s">
        <v>4342</v>
      </c>
      <c r="G1726" t="s">
        <v>20</v>
      </c>
      <c r="L1726" t="s">
        <v>4324</v>
      </c>
    </row>
    <row r="1727" spans="1:17" ht="15.75" hidden="1" customHeight="1">
      <c r="A1727" t="s">
        <v>4345</v>
      </c>
      <c r="B1727" t="s">
        <v>4319</v>
      </c>
      <c r="C1727" t="s">
        <v>4346</v>
      </c>
      <c r="F1727" t="s">
        <v>4342</v>
      </c>
      <c r="G1727" t="s">
        <v>20</v>
      </c>
      <c r="L1727" t="s">
        <v>4324</v>
      </c>
    </row>
    <row r="1728" spans="1:17" ht="15.75" hidden="1" customHeight="1">
      <c r="A1728" t="s">
        <v>4347</v>
      </c>
      <c r="B1728" t="s">
        <v>4319</v>
      </c>
      <c r="C1728" t="s">
        <v>4348</v>
      </c>
      <c r="F1728" t="s">
        <v>4342</v>
      </c>
      <c r="G1728" t="s">
        <v>20</v>
      </c>
      <c r="L1728" t="s">
        <v>4324</v>
      </c>
    </row>
    <row r="1729" spans="1:12" ht="15.75" hidden="1" customHeight="1">
      <c r="A1729" t="s">
        <v>4349</v>
      </c>
      <c r="B1729" t="s">
        <v>4319</v>
      </c>
      <c r="C1729" t="s">
        <v>4350</v>
      </c>
      <c r="F1729" t="s">
        <v>4342</v>
      </c>
      <c r="G1729" t="s">
        <v>20</v>
      </c>
      <c r="L1729" t="s">
        <v>4324</v>
      </c>
    </row>
    <row r="1730" spans="1:12" ht="15.75" hidden="1" customHeight="1">
      <c r="A1730" t="s">
        <v>4351</v>
      </c>
      <c r="B1730" t="s">
        <v>4319</v>
      </c>
      <c r="C1730" t="s">
        <v>4352</v>
      </c>
      <c r="F1730" t="s">
        <v>4321</v>
      </c>
      <c r="G1730" t="s">
        <v>20</v>
      </c>
      <c r="L1730" t="s">
        <v>736</v>
      </c>
    </row>
    <row r="1731" spans="1:12" ht="15.75" hidden="1" customHeight="1">
      <c r="A1731" t="s">
        <v>4353</v>
      </c>
      <c r="B1731" t="s">
        <v>4319</v>
      </c>
      <c r="C1731" t="s">
        <v>4354</v>
      </c>
      <c r="F1731" t="s">
        <v>4352</v>
      </c>
      <c r="G1731" t="s">
        <v>20</v>
      </c>
      <c r="L1731" t="s">
        <v>4324</v>
      </c>
    </row>
    <row r="1732" spans="1:12" ht="15.75" hidden="1" customHeight="1">
      <c r="A1732" t="s">
        <v>4355</v>
      </c>
      <c r="B1732" t="s">
        <v>4319</v>
      </c>
      <c r="C1732" t="s">
        <v>4356</v>
      </c>
      <c r="F1732" t="s">
        <v>4352</v>
      </c>
      <c r="G1732" t="s">
        <v>20</v>
      </c>
      <c r="L1732" t="s">
        <v>4324</v>
      </c>
    </row>
    <row r="1733" spans="1:12" ht="15.75" hidden="1" customHeight="1">
      <c r="A1733" t="s">
        <v>4357</v>
      </c>
      <c r="B1733" t="s">
        <v>4319</v>
      </c>
      <c r="C1733" t="s">
        <v>4358</v>
      </c>
      <c r="F1733" t="s">
        <v>4352</v>
      </c>
      <c r="G1733" t="s">
        <v>20</v>
      </c>
      <c r="L1733" t="s">
        <v>4324</v>
      </c>
    </row>
    <row r="1734" spans="1:12" ht="15.75" hidden="1" customHeight="1">
      <c r="A1734" t="s">
        <v>4359</v>
      </c>
      <c r="B1734" t="s">
        <v>4319</v>
      </c>
      <c r="C1734" t="s">
        <v>4360</v>
      </c>
      <c r="F1734" t="s">
        <v>4352</v>
      </c>
      <c r="G1734" t="s">
        <v>20</v>
      </c>
      <c r="L1734" t="s">
        <v>4324</v>
      </c>
    </row>
    <row r="1735" spans="1:12" ht="15.75" customHeight="1">
      <c r="A1735" t="s">
        <v>4361</v>
      </c>
      <c r="B1735" t="s">
        <v>4319</v>
      </c>
      <c r="C1735" t="s">
        <v>4362</v>
      </c>
      <c r="F1735" t="s">
        <v>4352</v>
      </c>
      <c r="G1735" t="s">
        <v>20</v>
      </c>
      <c r="L1735" t="s">
        <v>4324</v>
      </c>
    </row>
    <row r="1736" spans="1:12" ht="15.75" hidden="1" customHeight="1">
      <c r="A1736" t="s">
        <v>4363</v>
      </c>
      <c r="B1736" t="s">
        <v>4319</v>
      </c>
      <c r="C1736" t="s">
        <v>4364</v>
      </c>
      <c r="F1736" t="s">
        <v>4352</v>
      </c>
      <c r="G1736" t="s">
        <v>20</v>
      </c>
      <c r="L1736" t="s">
        <v>4324</v>
      </c>
    </row>
    <row r="1737" spans="1:12" ht="15.75" hidden="1" customHeight="1">
      <c r="A1737" t="s">
        <v>4365</v>
      </c>
      <c r="B1737" t="s">
        <v>4319</v>
      </c>
      <c r="C1737" t="s">
        <v>4366</v>
      </c>
      <c r="F1737" t="s">
        <v>4352</v>
      </c>
      <c r="G1737" t="s">
        <v>20</v>
      </c>
      <c r="L1737" t="s">
        <v>4324</v>
      </c>
    </row>
    <row r="1738" spans="1:12" ht="15.75" hidden="1" customHeight="1">
      <c r="A1738" t="s">
        <v>4367</v>
      </c>
      <c r="B1738" t="s">
        <v>4319</v>
      </c>
      <c r="C1738" t="s">
        <v>4368</v>
      </c>
      <c r="F1738" t="s">
        <v>4352</v>
      </c>
      <c r="G1738" t="s">
        <v>20</v>
      </c>
      <c r="L1738" t="s">
        <v>4324</v>
      </c>
    </row>
    <row r="1739" spans="1:12" ht="15.75" hidden="1" customHeight="1">
      <c r="A1739" t="s">
        <v>4369</v>
      </c>
      <c r="B1739" t="s">
        <v>4319</v>
      </c>
      <c r="C1739" t="s">
        <v>4370</v>
      </c>
      <c r="F1739" t="s">
        <v>4352</v>
      </c>
      <c r="G1739" t="s">
        <v>20</v>
      </c>
      <c r="L1739" t="s">
        <v>4324</v>
      </c>
    </row>
    <row r="1740" spans="1:12" ht="15.75" customHeight="1">
      <c r="A1740" t="s">
        <v>4371</v>
      </c>
      <c r="B1740" t="s">
        <v>4319</v>
      </c>
      <c r="C1740" t="s">
        <v>4372</v>
      </c>
      <c r="F1740" t="s">
        <v>4321</v>
      </c>
      <c r="G1740" t="s">
        <v>20</v>
      </c>
      <c r="L1740" t="s">
        <v>736</v>
      </c>
    </row>
    <row r="1741" spans="1:12" ht="15.75" hidden="1" customHeight="1">
      <c r="A1741" t="s">
        <v>4373</v>
      </c>
      <c r="B1741" t="s">
        <v>4319</v>
      </c>
      <c r="C1741" t="s">
        <v>4374</v>
      </c>
      <c r="F1741" t="s">
        <v>4372</v>
      </c>
      <c r="G1741" t="s">
        <v>20</v>
      </c>
      <c r="L1741" t="s">
        <v>4324</v>
      </c>
    </row>
    <row r="1742" spans="1:12" ht="15.75" hidden="1" customHeight="1">
      <c r="A1742" t="s">
        <v>4375</v>
      </c>
      <c r="B1742" t="s">
        <v>4319</v>
      </c>
      <c r="C1742" t="s">
        <v>4376</v>
      </c>
      <c r="F1742" t="s">
        <v>4372</v>
      </c>
      <c r="G1742" t="s">
        <v>20</v>
      </c>
      <c r="L1742" t="s">
        <v>4324</v>
      </c>
    </row>
    <row r="1743" spans="1:12" ht="15.75" hidden="1" customHeight="1">
      <c r="A1743" t="s">
        <v>4377</v>
      </c>
      <c r="B1743" t="s">
        <v>4319</v>
      </c>
      <c r="C1743" t="s">
        <v>4378</v>
      </c>
      <c r="F1743" t="s">
        <v>4372</v>
      </c>
      <c r="G1743" t="s">
        <v>20</v>
      </c>
      <c r="L1743" t="s">
        <v>4324</v>
      </c>
    </row>
    <row r="1744" spans="1:12" ht="15.75" hidden="1" customHeight="1">
      <c r="A1744" t="s">
        <v>4379</v>
      </c>
      <c r="B1744" t="s">
        <v>4319</v>
      </c>
      <c r="C1744" t="s">
        <v>4380</v>
      </c>
      <c r="F1744" t="s">
        <v>4321</v>
      </c>
      <c r="G1744" t="s">
        <v>20</v>
      </c>
      <c r="L1744" t="s">
        <v>736</v>
      </c>
    </row>
    <row r="1745" spans="1:12" ht="15.75" hidden="1" customHeight="1">
      <c r="A1745" t="s">
        <v>4381</v>
      </c>
      <c r="B1745" t="s">
        <v>4319</v>
      </c>
      <c r="C1745" t="s">
        <v>4382</v>
      </c>
      <c r="F1745" t="s">
        <v>4380</v>
      </c>
      <c r="G1745" t="s">
        <v>20</v>
      </c>
      <c r="L1745" t="s">
        <v>4324</v>
      </c>
    </row>
    <row r="1746" spans="1:12" ht="15.75" hidden="1" customHeight="1">
      <c r="A1746" t="s">
        <v>4383</v>
      </c>
      <c r="B1746" t="s">
        <v>4319</v>
      </c>
      <c r="C1746" t="s">
        <v>4384</v>
      </c>
      <c r="F1746" t="s">
        <v>4380</v>
      </c>
      <c r="G1746" t="s">
        <v>20</v>
      </c>
      <c r="L1746" t="s">
        <v>4324</v>
      </c>
    </row>
    <row r="1747" spans="1:12" ht="15.75" hidden="1" customHeight="1">
      <c r="A1747" t="s">
        <v>4385</v>
      </c>
      <c r="B1747" t="s">
        <v>4319</v>
      </c>
      <c r="C1747" t="s">
        <v>4386</v>
      </c>
      <c r="F1747" t="s">
        <v>4380</v>
      </c>
      <c r="G1747" t="s">
        <v>20</v>
      </c>
      <c r="L1747" t="s">
        <v>4324</v>
      </c>
    </row>
    <row r="1748" spans="1:12" ht="15.75" hidden="1" customHeight="1">
      <c r="A1748" t="s">
        <v>4387</v>
      </c>
      <c r="B1748" t="s">
        <v>4319</v>
      </c>
      <c r="C1748" t="s">
        <v>4388</v>
      </c>
      <c r="F1748" t="s">
        <v>4380</v>
      </c>
      <c r="G1748" t="s">
        <v>20</v>
      </c>
      <c r="L1748" t="s">
        <v>4324</v>
      </c>
    </row>
    <row r="1749" spans="1:12" ht="15.75" hidden="1" customHeight="1">
      <c r="A1749" t="s">
        <v>4389</v>
      </c>
      <c r="B1749" t="s">
        <v>4319</v>
      </c>
      <c r="C1749" t="s">
        <v>4390</v>
      </c>
      <c r="F1749" t="s">
        <v>4380</v>
      </c>
      <c r="G1749" t="s">
        <v>20</v>
      </c>
      <c r="L1749" t="s">
        <v>4324</v>
      </c>
    </row>
    <row r="1750" spans="1:12" ht="15.75" hidden="1" customHeight="1">
      <c r="A1750" t="s">
        <v>4391</v>
      </c>
      <c r="B1750" t="s">
        <v>4319</v>
      </c>
      <c r="C1750" t="s">
        <v>4392</v>
      </c>
      <c r="F1750" t="s">
        <v>4321</v>
      </c>
      <c r="G1750" t="s">
        <v>20</v>
      </c>
      <c r="L1750" t="s">
        <v>736</v>
      </c>
    </row>
    <row r="1751" spans="1:12" ht="15.75" hidden="1" customHeight="1">
      <c r="A1751" t="s">
        <v>4393</v>
      </c>
      <c r="B1751" t="s">
        <v>4319</v>
      </c>
      <c r="C1751" t="s">
        <v>4394</v>
      </c>
      <c r="F1751" t="s">
        <v>4392</v>
      </c>
      <c r="G1751" t="s">
        <v>20</v>
      </c>
      <c r="L1751" t="s">
        <v>4324</v>
      </c>
    </row>
    <row r="1752" spans="1:12" ht="15.75" hidden="1" customHeight="1">
      <c r="A1752" t="s">
        <v>4395</v>
      </c>
      <c r="B1752" t="s">
        <v>4319</v>
      </c>
      <c r="C1752" t="s">
        <v>4396</v>
      </c>
      <c r="F1752" t="s">
        <v>4392</v>
      </c>
      <c r="G1752" t="s">
        <v>20</v>
      </c>
      <c r="L1752" t="s">
        <v>4324</v>
      </c>
    </row>
    <row r="1753" spans="1:12" ht="15.75" hidden="1" customHeight="1">
      <c r="A1753" t="s">
        <v>4397</v>
      </c>
      <c r="B1753" t="s">
        <v>4319</v>
      </c>
      <c r="C1753" t="s">
        <v>4398</v>
      </c>
      <c r="F1753" t="s">
        <v>4392</v>
      </c>
      <c r="G1753" t="s">
        <v>20</v>
      </c>
      <c r="L1753" t="s">
        <v>4324</v>
      </c>
    </row>
    <row r="1754" spans="1:12" ht="15.75" hidden="1" customHeight="1">
      <c r="A1754" t="s">
        <v>4399</v>
      </c>
      <c r="B1754" t="s">
        <v>4319</v>
      </c>
      <c r="C1754" t="s">
        <v>4400</v>
      </c>
      <c r="F1754" t="s">
        <v>4401</v>
      </c>
      <c r="G1754" t="s">
        <v>20</v>
      </c>
      <c r="L1754" t="s">
        <v>736</v>
      </c>
    </row>
    <row r="1755" spans="1:12" ht="15.75" hidden="1" customHeight="1">
      <c r="A1755" t="s">
        <v>4402</v>
      </c>
      <c r="B1755" t="s">
        <v>4319</v>
      </c>
      <c r="C1755" t="s">
        <v>4403</v>
      </c>
      <c r="F1755" t="s">
        <v>4400</v>
      </c>
      <c r="G1755" t="s">
        <v>20</v>
      </c>
      <c r="L1755" t="s">
        <v>4324</v>
      </c>
    </row>
    <row r="1756" spans="1:12" ht="15.75" hidden="1" customHeight="1">
      <c r="A1756" t="s">
        <v>4404</v>
      </c>
      <c r="B1756" t="s">
        <v>4319</v>
      </c>
      <c r="C1756" t="s">
        <v>4405</v>
      </c>
      <c r="F1756" t="s">
        <v>4400</v>
      </c>
      <c r="G1756" t="s">
        <v>20</v>
      </c>
      <c r="L1756" t="s">
        <v>4324</v>
      </c>
    </row>
    <row r="1757" spans="1:12" ht="15.75" hidden="1" customHeight="1">
      <c r="A1757" t="s">
        <v>4406</v>
      </c>
      <c r="B1757" t="s">
        <v>4319</v>
      </c>
      <c r="C1757" t="s">
        <v>4407</v>
      </c>
      <c r="F1757" t="s">
        <v>4400</v>
      </c>
      <c r="G1757" t="s">
        <v>20</v>
      </c>
      <c r="L1757" t="s">
        <v>4324</v>
      </c>
    </row>
    <row r="1758" spans="1:12" ht="15.75" hidden="1" customHeight="1">
      <c r="A1758" t="s">
        <v>4408</v>
      </c>
      <c r="B1758" t="s">
        <v>4319</v>
      </c>
      <c r="C1758" t="s">
        <v>4409</v>
      </c>
      <c r="F1758" t="s">
        <v>4401</v>
      </c>
      <c r="G1758" t="s">
        <v>20</v>
      </c>
      <c r="L1758" t="s">
        <v>736</v>
      </c>
    </row>
    <row r="1759" spans="1:12" ht="15.75" hidden="1" customHeight="1">
      <c r="A1759" t="s">
        <v>4410</v>
      </c>
      <c r="B1759" t="s">
        <v>4319</v>
      </c>
      <c r="C1759" t="s">
        <v>4411</v>
      </c>
      <c r="F1759" t="s">
        <v>4409</v>
      </c>
      <c r="G1759" t="s">
        <v>20</v>
      </c>
      <c r="L1759" t="s">
        <v>4324</v>
      </c>
    </row>
    <row r="1760" spans="1:12" ht="15.75" hidden="1" customHeight="1">
      <c r="A1760" t="s">
        <v>4412</v>
      </c>
      <c r="B1760" t="s">
        <v>4319</v>
      </c>
      <c r="C1760" t="s">
        <v>4413</v>
      </c>
      <c r="F1760" t="s">
        <v>4409</v>
      </c>
      <c r="G1760" t="s">
        <v>20</v>
      </c>
      <c r="L1760" t="s">
        <v>4324</v>
      </c>
    </row>
    <row r="1761" spans="1:12" ht="15.75" hidden="1" customHeight="1">
      <c r="A1761" t="s">
        <v>4414</v>
      </c>
      <c r="B1761" t="s">
        <v>4319</v>
      </c>
      <c r="C1761" t="s">
        <v>4415</v>
      </c>
      <c r="F1761" t="s">
        <v>4409</v>
      </c>
      <c r="G1761" t="s">
        <v>20</v>
      </c>
      <c r="L1761" t="s">
        <v>4324</v>
      </c>
    </row>
    <row r="1762" spans="1:12" ht="15.75" hidden="1" customHeight="1">
      <c r="A1762" t="s">
        <v>4416</v>
      </c>
      <c r="B1762" t="s">
        <v>4319</v>
      </c>
      <c r="C1762" t="s">
        <v>4417</v>
      </c>
      <c r="F1762" t="s">
        <v>4409</v>
      </c>
      <c r="G1762" t="s">
        <v>20</v>
      </c>
      <c r="L1762" t="s">
        <v>4324</v>
      </c>
    </row>
    <row r="1763" spans="1:12" ht="15.75" hidden="1" customHeight="1">
      <c r="A1763" t="s">
        <v>4418</v>
      </c>
      <c r="B1763" t="s">
        <v>4319</v>
      </c>
      <c r="C1763" t="s">
        <v>4419</v>
      </c>
      <c r="F1763" t="s">
        <v>4409</v>
      </c>
      <c r="G1763" t="s">
        <v>20</v>
      </c>
      <c r="L1763" t="s">
        <v>4324</v>
      </c>
    </row>
    <row r="1764" spans="1:12" ht="15.75" hidden="1" customHeight="1">
      <c r="A1764" t="s">
        <v>4420</v>
      </c>
      <c r="B1764" t="s">
        <v>4319</v>
      </c>
      <c r="C1764" t="s">
        <v>4421</v>
      </c>
      <c r="F1764" t="s">
        <v>4401</v>
      </c>
      <c r="G1764" t="s">
        <v>20</v>
      </c>
      <c r="L1764" t="s">
        <v>736</v>
      </c>
    </row>
    <row r="1765" spans="1:12" ht="15.75" hidden="1" customHeight="1">
      <c r="A1765" t="s">
        <v>4422</v>
      </c>
      <c r="B1765" t="s">
        <v>4319</v>
      </c>
      <c r="C1765" t="s">
        <v>4423</v>
      </c>
      <c r="F1765" t="s">
        <v>4421</v>
      </c>
      <c r="G1765" t="s">
        <v>20</v>
      </c>
      <c r="L1765" t="s">
        <v>4324</v>
      </c>
    </row>
    <row r="1766" spans="1:12" ht="15.75" hidden="1" customHeight="1">
      <c r="A1766" t="s">
        <v>4424</v>
      </c>
      <c r="B1766" t="s">
        <v>4319</v>
      </c>
      <c r="C1766" t="s">
        <v>4425</v>
      </c>
      <c r="F1766" t="s">
        <v>4421</v>
      </c>
      <c r="G1766" t="s">
        <v>20</v>
      </c>
      <c r="L1766" t="s">
        <v>4324</v>
      </c>
    </row>
    <row r="1767" spans="1:12" ht="15.75" hidden="1" customHeight="1">
      <c r="A1767" t="s">
        <v>4426</v>
      </c>
      <c r="B1767" t="s">
        <v>4319</v>
      </c>
      <c r="C1767" t="s">
        <v>4427</v>
      </c>
      <c r="F1767" t="s">
        <v>4421</v>
      </c>
      <c r="G1767" t="s">
        <v>20</v>
      </c>
      <c r="L1767" t="s">
        <v>4324</v>
      </c>
    </row>
    <row r="1768" spans="1:12" ht="15.75" hidden="1" customHeight="1">
      <c r="A1768" t="s">
        <v>4428</v>
      </c>
      <c r="B1768" t="s">
        <v>4319</v>
      </c>
      <c r="C1768" t="s">
        <v>4429</v>
      </c>
      <c r="F1768" t="s">
        <v>4421</v>
      </c>
      <c r="G1768" t="s">
        <v>20</v>
      </c>
      <c r="L1768" t="s">
        <v>4324</v>
      </c>
    </row>
    <row r="1769" spans="1:12" ht="15.75" hidden="1" customHeight="1">
      <c r="A1769" t="s">
        <v>4430</v>
      </c>
      <c r="B1769" t="s">
        <v>4319</v>
      </c>
      <c r="C1769" t="s">
        <v>4431</v>
      </c>
      <c r="F1769" t="s">
        <v>4401</v>
      </c>
      <c r="G1769" t="s">
        <v>20</v>
      </c>
      <c r="L1769" t="s">
        <v>736</v>
      </c>
    </row>
    <row r="1770" spans="1:12" ht="15.75" hidden="1" customHeight="1">
      <c r="A1770" t="s">
        <v>4432</v>
      </c>
      <c r="B1770" t="s">
        <v>4319</v>
      </c>
      <c r="C1770" t="s">
        <v>4433</v>
      </c>
      <c r="F1770" t="s">
        <v>4431</v>
      </c>
      <c r="G1770" t="s">
        <v>20</v>
      </c>
      <c r="L1770" t="s">
        <v>4324</v>
      </c>
    </row>
    <row r="1771" spans="1:12" ht="15.75" hidden="1" customHeight="1">
      <c r="A1771" t="s">
        <v>4434</v>
      </c>
      <c r="B1771" t="s">
        <v>4319</v>
      </c>
      <c r="C1771" t="s">
        <v>4435</v>
      </c>
      <c r="F1771" t="s">
        <v>4431</v>
      </c>
      <c r="G1771" t="s">
        <v>20</v>
      </c>
      <c r="L1771" t="s">
        <v>4324</v>
      </c>
    </row>
    <row r="1772" spans="1:12" ht="15.75" hidden="1" customHeight="1">
      <c r="A1772" t="s">
        <v>4436</v>
      </c>
      <c r="B1772" t="s">
        <v>4319</v>
      </c>
      <c r="C1772" t="s">
        <v>4437</v>
      </c>
      <c r="F1772" t="s">
        <v>4431</v>
      </c>
      <c r="G1772" t="s">
        <v>20</v>
      </c>
      <c r="L1772" t="s">
        <v>4324</v>
      </c>
    </row>
    <row r="1773" spans="1:12" ht="15.75" hidden="1" customHeight="1">
      <c r="A1773" t="s">
        <v>4438</v>
      </c>
      <c r="B1773" t="s">
        <v>4319</v>
      </c>
      <c r="C1773" t="s">
        <v>4439</v>
      </c>
      <c r="F1773" t="s">
        <v>4401</v>
      </c>
      <c r="G1773" t="s">
        <v>20</v>
      </c>
      <c r="L1773" t="s">
        <v>736</v>
      </c>
    </row>
    <row r="1774" spans="1:12" ht="15.75" hidden="1" customHeight="1">
      <c r="A1774" t="s">
        <v>4440</v>
      </c>
      <c r="B1774" t="s">
        <v>4319</v>
      </c>
      <c r="C1774" t="s">
        <v>4441</v>
      </c>
      <c r="F1774" t="s">
        <v>4439</v>
      </c>
      <c r="G1774" t="s">
        <v>20</v>
      </c>
      <c r="L1774" t="s">
        <v>4324</v>
      </c>
    </row>
    <row r="1775" spans="1:12" ht="15.75" hidden="1" customHeight="1">
      <c r="A1775" t="s">
        <v>4442</v>
      </c>
      <c r="B1775" t="s">
        <v>4319</v>
      </c>
      <c r="C1775" t="s">
        <v>4443</v>
      </c>
      <c r="F1775" t="s">
        <v>4439</v>
      </c>
      <c r="G1775" t="s">
        <v>20</v>
      </c>
      <c r="L1775" t="s">
        <v>4324</v>
      </c>
    </row>
    <row r="1776" spans="1:12" ht="15.75" hidden="1" customHeight="1">
      <c r="A1776" t="s">
        <v>4444</v>
      </c>
      <c r="B1776" t="s">
        <v>4319</v>
      </c>
      <c r="C1776" t="s">
        <v>4445</v>
      </c>
      <c r="F1776" t="s">
        <v>4439</v>
      </c>
      <c r="G1776" t="s">
        <v>20</v>
      </c>
      <c r="L1776" t="s">
        <v>4324</v>
      </c>
    </row>
    <row r="1777" spans="1:12" ht="15.75" hidden="1" customHeight="1">
      <c r="A1777" t="s">
        <v>4446</v>
      </c>
      <c r="B1777" t="s">
        <v>4319</v>
      </c>
      <c r="C1777" t="s">
        <v>4447</v>
      </c>
      <c r="F1777" t="s">
        <v>4439</v>
      </c>
      <c r="G1777" t="s">
        <v>20</v>
      </c>
      <c r="L1777" t="s">
        <v>4324</v>
      </c>
    </row>
    <row r="1778" spans="1:12" ht="15.75" hidden="1" customHeight="1">
      <c r="A1778" t="s">
        <v>4448</v>
      </c>
      <c r="B1778" t="s">
        <v>4319</v>
      </c>
      <c r="C1778" t="s">
        <v>4449</v>
      </c>
      <c r="F1778" t="s">
        <v>4439</v>
      </c>
      <c r="G1778" t="s">
        <v>20</v>
      </c>
      <c r="L1778" t="s">
        <v>4324</v>
      </c>
    </row>
    <row r="1779" spans="1:12" ht="15.75" hidden="1" customHeight="1">
      <c r="A1779" t="s">
        <v>4450</v>
      </c>
      <c r="B1779" t="s">
        <v>4319</v>
      </c>
      <c r="C1779" t="s">
        <v>4451</v>
      </c>
      <c r="F1779" t="s">
        <v>4401</v>
      </c>
      <c r="G1779" t="s">
        <v>20</v>
      </c>
      <c r="L1779" t="s">
        <v>736</v>
      </c>
    </row>
    <row r="1780" spans="1:12" ht="15.75" hidden="1" customHeight="1">
      <c r="A1780" t="s">
        <v>4452</v>
      </c>
      <c r="B1780" t="s">
        <v>4319</v>
      </c>
      <c r="C1780" t="s">
        <v>4453</v>
      </c>
      <c r="F1780" t="s">
        <v>4451</v>
      </c>
      <c r="G1780" t="s">
        <v>20</v>
      </c>
      <c r="L1780" t="s">
        <v>4324</v>
      </c>
    </row>
    <row r="1781" spans="1:12" ht="15.75" hidden="1" customHeight="1">
      <c r="A1781" t="s">
        <v>4454</v>
      </c>
      <c r="B1781" t="s">
        <v>4319</v>
      </c>
      <c r="C1781" t="s">
        <v>4455</v>
      </c>
      <c r="F1781" t="s">
        <v>4451</v>
      </c>
      <c r="G1781" t="s">
        <v>20</v>
      </c>
      <c r="L1781" t="s">
        <v>4324</v>
      </c>
    </row>
    <row r="1782" spans="1:12" ht="15.75" hidden="1" customHeight="1">
      <c r="A1782" t="s">
        <v>4456</v>
      </c>
      <c r="B1782" t="s">
        <v>4319</v>
      </c>
      <c r="C1782" t="s">
        <v>4457</v>
      </c>
      <c r="F1782" t="s">
        <v>4451</v>
      </c>
      <c r="G1782" t="s">
        <v>20</v>
      </c>
      <c r="L1782" t="s">
        <v>4324</v>
      </c>
    </row>
    <row r="1783" spans="1:12" ht="15.75" hidden="1" customHeight="1">
      <c r="A1783" t="s">
        <v>4458</v>
      </c>
      <c r="B1783" t="s">
        <v>4319</v>
      </c>
      <c r="C1783" t="s">
        <v>4459</v>
      </c>
      <c r="F1783" t="s">
        <v>4451</v>
      </c>
      <c r="G1783" t="s">
        <v>20</v>
      </c>
      <c r="L1783" t="s">
        <v>4324</v>
      </c>
    </row>
    <row r="1784" spans="1:12" ht="15.75" hidden="1" customHeight="1">
      <c r="A1784" t="s">
        <v>4460</v>
      </c>
      <c r="B1784" t="s">
        <v>4319</v>
      </c>
      <c r="C1784" t="s">
        <v>4461</v>
      </c>
      <c r="F1784" t="s">
        <v>4451</v>
      </c>
      <c r="G1784" t="s">
        <v>20</v>
      </c>
      <c r="L1784" t="s">
        <v>4324</v>
      </c>
    </row>
    <row r="1785" spans="1:12" ht="15.75" hidden="1" customHeight="1">
      <c r="A1785" t="s">
        <v>4462</v>
      </c>
      <c r="B1785" t="s">
        <v>4319</v>
      </c>
      <c r="C1785" t="s">
        <v>4463</v>
      </c>
      <c r="F1785" t="s">
        <v>4401</v>
      </c>
      <c r="G1785" t="s">
        <v>20</v>
      </c>
      <c r="L1785" t="s">
        <v>736</v>
      </c>
    </row>
    <row r="1786" spans="1:12" ht="15.75" hidden="1" customHeight="1">
      <c r="A1786" t="s">
        <v>4464</v>
      </c>
      <c r="B1786" t="s">
        <v>4319</v>
      </c>
      <c r="C1786" t="s">
        <v>4465</v>
      </c>
      <c r="F1786" t="s">
        <v>4463</v>
      </c>
      <c r="G1786" t="s">
        <v>20</v>
      </c>
      <c r="L1786" t="s">
        <v>4324</v>
      </c>
    </row>
    <row r="1787" spans="1:12" ht="15.75" hidden="1" customHeight="1">
      <c r="A1787" t="s">
        <v>4466</v>
      </c>
      <c r="B1787" t="s">
        <v>4319</v>
      </c>
      <c r="C1787" t="s">
        <v>4467</v>
      </c>
      <c r="F1787" t="s">
        <v>4463</v>
      </c>
      <c r="G1787" t="s">
        <v>20</v>
      </c>
      <c r="L1787" t="s">
        <v>4324</v>
      </c>
    </row>
    <row r="1788" spans="1:12" ht="15.75" hidden="1" customHeight="1">
      <c r="A1788" t="s">
        <v>4468</v>
      </c>
      <c r="B1788" t="s">
        <v>4319</v>
      </c>
      <c r="C1788" t="s">
        <v>4469</v>
      </c>
      <c r="F1788" t="s">
        <v>4463</v>
      </c>
      <c r="G1788" t="s">
        <v>20</v>
      </c>
      <c r="L1788" t="s">
        <v>4324</v>
      </c>
    </row>
    <row r="1789" spans="1:12" ht="15.75" hidden="1" customHeight="1">
      <c r="A1789" t="s">
        <v>4470</v>
      </c>
      <c r="B1789" t="s">
        <v>4319</v>
      </c>
      <c r="C1789" t="s">
        <v>4471</v>
      </c>
      <c r="F1789" t="s">
        <v>4463</v>
      </c>
      <c r="G1789" t="s">
        <v>20</v>
      </c>
      <c r="L1789" t="s">
        <v>4324</v>
      </c>
    </row>
    <row r="1790" spans="1:12" ht="15.75" hidden="1" customHeight="1">
      <c r="A1790" t="s">
        <v>4472</v>
      </c>
      <c r="B1790" t="s">
        <v>4319</v>
      </c>
      <c r="C1790" t="s">
        <v>4473</v>
      </c>
      <c r="F1790" t="s">
        <v>4401</v>
      </c>
      <c r="G1790" t="s">
        <v>20</v>
      </c>
      <c r="L1790" t="s">
        <v>736</v>
      </c>
    </row>
    <row r="1791" spans="1:12" ht="15.75" hidden="1" customHeight="1">
      <c r="A1791" t="s">
        <v>4474</v>
      </c>
      <c r="B1791" t="s">
        <v>4319</v>
      </c>
      <c r="C1791" t="s">
        <v>4475</v>
      </c>
      <c r="F1791" t="s">
        <v>4473</v>
      </c>
      <c r="G1791" t="s">
        <v>20</v>
      </c>
      <c r="L1791" t="s">
        <v>4324</v>
      </c>
    </row>
    <row r="1792" spans="1:12" ht="15.75" hidden="1" customHeight="1">
      <c r="A1792" t="s">
        <v>4476</v>
      </c>
      <c r="B1792" t="s">
        <v>4319</v>
      </c>
      <c r="C1792" t="s">
        <v>4477</v>
      </c>
      <c r="F1792" t="s">
        <v>4473</v>
      </c>
      <c r="G1792" t="s">
        <v>20</v>
      </c>
      <c r="L1792" t="s">
        <v>4324</v>
      </c>
    </row>
    <row r="1793" spans="1:12" ht="15.75" hidden="1" customHeight="1">
      <c r="A1793" t="s">
        <v>4478</v>
      </c>
      <c r="B1793" t="s">
        <v>4319</v>
      </c>
      <c r="C1793" t="s">
        <v>4479</v>
      </c>
      <c r="F1793" t="s">
        <v>4473</v>
      </c>
      <c r="G1793" t="s">
        <v>20</v>
      </c>
      <c r="L1793" t="s">
        <v>4324</v>
      </c>
    </row>
    <row r="1794" spans="1:12" ht="15.75" hidden="1" customHeight="1">
      <c r="A1794" t="s">
        <v>4480</v>
      </c>
      <c r="B1794" t="s">
        <v>4319</v>
      </c>
      <c r="C1794" t="s">
        <v>4481</v>
      </c>
      <c r="F1794" t="s">
        <v>4482</v>
      </c>
      <c r="G1794" t="s">
        <v>20</v>
      </c>
      <c r="L1794" t="s">
        <v>736</v>
      </c>
    </row>
    <row r="1795" spans="1:12" ht="15.75" hidden="1" customHeight="1">
      <c r="A1795" t="s">
        <v>4483</v>
      </c>
      <c r="B1795" t="s">
        <v>4319</v>
      </c>
      <c r="C1795" t="s">
        <v>4484</v>
      </c>
      <c r="F1795" t="s">
        <v>4481</v>
      </c>
      <c r="G1795" t="s">
        <v>20</v>
      </c>
      <c r="L1795" t="s">
        <v>4324</v>
      </c>
    </row>
    <row r="1796" spans="1:12" ht="15.75" hidden="1" customHeight="1">
      <c r="A1796" t="s">
        <v>4485</v>
      </c>
      <c r="B1796" t="s">
        <v>4319</v>
      </c>
      <c r="C1796" t="s">
        <v>4486</v>
      </c>
      <c r="F1796" t="s">
        <v>4481</v>
      </c>
      <c r="G1796" t="s">
        <v>20</v>
      </c>
      <c r="L1796" t="s">
        <v>4324</v>
      </c>
    </row>
    <row r="1797" spans="1:12" ht="15.75" hidden="1" customHeight="1">
      <c r="A1797" t="s">
        <v>4487</v>
      </c>
      <c r="B1797" t="s">
        <v>4319</v>
      </c>
      <c r="C1797" t="s">
        <v>4488</v>
      </c>
      <c r="F1797" t="s">
        <v>4481</v>
      </c>
      <c r="G1797" t="s">
        <v>20</v>
      </c>
      <c r="L1797" t="s">
        <v>4324</v>
      </c>
    </row>
    <row r="1798" spans="1:12" ht="15.75" hidden="1" customHeight="1">
      <c r="A1798" t="s">
        <v>4489</v>
      </c>
      <c r="B1798" t="s">
        <v>4319</v>
      </c>
      <c r="C1798" t="s">
        <v>4490</v>
      </c>
      <c r="F1798" t="s">
        <v>4481</v>
      </c>
      <c r="G1798" t="s">
        <v>20</v>
      </c>
      <c r="L1798" t="s">
        <v>4324</v>
      </c>
    </row>
    <row r="1799" spans="1:12" ht="15.75" hidden="1" customHeight="1">
      <c r="A1799" t="s">
        <v>4491</v>
      </c>
      <c r="B1799" t="s">
        <v>4319</v>
      </c>
      <c r="C1799" t="s">
        <v>4492</v>
      </c>
      <c r="F1799" t="s">
        <v>4481</v>
      </c>
      <c r="G1799" t="s">
        <v>20</v>
      </c>
      <c r="L1799" t="s">
        <v>4324</v>
      </c>
    </row>
    <row r="1800" spans="1:12" ht="15.75" hidden="1" customHeight="1">
      <c r="A1800" t="s">
        <v>4493</v>
      </c>
      <c r="B1800" t="s">
        <v>4319</v>
      </c>
      <c r="C1800" t="s">
        <v>4494</v>
      </c>
      <c r="F1800" t="s">
        <v>4482</v>
      </c>
      <c r="G1800" t="s">
        <v>20</v>
      </c>
      <c r="L1800" t="s">
        <v>736</v>
      </c>
    </row>
    <row r="1801" spans="1:12" ht="15.75" hidden="1" customHeight="1">
      <c r="A1801" t="s">
        <v>4495</v>
      </c>
      <c r="B1801" t="s">
        <v>4319</v>
      </c>
      <c r="C1801" t="s">
        <v>4496</v>
      </c>
      <c r="F1801" t="s">
        <v>4494</v>
      </c>
      <c r="G1801" t="s">
        <v>20</v>
      </c>
      <c r="L1801" t="s">
        <v>4324</v>
      </c>
    </row>
    <row r="1802" spans="1:12" ht="15.75" hidden="1" customHeight="1">
      <c r="A1802" t="s">
        <v>4497</v>
      </c>
      <c r="B1802" t="s">
        <v>4319</v>
      </c>
      <c r="C1802" t="s">
        <v>4498</v>
      </c>
      <c r="F1802" t="s">
        <v>4494</v>
      </c>
      <c r="G1802" t="s">
        <v>20</v>
      </c>
      <c r="L1802" t="s">
        <v>4324</v>
      </c>
    </row>
    <row r="1803" spans="1:12" ht="15.75" hidden="1" customHeight="1">
      <c r="A1803" t="s">
        <v>4499</v>
      </c>
      <c r="B1803" t="s">
        <v>4319</v>
      </c>
      <c r="C1803" t="s">
        <v>4500</v>
      </c>
      <c r="F1803" t="s">
        <v>4494</v>
      </c>
      <c r="G1803" t="s">
        <v>20</v>
      </c>
      <c r="L1803" t="s">
        <v>4324</v>
      </c>
    </row>
    <row r="1804" spans="1:12" ht="15.75" hidden="1" customHeight="1">
      <c r="A1804" t="s">
        <v>4501</v>
      </c>
      <c r="B1804" t="s">
        <v>4319</v>
      </c>
      <c r="C1804" t="s">
        <v>4502</v>
      </c>
      <c r="F1804" t="s">
        <v>4494</v>
      </c>
      <c r="G1804" t="s">
        <v>20</v>
      </c>
      <c r="L1804" t="s">
        <v>4324</v>
      </c>
    </row>
    <row r="1805" spans="1:12" ht="15.75" hidden="1" customHeight="1">
      <c r="A1805" t="s">
        <v>4503</v>
      </c>
      <c r="B1805" t="s">
        <v>4319</v>
      </c>
      <c r="C1805" t="s">
        <v>4504</v>
      </c>
      <c r="F1805" t="s">
        <v>4494</v>
      </c>
      <c r="G1805" t="s">
        <v>20</v>
      </c>
      <c r="L1805" t="s">
        <v>4324</v>
      </c>
    </row>
    <row r="1806" spans="1:12" ht="15.75" hidden="1" customHeight="1">
      <c r="A1806" t="s">
        <v>4505</v>
      </c>
      <c r="B1806" t="s">
        <v>4319</v>
      </c>
      <c r="C1806" t="s">
        <v>4506</v>
      </c>
      <c r="F1806" t="s">
        <v>4482</v>
      </c>
      <c r="G1806" t="s">
        <v>20</v>
      </c>
      <c r="L1806" t="s">
        <v>736</v>
      </c>
    </row>
    <row r="1807" spans="1:12" ht="15.75" hidden="1" customHeight="1">
      <c r="A1807" t="s">
        <v>4507</v>
      </c>
      <c r="B1807" t="s">
        <v>4319</v>
      </c>
      <c r="C1807" t="s">
        <v>4508</v>
      </c>
      <c r="F1807" t="s">
        <v>4506</v>
      </c>
      <c r="G1807" t="s">
        <v>20</v>
      </c>
      <c r="L1807" t="s">
        <v>4324</v>
      </c>
    </row>
    <row r="1808" spans="1:12" ht="15.75" hidden="1" customHeight="1">
      <c r="A1808" t="s">
        <v>4509</v>
      </c>
      <c r="B1808" t="s">
        <v>4319</v>
      </c>
      <c r="C1808" t="s">
        <v>4510</v>
      </c>
      <c r="F1808" t="s">
        <v>4506</v>
      </c>
      <c r="G1808" t="s">
        <v>20</v>
      </c>
      <c r="L1808" t="s">
        <v>4324</v>
      </c>
    </row>
    <row r="1809" spans="1:12" ht="15.75" hidden="1" customHeight="1">
      <c r="A1809" t="s">
        <v>4511</v>
      </c>
      <c r="B1809" t="s">
        <v>4319</v>
      </c>
      <c r="C1809" t="s">
        <v>4512</v>
      </c>
      <c r="F1809" t="s">
        <v>4506</v>
      </c>
      <c r="G1809" t="s">
        <v>20</v>
      </c>
      <c r="L1809" t="s">
        <v>4324</v>
      </c>
    </row>
    <row r="1810" spans="1:12" ht="15.75" hidden="1" customHeight="1">
      <c r="A1810" t="s">
        <v>4513</v>
      </c>
      <c r="B1810" t="s">
        <v>4319</v>
      </c>
      <c r="C1810" t="s">
        <v>4514</v>
      </c>
      <c r="F1810" t="s">
        <v>4506</v>
      </c>
      <c r="G1810" t="s">
        <v>20</v>
      </c>
      <c r="L1810" t="s">
        <v>4324</v>
      </c>
    </row>
    <row r="1811" spans="1:12" ht="15.75" hidden="1" customHeight="1">
      <c r="A1811" t="s">
        <v>4515</v>
      </c>
      <c r="B1811" t="s">
        <v>4319</v>
      </c>
      <c r="C1811" t="s">
        <v>4516</v>
      </c>
      <c r="F1811" t="s">
        <v>4506</v>
      </c>
      <c r="G1811" t="s">
        <v>20</v>
      </c>
      <c r="L1811" t="s">
        <v>4324</v>
      </c>
    </row>
    <row r="1812" spans="1:12" ht="15.75" hidden="1" customHeight="1">
      <c r="A1812" t="s">
        <v>4517</v>
      </c>
      <c r="B1812" t="s">
        <v>4319</v>
      </c>
      <c r="C1812" t="s">
        <v>4518</v>
      </c>
      <c r="F1812" t="s">
        <v>4506</v>
      </c>
      <c r="G1812" t="s">
        <v>20</v>
      </c>
      <c r="L1812" t="s">
        <v>4324</v>
      </c>
    </row>
    <row r="1813" spans="1:12" ht="15.75" hidden="1" customHeight="1">
      <c r="A1813" t="s">
        <v>4519</v>
      </c>
      <c r="B1813" t="s">
        <v>4319</v>
      </c>
      <c r="C1813" t="s">
        <v>4520</v>
      </c>
      <c r="F1813" t="s">
        <v>4506</v>
      </c>
      <c r="G1813" t="s">
        <v>20</v>
      </c>
      <c r="L1813" t="s">
        <v>4324</v>
      </c>
    </row>
    <row r="1814" spans="1:12" ht="15.75" hidden="1" customHeight="1">
      <c r="A1814" t="s">
        <v>4521</v>
      </c>
      <c r="B1814" t="s">
        <v>4319</v>
      </c>
      <c r="C1814" t="s">
        <v>4522</v>
      </c>
      <c r="F1814" t="s">
        <v>4506</v>
      </c>
      <c r="G1814" t="s">
        <v>20</v>
      </c>
      <c r="L1814" t="s">
        <v>4324</v>
      </c>
    </row>
    <row r="1815" spans="1:12" ht="15.75" hidden="1" customHeight="1">
      <c r="A1815" t="s">
        <v>4523</v>
      </c>
      <c r="B1815" t="s">
        <v>4319</v>
      </c>
      <c r="C1815" t="s">
        <v>4524</v>
      </c>
      <c r="F1815" t="s">
        <v>4482</v>
      </c>
      <c r="G1815" t="s">
        <v>20</v>
      </c>
      <c r="L1815" t="s">
        <v>736</v>
      </c>
    </row>
    <row r="1816" spans="1:12" ht="15.75" hidden="1" customHeight="1">
      <c r="A1816" t="s">
        <v>4525</v>
      </c>
      <c r="B1816" t="s">
        <v>4319</v>
      </c>
      <c r="C1816" t="s">
        <v>4526</v>
      </c>
      <c r="F1816" t="s">
        <v>4524</v>
      </c>
      <c r="G1816" t="s">
        <v>20</v>
      </c>
      <c r="L1816" t="s">
        <v>4324</v>
      </c>
    </row>
    <row r="1817" spans="1:12" ht="15.75" hidden="1" customHeight="1">
      <c r="A1817" t="s">
        <v>4527</v>
      </c>
      <c r="B1817" t="s">
        <v>4319</v>
      </c>
      <c r="C1817" t="s">
        <v>4528</v>
      </c>
      <c r="F1817" t="s">
        <v>4524</v>
      </c>
      <c r="G1817" t="s">
        <v>20</v>
      </c>
      <c r="L1817" t="s">
        <v>4324</v>
      </c>
    </row>
    <row r="1818" spans="1:12" ht="15.75" hidden="1" customHeight="1">
      <c r="A1818" t="s">
        <v>4529</v>
      </c>
      <c r="B1818" t="s">
        <v>4319</v>
      </c>
      <c r="C1818" t="s">
        <v>4530</v>
      </c>
      <c r="F1818" t="s">
        <v>4531</v>
      </c>
      <c r="G1818" t="s">
        <v>20</v>
      </c>
      <c r="L1818" t="s">
        <v>736</v>
      </c>
    </row>
    <row r="1819" spans="1:12" ht="15.75" hidden="1" customHeight="1">
      <c r="A1819" t="s">
        <v>4532</v>
      </c>
      <c r="B1819" t="s">
        <v>4319</v>
      </c>
      <c r="C1819" t="s">
        <v>4533</v>
      </c>
      <c r="F1819" t="s">
        <v>4530</v>
      </c>
      <c r="G1819" t="s">
        <v>20</v>
      </c>
      <c r="L1819" t="s">
        <v>4324</v>
      </c>
    </row>
    <row r="1820" spans="1:12" ht="15.75" hidden="1" customHeight="1">
      <c r="A1820" t="s">
        <v>4534</v>
      </c>
      <c r="B1820" t="s">
        <v>4319</v>
      </c>
      <c r="C1820" t="s">
        <v>4535</v>
      </c>
      <c r="F1820" t="s">
        <v>4530</v>
      </c>
      <c r="G1820" t="s">
        <v>20</v>
      </c>
      <c r="L1820" t="s">
        <v>4324</v>
      </c>
    </row>
    <row r="1821" spans="1:12" ht="15.75" hidden="1" customHeight="1">
      <c r="A1821" t="s">
        <v>4536</v>
      </c>
      <c r="B1821" t="s">
        <v>4319</v>
      </c>
      <c r="C1821" t="s">
        <v>4537</v>
      </c>
      <c r="F1821" t="s">
        <v>4531</v>
      </c>
      <c r="G1821" t="s">
        <v>20</v>
      </c>
      <c r="L1821" t="s">
        <v>736</v>
      </c>
    </row>
    <row r="1822" spans="1:12" ht="15.75" hidden="1" customHeight="1">
      <c r="A1822" t="s">
        <v>4538</v>
      </c>
      <c r="B1822" t="s">
        <v>4319</v>
      </c>
      <c r="C1822" t="s">
        <v>4539</v>
      </c>
      <c r="F1822" t="s">
        <v>4537</v>
      </c>
      <c r="G1822" t="s">
        <v>20</v>
      </c>
      <c r="L1822" t="s">
        <v>4324</v>
      </c>
    </row>
    <row r="1823" spans="1:12" ht="15.75" hidden="1" customHeight="1">
      <c r="A1823" t="s">
        <v>4540</v>
      </c>
      <c r="B1823" t="s">
        <v>4319</v>
      </c>
      <c r="C1823" t="s">
        <v>4541</v>
      </c>
      <c r="F1823" t="s">
        <v>4537</v>
      </c>
      <c r="G1823" t="s">
        <v>20</v>
      </c>
      <c r="L1823" t="s">
        <v>4324</v>
      </c>
    </row>
    <row r="1824" spans="1:12" ht="15.75" hidden="1" customHeight="1">
      <c r="A1824" t="s">
        <v>4542</v>
      </c>
      <c r="B1824" t="s">
        <v>4319</v>
      </c>
      <c r="C1824" t="s">
        <v>4543</v>
      </c>
      <c r="F1824" t="s">
        <v>4537</v>
      </c>
      <c r="G1824" t="s">
        <v>20</v>
      </c>
      <c r="L1824" t="s">
        <v>4324</v>
      </c>
    </row>
    <row r="1825" spans="1:12" ht="15.75" hidden="1" customHeight="1">
      <c r="A1825" t="s">
        <v>4544</v>
      </c>
      <c r="B1825" t="s">
        <v>4319</v>
      </c>
      <c r="C1825" t="s">
        <v>4545</v>
      </c>
      <c r="F1825" t="s">
        <v>4537</v>
      </c>
      <c r="G1825" t="s">
        <v>20</v>
      </c>
      <c r="L1825" t="s">
        <v>4324</v>
      </c>
    </row>
    <row r="1826" spans="1:12" ht="15.75" hidden="1" customHeight="1">
      <c r="A1826" t="s">
        <v>4546</v>
      </c>
      <c r="B1826" t="s">
        <v>4319</v>
      </c>
      <c r="C1826" t="s">
        <v>4547</v>
      </c>
      <c r="F1826" t="s">
        <v>4531</v>
      </c>
      <c r="G1826" t="s">
        <v>20</v>
      </c>
      <c r="L1826" t="s">
        <v>736</v>
      </c>
    </row>
    <row r="1827" spans="1:12" ht="15.75" hidden="1" customHeight="1">
      <c r="A1827" t="s">
        <v>4548</v>
      </c>
      <c r="B1827" t="s">
        <v>4319</v>
      </c>
      <c r="C1827" t="s">
        <v>4549</v>
      </c>
      <c r="F1827" t="s">
        <v>4547</v>
      </c>
      <c r="G1827" t="s">
        <v>20</v>
      </c>
      <c r="L1827" t="s">
        <v>4324</v>
      </c>
    </row>
    <row r="1828" spans="1:12" ht="15.75" hidden="1" customHeight="1">
      <c r="A1828" t="s">
        <v>4550</v>
      </c>
      <c r="B1828" t="s">
        <v>4319</v>
      </c>
      <c r="C1828" t="s">
        <v>4551</v>
      </c>
      <c r="F1828" t="s">
        <v>4547</v>
      </c>
      <c r="G1828" t="s">
        <v>20</v>
      </c>
      <c r="L1828" t="s">
        <v>4324</v>
      </c>
    </row>
    <row r="1829" spans="1:12" ht="15.75" hidden="1" customHeight="1">
      <c r="A1829" t="s">
        <v>4552</v>
      </c>
      <c r="B1829" t="s">
        <v>4319</v>
      </c>
      <c r="C1829" t="s">
        <v>4553</v>
      </c>
      <c r="F1829" t="s">
        <v>4547</v>
      </c>
      <c r="G1829" t="s">
        <v>20</v>
      </c>
      <c r="L1829" t="s">
        <v>4324</v>
      </c>
    </row>
    <row r="1830" spans="1:12" ht="15.75" hidden="1" customHeight="1">
      <c r="A1830" t="s">
        <v>4554</v>
      </c>
      <c r="B1830" t="s">
        <v>4319</v>
      </c>
      <c r="C1830" t="s">
        <v>4555</v>
      </c>
      <c r="F1830" t="s">
        <v>4547</v>
      </c>
      <c r="G1830" t="s">
        <v>20</v>
      </c>
      <c r="L1830" t="s">
        <v>4324</v>
      </c>
    </row>
    <row r="1831" spans="1:12" ht="15.75" hidden="1" customHeight="1">
      <c r="A1831" t="s">
        <v>4556</v>
      </c>
      <c r="B1831" t="s">
        <v>4319</v>
      </c>
      <c r="C1831" t="s">
        <v>4557</v>
      </c>
      <c r="F1831" t="s">
        <v>4547</v>
      </c>
      <c r="G1831" t="s">
        <v>20</v>
      </c>
      <c r="L1831" t="s">
        <v>4324</v>
      </c>
    </row>
    <row r="1832" spans="1:12" ht="15.75" hidden="1" customHeight="1">
      <c r="A1832" t="s">
        <v>4558</v>
      </c>
      <c r="B1832" t="s">
        <v>4319</v>
      </c>
      <c r="C1832" t="s">
        <v>4559</v>
      </c>
      <c r="F1832" t="s">
        <v>4531</v>
      </c>
      <c r="G1832" t="s">
        <v>20</v>
      </c>
      <c r="L1832" t="s">
        <v>736</v>
      </c>
    </row>
    <row r="1833" spans="1:12" ht="15.75" hidden="1" customHeight="1">
      <c r="A1833" t="s">
        <v>4560</v>
      </c>
      <c r="B1833" t="s">
        <v>4319</v>
      </c>
      <c r="C1833" t="s">
        <v>4561</v>
      </c>
      <c r="F1833" t="s">
        <v>4559</v>
      </c>
      <c r="G1833" t="s">
        <v>20</v>
      </c>
      <c r="L1833" t="s">
        <v>4324</v>
      </c>
    </row>
    <row r="1834" spans="1:12" ht="15.75" hidden="1" customHeight="1">
      <c r="A1834" t="s">
        <v>4562</v>
      </c>
      <c r="B1834" t="s">
        <v>4319</v>
      </c>
      <c r="C1834" t="s">
        <v>4563</v>
      </c>
      <c r="F1834" t="s">
        <v>4559</v>
      </c>
      <c r="G1834" t="s">
        <v>20</v>
      </c>
      <c r="L1834" t="s">
        <v>4324</v>
      </c>
    </row>
    <row r="1835" spans="1:12" ht="15.75" hidden="1" customHeight="1">
      <c r="A1835" t="s">
        <v>4564</v>
      </c>
      <c r="B1835" t="s">
        <v>4319</v>
      </c>
      <c r="C1835" t="s">
        <v>4565</v>
      </c>
      <c r="F1835" t="s">
        <v>4559</v>
      </c>
      <c r="G1835" t="s">
        <v>20</v>
      </c>
      <c r="L1835" t="s">
        <v>4324</v>
      </c>
    </row>
    <row r="1836" spans="1:12" ht="15.75" hidden="1" customHeight="1">
      <c r="A1836" t="s">
        <v>4566</v>
      </c>
      <c r="B1836" t="s">
        <v>4319</v>
      </c>
      <c r="C1836" t="s">
        <v>4567</v>
      </c>
      <c r="F1836" t="s">
        <v>4531</v>
      </c>
      <c r="G1836" t="s">
        <v>20</v>
      </c>
      <c r="L1836" t="s">
        <v>736</v>
      </c>
    </row>
    <row r="1837" spans="1:12" ht="15.75" hidden="1" customHeight="1">
      <c r="A1837" t="s">
        <v>4568</v>
      </c>
      <c r="B1837" t="s">
        <v>4319</v>
      </c>
      <c r="C1837" t="s">
        <v>4569</v>
      </c>
      <c r="F1837" t="s">
        <v>4567</v>
      </c>
      <c r="G1837" t="s">
        <v>20</v>
      </c>
      <c r="L1837" t="s">
        <v>4324</v>
      </c>
    </row>
    <row r="1838" spans="1:12" ht="15.75" hidden="1" customHeight="1">
      <c r="A1838" t="s">
        <v>4570</v>
      </c>
      <c r="B1838" t="s">
        <v>4319</v>
      </c>
      <c r="C1838" t="s">
        <v>4571</v>
      </c>
      <c r="F1838" t="s">
        <v>4567</v>
      </c>
      <c r="G1838" t="s">
        <v>20</v>
      </c>
      <c r="L1838" t="s">
        <v>4324</v>
      </c>
    </row>
    <row r="1839" spans="1:12" ht="15.75" hidden="1" customHeight="1">
      <c r="A1839" t="s">
        <v>4572</v>
      </c>
      <c r="B1839" t="s">
        <v>4319</v>
      </c>
      <c r="C1839" t="s">
        <v>4573</v>
      </c>
      <c r="F1839" t="s">
        <v>4567</v>
      </c>
      <c r="G1839" t="s">
        <v>20</v>
      </c>
      <c r="L1839" t="s">
        <v>4324</v>
      </c>
    </row>
    <row r="1840" spans="1:12" ht="15.75" hidden="1" customHeight="1">
      <c r="A1840" t="s">
        <v>4574</v>
      </c>
      <c r="B1840" t="s">
        <v>4319</v>
      </c>
      <c r="C1840" t="s">
        <v>4575</v>
      </c>
      <c r="F1840" t="s">
        <v>4567</v>
      </c>
      <c r="G1840" t="s">
        <v>20</v>
      </c>
      <c r="L1840" t="s">
        <v>4324</v>
      </c>
    </row>
    <row r="1841" spans="1:12" ht="15.75" hidden="1" customHeight="1">
      <c r="A1841" t="s">
        <v>4576</v>
      </c>
      <c r="B1841" t="s">
        <v>4319</v>
      </c>
      <c r="C1841" t="s">
        <v>4577</v>
      </c>
      <c r="F1841" t="s">
        <v>4567</v>
      </c>
      <c r="G1841" t="s">
        <v>20</v>
      </c>
      <c r="L1841" t="s">
        <v>4324</v>
      </c>
    </row>
    <row r="1842" spans="1:12" ht="15.75" hidden="1" customHeight="1">
      <c r="A1842" t="s">
        <v>4578</v>
      </c>
      <c r="B1842" t="s">
        <v>4319</v>
      </c>
      <c r="C1842" t="s">
        <v>4579</v>
      </c>
      <c r="F1842" t="s">
        <v>4567</v>
      </c>
      <c r="G1842" t="s">
        <v>20</v>
      </c>
      <c r="L1842" t="s">
        <v>4324</v>
      </c>
    </row>
    <row r="1843" spans="1:12" ht="15.75" hidden="1" customHeight="1">
      <c r="A1843" t="s">
        <v>4580</v>
      </c>
      <c r="B1843" t="s">
        <v>4319</v>
      </c>
      <c r="C1843" t="s">
        <v>4581</v>
      </c>
      <c r="F1843" t="s">
        <v>4582</v>
      </c>
      <c r="G1843" t="s">
        <v>20</v>
      </c>
      <c r="L1843" t="s">
        <v>736</v>
      </c>
    </row>
    <row r="1844" spans="1:12" ht="15.75" hidden="1" customHeight="1">
      <c r="A1844" t="s">
        <v>4583</v>
      </c>
      <c r="B1844" t="s">
        <v>4319</v>
      </c>
      <c r="C1844" t="s">
        <v>4584</v>
      </c>
      <c r="F1844" t="s">
        <v>4581</v>
      </c>
      <c r="G1844" t="s">
        <v>20</v>
      </c>
      <c r="L1844" t="s">
        <v>4324</v>
      </c>
    </row>
    <row r="1845" spans="1:12" ht="15.75" hidden="1" customHeight="1">
      <c r="A1845" t="s">
        <v>4585</v>
      </c>
      <c r="B1845" t="s">
        <v>4319</v>
      </c>
      <c r="C1845" t="s">
        <v>4586</v>
      </c>
      <c r="F1845" t="s">
        <v>4581</v>
      </c>
      <c r="G1845" t="s">
        <v>20</v>
      </c>
      <c r="L1845" t="s">
        <v>4324</v>
      </c>
    </row>
    <row r="1846" spans="1:12" ht="15.75" hidden="1" customHeight="1">
      <c r="A1846" t="s">
        <v>4587</v>
      </c>
      <c r="B1846" t="s">
        <v>4319</v>
      </c>
      <c r="C1846" t="s">
        <v>4588</v>
      </c>
      <c r="F1846" t="s">
        <v>4582</v>
      </c>
      <c r="G1846" t="s">
        <v>20</v>
      </c>
      <c r="L1846" t="s">
        <v>736</v>
      </c>
    </row>
    <row r="1847" spans="1:12" ht="15.75" hidden="1" customHeight="1">
      <c r="A1847" t="s">
        <v>4589</v>
      </c>
      <c r="B1847" t="s">
        <v>4319</v>
      </c>
      <c r="C1847" t="s">
        <v>4590</v>
      </c>
      <c r="F1847" t="s">
        <v>4588</v>
      </c>
      <c r="G1847" t="s">
        <v>20</v>
      </c>
      <c r="L1847" t="s">
        <v>4324</v>
      </c>
    </row>
    <row r="1848" spans="1:12" ht="15.75" hidden="1" customHeight="1">
      <c r="A1848" t="s">
        <v>4591</v>
      </c>
      <c r="B1848" t="s">
        <v>4319</v>
      </c>
      <c r="C1848" t="s">
        <v>4592</v>
      </c>
      <c r="F1848" t="s">
        <v>4588</v>
      </c>
      <c r="G1848" t="s">
        <v>20</v>
      </c>
      <c r="L1848" t="s">
        <v>4324</v>
      </c>
    </row>
    <row r="1849" spans="1:12" ht="15.75" hidden="1" customHeight="1">
      <c r="A1849" t="s">
        <v>4593</v>
      </c>
      <c r="B1849" t="s">
        <v>4319</v>
      </c>
      <c r="C1849" t="s">
        <v>4594</v>
      </c>
      <c r="F1849" t="s">
        <v>4588</v>
      </c>
      <c r="G1849" t="s">
        <v>20</v>
      </c>
      <c r="L1849" t="s">
        <v>4324</v>
      </c>
    </row>
    <row r="1850" spans="1:12" ht="15.75" hidden="1" customHeight="1">
      <c r="A1850" t="s">
        <v>4595</v>
      </c>
      <c r="B1850" t="s">
        <v>4319</v>
      </c>
      <c r="C1850" t="s">
        <v>4596</v>
      </c>
      <c r="F1850" t="s">
        <v>4588</v>
      </c>
      <c r="G1850" t="s">
        <v>20</v>
      </c>
      <c r="L1850" t="s">
        <v>4324</v>
      </c>
    </row>
    <row r="1851" spans="1:12" ht="15.75" hidden="1" customHeight="1">
      <c r="A1851" t="s">
        <v>4597</v>
      </c>
      <c r="B1851" t="s">
        <v>4319</v>
      </c>
      <c r="C1851" t="s">
        <v>4598</v>
      </c>
      <c r="F1851" t="s">
        <v>4582</v>
      </c>
      <c r="G1851" t="s">
        <v>20</v>
      </c>
      <c r="L1851" t="s">
        <v>736</v>
      </c>
    </row>
    <row r="1852" spans="1:12" ht="15.75" hidden="1" customHeight="1">
      <c r="A1852" t="s">
        <v>4599</v>
      </c>
      <c r="B1852" t="s">
        <v>4319</v>
      </c>
      <c r="C1852" t="s">
        <v>4600</v>
      </c>
      <c r="F1852" t="s">
        <v>4598</v>
      </c>
      <c r="G1852" t="s">
        <v>20</v>
      </c>
      <c r="L1852" t="s">
        <v>4324</v>
      </c>
    </row>
    <row r="1853" spans="1:12" ht="15.75" hidden="1" customHeight="1">
      <c r="A1853" t="s">
        <v>4601</v>
      </c>
      <c r="B1853" t="s">
        <v>4319</v>
      </c>
      <c r="C1853" t="s">
        <v>4602</v>
      </c>
      <c r="F1853" t="s">
        <v>4598</v>
      </c>
      <c r="G1853" t="s">
        <v>20</v>
      </c>
      <c r="L1853" t="s">
        <v>4324</v>
      </c>
    </row>
    <row r="1854" spans="1:12" ht="15.75" hidden="1" customHeight="1">
      <c r="A1854" t="s">
        <v>4603</v>
      </c>
      <c r="B1854" t="s">
        <v>4319</v>
      </c>
      <c r="C1854" t="s">
        <v>4604</v>
      </c>
      <c r="F1854" t="s">
        <v>4598</v>
      </c>
      <c r="G1854" t="s">
        <v>20</v>
      </c>
      <c r="L1854" t="s">
        <v>4324</v>
      </c>
    </row>
    <row r="1855" spans="1:12" ht="15.75" hidden="1" customHeight="1">
      <c r="A1855" t="s">
        <v>4605</v>
      </c>
      <c r="B1855" t="s">
        <v>4319</v>
      </c>
      <c r="C1855" t="s">
        <v>4606</v>
      </c>
      <c r="F1855" t="s">
        <v>4598</v>
      </c>
      <c r="G1855" t="s">
        <v>20</v>
      </c>
      <c r="L1855" t="s">
        <v>4324</v>
      </c>
    </row>
    <row r="1856" spans="1:12" ht="15.75" hidden="1" customHeight="1">
      <c r="A1856" t="s">
        <v>4607</v>
      </c>
      <c r="B1856" t="s">
        <v>4319</v>
      </c>
      <c r="C1856" t="s">
        <v>4608</v>
      </c>
      <c r="F1856" t="s">
        <v>4582</v>
      </c>
      <c r="G1856" t="s">
        <v>20</v>
      </c>
      <c r="L1856" t="s">
        <v>736</v>
      </c>
    </row>
    <row r="1857" spans="1:12" ht="15.75" hidden="1" customHeight="1">
      <c r="A1857" t="s">
        <v>4609</v>
      </c>
      <c r="B1857" t="s">
        <v>4319</v>
      </c>
      <c r="C1857" t="s">
        <v>4610</v>
      </c>
      <c r="F1857" t="s">
        <v>4608</v>
      </c>
      <c r="G1857" t="s">
        <v>20</v>
      </c>
      <c r="L1857" t="s">
        <v>4324</v>
      </c>
    </row>
    <row r="1858" spans="1:12" ht="15.75" hidden="1" customHeight="1">
      <c r="A1858" t="s">
        <v>4611</v>
      </c>
      <c r="B1858" t="s">
        <v>4319</v>
      </c>
      <c r="C1858" t="s">
        <v>4612</v>
      </c>
      <c r="F1858" t="s">
        <v>4608</v>
      </c>
      <c r="G1858" t="s">
        <v>20</v>
      </c>
      <c r="L1858" t="s">
        <v>4324</v>
      </c>
    </row>
    <row r="1859" spans="1:12" ht="15.75" hidden="1" customHeight="1">
      <c r="A1859" t="s">
        <v>4613</v>
      </c>
      <c r="B1859" t="s">
        <v>4319</v>
      </c>
      <c r="C1859" t="s">
        <v>4614</v>
      </c>
      <c r="F1859" t="s">
        <v>4608</v>
      </c>
      <c r="G1859" t="s">
        <v>20</v>
      </c>
      <c r="L1859" t="s">
        <v>4324</v>
      </c>
    </row>
    <row r="1860" spans="1:12" ht="15.75" hidden="1" customHeight="1">
      <c r="A1860" t="s">
        <v>4615</v>
      </c>
      <c r="B1860" t="s">
        <v>4319</v>
      </c>
      <c r="C1860" t="s">
        <v>4616</v>
      </c>
      <c r="F1860" t="s">
        <v>4608</v>
      </c>
      <c r="G1860" t="s">
        <v>20</v>
      </c>
      <c r="L1860" t="s">
        <v>4324</v>
      </c>
    </row>
    <row r="1861" spans="1:12" ht="15.75" hidden="1" customHeight="1">
      <c r="A1861" t="s">
        <v>4617</v>
      </c>
      <c r="B1861" t="s">
        <v>4319</v>
      </c>
      <c r="C1861" t="s">
        <v>4618</v>
      </c>
      <c r="F1861" t="s">
        <v>4608</v>
      </c>
      <c r="G1861" t="s">
        <v>20</v>
      </c>
      <c r="L1861" t="s">
        <v>4324</v>
      </c>
    </row>
    <row r="1862" spans="1:12" ht="15.75" hidden="1" customHeight="1">
      <c r="A1862" t="s">
        <v>4619</v>
      </c>
      <c r="B1862" t="s">
        <v>4319</v>
      </c>
      <c r="C1862" t="s">
        <v>4620</v>
      </c>
      <c r="F1862" t="s">
        <v>4608</v>
      </c>
      <c r="G1862" t="s">
        <v>20</v>
      </c>
      <c r="L1862" t="s">
        <v>4324</v>
      </c>
    </row>
    <row r="1863" spans="1:12" ht="15.75" hidden="1" customHeight="1">
      <c r="A1863" t="s">
        <v>4621</v>
      </c>
      <c r="B1863" t="s">
        <v>4319</v>
      </c>
      <c r="C1863" t="s">
        <v>4622</v>
      </c>
      <c r="F1863" t="s">
        <v>4582</v>
      </c>
      <c r="G1863" t="s">
        <v>20</v>
      </c>
      <c r="L1863" t="s">
        <v>736</v>
      </c>
    </row>
    <row r="1864" spans="1:12" ht="15.75" hidden="1" customHeight="1">
      <c r="A1864" t="s">
        <v>4623</v>
      </c>
      <c r="B1864" t="s">
        <v>4319</v>
      </c>
      <c r="C1864" t="s">
        <v>4624</v>
      </c>
      <c r="F1864" t="s">
        <v>4622</v>
      </c>
      <c r="G1864" t="s">
        <v>20</v>
      </c>
      <c r="L1864" t="s">
        <v>4324</v>
      </c>
    </row>
    <row r="1865" spans="1:12" ht="15.75" hidden="1" customHeight="1">
      <c r="A1865" t="s">
        <v>4625</v>
      </c>
      <c r="B1865" t="s">
        <v>4319</v>
      </c>
      <c r="C1865" t="s">
        <v>4626</v>
      </c>
      <c r="F1865" t="s">
        <v>4622</v>
      </c>
      <c r="G1865" t="s">
        <v>20</v>
      </c>
      <c r="L1865" t="s">
        <v>4324</v>
      </c>
    </row>
    <row r="1866" spans="1:12" ht="15.75" hidden="1" customHeight="1">
      <c r="A1866" t="s">
        <v>4627</v>
      </c>
      <c r="B1866" t="s">
        <v>4319</v>
      </c>
      <c r="C1866" t="s">
        <v>4628</v>
      </c>
      <c r="F1866" t="s">
        <v>4622</v>
      </c>
      <c r="G1866" t="s">
        <v>20</v>
      </c>
      <c r="L1866" t="s">
        <v>4324</v>
      </c>
    </row>
    <row r="1867" spans="1:12" ht="15.75" hidden="1" customHeight="1">
      <c r="A1867" t="s">
        <v>4629</v>
      </c>
      <c r="B1867" t="s">
        <v>4319</v>
      </c>
      <c r="C1867" t="s">
        <v>4630</v>
      </c>
      <c r="F1867" t="s">
        <v>4582</v>
      </c>
      <c r="G1867" t="s">
        <v>20</v>
      </c>
      <c r="L1867" t="s">
        <v>736</v>
      </c>
    </row>
    <row r="1868" spans="1:12" ht="15.75" hidden="1" customHeight="1">
      <c r="A1868" t="s">
        <v>4631</v>
      </c>
      <c r="B1868" t="s">
        <v>4319</v>
      </c>
      <c r="C1868" t="s">
        <v>4632</v>
      </c>
      <c r="F1868" t="s">
        <v>4630</v>
      </c>
      <c r="G1868" t="s">
        <v>20</v>
      </c>
      <c r="L1868" t="s">
        <v>4324</v>
      </c>
    </row>
    <row r="1869" spans="1:12" ht="15.75" hidden="1" customHeight="1">
      <c r="A1869" t="s">
        <v>4633</v>
      </c>
      <c r="B1869" t="s">
        <v>4319</v>
      </c>
      <c r="C1869" t="s">
        <v>4634</v>
      </c>
      <c r="F1869" t="s">
        <v>4630</v>
      </c>
      <c r="G1869" t="s">
        <v>20</v>
      </c>
      <c r="L1869" t="s">
        <v>4324</v>
      </c>
    </row>
    <row r="1870" spans="1:12" ht="15.75" hidden="1" customHeight="1">
      <c r="A1870" t="s">
        <v>4635</v>
      </c>
      <c r="B1870" t="s">
        <v>4319</v>
      </c>
      <c r="C1870" t="s">
        <v>4636</v>
      </c>
      <c r="F1870" t="s">
        <v>4630</v>
      </c>
      <c r="G1870" t="s">
        <v>20</v>
      </c>
      <c r="L1870" t="s">
        <v>4324</v>
      </c>
    </row>
    <row r="1871" spans="1:12" ht="15.75" hidden="1" customHeight="1">
      <c r="A1871" t="s">
        <v>4637</v>
      </c>
      <c r="B1871" t="s">
        <v>4319</v>
      </c>
      <c r="C1871" t="s">
        <v>4638</v>
      </c>
      <c r="F1871" t="s">
        <v>4630</v>
      </c>
      <c r="G1871" t="s">
        <v>20</v>
      </c>
      <c r="L1871" t="s">
        <v>4324</v>
      </c>
    </row>
    <row r="1872" spans="1:12" ht="15.75" hidden="1" customHeight="1">
      <c r="A1872" t="s">
        <v>4639</v>
      </c>
      <c r="B1872" t="s">
        <v>4319</v>
      </c>
      <c r="C1872" t="s">
        <v>4640</v>
      </c>
      <c r="F1872" t="s">
        <v>4582</v>
      </c>
      <c r="G1872" t="s">
        <v>20</v>
      </c>
      <c r="L1872" t="s">
        <v>736</v>
      </c>
    </row>
    <row r="1873" spans="1:12" ht="15.75" hidden="1" customHeight="1">
      <c r="A1873" t="s">
        <v>4641</v>
      </c>
      <c r="B1873" t="s">
        <v>4319</v>
      </c>
      <c r="C1873" t="s">
        <v>4642</v>
      </c>
      <c r="F1873" t="s">
        <v>4640</v>
      </c>
      <c r="G1873" t="s">
        <v>20</v>
      </c>
      <c r="L1873" t="s">
        <v>4324</v>
      </c>
    </row>
    <row r="1874" spans="1:12" ht="15.75" hidden="1" customHeight="1">
      <c r="A1874" t="s">
        <v>4643</v>
      </c>
      <c r="B1874" t="s">
        <v>4319</v>
      </c>
      <c r="C1874" t="s">
        <v>4644</v>
      </c>
      <c r="F1874" t="s">
        <v>4640</v>
      </c>
      <c r="G1874" t="s">
        <v>20</v>
      </c>
      <c r="L1874" t="s">
        <v>4324</v>
      </c>
    </row>
    <row r="1875" spans="1:12" ht="15.75" hidden="1" customHeight="1">
      <c r="A1875" t="s">
        <v>4645</v>
      </c>
      <c r="B1875" t="s">
        <v>4319</v>
      </c>
      <c r="C1875" t="s">
        <v>4646</v>
      </c>
      <c r="F1875" t="s">
        <v>4640</v>
      </c>
      <c r="G1875" t="s">
        <v>20</v>
      </c>
      <c r="L1875" t="s">
        <v>4324</v>
      </c>
    </row>
    <row r="1876" spans="1:12" ht="15.75" hidden="1" customHeight="1">
      <c r="A1876" t="s">
        <v>4647</v>
      </c>
      <c r="B1876" t="s">
        <v>4319</v>
      </c>
      <c r="C1876" t="s">
        <v>4648</v>
      </c>
      <c r="F1876" t="s">
        <v>4649</v>
      </c>
      <c r="G1876" t="s">
        <v>20</v>
      </c>
      <c r="L1876" t="s">
        <v>736</v>
      </c>
    </row>
    <row r="1877" spans="1:12" ht="15.75" hidden="1" customHeight="1">
      <c r="A1877" t="s">
        <v>4650</v>
      </c>
      <c r="B1877" t="s">
        <v>4319</v>
      </c>
      <c r="C1877" t="s">
        <v>4651</v>
      </c>
      <c r="F1877" t="s">
        <v>4648</v>
      </c>
      <c r="G1877" t="s">
        <v>20</v>
      </c>
      <c r="L1877" t="s">
        <v>4324</v>
      </c>
    </row>
    <row r="1878" spans="1:12" ht="15.75" hidden="1" customHeight="1">
      <c r="A1878" t="s">
        <v>4652</v>
      </c>
      <c r="B1878" t="s">
        <v>4319</v>
      </c>
      <c r="C1878" t="s">
        <v>4653</v>
      </c>
      <c r="F1878" t="s">
        <v>4648</v>
      </c>
      <c r="G1878" t="s">
        <v>20</v>
      </c>
      <c r="L1878" t="s">
        <v>4324</v>
      </c>
    </row>
    <row r="1879" spans="1:12" ht="15.75" hidden="1" customHeight="1">
      <c r="A1879" t="s">
        <v>4654</v>
      </c>
      <c r="B1879" t="s">
        <v>4319</v>
      </c>
      <c r="C1879" t="s">
        <v>4655</v>
      </c>
      <c r="F1879" t="s">
        <v>4648</v>
      </c>
      <c r="G1879" t="s">
        <v>20</v>
      </c>
      <c r="L1879" t="s">
        <v>4324</v>
      </c>
    </row>
    <row r="1880" spans="1:12" ht="15.75" hidden="1" customHeight="1">
      <c r="A1880" t="s">
        <v>4656</v>
      </c>
      <c r="B1880" t="s">
        <v>4319</v>
      </c>
      <c r="C1880" t="s">
        <v>4657</v>
      </c>
      <c r="F1880" t="s">
        <v>4648</v>
      </c>
      <c r="G1880" t="s">
        <v>20</v>
      </c>
      <c r="L1880" t="s">
        <v>4324</v>
      </c>
    </row>
    <row r="1881" spans="1:12" ht="15.75" hidden="1" customHeight="1">
      <c r="A1881" t="s">
        <v>4658</v>
      </c>
      <c r="B1881" t="s">
        <v>4319</v>
      </c>
      <c r="C1881" t="s">
        <v>4659</v>
      </c>
      <c r="F1881" t="s">
        <v>4648</v>
      </c>
      <c r="G1881" t="s">
        <v>20</v>
      </c>
      <c r="L1881" t="s">
        <v>4324</v>
      </c>
    </row>
    <row r="1882" spans="1:12" ht="15.75" hidden="1" customHeight="1">
      <c r="A1882" t="s">
        <v>4660</v>
      </c>
      <c r="B1882" t="s">
        <v>4319</v>
      </c>
      <c r="C1882" t="s">
        <v>4661</v>
      </c>
      <c r="F1882" t="s">
        <v>4648</v>
      </c>
      <c r="G1882" t="s">
        <v>20</v>
      </c>
      <c r="L1882" t="s">
        <v>4324</v>
      </c>
    </row>
    <row r="1883" spans="1:12" ht="15.75" hidden="1" customHeight="1">
      <c r="A1883" t="s">
        <v>4662</v>
      </c>
      <c r="B1883" t="s">
        <v>4319</v>
      </c>
      <c r="C1883" t="s">
        <v>4663</v>
      </c>
      <c r="F1883" t="s">
        <v>4648</v>
      </c>
      <c r="G1883" t="s">
        <v>20</v>
      </c>
      <c r="L1883" t="s">
        <v>4324</v>
      </c>
    </row>
    <row r="1884" spans="1:12" ht="15.75" hidden="1" customHeight="1">
      <c r="A1884" t="s">
        <v>4664</v>
      </c>
      <c r="B1884" t="s">
        <v>4319</v>
      </c>
      <c r="C1884" t="s">
        <v>4665</v>
      </c>
      <c r="F1884" t="s">
        <v>4648</v>
      </c>
      <c r="G1884" t="s">
        <v>20</v>
      </c>
      <c r="L1884" t="s">
        <v>4324</v>
      </c>
    </row>
    <row r="1885" spans="1:12" ht="15.75" hidden="1" customHeight="1">
      <c r="A1885" t="s">
        <v>4666</v>
      </c>
      <c r="B1885" t="s">
        <v>4319</v>
      </c>
      <c r="C1885" t="s">
        <v>4667</v>
      </c>
      <c r="F1885" t="s">
        <v>4648</v>
      </c>
      <c r="G1885" t="s">
        <v>20</v>
      </c>
      <c r="L1885" t="s">
        <v>4324</v>
      </c>
    </row>
    <row r="1886" spans="1:12" ht="15.75" hidden="1" customHeight="1">
      <c r="A1886" t="s">
        <v>4668</v>
      </c>
      <c r="B1886" t="s">
        <v>4319</v>
      </c>
      <c r="C1886" t="s">
        <v>4561</v>
      </c>
      <c r="F1886" t="s">
        <v>4648</v>
      </c>
      <c r="G1886" t="s">
        <v>20</v>
      </c>
      <c r="L1886" t="s">
        <v>4324</v>
      </c>
    </row>
    <row r="1887" spans="1:12" ht="15.75" hidden="1" customHeight="1">
      <c r="A1887" t="s">
        <v>4669</v>
      </c>
      <c r="B1887" t="s">
        <v>4319</v>
      </c>
      <c r="C1887" t="s">
        <v>4670</v>
      </c>
      <c r="F1887" t="s">
        <v>4649</v>
      </c>
      <c r="G1887" t="s">
        <v>20</v>
      </c>
      <c r="L1887" t="s">
        <v>736</v>
      </c>
    </row>
    <row r="1888" spans="1:12" ht="15.75" hidden="1" customHeight="1">
      <c r="A1888" t="s">
        <v>4671</v>
      </c>
      <c r="B1888" t="s">
        <v>4319</v>
      </c>
      <c r="C1888" t="s">
        <v>4672</v>
      </c>
      <c r="F1888" t="s">
        <v>4670</v>
      </c>
      <c r="G1888" t="s">
        <v>20</v>
      </c>
      <c r="L1888" t="s">
        <v>4324</v>
      </c>
    </row>
    <row r="1889" spans="1:12" ht="15.75" hidden="1" customHeight="1">
      <c r="A1889" t="s">
        <v>4673</v>
      </c>
      <c r="B1889" t="s">
        <v>4319</v>
      </c>
      <c r="C1889" t="s">
        <v>4674</v>
      </c>
      <c r="F1889" t="s">
        <v>4670</v>
      </c>
      <c r="G1889" t="s">
        <v>20</v>
      </c>
      <c r="L1889" t="s">
        <v>4324</v>
      </c>
    </row>
    <row r="1890" spans="1:12" ht="15.75" hidden="1" customHeight="1">
      <c r="A1890" t="s">
        <v>4675</v>
      </c>
      <c r="B1890" t="s">
        <v>4319</v>
      </c>
      <c r="C1890" t="s">
        <v>4676</v>
      </c>
      <c r="F1890" t="s">
        <v>4670</v>
      </c>
      <c r="G1890" t="s">
        <v>20</v>
      </c>
      <c r="L1890" t="s">
        <v>4324</v>
      </c>
    </row>
    <row r="1891" spans="1:12" ht="15.75" hidden="1" customHeight="1">
      <c r="A1891" t="s">
        <v>4677</v>
      </c>
      <c r="B1891" t="s">
        <v>4319</v>
      </c>
      <c r="C1891" t="s">
        <v>4678</v>
      </c>
      <c r="F1891" t="s">
        <v>4670</v>
      </c>
      <c r="G1891" t="s">
        <v>20</v>
      </c>
      <c r="L1891" t="s">
        <v>4324</v>
      </c>
    </row>
    <row r="1892" spans="1:12" ht="15.75" hidden="1" customHeight="1">
      <c r="A1892" t="s">
        <v>4679</v>
      </c>
      <c r="B1892" t="s">
        <v>4319</v>
      </c>
      <c r="C1892" t="s">
        <v>4680</v>
      </c>
      <c r="F1892" t="s">
        <v>4670</v>
      </c>
      <c r="G1892" t="s">
        <v>20</v>
      </c>
      <c r="L1892" t="s">
        <v>4324</v>
      </c>
    </row>
    <row r="1893" spans="1:12" ht="15.75" hidden="1" customHeight="1">
      <c r="A1893" t="s">
        <v>4681</v>
      </c>
      <c r="B1893" t="s">
        <v>4319</v>
      </c>
      <c r="C1893" t="s">
        <v>4682</v>
      </c>
      <c r="F1893" t="s">
        <v>4670</v>
      </c>
      <c r="G1893" t="s">
        <v>20</v>
      </c>
      <c r="L1893" t="s">
        <v>4324</v>
      </c>
    </row>
    <row r="1894" spans="1:12" ht="15.75" hidden="1" customHeight="1">
      <c r="A1894" t="s">
        <v>4683</v>
      </c>
      <c r="B1894" t="s">
        <v>4319</v>
      </c>
      <c r="C1894" t="s">
        <v>4684</v>
      </c>
      <c r="F1894" t="s">
        <v>4670</v>
      </c>
      <c r="G1894" t="s">
        <v>20</v>
      </c>
      <c r="L1894" t="s">
        <v>4324</v>
      </c>
    </row>
    <row r="1895" spans="1:12" ht="15.75" hidden="1" customHeight="1">
      <c r="A1895" t="s">
        <v>4685</v>
      </c>
      <c r="B1895" t="s">
        <v>4319</v>
      </c>
      <c r="C1895" t="s">
        <v>4686</v>
      </c>
      <c r="F1895" t="s">
        <v>4670</v>
      </c>
      <c r="G1895" t="s">
        <v>20</v>
      </c>
      <c r="L1895" t="s">
        <v>4324</v>
      </c>
    </row>
    <row r="1896" spans="1:12" ht="15.75" hidden="1" customHeight="1">
      <c r="A1896" t="s">
        <v>4687</v>
      </c>
      <c r="B1896" t="s">
        <v>4319</v>
      </c>
      <c r="C1896" t="s">
        <v>4688</v>
      </c>
      <c r="F1896" t="s">
        <v>4649</v>
      </c>
      <c r="G1896" t="s">
        <v>20</v>
      </c>
      <c r="L1896" t="s">
        <v>736</v>
      </c>
    </row>
    <row r="1897" spans="1:12" ht="15.75" hidden="1" customHeight="1">
      <c r="A1897" t="s">
        <v>4689</v>
      </c>
      <c r="B1897" t="s">
        <v>4319</v>
      </c>
      <c r="C1897" t="s">
        <v>4690</v>
      </c>
      <c r="F1897" t="s">
        <v>4688</v>
      </c>
      <c r="G1897" t="s">
        <v>20</v>
      </c>
      <c r="L1897" t="s">
        <v>4324</v>
      </c>
    </row>
    <row r="1898" spans="1:12" ht="15.75" hidden="1" customHeight="1">
      <c r="A1898" t="s">
        <v>4691</v>
      </c>
      <c r="B1898" t="s">
        <v>4319</v>
      </c>
      <c r="C1898" t="s">
        <v>4692</v>
      </c>
      <c r="F1898" t="s">
        <v>4688</v>
      </c>
      <c r="G1898" t="s">
        <v>20</v>
      </c>
      <c r="L1898" t="s">
        <v>4324</v>
      </c>
    </row>
    <row r="1899" spans="1:12" ht="15.75" hidden="1" customHeight="1">
      <c r="A1899" t="s">
        <v>4693</v>
      </c>
      <c r="B1899" t="s">
        <v>4319</v>
      </c>
      <c r="C1899" t="s">
        <v>4694</v>
      </c>
      <c r="F1899" t="s">
        <v>4688</v>
      </c>
      <c r="G1899" t="s">
        <v>20</v>
      </c>
      <c r="L1899" t="s">
        <v>4324</v>
      </c>
    </row>
    <row r="1900" spans="1:12" ht="15.75" hidden="1" customHeight="1">
      <c r="A1900" t="s">
        <v>4695</v>
      </c>
      <c r="B1900" t="s">
        <v>4319</v>
      </c>
      <c r="C1900" t="s">
        <v>4696</v>
      </c>
      <c r="F1900" t="s">
        <v>4688</v>
      </c>
      <c r="G1900" t="s">
        <v>20</v>
      </c>
      <c r="L1900" t="s">
        <v>4324</v>
      </c>
    </row>
    <row r="1901" spans="1:12" ht="15.75" hidden="1" customHeight="1">
      <c r="A1901" t="s">
        <v>4697</v>
      </c>
      <c r="B1901" t="s">
        <v>4319</v>
      </c>
      <c r="C1901" t="s">
        <v>4698</v>
      </c>
      <c r="F1901" t="s">
        <v>4649</v>
      </c>
      <c r="G1901" t="s">
        <v>20</v>
      </c>
      <c r="L1901" t="s">
        <v>736</v>
      </c>
    </row>
    <row r="1902" spans="1:12" ht="15.75" hidden="1" customHeight="1">
      <c r="A1902" t="s">
        <v>4699</v>
      </c>
      <c r="B1902" t="s">
        <v>4319</v>
      </c>
      <c r="C1902" t="s">
        <v>4700</v>
      </c>
      <c r="F1902" t="s">
        <v>4698</v>
      </c>
      <c r="G1902" t="s">
        <v>20</v>
      </c>
      <c r="L1902" t="s">
        <v>4324</v>
      </c>
    </row>
    <row r="1903" spans="1:12" ht="15.75" hidden="1" customHeight="1">
      <c r="A1903" t="s">
        <v>4701</v>
      </c>
      <c r="B1903" t="s">
        <v>4319</v>
      </c>
      <c r="C1903" t="s">
        <v>4702</v>
      </c>
      <c r="F1903" t="s">
        <v>4698</v>
      </c>
      <c r="G1903" t="s">
        <v>20</v>
      </c>
      <c r="L1903" t="s">
        <v>4324</v>
      </c>
    </row>
    <row r="1904" spans="1:12" ht="15.75" hidden="1" customHeight="1">
      <c r="A1904" t="s">
        <v>4703</v>
      </c>
      <c r="B1904" t="s">
        <v>4319</v>
      </c>
      <c r="C1904" t="s">
        <v>4704</v>
      </c>
      <c r="F1904" t="s">
        <v>4698</v>
      </c>
      <c r="G1904" t="s">
        <v>20</v>
      </c>
      <c r="L1904" t="s">
        <v>4324</v>
      </c>
    </row>
    <row r="1905" spans="1:12" ht="15.75" hidden="1" customHeight="1">
      <c r="A1905" t="s">
        <v>4705</v>
      </c>
      <c r="B1905" t="s">
        <v>4319</v>
      </c>
      <c r="C1905" t="s">
        <v>4706</v>
      </c>
      <c r="F1905" t="s">
        <v>4698</v>
      </c>
      <c r="G1905" t="s">
        <v>20</v>
      </c>
      <c r="L1905" t="s">
        <v>4324</v>
      </c>
    </row>
    <row r="1906" spans="1:12" ht="15.75" hidden="1" customHeight="1">
      <c r="A1906" t="s">
        <v>4707</v>
      </c>
      <c r="B1906" t="s">
        <v>4319</v>
      </c>
      <c r="C1906" t="s">
        <v>4708</v>
      </c>
      <c r="F1906" t="s">
        <v>4698</v>
      </c>
      <c r="G1906" t="s">
        <v>20</v>
      </c>
      <c r="L1906" t="s">
        <v>4324</v>
      </c>
    </row>
    <row r="1907" spans="1:12" ht="15.75" hidden="1" customHeight="1">
      <c r="A1907" t="s">
        <v>4709</v>
      </c>
      <c r="B1907" t="s">
        <v>4319</v>
      </c>
      <c r="C1907" t="s">
        <v>4710</v>
      </c>
      <c r="F1907" t="s">
        <v>4698</v>
      </c>
      <c r="G1907" t="s">
        <v>20</v>
      </c>
      <c r="L1907" t="s">
        <v>4324</v>
      </c>
    </row>
    <row r="1908" spans="1:12" ht="15.75" hidden="1" customHeight="1">
      <c r="A1908" t="s">
        <v>4711</v>
      </c>
      <c r="B1908" t="s">
        <v>4319</v>
      </c>
      <c r="C1908" t="s">
        <v>4561</v>
      </c>
      <c r="F1908" t="s">
        <v>4698</v>
      </c>
      <c r="G1908" t="s">
        <v>20</v>
      </c>
      <c r="L1908" t="s">
        <v>4324</v>
      </c>
    </row>
    <row r="1909" spans="1:12" ht="15.75" hidden="1" customHeight="1">
      <c r="A1909" t="s">
        <v>4712</v>
      </c>
      <c r="B1909" t="s">
        <v>4319</v>
      </c>
      <c r="C1909" t="s">
        <v>4713</v>
      </c>
      <c r="F1909" t="s">
        <v>4649</v>
      </c>
      <c r="G1909" t="s">
        <v>20</v>
      </c>
      <c r="L1909" t="s">
        <v>736</v>
      </c>
    </row>
    <row r="1910" spans="1:12" ht="15.75" hidden="1" customHeight="1">
      <c r="A1910" t="s">
        <v>4714</v>
      </c>
      <c r="B1910" t="s">
        <v>4319</v>
      </c>
      <c r="C1910" t="s">
        <v>4715</v>
      </c>
      <c r="F1910" t="s">
        <v>4713</v>
      </c>
      <c r="G1910" t="s">
        <v>20</v>
      </c>
      <c r="L1910" t="s">
        <v>4324</v>
      </c>
    </row>
    <row r="1911" spans="1:12" ht="15.75" hidden="1" customHeight="1">
      <c r="A1911" t="s">
        <v>4716</v>
      </c>
      <c r="B1911" t="s">
        <v>4319</v>
      </c>
      <c r="C1911" t="s">
        <v>4717</v>
      </c>
      <c r="F1911" t="s">
        <v>4713</v>
      </c>
      <c r="G1911" t="s">
        <v>20</v>
      </c>
      <c r="L1911" t="s">
        <v>4324</v>
      </c>
    </row>
    <row r="1912" spans="1:12" ht="15.75" hidden="1" customHeight="1">
      <c r="A1912" t="s">
        <v>4718</v>
      </c>
      <c r="B1912" t="s">
        <v>4319</v>
      </c>
      <c r="C1912" t="s">
        <v>4719</v>
      </c>
      <c r="F1912" t="s">
        <v>4713</v>
      </c>
      <c r="G1912" t="s">
        <v>20</v>
      </c>
      <c r="L1912" t="s">
        <v>4324</v>
      </c>
    </row>
    <row r="1913" spans="1:12" ht="15.75" hidden="1" customHeight="1">
      <c r="A1913" t="s">
        <v>4720</v>
      </c>
      <c r="B1913" t="s">
        <v>4319</v>
      </c>
      <c r="C1913" t="s">
        <v>4721</v>
      </c>
      <c r="F1913" t="s">
        <v>4713</v>
      </c>
      <c r="G1913" t="s">
        <v>20</v>
      </c>
      <c r="L1913" t="s">
        <v>4324</v>
      </c>
    </row>
    <row r="1914" spans="1:12" ht="15.75" hidden="1" customHeight="1">
      <c r="A1914" t="s">
        <v>4722</v>
      </c>
      <c r="B1914" t="s">
        <v>4319</v>
      </c>
      <c r="C1914" t="s">
        <v>4723</v>
      </c>
      <c r="F1914" t="s">
        <v>4713</v>
      </c>
      <c r="G1914" t="s">
        <v>20</v>
      </c>
      <c r="L1914" t="s">
        <v>4324</v>
      </c>
    </row>
    <row r="1915" spans="1:12" ht="15.75" hidden="1" customHeight="1">
      <c r="A1915" t="s">
        <v>4724</v>
      </c>
      <c r="B1915" t="s">
        <v>4319</v>
      </c>
      <c r="C1915" t="s">
        <v>4725</v>
      </c>
      <c r="F1915" t="s">
        <v>4713</v>
      </c>
      <c r="G1915" t="s">
        <v>20</v>
      </c>
      <c r="L1915" t="s">
        <v>4324</v>
      </c>
    </row>
    <row r="1916" spans="1:12" ht="15.75" hidden="1" customHeight="1">
      <c r="A1916" t="s">
        <v>4726</v>
      </c>
      <c r="B1916" t="s">
        <v>4319</v>
      </c>
      <c r="C1916" t="s">
        <v>4727</v>
      </c>
      <c r="F1916" t="s">
        <v>4649</v>
      </c>
      <c r="G1916" t="s">
        <v>20</v>
      </c>
      <c r="L1916" t="s">
        <v>736</v>
      </c>
    </row>
    <row r="1917" spans="1:12" ht="15.75" hidden="1" customHeight="1">
      <c r="A1917" t="s">
        <v>4728</v>
      </c>
      <c r="B1917" t="s">
        <v>4319</v>
      </c>
      <c r="C1917" t="s">
        <v>4729</v>
      </c>
      <c r="F1917" t="s">
        <v>4727</v>
      </c>
      <c r="G1917" t="s">
        <v>20</v>
      </c>
      <c r="L1917" t="s">
        <v>4324</v>
      </c>
    </row>
    <row r="1918" spans="1:12" ht="15.75" hidden="1" customHeight="1">
      <c r="A1918" t="s">
        <v>4730</v>
      </c>
      <c r="B1918" t="s">
        <v>4319</v>
      </c>
      <c r="C1918" t="s">
        <v>4731</v>
      </c>
      <c r="F1918" t="s">
        <v>4727</v>
      </c>
      <c r="G1918" t="s">
        <v>20</v>
      </c>
      <c r="L1918" t="s">
        <v>4324</v>
      </c>
    </row>
    <row r="1919" spans="1:12" ht="15.75" hidden="1" customHeight="1">
      <c r="A1919" t="s">
        <v>4732</v>
      </c>
      <c r="B1919" t="s">
        <v>4319</v>
      </c>
      <c r="C1919" t="s">
        <v>4733</v>
      </c>
      <c r="F1919" t="s">
        <v>4727</v>
      </c>
      <c r="G1919" t="s">
        <v>20</v>
      </c>
      <c r="L1919" t="s">
        <v>4324</v>
      </c>
    </row>
    <row r="1920" spans="1:12" ht="15.75" hidden="1" customHeight="1">
      <c r="A1920" t="s">
        <v>4734</v>
      </c>
      <c r="B1920" t="s">
        <v>4319</v>
      </c>
      <c r="C1920" t="s">
        <v>4735</v>
      </c>
      <c r="F1920" t="s">
        <v>4727</v>
      </c>
      <c r="G1920" t="s">
        <v>20</v>
      </c>
      <c r="L1920" t="s">
        <v>4324</v>
      </c>
    </row>
    <row r="1921" spans="1:12" ht="15.75" hidden="1" customHeight="1">
      <c r="A1921" t="s">
        <v>4736</v>
      </c>
      <c r="B1921" t="s">
        <v>4319</v>
      </c>
      <c r="C1921" t="s">
        <v>4737</v>
      </c>
      <c r="F1921" t="s">
        <v>4727</v>
      </c>
      <c r="G1921" t="s">
        <v>20</v>
      </c>
      <c r="L1921" t="s">
        <v>4324</v>
      </c>
    </row>
    <row r="1922" spans="1:12" ht="15.75" hidden="1" customHeight="1">
      <c r="A1922" t="s">
        <v>4738</v>
      </c>
      <c r="B1922" t="s">
        <v>4319</v>
      </c>
      <c r="C1922" t="s">
        <v>4739</v>
      </c>
      <c r="F1922" t="s">
        <v>4727</v>
      </c>
      <c r="G1922" t="s">
        <v>20</v>
      </c>
      <c r="L1922" t="s">
        <v>4324</v>
      </c>
    </row>
    <row r="1923" spans="1:12" ht="15.75" hidden="1" customHeight="1">
      <c r="A1923" t="s">
        <v>4740</v>
      </c>
      <c r="B1923" t="s">
        <v>4319</v>
      </c>
      <c r="C1923" t="s">
        <v>4741</v>
      </c>
      <c r="F1923" t="s">
        <v>4727</v>
      </c>
      <c r="G1923" t="s">
        <v>20</v>
      </c>
      <c r="L1923" t="s">
        <v>4324</v>
      </c>
    </row>
    <row r="1924" spans="1:12" ht="15.75" hidden="1" customHeight="1">
      <c r="A1924" t="s">
        <v>4742</v>
      </c>
      <c r="B1924" t="s">
        <v>4319</v>
      </c>
      <c r="C1924" t="s">
        <v>4743</v>
      </c>
      <c r="F1924" t="s">
        <v>4727</v>
      </c>
      <c r="G1924" t="s">
        <v>20</v>
      </c>
      <c r="L1924" t="s">
        <v>4324</v>
      </c>
    </row>
    <row r="1925" spans="1:12" ht="15.75" hidden="1" customHeight="1">
      <c r="A1925" t="s">
        <v>4744</v>
      </c>
      <c r="B1925" t="s">
        <v>4319</v>
      </c>
      <c r="C1925" t="s">
        <v>4745</v>
      </c>
      <c r="F1925" t="s">
        <v>4727</v>
      </c>
      <c r="G1925" t="s">
        <v>20</v>
      </c>
      <c r="L1925" t="s">
        <v>4324</v>
      </c>
    </row>
    <row r="1926" spans="1:12" ht="15.75" hidden="1" customHeight="1">
      <c r="A1926" t="s">
        <v>4746</v>
      </c>
      <c r="B1926" t="s">
        <v>4319</v>
      </c>
      <c r="C1926" t="s">
        <v>4747</v>
      </c>
      <c r="F1926" t="s">
        <v>4649</v>
      </c>
      <c r="G1926" t="s">
        <v>20</v>
      </c>
      <c r="L1926" t="s">
        <v>736</v>
      </c>
    </row>
    <row r="1927" spans="1:12" ht="15.75" hidden="1" customHeight="1">
      <c r="A1927" t="s">
        <v>4748</v>
      </c>
      <c r="B1927" t="s">
        <v>4319</v>
      </c>
      <c r="C1927" t="s">
        <v>4749</v>
      </c>
      <c r="F1927" t="s">
        <v>4747</v>
      </c>
      <c r="G1927" t="s">
        <v>20</v>
      </c>
      <c r="L1927" t="s">
        <v>4324</v>
      </c>
    </row>
    <row r="1928" spans="1:12" ht="15.75" hidden="1" customHeight="1">
      <c r="A1928" t="s">
        <v>4750</v>
      </c>
      <c r="B1928" t="s">
        <v>4319</v>
      </c>
      <c r="C1928" t="s">
        <v>4751</v>
      </c>
      <c r="F1928" t="s">
        <v>4747</v>
      </c>
      <c r="G1928" t="s">
        <v>20</v>
      </c>
      <c r="L1928" t="s">
        <v>4324</v>
      </c>
    </row>
    <row r="1929" spans="1:12" ht="15.75" hidden="1" customHeight="1">
      <c r="A1929" t="s">
        <v>4752</v>
      </c>
      <c r="B1929" t="s">
        <v>4319</v>
      </c>
      <c r="C1929" t="s">
        <v>4753</v>
      </c>
      <c r="F1929" t="s">
        <v>4747</v>
      </c>
      <c r="G1929" t="s">
        <v>20</v>
      </c>
      <c r="L1929" t="s">
        <v>4324</v>
      </c>
    </row>
    <row r="1930" spans="1:12" ht="15.75" hidden="1" customHeight="1">
      <c r="A1930" t="s">
        <v>4754</v>
      </c>
      <c r="B1930" t="s">
        <v>4319</v>
      </c>
      <c r="C1930" t="s">
        <v>4755</v>
      </c>
      <c r="F1930" t="s">
        <v>4747</v>
      </c>
      <c r="G1930" t="s">
        <v>20</v>
      </c>
      <c r="L1930" t="s">
        <v>4324</v>
      </c>
    </row>
    <row r="1931" spans="1:12" ht="15.75" hidden="1" customHeight="1">
      <c r="A1931" t="s">
        <v>4756</v>
      </c>
      <c r="B1931" t="s">
        <v>4319</v>
      </c>
      <c r="C1931" t="s">
        <v>4757</v>
      </c>
      <c r="F1931" t="s">
        <v>4747</v>
      </c>
      <c r="G1931" t="s">
        <v>20</v>
      </c>
      <c r="L1931" t="s">
        <v>4324</v>
      </c>
    </row>
    <row r="1932" spans="1:12" ht="15.75" hidden="1" customHeight="1">
      <c r="A1932" t="s">
        <v>4758</v>
      </c>
      <c r="B1932" t="s">
        <v>4319</v>
      </c>
      <c r="C1932" t="s">
        <v>4759</v>
      </c>
      <c r="F1932" t="s">
        <v>4747</v>
      </c>
      <c r="G1932" t="s">
        <v>20</v>
      </c>
      <c r="L1932" t="s">
        <v>4324</v>
      </c>
    </row>
    <row r="1933" spans="1:12" ht="15.75" hidden="1" customHeight="1">
      <c r="A1933" t="s">
        <v>4760</v>
      </c>
      <c r="B1933" t="s">
        <v>4319</v>
      </c>
      <c r="C1933" t="s">
        <v>4761</v>
      </c>
      <c r="F1933" t="s">
        <v>4747</v>
      </c>
      <c r="G1933" t="s">
        <v>20</v>
      </c>
      <c r="L1933" t="s">
        <v>4324</v>
      </c>
    </row>
    <row r="1934" spans="1:12" ht="15.75" hidden="1" customHeight="1">
      <c r="A1934" t="s">
        <v>4762</v>
      </c>
      <c r="B1934" t="s">
        <v>4319</v>
      </c>
      <c r="C1934" t="s">
        <v>4763</v>
      </c>
      <c r="F1934" t="s">
        <v>4747</v>
      </c>
      <c r="G1934" t="s">
        <v>20</v>
      </c>
      <c r="L1934" t="s">
        <v>4324</v>
      </c>
    </row>
    <row r="1935" spans="1:12" ht="15.75" hidden="1" customHeight="1">
      <c r="A1935" t="s">
        <v>4764</v>
      </c>
      <c r="B1935" t="s">
        <v>4319</v>
      </c>
      <c r="C1935" t="s">
        <v>4765</v>
      </c>
      <c r="F1935" t="s">
        <v>4747</v>
      </c>
      <c r="G1935" t="s">
        <v>20</v>
      </c>
      <c r="L1935" t="s">
        <v>4324</v>
      </c>
    </row>
    <row r="1936" spans="1:12" ht="15.75" hidden="1" customHeight="1">
      <c r="A1936" t="s">
        <v>4766</v>
      </c>
      <c r="B1936" t="s">
        <v>4319</v>
      </c>
      <c r="C1936" t="s">
        <v>4767</v>
      </c>
      <c r="F1936" t="s">
        <v>4747</v>
      </c>
      <c r="G1936" t="s">
        <v>20</v>
      </c>
      <c r="L1936" t="s">
        <v>4324</v>
      </c>
    </row>
    <row r="1937" spans="1:12" ht="15.75" hidden="1" customHeight="1">
      <c r="A1937" t="s">
        <v>4768</v>
      </c>
      <c r="B1937" t="s">
        <v>4319</v>
      </c>
      <c r="C1937" t="s">
        <v>4769</v>
      </c>
      <c r="F1937" t="s">
        <v>4747</v>
      </c>
      <c r="G1937" t="s">
        <v>20</v>
      </c>
      <c r="L1937" t="s">
        <v>4324</v>
      </c>
    </row>
    <row r="1938" spans="1:12" ht="15.75" hidden="1" customHeight="1">
      <c r="A1938" t="s">
        <v>4770</v>
      </c>
      <c r="B1938" t="s">
        <v>4319</v>
      </c>
      <c r="C1938" t="s">
        <v>4771</v>
      </c>
      <c r="F1938" t="s">
        <v>4747</v>
      </c>
      <c r="G1938" t="s">
        <v>20</v>
      </c>
      <c r="L1938" t="s">
        <v>4324</v>
      </c>
    </row>
    <row r="1939" spans="1:12" ht="15.75" hidden="1" customHeight="1">
      <c r="A1939" t="s">
        <v>4772</v>
      </c>
      <c r="B1939" t="s">
        <v>4319</v>
      </c>
      <c r="C1939" t="s">
        <v>4773</v>
      </c>
      <c r="F1939" t="s">
        <v>4747</v>
      </c>
      <c r="G1939" t="s">
        <v>20</v>
      </c>
      <c r="L1939" t="s">
        <v>4324</v>
      </c>
    </row>
    <row r="1940" spans="1:12" ht="15.75" hidden="1" customHeight="1">
      <c r="A1940" t="s">
        <v>4774</v>
      </c>
      <c r="B1940" t="s">
        <v>4319</v>
      </c>
      <c r="C1940" t="s">
        <v>4775</v>
      </c>
      <c r="F1940" t="s">
        <v>4747</v>
      </c>
      <c r="G1940" t="s">
        <v>20</v>
      </c>
      <c r="L1940" t="s">
        <v>4324</v>
      </c>
    </row>
    <row r="1941" spans="1:12" ht="15.75" hidden="1" customHeight="1">
      <c r="A1941" t="s">
        <v>4776</v>
      </c>
      <c r="B1941" t="s">
        <v>4319</v>
      </c>
      <c r="C1941" t="s">
        <v>4777</v>
      </c>
      <c r="F1941" t="s">
        <v>4747</v>
      </c>
      <c r="G1941" t="s">
        <v>20</v>
      </c>
      <c r="L1941" t="s">
        <v>4324</v>
      </c>
    </row>
    <row r="1942" spans="1:12" ht="15.75" hidden="1" customHeight="1">
      <c r="A1942" t="s">
        <v>4778</v>
      </c>
      <c r="B1942" t="s">
        <v>4319</v>
      </c>
      <c r="C1942" t="s">
        <v>4779</v>
      </c>
      <c r="F1942" t="s">
        <v>4747</v>
      </c>
      <c r="G1942" t="s">
        <v>20</v>
      </c>
      <c r="L1942" t="s">
        <v>4324</v>
      </c>
    </row>
    <row r="1943" spans="1:12" ht="15.75" hidden="1" customHeight="1">
      <c r="A1943" t="s">
        <v>4780</v>
      </c>
      <c r="B1943" t="s">
        <v>4319</v>
      </c>
      <c r="C1943" t="s">
        <v>4781</v>
      </c>
      <c r="F1943" t="s">
        <v>4747</v>
      </c>
      <c r="G1943" t="s">
        <v>20</v>
      </c>
      <c r="L1943" t="s">
        <v>4324</v>
      </c>
    </row>
    <row r="1944" spans="1:12" ht="15.75" hidden="1" customHeight="1">
      <c r="A1944" t="s">
        <v>4782</v>
      </c>
      <c r="B1944" t="s">
        <v>4319</v>
      </c>
      <c r="C1944" t="s">
        <v>4783</v>
      </c>
      <c r="F1944" t="s">
        <v>4747</v>
      </c>
      <c r="G1944" t="s">
        <v>20</v>
      </c>
      <c r="L1944" t="s">
        <v>4324</v>
      </c>
    </row>
    <row r="1945" spans="1:12" ht="15.75" hidden="1" customHeight="1">
      <c r="A1945" t="s">
        <v>4784</v>
      </c>
      <c r="B1945" t="s">
        <v>4319</v>
      </c>
      <c r="C1945" t="s">
        <v>4785</v>
      </c>
      <c r="F1945" t="s">
        <v>4747</v>
      </c>
      <c r="G1945" t="s">
        <v>20</v>
      </c>
      <c r="L1945" t="s">
        <v>4324</v>
      </c>
    </row>
    <row r="1946" spans="1:12" ht="15.75" hidden="1" customHeight="1">
      <c r="A1946" t="s">
        <v>4786</v>
      </c>
      <c r="B1946" t="s">
        <v>4319</v>
      </c>
      <c r="C1946" t="s">
        <v>4787</v>
      </c>
      <c r="F1946" t="s">
        <v>4747</v>
      </c>
      <c r="G1946" t="s">
        <v>20</v>
      </c>
      <c r="L1946" t="s">
        <v>4324</v>
      </c>
    </row>
    <row r="1947" spans="1:12" ht="15.75" hidden="1" customHeight="1">
      <c r="A1947" t="s">
        <v>4788</v>
      </c>
      <c r="B1947" t="s">
        <v>4319</v>
      </c>
      <c r="C1947" t="s">
        <v>4789</v>
      </c>
      <c r="F1947" t="s">
        <v>4747</v>
      </c>
      <c r="G1947" t="s">
        <v>20</v>
      </c>
      <c r="L1947" t="s">
        <v>4324</v>
      </c>
    </row>
    <row r="1948" spans="1:12" ht="15.75" hidden="1" customHeight="1">
      <c r="A1948" t="s">
        <v>4790</v>
      </c>
      <c r="B1948" t="s">
        <v>4319</v>
      </c>
      <c r="C1948" t="s">
        <v>4791</v>
      </c>
      <c r="F1948" t="s">
        <v>4747</v>
      </c>
      <c r="G1948" t="s">
        <v>20</v>
      </c>
      <c r="L1948" t="s">
        <v>4324</v>
      </c>
    </row>
    <row r="1949" spans="1:12" ht="15.75" hidden="1" customHeight="1">
      <c r="A1949" t="s">
        <v>4792</v>
      </c>
      <c r="B1949" t="s">
        <v>4319</v>
      </c>
      <c r="C1949" t="s">
        <v>4793</v>
      </c>
      <c r="F1949" t="s">
        <v>4747</v>
      </c>
      <c r="G1949" t="s">
        <v>20</v>
      </c>
      <c r="L1949" t="s">
        <v>4324</v>
      </c>
    </row>
    <row r="1950" spans="1:12" ht="15.75" hidden="1" customHeight="1">
      <c r="A1950" t="s">
        <v>4794</v>
      </c>
      <c r="B1950" t="s">
        <v>4319</v>
      </c>
      <c r="C1950" t="s">
        <v>4795</v>
      </c>
      <c r="F1950" t="s">
        <v>4747</v>
      </c>
      <c r="G1950" t="s">
        <v>20</v>
      </c>
      <c r="L1950" t="s">
        <v>4324</v>
      </c>
    </row>
    <row r="1951" spans="1:12" ht="15.75" hidden="1" customHeight="1">
      <c r="A1951" t="s">
        <v>4796</v>
      </c>
      <c r="B1951" t="s">
        <v>4319</v>
      </c>
      <c r="C1951" t="s">
        <v>4797</v>
      </c>
      <c r="F1951" t="s">
        <v>4747</v>
      </c>
      <c r="G1951" t="s">
        <v>20</v>
      </c>
      <c r="L1951" t="s">
        <v>4324</v>
      </c>
    </row>
    <row r="1952" spans="1:12" ht="15.75" hidden="1" customHeight="1">
      <c r="A1952" t="s">
        <v>4798</v>
      </c>
      <c r="B1952" t="s">
        <v>4319</v>
      </c>
      <c r="C1952" t="s">
        <v>4799</v>
      </c>
      <c r="F1952" t="s">
        <v>4800</v>
      </c>
      <c r="G1952" t="s">
        <v>20</v>
      </c>
      <c r="L1952" t="s">
        <v>736</v>
      </c>
    </row>
    <row r="1953" spans="1:12" ht="15.75" hidden="1" customHeight="1">
      <c r="A1953" t="s">
        <v>4801</v>
      </c>
      <c r="B1953" t="s">
        <v>4319</v>
      </c>
      <c r="C1953" t="s">
        <v>4802</v>
      </c>
      <c r="F1953" t="s">
        <v>4799</v>
      </c>
      <c r="G1953" t="s">
        <v>20</v>
      </c>
      <c r="L1953" t="s">
        <v>4324</v>
      </c>
    </row>
    <row r="1954" spans="1:12" ht="15.75" hidden="1" customHeight="1">
      <c r="A1954" t="s">
        <v>4803</v>
      </c>
      <c r="B1954" t="s">
        <v>4319</v>
      </c>
      <c r="C1954" t="s">
        <v>4804</v>
      </c>
      <c r="F1954" t="s">
        <v>4799</v>
      </c>
      <c r="G1954" t="s">
        <v>20</v>
      </c>
      <c r="L1954" t="s">
        <v>4324</v>
      </c>
    </row>
    <row r="1955" spans="1:12" ht="15.75" hidden="1" customHeight="1">
      <c r="A1955" t="s">
        <v>4805</v>
      </c>
      <c r="B1955" t="s">
        <v>4319</v>
      </c>
      <c r="C1955" t="s">
        <v>4806</v>
      </c>
      <c r="F1955" t="s">
        <v>4799</v>
      </c>
      <c r="G1955" t="s">
        <v>20</v>
      </c>
      <c r="L1955" t="s">
        <v>4324</v>
      </c>
    </row>
    <row r="1956" spans="1:12" ht="15.75" hidden="1" customHeight="1">
      <c r="A1956" t="s">
        <v>4807</v>
      </c>
      <c r="B1956" t="s">
        <v>4319</v>
      </c>
      <c r="C1956" t="s">
        <v>4808</v>
      </c>
      <c r="F1956" t="s">
        <v>4799</v>
      </c>
      <c r="G1956" t="s">
        <v>20</v>
      </c>
      <c r="L1956" t="s">
        <v>4324</v>
      </c>
    </row>
    <row r="1957" spans="1:12" ht="15.75" hidden="1" customHeight="1">
      <c r="A1957" t="s">
        <v>4809</v>
      </c>
      <c r="B1957" t="s">
        <v>4319</v>
      </c>
      <c r="C1957" t="s">
        <v>4810</v>
      </c>
      <c r="F1957" t="s">
        <v>4799</v>
      </c>
      <c r="G1957" t="s">
        <v>20</v>
      </c>
      <c r="L1957" t="s">
        <v>4324</v>
      </c>
    </row>
    <row r="1958" spans="1:12" ht="15.75" hidden="1" customHeight="1">
      <c r="A1958" t="s">
        <v>4811</v>
      </c>
      <c r="B1958" t="s">
        <v>4319</v>
      </c>
      <c r="C1958" t="s">
        <v>4812</v>
      </c>
      <c r="F1958" t="s">
        <v>4799</v>
      </c>
      <c r="G1958" t="s">
        <v>20</v>
      </c>
      <c r="L1958" t="s">
        <v>4324</v>
      </c>
    </row>
    <row r="1959" spans="1:12" ht="15.75" hidden="1" customHeight="1">
      <c r="A1959" t="s">
        <v>4813</v>
      </c>
      <c r="B1959" t="s">
        <v>4319</v>
      </c>
      <c r="C1959" t="s">
        <v>4814</v>
      </c>
      <c r="F1959" t="s">
        <v>4799</v>
      </c>
      <c r="G1959" t="s">
        <v>20</v>
      </c>
      <c r="L1959" t="s">
        <v>4324</v>
      </c>
    </row>
    <row r="1960" spans="1:12" ht="15.75" hidden="1" customHeight="1">
      <c r="A1960" t="s">
        <v>4815</v>
      </c>
      <c r="B1960" t="s">
        <v>4319</v>
      </c>
      <c r="C1960" t="s">
        <v>4816</v>
      </c>
      <c r="F1960" t="s">
        <v>4799</v>
      </c>
      <c r="G1960" t="s">
        <v>20</v>
      </c>
      <c r="L1960" t="s">
        <v>4324</v>
      </c>
    </row>
    <row r="1961" spans="1:12" ht="15.75" hidden="1" customHeight="1">
      <c r="A1961" t="s">
        <v>4817</v>
      </c>
      <c r="B1961" t="s">
        <v>4319</v>
      </c>
      <c r="C1961" t="s">
        <v>4818</v>
      </c>
      <c r="F1961" t="s">
        <v>4799</v>
      </c>
      <c r="G1961" t="s">
        <v>20</v>
      </c>
      <c r="L1961" t="s">
        <v>4324</v>
      </c>
    </row>
    <row r="1962" spans="1:12" ht="15.75" hidden="1" customHeight="1">
      <c r="A1962" t="s">
        <v>4819</v>
      </c>
      <c r="B1962" t="s">
        <v>4319</v>
      </c>
      <c r="C1962" t="s">
        <v>4820</v>
      </c>
      <c r="F1962" t="s">
        <v>4799</v>
      </c>
      <c r="G1962" t="s">
        <v>20</v>
      </c>
      <c r="L1962" t="s">
        <v>4324</v>
      </c>
    </row>
    <row r="1963" spans="1:12" ht="15.75" hidden="1" customHeight="1">
      <c r="A1963" t="s">
        <v>4821</v>
      </c>
      <c r="B1963" t="s">
        <v>4319</v>
      </c>
      <c r="C1963" t="s">
        <v>4822</v>
      </c>
      <c r="F1963" t="s">
        <v>4799</v>
      </c>
      <c r="G1963" t="s">
        <v>20</v>
      </c>
      <c r="L1963" t="s">
        <v>4324</v>
      </c>
    </row>
    <row r="1964" spans="1:12" ht="15.75" hidden="1" customHeight="1">
      <c r="A1964" t="s">
        <v>4823</v>
      </c>
      <c r="B1964" t="s">
        <v>4319</v>
      </c>
      <c r="C1964" t="s">
        <v>4824</v>
      </c>
      <c r="F1964" t="s">
        <v>4799</v>
      </c>
      <c r="G1964" t="s">
        <v>20</v>
      </c>
      <c r="L1964" t="s">
        <v>4324</v>
      </c>
    </row>
    <row r="1965" spans="1:12" ht="15.75" hidden="1" customHeight="1">
      <c r="A1965" t="s">
        <v>4825</v>
      </c>
      <c r="B1965" t="s">
        <v>4319</v>
      </c>
      <c r="C1965" t="s">
        <v>4826</v>
      </c>
      <c r="F1965" t="s">
        <v>4799</v>
      </c>
      <c r="G1965" t="s">
        <v>20</v>
      </c>
      <c r="L1965" t="s">
        <v>4324</v>
      </c>
    </row>
    <row r="1966" spans="1:12" ht="15.75" hidden="1" customHeight="1">
      <c r="A1966" t="s">
        <v>4827</v>
      </c>
      <c r="B1966" t="s">
        <v>4319</v>
      </c>
      <c r="C1966" t="s">
        <v>4828</v>
      </c>
      <c r="F1966" t="s">
        <v>4799</v>
      </c>
      <c r="G1966" t="s">
        <v>20</v>
      </c>
      <c r="L1966" t="s">
        <v>4324</v>
      </c>
    </row>
    <row r="1967" spans="1:12" ht="15.75" hidden="1" customHeight="1">
      <c r="A1967" t="s">
        <v>4829</v>
      </c>
      <c r="B1967" t="s">
        <v>4319</v>
      </c>
      <c r="C1967" t="s">
        <v>4830</v>
      </c>
      <c r="F1967" t="s">
        <v>4799</v>
      </c>
      <c r="G1967" t="s">
        <v>20</v>
      </c>
      <c r="L1967" t="s">
        <v>4324</v>
      </c>
    </row>
    <row r="1968" spans="1:12" ht="15.75" hidden="1" customHeight="1">
      <c r="A1968" t="s">
        <v>4831</v>
      </c>
      <c r="B1968" t="s">
        <v>4319</v>
      </c>
      <c r="C1968" t="s">
        <v>4832</v>
      </c>
      <c r="F1968" t="s">
        <v>4799</v>
      </c>
      <c r="G1968" t="s">
        <v>20</v>
      </c>
      <c r="L1968" t="s">
        <v>4324</v>
      </c>
    </row>
    <row r="1969" spans="1:12" ht="15.75" hidden="1" customHeight="1">
      <c r="A1969" t="s">
        <v>4833</v>
      </c>
      <c r="B1969" t="s">
        <v>4319</v>
      </c>
      <c r="C1969" t="s">
        <v>4834</v>
      </c>
      <c r="F1969" t="s">
        <v>4799</v>
      </c>
      <c r="G1969" t="s">
        <v>20</v>
      </c>
      <c r="L1969" t="s">
        <v>4324</v>
      </c>
    </row>
    <row r="1970" spans="1:12" ht="15.75" hidden="1" customHeight="1">
      <c r="A1970" t="s">
        <v>4835</v>
      </c>
      <c r="B1970" t="s">
        <v>4319</v>
      </c>
      <c r="C1970" t="s">
        <v>4836</v>
      </c>
      <c r="F1970" t="s">
        <v>4799</v>
      </c>
      <c r="G1970" t="s">
        <v>20</v>
      </c>
      <c r="L1970" t="s">
        <v>4324</v>
      </c>
    </row>
    <row r="1971" spans="1:12" ht="15.75" hidden="1" customHeight="1">
      <c r="A1971" t="s">
        <v>4837</v>
      </c>
      <c r="B1971" t="s">
        <v>4319</v>
      </c>
      <c r="C1971" t="s">
        <v>4838</v>
      </c>
      <c r="F1971" t="s">
        <v>4799</v>
      </c>
      <c r="G1971" t="s">
        <v>20</v>
      </c>
      <c r="L1971" t="s">
        <v>4324</v>
      </c>
    </row>
    <row r="1972" spans="1:12" ht="15.75" hidden="1" customHeight="1">
      <c r="A1972" t="s">
        <v>4839</v>
      </c>
      <c r="B1972" t="s">
        <v>4319</v>
      </c>
      <c r="C1972" t="s">
        <v>4840</v>
      </c>
      <c r="F1972" t="s">
        <v>4799</v>
      </c>
      <c r="G1972" t="s">
        <v>20</v>
      </c>
      <c r="L1972" t="s">
        <v>4324</v>
      </c>
    </row>
    <row r="1973" spans="1:12" ht="15.75" hidden="1" customHeight="1">
      <c r="A1973" t="s">
        <v>4841</v>
      </c>
      <c r="B1973" t="s">
        <v>4319</v>
      </c>
      <c r="C1973" t="s">
        <v>4842</v>
      </c>
      <c r="F1973" t="s">
        <v>4799</v>
      </c>
      <c r="G1973" t="s">
        <v>20</v>
      </c>
      <c r="L1973" t="s">
        <v>4324</v>
      </c>
    </row>
    <row r="1974" spans="1:12" ht="15.75" hidden="1" customHeight="1">
      <c r="A1974" t="s">
        <v>4843</v>
      </c>
      <c r="B1974" t="s">
        <v>4319</v>
      </c>
      <c r="C1974" t="s">
        <v>4844</v>
      </c>
      <c r="F1974" t="s">
        <v>4800</v>
      </c>
      <c r="G1974" t="s">
        <v>20</v>
      </c>
      <c r="L1974" t="s">
        <v>736</v>
      </c>
    </row>
    <row r="1975" spans="1:12" ht="15.75" hidden="1" customHeight="1">
      <c r="A1975" t="s">
        <v>4845</v>
      </c>
      <c r="B1975" t="s">
        <v>4319</v>
      </c>
      <c r="C1975" t="s">
        <v>4846</v>
      </c>
      <c r="F1975" t="s">
        <v>4844</v>
      </c>
      <c r="G1975" t="s">
        <v>20</v>
      </c>
      <c r="L1975" t="s">
        <v>4324</v>
      </c>
    </row>
    <row r="1976" spans="1:12" ht="15.75" hidden="1" customHeight="1">
      <c r="A1976" t="s">
        <v>4847</v>
      </c>
      <c r="B1976" t="s">
        <v>4319</v>
      </c>
      <c r="C1976" t="s">
        <v>4848</v>
      </c>
      <c r="F1976" t="s">
        <v>4844</v>
      </c>
      <c r="G1976" t="s">
        <v>20</v>
      </c>
      <c r="L1976" t="s">
        <v>4324</v>
      </c>
    </row>
    <row r="1977" spans="1:12" ht="15.75" hidden="1" customHeight="1">
      <c r="A1977" t="s">
        <v>4849</v>
      </c>
      <c r="B1977" t="s">
        <v>4319</v>
      </c>
      <c r="C1977" t="s">
        <v>4850</v>
      </c>
      <c r="F1977" t="s">
        <v>4844</v>
      </c>
      <c r="G1977" t="s">
        <v>20</v>
      </c>
      <c r="L1977" t="s">
        <v>4324</v>
      </c>
    </row>
    <row r="1978" spans="1:12" ht="15.75" hidden="1" customHeight="1">
      <c r="A1978" t="s">
        <v>4851</v>
      </c>
      <c r="B1978" t="s">
        <v>4319</v>
      </c>
      <c r="C1978" t="s">
        <v>4852</v>
      </c>
      <c r="F1978" t="s">
        <v>4844</v>
      </c>
      <c r="G1978" t="s">
        <v>20</v>
      </c>
      <c r="L1978" t="s">
        <v>4324</v>
      </c>
    </row>
    <row r="1979" spans="1:12" ht="15.75" hidden="1" customHeight="1">
      <c r="A1979" t="s">
        <v>4853</v>
      </c>
      <c r="B1979" t="s">
        <v>4319</v>
      </c>
      <c r="C1979" t="s">
        <v>4854</v>
      </c>
      <c r="F1979" t="s">
        <v>4800</v>
      </c>
      <c r="G1979" t="s">
        <v>20</v>
      </c>
      <c r="L1979" t="s">
        <v>736</v>
      </c>
    </row>
    <row r="1980" spans="1:12" ht="15.75" hidden="1" customHeight="1">
      <c r="A1980" t="s">
        <v>4855</v>
      </c>
      <c r="B1980" t="s">
        <v>4319</v>
      </c>
      <c r="C1980" t="s">
        <v>4856</v>
      </c>
      <c r="F1980" t="s">
        <v>4854</v>
      </c>
      <c r="G1980" t="s">
        <v>20</v>
      </c>
      <c r="L1980" t="s">
        <v>4324</v>
      </c>
    </row>
    <row r="1981" spans="1:12" ht="15.75" hidden="1" customHeight="1">
      <c r="A1981" t="s">
        <v>4857</v>
      </c>
      <c r="B1981" t="s">
        <v>4319</v>
      </c>
      <c r="C1981" t="s">
        <v>4858</v>
      </c>
      <c r="F1981" t="s">
        <v>4854</v>
      </c>
      <c r="G1981" t="s">
        <v>20</v>
      </c>
      <c r="L1981" t="s">
        <v>4324</v>
      </c>
    </row>
    <row r="1982" spans="1:12" ht="15.75" hidden="1" customHeight="1">
      <c r="A1982" t="s">
        <v>4859</v>
      </c>
      <c r="B1982" t="s">
        <v>4319</v>
      </c>
      <c r="C1982" t="s">
        <v>4860</v>
      </c>
      <c r="F1982" t="s">
        <v>4854</v>
      </c>
      <c r="G1982" t="s">
        <v>20</v>
      </c>
      <c r="L1982" t="s">
        <v>4324</v>
      </c>
    </row>
    <row r="1983" spans="1:12" ht="15.75" hidden="1" customHeight="1">
      <c r="A1983" t="s">
        <v>4861</v>
      </c>
      <c r="B1983" t="s">
        <v>4319</v>
      </c>
      <c r="C1983" t="s">
        <v>4862</v>
      </c>
      <c r="F1983" t="s">
        <v>4854</v>
      </c>
      <c r="G1983" t="s">
        <v>20</v>
      </c>
      <c r="L1983" t="s">
        <v>4324</v>
      </c>
    </row>
    <row r="1984" spans="1:12" ht="15.75" hidden="1" customHeight="1">
      <c r="A1984" t="s">
        <v>4863</v>
      </c>
      <c r="B1984" t="s">
        <v>4319</v>
      </c>
      <c r="C1984" t="s">
        <v>4864</v>
      </c>
      <c r="F1984" t="s">
        <v>4800</v>
      </c>
      <c r="G1984" t="s">
        <v>20</v>
      </c>
      <c r="L1984" t="s">
        <v>736</v>
      </c>
    </row>
    <row r="1985" spans="1:12" ht="15.75" hidden="1" customHeight="1">
      <c r="A1985" t="s">
        <v>4865</v>
      </c>
      <c r="B1985" t="s">
        <v>4319</v>
      </c>
      <c r="C1985" t="s">
        <v>4866</v>
      </c>
      <c r="F1985" t="s">
        <v>4864</v>
      </c>
      <c r="G1985" t="s">
        <v>20</v>
      </c>
      <c r="L1985" t="s">
        <v>4324</v>
      </c>
    </row>
    <row r="1986" spans="1:12" ht="15.75" hidden="1" customHeight="1">
      <c r="A1986" t="s">
        <v>4867</v>
      </c>
      <c r="B1986" t="s">
        <v>4319</v>
      </c>
      <c r="C1986" t="s">
        <v>4868</v>
      </c>
      <c r="F1986" t="s">
        <v>4864</v>
      </c>
      <c r="G1986" t="s">
        <v>20</v>
      </c>
      <c r="L1986" t="s">
        <v>4324</v>
      </c>
    </row>
    <row r="1987" spans="1:12" ht="15.75" hidden="1" customHeight="1">
      <c r="A1987" t="s">
        <v>4869</v>
      </c>
      <c r="B1987" t="s">
        <v>4319</v>
      </c>
      <c r="C1987" t="s">
        <v>4870</v>
      </c>
      <c r="F1987" t="s">
        <v>4864</v>
      </c>
      <c r="G1987" t="s">
        <v>20</v>
      </c>
      <c r="L1987" t="s">
        <v>4324</v>
      </c>
    </row>
    <row r="1988" spans="1:12" ht="15.75" hidden="1" customHeight="1">
      <c r="A1988" t="s">
        <v>4871</v>
      </c>
      <c r="B1988" t="s">
        <v>4319</v>
      </c>
      <c r="C1988" t="s">
        <v>4872</v>
      </c>
      <c r="F1988" t="s">
        <v>4800</v>
      </c>
      <c r="G1988" t="s">
        <v>20</v>
      </c>
      <c r="L1988" t="s">
        <v>736</v>
      </c>
    </row>
    <row r="1989" spans="1:12" ht="15.75" hidden="1" customHeight="1">
      <c r="A1989" t="s">
        <v>4873</v>
      </c>
      <c r="B1989" t="s">
        <v>4319</v>
      </c>
      <c r="C1989" t="s">
        <v>4874</v>
      </c>
      <c r="F1989" t="s">
        <v>4872</v>
      </c>
      <c r="G1989" t="s">
        <v>20</v>
      </c>
      <c r="L1989" t="s">
        <v>4324</v>
      </c>
    </row>
    <row r="1990" spans="1:12" ht="15.75" hidden="1" customHeight="1">
      <c r="A1990" t="s">
        <v>4875</v>
      </c>
      <c r="B1990" t="s">
        <v>4319</v>
      </c>
      <c r="C1990" t="s">
        <v>4876</v>
      </c>
      <c r="F1990" t="s">
        <v>4872</v>
      </c>
      <c r="G1990" t="s">
        <v>20</v>
      </c>
      <c r="L1990" t="s">
        <v>4324</v>
      </c>
    </row>
    <row r="1991" spans="1:12" ht="15.75" hidden="1" customHeight="1">
      <c r="A1991" t="s">
        <v>4877</v>
      </c>
      <c r="B1991" t="s">
        <v>4319</v>
      </c>
      <c r="C1991" t="s">
        <v>4878</v>
      </c>
      <c r="F1991" t="s">
        <v>4872</v>
      </c>
      <c r="G1991" t="s">
        <v>20</v>
      </c>
      <c r="L1991" t="s">
        <v>4324</v>
      </c>
    </row>
    <row r="1992" spans="1:12" ht="15.75" hidden="1" customHeight="1">
      <c r="A1992" t="s">
        <v>4879</v>
      </c>
      <c r="B1992" t="s">
        <v>4319</v>
      </c>
      <c r="C1992" t="s">
        <v>4880</v>
      </c>
      <c r="F1992" t="s">
        <v>4872</v>
      </c>
      <c r="G1992" t="s">
        <v>20</v>
      </c>
      <c r="L1992" t="s">
        <v>4324</v>
      </c>
    </row>
    <row r="1993" spans="1:12" ht="15.75" hidden="1" customHeight="1">
      <c r="A1993" t="s">
        <v>4881</v>
      </c>
      <c r="B1993" t="s">
        <v>4319</v>
      </c>
      <c r="C1993" t="s">
        <v>4882</v>
      </c>
      <c r="F1993" t="s">
        <v>4800</v>
      </c>
      <c r="G1993" t="s">
        <v>20</v>
      </c>
      <c r="L1993" t="s">
        <v>736</v>
      </c>
    </row>
    <row r="1994" spans="1:12" ht="15.75" hidden="1" customHeight="1">
      <c r="A1994" t="s">
        <v>4883</v>
      </c>
      <c r="B1994" t="s">
        <v>4319</v>
      </c>
      <c r="C1994" t="s">
        <v>4884</v>
      </c>
      <c r="F1994" t="s">
        <v>4882</v>
      </c>
      <c r="G1994" t="s">
        <v>20</v>
      </c>
      <c r="L1994" t="s">
        <v>4324</v>
      </c>
    </row>
    <row r="1995" spans="1:12" ht="15.75" hidden="1" customHeight="1">
      <c r="A1995" t="s">
        <v>4885</v>
      </c>
      <c r="B1995" t="s">
        <v>4319</v>
      </c>
      <c r="C1995" t="s">
        <v>4886</v>
      </c>
      <c r="F1995" t="s">
        <v>4882</v>
      </c>
      <c r="G1995" t="s">
        <v>20</v>
      </c>
      <c r="L1995" t="s">
        <v>4324</v>
      </c>
    </row>
    <row r="1996" spans="1:12" ht="15.75" hidden="1" customHeight="1">
      <c r="A1996" t="s">
        <v>4887</v>
      </c>
      <c r="B1996" t="s">
        <v>4319</v>
      </c>
      <c r="C1996" t="s">
        <v>4888</v>
      </c>
      <c r="F1996" t="s">
        <v>4882</v>
      </c>
      <c r="G1996" t="s">
        <v>20</v>
      </c>
      <c r="L1996" t="s">
        <v>4324</v>
      </c>
    </row>
    <row r="1997" spans="1:12" ht="15.75" hidden="1" customHeight="1">
      <c r="A1997" t="s">
        <v>4889</v>
      </c>
      <c r="B1997" t="s">
        <v>4319</v>
      </c>
      <c r="C1997" t="s">
        <v>4890</v>
      </c>
      <c r="F1997" t="s">
        <v>4882</v>
      </c>
      <c r="G1997" t="s">
        <v>20</v>
      </c>
      <c r="L1997" t="s">
        <v>4324</v>
      </c>
    </row>
    <row r="1998" spans="1:12" ht="15.75" hidden="1" customHeight="1">
      <c r="A1998" t="s">
        <v>4891</v>
      </c>
      <c r="B1998" t="s">
        <v>4319</v>
      </c>
      <c r="C1998" t="s">
        <v>4892</v>
      </c>
      <c r="F1998" t="s">
        <v>4800</v>
      </c>
      <c r="G1998" t="s">
        <v>20</v>
      </c>
      <c r="L1998" t="s">
        <v>736</v>
      </c>
    </row>
    <row r="1999" spans="1:12" ht="15.75" hidden="1" customHeight="1">
      <c r="A1999" t="s">
        <v>4893</v>
      </c>
      <c r="B1999" t="s">
        <v>4319</v>
      </c>
      <c r="C1999" t="s">
        <v>4894</v>
      </c>
      <c r="F1999" t="s">
        <v>4892</v>
      </c>
      <c r="G1999" t="s">
        <v>20</v>
      </c>
      <c r="L1999" t="s">
        <v>4324</v>
      </c>
    </row>
    <row r="2000" spans="1:12" ht="15.75" hidden="1" customHeight="1">
      <c r="A2000" t="s">
        <v>4895</v>
      </c>
      <c r="B2000" t="s">
        <v>4319</v>
      </c>
      <c r="C2000" t="s">
        <v>4896</v>
      </c>
      <c r="F2000" t="s">
        <v>4892</v>
      </c>
      <c r="G2000" t="s">
        <v>20</v>
      </c>
      <c r="L2000" t="s">
        <v>4324</v>
      </c>
    </row>
    <row r="2001" spans="1:12" ht="15.75" hidden="1" customHeight="1">
      <c r="A2001" t="s">
        <v>4897</v>
      </c>
      <c r="B2001" t="s">
        <v>4319</v>
      </c>
      <c r="C2001" t="s">
        <v>4898</v>
      </c>
      <c r="F2001" t="s">
        <v>4892</v>
      </c>
      <c r="G2001" t="s">
        <v>20</v>
      </c>
      <c r="L2001" t="s">
        <v>4324</v>
      </c>
    </row>
    <row r="2002" spans="1:12" ht="15.75" hidden="1" customHeight="1">
      <c r="A2002" t="s">
        <v>4899</v>
      </c>
      <c r="B2002" t="s">
        <v>4319</v>
      </c>
      <c r="C2002" t="s">
        <v>4900</v>
      </c>
      <c r="F2002" t="s">
        <v>4892</v>
      </c>
      <c r="G2002" t="s">
        <v>20</v>
      </c>
      <c r="L2002" t="s">
        <v>4324</v>
      </c>
    </row>
    <row r="2003" spans="1:12" ht="15.75" hidden="1" customHeight="1">
      <c r="A2003" t="s">
        <v>4901</v>
      </c>
      <c r="B2003" t="s">
        <v>4319</v>
      </c>
      <c r="C2003" t="s">
        <v>4902</v>
      </c>
      <c r="F2003" t="s">
        <v>4800</v>
      </c>
      <c r="G2003" t="s">
        <v>20</v>
      </c>
      <c r="L2003" t="s">
        <v>736</v>
      </c>
    </row>
    <row r="2004" spans="1:12" ht="15.75" hidden="1" customHeight="1">
      <c r="A2004" t="s">
        <v>4903</v>
      </c>
      <c r="B2004" t="s">
        <v>4319</v>
      </c>
      <c r="C2004" t="s">
        <v>4904</v>
      </c>
      <c r="F2004" t="s">
        <v>4902</v>
      </c>
      <c r="G2004" t="s">
        <v>20</v>
      </c>
      <c r="L2004" t="s">
        <v>4324</v>
      </c>
    </row>
    <row r="2005" spans="1:12" ht="15.75" hidden="1" customHeight="1">
      <c r="A2005" t="s">
        <v>4905</v>
      </c>
      <c r="B2005" t="s">
        <v>4319</v>
      </c>
      <c r="C2005" t="s">
        <v>4906</v>
      </c>
      <c r="F2005" t="s">
        <v>4902</v>
      </c>
      <c r="G2005" t="s">
        <v>20</v>
      </c>
      <c r="L2005" t="s">
        <v>4324</v>
      </c>
    </row>
    <row r="2006" spans="1:12" ht="15.75" hidden="1" customHeight="1">
      <c r="A2006" t="s">
        <v>4907</v>
      </c>
      <c r="B2006" t="s">
        <v>4319</v>
      </c>
      <c r="C2006" t="s">
        <v>4908</v>
      </c>
      <c r="F2006" t="s">
        <v>4902</v>
      </c>
      <c r="G2006" t="s">
        <v>20</v>
      </c>
      <c r="L2006" t="s">
        <v>4324</v>
      </c>
    </row>
    <row r="2007" spans="1:12" ht="15.75" hidden="1" customHeight="1">
      <c r="A2007" t="s">
        <v>4909</v>
      </c>
      <c r="B2007" t="s">
        <v>4319</v>
      </c>
      <c r="C2007" t="s">
        <v>4910</v>
      </c>
      <c r="F2007" t="s">
        <v>4800</v>
      </c>
      <c r="G2007" t="s">
        <v>20</v>
      </c>
      <c r="L2007" t="s">
        <v>736</v>
      </c>
    </row>
    <row r="2008" spans="1:12" ht="15.75" hidden="1" customHeight="1">
      <c r="A2008" t="s">
        <v>4911</v>
      </c>
      <c r="B2008" t="s">
        <v>4319</v>
      </c>
      <c r="C2008" t="s">
        <v>4912</v>
      </c>
      <c r="F2008" t="s">
        <v>4910</v>
      </c>
      <c r="G2008" t="s">
        <v>20</v>
      </c>
      <c r="L2008" t="s">
        <v>4324</v>
      </c>
    </row>
    <row r="2009" spans="1:12" ht="15.75" hidden="1" customHeight="1">
      <c r="A2009" t="s">
        <v>4913</v>
      </c>
      <c r="B2009" t="s">
        <v>4319</v>
      </c>
      <c r="C2009" t="s">
        <v>4914</v>
      </c>
      <c r="F2009" t="s">
        <v>4910</v>
      </c>
      <c r="G2009" t="s">
        <v>20</v>
      </c>
      <c r="L2009" t="s">
        <v>4324</v>
      </c>
    </row>
    <row r="2010" spans="1:12" ht="15.75" hidden="1" customHeight="1">
      <c r="A2010" t="s">
        <v>4915</v>
      </c>
      <c r="B2010" t="s">
        <v>4319</v>
      </c>
      <c r="C2010" t="s">
        <v>4916</v>
      </c>
      <c r="F2010" t="s">
        <v>4917</v>
      </c>
      <c r="G2010" t="s">
        <v>20</v>
      </c>
      <c r="L2010" t="s">
        <v>736</v>
      </c>
    </row>
    <row r="2011" spans="1:12" ht="15.75" hidden="1" customHeight="1">
      <c r="A2011" t="s">
        <v>4918</v>
      </c>
      <c r="B2011" t="s">
        <v>4319</v>
      </c>
      <c r="C2011" t="s">
        <v>4919</v>
      </c>
      <c r="F2011" t="s">
        <v>4916</v>
      </c>
      <c r="G2011" t="s">
        <v>20</v>
      </c>
      <c r="L2011" t="s">
        <v>4324</v>
      </c>
    </row>
    <row r="2012" spans="1:12" ht="15.75" hidden="1" customHeight="1">
      <c r="A2012" t="s">
        <v>4920</v>
      </c>
      <c r="B2012" t="s">
        <v>4319</v>
      </c>
      <c r="C2012" t="s">
        <v>4921</v>
      </c>
      <c r="F2012" t="s">
        <v>4916</v>
      </c>
      <c r="G2012" t="s">
        <v>20</v>
      </c>
      <c r="L2012" t="s">
        <v>4324</v>
      </c>
    </row>
    <row r="2013" spans="1:12" ht="15.75" hidden="1" customHeight="1">
      <c r="A2013" t="s">
        <v>4922</v>
      </c>
      <c r="B2013" t="s">
        <v>4319</v>
      </c>
      <c r="C2013" t="s">
        <v>4923</v>
      </c>
      <c r="F2013" t="s">
        <v>4916</v>
      </c>
      <c r="G2013" t="s">
        <v>20</v>
      </c>
      <c r="L2013" t="s">
        <v>4324</v>
      </c>
    </row>
    <row r="2014" spans="1:12" ht="15.75" hidden="1" customHeight="1">
      <c r="A2014" t="s">
        <v>4924</v>
      </c>
      <c r="B2014" t="s">
        <v>4319</v>
      </c>
      <c r="C2014" t="s">
        <v>4925</v>
      </c>
      <c r="F2014" t="s">
        <v>4916</v>
      </c>
      <c r="G2014" t="s">
        <v>20</v>
      </c>
      <c r="L2014" t="s">
        <v>4324</v>
      </c>
    </row>
    <row r="2015" spans="1:12" ht="15.75" hidden="1" customHeight="1">
      <c r="A2015" t="s">
        <v>4926</v>
      </c>
      <c r="B2015" t="s">
        <v>4319</v>
      </c>
      <c r="C2015" t="s">
        <v>4927</v>
      </c>
      <c r="F2015" t="s">
        <v>4916</v>
      </c>
      <c r="G2015" t="s">
        <v>20</v>
      </c>
      <c r="L2015" t="s">
        <v>4324</v>
      </c>
    </row>
    <row r="2016" spans="1:12" ht="15.75" hidden="1" customHeight="1">
      <c r="A2016" t="s">
        <v>4928</v>
      </c>
      <c r="B2016" t="s">
        <v>4319</v>
      </c>
      <c r="C2016" t="s">
        <v>4929</v>
      </c>
      <c r="F2016" t="s">
        <v>4916</v>
      </c>
      <c r="G2016" t="s">
        <v>20</v>
      </c>
      <c r="L2016" t="s">
        <v>4324</v>
      </c>
    </row>
    <row r="2017" spans="1:12" ht="15.75" hidden="1" customHeight="1">
      <c r="A2017" t="s">
        <v>4930</v>
      </c>
      <c r="B2017" t="s">
        <v>4319</v>
      </c>
      <c r="C2017" t="s">
        <v>4931</v>
      </c>
      <c r="F2017" t="s">
        <v>4916</v>
      </c>
      <c r="G2017" t="s">
        <v>20</v>
      </c>
      <c r="L2017" t="s">
        <v>4324</v>
      </c>
    </row>
    <row r="2018" spans="1:12" ht="15.75" hidden="1" customHeight="1">
      <c r="A2018" t="s">
        <v>4932</v>
      </c>
      <c r="B2018" t="s">
        <v>4319</v>
      </c>
      <c r="C2018" t="s">
        <v>4933</v>
      </c>
      <c r="F2018" t="s">
        <v>4916</v>
      </c>
      <c r="G2018" t="s">
        <v>20</v>
      </c>
      <c r="L2018" t="s">
        <v>4324</v>
      </c>
    </row>
    <row r="2019" spans="1:12" ht="15.75" hidden="1" customHeight="1">
      <c r="A2019" t="s">
        <v>4934</v>
      </c>
      <c r="B2019" t="s">
        <v>4319</v>
      </c>
      <c r="C2019" t="s">
        <v>4935</v>
      </c>
      <c r="F2019" t="s">
        <v>4916</v>
      </c>
      <c r="G2019" t="s">
        <v>20</v>
      </c>
      <c r="L2019" t="s">
        <v>4324</v>
      </c>
    </row>
    <row r="2020" spans="1:12" ht="15.75" hidden="1" customHeight="1">
      <c r="A2020" t="s">
        <v>4936</v>
      </c>
      <c r="B2020" t="s">
        <v>4319</v>
      </c>
      <c r="C2020" t="s">
        <v>4937</v>
      </c>
      <c r="F2020" t="s">
        <v>4916</v>
      </c>
      <c r="G2020" t="s">
        <v>20</v>
      </c>
      <c r="L2020" t="s">
        <v>4324</v>
      </c>
    </row>
    <row r="2021" spans="1:12" ht="15.75" hidden="1" customHeight="1">
      <c r="A2021" t="s">
        <v>4938</v>
      </c>
      <c r="B2021" t="s">
        <v>4319</v>
      </c>
      <c r="C2021" t="s">
        <v>4939</v>
      </c>
      <c r="F2021" t="s">
        <v>4916</v>
      </c>
      <c r="G2021" t="s">
        <v>20</v>
      </c>
      <c r="L2021" t="s">
        <v>4324</v>
      </c>
    </row>
    <row r="2022" spans="1:12" ht="15.75" hidden="1" customHeight="1">
      <c r="A2022" t="s">
        <v>4940</v>
      </c>
      <c r="B2022" t="s">
        <v>4319</v>
      </c>
      <c r="C2022" t="s">
        <v>4941</v>
      </c>
      <c r="F2022" t="s">
        <v>4917</v>
      </c>
      <c r="G2022" t="s">
        <v>20</v>
      </c>
      <c r="L2022" t="s">
        <v>736</v>
      </c>
    </row>
    <row r="2023" spans="1:12" ht="15.75" hidden="1" customHeight="1">
      <c r="A2023" t="s">
        <v>4942</v>
      </c>
      <c r="B2023" t="s">
        <v>4319</v>
      </c>
      <c r="C2023" t="s">
        <v>4943</v>
      </c>
      <c r="F2023" t="s">
        <v>4941</v>
      </c>
      <c r="G2023" t="s">
        <v>20</v>
      </c>
      <c r="L2023" t="s">
        <v>4324</v>
      </c>
    </row>
    <row r="2024" spans="1:12" ht="15.75" hidden="1" customHeight="1">
      <c r="A2024" t="s">
        <v>4944</v>
      </c>
      <c r="B2024" t="s">
        <v>4319</v>
      </c>
      <c r="C2024" t="s">
        <v>4945</v>
      </c>
      <c r="F2024" t="s">
        <v>4941</v>
      </c>
      <c r="G2024" t="s">
        <v>20</v>
      </c>
      <c r="L2024" t="s">
        <v>4324</v>
      </c>
    </row>
    <row r="2025" spans="1:12" ht="15.75" hidden="1" customHeight="1">
      <c r="A2025" t="s">
        <v>4946</v>
      </c>
      <c r="B2025" t="s">
        <v>4319</v>
      </c>
      <c r="C2025" t="s">
        <v>4947</v>
      </c>
      <c r="F2025" t="s">
        <v>4941</v>
      </c>
      <c r="G2025" t="s">
        <v>20</v>
      </c>
      <c r="L2025" t="s">
        <v>4324</v>
      </c>
    </row>
    <row r="2026" spans="1:12" ht="15.75" hidden="1" customHeight="1">
      <c r="A2026" t="s">
        <v>4948</v>
      </c>
      <c r="B2026" t="s">
        <v>4319</v>
      </c>
      <c r="C2026" t="s">
        <v>4949</v>
      </c>
      <c r="F2026" t="s">
        <v>4941</v>
      </c>
      <c r="G2026" t="s">
        <v>20</v>
      </c>
      <c r="L2026" t="s">
        <v>4324</v>
      </c>
    </row>
    <row r="2027" spans="1:12" ht="15.75" hidden="1" customHeight="1">
      <c r="A2027" t="s">
        <v>4950</v>
      </c>
      <c r="B2027" t="s">
        <v>4319</v>
      </c>
      <c r="C2027" t="s">
        <v>4951</v>
      </c>
      <c r="F2027" t="s">
        <v>4917</v>
      </c>
      <c r="G2027" t="s">
        <v>20</v>
      </c>
      <c r="L2027" t="s">
        <v>736</v>
      </c>
    </row>
    <row r="2028" spans="1:12" ht="15.75" hidden="1" customHeight="1">
      <c r="A2028" t="s">
        <v>4952</v>
      </c>
      <c r="B2028" t="s">
        <v>4319</v>
      </c>
      <c r="C2028" t="s">
        <v>4953</v>
      </c>
      <c r="F2028" t="s">
        <v>4951</v>
      </c>
      <c r="G2028" t="s">
        <v>20</v>
      </c>
      <c r="L2028" t="s">
        <v>4324</v>
      </c>
    </row>
    <row r="2029" spans="1:12" ht="15.75" hidden="1" customHeight="1">
      <c r="A2029" t="s">
        <v>4954</v>
      </c>
      <c r="B2029" t="s">
        <v>4319</v>
      </c>
      <c r="C2029" t="s">
        <v>4955</v>
      </c>
      <c r="F2029" t="s">
        <v>4951</v>
      </c>
      <c r="G2029" t="s">
        <v>20</v>
      </c>
      <c r="L2029" t="s">
        <v>4324</v>
      </c>
    </row>
    <row r="2030" spans="1:12" ht="15.75" hidden="1" customHeight="1">
      <c r="A2030" t="s">
        <v>4956</v>
      </c>
      <c r="B2030" t="s">
        <v>4319</v>
      </c>
      <c r="C2030" t="s">
        <v>4957</v>
      </c>
      <c r="F2030" t="s">
        <v>4951</v>
      </c>
      <c r="G2030" t="s">
        <v>20</v>
      </c>
      <c r="L2030" t="s">
        <v>4324</v>
      </c>
    </row>
    <row r="2031" spans="1:12" ht="15.75" hidden="1" customHeight="1">
      <c r="A2031" t="s">
        <v>4958</v>
      </c>
      <c r="B2031" t="s">
        <v>4319</v>
      </c>
      <c r="C2031" t="s">
        <v>4959</v>
      </c>
      <c r="F2031" t="s">
        <v>4917</v>
      </c>
      <c r="G2031" t="s">
        <v>20</v>
      </c>
      <c r="L2031" t="s">
        <v>736</v>
      </c>
    </row>
    <row r="2032" spans="1:12" ht="15.75" hidden="1" customHeight="1">
      <c r="A2032" t="s">
        <v>4960</v>
      </c>
      <c r="B2032" t="s">
        <v>4319</v>
      </c>
      <c r="C2032" t="s">
        <v>4961</v>
      </c>
      <c r="F2032" t="s">
        <v>4959</v>
      </c>
      <c r="G2032" t="s">
        <v>20</v>
      </c>
      <c r="L2032" t="s">
        <v>4324</v>
      </c>
    </row>
    <row r="2033" spans="1:12" ht="15.75" hidden="1" customHeight="1">
      <c r="A2033" t="s">
        <v>4962</v>
      </c>
      <c r="B2033" t="s">
        <v>4319</v>
      </c>
      <c r="C2033" t="s">
        <v>4963</v>
      </c>
      <c r="F2033" t="s">
        <v>4959</v>
      </c>
      <c r="G2033" t="s">
        <v>20</v>
      </c>
      <c r="L2033" t="s">
        <v>4324</v>
      </c>
    </row>
    <row r="2034" spans="1:12" ht="15.75" hidden="1" customHeight="1">
      <c r="A2034" t="s">
        <v>4964</v>
      </c>
      <c r="B2034" t="s">
        <v>4319</v>
      </c>
      <c r="C2034" t="s">
        <v>4965</v>
      </c>
      <c r="F2034" t="s">
        <v>4959</v>
      </c>
      <c r="G2034" t="s">
        <v>20</v>
      </c>
      <c r="L2034" t="s">
        <v>4324</v>
      </c>
    </row>
    <row r="2035" spans="1:12" ht="15.75" hidden="1" customHeight="1">
      <c r="A2035" t="s">
        <v>4966</v>
      </c>
      <c r="B2035" t="s">
        <v>4319</v>
      </c>
      <c r="C2035" t="s">
        <v>4967</v>
      </c>
      <c r="F2035" t="s">
        <v>4959</v>
      </c>
      <c r="G2035" t="s">
        <v>20</v>
      </c>
      <c r="L2035" t="s">
        <v>4324</v>
      </c>
    </row>
    <row r="2036" spans="1:12" ht="15.75" hidden="1" customHeight="1">
      <c r="A2036" t="s">
        <v>4968</v>
      </c>
      <c r="B2036" t="s">
        <v>4319</v>
      </c>
      <c r="C2036" t="s">
        <v>4969</v>
      </c>
      <c r="F2036" t="s">
        <v>4959</v>
      </c>
      <c r="G2036" t="s">
        <v>20</v>
      </c>
      <c r="L2036" t="s">
        <v>4324</v>
      </c>
    </row>
    <row r="2037" spans="1:12" ht="15.75" hidden="1" customHeight="1">
      <c r="A2037" t="s">
        <v>4970</v>
      </c>
      <c r="B2037" t="s">
        <v>4319</v>
      </c>
      <c r="C2037" t="s">
        <v>4971</v>
      </c>
      <c r="F2037" t="s">
        <v>4959</v>
      </c>
      <c r="G2037" t="s">
        <v>20</v>
      </c>
      <c r="L2037" t="s">
        <v>4324</v>
      </c>
    </row>
    <row r="2038" spans="1:12" ht="15.75" hidden="1" customHeight="1">
      <c r="A2038" t="s">
        <v>4972</v>
      </c>
      <c r="B2038" t="s">
        <v>4319</v>
      </c>
      <c r="C2038" t="s">
        <v>4973</v>
      </c>
      <c r="F2038" t="s">
        <v>4959</v>
      </c>
      <c r="G2038" t="s">
        <v>20</v>
      </c>
      <c r="L2038" t="s">
        <v>4324</v>
      </c>
    </row>
    <row r="2039" spans="1:12" ht="15.75" hidden="1" customHeight="1">
      <c r="A2039" t="s">
        <v>4974</v>
      </c>
      <c r="B2039" t="s">
        <v>4319</v>
      </c>
      <c r="C2039" t="s">
        <v>4975</v>
      </c>
      <c r="F2039" t="s">
        <v>4959</v>
      </c>
      <c r="G2039" t="s">
        <v>20</v>
      </c>
      <c r="L2039" t="s">
        <v>4324</v>
      </c>
    </row>
    <row r="2040" spans="1:12" ht="15.75" hidden="1" customHeight="1">
      <c r="A2040" t="s">
        <v>4976</v>
      </c>
      <c r="B2040" t="s">
        <v>4319</v>
      </c>
      <c r="C2040" t="s">
        <v>4977</v>
      </c>
      <c r="F2040" t="s">
        <v>4917</v>
      </c>
      <c r="G2040" t="s">
        <v>20</v>
      </c>
      <c r="L2040" t="s">
        <v>736</v>
      </c>
    </row>
    <row r="2041" spans="1:12" ht="15.75" hidden="1" customHeight="1">
      <c r="A2041" t="s">
        <v>4978</v>
      </c>
      <c r="B2041" t="s">
        <v>4319</v>
      </c>
      <c r="C2041" t="s">
        <v>4979</v>
      </c>
      <c r="F2041" t="s">
        <v>4977</v>
      </c>
      <c r="G2041" t="s">
        <v>20</v>
      </c>
      <c r="L2041" t="s">
        <v>4324</v>
      </c>
    </row>
    <row r="2042" spans="1:12" ht="15.75" hidden="1" customHeight="1">
      <c r="A2042" t="s">
        <v>4980</v>
      </c>
      <c r="B2042" t="s">
        <v>4319</v>
      </c>
      <c r="C2042" t="s">
        <v>4981</v>
      </c>
      <c r="F2042" t="s">
        <v>4977</v>
      </c>
      <c r="G2042" t="s">
        <v>20</v>
      </c>
      <c r="L2042" t="s">
        <v>4324</v>
      </c>
    </row>
    <row r="2043" spans="1:12" ht="15.75" hidden="1" customHeight="1">
      <c r="A2043" t="s">
        <v>4982</v>
      </c>
      <c r="B2043" t="s">
        <v>4319</v>
      </c>
      <c r="C2043" t="s">
        <v>4983</v>
      </c>
      <c r="F2043" t="s">
        <v>4977</v>
      </c>
      <c r="G2043" t="s">
        <v>20</v>
      </c>
      <c r="L2043" t="s">
        <v>4324</v>
      </c>
    </row>
    <row r="2044" spans="1:12" ht="15.75" hidden="1" customHeight="1">
      <c r="A2044" t="s">
        <v>4984</v>
      </c>
      <c r="B2044" t="s">
        <v>4319</v>
      </c>
      <c r="C2044" t="s">
        <v>4985</v>
      </c>
      <c r="F2044" t="s">
        <v>4986</v>
      </c>
      <c r="G2044" t="s">
        <v>20</v>
      </c>
      <c r="L2044" t="s">
        <v>736</v>
      </c>
    </row>
    <row r="2045" spans="1:12" ht="15.75" hidden="1" customHeight="1">
      <c r="A2045" t="s">
        <v>4987</v>
      </c>
      <c r="B2045" t="s">
        <v>4319</v>
      </c>
      <c r="C2045" t="s">
        <v>4988</v>
      </c>
      <c r="F2045" t="s">
        <v>4985</v>
      </c>
      <c r="G2045" t="s">
        <v>20</v>
      </c>
      <c r="L2045" t="s">
        <v>4324</v>
      </c>
    </row>
    <row r="2046" spans="1:12" ht="15.75" hidden="1" customHeight="1">
      <c r="A2046" t="s">
        <v>4989</v>
      </c>
      <c r="B2046" t="s">
        <v>4319</v>
      </c>
      <c r="C2046" t="s">
        <v>4990</v>
      </c>
      <c r="F2046" t="s">
        <v>4985</v>
      </c>
      <c r="G2046" t="s">
        <v>20</v>
      </c>
      <c r="L2046" t="s">
        <v>4324</v>
      </c>
    </row>
    <row r="2047" spans="1:12" ht="15.75" hidden="1" customHeight="1">
      <c r="A2047" t="s">
        <v>4991</v>
      </c>
      <c r="B2047" t="s">
        <v>4319</v>
      </c>
      <c r="C2047" t="s">
        <v>4992</v>
      </c>
      <c r="F2047" t="s">
        <v>4985</v>
      </c>
      <c r="G2047" t="s">
        <v>20</v>
      </c>
      <c r="L2047" t="s">
        <v>4324</v>
      </c>
    </row>
    <row r="2048" spans="1:12" ht="15.75" hidden="1" customHeight="1">
      <c r="A2048" t="s">
        <v>4993</v>
      </c>
      <c r="B2048" t="s">
        <v>4319</v>
      </c>
      <c r="C2048" t="s">
        <v>4994</v>
      </c>
      <c r="F2048" t="s">
        <v>4986</v>
      </c>
      <c r="G2048" t="s">
        <v>20</v>
      </c>
      <c r="L2048" t="s">
        <v>736</v>
      </c>
    </row>
    <row r="2049" spans="1:12" ht="15.75" hidden="1" customHeight="1">
      <c r="A2049" t="s">
        <v>4995</v>
      </c>
      <c r="B2049" t="s">
        <v>4319</v>
      </c>
      <c r="C2049" t="s">
        <v>4996</v>
      </c>
      <c r="F2049" t="s">
        <v>4994</v>
      </c>
      <c r="G2049" t="s">
        <v>20</v>
      </c>
      <c r="L2049" t="s">
        <v>4324</v>
      </c>
    </row>
    <row r="2050" spans="1:12" ht="15.75" hidden="1" customHeight="1">
      <c r="A2050" t="s">
        <v>4997</v>
      </c>
      <c r="B2050" t="s">
        <v>4319</v>
      </c>
      <c r="C2050" t="s">
        <v>4998</v>
      </c>
      <c r="F2050" t="s">
        <v>4994</v>
      </c>
      <c r="G2050" t="s">
        <v>20</v>
      </c>
      <c r="L2050" t="s">
        <v>4324</v>
      </c>
    </row>
    <row r="2051" spans="1:12" ht="15.75" hidden="1" customHeight="1">
      <c r="A2051" t="s">
        <v>4999</v>
      </c>
      <c r="B2051" t="s">
        <v>4319</v>
      </c>
      <c r="C2051" t="s">
        <v>5000</v>
      </c>
      <c r="F2051" t="s">
        <v>4994</v>
      </c>
      <c r="G2051" t="s">
        <v>20</v>
      </c>
      <c r="L2051" t="s">
        <v>4324</v>
      </c>
    </row>
    <row r="2052" spans="1:12" ht="15.75" hidden="1" customHeight="1">
      <c r="A2052" t="s">
        <v>5001</v>
      </c>
      <c r="B2052" t="s">
        <v>4319</v>
      </c>
      <c r="C2052" t="s">
        <v>5002</v>
      </c>
      <c r="F2052" t="s">
        <v>4986</v>
      </c>
      <c r="G2052" t="s">
        <v>20</v>
      </c>
      <c r="L2052" t="s">
        <v>736</v>
      </c>
    </row>
    <row r="2053" spans="1:12" ht="15.75" hidden="1" customHeight="1">
      <c r="A2053" t="s">
        <v>5003</v>
      </c>
      <c r="B2053" t="s">
        <v>4319</v>
      </c>
      <c r="C2053" t="s">
        <v>5004</v>
      </c>
      <c r="F2053" t="s">
        <v>5002</v>
      </c>
      <c r="G2053" t="s">
        <v>20</v>
      </c>
      <c r="L2053" t="s">
        <v>4324</v>
      </c>
    </row>
    <row r="2054" spans="1:12" ht="15.75" hidden="1" customHeight="1">
      <c r="A2054" t="s">
        <v>5005</v>
      </c>
      <c r="B2054" t="s">
        <v>4319</v>
      </c>
      <c r="C2054" t="s">
        <v>5006</v>
      </c>
      <c r="F2054" t="s">
        <v>5002</v>
      </c>
      <c r="G2054" t="s">
        <v>20</v>
      </c>
      <c r="L2054" t="s">
        <v>4324</v>
      </c>
    </row>
    <row r="2055" spans="1:12" ht="15.75" hidden="1" customHeight="1">
      <c r="A2055" t="s">
        <v>5007</v>
      </c>
      <c r="B2055" t="s">
        <v>4319</v>
      </c>
      <c r="C2055" t="s">
        <v>5008</v>
      </c>
      <c r="F2055" t="s">
        <v>5002</v>
      </c>
      <c r="G2055" t="s">
        <v>20</v>
      </c>
      <c r="L2055" t="s">
        <v>4324</v>
      </c>
    </row>
    <row r="2056" spans="1:12" ht="15.75" hidden="1" customHeight="1">
      <c r="A2056" t="s">
        <v>5009</v>
      </c>
      <c r="B2056" t="s">
        <v>4319</v>
      </c>
      <c r="C2056" t="s">
        <v>5010</v>
      </c>
      <c r="F2056" t="s">
        <v>4986</v>
      </c>
      <c r="G2056" t="s">
        <v>20</v>
      </c>
      <c r="L2056" t="s">
        <v>736</v>
      </c>
    </row>
    <row r="2057" spans="1:12" ht="15.75" hidden="1" customHeight="1">
      <c r="A2057" t="s">
        <v>5011</v>
      </c>
      <c r="B2057" t="s">
        <v>4319</v>
      </c>
      <c r="C2057" t="s">
        <v>5012</v>
      </c>
      <c r="F2057" t="s">
        <v>5010</v>
      </c>
      <c r="G2057" t="s">
        <v>20</v>
      </c>
      <c r="L2057" t="s">
        <v>4324</v>
      </c>
    </row>
    <row r="2058" spans="1:12" ht="15.75" hidden="1" customHeight="1">
      <c r="A2058" t="s">
        <v>5013</v>
      </c>
      <c r="B2058" t="s">
        <v>4319</v>
      </c>
      <c r="C2058" t="s">
        <v>5014</v>
      </c>
      <c r="F2058" t="s">
        <v>5010</v>
      </c>
      <c r="G2058" t="s">
        <v>20</v>
      </c>
      <c r="L2058" t="s">
        <v>4324</v>
      </c>
    </row>
    <row r="2059" spans="1:12" ht="15.75" hidden="1" customHeight="1">
      <c r="A2059" t="s">
        <v>5015</v>
      </c>
      <c r="B2059" t="s">
        <v>4319</v>
      </c>
      <c r="C2059" t="s">
        <v>5016</v>
      </c>
      <c r="F2059" t="s">
        <v>5010</v>
      </c>
      <c r="G2059" t="s">
        <v>20</v>
      </c>
      <c r="L2059" t="s">
        <v>4324</v>
      </c>
    </row>
    <row r="2060" spans="1:12" ht="15.75" hidden="1" customHeight="1">
      <c r="A2060" t="s">
        <v>5017</v>
      </c>
      <c r="B2060" t="s">
        <v>4319</v>
      </c>
      <c r="C2060" t="s">
        <v>5018</v>
      </c>
      <c r="F2060" t="s">
        <v>4986</v>
      </c>
      <c r="G2060" t="s">
        <v>20</v>
      </c>
      <c r="L2060" t="s">
        <v>736</v>
      </c>
    </row>
    <row r="2061" spans="1:12" ht="15.75" hidden="1" customHeight="1">
      <c r="A2061" t="s">
        <v>5019</v>
      </c>
      <c r="B2061" t="s">
        <v>4319</v>
      </c>
      <c r="C2061" t="s">
        <v>5020</v>
      </c>
      <c r="F2061" t="s">
        <v>5018</v>
      </c>
      <c r="G2061" t="s">
        <v>20</v>
      </c>
      <c r="L2061" t="s">
        <v>4324</v>
      </c>
    </row>
    <row r="2062" spans="1:12" ht="15.75" hidden="1" customHeight="1">
      <c r="A2062" t="s">
        <v>5021</v>
      </c>
      <c r="B2062" t="s">
        <v>4319</v>
      </c>
      <c r="C2062" t="s">
        <v>5022</v>
      </c>
      <c r="F2062" t="s">
        <v>5018</v>
      </c>
      <c r="G2062" t="s">
        <v>20</v>
      </c>
      <c r="L2062" t="s">
        <v>4324</v>
      </c>
    </row>
    <row r="2063" spans="1:12" ht="15.75" hidden="1" customHeight="1">
      <c r="A2063" t="s">
        <v>5023</v>
      </c>
      <c r="B2063" t="s">
        <v>4319</v>
      </c>
      <c r="C2063" t="s">
        <v>5024</v>
      </c>
      <c r="F2063" t="s">
        <v>5018</v>
      </c>
      <c r="G2063" t="s">
        <v>20</v>
      </c>
      <c r="L2063" t="s">
        <v>4324</v>
      </c>
    </row>
    <row r="2064" spans="1:12" ht="15.75" hidden="1" customHeight="1">
      <c r="A2064" t="s">
        <v>5025</v>
      </c>
      <c r="B2064" t="s">
        <v>4319</v>
      </c>
      <c r="C2064" t="s">
        <v>5026</v>
      </c>
      <c r="F2064" t="s">
        <v>4986</v>
      </c>
      <c r="G2064" t="s">
        <v>20</v>
      </c>
      <c r="L2064" t="s">
        <v>736</v>
      </c>
    </row>
    <row r="2065" spans="1:12" ht="15.75" hidden="1" customHeight="1">
      <c r="A2065" t="s">
        <v>5027</v>
      </c>
      <c r="B2065" t="s">
        <v>4319</v>
      </c>
      <c r="C2065" t="s">
        <v>5028</v>
      </c>
      <c r="F2065" t="s">
        <v>5026</v>
      </c>
      <c r="G2065" t="s">
        <v>20</v>
      </c>
      <c r="L2065" t="s">
        <v>4324</v>
      </c>
    </row>
    <row r="2066" spans="1:12" ht="15.75" hidden="1" customHeight="1">
      <c r="A2066" t="s">
        <v>5029</v>
      </c>
      <c r="B2066" t="s">
        <v>4319</v>
      </c>
      <c r="C2066" t="s">
        <v>5030</v>
      </c>
      <c r="F2066" t="s">
        <v>5026</v>
      </c>
      <c r="G2066" t="s">
        <v>20</v>
      </c>
      <c r="L2066" t="s">
        <v>4324</v>
      </c>
    </row>
    <row r="2067" spans="1:12" ht="15.75" hidden="1" customHeight="1">
      <c r="A2067" t="s">
        <v>5031</v>
      </c>
      <c r="B2067" t="s">
        <v>4319</v>
      </c>
      <c r="C2067" t="s">
        <v>5032</v>
      </c>
      <c r="F2067" t="s">
        <v>5026</v>
      </c>
      <c r="G2067" t="s">
        <v>20</v>
      </c>
      <c r="L2067" t="s">
        <v>4324</v>
      </c>
    </row>
    <row r="2068" spans="1:12" ht="15.75" hidden="1" customHeight="1">
      <c r="A2068" t="s">
        <v>5033</v>
      </c>
      <c r="B2068" t="s">
        <v>4319</v>
      </c>
      <c r="C2068" t="s">
        <v>5034</v>
      </c>
      <c r="F2068" t="s">
        <v>4986</v>
      </c>
      <c r="G2068" t="s">
        <v>20</v>
      </c>
      <c r="L2068" t="s">
        <v>736</v>
      </c>
    </row>
    <row r="2069" spans="1:12" ht="15.75" hidden="1" customHeight="1">
      <c r="A2069" t="s">
        <v>5035</v>
      </c>
      <c r="B2069" t="s">
        <v>4319</v>
      </c>
      <c r="C2069" t="s">
        <v>5036</v>
      </c>
      <c r="F2069" t="s">
        <v>5034</v>
      </c>
      <c r="G2069" t="s">
        <v>20</v>
      </c>
      <c r="L2069" t="s">
        <v>4324</v>
      </c>
    </row>
    <row r="2070" spans="1:12" ht="15.75" hidden="1" customHeight="1">
      <c r="A2070" t="s">
        <v>5037</v>
      </c>
      <c r="B2070" t="s">
        <v>4319</v>
      </c>
      <c r="C2070" t="s">
        <v>5038</v>
      </c>
      <c r="F2070" t="s">
        <v>5034</v>
      </c>
      <c r="G2070" t="s">
        <v>20</v>
      </c>
      <c r="L2070" t="s">
        <v>4324</v>
      </c>
    </row>
    <row r="2071" spans="1:12" ht="15.75" hidden="1" customHeight="1">
      <c r="A2071" t="s">
        <v>5039</v>
      </c>
      <c r="B2071" t="s">
        <v>4319</v>
      </c>
      <c r="C2071" t="s">
        <v>5040</v>
      </c>
      <c r="F2071" t="s">
        <v>5034</v>
      </c>
      <c r="G2071" t="s">
        <v>20</v>
      </c>
      <c r="L2071" t="s">
        <v>4324</v>
      </c>
    </row>
    <row r="2072" spans="1:12" ht="15.75" hidden="1" customHeight="1">
      <c r="A2072" t="s">
        <v>5041</v>
      </c>
      <c r="B2072" t="s">
        <v>4319</v>
      </c>
      <c r="C2072" t="s">
        <v>5042</v>
      </c>
      <c r="F2072" t="s">
        <v>4986</v>
      </c>
      <c r="G2072" t="s">
        <v>20</v>
      </c>
      <c r="L2072" t="s">
        <v>736</v>
      </c>
    </row>
    <row r="2073" spans="1:12" ht="15.75" hidden="1" customHeight="1">
      <c r="A2073" t="s">
        <v>5043</v>
      </c>
      <c r="B2073" t="s">
        <v>4319</v>
      </c>
      <c r="C2073" t="s">
        <v>5044</v>
      </c>
      <c r="F2073" t="s">
        <v>4986</v>
      </c>
      <c r="G2073" t="s">
        <v>20</v>
      </c>
      <c r="L2073" t="s">
        <v>736</v>
      </c>
    </row>
    <row r="2074" spans="1:12" ht="15.75" hidden="1" customHeight="1">
      <c r="A2074" t="s">
        <v>5045</v>
      </c>
      <c r="B2074" t="s">
        <v>4319</v>
      </c>
      <c r="C2074" t="s">
        <v>5046</v>
      </c>
      <c r="F2074" t="s">
        <v>5044</v>
      </c>
      <c r="G2074" t="s">
        <v>20</v>
      </c>
      <c r="L2074" t="s">
        <v>4324</v>
      </c>
    </row>
    <row r="2075" spans="1:12" ht="15.75" hidden="1" customHeight="1">
      <c r="A2075" t="s">
        <v>5047</v>
      </c>
      <c r="B2075" t="s">
        <v>4319</v>
      </c>
      <c r="C2075" t="s">
        <v>5048</v>
      </c>
      <c r="F2075" t="s">
        <v>5044</v>
      </c>
      <c r="G2075" t="s">
        <v>20</v>
      </c>
      <c r="L2075" t="s">
        <v>4324</v>
      </c>
    </row>
    <row r="2076" spans="1:12" ht="15.75" hidden="1" customHeight="1">
      <c r="A2076" t="s">
        <v>5049</v>
      </c>
      <c r="B2076" t="s">
        <v>4319</v>
      </c>
      <c r="C2076" t="s">
        <v>5050</v>
      </c>
      <c r="F2076" t="s">
        <v>5044</v>
      </c>
      <c r="G2076" t="s">
        <v>20</v>
      </c>
      <c r="L2076" t="s">
        <v>4324</v>
      </c>
    </row>
    <row r="2077" spans="1:12" ht="15.75" hidden="1" customHeight="1">
      <c r="A2077" t="s">
        <v>5051</v>
      </c>
      <c r="B2077" t="s">
        <v>4319</v>
      </c>
      <c r="C2077" t="s">
        <v>5052</v>
      </c>
      <c r="F2077" t="s">
        <v>4986</v>
      </c>
      <c r="G2077" t="s">
        <v>20</v>
      </c>
      <c r="L2077" t="s">
        <v>736</v>
      </c>
    </row>
    <row r="2078" spans="1:12" ht="15.75" hidden="1" customHeight="1">
      <c r="A2078" t="s">
        <v>5053</v>
      </c>
      <c r="B2078" t="s">
        <v>4319</v>
      </c>
      <c r="C2078" t="s">
        <v>5054</v>
      </c>
      <c r="F2078" t="s">
        <v>4986</v>
      </c>
      <c r="G2078" t="s">
        <v>20</v>
      </c>
      <c r="L2078" t="s">
        <v>736</v>
      </c>
    </row>
    <row r="2079" spans="1:12" ht="15.75" hidden="1" customHeight="1">
      <c r="A2079" t="s">
        <v>5055</v>
      </c>
      <c r="B2079" t="s">
        <v>4319</v>
      </c>
      <c r="C2079" t="s">
        <v>5056</v>
      </c>
      <c r="F2079" t="s">
        <v>4986</v>
      </c>
      <c r="G2079" t="s">
        <v>20</v>
      </c>
      <c r="L2079" t="s">
        <v>736</v>
      </c>
    </row>
    <row r="2080" spans="1:12" ht="15.75" hidden="1" customHeight="1">
      <c r="A2080" t="s">
        <v>5057</v>
      </c>
      <c r="B2080" t="s">
        <v>4319</v>
      </c>
      <c r="C2080" t="s">
        <v>5058</v>
      </c>
      <c r="F2080" t="s">
        <v>5056</v>
      </c>
      <c r="G2080" t="s">
        <v>20</v>
      </c>
      <c r="L2080" t="s">
        <v>4324</v>
      </c>
    </row>
    <row r="2081" spans="1:12" ht="15.75" hidden="1" customHeight="1">
      <c r="A2081" t="s">
        <v>5059</v>
      </c>
      <c r="B2081" t="s">
        <v>4319</v>
      </c>
      <c r="C2081" t="s">
        <v>5060</v>
      </c>
      <c r="F2081" t="s">
        <v>5056</v>
      </c>
      <c r="G2081" t="s">
        <v>20</v>
      </c>
      <c r="L2081" t="s">
        <v>4324</v>
      </c>
    </row>
    <row r="2082" spans="1:12" ht="15.75" hidden="1" customHeight="1">
      <c r="A2082" t="s">
        <v>5061</v>
      </c>
      <c r="B2082" t="s">
        <v>4319</v>
      </c>
      <c r="C2082" t="s">
        <v>5062</v>
      </c>
      <c r="F2082" t="s">
        <v>5056</v>
      </c>
      <c r="G2082" t="s">
        <v>20</v>
      </c>
      <c r="L2082" t="s">
        <v>4324</v>
      </c>
    </row>
    <row r="2083" spans="1:12" ht="15.75" hidden="1" customHeight="1">
      <c r="A2083" t="s">
        <v>5063</v>
      </c>
      <c r="B2083" t="s">
        <v>4319</v>
      </c>
      <c r="C2083" t="s">
        <v>5064</v>
      </c>
      <c r="F2083" t="s">
        <v>4986</v>
      </c>
      <c r="G2083" t="s">
        <v>20</v>
      </c>
      <c r="L2083" t="s">
        <v>736</v>
      </c>
    </row>
    <row r="2084" spans="1:12" ht="15.75" hidden="1" customHeight="1">
      <c r="A2084" t="s">
        <v>5065</v>
      </c>
      <c r="B2084" t="s">
        <v>4319</v>
      </c>
      <c r="C2084" t="s">
        <v>5066</v>
      </c>
      <c r="F2084" t="s">
        <v>5064</v>
      </c>
      <c r="G2084" t="s">
        <v>20</v>
      </c>
      <c r="L2084" t="s">
        <v>4324</v>
      </c>
    </row>
    <row r="2085" spans="1:12" ht="15.75" hidden="1" customHeight="1">
      <c r="A2085" t="s">
        <v>5067</v>
      </c>
      <c r="B2085" t="s">
        <v>4319</v>
      </c>
      <c r="C2085" t="s">
        <v>5068</v>
      </c>
      <c r="F2085" t="s">
        <v>5064</v>
      </c>
      <c r="G2085" t="s">
        <v>20</v>
      </c>
      <c r="L2085" t="s">
        <v>4324</v>
      </c>
    </row>
    <row r="2086" spans="1:12" ht="15.75" hidden="1" customHeight="1">
      <c r="A2086" t="s">
        <v>5069</v>
      </c>
      <c r="B2086" t="s">
        <v>4319</v>
      </c>
      <c r="C2086" t="s">
        <v>5070</v>
      </c>
      <c r="F2086" t="s">
        <v>5064</v>
      </c>
      <c r="G2086" t="s">
        <v>20</v>
      </c>
      <c r="L2086" t="s">
        <v>4324</v>
      </c>
    </row>
    <row r="2087" spans="1:12" ht="15.75" hidden="1" customHeight="1">
      <c r="A2087" t="s">
        <v>5071</v>
      </c>
      <c r="B2087" t="s">
        <v>4319</v>
      </c>
      <c r="C2087" t="s">
        <v>5072</v>
      </c>
      <c r="F2087" t="s">
        <v>4986</v>
      </c>
      <c r="G2087" t="s">
        <v>20</v>
      </c>
      <c r="L2087" t="s">
        <v>736</v>
      </c>
    </row>
    <row r="2088" spans="1:12" ht="15.75" hidden="1" customHeight="1">
      <c r="A2088" t="s">
        <v>5073</v>
      </c>
      <c r="B2088" t="s">
        <v>4319</v>
      </c>
      <c r="C2088" t="s">
        <v>5074</v>
      </c>
      <c r="F2088" t="s">
        <v>5072</v>
      </c>
      <c r="G2088" t="s">
        <v>20</v>
      </c>
      <c r="L2088" t="s">
        <v>4324</v>
      </c>
    </row>
    <row r="2089" spans="1:12" ht="15.75" hidden="1" customHeight="1">
      <c r="A2089" t="s">
        <v>5075</v>
      </c>
      <c r="B2089" t="s">
        <v>4319</v>
      </c>
      <c r="C2089" t="s">
        <v>5076</v>
      </c>
      <c r="F2089" t="s">
        <v>5072</v>
      </c>
      <c r="G2089" t="s">
        <v>20</v>
      </c>
      <c r="L2089" t="s">
        <v>4324</v>
      </c>
    </row>
    <row r="2090" spans="1:12" ht="15.75" hidden="1" customHeight="1">
      <c r="A2090" t="s">
        <v>5077</v>
      </c>
      <c r="B2090" t="s">
        <v>4319</v>
      </c>
      <c r="C2090" t="s">
        <v>5078</v>
      </c>
      <c r="F2090" t="s">
        <v>5072</v>
      </c>
      <c r="G2090" t="s">
        <v>20</v>
      </c>
      <c r="L2090" t="s">
        <v>4324</v>
      </c>
    </row>
    <row r="2091" spans="1:12" ht="15.75" hidden="1" customHeight="1">
      <c r="A2091" t="s">
        <v>5079</v>
      </c>
      <c r="B2091" t="s">
        <v>4319</v>
      </c>
      <c r="C2091" t="s">
        <v>5080</v>
      </c>
      <c r="F2091" t="s">
        <v>4986</v>
      </c>
      <c r="G2091" t="s">
        <v>20</v>
      </c>
      <c r="L2091" t="s">
        <v>736</v>
      </c>
    </row>
    <row r="2092" spans="1:12" ht="15.75" hidden="1" customHeight="1">
      <c r="A2092" t="s">
        <v>5081</v>
      </c>
      <c r="B2092" t="s">
        <v>4319</v>
      </c>
      <c r="C2092" t="s">
        <v>5082</v>
      </c>
      <c r="F2092" t="s">
        <v>5080</v>
      </c>
      <c r="G2092" t="s">
        <v>20</v>
      </c>
      <c r="L2092" t="s">
        <v>4324</v>
      </c>
    </row>
    <row r="2093" spans="1:12" ht="15.75" hidden="1" customHeight="1">
      <c r="A2093" t="s">
        <v>5083</v>
      </c>
      <c r="B2093" t="s">
        <v>4319</v>
      </c>
      <c r="C2093" t="s">
        <v>5084</v>
      </c>
      <c r="F2093" t="s">
        <v>5080</v>
      </c>
      <c r="G2093" t="s">
        <v>20</v>
      </c>
      <c r="L2093" t="s">
        <v>4324</v>
      </c>
    </row>
    <row r="2094" spans="1:12" ht="15.75" hidden="1" customHeight="1">
      <c r="A2094" t="s">
        <v>5085</v>
      </c>
      <c r="B2094" t="s">
        <v>4319</v>
      </c>
      <c r="C2094" t="s">
        <v>5086</v>
      </c>
      <c r="F2094" t="s">
        <v>5080</v>
      </c>
      <c r="G2094" t="s">
        <v>20</v>
      </c>
      <c r="L2094" t="s">
        <v>4324</v>
      </c>
    </row>
    <row r="2095" spans="1:12" ht="15.75" hidden="1" customHeight="1">
      <c r="A2095" t="s">
        <v>5087</v>
      </c>
      <c r="B2095" t="s">
        <v>4319</v>
      </c>
      <c r="C2095" t="s">
        <v>5088</v>
      </c>
      <c r="F2095" t="s">
        <v>4986</v>
      </c>
      <c r="G2095" t="s">
        <v>20</v>
      </c>
      <c r="L2095" t="s">
        <v>736</v>
      </c>
    </row>
    <row r="2096" spans="1:12" ht="15.75" hidden="1" customHeight="1">
      <c r="A2096" t="s">
        <v>5089</v>
      </c>
      <c r="B2096" t="s">
        <v>4319</v>
      </c>
      <c r="C2096" t="s">
        <v>5090</v>
      </c>
      <c r="F2096" t="s">
        <v>5088</v>
      </c>
      <c r="G2096" t="s">
        <v>20</v>
      </c>
      <c r="L2096" t="s">
        <v>4324</v>
      </c>
    </row>
    <row r="2097" spans="1:12" ht="15.75" hidden="1" customHeight="1">
      <c r="A2097" t="s">
        <v>5091</v>
      </c>
      <c r="B2097" t="s">
        <v>4319</v>
      </c>
      <c r="C2097" t="s">
        <v>5092</v>
      </c>
      <c r="F2097" t="s">
        <v>5088</v>
      </c>
      <c r="G2097" t="s">
        <v>20</v>
      </c>
      <c r="L2097" t="s">
        <v>4324</v>
      </c>
    </row>
    <row r="2098" spans="1:12" ht="15.75" hidden="1" customHeight="1">
      <c r="A2098" t="s">
        <v>5093</v>
      </c>
      <c r="B2098" t="s">
        <v>4319</v>
      </c>
      <c r="C2098" t="s">
        <v>5094</v>
      </c>
      <c r="F2098" t="s">
        <v>4986</v>
      </c>
      <c r="G2098" t="s">
        <v>20</v>
      </c>
      <c r="L2098" t="s">
        <v>736</v>
      </c>
    </row>
    <row r="2099" spans="1:12" ht="15.75" hidden="1" customHeight="1">
      <c r="A2099" t="s">
        <v>5095</v>
      </c>
      <c r="B2099" t="s">
        <v>4319</v>
      </c>
      <c r="C2099" t="s">
        <v>5096</v>
      </c>
      <c r="F2099" t="s">
        <v>5094</v>
      </c>
      <c r="G2099" t="s">
        <v>20</v>
      </c>
      <c r="L2099" t="s">
        <v>4324</v>
      </c>
    </row>
    <row r="2100" spans="1:12" ht="15.75" hidden="1" customHeight="1">
      <c r="A2100" t="s">
        <v>5097</v>
      </c>
      <c r="B2100" t="s">
        <v>4319</v>
      </c>
      <c r="C2100" t="s">
        <v>5098</v>
      </c>
      <c r="F2100" t="s">
        <v>5094</v>
      </c>
      <c r="G2100" t="s">
        <v>20</v>
      </c>
      <c r="L2100" t="s">
        <v>4324</v>
      </c>
    </row>
    <row r="2101" spans="1:12" ht="15.75" hidden="1" customHeight="1">
      <c r="A2101" t="s">
        <v>5099</v>
      </c>
      <c r="B2101" t="s">
        <v>4319</v>
      </c>
      <c r="C2101" t="s">
        <v>5100</v>
      </c>
      <c r="F2101" t="s">
        <v>5094</v>
      </c>
      <c r="G2101" t="s">
        <v>20</v>
      </c>
      <c r="L2101" t="s">
        <v>4324</v>
      </c>
    </row>
    <row r="2102" spans="1:12" ht="15.75" hidden="1" customHeight="1">
      <c r="A2102" t="s">
        <v>5101</v>
      </c>
      <c r="B2102" t="s">
        <v>4319</v>
      </c>
      <c r="C2102" t="s">
        <v>5102</v>
      </c>
      <c r="F2102" t="s">
        <v>5094</v>
      </c>
      <c r="G2102" t="s">
        <v>20</v>
      </c>
      <c r="L2102" t="s">
        <v>4324</v>
      </c>
    </row>
    <row r="2103" spans="1:12" ht="15.75" hidden="1" customHeight="1">
      <c r="A2103" t="s">
        <v>5103</v>
      </c>
      <c r="B2103" t="s">
        <v>4319</v>
      </c>
      <c r="C2103" t="s">
        <v>5104</v>
      </c>
      <c r="F2103" t="s">
        <v>5094</v>
      </c>
      <c r="G2103" t="s">
        <v>20</v>
      </c>
      <c r="L2103" t="s">
        <v>4324</v>
      </c>
    </row>
    <row r="2104" spans="1:12" ht="15.75" hidden="1" customHeight="1">
      <c r="A2104" t="s">
        <v>5105</v>
      </c>
      <c r="B2104" t="s">
        <v>4319</v>
      </c>
      <c r="C2104" t="s">
        <v>5106</v>
      </c>
      <c r="F2104" t="s">
        <v>5094</v>
      </c>
      <c r="G2104" t="s">
        <v>20</v>
      </c>
      <c r="L2104" t="s">
        <v>4324</v>
      </c>
    </row>
    <row r="2105" spans="1:12" ht="15.75" hidden="1" customHeight="1">
      <c r="A2105" t="s">
        <v>5107</v>
      </c>
      <c r="B2105" t="s">
        <v>4319</v>
      </c>
      <c r="C2105" t="s">
        <v>5108</v>
      </c>
      <c r="F2105" t="s">
        <v>5094</v>
      </c>
      <c r="G2105" t="s">
        <v>20</v>
      </c>
      <c r="L2105" t="s">
        <v>4324</v>
      </c>
    </row>
    <row r="2106" spans="1:12" ht="15.75" hidden="1" customHeight="1">
      <c r="A2106" t="s">
        <v>5109</v>
      </c>
      <c r="B2106" t="s">
        <v>4319</v>
      </c>
      <c r="C2106" t="s">
        <v>5110</v>
      </c>
      <c r="F2106" t="s">
        <v>5094</v>
      </c>
      <c r="G2106" t="s">
        <v>20</v>
      </c>
      <c r="L2106" t="s">
        <v>4324</v>
      </c>
    </row>
    <row r="2107" spans="1:12" ht="15.75" hidden="1" customHeight="1">
      <c r="A2107" t="s">
        <v>5111</v>
      </c>
      <c r="B2107" t="s">
        <v>4319</v>
      </c>
      <c r="C2107" t="s">
        <v>5112</v>
      </c>
      <c r="F2107" t="s">
        <v>5094</v>
      </c>
      <c r="G2107" t="s">
        <v>20</v>
      </c>
      <c r="L2107" t="s">
        <v>4324</v>
      </c>
    </row>
    <row r="2108" spans="1:12" ht="15.75" hidden="1" customHeight="1">
      <c r="A2108" t="s">
        <v>5113</v>
      </c>
      <c r="B2108" t="s">
        <v>4319</v>
      </c>
      <c r="C2108" t="s">
        <v>5114</v>
      </c>
      <c r="F2108" t="s">
        <v>5094</v>
      </c>
      <c r="G2108" t="s">
        <v>20</v>
      </c>
      <c r="L2108" t="s">
        <v>4324</v>
      </c>
    </row>
    <row r="2109" spans="1:12" ht="15.75" hidden="1" customHeight="1">
      <c r="A2109" t="s">
        <v>5115</v>
      </c>
      <c r="B2109" t="s">
        <v>4319</v>
      </c>
      <c r="C2109" t="s">
        <v>5116</v>
      </c>
      <c r="F2109" t="s">
        <v>5094</v>
      </c>
      <c r="G2109" t="s">
        <v>20</v>
      </c>
      <c r="L2109" t="s">
        <v>4324</v>
      </c>
    </row>
    <row r="2110" spans="1:12" ht="15.75" hidden="1" customHeight="1">
      <c r="A2110" t="s">
        <v>5117</v>
      </c>
      <c r="B2110" t="s">
        <v>4319</v>
      </c>
      <c r="C2110" t="s">
        <v>5118</v>
      </c>
      <c r="F2110" t="s">
        <v>5094</v>
      </c>
      <c r="G2110" t="s">
        <v>20</v>
      </c>
      <c r="L2110" t="s">
        <v>4324</v>
      </c>
    </row>
    <row r="2111" spans="1:12" ht="15.75" hidden="1" customHeight="1">
      <c r="A2111" t="s">
        <v>5119</v>
      </c>
      <c r="B2111" t="s">
        <v>4319</v>
      </c>
      <c r="C2111" t="s">
        <v>5120</v>
      </c>
      <c r="F2111" t="s">
        <v>5094</v>
      </c>
      <c r="G2111" t="s">
        <v>20</v>
      </c>
      <c r="L2111" t="s">
        <v>4324</v>
      </c>
    </row>
    <row r="2112" spans="1:12" ht="15.75" hidden="1" customHeight="1">
      <c r="A2112" t="s">
        <v>5121</v>
      </c>
      <c r="B2112" t="s">
        <v>4319</v>
      </c>
      <c r="C2112" t="s">
        <v>5122</v>
      </c>
      <c r="F2112" t="s">
        <v>5094</v>
      </c>
      <c r="G2112" t="s">
        <v>20</v>
      </c>
      <c r="L2112" t="s">
        <v>4324</v>
      </c>
    </row>
    <row r="2113" spans="1:12" ht="15.75" hidden="1" customHeight="1">
      <c r="A2113" t="s">
        <v>5123</v>
      </c>
      <c r="B2113" t="s">
        <v>4319</v>
      </c>
      <c r="C2113" t="s">
        <v>5124</v>
      </c>
      <c r="F2113" t="s">
        <v>5094</v>
      </c>
      <c r="G2113" t="s">
        <v>20</v>
      </c>
      <c r="L2113" t="s">
        <v>4324</v>
      </c>
    </row>
    <row r="2114" spans="1:12" ht="15.75" hidden="1" customHeight="1">
      <c r="A2114" t="s">
        <v>5125</v>
      </c>
      <c r="B2114" t="s">
        <v>4319</v>
      </c>
      <c r="C2114" t="s">
        <v>5126</v>
      </c>
      <c r="F2114" t="s">
        <v>4986</v>
      </c>
      <c r="G2114" t="s">
        <v>20</v>
      </c>
      <c r="L2114" t="s">
        <v>736</v>
      </c>
    </row>
    <row r="2115" spans="1:12" ht="15.75" hidden="1" customHeight="1">
      <c r="A2115" t="s">
        <v>5127</v>
      </c>
      <c r="B2115" t="s">
        <v>4319</v>
      </c>
      <c r="C2115" t="s">
        <v>5128</v>
      </c>
      <c r="F2115" t="s">
        <v>5126</v>
      </c>
      <c r="G2115" t="s">
        <v>20</v>
      </c>
      <c r="L2115" t="s">
        <v>4324</v>
      </c>
    </row>
    <row r="2116" spans="1:12" ht="15.75" hidden="1" customHeight="1">
      <c r="A2116" t="s">
        <v>5129</v>
      </c>
      <c r="B2116" t="s">
        <v>4319</v>
      </c>
      <c r="C2116" t="s">
        <v>5130</v>
      </c>
      <c r="F2116" t="s">
        <v>5126</v>
      </c>
      <c r="G2116" t="s">
        <v>20</v>
      </c>
      <c r="L2116" t="s">
        <v>4324</v>
      </c>
    </row>
    <row r="2117" spans="1:12" ht="15.75" hidden="1" customHeight="1">
      <c r="A2117" t="s">
        <v>5131</v>
      </c>
      <c r="B2117" t="s">
        <v>4319</v>
      </c>
      <c r="C2117" t="s">
        <v>5132</v>
      </c>
      <c r="F2117" t="s">
        <v>5126</v>
      </c>
      <c r="G2117" t="s">
        <v>20</v>
      </c>
      <c r="L2117" t="s">
        <v>4324</v>
      </c>
    </row>
    <row r="2118" spans="1:12" ht="15.75" hidden="1" customHeight="1">
      <c r="A2118" t="s">
        <v>5133</v>
      </c>
      <c r="B2118" t="s">
        <v>4319</v>
      </c>
      <c r="C2118" t="s">
        <v>5134</v>
      </c>
      <c r="F2118" t="s">
        <v>5126</v>
      </c>
      <c r="G2118" t="s">
        <v>20</v>
      </c>
      <c r="L2118" t="s">
        <v>4324</v>
      </c>
    </row>
    <row r="2119" spans="1:12" ht="15.75" hidden="1" customHeight="1">
      <c r="A2119" t="s">
        <v>5135</v>
      </c>
      <c r="B2119" t="s">
        <v>4319</v>
      </c>
      <c r="C2119" t="s">
        <v>5136</v>
      </c>
      <c r="F2119" t="s">
        <v>5126</v>
      </c>
      <c r="G2119" t="s">
        <v>20</v>
      </c>
      <c r="L2119" t="s">
        <v>4324</v>
      </c>
    </row>
    <row r="2120" spans="1:12" ht="15.75" hidden="1" customHeight="1">
      <c r="A2120" t="s">
        <v>5137</v>
      </c>
      <c r="B2120" t="s">
        <v>4319</v>
      </c>
      <c r="C2120" t="s">
        <v>5138</v>
      </c>
      <c r="E2120" t="s">
        <v>5139</v>
      </c>
      <c r="F2120" t="s">
        <v>5140</v>
      </c>
      <c r="G2120" t="s">
        <v>20</v>
      </c>
      <c r="L2120" t="s">
        <v>736</v>
      </c>
    </row>
    <row r="2121" spans="1:12" ht="15.75" hidden="1" customHeight="1">
      <c r="A2121" t="s">
        <v>5141</v>
      </c>
      <c r="B2121" t="s">
        <v>4319</v>
      </c>
      <c r="C2121" t="s">
        <v>5142</v>
      </c>
      <c r="E2121" t="s">
        <v>5143</v>
      </c>
      <c r="F2121" t="s">
        <v>5140</v>
      </c>
      <c r="G2121" t="s">
        <v>20</v>
      </c>
      <c r="L2121" t="s">
        <v>736</v>
      </c>
    </row>
    <row r="2122" spans="1:12" ht="15.75" hidden="1" customHeight="1">
      <c r="A2122" t="s">
        <v>5144</v>
      </c>
      <c r="B2122" t="s">
        <v>4319</v>
      </c>
      <c r="C2122" t="s">
        <v>5145</v>
      </c>
      <c r="E2122" t="s">
        <v>5146</v>
      </c>
      <c r="F2122" t="s">
        <v>5140</v>
      </c>
      <c r="G2122" t="s">
        <v>20</v>
      </c>
      <c r="L2122" t="s">
        <v>736</v>
      </c>
    </row>
    <row r="2123" spans="1:12" ht="15.75" hidden="1" customHeight="1">
      <c r="A2123" t="s">
        <v>5147</v>
      </c>
      <c r="B2123" t="s">
        <v>4319</v>
      </c>
      <c r="C2123" t="s">
        <v>5148</v>
      </c>
      <c r="F2123" t="s">
        <v>5149</v>
      </c>
      <c r="G2123" t="s">
        <v>20</v>
      </c>
      <c r="L2123" t="s">
        <v>736</v>
      </c>
    </row>
    <row r="2124" spans="1:12" ht="15.75" hidden="1" customHeight="1">
      <c r="A2124" t="s">
        <v>5150</v>
      </c>
      <c r="B2124" t="s">
        <v>4319</v>
      </c>
      <c r="C2124" t="s">
        <v>5151</v>
      </c>
      <c r="F2124" t="s">
        <v>5148</v>
      </c>
      <c r="G2124" t="s">
        <v>20</v>
      </c>
      <c r="L2124" t="s">
        <v>4324</v>
      </c>
    </row>
    <row r="2125" spans="1:12" ht="15.75" hidden="1" customHeight="1">
      <c r="A2125" t="s">
        <v>5152</v>
      </c>
      <c r="B2125" t="s">
        <v>4319</v>
      </c>
      <c r="C2125" t="s">
        <v>5153</v>
      </c>
      <c r="F2125" t="s">
        <v>5148</v>
      </c>
      <c r="G2125" t="s">
        <v>20</v>
      </c>
      <c r="L2125" t="s">
        <v>4324</v>
      </c>
    </row>
    <row r="2126" spans="1:12" ht="15.75" hidden="1" customHeight="1">
      <c r="A2126" t="s">
        <v>5154</v>
      </c>
      <c r="B2126" t="s">
        <v>4319</v>
      </c>
      <c r="C2126" t="s">
        <v>5155</v>
      </c>
      <c r="F2126" t="s">
        <v>5148</v>
      </c>
      <c r="G2126" t="s">
        <v>20</v>
      </c>
      <c r="L2126" t="s">
        <v>4324</v>
      </c>
    </row>
    <row r="2127" spans="1:12" ht="15.75" hidden="1" customHeight="1">
      <c r="A2127" t="s">
        <v>5156</v>
      </c>
      <c r="B2127" t="s">
        <v>4319</v>
      </c>
      <c r="C2127" t="s">
        <v>5157</v>
      </c>
      <c r="F2127" t="s">
        <v>5149</v>
      </c>
      <c r="G2127" t="s">
        <v>20</v>
      </c>
      <c r="L2127" t="s">
        <v>736</v>
      </c>
    </row>
    <row r="2128" spans="1:12" ht="15.75" hidden="1" customHeight="1">
      <c r="A2128" t="s">
        <v>5158</v>
      </c>
      <c r="B2128" t="s">
        <v>4319</v>
      </c>
      <c r="C2128" t="s">
        <v>5159</v>
      </c>
      <c r="F2128" t="s">
        <v>5157</v>
      </c>
      <c r="G2128" t="s">
        <v>20</v>
      </c>
      <c r="L2128" t="s">
        <v>4324</v>
      </c>
    </row>
    <row r="2129" spans="1:12" ht="15.75" hidden="1" customHeight="1">
      <c r="A2129" t="s">
        <v>5160</v>
      </c>
      <c r="B2129" t="s">
        <v>4319</v>
      </c>
      <c r="C2129" t="s">
        <v>5161</v>
      </c>
      <c r="F2129" t="s">
        <v>5157</v>
      </c>
      <c r="G2129" t="s">
        <v>20</v>
      </c>
      <c r="L2129" t="s">
        <v>4324</v>
      </c>
    </row>
    <row r="2130" spans="1:12" ht="15.75" hidden="1" customHeight="1">
      <c r="A2130" t="s">
        <v>5162</v>
      </c>
      <c r="B2130" t="s">
        <v>4319</v>
      </c>
      <c r="C2130" t="s">
        <v>5163</v>
      </c>
      <c r="F2130" t="s">
        <v>5157</v>
      </c>
      <c r="G2130" t="s">
        <v>20</v>
      </c>
      <c r="L2130" t="s">
        <v>4324</v>
      </c>
    </row>
    <row r="2131" spans="1:12" ht="15.75" hidden="1" customHeight="1">
      <c r="A2131" t="s">
        <v>5164</v>
      </c>
      <c r="B2131" t="s">
        <v>4319</v>
      </c>
      <c r="C2131" t="s">
        <v>5165</v>
      </c>
      <c r="F2131" t="s">
        <v>5157</v>
      </c>
      <c r="G2131" t="s">
        <v>20</v>
      </c>
      <c r="L2131" t="s">
        <v>4324</v>
      </c>
    </row>
    <row r="2132" spans="1:12" ht="15.75" hidden="1" customHeight="1">
      <c r="A2132" t="s">
        <v>5166</v>
      </c>
      <c r="B2132" t="s">
        <v>4319</v>
      </c>
      <c r="C2132" t="s">
        <v>5167</v>
      </c>
      <c r="F2132" t="s">
        <v>5149</v>
      </c>
      <c r="G2132" t="s">
        <v>20</v>
      </c>
      <c r="L2132" t="s">
        <v>736</v>
      </c>
    </row>
    <row r="2133" spans="1:12" ht="15.75" hidden="1" customHeight="1">
      <c r="A2133" t="s">
        <v>5168</v>
      </c>
      <c r="B2133" t="s">
        <v>4319</v>
      </c>
      <c r="C2133" t="s">
        <v>5169</v>
      </c>
      <c r="F2133" t="s">
        <v>5167</v>
      </c>
      <c r="G2133" t="s">
        <v>20</v>
      </c>
      <c r="L2133" t="s">
        <v>4324</v>
      </c>
    </row>
    <row r="2134" spans="1:12" ht="15.75" hidden="1" customHeight="1">
      <c r="A2134" t="s">
        <v>5170</v>
      </c>
      <c r="B2134" t="s">
        <v>4319</v>
      </c>
      <c r="C2134" t="s">
        <v>5171</v>
      </c>
      <c r="F2134" t="s">
        <v>5167</v>
      </c>
      <c r="G2134" t="s">
        <v>20</v>
      </c>
      <c r="L2134" t="s">
        <v>4324</v>
      </c>
    </row>
    <row r="2135" spans="1:12" ht="15.75" hidden="1" customHeight="1">
      <c r="A2135" t="s">
        <v>5172</v>
      </c>
      <c r="B2135" t="s">
        <v>4319</v>
      </c>
      <c r="C2135" t="s">
        <v>5173</v>
      </c>
      <c r="F2135" t="s">
        <v>5167</v>
      </c>
      <c r="G2135" t="s">
        <v>20</v>
      </c>
      <c r="L2135" t="s">
        <v>4324</v>
      </c>
    </row>
    <row r="2136" spans="1:12" ht="15.75" hidden="1" customHeight="1">
      <c r="A2136" t="s">
        <v>5174</v>
      </c>
      <c r="B2136" t="s">
        <v>4319</v>
      </c>
      <c r="C2136" t="s">
        <v>5175</v>
      </c>
      <c r="F2136" t="s">
        <v>5149</v>
      </c>
      <c r="G2136" t="s">
        <v>20</v>
      </c>
      <c r="L2136" t="s">
        <v>736</v>
      </c>
    </row>
    <row r="2137" spans="1:12" ht="15.75" hidden="1" customHeight="1">
      <c r="A2137" t="s">
        <v>5176</v>
      </c>
      <c r="B2137" t="s">
        <v>4319</v>
      </c>
      <c r="C2137" t="s">
        <v>5177</v>
      </c>
      <c r="F2137" t="s">
        <v>5149</v>
      </c>
      <c r="G2137" t="s">
        <v>20</v>
      </c>
      <c r="L2137" t="s">
        <v>736</v>
      </c>
    </row>
    <row r="2138" spans="1:12" ht="15.75" hidden="1" customHeight="1">
      <c r="A2138" t="s">
        <v>5178</v>
      </c>
      <c r="B2138" t="s">
        <v>4319</v>
      </c>
      <c r="C2138" t="s">
        <v>4600</v>
      </c>
      <c r="F2138" t="s">
        <v>5177</v>
      </c>
      <c r="G2138" t="s">
        <v>20</v>
      </c>
      <c r="L2138" t="s">
        <v>4324</v>
      </c>
    </row>
    <row r="2139" spans="1:12" ht="15.75" hidden="1" customHeight="1">
      <c r="A2139" t="s">
        <v>5179</v>
      </c>
      <c r="B2139" t="s">
        <v>4319</v>
      </c>
      <c r="C2139" t="s">
        <v>4602</v>
      </c>
      <c r="F2139" t="s">
        <v>5177</v>
      </c>
      <c r="G2139" t="s">
        <v>20</v>
      </c>
      <c r="L2139" t="s">
        <v>4324</v>
      </c>
    </row>
    <row r="2140" spans="1:12" ht="15.75" hidden="1" customHeight="1">
      <c r="A2140" t="s">
        <v>5180</v>
      </c>
      <c r="B2140" t="s">
        <v>4319</v>
      </c>
      <c r="C2140" t="s">
        <v>4604</v>
      </c>
      <c r="F2140" t="s">
        <v>5177</v>
      </c>
      <c r="G2140" t="s">
        <v>20</v>
      </c>
      <c r="L2140" t="s">
        <v>4324</v>
      </c>
    </row>
    <row r="2141" spans="1:12" ht="15.75" hidden="1" customHeight="1">
      <c r="A2141" t="s">
        <v>5181</v>
      </c>
      <c r="B2141" t="s">
        <v>4319</v>
      </c>
      <c r="C2141" t="s">
        <v>5182</v>
      </c>
      <c r="F2141" t="s">
        <v>5149</v>
      </c>
      <c r="G2141" t="s">
        <v>20</v>
      </c>
      <c r="L2141" t="s">
        <v>736</v>
      </c>
    </row>
    <row r="2142" spans="1:12" ht="15.75" hidden="1" customHeight="1">
      <c r="A2142" t="s">
        <v>5183</v>
      </c>
      <c r="B2142" t="s">
        <v>4319</v>
      </c>
      <c r="C2142" t="s">
        <v>5184</v>
      </c>
      <c r="F2142" t="s">
        <v>5182</v>
      </c>
      <c r="G2142" t="s">
        <v>20</v>
      </c>
      <c r="L2142" t="s">
        <v>4324</v>
      </c>
    </row>
    <row r="2143" spans="1:12" ht="15.75" hidden="1" customHeight="1">
      <c r="A2143" t="s">
        <v>5185</v>
      </c>
      <c r="B2143" t="s">
        <v>4319</v>
      </c>
      <c r="C2143" t="s">
        <v>5186</v>
      </c>
      <c r="F2143" t="s">
        <v>5182</v>
      </c>
      <c r="G2143" t="s">
        <v>20</v>
      </c>
      <c r="L2143" t="s">
        <v>4324</v>
      </c>
    </row>
    <row r="2144" spans="1:12" ht="15.75" hidden="1" customHeight="1">
      <c r="A2144" t="s">
        <v>5187</v>
      </c>
      <c r="B2144" t="s">
        <v>4319</v>
      </c>
      <c r="C2144" t="s">
        <v>5188</v>
      </c>
      <c r="F2144" t="s">
        <v>5182</v>
      </c>
      <c r="G2144" t="s">
        <v>20</v>
      </c>
      <c r="L2144" t="s">
        <v>4324</v>
      </c>
    </row>
    <row r="2145" spans="1:12" ht="15.75" hidden="1" customHeight="1">
      <c r="A2145" t="s">
        <v>5189</v>
      </c>
      <c r="B2145" t="s">
        <v>4319</v>
      </c>
      <c r="C2145" t="s">
        <v>5190</v>
      </c>
      <c r="F2145" t="s">
        <v>5149</v>
      </c>
      <c r="G2145" t="s">
        <v>20</v>
      </c>
      <c r="L2145" t="s">
        <v>736</v>
      </c>
    </row>
    <row r="2146" spans="1:12" ht="15.75" hidden="1" customHeight="1">
      <c r="A2146" t="s">
        <v>5191</v>
      </c>
      <c r="B2146" t="s">
        <v>4319</v>
      </c>
      <c r="C2146" t="s">
        <v>5192</v>
      </c>
      <c r="F2146" t="s">
        <v>5190</v>
      </c>
      <c r="G2146" t="s">
        <v>20</v>
      </c>
      <c r="L2146" t="s">
        <v>4324</v>
      </c>
    </row>
    <row r="2147" spans="1:12" ht="15.75" hidden="1" customHeight="1">
      <c r="A2147" t="s">
        <v>5193</v>
      </c>
      <c r="B2147" t="s">
        <v>4319</v>
      </c>
      <c r="C2147" t="s">
        <v>5194</v>
      </c>
      <c r="F2147" t="s">
        <v>5190</v>
      </c>
      <c r="G2147" t="s">
        <v>20</v>
      </c>
      <c r="L2147" t="s">
        <v>4324</v>
      </c>
    </row>
    <row r="2148" spans="1:12" ht="15.75" hidden="1" customHeight="1">
      <c r="A2148" t="s">
        <v>5195</v>
      </c>
      <c r="B2148" t="s">
        <v>4319</v>
      </c>
      <c r="C2148" t="s">
        <v>5196</v>
      </c>
      <c r="F2148" t="s">
        <v>5190</v>
      </c>
      <c r="G2148" t="s">
        <v>20</v>
      </c>
      <c r="L2148" t="s">
        <v>4324</v>
      </c>
    </row>
    <row r="2149" spans="1:12" ht="15.75" hidden="1" customHeight="1">
      <c r="A2149" t="s">
        <v>5197</v>
      </c>
      <c r="B2149" t="s">
        <v>4319</v>
      </c>
      <c r="C2149" t="s">
        <v>5198</v>
      </c>
      <c r="F2149" t="s">
        <v>5149</v>
      </c>
      <c r="G2149" t="s">
        <v>20</v>
      </c>
      <c r="L2149" t="s">
        <v>736</v>
      </c>
    </row>
    <row r="2150" spans="1:12" ht="15.75" hidden="1" customHeight="1">
      <c r="A2150" t="s">
        <v>5199</v>
      </c>
      <c r="B2150" t="s">
        <v>4319</v>
      </c>
      <c r="C2150" t="s">
        <v>5200</v>
      </c>
      <c r="F2150" t="s">
        <v>5198</v>
      </c>
      <c r="G2150" t="s">
        <v>20</v>
      </c>
      <c r="L2150" t="s">
        <v>4324</v>
      </c>
    </row>
    <row r="2151" spans="1:12" ht="15.75" hidden="1" customHeight="1">
      <c r="A2151" t="s">
        <v>5201</v>
      </c>
      <c r="B2151" t="s">
        <v>4319</v>
      </c>
      <c r="C2151" t="s">
        <v>5202</v>
      </c>
      <c r="F2151" t="s">
        <v>5198</v>
      </c>
      <c r="G2151" t="s">
        <v>20</v>
      </c>
      <c r="L2151" t="s">
        <v>4324</v>
      </c>
    </row>
    <row r="2152" spans="1:12" ht="15.75" hidden="1" customHeight="1">
      <c r="A2152" t="s">
        <v>5203</v>
      </c>
      <c r="B2152" t="s">
        <v>4319</v>
      </c>
      <c r="C2152" t="s">
        <v>5204</v>
      </c>
      <c r="F2152" t="s">
        <v>5198</v>
      </c>
      <c r="G2152" t="s">
        <v>20</v>
      </c>
      <c r="L2152" t="s">
        <v>4324</v>
      </c>
    </row>
    <row r="2153" spans="1:12" ht="15.75" hidden="1" customHeight="1">
      <c r="A2153" t="s">
        <v>5205</v>
      </c>
      <c r="B2153" t="s">
        <v>4319</v>
      </c>
      <c r="C2153" t="s">
        <v>5206</v>
      </c>
      <c r="F2153" t="s">
        <v>5149</v>
      </c>
      <c r="G2153" t="s">
        <v>20</v>
      </c>
      <c r="L2153" t="s">
        <v>736</v>
      </c>
    </row>
    <row r="2154" spans="1:12" ht="15.75" hidden="1" customHeight="1">
      <c r="A2154" t="s">
        <v>5207</v>
      </c>
      <c r="B2154" t="s">
        <v>4319</v>
      </c>
      <c r="C2154" t="s">
        <v>5208</v>
      </c>
      <c r="F2154" t="s">
        <v>5149</v>
      </c>
      <c r="G2154" t="s">
        <v>20</v>
      </c>
      <c r="L2154" t="s">
        <v>736</v>
      </c>
    </row>
    <row r="2155" spans="1:12" ht="15.75" hidden="1" customHeight="1">
      <c r="A2155" t="s">
        <v>5209</v>
      </c>
      <c r="B2155" t="s">
        <v>4319</v>
      </c>
      <c r="C2155" t="s">
        <v>5210</v>
      </c>
      <c r="F2155" t="s">
        <v>5208</v>
      </c>
      <c r="G2155" t="s">
        <v>20</v>
      </c>
      <c r="L2155" t="s">
        <v>4324</v>
      </c>
    </row>
    <row r="2156" spans="1:12" ht="15.75" hidden="1" customHeight="1">
      <c r="A2156" t="s">
        <v>5211</v>
      </c>
      <c r="B2156" t="s">
        <v>4319</v>
      </c>
      <c r="C2156" t="s">
        <v>5212</v>
      </c>
      <c r="F2156" t="s">
        <v>5208</v>
      </c>
      <c r="G2156" t="s">
        <v>20</v>
      </c>
      <c r="L2156" t="s">
        <v>4324</v>
      </c>
    </row>
    <row r="2157" spans="1:12" ht="15.75" hidden="1" customHeight="1">
      <c r="A2157" t="s">
        <v>5213</v>
      </c>
      <c r="B2157" t="s">
        <v>4319</v>
      </c>
      <c r="C2157" t="s">
        <v>5214</v>
      </c>
      <c r="F2157" t="s">
        <v>5208</v>
      </c>
      <c r="G2157" t="s">
        <v>20</v>
      </c>
      <c r="L2157" t="s">
        <v>4324</v>
      </c>
    </row>
    <row r="2158" spans="1:12" ht="15.75" hidden="1" customHeight="1">
      <c r="A2158" t="s">
        <v>5215</v>
      </c>
      <c r="B2158" t="s">
        <v>4319</v>
      </c>
      <c r="C2158" t="s">
        <v>5216</v>
      </c>
      <c r="F2158" t="s">
        <v>5149</v>
      </c>
      <c r="G2158" t="s">
        <v>20</v>
      </c>
      <c r="L2158" t="s">
        <v>736</v>
      </c>
    </row>
    <row r="2159" spans="1:12" ht="15.75" hidden="1" customHeight="1">
      <c r="A2159" t="s">
        <v>5217</v>
      </c>
      <c r="B2159" t="s">
        <v>4319</v>
      </c>
      <c r="C2159" t="s">
        <v>5218</v>
      </c>
      <c r="F2159" t="s">
        <v>5216</v>
      </c>
      <c r="G2159" t="s">
        <v>20</v>
      </c>
      <c r="L2159" t="s">
        <v>4324</v>
      </c>
    </row>
    <row r="2160" spans="1:12" ht="15.75" hidden="1" customHeight="1">
      <c r="A2160" t="s">
        <v>5219</v>
      </c>
      <c r="B2160" t="s">
        <v>4319</v>
      </c>
      <c r="C2160" t="s">
        <v>5220</v>
      </c>
      <c r="F2160" t="s">
        <v>5216</v>
      </c>
      <c r="G2160" t="s">
        <v>20</v>
      </c>
      <c r="L2160" t="s">
        <v>4324</v>
      </c>
    </row>
    <row r="2161" spans="1:12" ht="15.75" hidden="1" customHeight="1">
      <c r="A2161" t="s">
        <v>5221</v>
      </c>
      <c r="B2161" t="s">
        <v>4319</v>
      </c>
      <c r="C2161" t="s">
        <v>5222</v>
      </c>
      <c r="F2161" t="s">
        <v>5216</v>
      </c>
      <c r="G2161" t="s">
        <v>20</v>
      </c>
      <c r="L2161" t="s">
        <v>4324</v>
      </c>
    </row>
    <row r="2162" spans="1:12" ht="15.75" hidden="1" customHeight="1">
      <c r="A2162" t="s">
        <v>5223</v>
      </c>
      <c r="B2162" t="s">
        <v>4319</v>
      </c>
      <c r="C2162" t="s">
        <v>5224</v>
      </c>
      <c r="F2162" t="s">
        <v>5149</v>
      </c>
      <c r="G2162" t="s">
        <v>20</v>
      </c>
      <c r="L2162" t="s">
        <v>736</v>
      </c>
    </row>
    <row r="2163" spans="1:12" ht="15.75" hidden="1" customHeight="1">
      <c r="A2163" t="s">
        <v>5225</v>
      </c>
      <c r="B2163" t="s">
        <v>4319</v>
      </c>
      <c r="C2163" t="s">
        <v>5226</v>
      </c>
      <c r="F2163" t="s">
        <v>5224</v>
      </c>
      <c r="G2163" t="s">
        <v>20</v>
      </c>
      <c r="L2163" t="s">
        <v>4324</v>
      </c>
    </row>
    <row r="2164" spans="1:12" ht="15.75" hidden="1" customHeight="1">
      <c r="A2164" t="s">
        <v>5227</v>
      </c>
      <c r="B2164" t="s">
        <v>4319</v>
      </c>
      <c r="C2164" t="s">
        <v>5228</v>
      </c>
      <c r="F2164" t="s">
        <v>5224</v>
      </c>
      <c r="G2164" t="s">
        <v>20</v>
      </c>
      <c r="L2164" t="s">
        <v>4324</v>
      </c>
    </row>
    <row r="2165" spans="1:12" ht="15.75" hidden="1" customHeight="1">
      <c r="A2165" t="s">
        <v>5229</v>
      </c>
      <c r="B2165" t="s">
        <v>4319</v>
      </c>
      <c r="C2165" t="s">
        <v>5230</v>
      </c>
      <c r="F2165" t="s">
        <v>5224</v>
      </c>
      <c r="G2165" t="s">
        <v>20</v>
      </c>
      <c r="L2165" t="s">
        <v>4324</v>
      </c>
    </row>
    <row r="2166" spans="1:12" ht="15.75" hidden="1" customHeight="1">
      <c r="A2166" t="s">
        <v>5231</v>
      </c>
      <c r="B2166" t="s">
        <v>4319</v>
      </c>
      <c r="C2166" t="s">
        <v>5232</v>
      </c>
      <c r="F2166" t="s">
        <v>5149</v>
      </c>
      <c r="G2166" t="s">
        <v>20</v>
      </c>
      <c r="L2166" t="s">
        <v>736</v>
      </c>
    </row>
    <row r="2167" spans="1:12" ht="15.75" hidden="1" customHeight="1">
      <c r="A2167" t="s">
        <v>5233</v>
      </c>
      <c r="B2167" t="s">
        <v>4319</v>
      </c>
      <c r="C2167" t="s">
        <v>5234</v>
      </c>
      <c r="F2167" t="s">
        <v>5232</v>
      </c>
      <c r="G2167" t="s">
        <v>20</v>
      </c>
      <c r="L2167" t="s">
        <v>4324</v>
      </c>
    </row>
    <row r="2168" spans="1:12" ht="15.75" hidden="1" customHeight="1">
      <c r="A2168" t="s">
        <v>5235</v>
      </c>
      <c r="B2168" t="s">
        <v>4319</v>
      </c>
      <c r="C2168" t="s">
        <v>5236</v>
      </c>
      <c r="F2168" t="s">
        <v>5232</v>
      </c>
      <c r="G2168" t="s">
        <v>20</v>
      </c>
      <c r="L2168" t="s">
        <v>4324</v>
      </c>
    </row>
    <row r="2169" spans="1:12" ht="15.75" hidden="1" customHeight="1">
      <c r="A2169" t="s">
        <v>5237</v>
      </c>
      <c r="B2169" t="s">
        <v>4319</v>
      </c>
      <c r="C2169" t="s">
        <v>5238</v>
      </c>
      <c r="F2169" t="s">
        <v>5232</v>
      </c>
      <c r="G2169" t="s">
        <v>20</v>
      </c>
      <c r="L2169" t="s">
        <v>4324</v>
      </c>
    </row>
    <row r="2170" spans="1:12" ht="15.75" hidden="1" customHeight="1">
      <c r="A2170" t="s">
        <v>5239</v>
      </c>
      <c r="B2170" t="s">
        <v>4319</v>
      </c>
      <c r="C2170" t="s">
        <v>5240</v>
      </c>
      <c r="F2170" t="s">
        <v>5232</v>
      </c>
      <c r="G2170" t="s">
        <v>20</v>
      </c>
      <c r="L2170" t="s">
        <v>4324</v>
      </c>
    </row>
    <row r="2171" spans="1:12" ht="15.75" hidden="1" customHeight="1">
      <c r="A2171" t="s">
        <v>5241</v>
      </c>
      <c r="B2171" t="s">
        <v>4319</v>
      </c>
      <c r="C2171" t="s">
        <v>5242</v>
      </c>
      <c r="F2171" t="s">
        <v>5232</v>
      </c>
      <c r="G2171" t="s">
        <v>20</v>
      </c>
      <c r="L2171" t="s">
        <v>4324</v>
      </c>
    </row>
    <row r="2172" spans="1:12" ht="15.75" hidden="1" customHeight="1">
      <c r="A2172" t="s">
        <v>5243</v>
      </c>
      <c r="B2172" t="s">
        <v>4319</v>
      </c>
      <c r="C2172" t="s">
        <v>5244</v>
      </c>
      <c r="F2172" t="s">
        <v>5232</v>
      </c>
      <c r="G2172" t="s">
        <v>20</v>
      </c>
      <c r="L2172" t="s">
        <v>4324</v>
      </c>
    </row>
    <row r="2173" spans="1:12" ht="15.75" hidden="1" customHeight="1">
      <c r="A2173" t="s">
        <v>5245</v>
      </c>
      <c r="B2173" t="s">
        <v>4319</v>
      </c>
      <c r="C2173" t="s">
        <v>5246</v>
      </c>
      <c r="F2173" t="s">
        <v>5232</v>
      </c>
      <c r="G2173" t="s">
        <v>20</v>
      </c>
      <c r="L2173" t="s">
        <v>4324</v>
      </c>
    </row>
    <row r="2174" spans="1:12" ht="15.75" hidden="1" customHeight="1">
      <c r="A2174" t="s">
        <v>5247</v>
      </c>
      <c r="B2174" t="s">
        <v>4319</v>
      </c>
      <c r="C2174" t="s">
        <v>5248</v>
      </c>
      <c r="F2174" t="s">
        <v>5232</v>
      </c>
      <c r="G2174" t="s">
        <v>20</v>
      </c>
      <c r="L2174" t="s">
        <v>4324</v>
      </c>
    </row>
    <row r="2175" spans="1:12" ht="15.75" hidden="1" customHeight="1">
      <c r="A2175" t="s">
        <v>5249</v>
      </c>
      <c r="B2175" t="s">
        <v>4319</v>
      </c>
      <c r="C2175" t="s">
        <v>5250</v>
      </c>
      <c r="F2175" t="s">
        <v>5232</v>
      </c>
      <c r="G2175" t="s">
        <v>20</v>
      </c>
      <c r="L2175" t="s">
        <v>4324</v>
      </c>
    </row>
    <row r="2176" spans="1:12" ht="15.75" hidden="1" customHeight="1">
      <c r="A2176" t="s">
        <v>5251</v>
      </c>
      <c r="B2176" t="s">
        <v>4319</v>
      </c>
      <c r="C2176" t="s">
        <v>5252</v>
      </c>
      <c r="F2176" t="s">
        <v>5232</v>
      </c>
      <c r="G2176" t="s">
        <v>20</v>
      </c>
      <c r="L2176" t="s">
        <v>4324</v>
      </c>
    </row>
    <row r="2177" spans="1:17" ht="15.75" hidden="1" customHeight="1">
      <c r="A2177" t="s">
        <v>5253</v>
      </c>
      <c r="B2177" t="s">
        <v>4319</v>
      </c>
      <c r="C2177" t="s">
        <v>5254</v>
      </c>
      <c r="F2177" t="s">
        <v>5232</v>
      </c>
      <c r="G2177" t="s">
        <v>20</v>
      </c>
      <c r="L2177" t="s">
        <v>4324</v>
      </c>
    </row>
    <row r="2178" spans="1:17" ht="15.75" hidden="1" customHeight="1">
      <c r="A2178" t="s">
        <v>5255</v>
      </c>
      <c r="B2178" t="s">
        <v>464</v>
      </c>
      <c r="C2178" t="s">
        <v>5256</v>
      </c>
      <c r="F2178" t="s">
        <v>4286</v>
      </c>
      <c r="G2178" t="s">
        <v>285</v>
      </c>
      <c r="L2178">
        <v>5</v>
      </c>
      <c r="Q2178" t="s">
        <v>5257</v>
      </c>
    </row>
    <row r="2179" spans="1:17" ht="15.75" hidden="1" customHeight="1">
      <c r="A2179" t="s">
        <v>5258</v>
      </c>
      <c r="B2179" t="s">
        <v>464</v>
      </c>
      <c r="C2179" t="s">
        <v>5259</v>
      </c>
      <c r="F2179" t="s">
        <v>4286</v>
      </c>
      <c r="G2179" t="s">
        <v>285</v>
      </c>
      <c r="L2179">
        <v>5</v>
      </c>
      <c r="Q2179" t="s">
        <v>5260</v>
      </c>
    </row>
    <row r="2180" spans="1:17" ht="15.75" hidden="1" customHeight="1">
      <c r="A2180" t="s">
        <v>5261</v>
      </c>
      <c r="B2180" t="s">
        <v>464</v>
      </c>
      <c r="C2180" t="s">
        <v>5262</v>
      </c>
      <c r="F2180" t="s">
        <v>4286</v>
      </c>
      <c r="G2180" t="s">
        <v>285</v>
      </c>
      <c r="L2180">
        <v>5</v>
      </c>
      <c r="Q2180" t="s">
        <v>5263</v>
      </c>
    </row>
    <row r="2181" spans="1:17" ht="15.75" hidden="1" customHeight="1">
      <c r="A2181" t="s">
        <v>5264</v>
      </c>
      <c r="B2181" t="s">
        <v>464</v>
      </c>
      <c r="C2181" t="s">
        <v>5265</v>
      </c>
      <c r="F2181" t="s">
        <v>4286</v>
      </c>
      <c r="G2181" t="s">
        <v>285</v>
      </c>
      <c r="L2181">
        <v>5</v>
      </c>
      <c r="Q2181" t="s">
        <v>5266</v>
      </c>
    </row>
    <row r="2182" spans="1:17" ht="15.75" hidden="1" customHeight="1">
      <c r="A2182" t="s">
        <v>5267</v>
      </c>
      <c r="B2182" t="s">
        <v>464</v>
      </c>
      <c r="C2182" t="s">
        <v>5268</v>
      </c>
      <c r="F2182" t="s">
        <v>4286</v>
      </c>
      <c r="G2182" t="s">
        <v>285</v>
      </c>
      <c r="L2182">
        <v>5</v>
      </c>
      <c r="Q2182" t="s">
        <v>5269</v>
      </c>
    </row>
    <row r="2183" spans="1:17" ht="15.75" hidden="1" customHeight="1">
      <c r="A2183" t="s">
        <v>5270</v>
      </c>
      <c r="B2183" t="s">
        <v>464</v>
      </c>
      <c r="C2183" t="s">
        <v>5271</v>
      </c>
      <c r="F2183" t="s">
        <v>4286</v>
      </c>
      <c r="G2183" t="s">
        <v>285</v>
      </c>
      <c r="L2183">
        <v>5</v>
      </c>
      <c r="Q2183" t="s">
        <v>5272</v>
      </c>
    </row>
    <row r="2184" spans="1:17" ht="15.75" hidden="1" customHeight="1">
      <c r="A2184" t="s">
        <v>5273</v>
      </c>
      <c r="B2184" t="s">
        <v>464</v>
      </c>
      <c r="C2184" t="s">
        <v>5274</v>
      </c>
      <c r="F2184" t="s">
        <v>4286</v>
      </c>
      <c r="G2184" t="s">
        <v>285</v>
      </c>
      <c r="L2184">
        <v>5</v>
      </c>
      <c r="Q2184" t="s">
        <v>5275</v>
      </c>
    </row>
    <row r="2185" spans="1:17" ht="15.75" hidden="1" customHeight="1">
      <c r="A2185" t="s">
        <v>5276</v>
      </c>
      <c r="B2185" t="s">
        <v>464</v>
      </c>
      <c r="C2185" t="s">
        <v>5277</v>
      </c>
      <c r="F2185" t="s">
        <v>4286</v>
      </c>
      <c r="G2185" t="s">
        <v>285</v>
      </c>
      <c r="L2185">
        <v>5</v>
      </c>
      <c r="Q2185" t="s">
        <v>5278</v>
      </c>
    </row>
    <row r="2186" spans="1:17" ht="15.75" hidden="1" customHeight="1">
      <c r="A2186" t="s">
        <v>5279</v>
      </c>
      <c r="B2186" t="s">
        <v>464</v>
      </c>
      <c r="C2186" t="s">
        <v>5280</v>
      </c>
      <c r="F2186" t="s">
        <v>4286</v>
      </c>
      <c r="G2186" t="s">
        <v>285</v>
      </c>
      <c r="L2186">
        <v>5</v>
      </c>
      <c r="Q2186" t="s">
        <v>5281</v>
      </c>
    </row>
    <row r="2187" spans="1:17" ht="15.75" hidden="1" customHeight="1">
      <c r="A2187" t="s">
        <v>5282</v>
      </c>
      <c r="B2187" t="s">
        <v>464</v>
      </c>
      <c r="C2187" t="s">
        <v>5283</v>
      </c>
      <c r="F2187" t="s">
        <v>4286</v>
      </c>
      <c r="G2187" t="s">
        <v>285</v>
      </c>
      <c r="L2187">
        <v>5</v>
      </c>
      <c r="Q2187" t="s">
        <v>5284</v>
      </c>
    </row>
    <row r="2188" spans="1:17" ht="15.75" hidden="1" customHeight="1">
      <c r="A2188" t="s">
        <v>5285</v>
      </c>
      <c r="B2188" t="s">
        <v>464</v>
      </c>
      <c r="C2188" t="s">
        <v>5286</v>
      </c>
      <c r="F2188" t="s">
        <v>4286</v>
      </c>
      <c r="G2188" t="s">
        <v>285</v>
      </c>
      <c r="L2188">
        <v>5</v>
      </c>
      <c r="Q2188" t="s">
        <v>5287</v>
      </c>
    </row>
    <row r="2189" spans="1:17" ht="15.75" hidden="1" customHeight="1">
      <c r="A2189" t="s">
        <v>5288</v>
      </c>
      <c r="B2189" t="s">
        <v>464</v>
      </c>
      <c r="C2189" t="s">
        <v>5289</v>
      </c>
      <c r="F2189" t="s">
        <v>4286</v>
      </c>
      <c r="G2189" t="s">
        <v>285</v>
      </c>
      <c r="L2189">
        <v>5</v>
      </c>
      <c r="Q2189" t="s">
        <v>5290</v>
      </c>
    </row>
    <row r="2190" spans="1:17" ht="15.75" hidden="1" customHeight="1">
      <c r="A2190" t="s">
        <v>5291</v>
      </c>
      <c r="B2190" t="s">
        <v>464</v>
      </c>
      <c r="C2190" t="s">
        <v>5292</v>
      </c>
      <c r="F2190" t="s">
        <v>4286</v>
      </c>
      <c r="G2190" t="s">
        <v>285</v>
      </c>
      <c r="L2190">
        <v>5</v>
      </c>
      <c r="Q2190" t="s">
        <v>5293</v>
      </c>
    </row>
    <row r="2191" spans="1:17" ht="15.75" hidden="1" customHeight="1">
      <c r="A2191" t="s">
        <v>5294</v>
      </c>
      <c r="B2191" t="s">
        <v>464</v>
      </c>
      <c r="C2191" t="s">
        <v>5295</v>
      </c>
      <c r="F2191" t="s">
        <v>4286</v>
      </c>
      <c r="G2191" t="s">
        <v>285</v>
      </c>
      <c r="L2191">
        <v>5</v>
      </c>
      <c r="Q2191" t="s">
        <v>5296</v>
      </c>
    </row>
    <row r="2192" spans="1:17" ht="15.75" hidden="1" customHeight="1">
      <c r="A2192" t="s">
        <v>5297</v>
      </c>
      <c r="B2192" t="s">
        <v>464</v>
      </c>
      <c r="C2192" t="s">
        <v>5298</v>
      </c>
      <c r="F2192" t="s">
        <v>4286</v>
      </c>
      <c r="G2192" t="s">
        <v>285</v>
      </c>
      <c r="L2192">
        <v>5</v>
      </c>
      <c r="Q2192" t="s">
        <v>5299</v>
      </c>
    </row>
    <row r="2193" spans="1:17" ht="15.75" hidden="1" customHeight="1">
      <c r="A2193" t="s">
        <v>5300</v>
      </c>
      <c r="B2193" t="s">
        <v>464</v>
      </c>
      <c r="C2193" t="s">
        <v>5301</v>
      </c>
      <c r="F2193" t="s">
        <v>4286</v>
      </c>
      <c r="G2193" t="s">
        <v>285</v>
      </c>
      <c r="L2193">
        <v>5</v>
      </c>
      <c r="Q2193" t="s">
        <v>5302</v>
      </c>
    </row>
    <row r="2194" spans="1:17" ht="15.75" hidden="1" customHeight="1">
      <c r="A2194" t="s">
        <v>5303</v>
      </c>
      <c r="B2194" t="s">
        <v>464</v>
      </c>
      <c r="C2194" t="s">
        <v>5304</v>
      </c>
      <c r="F2194" t="s">
        <v>4286</v>
      </c>
      <c r="G2194" t="s">
        <v>285</v>
      </c>
      <c r="L2194">
        <v>5</v>
      </c>
      <c r="Q2194" t="s">
        <v>5305</v>
      </c>
    </row>
    <row r="2195" spans="1:17" ht="15.75" hidden="1" customHeight="1">
      <c r="A2195" t="s">
        <v>5306</v>
      </c>
      <c r="B2195" t="s">
        <v>464</v>
      </c>
      <c r="C2195" t="s">
        <v>5307</v>
      </c>
      <c r="F2195" t="s">
        <v>4286</v>
      </c>
      <c r="G2195" t="s">
        <v>285</v>
      </c>
      <c r="L2195">
        <v>5</v>
      </c>
      <c r="Q2195" t="s">
        <v>5308</v>
      </c>
    </row>
    <row r="2196" spans="1:17" ht="15.75" hidden="1" customHeight="1">
      <c r="A2196" t="s">
        <v>5309</v>
      </c>
      <c r="B2196" t="s">
        <v>464</v>
      </c>
      <c r="C2196" t="s">
        <v>5310</v>
      </c>
      <c r="F2196" t="s">
        <v>4286</v>
      </c>
      <c r="G2196" t="s">
        <v>285</v>
      </c>
      <c r="L2196">
        <v>5</v>
      </c>
      <c r="Q2196" t="s">
        <v>5311</v>
      </c>
    </row>
    <row r="2197" spans="1:17" ht="15.75" hidden="1" customHeight="1">
      <c r="A2197" t="s">
        <v>5312</v>
      </c>
      <c r="B2197" t="s">
        <v>464</v>
      </c>
      <c r="C2197" t="s">
        <v>5313</v>
      </c>
      <c r="F2197" t="s">
        <v>4286</v>
      </c>
      <c r="G2197" t="s">
        <v>285</v>
      </c>
      <c r="L2197">
        <v>5</v>
      </c>
      <c r="Q2197" t="s">
        <v>5314</v>
      </c>
    </row>
    <row r="2198" spans="1:17" ht="15.75" hidden="1" customHeight="1">
      <c r="A2198" t="s">
        <v>5315</v>
      </c>
      <c r="B2198" t="s">
        <v>464</v>
      </c>
      <c r="C2198" t="s">
        <v>5316</v>
      </c>
      <c r="F2198" t="s">
        <v>4286</v>
      </c>
      <c r="G2198" t="s">
        <v>285</v>
      </c>
      <c r="L2198">
        <v>5</v>
      </c>
      <c r="Q2198" t="s">
        <v>5317</v>
      </c>
    </row>
    <row r="2199" spans="1:17" ht="15.75" hidden="1" customHeight="1">
      <c r="A2199" t="s">
        <v>5318</v>
      </c>
      <c r="B2199" t="s">
        <v>464</v>
      </c>
      <c r="C2199" t="s">
        <v>5319</v>
      </c>
      <c r="F2199" t="s">
        <v>4286</v>
      </c>
      <c r="G2199" t="s">
        <v>285</v>
      </c>
      <c r="L2199">
        <v>5</v>
      </c>
      <c r="Q2199" t="s">
        <v>5320</v>
      </c>
    </row>
    <row r="2200" spans="1:17" ht="15.75" hidden="1" customHeight="1">
      <c r="A2200" t="s">
        <v>5321</v>
      </c>
      <c r="B2200" t="s">
        <v>464</v>
      </c>
      <c r="C2200" t="s">
        <v>5322</v>
      </c>
      <c r="F2200" t="s">
        <v>4286</v>
      </c>
      <c r="G2200" t="s">
        <v>285</v>
      </c>
      <c r="L2200">
        <v>5</v>
      </c>
      <c r="Q2200" t="s">
        <v>5323</v>
      </c>
    </row>
    <row r="2201" spans="1:17" ht="15.75" hidden="1" customHeight="1">
      <c r="A2201" t="s">
        <v>5324</v>
      </c>
      <c r="B2201" t="s">
        <v>464</v>
      </c>
      <c r="C2201" t="s">
        <v>5325</v>
      </c>
      <c r="F2201" t="s">
        <v>4286</v>
      </c>
      <c r="G2201" t="s">
        <v>285</v>
      </c>
      <c r="L2201">
        <v>5</v>
      </c>
      <c r="Q2201" t="s">
        <v>5326</v>
      </c>
    </row>
    <row r="2202" spans="1:17" ht="15.75" hidden="1" customHeight="1">
      <c r="A2202" t="s">
        <v>5327</v>
      </c>
      <c r="B2202" t="s">
        <v>464</v>
      </c>
      <c r="C2202" t="s">
        <v>5328</v>
      </c>
      <c r="F2202" t="s">
        <v>4286</v>
      </c>
      <c r="G2202" t="s">
        <v>285</v>
      </c>
      <c r="L2202">
        <v>5</v>
      </c>
      <c r="Q2202" t="s">
        <v>5329</v>
      </c>
    </row>
    <row r="2203" spans="1:17" ht="15.75" hidden="1" customHeight="1">
      <c r="A2203" t="s">
        <v>5330</v>
      </c>
      <c r="B2203" t="s">
        <v>464</v>
      </c>
      <c r="C2203" t="s">
        <v>5331</v>
      </c>
      <c r="F2203" t="s">
        <v>4286</v>
      </c>
      <c r="G2203" t="s">
        <v>285</v>
      </c>
      <c r="L2203">
        <v>5</v>
      </c>
      <c r="Q2203" t="s">
        <v>5332</v>
      </c>
    </row>
    <row r="2204" spans="1:17" ht="15.75" hidden="1" customHeight="1">
      <c r="A2204" t="s">
        <v>5333</v>
      </c>
      <c r="B2204" t="s">
        <v>464</v>
      </c>
      <c r="C2204" t="s">
        <v>5334</v>
      </c>
      <c r="F2204" t="s">
        <v>4286</v>
      </c>
      <c r="G2204" t="s">
        <v>285</v>
      </c>
      <c r="L2204">
        <v>5</v>
      </c>
      <c r="Q2204" t="s">
        <v>5335</v>
      </c>
    </row>
    <row r="2205" spans="1:17" ht="15.75" hidden="1" customHeight="1">
      <c r="A2205" t="s">
        <v>5336</v>
      </c>
      <c r="B2205" t="s">
        <v>464</v>
      </c>
      <c r="C2205" t="s">
        <v>5337</v>
      </c>
      <c r="F2205" t="s">
        <v>4286</v>
      </c>
      <c r="G2205" t="s">
        <v>285</v>
      </c>
      <c r="L2205">
        <v>5</v>
      </c>
      <c r="Q2205" t="s">
        <v>5338</v>
      </c>
    </row>
    <row r="2206" spans="1:17" ht="15.75" hidden="1" customHeight="1">
      <c r="A2206" t="s">
        <v>5339</v>
      </c>
      <c r="B2206" t="s">
        <v>464</v>
      </c>
      <c r="C2206" t="s">
        <v>5340</v>
      </c>
      <c r="F2206" t="s">
        <v>4286</v>
      </c>
      <c r="G2206" t="s">
        <v>285</v>
      </c>
      <c r="L2206">
        <v>5</v>
      </c>
      <c r="Q2206" t="s">
        <v>5341</v>
      </c>
    </row>
    <row r="2207" spans="1:17" ht="15.75" hidden="1" customHeight="1">
      <c r="A2207" t="s">
        <v>5342</v>
      </c>
      <c r="B2207" t="s">
        <v>464</v>
      </c>
      <c r="C2207" t="s">
        <v>5343</v>
      </c>
      <c r="F2207" t="s">
        <v>4286</v>
      </c>
      <c r="G2207" t="s">
        <v>285</v>
      </c>
      <c r="L2207">
        <v>5</v>
      </c>
      <c r="Q2207" t="s">
        <v>5344</v>
      </c>
    </row>
    <row r="2208" spans="1:17" ht="15.75" hidden="1" customHeight="1">
      <c r="A2208" t="s">
        <v>5345</v>
      </c>
      <c r="B2208" t="s">
        <v>464</v>
      </c>
      <c r="C2208" t="s">
        <v>5346</v>
      </c>
      <c r="F2208" t="s">
        <v>4286</v>
      </c>
      <c r="G2208" t="s">
        <v>285</v>
      </c>
      <c r="L2208">
        <v>15</v>
      </c>
      <c r="Q2208" t="s">
        <v>5347</v>
      </c>
    </row>
    <row r="2209" spans="1:17" ht="15.75" hidden="1" customHeight="1">
      <c r="A2209" t="s">
        <v>5348</v>
      </c>
      <c r="B2209" t="s">
        <v>464</v>
      </c>
      <c r="C2209" t="s">
        <v>5349</v>
      </c>
      <c r="F2209" t="s">
        <v>4286</v>
      </c>
      <c r="G2209" t="s">
        <v>285</v>
      </c>
      <c r="L2209">
        <v>20</v>
      </c>
      <c r="Q2209" t="s">
        <v>5350</v>
      </c>
    </row>
    <row r="2210" spans="1:17" ht="15.75" hidden="1" customHeight="1">
      <c r="A2210" t="s">
        <v>5351</v>
      </c>
      <c r="B2210" t="s">
        <v>494</v>
      </c>
      <c r="C2210" t="s">
        <v>5352</v>
      </c>
      <c r="E2210" t="s">
        <v>5353</v>
      </c>
      <c r="G2210" t="s">
        <v>20</v>
      </c>
      <c r="J2210" t="s">
        <v>5354</v>
      </c>
      <c r="L2210" t="s">
        <v>498</v>
      </c>
    </row>
    <row r="2211" spans="1:17" ht="15.75" hidden="1" customHeight="1">
      <c r="A2211" t="s">
        <v>5355</v>
      </c>
      <c r="B2211" t="s">
        <v>281</v>
      </c>
      <c r="C2211" t="s">
        <v>5356</v>
      </c>
      <c r="E2211" t="s">
        <v>5357</v>
      </c>
      <c r="F2211" t="s">
        <v>3471</v>
      </c>
      <c r="G2211" t="s">
        <v>285</v>
      </c>
      <c r="J2211" t="s">
        <v>5358</v>
      </c>
      <c r="K2211">
        <v>2</v>
      </c>
      <c r="L2211">
        <v>25</v>
      </c>
      <c r="M2211" t="s">
        <v>312</v>
      </c>
      <c r="Q2211" t="s">
        <v>5359</v>
      </c>
    </row>
    <row r="2212" spans="1:17" ht="15.75" hidden="1" customHeight="1">
      <c r="A2212" t="s">
        <v>5360</v>
      </c>
      <c r="B2212" t="s">
        <v>281</v>
      </c>
      <c r="C2212" t="s">
        <v>5361</v>
      </c>
      <c r="E2212" t="s">
        <v>5357</v>
      </c>
      <c r="F2212" t="s">
        <v>3471</v>
      </c>
      <c r="G2212" t="s">
        <v>285</v>
      </c>
      <c r="J2212" t="s">
        <v>5362</v>
      </c>
      <c r="K2212">
        <v>3</v>
      </c>
      <c r="L2212">
        <v>25</v>
      </c>
      <c r="M2212" t="s">
        <v>312</v>
      </c>
      <c r="Q2212" t="s">
        <v>5363</v>
      </c>
    </row>
    <row r="2213" spans="1:17" ht="15.75" hidden="1" customHeight="1">
      <c r="A2213" t="s">
        <v>5364</v>
      </c>
      <c r="B2213" t="s">
        <v>281</v>
      </c>
      <c r="C2213" t="s">
        <v>5365</v>
      </c>
      <c r="E2213" t="s">
        <v>5357</v>
      </c>
      <c r="F2213" t="s">
        <v>3471</v>
      </c>
      <c r="G2213" t="s">
        <v>285</v>
      </c>
      <c r="J2213" t="s">
        <v>5366</v>
      </c>
      <c r="K2213">
        <v>4</v>
      </c>
      <c r="L2213">
        <v>25</v>
      </c>
      <c r="M2213" t="s">
        <v>312</v>
      </c>
      <c r="Q2213" t="s">
        <v>5367</v>
      </c>
    </row>
    <row r="2214" spans="1:17" ht="15.75" hidden="1" customHeight="1">
      <c r="A2214" t="s">
        <v>5368</v>
      </c>
      <c r="B2214" t="s">
        <v>281</v>
      </c>
      <c r="C2214" t="s">
        <v>5369</v>
      </c>
      <c r="E2214" t="s">
        <v>5357</v>
      </c>
      <c r="F2214" t="s">
        <v>3471</v>
      </c>
      <c r="G2214" t="s">
        <v>285</v>
      </c>
      <c r="J2214" t="s">
        <v>5370</v>
      </c>
      <c r="K2214">
        <v>5</v>
      </c>
      <c r="L2214">
        <v>25</v>
      </c>
      <c r="M2214" t="s">
        <v>312</v>
      </c>
      <c r="Q2214" t="s">
        <v>5371</v>
      </c>
    </row>
    <row r="2215" spans="1:17" ht="15.75" hidden="1" customHeight="1">
      <c r="A2215" t="s">
        <v>5372</v>
      </c>
      <c r="B2215" t="s">
        <v>281</v>
      </c>
      <c r="C2215" t="s">
        <v>5373</v>
      </c>
      <c r="E2215" t="s">
        <v>5357</v>
      </c>
      <c r="F2215" t="s">
        <v>3471</v>
      </c>
      <c r="G2215" t="s">
        <v>285</v>
      </c>
      <c r="J2215" t="s">
        <v>5374</v>
      </c>
      <c r="K2215">
        <v>6</v>
      </c>
      <c r="L2215">
        <v>25</v>
      </c>
      <c r="M2215" t="s">
        <v>312</v>
      </c>
      <c r="Q2215" t="s">
        <v>5375</v>
      </c>
    </row>
    <row r="2216" spans="1:17" ht="15.75" hidden="1" customHeight="1">
      <c r="A2216" t="s">
        <v>5376</v>
      </c>
      <c r="B2216" t="s">
        <v>281</v>
      </c>
      <c r="C2216" t="s">
        <v>5377</v>
      </c>
      <c r="E2216" t="s">
        <v>5357</v>
      </c>
      <c r="F2216" t="s">
        <v>3471</v>
      </c>
      <c r="G2216" t="s">
        <v>285</v>
      </c>
      <c r="J2216" t="s">
        <v>5378</v>
      </c>
      <c r="K2216">
        <v>7</v>
      </c>
      <c r="L2216">
        <v>25</v>
      </c>
      <c r="M2216" t="s">
        <v>312</v>
      </c>
      <c r="Q2216" t="s">
        <v>5379</v>
      </c>
    </row>
    <row r="2217" spans="1:17" ht="15.75" hidden="1" customHeight="1">
      <c r="A2217" t="s">
        <v>5380</v>
      </c>
      <c r="B2217" t="s">
        <v>281</v>
      </c>
      <c r="C2217" t="s">
        <v>5381</v>
      </c>
      <c r="E2217" t="s">
        <v>5357</v>
      </c>
      <c r="F2217" t="s">
        <v>3471</v>
      </c>
      <c r="G2217" t="s">
        <v>285</v>
      </c>
      <c r="J2217" t="s">
        <v>5382</v>
      </c>
      <c r="K2217">
        <v>8</v>
      </c>
      <c r="L2217">
        <v>25</v>
      </c>
      <c r="M2217" t="s">
        <v>312</v>
      </c>
      <c r="Q2217" t="s">
        <v>5383</v>
      </c>
    </row>
    <row r="2218" spans="1:17" ht="15.75" hidden="1" customHeight="1">
      <c r="A2218" t="s">
        <v>5384</v>
      </c>
      <c r="B2218" t="s">
        <v>281</v>
      </c>
      <c r="C2218" t="s">
        <v>5385</v>
      </c>
      <c r="E2218" t="s">
        <v>5357</v>
      </c>
      <c r="F2218" t="s">
        <v>3471</v>
      </c>
      <c r="G2218" t="s">
        <v>285</v>
      </c>
      <c r="J2218" t="s">
        <v>5386</v>
      </c>
      <c r="K2218">
        <v>9</v>
      </c>
      <c r="L2218">
        <v>25</v>
      </c>
      <c r="M2218" t="s">
        <v>312</v>
      </c>
      <c r="Q2218" t="s">
        <v>5387</v>
      </c>
    </row>
    <row r="2219" spans="1:17" ht="15.75" hidden="1" customHeight="1">
      <c r="A2219" t="s">
        <v>5388</v>
      </c>
      <c r="B2219" t="s">
        <v>281</v>
      </c>
      <c r="C2219" t="s">
        <v>5389</v>
      </c>
      <c r="E2219" t="s">
        <v>5357</v>
      </c>
      <c r="F2219" t="s">
        <v>3471</v>
      </c>
      <c r="G2219" t="s">
        <v>285</v>
      </c>
      <c r="J2219" t="s">
        <v>5390</v>
      </c>
      <c r="K2219">
        <v>10</v>
      </c>
      <c r="L2219">
        <v>25</v>
      </c>
      <c r="M2219" t="s">
        <v>312</v>
      </c>
      <c r="Q2219" t="s">
        <v>5391</v>
      </c>
    </row>
    <row r="2220" spans="1:17" ht="15.75" hidden="1" customHeight="1">
      <c r="A2220" t="s">
        <v>5392</v>
      </c>
      <c r="B2220" t="s">
        <v>281</v>
      </c>
      <c r="C2220" t="s">
        <v>5393</v>
      </c>
      <c r="E2220" t="s">
        <v>5357</v>
      </c>
      <c r="F2220" t="s">
        <v>3471</v>
      </c>
      <c r="G2220" t="s">
        <v>285</v>
      </c>
      <c r="J2220" t="s">
        <v>5394</v>
      </c>
      <c r="K2220">
        <v>11</v>
      </c>
      <c r="L2220">
        <v>25</v>
      </c>
      <c r="M2220" t="s">
        <v>312</v>
      </c>
      <c r="Q2220" t="s">
        <v>5395</v>
      </c>
    </row>
    <row r="2221" spans="1:17" ht="15.75" hidden="1" customHeight="1">
      <c r="A2221" t="s">
        <v>5396</v>
      </c>
      <c r="B2221" t="s">
        <v>281</v>
      </c>
      <c r="C2221" t="s">
        <v>5397</v>
      </c>
      <c r="E2221" t="s">
        <v>5357</v>
      </c>
      <c r="F2221" t="s">
        <v>3471</v>
      </c>
      <c r="G2221" t="s">
        <v>285</v>
      </c>
      <c r="J2221" t="s">
        <v>5398</v>
      </c>
      <c r="K2221">
        <v>12</v>
      </c>
      <c r="L2221">
        <v>25</v>
      </c>
      <c r="M2221" t="s">
        <v>312</v>
      </c>
      <c r="Q2221" t="s">
        <v>5399</v>
      </c>
    </row>
    <row r="2222" spans="1:17" ht="15.75" hidden="1" customHeight="1">
      <c r="A2222" s="29" t="s">
        <v>5400</v>
      </c>
      <c r="B2222" s="11" t="s">
        <v>281</v>
      </c>
      <c r="C2222" s="7" t="s">
        <v>5401</v>
      </c>
      <c r="G2222" s="11" t="s">
        <v>285</v>
      </c>
      <c r="J2222" t="s">
        <v>5402</v>
      </c>
      <c r="L2222" s="75">
        <v>120</v>
      </c>
      <c r="M2222" t="s">
        <v>312</v>
      </c>
      <c r="Q2222" t="s">
        <v>5403</v>
      </c>
    </row>
    <row r="2223" spans="1:17" ht="15.75" hidden="1" customHeight="1">
      <c r="A2223" t="s">
        <v>5404</v>
      </c>
      <c r="B2223" t="s">
        <v>464</v>
      </c>
      <c r="C2223" t="s">
        <v>5405</v>
      </c>
      <c r="F2223" t="s">
        <v>2477</v>
      </c>
      <c r="G2223" t="s">
        <v>285</v>
      </c>
      <c r="L2223">
        <v>75</v>
      </c>
      <c r="Q2223" t="s">
        <v>5406</v>
      </c>
    </row>
    <row r="2224" spans="1:17" ht="15.75" hidden="1" customHeight="1">
      <c r="A2224" t="s">
        <v>5407</v>
      </c>
      <c r="B2224" t="s">
        <v>4319</v>
      </c>
      <c r="C2224" t="s">
        <v>5408</v>
      </c>
      <c r="F2224" t="s">
        <v>4959</v>
      </c>
      <c r="G2224" t="s">
        <v>20</v>
      </c>
      <c r="L2224" t="s">
        <v>4324</v>
      </c>
    </row>
    <row r="2225" spans="1:17" ht="15.75" hidden="1" customHeight="1">
      <c r="A2225" t="s">
        <v>5409</v>
      </c>
      <c r="B2225" t="s">
        <v>4319</v>
      </c>
      <c r="C2225" t="s">
        <v>5410</v>
      </c>
      <c r="F2225" t="s">
        <v>4959</v>
      </c>
      <c r="G2225" t="s">
        <v>20</v>
      </c>
      <c r="L2225" t="s">
        <v>4324</v>
      </c>
    </row>
    <row r="2226" spans="1:17" ht="15.75" hidden="1" customHeight="1">
      <c r="A2226" t="s">
        <v>5411</v>
      </c>
      <c r="B2226" t="s">
        <v>4319</v>
      </c>
      <c r="C2226" t="s">
        <v>5412</v>
      </c>
      <c r="F2226" t="s">
        <v>4959</v>
      </c>
      <c r="G2226" t="s">
        <v>20</v>
      </c>
      <c r="L2226" t="s">
        <v>4324</v>
      </c>
    </row>
    <row r="2227" spans="1:17" ht="15.75" hidden="1" customHeight="1">
      <c r="A2227" t="s">
        <v>5413</v>
      </c>
      <c r="B2227" t="s">
        <v>281</v>
      </c>
      <c r="C2227" t="s">
        <v>5414</v>
      </c>
      <c r="G2227" t="s">
        <v>285</v>
      </c>
      <c r="L2227">
        <v>-400</v>
      </c>
      <c r="M2227" t="s">
        <v>312</v>
      </c>
      <c r="Q2227" t="s">
        <v>5415</v>
      </c>
    </row>
    <row r="2228" spans="1:17" ht="15.75" hidden="1" customHeight="1">
      <c r="A2228" t="s">
        <v>5416</v>
      </c>
      <c r="B2228" t="s">
        <v>281</v>
      </c>
      <c r="C2228" t="s">
        <v>5417</v>
      </c>
      <c r="G2228" t="s">
        <v>285</v>
      </c>
      <c r="L2228">
        <v>-400</v>
      </c>
      <c r="M2228" t="s">
        <v>312</v>
      </c>
      <c r="Q2228" t="s">
        <v>5418</v>
      </c>
    </row>
    <row r="2229" spans="1:17" ht="15.75" hidden="1" customHeight="1">
      <c r="A2229" t="s">
        <v>5419</v>
      </c>
      <c r="B2229" t="s">
        <v>281</v>
      </c>
      <c r="C2229" t="s">
        <v>5420</v>
      </c>
      <c r="G2229" t="s">
        <v>285</v>
      </c>
      <c r="L2229">
        <v>-800</v>
      </c>
      <c r="M2229" t="s">
        <v>312</v>
      </c>
      <c r="Q2229" t="s">
        <v>5421</v>
      </c>
    </row>
    <row r="2230" spans="1:17" ht="15.75" hidden="1" customHeight="1">
      <c r="A2230" t="s">
        <v>5422</v>
      </c>
      <c r="B2230" t="s">
        <v>281</v>
      </c>
      <c r="C2230" t="s">
        <v>5423</v>
      </c>
      <c r="G2230" t="s">
        <v>285</v>
      </c>
      <c r="L2230">
        <v>-800</v>
      </c>
      <c r="M2230" t="s">
        <v>312</v>
      </c>
      <c r="Q2230" t="s">
        <v>5424</v>
      </c>
    </row>
    <row r="2231" spans="1:17" ht="15.75" hidden="1" customHeight="1">
      <c r="A2231" t="s">
        <v>5425</v>
      </c>
      <c r="B2231" t="s">
        <v>281</v>
      </c>
      <c r="C2231" t="s">
        <v>5426</v>
      </c>
      <c r="G2231" t="s">
        <v>285</v>
      </c>
      <c r="L2231">
        <v>-300</v>
      </c>
      <c r="M2231" t="s">
        <v>312</v>
      </c>
      <c r="Q2231" t="s">
        <v>5427</v>
      </c>
    </row>
    <row r="2232" spans="1:17" ht="15.75" hidden="1" customHeight="1">
      <c r="A2232" t="s">
        <v>5428</v>
      </c>
      <c r="B2232" t="s">
        <v>281</v>
      </c>
      <c r="C2232" t="s">
        <v>5429</v>
      </c>
      <c r="E2232" t="s">
        <v>5357</v>
      </c>
      <c r="F2232" t="s">
        <v>3471</v>
      </c>
      <c r="G2232" t="s">
        <v>285</v>
      </c>
      <c r="J2232" t="s">
        <v>5430</v>
      </c>
      <c r="K2232">
        <v>13</v>
      </c>
      <c r="L2232">
        <v>25</v>
      </c>
      <c r="M2232" t="s">
        <v>312</v>
      </c>
      <c r="Q2232" t="s">
        <v>5431</v>
      </c>
    </row>
    <row r="2233" spans="1:17" ht="15.75" hidden="1" customHeight="1">
      <c r="A2233" t="s">
        <v>5432</v>
      </c>
      <c r="B2233" t="s">
        <v>281</v>
      </c>
      <c r="C2233" t="s">
        <v>5433</v>
      </c>
      <c r="E2233" t="s">
        <v>5357</v>
      </c>
      <c r="F2233" t="s">
        <v>3471</v>
      </c>
      <c r="G2233" t="s">
        <v>285</v>
      </c>
      <c r="J2233" t="s">
        <v>5434</v>
      </c>
      <c r="K2233">
        <v>14</v>
      </c>
      <c r="L2233">
        <v>25</v>
      </c>
      <c r="M2233" t="s">
        <v>312</v>
      </c>
      <c r="Q2233" t="s">
        <v>5435</v>
      </c>
    </row>
    <row r="2234" spans="1:17" ht="15.75" hidden="1" customHeight="1">
      <c r="A2234" t="s">
        <v>5436</v>
      </c>
      <c r="B2234" t="s">
        <v>281</v>
      </c>
      <c r="C2234" t="s">
        <v>5437</v>
      </c>
      <c r="E2234" t="s">
        <v>5357</v>
      </c>
      <c r="F2234" t="s">
        <v>3471</v>
      </c>
      <c r="G2234" t="s">
        <v>285</v>
      </c>
      <c r="J2234" t="s">
        <v>5438</v>
      </c>
      <c r="K2234">
        <v>15</v>
      </c>
      <c r="L2234">
        <v>25</v>
      </c>
      <c r="M2234" t="s">
        <v>312</v>
      </c>
      <c r="Q2234" t="s">
        <v>5439</v>
      </c>
    </row>
    <row r="2235" spans="1:17" ht="15.75" hidden="1" customHeight="1">
      <c r="A2235" t="s">
        <v>5440</v>
      </c>
      <c r="B2235" t="s">
        <v>281</v>
      </c>
      <c r="C2235" t="s">
        <v>5441</v>
      </c>
      <c r="E2235" t="s">
        <v>5357</v>
      </c>
      <c r="F2235" t="s">
        <v>3471</v>
      </c>
      <c r="G2235" t="s">
        <v>285</v>
      </c>
      <c r="J2235" t="s">
        <v>5442</v>
      </c>
      <c r="K2235">
        <v>16</v>
      </c>
      <c r="L2235">
        <v>25</v>
      </c>
      <c r="M2235" t="s">
        <v>312</v>
      </c>
      <c r="Q2235" t="s">
        <v>5443</v>
      </c>
    </row>
    <row r="2236" spans="1:17" ht="15.75" customHeight="1">
      <c r="A2236" t="s">
        <v>5444</v>
      </c>
      <c r="B2236" t="s">
        <v>281</v>
      </c>
      <c r="C2236" t="s">
        <v>5445</v>
      </c>
      <c r="E2236" t="s">
        <v>5357</v>
      </c>
      <c r="F2236" t="s">
        <v>3471</v>
      </c>
      <c r="G2236" t="s">
        <v>285</v>
      </c>
      <c r="J2236" t="s">
        <v>5446</v>
      </c>
      <c r="K2236">
        <v>17</v>
      </c>
      <c r="L2236">
        <v>25</v>
      </c>
      <c r="M2236" t="s">
        <v>312</v>
      </c>
      <c r="Q2236" t="s">
        <v>5447</v>
      </c>
    </row>
    <row r="2237" spans="1:17" ht="15.75" customHeight="1">
      <c r="A2237" t="s">
        <v>5448</v>
      </c>
      <c r="B2237" t="s">
        <v>281</v>
      </c>
      <c r="C2237" t="s">
        <v>5449</v>
      </c>
      <c r="E2237" t="s">
        <v>5357</v>
      </c>
      <c r="F2237" t="s">
        <v>3471</v>
      </c>
      <c r="G2237" t="s">
        <v>285</v>
      </c>
      <c r="J2237" t="s">
        <v>5450</v>
      </c>
      <c r="K2237">
        <v>18</v>
      </c>
      <c r="L2237">
        <v>25</v>
      </c>
      <c r="M2237" t="s">
        <v>312</v>
      </c>
      <c r="Q2237" t="s">
        <v>5451</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5452</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5453</v>
      </c>
      <c r="C1" t="s">
        <v>5454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5455</v>
      </c>
      <c r="B1" t="s">
        <v>692</v>
      </c>
      <c r="C1" t="s">
        <v>5456</v>
      </c>
      <c r="D1" t="s">
        <v>5457</v>
      </c>
      <c r="E1" t="s">
        <v>5458</v>
      </c>
    </row>
    <row r="2" spans="1:5">
      <c r="A2" t="s">
        <v>5459</v>
      </c>
      <c r="B2" t="s">
        <v>713</v>
      </c>
      <c r="C2">
        <v>9</v>
      </c>
      <c r="D2">
        <v>21</v>
      </c>
      <c r="E2">
        <v>31</v>
      </c>
    </row>
    <row r="3" spans="1:5">
      <c r="A3" t="s">
        <v>5459</v>
      </c>
      <c r="B3" t="s">
        <v>693</v>
      </c>
      <c r="C3">
        <v>9</v>
      </c>
      <c r="D3">
        <v>21</v>
      </c>
      <c r="E3">
        <v>31</v>
      </c>
    </row>
    <row r="4" spans="1:5">
      <c r="A4" t="s">
        <v>5459</v>
      </c>
      <c r="B4" t="s">
        <v>698</v>
      </c>
      <c r="C4">
        <v>10</v>
      </c>
      <c r="D4">
        <v>22</v>
      </c>
      <c r="E4">
        <v>31</v>
      </c>
    </row>
    <row r="5" spans="1:5">
      <c r="A5" t="s">
        <v>5459</v>
      </c>
      <c r="B5" t="s">
        <v>5460</v>
      </c>
      <c r="C5">
        <v>9</v>
      </c>
      <c r="D5">
        <v>21</v>
      </c>
      <c r="E5">
        <v>31</v>
      </c>
    </row>
    <row r="6" spans="1:5">
      <c r="A6" t="s">
        <v>5459</v>
      </c>
      <c r="B6" t="s">
        <v>705</v>
      </c>
      <c r="C6">
        <v>15</v>
      </c>
      <c r="D6">
        <v>27</v>
      </c>
      <c r="E6">
        <v>31</v>
      </c>
    </row>
    <row r="7" spans="1:5">
      <c r="A7" t="s">
        <v>5459</v>
      </c>
      <c r="B7" t="s">
        <v>709</v>
      </c>
      <c r="C7">
        <v>10</v>
      </c>
      <c r="D7">
        <v>22</v>
      </c>
      <c r="E7">
        <v>31</v>
      </c>
    </row>
    <row r="8" spans="1:5">
      <c r="A8" t="s">
        <v>5459</v>
      </c>
      <c r="B8" t="s">
        <v>717</v>
      </c>
      <c r="C8">
        <v>10</v>
      </c>
      <c r="D8">
        <v>22</v>
      </c>
      <c r="E8">
        <v>31</v>
      </c>
    </row>
    <row r="9" spans="1:5">
      <c r="A9" t="s">
        <v>5459</v>
      </c>
      <c r="B9" t="s">
        <v>721</v>
      </c>
      <c r="C9">
        <v>11</v>
      </c>
      <c r="D9">
        <v>23</v>
      </c>
      <c r="E9">
        <v>31</v>
      </c>
    </row>
    <row r="10" spans="1:5">
      <c r="A10" t="s">
        <v>5459</v>
      </c>
      <c r="B10" t="s">
        <v>725</v>
      </c>
      <c r="C10">
        <v>10</v>
      </c>
      <c r="D10">
        <v>22</v>
      </c>
      <c r="E10">
        <v>31</v>
      </c>
    </row>
    <row r="11" spans="1:5">
      <c r="A11" t="s">
        <v>5459</v>
      </c>
      <c r="B11" t="s">
        <v>5461</v>
      </c>
      <c r="C11">
        <v>11</v>
      </c>
      <c r="D11">
        <v>23</v>
      </c>
      <c r="E11">
        <v>31</v>
      </c>
    </row>
    <row r="12" spans="1:5">
      <c r="A12" t="s">
        <v>5462</v>
      </c>
      <c r="B12" t="s">
        <v>713</v>
      </c>
      <c r="C12">
        <v>11</v>
      </c>
      <c r="D12">
        <v>23</v>
      </c>
      <c r="E12">
        <v>31</v>
      </c>
    </row>
    <row r="13" spans="1:5">
      <c r="A13" t="s">
        <v>5462</v>
      </c>
      <c r="B13" t="s">
        <v>693</v>
      </c>
      <c r="C13">
        <v>12</v>
      </c>
      <c r="D13">
        <v>24</v>
      </c>
      <c r="E13">
        <v>31</v>
      </c>
    </row>
    <row r="14" spans="1:5">
      <c r="A14" t="s">
        <v>5462</v>
      </c>
      <c r="B14" t="s">
        <v>698</v>
      </c>
      <c r="C14">
        <v>8</v>
      </c>
      <c r="D14">
        <v>20</v>
      </c>
      <c r="E14">
        <v>31</v>
      </c>
    </row>
    <row r="15" spans="1:5">
      <c r="A15" t="s">
        <v>5462</v>
      </c>
      <c r="B15" t="s">
        <v>5460</v>
      </c>
      <c r="C15">
        <v>13</v>
      </c>
      <c r="D15">
        <v>25</v>
      </c>
      <c r="E15">
        <v>31</v>
      </c>
    </row>
    <row r="16" spans="1:5">
      <c r="A16" t="s">
        <v>5462</v>
      </c>
      <c r="B16" t="s">
        <v>705</v>
      </c>
      <c r="C16">
        <v>8</v>
      </c>
      <c r="D16">
        <v>20</v>
      </c>
      <c r="E16">
        <v>31</v>
      </c>
    </row>
    <row r="17" spans="1:5">
      <c r="A17" t="s">
        <v>5462</v>
      </c>
      <c r="B17" t="s">
        <v>709</v>
      </c>
      <c r="C17">
        <v>10</v>
      </c>
      <c r="D17">
        <v>22</v>
      </c>
      <c r="E17">
        <v>31</v>
      </c>
    </row>
    <row r="18" spans="1:5">
      <c r="A18" t="s">
        <v>5462</v>
      </c>
      <c r="B18" t="s">
        <v>717</v>
      </c>
      <c r="C18">
        <v>12</v>
      </c>
      <c r="D18">
        <v>24</v>
      </c>
      <c r="E18">
        <v>31</v>
      </c>
    </row>
    <row r="19" spans="1:5">
      <c r="A19" t="s">
        <v>5462</v>
      </c>
      <c r="B19" t="s">
        <v>721</v>
      </c>
      <c r="C19">
        <v>9</v>
      </c>
      <c r="D19">
        <v>21</v>
      </c>
      <c r="E19">
        <v>31</v>
      </c>
    </row>
    <row r="20" spans="1:5">
      <c r="A20" t="s">
        <v>5462</v>
      </c>
      <c r="B20" t="s">
        <v>725</v>
      </c>
      <c r="C20">
        <v>13</v>
      </c>
      <c r="D20">
        <v>25</v>
      </c>
      <c r="E20">
        <v>31</v>
      </c>
    </row>
    <row r="21" spans="1:5">
      <c r="A21" t="s">
        <v>5462</v>
      </c>
      <c r="B21" t="s">
        <v>5461</v>
      </c>
      <c r="C21">
        <v>8</v>
      </c>
      <c r="D21">
        <v>20</v>
      </c>
      <c r="E21">
        <v>31</v>
      </c>
    </row>
    <row r="22" spans="1:5">
      <c r="A22" t="s">
        <v>5463</v>
      </c>
      <c r="B22" t="s">
        <v>713</v>
      </c>
      <c r="C22">
        <v>14</v>
      </c>
      <c r="D22">
        <v>26</v>
      </c>
      <c r="E22">
        <v>31</v>
      </c>
    </row>
    <row r="23" spans="1:5">
      <c r="A23" t="s">
        <v>5463</v>
      </c>
      <c r="B23" t="s">
        <v>693</v>
      </c>
      <c r="C23">
        <v>12</v>
      </c>
      <c r="D23">
        <v>24</v>
      </c>
      <c r="E23">
        <v>31</v>
      </c>
    </row>
    <row r="24" spans="1:5">
      <c r="A24" t="s">
        <v>5463</v>
      </c>
      <c r="B24" t="s">
        <v>698</v>
      </c>
      <c r="C24">
        <v>7</v>
      </c>
      <c r="D24">
        <v>19</v>
      </c>
      <c r="E24">
        <v>31</v>
      </c>
    </row>
    <row r="25" spans="1:5">
      <c r="A25" t="s">
        <v>5463</v>
      </c>
      <c r="B25" t="s">
        <v>5460</v>
      </c>
      <c r="C25">
        <v>14</v>
      </c>
      <c r="D25">
        <v>26</v>
      </c>
      <c r="E25">
        <v>31</v>
      </c>
    </row>
    <row r="26" spans="1:5">
      <c r="A26" t="s">
        <v>5463</v>
      </c>
      <c r="B26" t="s">
        <v>705</v>
      </c>
      <c r="C26">
        <v>7</v>
      </c>
      <c r="D26">
        <v>19</v>
      </c>
      <c r="E26">
        <v>31</v>
      </c>
    </row>
    <row r="27" spans="1:5">
      <c r="A27" t="s">
        <v>5463</v>
      </c>
      <c r="B27" t="s">
        <v>709</v>
      </c>
      <c r="C27">
        <v>12</v>
      </c>
      <c r="D27">
        <v>24</v>
      </c>
      <c r="E27">
        <v>31</v>
      </c>
    </row>
    <row r="28" spans="1:5">
      <c r="A28" t="s">
        <v>5463</v>
      </c>
      <c r="B28" t="s">
        <v>717</v>
      </c>
      <c r="C28">
        <v>11</v>
      </c>
      <c r="D28">
        <v>23</v>
      </c>
      <c r="E28">
        <v>31</v>
      </c>
    </row>
    <row r="29" spans="1:5">
      <c r="A29" t="s">
        <v>5463</v>
      </c>
      <c r="B29" t="s">
        <v>721</v>
      </c>
      <c r="C29">
        <v>8</v>
      </c>
      <c r="D29">
        <v>20</v>
      </c>
      <c r="E29">
        <v>31</v>
      </c>
    </row>
    <row r="30" spans="1:5">
      <c r="A30" t="s">
        <v>5463</v>
      </c>
      <c r="B30" t="s">
        <v>725</v>
      </c>
      <c r="C30">
        <v>12</v>
      </c>
      <c r="D30">
        <v>24</v>
      </c>
      <c r="E30">
        <v>31</v>
      </c>
    </row>
    <row r="31" spans="1:5">
      <c r="A31" t="s">
        <v>5463</v>
      </c>
      <c r="B31" t="s">
        <v>5461</v>
      </c>
      <c r="C31">
        <v>7</v>
      </c>
      <c r="D31">
        <v>19</v>
      </c>
      <c r="E31">
        <v>31</v>
      </c>
    </row>
    <row r="32" spans="1:5">
      <c r="A32" t="s">
        <v>5464</v>
      </c>
      <c r="B32" t="s">
        <v>713</v>
      </c>
      <c r="C32">
        <v>12</v>
      </c>
      <c r="D32">
        <v>24</v>
      </c>
      <c r="E32">
        <v>31</v>
      </c>
    </row>
    <row r="33" spans="1:5">
      <c r="A33" t="s">
        <v>5464</v>
      </c>
      <c r="B33" t="s">
        <v>693</v>
      </c>
      <c r="C33">
        <v>16</v>
      </c>
      <c r="D33">
        <v>28</v>
      </c>
      <c r="E33">
        <v>31</v>
      </c>
    </row>
    <row r="34" spans="1:5">
      <c r="A34" t="s">
        <v>5464</v>
      </c>
      <c r="B34" t="s">
        <v>698</v>
      </c>
      <c r="C34">
        <v>11</v>
      </c>
      <c r="D34">
        <v>23</v>
      </c>
      <c r="E34">
        <v>31</v>
      </c>
    </row>
    <row r="35" spans="1:5">
      <c r="A35" t="s">
        <v>5464</v>
      </c>
      <c r="B35" t="s">
        <v>5460</v>
      </c>
      <c r="C35">
        <v>11</v>
      </c>
      <c r="D35">
        <v>23</v>
      </c>
      <c r="E35">
        <v>31</v>
      </c>
    </row>
    <row r="36" spans="1:5">
      <c r="A36" t="s">
        <v>5464</v>
      </c>
      <c r="B36" t="s">
        <v>705</v>
      </c>
      <c r="C36">
        <v>11</v>
      </c>
      <c r="D36">
        <v>23</v>
      </c>
      <c r="E36">
        <v>31</v>
      </c>
    </row>
    <row r="37" spans="1:5">
      <c r="A37" t="s">
        <v>5464</v>
      </c>
      <c r="B37" t="s">
        <v>709</v>
      </c>
      <c r="C37">
        <v>8</v>
      </c>
      <c r="D37">
        <v>20</v>
      </c>
      <c r="E37">
        <v>31</v>
      </c>
    </row>
    <row r="38" spans="1:5">
      <c r="A38" t="s">
        <v>5464</v>
      </c>
      <c r="B38" t="s">
        <v>717</v>
      </c>
      <c r="C38">
        <v>16</v>
      </c>
      <c r="D38">
        <v>28</v>
      </c>
      <c r="E38">
        <v>31</v>
      </c>
    </row>
    <row r="39" spans="1:5">
      <c r="A39" t="s">
        <v>5464</v>
      </c>
      <c r="B39" t="s">
        <v>721</v>
      </c>
      <c r="C39">
        <v>3</v>
      </c>
      <c r="D39">
        <v>15</v>
      </c>
      <c r="E39">
        <v>31</v>
      </c>
    </row>
    <row r="40" spans="1:5">
      <c r="A40" t="s">
        <v>5464</v>
      </c>
      <c r="B40" t="s">
        <v>725</v>
      </c>
      <c r="C40">
        <v>13</v>
      </c>
      <c r="D40">
        <v>25</v>
      </c>
      <c r="E40">
        <v>31</v>
      </c>
    </row>
    <row r="41" spans="1:5">
      <c r="A41" t="s">
        <v>5464</v>
      </c>
      <c r="B41" t="s">
        <v>5461</v>
      </c>
      <c r="C41">
        <v>3</v>
      </c>
      <c r="D41">
        <v>15</v>
      </c>
      <c r="E41">
        <v>31</v>
      </c>
    </row>
    <row r="42" spans="1:5">
      <c r="A42" t="s">
        <v>5465</v>
      </c>
      <c r="B42" t="s">
        <v>713</v>
      </c>
      <c r="C42">
        <v>11</v>
      </c>
      <c r="D42">
        <v>23</v>
      </c>
      <c r="E42">
        <v>31</v>
      </c>
    </row>
    <row r="43" spans="1:5">
      <c r="A43" t="s">
        <v>5465</v>
      </c>
      <c r="B43" t="s">
        <v>693</v>
      </c>
      <c r="C43">
        <v>13</v>
      </c>
      <c r="D43">
        <v>25</v>
      </c>
      <c r="E43">
        <v>31</v>
      </c>
    </row>
    <row r="44" spans="1:5">
      <c r="A44" t="s">
        <v>5465</v>
      </c>
      <c r="B44" t="s">
        <v>698</v>
      </c>
      <c r="C44">
        <v>5</v>
      </c>
      <c r="D44">
        <v>17</v>
      </c>
      <c r="E44">
        <v>31</v>
      </c>
    </row>
    <row r="45" spans="1:5">
      <c r="A45" t="s">
        <v>5465</v>
      </c>
      <c r="B45" t="s">
        <v>5460</v>
      </c>
      <c r="C45">
        <v>11</v>
      </c>
      <c r="D45">
        <v>23</v>
      </c>
      <c r="E45">
        <v>31</v>
      </c>
    </row>
    <row r="46" spans="1:5">
      <c r="A46" t="s">
        <v>5465</v>
      </c>
      <c r="B46" t="s">
        <v>705</v>
      </c>
      <c r="C46">
        <v>7</v>
      </c>
      <c r="D46">
        <v>19</v>
      </c>
      <c r="E46">
        <v>31</v>
      </c>
    </row>
    <row r="47" spans="1:5">
      <c r="A47" t="s">
        <v>5465</v>
      </c>
      <c r="B47" t="s">
        <v>709</v>
      </c>
      <c r="C47">
        <v>12</v>
      </c>
      <c r="D47">
        <v>24</v>
      </c>
      <c r="E47">
        <v>31</v>
      </c>
    </row>
    <row r="48" spans="1:5">
      <c r="A48" t="s">
        <v>5465</v>
      </c>
      <c r="B48" t="s">
        <v>717</v>
      </c>
      <c r="C48">
        <v>15</v>
      </c>
      <c r="D48">
        <v>27</v>
      </c>
      <c r="E48">
        <v>31</v>
      </c>
    </row>
    <row r="49" spans="1:5">
      <c r="A49" t="s">
        <v>5465</v>
      </c>
      <c r="B49" t="s">
        <v>721</v>
      </c>
      <c r="C49">
        <v>7</v>
      </c>
      <c r="D49">
        <v>19</v>
      </c>
      <c r="E49">
        <v>31</v>
      </c>
    </row>
    <row r="50" spans="1:5">
      <c r="A50" t="s">
        <v>5465</v>
      </c>
      <c r="B50" t="s">
        <v>725</v>
      </c>
      <c r="C50">
        <v>16</v>
      </c>
      <c r="D50">
        <v>28</v>
      </c>
      <c r="E50">
        <v>31</v>
      </c>
    </row>
    <row r="51" spans="1:5">
      <c r="A51" t="s">
        <v>5465</v>
      </c>
      <c r="B51" t="s">
        <v>5461</v>
      </c>
      <c r="C51">
        <v>7</v>
      </c>
      <c r="D51">
        <v>19</v>
      </c>
      <c r="E51">
        <v>31</v>
      </c>
    </row>
    <row r="52" spans="1:5">
      <c r="A52" t="s">
        <v>5466</v>
      </c>
      <c r="B52" t="s">
        <v>713</v>
      </c>
      <c r="C52">
        <v>9</v>
      </c>
      <c r="D52">
        <v>21</v>
      </c>
      <c r="E52">
        <v>31</v>
      </c>
    </row>
    <row r="53" spans="1:5">
      <c r="A53" t="s">
        <v>5466</v>
      </c>
      <c r="B53" t="s">
        <v>693</v>
      </c>
      <c r="C53">
        <v>9</v>
      </c>
      <c r="D53">
        <v>21</v>
      </c>
      <c r="E53">
        <v>31</v>
      </c>
    </row>
    <row r="54" spans="1:5">
      <c r="A54" t="s">
        <v>5466</v>
      </c>
      <c r="B54" t="s">
        <v>698</v>
      </c>
      <c r="C54">
        <v>10</v>
      </c>
      <c r="D54">
        <v>22</v>
      </c>
      <c r="E54">
        <v>31</v>
      </c>
    </row>
    <row r="55" spans="1:5">
      <c r="A55" t="s">
        <v>5466</v>
      </c>
      <c r="B55" t="s">
        <v>5460</v>
      </c>
      <c r="C55">
        <v>12</v>
      </c>
      <c r="D55">
        <v>24</v>
      </c>
      <c r="E55">
        <v>31</v>
      </c>
    </row>
    <row r="56" spans="1:5">
      <c r="A56" t="s">
        <v>5466</v>
      </c>
      <c r="B56" t="s">
        <v>705</v>
      </c>
      <c r="C56">
        <v>11</v>
      </c>
      <c r="D56">
        <v>23</v>
      </c>
      <c r="E56">
        <v>31</v>
      </c>
    </row>
    <row r="57" spans="1:5">
      <c r="A57" t="s">
        <v>5466</v>
      </c>
      <c r="B57" t="s">
        <v>709</v>
      </c>
      <c r="C57">
        <v>12</v>
      </c>
      <c r="D57">
        <v>24</v>
      </c>
      <c r="E57">
        <v>31</v>
      </c>
    </row>
    <row r="58" spans="1:5">
      <c r="A58" t="s">
        <v>5466</v>
      </c>
      <c r="B58" t="s">
        <v>717</v>
      </c>
      <c r="C58">
        <v>10</v>
      </c>
      <c r="D58">
        <v>22</v>
      </c>
      <c r="E58">
        <v>31</v>
      </c>
    </row>
    <row r="59" spans="1:5">
      <c r="A59" t="s">
        <v>5466</v>
      </c>
      <c r="B59" t="s">
        <v>721</v>
      </c>
      <c r="C59">
        <v>10</v>
      </c>
      <c r="D59">
        <v>22</v>
      </c>
      <c r="E59">
        <v>31</v>
      </c>
    </row>
    <row r="60" spans="1:5">
      <c r="A60" t="s">
        <v>5466</v>
      </c>
      <c r="B60" t="s">
        <v>725</v>
      </c>
      <c r="C60">
        <v>11</v>
      </c>
      <c r="D60">
        <v>23</v>
      </c>
      <c r="E60">
        <v>31</v>
      </c>
    </row>
    <row r="61" spans="1:5">
      <c r="A61" t="s">
        <v>5466</v>
      </c>
      <c r="B61" t="s">
        <v>5461</v>
      </c>
      <c r="C61">
        <v>10</v>
      </c>
      <c r="D61">
        <v>22</v>
      </c>
      <c r="E61">
        <v>31</v>
      </c>
    </row>
    <row r="62" spans="1:5">
      <c r="A62" t="s">
        <v>5467</v>
      </c>
      <c r="B62" t="s">
        <v>713</v>
      </c>
      <c r="C62">
        <v>12</v>
      </c>
      <c r="D62">
        <v>24</v>
      </c>
      <c r="E62">
        <v>31</v>
      </c>
    </row>
    <row r="63" spans="1:5">
      <c r="A63" t="s">
        <v>5467</v>
      </c>
      <c r="B63" t="s">
        <v>693</v>
      </c>
      <c r="C63">
        <v>7</v>
      </c>
      <c r="D63">
        <v>19</v>
      </c>
      <c r="E63">
        <v>31</v>
      </c>
    </row>
    <row r="64" spans="1:5">
      <c r="A64" t="s">
        <v>5467</v>
      </c>
      <c r="B64" t="s">
        <v>698</v>
      </c>
      <c r="C64">
        <v>11</v>
      </c>
      <c r="D64">
        <v>23</v>
      </c>
      <c r="E64">
        <v>31</v>
      </c>
    </row>
    <row r="65" spans="1:5">
      <c r="A65" t="s">
        <v>5467</v>
      </c>
      <c r="B65" t="s">
        <v>5460</v>
      </c>
      <c r="C65">
        <v>13</v>
      </c>
      <c r="D65">
        <v>25</v>
      </c>
      <c r="E65">
        <v>31</v>
      </c>
    </row>
    <row r="66" spans="1:5">
      <c r="A66" t="s">
        <v>5467</v>
      </c>
      <c r="B66" t="s">
        <v>705</v>
      </c>
      <c r="C66">
        <v>8</v>
      </c>
      <c r="D66">
        <v>20</v>
      </c>
      <c r="E66">
        <v>31</v>
      </c>
    </row>
    <row r="67" spans="1:5">
      <c r="A67" t="s">
        <v>5467</v>
      </c>
      <c r="B67" t="s">
        <v>709</v>
      </c>
      <c r="C67">
        <v>15</v>
      </c>
      <c r="D67">
        <v>27</v>
      </c>
      <c r="E67">
        <v>31</v>
      </c>
    </row>
    <row r="68" spans="1:5">
      <c r="A68" t="s">
        <v>5467</v>
      </c>
      <c r="B68" t="s">
        <v>717</v>
      </c>
      <c r="C68">
        <v>6</v>
      </c>
      <c r="D68">
        <v>18</v>
      </c>
      <c r="E68">
        <v>31</v>
      </c>
    </row>
    <row r="69" spans="1:5">
      <c r="A69" t="s">
        <v>5467</v>
      </c>
      <c r="B69" t="s">
        <v>721</v>
      </c>
      <c r="C69">
        <v>8</v>
      </c>
      <c r="D69">
        <v>20</v>
      </c>
      <c r="E69">
        <v>31</v>
      </c>
    </row>
    <row r="70" spans="1:5">
      <c r="A70" t="s">
        <v>5467</v>
      </c>
      <c r="B70" t="s">
        <v>725</v>
      </c>
      <c r="C70">
        <v>13</v>
      </c>
      <c r="D70">
        <v>25</v>
      </c>
      <c r="E70">
        <v>31</v>
      </c>
    </row>
    <row r="71" spans="1:5">
      <c r="A71" t="s">
        <v>5467</v>
      </c>
      <c r="B71" t="s">
        <v>5461</v>
      </c>
      <c r="C71">
        <v>11</v>
      </c>
      <c r="D71">
        <v>23</v>
      </c>
      <c r="E71">
        <v>31</v>
      </c>
    </row>
    <row r="72" spans="1:5">
      <c r="A72" t="s">
        <v>5468</v>
      </c>
      <c r="B72" t="s">
        <v>713</v>
      </c>
      <c r="C72">
        <v>6</v>
      </c>
      <c r="D72">
        <v>18</v>
      </c>
      <c r="E72">
        <v>31</v>
      </c>
    </row>
    <row r="73" spans="1:5">
      <c r="A73" t="s">
        <v>5468</v>
      </c>
      <c r="B73" t="s">
        <v>693</v>
      </c>
      <c r="C73">
        <v>8</v>
      </c>
      <c r="D73">
        <v>20</v>
      </c>
      <c r="E73">
        <v>31</v>
      </c>
    </row>
    <row r="74" spans="1:5">
      <c r="A74" t="s">
        <v>5468</v>
      </c>
      <c r="B74" t="s">
        <v>698</v>
      </c>
      <c r="C74">
        <v>16</v>
      </c>
      <c r="D74">
        <v>28</v>
      </c>
      <c r="E74">
        <v>31</v>
      </c>
    </row>
    <row r="75" spans="1:5">
      <c r="A75" t="s">
        <v>5468</v>
      </c>
      <c r="B75" t="s">
        <v>5460</v>
      </c>
      <c r="C75">
        <v>9</v>
      </c>
      <c r="D75">
        <v>21</v>
      </c>
      <c r="E75">
        <v>31</v>
      </c>
    </row>
    <row r="76" spans="1:5">
      <c r="A76" t="s">
        <v>5468</v>
      </c>
      <c r="B76" t="s">
        <v>705</v>
      </c>
      <c r="C76">
        <v>12</v>
      </c>
      <c r="D76">
        <v>24</v>
      </c>
      <c r="E76">
        <v>31</v>
      </c>
    </row>
    <row r="77" spans="1:5">
      <c r="A77" t="s">
        <v>5468</v>
      </c>
      <c r="B77" t="s">
        <v>709</v>
      </c>
      <c r="C77">
        <v>10</v>
      </c>
      <c r="D77">
        <v>22</v>
      </c>
      <c r="E77">
        <v>31</v>
      </c>
    </row>
    <row r="78" spans="1:5">
      <c r="A78" t="s">
        <v>5468</v>
      </c>
      <c r="B78" t="s">
        <v>717</v>
      </c>
      <c r="C78">
        <v>7</v>
      </c>
      <c r="D78">
        <v>19</v>
      </c>
      <c r="E78">
        <v>31</v>
      </c>
    </row>
    <row r="79" spans="1:5">
      <c r="A79" t="s">
        <v>5468</v>
      </c>
      <c r="B79" t="s">
        <v>721</v>
      </c>
      <c r="C79">
        <v>14</v>
      </c>
      <c r="D79">
        <v>26</v>
      </c>
      <c r="E79">
        <v>31</v>
      </c>
    </row>
    <row r="80" spans="1:5">
      <c r="A80" t="s">
        <v>5468</v>
      </c>
      <c r="B80" t="s">
        <v>725</v>
      </c>
      <c r="C80">
        <v>7</v>
      </c>
      <c r="D80">
        <v>19</v>
      </c>
      <c r="E80">
        <v>31</v>
      </c>
    </row>
    <row r="81" spans="1:5">
      <c r="A81" t="s">
        <v>5468</v>
      </c>
      <c r="B81" t="s">
        <v>5461</v>
      </c>
      <c r="C81">
        <v>15</v>
      </c>
      <c r="D81">
        <v>27</v>
      </c>
      <c r="E81">
        <v>31</v>
      </c>
    </row>
    <row r="82" spans="1:5">
      <c r="A82" t="s">
        <v>5469</v>
      </c>
      <c r="B82" t="s">
        <v>713</v>
      </c>
      <c r="C82">
        <v>12</v>
      </c>
      <c r="D82">
        <v>24</v>
      </c>
      <c r="E82">
        <v>31</v>
      </c>
    </row>
    <row r="83" spans="1:5">
      <c r="A83" t="s">
        <v>5469</v>
      </c>
      <c r="B83" t="s">
        <v>693</v>
      </c>
      <c r="C83">
        <v>4</v>
      </c>
      <c r="D83">
        <v>16</v>
      </c>
      <c r="E83">
        <v>31</v>
      </c>
    </row>
    <row r="84" spans="1:5">
      <c r="A84" t="s">
        <v>5469</v>
      </c>
      <c r="B84" t="s">
        <v>698</v>
      </c>
      <c r="C84">
        <v>13</v>
      </c>
      <c r="D84">
        <v>25</v>
      </c>
      <c r="E84">
        <v>31</v>
      </c>
    </row>
    <row r="85" spans="1:5">
      <c r="A85" t="s">
        <v>5469</v>
      </c>
      <c r="B85" t="s">
        <v>5460</v>
      </c>
      <c r="C85">
        <v>6</v>
      </c>
      <c r="D85">
        <v>18</v>
      </c>
      <c r="E85">
        <v>31</v>
      </c>
    </row>
    <row r="86" spans="1:5">
      <c r="A86" t="s">
        <v>5469</v>
      </c>
      <c r="B86" t="s">
        <v>705</v>
      </c>
      <c r="C86">
        <v>10</v>
      </c>
      <c r="D86">
        <v>22</v>
      </c>
      <c r="E86">
        <v>31</v>
      </c>
    </row>
    <row r="87" spans="1:5">
      <c r="A87" t="s">
        <v>5469</v>
      </c>
      <c r="B87" t="s">
        <v>709</v>
      </c>
      <c r="C87">
        <v>12</v>
      </c>
      <c r="D87">
        <v>24</v>
      </c>
      <c r="E87">
        <v>31</v>
      </c>
    </row>
    <row r="88" spans="1:5">
      <c r="A88" t="s">
        <v>5469</v>
      </c>
      <c r="B88" t="s">
        <v>717</v>
      </c>
      <c r="C88">
        <v>4</v>
      </c>
      <c r="D88">
        <v>16</v>
      </c>
      <c r="E88">
        <v>31</v>
      </c>
    </row>
    <row r="89" spans="1:5">
      <c r="A89" t="s">
        <v>5469</v>
      </c>
      <c r="B89" t="s">
        <v>721</v>
      </c>
      <c r="C89">
        <v>19</v>
      </c>
      <c r="D89">
        <v>31</v>
      </c>
      <c r="E89">
        <v>31</v>
      </c>
    </row>
    <row r="90" spans="1:5">
      <c r="A90" t="s">
        <v>5469</v>
      </c>
      <c r="B90" t="s">
        <v>725</v>
      </c>
      <c r="C90">
        <v>5</v>
      </c>
      <c r="D90">
        <v>17</v>
      </c>
      <c r="E90">
        <v>31</v>
      </c>
    </row>
    <row r="91" spans="1:5">
      <c r="A91" t="s">
        <v>5469</v>
      </c>
      <c r="B91" t="s">
        <v>5461</v>
      </c>
      <c r="C91">
        <v>19</v>
      </c>
      <c r="D91">
        <v>31</v>
      </c>
      <c r="E91">
        <v>31</v>
      </c>
    </row>
    <row r="92" spans="1:5">
      <c r="A92" t="s">
        <v>5470</v>
      </c>
      <c r="B92" t="s">
        <v>713</v>
      </c>
      <c r="C92">
        <v>11</v>
      </c>
      <c r="D92">
        <v>23</v>
      </c>
      <c r="E92">
        <v>31</v>
      </c>
    </row>
    <row r="93" spans="1:5">
      <c r="A93" t="s">
        <v>5470</v>
      </c>
      <c r="B93" t="s">
        <v>693</v>
      </c>
      <c r="C93">
        <v>11</v>
      </c>
      <c r="D93">
        <v>23</v>
      </c>
      <c r="E93">
        <v>31</v>
      </c>
    </row>
    <row r="94" spans="1:5">
      <c r="A94" t="s">
        <v>5470</v>
      </c>
      <c r="B94" t="s">
        <v>698</v>
      </c>
      <c r="C94">
        <v>14</v>
      </c>
      <c r="D94">
        <v>26</v>
      </c>
      <c r="E94">
        <v>31</v>
      </c>
    </row>
    <row r="95" spans="1:5">
      <c r="A95" t="s">
        <v>5470</v>
      </c>
      <c r="B95" t="s">
        <v>5460</v>
      </c>
      <c r="C95">
        <v>9</v>
      </c>
      <c r="D95">
        <v>21</v>
      </c>
      <c r="E95">
        <v>31</v>
      </c>
    </row>
    <row r="96" spans="1:5">
      <c r="A96" t="s">
        <v>5470</v>
      </c>
      <c r="B96" t="s">
        <v>705</v>
      </c>
      <c r="C96">
        <v>13</v>
      </c>
      <c r="D96">
        <v>25</v>
      </c>
      <c r="E96">
        <v>31</v>
      </c>
    </row>
    <row r="97" spans="1:5">
      <c r="A97" t="s">
        <v>5470</v>
      </c>
      <c r="B97" t="s">
        <v>709</v>
      </c>
      <c r="C97">
        <v>6</v>
      </c>
      <c r="D97">
        <v>18</v>
      </c>
      <c r="E97">
        <v>31</v>
      </c>
    </row>
    <row r="98" spans="1:5">
      <c r="A98" t="s">
        <v>5470</v>
      </c>
      <c r="B98" t="s">
        <v>717</v>
      </c>
      <c r="C98">
        <v>10</v>
      </c>
      <c r="D98">
        <v>22</v>
      </c>
      <c r="E98">
        <v>31</v>
      </c>
    </row>
    <row r="99" spans="1:5">
      <c r="A99" t="s">
        <v>5470</v>
      </c>
      <c r="B99" t="s">
        <v>721</v>
      </c>
      <c r="C99">
        <v>13</v>
      </c>
      <c r="D99">
        <v>25</v>
      </c>
      <c r="E99">
        <v>31</v>
      </c>
    </row>
    <row r="100" spans="1:5">
      <c r="A100" t="s">
        <v>5470</v>
      </c>
      <c r="B100" t="s">
        <v>725</v>
      </c>
      <c r="C100">
        <v>6</v>
      </c>
      <c r="D100">
        <v>18</v>
      </c>
      <c r="E100">
        <v>31</v>
      </c>
    </row>
    <row r="101" spans="1:5">
      <c r="A101" t="s">
        <v>5470</v>
      </c>
      <c r="B101" t="s">
        <v>5461</v>
      </c>
      <c r="C101">
        <v>11</v>
      </c>
      <c r="D101">
        <v>23</v>
      </c>
      <c r="E101">
        <v>31</v>
      </c>
    </row>
    <row r="102" spans="1:5">
      <c r="A102" t="s">
        <v>5471</v>
      </c>
      <c r="B102" t="s">
        <v>713</v>
      </c>
      <c r="C102">
        <v>8</v>
      </c>
      <c r="D102">
        <v>20</v>
      </c>
      <c r="E102">
        <v>31</v>
      </c>
    </row>
    <row r="103" spans="1:5">
      <c r="A103" t="s">
        <v>5471</v>
      </c>
      <c r="B103" t="s">
        <v>693</v>
      </c>
      <c r="C103">
        <v>14</v>
      </c>
      <c r="D103">
        <v>26</v>
      </c>
      <c r="E103">
        <v>31</v>
      </c>
    </row>
    <row r="104" spans="1:5">
      <c r="A104" t="s">
        <v>5471</v>
      </c>
      <c r="B104" t="s">
        <v>698</v>
      </c>
      <c r="C104">
        <v>10</v>
      </c>
      <c r="D104">
        <v>22</v>
      </c>
      <c r="E104">
        <v>31</v>
      </c>
    </row>
    <row r="105" spans="1:5">
      <c r="A105" t="s">
        <v>5471</v>
      </c>
      <c r="B105" t="s">
        <v>5460</v>
      </c>
      <c r="C105">
        <v>8</v>
      </c>
      <c r="D105">
        <v>20</v>
      </c>
      <c r="E105">
        <v>31</v>
      </c>
    </row>
    <row r="106" spans="1:5">
      <c r="A106" t="s">
        <v>5471</v>
      </c>
      <c r="B106" t="s">
        <v>705</v>
      </c>
      <c r="C106">
        <v>12</v>
      </c>
      <c r="D106">
        <v>24</v>
      </c>
      <c r="E106">
        <v>31</v>
      </c>
    </row>
    <row r="107" spans="1:5">
      <c r="A107" t="s">
        <v>5471</v>
      </c>
      <c r="B107" t="s">
        <v>709</v>
      </c>
      <c r="C107">
        <v>7</v>
      </c>
      <c r="D107">
        <v>19</v>
      </c>
      <c r="E107">
        <v>31</v>
      </c>
    </row>
    <row r="108" spans="1:5">
      <c r="A108" t="s">
        <v>5471</v>
      </c>
      <c r="B108" t="s">
        <v>717</v>
      </c>
      <c r="C108">
        <v>13</v>
      </c>
      <c r="D108">
        <v>25</v>
      </c>
      <c r="E108">
        <v>31</v>
      </c>
    </row>
    <row r="109" spans="1:5">
      <c r="A109" t="s">
        <v>5471</v>
      </c>
      <c r="B109" t="s">
        <v>721</v>
      </c>
      <c r="C109">
        <v>13</v>
      </c>
      <c r="D109">
        <v>25</v>
      </c>
      <c r="E109">
        <v>31</v>
      </c>
    </row>
    <row r="110" spans="1:5">
      <c r="A110" t="s">
        <v>5471</v>
      </c>
      <c r="B110" t="s">
        <v>725</v>
      </c>
      <c r="C110">
        <v>7</v>
      </c>
      <c r="D110">
        <v>19</v>
      </c>
      <c r="E110">
        <v>31</v>
      </c>
    </row>
    <row r="111" spans="1:5">
      <c r="A111" t="s">
        <v>5471</v>
      </c>
      <c r="B111" t="s">
        <v>5461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5472</v>
      </c>
      <c r="D1" s="73" t="s">
        <v>5473</v>
      </c>
      <c r="E1" s="73" t="s">
        <v>15</v>
      </c>
      <c r="F1" s="73" t="s">
        <v>5474</v>
      </c>
      <c r="G1" s="73" t="s">
        <v>5475</v>
      </c>
      <c r="H1" s="73" t="s">
        <v>5476</v>
      </c>
      <c r="I1" s="73" t="s">
        <v>5477</v>
      </c>
      <c r="J1" s="73" t="s">
        <v>5478</v>
      </c>
      <c r="K1" s="73" t="s">
        <v>5479</v>
      </c>
      <c r="L1" s="73" t="s">
        <v>5480</v>
      </c>
      <c r="M1" s="73" t="s">
        <v>5481</v>
      </c>
      <c r="N1" s="73" t="s">
        <v>5482</v>
      </c>
      <c r="O1" s="73" t="s">
        <v>5483</v>
      </c>
      <c r="P1" s="73" t="s">
        <v>5484</v>
      </c>
      <c r="Q1" s="74" t="s">
        <v>5485</v>
      </c>
    </row>
    <row r="2" spans="1:17" ht="39.6" customHeight="1">
      <c r="A2" s="60" t="s">
        <v>583</v>
      </c>
      <c r="B2" s="69">
        <v>1</v>
      </c>
      <c r="C2" s="69">
        <v>3</v>
      </c>
      <c r="D2" s="69">
        <v>10</v>
      </c>
      <c r="E2" s="63" t="s">
        <v>5486</v>
      </c>
      <c r="F2" s="63" t="s">
        <v>584</v>
      </c>
      <c r="G2" s="63" t="s">
        <v>5487</v>
      </c>
      <c r="H2" s="63" t="s">
        <v>5488</v>
      </c>
      <c r="I2" s="63" t="s">
        <v>662</v>
      </c>
      <c r="J2" s="69" t="s">
        <v>5489</v>
      </c>
      <c r="K2" s="69" t="s">
        <v>5490</v>
      </c>
      <c r="L2" s="69" t="s">
        <v>5491</v>
      </c>
      <c r="M2" s="69" t="s">
        <v>5492</v>
      </c>
      <c r="N2" s="63" t="s">
        <v>5493</v>
      </c>
      <c r="O2" s="63">
        <v>5</v>
      </c>
      <c r="P2" s="63" t="s">
        <v>5494</v>
      </c>
      <c r="Q2" s="66" t="s">
        <v>5495</v>
      </c>
    </row>
    <row r="3" spans="1:17" ht="39.6" customHeight="1">
      <c r="A3" s="61" t="s">
        <v>583</v>
      </c>
      <c r="B3" s="70">
        <v>2</v>
      </c>
      <c r="C3" s="70">
        <v>6</v>
      </c>
      <c r="D3" s="70">
        <v>20</v>
      </c>
      <c r="E3" s="64" t="s">
        <v>5496</v>
      </c>
      <c r="F3" s="64" t="s">
        <v>584</v>
      </c>
      <c r="G3" s="64" t="s">
        <v>5487</v>
      </c>
      <c r="H3" s="64" t="s">
        <v>5488</v>
      </c>
      <c r="I3" s="64" t="s">
        <v>662</v>
      </c>
      <c r="J3" s="70" t="s">
        <v>5489</v>
      </c>
      <c r="K3" s="70" t="s">
        <v>5490</v>
      </c>
      <c r="L3" s="70" t="s">
        <v>5491</v>
      </c>
      <c r="M3" s="70" t="s">
        <v>5492</v>
      </c>
      <c r="N3" s="64" t="s">
        <v>5493</v>
      </c>
      <c r="O3" s="64">
        <v>5</v>
      </c>
      <c r="P3" s="64" t="s">
        <v>5494</v>
      </c>
      <c r="Q3" s="67" t="s">
        <v>5495</v>
      </c>
    </row>
    <row r="4" spans="1:17" ht="39.6" customHeight="1">
      <c r="A4" s="61" t="s">
        <v>583</v>
      </c>
      <c r="B4" s="70">
        <v>3</v>
      </c>
      <c r="C4" s="70">
        <v>9</v>
      </c>
      <c r="D4" s="70">
        <v>30</v>
      </c>
      <c r="E4" s="64" t="s">
        <v>5497</v>
      </c>
      <c r="F4" s="64" t="s">
        <v>584</v>
      </c>
      <c r="G4" s="64" t="s">
        <v>5487</v>
      </c>
      <c r="H4" s="64" t="s">
        <v>5488</v>
      </c>
      <c r="I4" s="64" t="s">
        <v>662</v>
      </c>
      <c r="J4" s="70" t="s">
        <v>5489</v>
      </c>
      <c r="K4" s="70" t="s">
        <v>5490</v>
      </c>
      <c r="L4" s="70" t="s">
        <v>5491</v>
      </c>
      <c r="M4" s="70" t="s">
        <v>5492</v>
      </c>
      <c r="N4" s="64" t="s">
        <v>5493</v>
      </c>
      <c r="O4" s="64">
        <v>5</v>
      </c>
      <c r="P4" s="64" t="s">
        <v>5494</v>
      </c>
      <c r="Q4" s="67" t="s">
        <v>5495</v>
      </c>
    </row>
    <row r="5" spans="1:17" ht="39.6" customHeight="1">
      <c r="A5" s="61" t="s">
        <v>583</v>
      </c>
      <c r="B5" s="70">
        <v>4</v>
      </c>
      <c r="C5" s="70">
        <v>12</v>
      </c>
      <c r="D5" s="70">
        <v>40</v>
      </c>
      <c r="E5" s="64" t="s">
        <v>5498</v>
      </c>
      <c r="F5" s="64" t="s">
        <v>584</v>
      </c>
      <c r="G5" s="64" t="s">
        <v>5487</v>
      </c>
      <c r="H5" s="64" t="s">
        <v>5488</v>
      </c>
      <c r="I5" s="64" t="s">
        <v>662</v>
      </c>
      <c r="J5" s="70" t="s">
        <v>5489</v>
      </c>
      <c r="K5" s="70" t="s">
        <v>5490</v>
      </c>
      <c r="L5" s="70" t="s">
        <v>5491</v>
      </c>
      <c r="M5" s="70" t="s">
        <v>5492</v>
      </c>
      <c r="N5" s="64" t="s">
        <v>5493</v>
      </c>
      <c r="O5" s="64">
        <v>5</v>
      </c>
      <c r="P5" s="64" t="s">
        <v>5494</v>
      </c>
      <c r="Q5" s="67" t="s">
        <v>5495</v>
      </c>
    </row>
    <row r="6" spans="1:17" ht="39.6" customHeight="1">
      <c r="A6" s="61" t="s">
        <v>583</v>
      </c>
      <c r="B6" s="70">
        <v>5</v>
      </c>
      <c r="C6" s="70">
        <v>15</v>
      </c>
      <c r="D6" s="70">
        <v>55</v>
      </c>
      <c r="E6" s="64" t="s">
        <v>5499</v>
      </c>
      <c r="F6" s="64" t="s">
        <v>584</v>
      </c>
      <c r="G6" s="64" t="s">
        <v>5487</v>
      </c>
      <c r="H6" s="64" t="s">
        <v>5488</v>
      </c>
      <c r="I6" s="64" t="s">
        <v>662</v>
      </c>
      <c r="J6" s="70" t="s">
        <v>5489</v>
      </c>
      <c r="K6" s="70" t="s">
        <v>5490</v>
      </c>
      <c r="L6" s="70" t="s">
        <v>5491</v>
      </c>
      <c r="M6" s="70" t="s">
        <v>5492</v>
      </c>
      <c r="N6" s="64" t="s">
        <v>5493</v>
      </c>
      <c r="O6" s="64">
        <v>5</v>
      </c>
      <c r="P6" s="64" t="s">
        <v>5494</v>
      </c>
      <c r="Q6" s="67" t="s">
        <v>5495</v>
      </c>
    </row>
    <row r="7" spans="1:17" ht="39.6" customHeight="1">
      <c r="A7" s="61" t="s">
        <v>583</v>
      </c>
      <c r="B7" s="70">
        <v>6</v>
      </c>
      <c r="C7" s="70">
        <v>20</v>
      </c>
      <c r="D7" s="70">
        <v>75</v>
      </c>
      <c r="E7" s="64" t="s">
        <v>5500</v>
      </c>
      <c r="F7" s="64" t="s">
        <v>584</v>
      </c>
      <c r="G7" s="64" t="s">
        <v>5487</v>
      </c>
      <c r="H7" s="64" t="s">
        <v>5488</v>
      </c>
      <c r="I7" s="64" t="s">
        <v>662</v>
      </c>
      <c r="J7" s="70" t="s">
        <v>5489</v>
      </c>
      <c r="K7" s="70" t="s">
        <v>5490</v>
      </c>
      <c r="L7" s="70" t="s">
        <v>5491</v>
      </c>
      <c r="M7" s="70" t="s">
        <v>5492</v>
      </c>
      <c r="N7" s="64" t="s">
        <v>5493</v>
      </c>
      <c r="O7" s="64">
        <v>5</v>
      </c>
      <c r="P7" s="64" t="s">
        <v>5494</v>
      </c>
      <c r="Q7" s="67" t="s">
        <v>5495</v>
      </c>
    </row>
    <row r="8" spans="1:17" ht="39.6" customHeight="1">
      <c r="A8" s="61" t="s">
        <v>583</v>
      </c>
      <c r="B8" s="70">
        <v>7</v>
      </c>
      <c r="C8" s="70">
        <v>30</v>
      </c>
      <c r="D8" s="70">
        <v>100</v>
      </c>
      <c r="E8" s="64" t="s">
        <v>5501</v>
      </c>
      <c r="F8" s="64" t="s">
        <v>584</v>
      </c>
      <c r="G8" s="64" t="s">
        <v>5487</v>
      </c>
      <c r="H8" s="64" t="s">
        <v>5488</v>
      </c>
      <c r="I8" s="64" t="s">
        <v>662</v>
      </c>
      <c r="J8" s="70" t="s">
        <v>5489</v>
      </c>
      <c r="K8" s="70" t="s">
        <v>5490</v>
      </c>
      <c r="L8" s="70" t="s">
        <v>5491</v>
      </c>
      <c r="M8" s="70" t="s">
        <v>5492</v>
      </c>
      <c r="N8" s="64" t="s">
        <v>5493</v>
      </c>
      <c r="O8" s="64">
        <v>5</v>
      </c>
      <c r="P8" s="64" t="s">
        <v>5494</v>
      </c>
      <c r="Q8" s="67" t="s">
        <v>5495</v>
      </c>
    </row>
    <row r="9" spans="1:17" ht="26.45" customHeight="1">
      <c r="A9" s="61" t="s">
        <v>564</v>
      </c>
      <c r="B9" s="70">
        <v>1</v>
      </c>
      <c r="C9" s="70">
        <v>4</v>
      </c>
      <c r="D9" s="70">
        <v>10</v>
      </c>
      <c r="E9" s="64" t="s">
        <v>5502</v>
      </c>
      <c r="F9" s="64" t="s">
        <v>580</v>
      </c>
      <c r="G9" s="64" t="s">
        <v>5503</v>
      </c>
      <c r="H9" s="64" t="s">
        <v>5476</v>
      </c>
      <c r="I9" s="64" t="s">
        <v>5504</v>
      </c>
      <c r="J9" s="70" t="s">
        <v>694</v>
      </c>
      <c r="K9" s="70" t="s">
        <v>5505</v>
      </c>
      <c r="L9" s="70">
        <v>1</v>
      </c>
      <c r="M9" s="70" t="s">
        <v>5491</v>
      </c>
      <c r="N9" s="64" t="s">
        <v>5491</v>
      </c>
      <c r="O9" s="64">
        <v>15</v>
      </c>
      <c r="P9" s="64" t="s">
        <v>5494</v>
      </c>
      <c r="Q9" s="67" t="s">
        <v>5495</v>
      </c>
    </row>
    <row r="10" spans="1:17" ht="26.45" customHeight="1">
      <c r="A10" s="61" t="s">
        <v>564</v>
      </c>
      <c r="B10" s="70">
        <v>2</v>
      </c>
      <c r="C10" s="70">
        <v>7</v>
      </c>
      <c r="D10" s="70">
        <v>20</v>
      </c>
      <c r="E10" s="64" t="s">
        <v>5506</v>
      </c>
      <c r="F10" s="64" t="s">
        <v>580</v>
      </c>
      <c r="G10" s="64" t="s">
        <v>5503</v>
      </c>
      <c r="H10" s="64" t="s">
        <v>5476</v>
      </c>
      <c r="I10" s="64" t="s">
        <v>5504</v>
      </c>
      <c r="J10" s="70" t="s">
        <v>694</v>
      </c>
      <c r="K10" s="70" t="s">
        <v>5505</v>
      </c>
      <c r="L10" s="70">
        <v>1</v>
      </c>
      <c r="M10" s="70" t="s">
        <v>5491</v>
      </c>
      <c r="N10" s="64" t="s">
        <v>5491</v>
      </c>
      <c r="O10" s="64">
        <v>15</v>
      </c>
      <c r="P10" s="64" t="s">
        <v>5494</v>
      </c>
      <c r="Q10" s="67" t="s">
        <v>5495</v>
      </c>
    </row>
    <row r="11" spans="1:17" ht="26.45" customHeight="1">
      <c r="A11" s="61" t="s">
        <v>564</v>
      </c>
      <c r="B11" s="70">
        <v>3</v>
      </c>
      <c r="C11" s="70">
        <v>10</v>
      </c>
      <c r="D11" s="70">
        <v>30</v>
      </c>
      <c r="E11" s="64" t="s">
        <v>5507</v>
      </c>
      <c r="F11" s="64" t="s">
        <v>580</v>
      </c>
      <c r="G11" s="64" t="s">
        <v>5503</v>
      </c>
      <c r="H11" s="64" t="s">
        <v>5476</v>
      </c>
      <c r="I11" s="64" t="s">
        <v>5504</v>
      </c>
      <c r="J11" s="70" t="s">
        <v>694</v>
      </c>
      <c r="K11" s="70" t="s">
        <v>5505</v>
      </c>
      <c r="L11" s="70">
        <v>1</v>
      </c>
      <c r="M11" s="70" t="s">
        <v>5491</v>
      </c>
      <c r="N11" s="64" t="s">
        <v>5491</v>
      </c>
      <c r="O11" s="64">
        <v>15</v>
      </c>
      <c r="P11" s="64" t="s">
        <v>5494</v>
      </c>
      <c r="Q11" s="67" t="s">
        <v>5495</v>
      </c>
    </row>
    <row r="12" spans="1:17" ht="26.45" customHeight="1">
      <c r="A12" s="61" t="s">
        <v>564</v>
      </c>
      <c r="B12" s="70">
        <v>4</v>
      </c>
      <c r="C12" s="70">
        <v>14</v>
      </c>
      <c r="D12" s="70">
        <v>45</v>
      </c>
      <c r="E12" s="64" t="s">
        <v>5508</v>
      </c>
      <c r="F12" s="64" t="s">
        <v>580</v>
      </c>
      <c r="G12" s="64" t="s">
        <v>5503</v>
      </c>
      <c r="H12" s="64" t="s">
        <v>5476</v>
      </c>
      <c r="I12" s="64" t="s">
        <v>5504</v>
      </c>
      <c r="J12" s="70" t="s">
        <v>694</v>
      </c>
      <c r="K12" s="70" t="s">
        <v>5505</v>
      </c>
      <c r="L12" s="70">
        <v>1</v>
      </c>
      <c r="M12" s="70" t="s">
        <v>5491</v>
      </c>
      <c r="N12" s="64" t="s">
        <v>5491</v>
      </c>
      <c r="O12" s="64">
        <v>15</v>
      </c>
      <c r="P12" s="64" t="s">
        <v>5494</v>
      </c>
      <c r="Q12" s="67" t="s">
        <v>5495</v>
      </c>
    </row>
    <row r="13" spans="1:17" ht="26.45" customHeight="1">
      <c r="A13" s="61" t="s">
        <v>564</v>
      </c>
      <c r="B13" s="70">
        <v>5</v>
      </c>
      <c r="C13" s="70">
        <v>18</v>
      </c>
      <c r="D13" s="70">
        <v>60</v>
      </c>
      <c r="E13" s="64" t="s">
        <v>5509</v>
      </c>
      <c r="F13" s="64" t="s">
        <v>580</v>
      </c>
      <c r="G13" s="64" t="s">
        <v>5503</v>
      </c>
      <c r="H13" s="64" t="s">
        <v>5476</v>
      </c>
      <c r="I13" s="64" t="s">
        <v>5504</v>
      </c>
      <c r="J13" s="70" t="s">
        <v>694</v>
      </c>
      <c r="K13" s="70" t="s">
        <v>5505</v>
      </c>
      <c r="L13" s="70">
        <v>1</v>
      </c>
      <c r="M13" s="70" t="s">
        <v>5491</v>
      </c>
      <c r="N13" s="64" t="s">
        <v>5491</v>
      </c>
      <c r="O13" s="64">
        <v>15</v>
      </c>
      <c r="P13" s="64" t="s">
        <v>5494</v>
      </c>
      <c r="Q13" s="67" t="s">
        <v>5495</v>
      </c>
    </row>
    <row r="14" spans="1:17" ht="26.45" customHeight="1">
      <c r="A14" s="61" t="s">
        <v>564</v>
      </c>
      <c r="B14" s="70">
        <v>6</v>
      </c>
      <c r="C14" s="70">
        <v>22</v>
      </c>
      <c r="D14" s="70">
        <v>80</v>
      </c>
      <c r="E14" s="64" t="s">
        <v>5510</v>
      </c>
      <c r="F14" s="64" t="s">
        <v>580</v>
      </c>
      <c r="G14" s="64" t="s">
        <v>5503</v>
      </c>
      <c r="H14" s="64" t="s">
        <v>5476</v>
      </c>
      <c r="I14" s="64" t="s">
        <v>5504</v>
      </c>
      <c r="J14" s="70" t="s">
        <v>694</v>
      </c>
      <c r="K14" s="70" t="s">
        <v>5505</v>
      </c>
      <c r="L14" s="70">
        <v>1</v>
      </c>
      <c r="M14" s="70" t="s">
        <v>5491</v>
      </c>
      <c r="N14" s="64" t="s">
        <v>5491</v>
      </c>
      <c r="O14" s="64">
        <v>15</v>
      </c>
      <c r="P14" s="64" t="s">
        <v>5494</v>
      </c>
      <c r="Q14" s="67" t="s">
        <v>5495</v>
      </c>
    </row>
    <row r="15" spans="1:17" ht="26.45" customHeight="1">
      <c r="A15" s="61" t="s">
        <v>564</v>
      </c>
      <c r="B15" s="70">
        <v>7</v>
      </c>
      <c r="C15" s="70">
        <v>29</v>
      </c>
      <c r="D15" s="70">
        <v>100</v>
      </c>
      <c r="E15" s="64" t="s">
        <v>5511</v>
      </c>
      <c r="F15" s="64" t="s">
        <v>580</v>
      </c>
      <c r="G15" s="64" t="s">
        <v>5503</v>
      </c>
      <c r="H15" s="64" t="s">
        <v>5476</v>
      </c>
      <c r="I15" s="64" t="s">
        <v>5504</v>
      </c>
      <c r="J15" s="70" t="s">
        <v>694</v>
      </c>
      <c r="K15" s="70" t="s">
        <v>5505</v>
      </c>
      <c r="L15" s="70">
        <v>1</v>
      </c>
      <c r="M15" s="70" t="s">
        <v>5491</v>
      </c>
      <c r="N15" s="64" t="s">
        <v>5491</v>
      </c>
      <c r="O15" s="64">
        <v>15</v>
      </c>
      <c r="P15" s="64" t="s">
        <v>5494</v>
      </c>
      <c r="Q15" s="67" t="s">
        <v>5495</v>
      </c>
    </row>
    <row r="16" spans="1:17" ht="26.45" customHeight="1">
      <c r="A16" s="61" t="s">
        <v>578</v>
      </c>
      <c r="B16" s="70">
        <v>1</v>
      </c>
      <c r="C16" s="70">
        <v>4</v>
      </c>
      <c r="D16" s="70">
        <v>10</v>
      </c>
      <c r="E16" s="64" t="s">
        <v>5512</v>
      </c>
      <c r="F16" s="64" t="s">
        <v>579</v>
      </c>
      <c r="G16" s="64" t="s">
        <v>5513</v>
      </c>
      <c r="H16" s="64" t="s">
        <v>5476</v>
      </c>
      <c r="I16" s="64" t="s">
        <v>5504</v>
      </c>
      <c r="J16" s="70" t="s">
        <v>694</v>
      </c>
      <c r="K16" s="70" t="s">
        <v>5505</v>
      </c>
      <c r="L16" s="70">
        <v>1</v>
      </c>
      <c r="M16" s="70" t="s">
        <v>5491</v>
      </c>
      <c r="N16" s="64" t="s">
        <v>5491</v>
      </c>
      <c r="O16" s="64">
        <v>10</v>
      </c>
      <c r="P16" s="64" t="s">
        <v>5494</v>
      </c>
      <c r="Q16" s="67" t="s">
        <v>5495</v>
      </c>
    </row>
    <row r="17" spans="1:17" ht="26.45" customHeight="1">
      <c r="A17" s="61" t="s">
        <v>578</v>
      </c>
      <c r="B17" s="70">
        <v>2</v>
      </c>
      <c r="C17" s="70">
        <v>7</v>
      </c>
      <c r="D17" s="70">
        <v>20</v>
      </c>
      <c r="E17" s="64" t="s">
        <v>5514</v>
      </c>
      <c r="F17" s="64" t="s">
        <v>579</v>
      </c>
      <c r="G17" s="64" t="s">
        <v>5513</v>
      </c>
      <c r="H17" s="64" t="s">
        <v>5476</v>
      </c>
      <c r="I17" s="64" t="s">
        <v>5504</v>
      </c>
      <c r="J17" s="70" t="s">
        <v>694</v>
      </c>
      <c r="K17" s="70" t="s">
        <v>5505</v>
      </c>
      <c r="L17" s="70">
        <v>1</v>
      </c>
      <c r="M17" s="70" t="s">
        <v>5491</v>
      </c>
      <c r="N17" s="64" t="s">
        <v>5491</v>
      </c>
      <c r="O17" s="64">
        <v>10</v>
      </c>
      <c r="P17" s="64" t="s">
        <v>5494</v>
      </c>
      <c r="Q17" s="67" t="s">
        <v>5495</v>
      </c>
    </row>
    <row r="18" spans="1:17" ht="26.45" customHeight="1">
      <c r="A18" s="61" t="s">
        <v>578</v>
      </c>
      <c r="B18" s="70">
        <v>3</v>
      </c>
      <c r="C18" s="70">
        <v>10</v>
      </c>
      <c r="D18" s="70">
        <v>30</v>
      </c>
      <c r="E18" s="64" t="s">
        <v>5515</v>
      </c>
      <c r="F18" s="64" t="s">
        <v>579</v>
      </c>
      <c r="G18" s="64" t="s">
        <v>5513</v>
      </c>
      <c r="H18" s="64" t="s">
        <v>5476</v>
      </c>
      <c r="I18" s="64" t="s">
        <v>5504</v>
      </c>
      <c r="J18" s="70" t="s">
        <v>694</v>
      </c>
      <c r="K18" s="70" t="s">
        <v>5505</v>
      </c>
      <c r="L18" s="70">
        <v>1</v>
      </c>
      <c r="M18" s="70" t="s">
        <v>5491</v>
      </c>
      <c r="N18" s="64" t="s">
        <v>5491</v>
      </c>
      <c r="O18" s="64">
        <v>10</v>
      </c>
      <c r="P18" s="64" t="s">
        <v>5494</v>
      </c>
      <c r="Q18" s="67" t="s">
        <v>5495</v>
      </c>
    </row>
    <row r="19" spans="1:17" ht="26.45" customHeight="1">
      <c r="A19" s="61" t="s">
        <v>578</v>
      </c>
      <c r="B19" s="70">
        <v>4</v>
      </c>
      <c r="C19" s="70">
        <v>14</v>
      </c>
      <c r="D19" s="70">
        <v>45</v>
      </c>
      <c r="E19" s="64" t="s">
        <v>5516</v>
      </c>
      <c r="F19" s="64" t="s">
        <v>579</v>
      </c>
      <c r="G19" s="64" t="s">
        <v>5513</v>
      </c>
      <c r="H19" s="64" t="s">
        <v>5476</v>
      </c>
      <c r="I19" s="64" t="s">
        <v>5504</v>
      </c>
      <c r="J19" s="70" t="s">
        <v>694</v>
      </c>
      <c r="K19" s="70" t="s">
        <v>5505</v>
      </c>
      <c r="L19" s="70">
        <v>1</v>
      </c>
      <c r="M19" s="70" t="s">
        <v>5491</v>
      </c>
      <c r="N19" s="64" t="s">
        <v>5491</v>
      </c>
      <c r="O19" s="64">
        <v>10</v>
      </c>
      <c r="P19" s="64" t="s">
        <v>5494</v>
      </c>
      <c r="Q19" s="67" t="s">
        <v>5495</v>
      </c>
    </row>
    <row r="20" spans="1:17" ht="26.45" customHeight="1">
      <c r="A20" s="61" t="s">
        <v>578</v>
      </c>
      <c r="B20" s="70">
        <v>5</v>
      </c>
      <c r="C20" s="70">
        <v>18</v>
      </c>
      <c r="D20" s="70">
        <v>60</v>
      </c>
      <c r="E20" s="64" t="s">
        <v>5517</v>
      </c>
      <c r="F20" s="64" t="s">
        <v>579</v>
      </c>
      <c r="G20" s="64" t="s">
        <v>5513</v>
      </c>
      <c r="H20" s="64" t="s">
        <v>5476</v>
      </c>
      <c r="I20" s="64" t="s">
        <v>5504</v>
      </c>
      <c r="J20" s="70" t="s">
        <v>694</v>
      </c>
      <c r="K20" s="70" t="s">
        <v>5505</v>
      </c>
      <c r="L20" s="70">
        <v>1</v>
      </c>
      <c r="M20" s="70" t="s">
        <v>5491</v>
      </c>
      <c r="N20" s="64" t="s">
        <v>5491</v>
      </c>
      <c r="O20" s="64">
        <v>10</v>
      </c>
      <c r="P20" s="64" t="s">
        <v>5494</v>
      </c>
      <c r="Q20" s="67" t="s">
        <v>5495</v>
      </c>
    </row>
    <row r="21" spans="1:17" ht="26.45" customHeight="1">
      <c r="A21" s="61" t="s">
        <v>578</v>
      </c>
      <c r="B21" s="70">
        <v>6</v>
      </c>
      <c r="C21" s="70">
        <v>22</v>
      </c>
      <c r="D21" s="70">
        <v>80</v>
      </c>
      <c r="E21" s="64" t="s">
        <v>5518</v>
      </c>
      <c r="F21" s="64" t="s">
        <v>579</v>
      </c>
      <c r="G21" s="64" t="s">
        <v>5513</v>
      </c>
      <c r="H21" s="64" t="s">
        <v>5476</v>
      </c>
      <c r="I21" s="64" t="s">
        <v>5504</v>
      </c>
      <c r="J21" s="70" t="s">
        <v>694</v>
      </c>
      <c r="K21" s="70" t="s">
        <v>5505</v>
      </c>
      <c r="L21" s="70">
        <v>1</v>
      </c>
      <c r="M21" s="70" t="s">
        <v>5491</v>
      </c>
      <c r="N21" s="64" t="s">
        <v>5491</v>
      </c>
      <c r="O21" s="64">
        <v>10</v>
      </c>
      <c r="P21" s="64" t="s">
        <v>5494</v>
      </c>
      <c r="Q21" s="67" t="s">
        <v>5495</v>
      </c>
    </row>
    <row r="22" spans="1:17" ht="26.45" customHeight="1">
      <c r="A22" s="61" t="s">
        <v>578</v>
      </c>
      <c r="B22" s="70">
        <v>7</v>
      </c>
      <c r="C22" s="70">
        <v>29</v>
      </c>
      <c r="D22" s="70">
        <v>100</v>
      </c>
      <c r="E22" s="64" t="s">
        <v>5519</v>
      </c>
      <c r="F22" s="64" t="s">
        <v>579</v>
      </c>
      <c r="G22" s="64" t="s">
        <v>5513</v>
      </c>
      <c r="H22" s="64" t="s">
        <v>5476</v>
      </c>
      <c r="I22" s="64" t="s">
        <v>5504</v>
      </c>
      <c r="J22" s="70" t="s">
        <v>694</v>
      </c>
      <c r="K22" s="70" t="s">
        <v>5505</v>
      </c>
      <c r="L22" s="70">
        <v>1</v>
      </c>
      <c r="M22" s="70" t="s">
        <v>5491</v>
      </c>
      <c r="N22" s="64" t="s">
        <v>5491</v>
      </c>
      <c r="O22" s="64">
        <v>10</v>
      </c>
      <c r="P22" s="64" t="s">
        <v>5494</v>
      </c>
      <c r="Q22" s="67" t="s">
        <v>5495</v>
      </c>
    </row>
    <row r="23" spans="1:17" ht="15" customHeight="1">
      <c r="A23" s="61" t="s">
        <v>562</v>
      </c>
      <c r="B23" s="70">
        <v>1</v>
      </c>
      <c r="C23" s="70">
        <v>4</v>
      </c>
      <c r="D23" s="70">
        <v>15</v>
      </c>
      <c r="E23" s="64" t="s">
        <v>5520</v>
      </c>
      <c r="F23" s="64" t="s">
        <v>563</v>
      </c>
      <c r="G23" s="64" t="s">
        <v>5521</v>
      </c>
      <c r="H23" s="64" t="s">
        <v>5488</v>
      </c>
      <c r="I23" s="64" t="s">
        <v>662</v>
      </c>
      <c r="J23" s="70" t="s">
        <v>5489</v>
      </c>
      <c r="K23" s="70" t="s">
        <v>5522</v>
      </c>
      <c r="L23" s="70">
        <v>1</v>
      </c>
      <c r="M23" s="70" t="s">
        <v>5492</v>
      </c>
      <c r="N23" s="64" t="s">
        <v>5493</v>
      </c>
      <c r="O23" s="64">
        <v>20</v>
      </c>
      <c r="P23" s="64" t="s">
        <v>5523</v>
      </c>
      <c r="Q23" s="67" t="s">
        <v>5495</v>
      </c>
    </row>
    <row r="24" spans="1:17" ht="15" customHeight="1">
      <c r="A24" s="61" t="s">
        <v>562</v>
      </c>
      <c r="B24" s="70">
        <v>2</v>
      </c>
      <c r="C24" s="70">
        <v>8</v>
      </c>
      <c r="D24" s="70">
        <v>25</v>
      </c>
      <c r="E24" s="64" t="s">
        <v>5524</v>
      </c>
      <c r="F24" s="64" t="s">
        <v>563</v>
      </c>
      <c r="G24" s="64" t="s">
        <v>5521</v>
      </c>
      <c r="H24" s="64" t="s">
        <v>5488</v>
      </c>
      <c r="I24" s="64" t="s">
        <v>662</v>
      </c>
      <c r="J24" s="70" t="s">
        <v>5489</v>
      </c>
      <c r="K24" s="70" t="s">
        <v>5522</v>
      </c>
      <c r="L24" s="70">
        <v>1</v>
      </c>
      <c r="M24" s="70" t="s">
        <v>5492</v>
      </c>
      <c r="N24" s="64" t="s">
        <v>5493</v>
      </c>
      <c r="O24" s="64">
        <v>20</v>
      </c>
      <c r="P24" s="64" t="s">
        <v>5523</v>
      </c>
      <c r="Q24" s="67" t="s">
        <v>5495</v>
      </c>
    </row>
    <row r="25" spans="1:17" ht="15" customHeight="1">
      <c r="A25" s="61" t="s">
        <v>562</v>
      </c>
      <c r="B25" s="70">
        <v>3</v>
      </c>
      <c r="C25" s="70">
        <v>11</v>
      </c>
      <c r="D25" s="70">
        <v>35</v>
      </c>
      <c r="E25" s="64" t="s">
        <v>5525</v>
      </c>
      <c r="F25" s="64" t="s">
        <v>563</v>
      </c>
      <c r="G25" s="64" t="s">
        <v>5521</v>
      </c>
      <c r="H25" s="64" t="s">
        <v>5488</v>
      </c>
      <c r="I25" s="64" t="s">
        <v>662</v>
      </c>
      <c r="J25" s="70" t="s">
        <v>5489</v>
      </c>
      <c r="K25" s="70" t="s">
        <v>5522</v>
      </c>
      <c r="L25" s="70">
        <v>1</v>
      </c>
      <c r="M25" s="70" t="s">
        <v>5492</v>
      </c>
      <c r="N25" s="64" t="s">
        <v>5493</v>
      </c>
      <c r="O25" s="64">
        <v>20</v>
      </c>
      <c r="P25" s="64" t="s">
        <v>5523</v>
      </c>
      <c r="Q25" s="67" t="s">
        <v>5495</v>
      </c>
    </row>
    <row r="26" spans="1:17" ht="15" customHeight="1">
      <c r="A26" s="61" t="s">
        <v>562</v>
      </c>
      <c r="B26" s="70">
        <v>4</v>
      </c>
      <c r="C26" s="70">
        <v>14</v>
      </c>
      <c r="D26" s="70">
        <v>50</v>
      </c>
      <c r="E26" s="64" t="s">
        <v>4401</v>
      </c>
      <c r="F26" s="64" t="s">
        <v>563</v>
      </c>
      <c r="G26" s="64" t="s">
        <v>5521</v>
      </c>
      <c r="H26" s="64" t="s">
        <v>5488</v>
      </c>
      <c r="I26" s="64" t="s">
        <v>662</v>
      </c>
      <c r="J26" s="70" t="s">
        <v>5489</v>
      </c>
      <c r="K26" s="70" t="s">
        <v>5522</v>
      </c>
      <c r="L26" s="70">
        <v>1</v>
      </c>
      <c r="M26" s="70" t="s">
        <v>5492</v>
      </c>
      <c r="N26" s="64" t="s">
        <v>5493</v>
      </c>
      <c r="O26" s="64">
        <v>20</v>
      </c>
      <c r="P26" s="64" t="s">
        <v>5523</v>
      </c>
      <c r="Q26" s="67" t="s">
        <v>5495</v>
      </c>
    </row>
    <row r="27" spans="1:17" ht="15" customHeight="1">
      <c r="A27" s="61" t="s">
        <v>562</v>
      </c>
      <c r="B27" s="70">
        <v>5</v>
      </c>
      <c r="C27" s="70">
        <v>17</v>
      </c>
      <c r="D27" s="70">
        <v>70</v>
      </c>
      <c r="E27" s="64" t="s">
        <v>5526</v>
      </c>
      <c r="F27" s="64" t="s">
        <v>563</v>
      </c>
      <c r="G27" s="64" t="s">
        <v>5521</v>
      </c>
      <c r="H27" s="64" t="s">
        <v>5488</v>
      </c>
      <c r="I27" s="64" t="s">
        <v>662</v>
      </c>
      <c r="J27" s="70" t="s">
        <v>5489</v>
      </c>
      <c r="K27" s="70" t="s">
        <v>5522</v>
      </c>
      <c r="L27" s="70">
        <v>1</v>
      </c>
      <c r="M27" s="70" t="s">
        <v>5492</v>
      </c>
      <c r="N27" s="64" t="s">
        <v>5493</v>
      </c>
      <c r="O27" s="64">
        <v>20</v>
      </c>
      <c r="P27" s="64" t="s">
        <v>5523</v>
      </c>
      <c r="Q27" s="67" t="s">
        <v>5495</v>
      </c>
    </row>
    <row r="28" spans="1:17" ht="15" customHeight="1">
      <c r="A28" s="61" t="s">
        <v>562</v>
      </c>
      <c r="B28" s="70">
        <v>6</v>
      </c>
      <c r="C28" s="70">
        <v>20</v>
      </c>
      <c r="D28" s="70">
        <v>90</v>
      </c>
      <c r="E28" s="64" t="s">
        <v>5527</v>
      </c>
      <c r="F28" s="64" t="s">
        <v>563</v>
      </c>
      <c r="G28" s="64" t="s">
        <v>5521</v>
      </c>
      <c r="H28" s="64" t="s">
        <v>5488</v>
      </c>
      <c r="I28" s="64" t="s">
        <v>662</v>
      </c>
      <c r="J28" s="70" t="s">
        <v>5489</v>
      </c>
      <c r="K28" s="70" t="s">
        <v>5522</v>
      </c>
      <c r="L28" s="70">
        <v>1</v>
      </c>
      <c r="M28" s="70" t="s">
        <v>5492</v>
      </c>
      <c r="N28" s="64" t="s">
        <v>5493</v>
      </c>
      <c r="O28" s="64">
        <v>20</v>
      </c>
      <c r="P28" s="64" t="s">
        <v>5523</v>
      </c>
      <c r="Q28" s="67" t="s">
        <v>5495</v>
      </c>
    </row>
    <row r="29" spans="1:17" ht="15" customHeight="1">
      <c r="A29" s="61" t="s">
        <v>562</v>
      </c>
      <c r="B29" s="70">
        <v>7</v>
      </c>
      <c r="C29" s="70">
        <v>23</v>
      </c>
      <c r="D29" s="70">
        <v>115</v>
      </c>
      <c r="E29" s="64" t="s">
        <v>5528</v>
      </c>
      <c r="F29" s="64" t="s">
        <v>563</v>
      </c>
      <c r="G29" s="64" t="s">
        <v>5521</v>
      </c>
      <c r="H29" s="64" t="s">
        <v>5488</v>
      </c>
      <c r="I29" s="64" t="s">
        <v>662</v>
      </c>
      <c r="J29" s="70" t="s">
        <v>5489</v>
      </c>
      <c r="K29" s="70" t="s">
        <v>5522</v>
      </c>
      <c r="L29" s="70">
        <v>1</v>
      </c>
      <c r="M29" s="70" t="s">
        <v>5492</v>
      </c>
      <c r="N29" s="64" t="s">
        <v>5493</v>
      </c>
      <c r="O29" s="64">
        <v>20</v>
      </c>
      <c r="P29" s="64" t="s">
        <v>5523</v>
      </c>
      <c r="Q29" s="67" t="s">
        <v>5495</v>
      </c>
    </row>
    <row r="30" spans="1:17" ht="39.6" customHeight="1">
      <c r="A30" s="61" t="s">
        <v>565</v>
      </c>
      <c r="B30" s="70">
        <v>1</v>
      </c>
      <c r="C30" s="70">
        <v>2</v>
      </c>
      <c r="D30" s="70">
        <v>7</v>
      </c>
      <c r="E30" s="64"/>
      <c r="F30" s="64" t="s">
        <v>566</v>
      </c>
      <c r="G30" s="64" t="s">
        <v>5529</v>
      </c>
      <c r="H30" s="64" t="s">
        <v>5488</v>
      </c>
      <c r="I30" s="64" t="s">
        <v>5530</v>
      </c>
      <c r="J30" s="70" t="s">
        <v>726</v>
      </c>
      <c r="K30" s="70" t="s">
        <v>5530</v>
      </c>
      <c r="L30" s="70">
        <v>1</v>
      </c>
      <c r="M30" s="70" t="s">
        <v>5492</v>
      </c>
      <c r="N30" s="64" t="s">
        <v>5493</v>
      </c>
      <c r="O30" s="64">
        <v>2</v>
      </c>
      <c r="P30" s="64" t="s">
        <v>5523</v>
      </c>
      <c r="Q30" s="67" t="s">
        <v>5495</v>
      </c>
    </row>
    <row r="31" spans="1:17" ht="39.6" customHeight="1">
      <c r="A31" s="61" t="s">
        <v>565</v>
      </c>
      <c r="B31" s="70">
        <v>2</v>
      </c>
      <c r="C31" s="70">
        <v>5</v>
      </c>
      <c r="D31" s="70">
        <v>14</v>
      </c>
      <c r="E31" s="64"/>
      <c r="F31" s="64" t="s">
        <v>566</v>
      </c>
      <c r="G31" s="64" t="s">
        <v>5529</v>
      </c>
      <c r="H31" s="64" t="s">
        <v>5488</v>
      </c>
      <c r="I31" s="64" t="s">
        <v>5530</v>
      </c>
      <c r="J31" s="70" t="s">
        <v>726</v>
      </c>
      <c r="K31" s="70" t="s">
        <v>5530</v>
      </c>
      <c r="L31" s="70">
        <v>1</v>
      </c>
      <c r="M31" s="70" t="s">
        <v>5492</v>
      </c>
      <c r="N31" s="64" t="s">
        <v>5493</v>
      </c>
      <c r="O31" s="64">
        <v>2</v>
      </c>
      <c r="P31" s="64" t="s">
        <v>5523</v>
      </c>
      <c r="Q31" s="67" t="s">
        <v>5495</v>
      </c>
    </row>
    <row r="32" spans="1:17" ht="39.6" customHeight="1">
      <c r="A32" s="61" t="s">
        <v>565</v>
      </c>
      <c r="B32" s="70">
        <v>3</v>
      </c>
      <c r="C32" s="70">
        <v>8</v>
      </c>
      <c r="D32" s="70">
        <v>21</v>
      </c>
      <c r="E32" s="64"/>
      <c r="F32" s="64" t="s">
        <v>566</v>
      </c>
      <c r="G32" s="64" t="s">
        <v>5529</v>
      </c>
      <c r="H32" s="64" t="s">
        <v>5488</v>
      </c>
      <c r="I32" s="64" t="s">
        <v>5530</v>
      </c>
      <c r="J32" s="70" t="s">
        <v>726</v>
      </c>
      <c r="K32" s="70" t="s">
        <v>5530</v>
      </c>
      <c r="L32" s="70">
        <v>1</v>
      </c>
      <c r="M32" s="70" t="s">
        <v>5492</v>
      </c>
      <c r="N32" s="64" t="s">
        <v>5493</v>
      </c>
      <c r="O32" s="64">
        <v>2</v>
      </c>
      <c r="P32" s="64" t="s">
        <v>5523</v>
      </c>
      <c r="Q32" s="67" t="s">
        <v>5495</v>
      </c>
    </row>
    <row r="33" spans="1:17" ht="39.6" customHeight="1">
      <c r="A33" s="61" t="s">
        <v>565</v>
      </c>
      <c r="B33" s="70">
        <v>4</v>
      </c>
      <c r="C33" s="70">
        <v>11</v>
      </c>
      <c r="D33" s="70">
        <v>28</v>
      </c>
      <c r="E33" s="64"/>
      <c r="F33" s="64" t="s">
        <v>566</v>
      </c>
      <c r="G33" s="64" t="s">
        <v>5529</v>
      </c>
      <c r="H33" s="64" t="s">
        <v>5488</v>
      </c>
      <c r="I33" s="64" t="s">
        <v>5530</v>
      </c>
      <c r="J33" s="70" t="s">
        <v>726</v>
      </c>
      <c r="K33" s="70" t="s">
        <v>5530</v>
      </c>
      <c r="L33" s="70">
        <v>1</v>
      </c>
      <c r="M33" s="70" t="s">
        <v>5492</v>
      </c>
      <c r="N33" s="64" t="s">
        <v>5493</v>
      </c>
      <c r="O33" s="64">
        <v>2</v>
      </c>
      <c r="P33" s="64" t="s">
        <v>5523</v>
      </c>
      <c r="Q33" s="67" t="s">
        <v>5495</v>
      </c>
    </row>
    <row r="34" spans="1:17" ht="39.6" customHeight="1">
      <c r="A34" s="61" t="s">
        <v>565</v>
      </c>
      <c r="B34" s="70">
        <v>5</v>
      </c>
      <c r="C34" s="70">
        <v>14</v>
      </c>
      <c r="D34" s="70">
        <v>35</v>
      </c>
      <c r="E34" s="64"/>
      <c r="F34" s="64" t="s">
        <v>566</v>
      </c>
      <c r="G34" s="64" t="s">
        <v>5529</v>
      </c>
      <c r="H34" s="64" t="s">
        <v>5488</v>
      </c>
      <c r="I34" s="64" t="s">
        <v>5530</v>
      </c>
      <c r="J34" s="70" t="s">
        <v>726</v>
      </c>
      <c r="K34" s="70" t="s">
        <v>5530</v>
      </c>
      <c r="L34" s="70">
        <v>1</v>
      </c>
      <c r="M34" s="70" t="s">
        <v>5492</v>
      </c>
      <c r="N34" s="64" t="s">
        <v>5493</v>
      </c>
      <c r="O34" s="64">
        <v>2</v>
      </c>
      <c r="P34" s="64" t="s">
        <v>5523</v>
      </c>
      <c r="Q34" s="67" t="s">
        <v>5495</v>
      </c>
    </row>
    <row r="35" spans="1:17" ht="39.6" customHeight="1">
      <c r="A35" s="61" t="s">
        <v>565</v>
      </c>
      <c r="B35" s="70">
        <v>6</v>
      </c>
      <c r="C35" s="70">
        <v>17</v>
      </c>
      <c r="D35" s="70">
        <v>92</v>
      </c>
      <c r="E35" s="64"/>
      <c r="F35" s="64" t="s">
        <v>566</v>
      </c>
      <c r="G35" s="64" t="s">
        <v>5529</v>
      </c>
      <c r="H35" s="64" t="s">
        <v>5488</v>
      </c>
      <c r="I35" s="64" t="s">
        <v>5530</v>
      </c>
      <c r="J35" s="70" t="s">
        <v>726</v>
      </c>
      <c r="K35" s="70" t="s">
        <v>5530</v>
      </c>
      <c r="L35" s="70">
        <v>1</v>
      </c>
      <c r="M35" s="70" t="s">
        <v>5492</v>
      </c>
      <c r="N35" s="64" t="s">
        <v>5493</v>
      </c>
      <c r="O35" s="64">
        <v>2</v>
      </c>
      <c r="P35" s="64" t="s">
        <v>5523</v>
      </c>
      <c r="Q35" s="67" t="s">
        <v>5495</v>
      </c>
    </row>
    <row r="36" spans="1:17" ht="39.6" customHeight="1">
      <c r="A36" s="61" t="s">
        <v>565</v>
      </c>
      <c r="B36" s="70">
        <v>7</v>
      </c>
      <c r="C36" s="70">
        <v>20</v>
      </c>
      <c r="D36" s="70">
        <v>145</v>
      </c>
      <c r="E36" s="64"/>
      <c r="F36" s="64" t="s">
        <v>566</v>
      </c>
      <c r="G36" s="64" t="s">
        <v>5529</v>
      </c>
      <c r="H36" s="64" t="s">
        <v>5488</v>
      </c>
      <c r="I36" s="64" t="s">
        <v>5530</v>
      </c>
      <c r="J36" s="70" t="s">
        <v>726</v>
      </c>
      <c r="K36" s="70" t="s">
        <v>5530</v>
      </c>
      <c r="L36" s="70">
        <v>1</v>
      </c>
      <c r="M36" s="70" t="s">
        <v>5492</v>
      </c>
      <c r="N36" s="64" t="s">
        <v>5493</v>
      </c>
      <c r="O36" s="64">
        <v>2</v>
      </c>
      <c r="P36" s="64" t="s">
        <v>5523</v>
      </c>
      <c r="Q36" s="67" t="s">
        <v>5495</v>
      </c>
    </row>
    <row r="37" spans="1:17" ht="158.44999999999999" customHeight="1">
      <c r="A37" s="61" t="s">
        <v>655</v>
      </c>
      <c r="B37" s="70">
        <v>1</v>
      </c>
      <c r="C37" s="70">
        <v>1</v>
      </c>
      <c r="D37" s="70">
        <v>5</v>
      </c>
      <c r="E37" s="64"/>
      <c r="F37" s="64" t="s">
        <v>657</v>
      </c>
      <c r="G37" s="64" t="s">
        <v>5531</v>
      </c>
      <c r="H37" s="64" t="s">
        <v>5488</v>
      </c>
      <c r="I37" s="64" t="s">
        <v>662</v>
      </c>
      <c r="J37" s="70" t="s">
        <v>5489</v>
      </c>
      <c r="K37" s="70" t="s">
        <v>5490</v>
      </c>
      <c r="L37" s="70">
        <v>1</v>
      </c>
      <c r="M37" s="70" t="s">
        <v>5492</v>
      </c>
      <c r="N37" s="64" t="s">
        <v>5532</v>
      </c>
      <c r="O37" s="64">
        <v>5</v>
      </c>
      <c r="P37" s="64" t="s">
        <v>5494</v>
      </c>
      <c r="Q37" s="67" t="s">
        <v>5495</v>
      </c>
    </row>
    <row r="38" spans="1:17" ht="158.44999999999999" customHeight="1">
      <c r="A38" s="61" t="s">
        <v>655</v>
      </c>
      <c r="B38" s="70">
        <v>2</v>
      </c>
      <c r="C38" s="70">
        <v>4</v>
      </c>
      <c r="D38" s="70">
        <v>10</v>
      </c>
      <c r="E38" s="64"/>
      <c r="F38" s="64" t="s">
        <v>657</v>
      </c>
      <c r="G38" s="64" t="s">
        <v>5531</v>
      </c>
      <c r="H38" s="64" t="s">
        <v>5488</v>
      </c>
      <c r="I38" s="64" t="s">
        <v>662</v>
      </c>
      <c r="J38" s="70" t="s">
        <v>5489</v>
      </c>
      <c r="K38" s="70" t="s">
        <v>5490</v>
      </c>
      <c r="L38" s="70">
        <v>1</v>
      </c>
      <c r="M38" s="70" t="s">
        <v>5492</v>
      </c>
      <c r="N38" s="64" t="s">
        <v>5532</v>
      </c>
      <c r="O38" s="64">
        <v>5</v>
      </c>
      <c r="P38" s="64" t="s">
        <v>5494</v>
      </c>
      <c r="Q38" s="67" t="s">
        <v>5495</v>
      </c>
    </row>
    <row r="39" spans="1:17" ht="158.44999999999999" customHeight="1">
      <c r="A39" s="61" t="s">
        <v>655</v>
      </c>
      <c r="B39" s="70">
        <v>3</v>
      </c>
      <c r="C39" s="70">
        <v>7</v>
      </c>
      <c r="D39" s="70">
        <v>20</v>
      </c>
      <c r="E39" s="64"/>
      <c r="F39" s="64" t="s">
        <v>657</v>
      </c>
      <c r="G39" s="64" t="s">
        <v>5531</v>
      </c>
      <c r="H39" s="64" t="s">
        <v>5488</v>
      </c>
      <c r="I39" s="64" t="s">
        <v>662</v>
      </c>
      <c r="J39" s="70" t="s">
        <v>5489</v>
      </c>
      <c r="K39" s="70" t="s">
        <v>5490</v>
      </c>
      <c r="L39" s="70">
        <v>1</v>
      </c>
      <c r="M39" s="70" t="s">
        <v>5492</v>
      </c>
      <c r="N39" s="64" t="s">
        <v>5532</v>
      </c>
      <c r="O39" s="64">
        <v>5</v>
      </c>
      <c r="P39" s="64" t="s">
        <v>5494</v>
      </c>
      <c r="Q39" s="67" t="s">
        <v>5495</v>
      </c>
    </row>
    <row r="40" spans="1:17" ht="158.44999999999999" customHeight="1">
      <c r="A40" s="61" t="s">
        <v>655</v>
      </c>
      <c r="B40" s="70">
        <v>4</v>
      </c>
      <c r="C40" s="70">
        <v>10</v>
      </c>
      <c r="D40" s="70">
        <v>30</v>
      </c>
      <c r="E40" s="64"/>
      <c r="F40" s="64" t="s">
        <v>657</v>
      </c>
      <c r="G40" s="64" t="s">
        <v>5531</v>
      </c>
      <c r="H40" s="64" t="s">
        <v>5488</v>
      </c>
      <c r="I40" s="64" t="s">
        <v>662</v>
      </c>
      <c r="J40" s="70" t="s">
        <v>5489</v>
      </c>
      <c r="K40" s="70" t="s">
        <v>5490</v>
      </c>
      <c r="L40" s="70">
        <v>1</v>
      </c>
      <c r="M40" s="70" t="s">
        <v>5492</v>
      </c>
      <c r="N40" s="64" t="s">
        <v>5532</v>
      </c>
      <c r="O40" s="64">
        <v>5</v>
      </c>
      <c r="P40" s="64" t="s">
        <v>5494</v>
      </c>
      <c r="Q40" s="67" t="s">
        <v>5495</v>
      </c>
    </row>
    <row r="41" spans="1:17" ht="158.44999999999999" customHeight="1">
      <c r="A41" s="61" t="s">
        <v>655</v>
      </c>
      <c r="B41" s="70">
        <v>5</v>
      </c>
      <c r="C41" s="70">
        <v>13</v>
      </c>
      <c r="D41" s="70">
        <v>35</v>
      </c>
      <c r="E41" s="64"/>
      <c r="F41" s="64" t="s">
        <v>657</v>
      </c>
      <c r="G41" s="64" t="s">
        <v>5531</v>
      </c>
      <c r="H41" s="64" t="s">
        <v>5488</v>
      </c>
      <c r="I41" s="64" t="s">
        <v>662</v>
      </c>
      <c r="J41" s="70" t="s">
        <v>5489</v>
      </c>
      <c r="K41" s="70" t="s">
        <v>5490</v>
      </c>
      <c r="L41" s="70">
        <v>1</v>
      </c>
      <c r="M41" s="70" t="s">
        <v>5492</v>
      </c>
      <c r="N41" s="64" t="s">
        <v>5532</v>
      </c>
      <c r="O41" s="64">
        <v>5</v>
      </c>
      <c r="P41" s="64" t="s">
        <v>5494</v>
      </c>
      <c r="Q41" s="67" t="s">
        <v>5495</v>
      </c>
    </row>
    <row r="42" spans="1:17" ht="158.44999999999999" customHeight="1">
      <c r="A42" s="61" t="s">
        <v>655</v>
      </c>
      <c r="B42" s="70">
        <v>6</v>
      </c>
      <c r="C42" s="70">
        <v>16</v>
      </c>
      <c r="D42" s="70">
        <v>40</v>
      </c>
      <c r="E42" s="64"/>
      <c r="F42" s="64" t="s">
        <v>657</v>
      </c>
      <c r="G42" s="64" t="s">
        <v>5531</v>
      </c>
      <c r="H42" s="64" t="s">
        <v>5488</v>
      </c>
      <c r="I42" s="64" t="s">
        <v>662</v>
      </c>
      <c r="J42" s="70" t="s">
        <v>5489</v>
      </c>
      <c r="K42" s="70" t="s">
        <v>5490</v>
      </c>
      <c r="L42" s="70">
        <v>1</v>
      </c>
      <c r="M42" s="70" t="s">
        <v>5492</v>
      </c>
      <c r="N42" s="64" t="s">
        <v>5532</v>
      </c>
      <c r="O42" s="64">
        <v>5</v>
      </c>
      <c r="P42" s="64" t="s">
        <v>5494</v>
      </c>
      <c r="Q42" s="67" t="s">
        <v>5495</v>
      </c>
    </row>
    <row r="43" spans="1:17" ht="158.44999999999999" customHeight="1">
      <c r="A43" s="61" t="s">
        <v>655</v>
      </c>
      <c r="B43" s="70">
        <v>7</v>
      </c>
      <c r="C43" s="70">
        <v>19</v>
      </c>
      <c r="D43" s="70">
        <v>50</v>
      </c>
      <c r="E43" s="64"/>
      <c r="F43" s="64" t="s">
        <v>657</v>
      </c>
      <c r="G43" s="64" t="s">
        <v>5531</v>
      </c>
      <c r="H43" s="64" t="s">
        <v>5488</v>
      </c>
      <c r="I43" s="64" t="s">
        <v>662</v>
      </c>
      <c r="J43" s="70" t="s">
        <v>5489</v>
      </c>
      <c r="K43" s="70" t="s">
        <v>5490</v>
      </c>
      <c r="L43" s="70">
        <v>1</v>
      </c>
      <c r="M43" s="70" t="s">
        <v>5492</v>
      </c>
      <c r="N43" s="64" t="s">
        <v>5532</v>
      </c>
      <c r="O43" s="64">
        <v>5</v>
      </c>
      <c r="P43" s="64" t="s">
        <v>5494</v>
      </c>
      <c r="Q43" s="67" t="s">
        <v>5495</v>
      </c>
    </row>
    <row r="44" spans="1:17" ht="52.7" customHeight="1">
      <c r="A44" s="61" t="s">
        <v>571</v>
      </c>
      <c r="B44" s="70">
        <v>1</v>
      </c>
      <c r="C44" s="70">
        <v>4</v>
      </c>
      <c r="D44" s="70">
        <v>10</v>
      </c>
      <c r="E44" s="64"/>
      <c r="F44" s="64" t="s">
        <v>654</v>
      </c>
      <c r="G44" s="64" t="s">
        <v>5533</v>
      </c>
      <c r="H44" s="64" t="s">
        <v>5488</v>
      </c>
      <c r="I44" s="64" t="s">
        <v>662</v>
      </c>
      <c r="J44" s="70" t="s">
        <v>714</v>
      </c>
      <c r="K44" s="70" t="s">
        <v>5534</v>
      </c>
      <c r="L44" s="70">
        <v>1</v>
      </c>
      <c r="M44" s="70" t="s">
        <v>5492</v>
      </c>
      <c r="N44" s="64" t="s">
        <v>5535</v>
      </c>
      <c r="O44" s="64">
        <v>5</v>
      </c>
      <c r="P44" s="64" t="s">
        <v>5536</v>
      </c>
      <c r="Q44" s="67" t="s">
        <v>5495</v>
      </c>
    </row>
    <row r="45" spans="1:17" ht="52.7" customHeight="1">
      <c r="A45" s="61" t="s">
        <v>571</v>
      </c>
      <c r="B45" s="70">
        <v>2</v>
      </c>
      <c r="C45" s="70">
        <v>8</v>
      </c>
      <c r="D45" s="70">
        <v>15</v>
      </c>
      <c r="E45" s="64"/>
      <c r="F45" s="64" t="s">
        <v>654</v>
      </c>
      <c r="G45" s="64" t="s">
        <v>5533</v>
      </c>
      <c r="H45" s="64" t="s">
        <v>5488</v>
      </c>
      <c r="I45" s="64" t="s">
        <v>662</v>
      </c>
      <c r="J45" s="70" t="s">
        <v>714</v>
      </c>
      <c r="K45" s="70" t="s">
        <v>5534</v>
      </c>
      <c r="L45" s="70">
        <v>1</v>
      </c>
      <c r="M45" s="70" t="s">
        <v>5492</v>
      </c>
      <c r="N45" s="64" t="s">
        <v>5535</v>
      </c>
      <c r="O45" s="64">
        <v>5</v>
      </c>
      <c r="P45" s="64" t="s">
        <v>5536</v>
      </c>
      <c r="Q45" s="67" t="s">
        <v>5495</v>
      </c>
    </row>
    <row r="46" spans="1:17" ht="52.7" customHeight="1">
      <c r="A46" s="61" t="s">
        <v>571</v>
      </c>
      <c r="B46" s="70">
        <v>3</v>
      </c>
      <c r="C46" s="70">
        <v>12</v>
      </c>
      <c r="D46" s="70">
        <v>25</v>
      </c>
      <c r="E46" s="64"/>
      <c r="F46" s="64" t="s">
        <v>654</v>
      </c>
      <c r="G46" s="64" t="s">
        <v>5533</v>
      </c>
      <c r="H46" s="64" t="s">
        <v>5488</v>
      </c>
      <c r="I46" s="64" t="s">
        <v>662</v>
      </c>
      <c r="J46" s="70" t="s">
        <v>714</v>
      </c>
      <c r="K46" s="70" t="s">
        <v>5534</v>
      </c>
      <c r="L46" s="70">
        <v>1</v>
      </c>
      <c r="M46" s="70" t="s">
        <v>5492</v>
      </c>
      <c r="N46" s="64" t="s">
        <v>5535</v>
      </c>
      <c r="O46" s="64">
        <v>5</v>
      </c>
      <c r="P46" s="64" t="s">
        <v>5536</v>
      </c>
      <c r="Q46" s="67" t="s">
        <v>5495</v>
      </c>
    </row>
    <row r="47" spans="1:17" ht="52.7" customHeight="1">
      <c r="A47" s="61" t="s">
        <v>571</v>
      </c>
      <c r="B47" s="70">
        <v>4</v>
      </c>
      <c r="C47" s="70">
        <v>16</v>
      </c>
      <c r="D47" s="70">
        <v>35</v>
      </c>
      <c r="E47" s="64"/>
      <c r="F47" s="64" t="s">
        <v>654</v>
      </c>
      <c r="G47" s="64" t="s">
        <v>5533</v>
      </c>
      <c r="H47" s="64" t="s">
        <v>5488</v>
      </c>
      <c r="I47" s="64" t="s">
        <v>662</v>
      </c>
      <c r="J47" s="70" t="s">
        <v>714</v>
      </c>
      <c r="K47" s="70" t="s">
        <v>5534</v>
      </c>
      <c r="L47" s="70">
        <v>1</v>
      </c>
      <c r="M47" s="70" t="s">
        <v>5492</v>
      </c>
      <c r="N47" s="64" t="s">
        <v>5535</v>
      </c>
      <c r="O47" s="64">
        <v>5</v>
      </c>
      <c r="P47" s="64" t="s">
        <v>5536</v>
      </c>
      <c r="Q47" s="67" t="s">
        <v>5495</v>
      </c>
    </row>
    <row r="48" spans="1:17" ht="52.7" customHeight="1">
      <c r="A48" s="61" t="s">
        <v>571</v>
      </c>
      <c r="B48" s="70">
        <v>5</v>
      </c>
      <c r="C48" s="70">
        <v>20</v>
      </c>
      <c r="D48" s="70">
        <v>45</v>
      </c>
      <c r="E48" s="64"/>
      <c r="F48" s="64" t="s">
        <v>654</v>
      </c>
      <c r="G48" s="64" t="s">
        <v>5533</v>
      </c>
      <c r="H48" s="64" t="s">
        <v>5488</v>
      </c>
      <c r="I48" s="64" t="s">
        <v>662</v>
      </c>
      <c r="J48" s="70" t="s">
        <v>714</v>
      </c>
      <c r="K48" s="70" t="s">
        <v>5534</v>
      </c>
      <c r="L48" s="70">
        <v>1</v>
      </c>
      <c r="M48" s="70" t="s">
        <v>5492</v>
      </c>
      <c r="N48" s="64" t="s">
        <v>5535</v>
      </c>
      <c r="O48" s="64">
        <v>5</v>
      </c>
      <c r="P48" s="64" t="s">
        <v>5536</v>
      </c>
      <c r="Q48" s="67" t="s">
        <v>5495</v>
      </c>
    </row>
    <row r="49" spans="1:17" ht="52.7" customHeight="1">
      <c r="A49" s="61" t="s">
        <v>571</v>
      </c>
      <c r="B49" s="70">
        <v>6</v>
      </c>
      <c r="C49" s="70">
        <v>24</v>
      </c>
      <c r="D49" s="70">
        <v>60</v>
      </c>
      <c r="E49" s="64"/>
      <c r="F49" s="64" t="s">
        <v>654</v>
      </c>
      <c r="G49" s="64" t="s">
        <v>5533</v>
      </c>
      <c r="H49" s="64" t="s">
        <v>5488</v>
      </c>
      <c r="I49" s="64" t="s">
        <v>662</v>
      </c>
      <c r="J49" s="70" t="s">
        <v>714</v>
      </c>
      <c r="K49" s="70" t="s">
        <v>5534</v>
      </c>
      <c r="L49" s="70">
        <v>1</v>
      </c>
      <c r="M49" s="70" t="s">
        <v>5492</v>
      </c>
      <c r="N49" s="64" t="s">
        <v>5535</v>
      </c>
      <c r="O49" s="64">
        <v>5</v>
      </c>
      <c r="P49" s="64" t="s">
        <v>5536</v>
      </c>
      <c r="Q49" s="67" t="s">
        <v>5495</v>
      </c>
    </row>
    <row r="50" spans="1:17" ht="52.7" customHeight="1">
      <c r="A50" s="61" t="s">
        <v>571</v>
      </c>
      <c r="B50" s="70">
        <v>7</v>
      </c>
      <c r="C50" s="70">
        <v>28</v>
      </c>
      <c r="D50" s="70">
        <v>80</v>
      </c>
      <c r="E50" s="64"/>
      <c r="F50" s="64" t="s">
        <v>654</v>
      </c>
      <c r="G50" s="64" t="s">
        <v>5533</v>
      </c>
      <c r="H50" s="64" t="s">
        <v>5488</v>
      </c>
      <c r="I50" s="64" t="s">
        <v>662</v>
      </c>
      <c r="J50" s="70" t="s">
        <v>714</v>
      </c>
      <c r="K50" s="70" t="s">
        <v>5534</v>
      </c>
      <c r="L50" s="70">
        <v>1</v>
      </c>
      <c r="M50" s="70" t="s">
        <v>5492</v>
      </c>
      <c r="N50" s="64" t="s">
        <v>5535</v>
      </c>
      <c r="O50" s="64">
        <v>5</v>
      </c>
      <c r="P50" s="64" t="s">
        <v>5536</v>
      </c>
      <c r="Q50" s="67" t="s">
        <v>5495</v>
      </c>
    </row>
    <row r="51" spans="1:17" ht="52.7" customHeight="1">
      <c r="A51" s="61" t="s">
        <v>569</v>
      </c>
      <c r="B51" s="70">
        <v>1</v>
      </c>
      <c r="C51" s="70">
        <v>2</v>
      </c>
      <c r="D51" s="70">
        <v>5</v>
      </c>
      <c r="E51" s="64"/>
      <c r="F51" s="64" t="s">
        <v>570</v>
      </c>
      <c r="G51" s="64" t="s">
        <v>5537</v>
      </c>
      <c r="H51" s="64" t="s">
        <v>5488</v>
      </c>
      <c r="I51" s="64" t="s">
        <v>662</v>
      </c>
      <c r="J51" s="70" t="s">
        <v>714</v>
      </c>
      <c r="K51" s="70" t="s">
        <v>5530</v>
      </c>
      <c r="L51" s="70">
        <v>1</v>
      </c>
      <c r="M51" s="70" t="s">
        <v>5492</v>
      </c>
      <c r="N51" s="64" t="s">
        <v>5538</v>
      </c>
      <c r="O51" s="64">
        <v>10</v>
      </c>
      <c r="P51" s="64" t="s">
        <v>5539</v>
      </c>
      <c r="Q51" s="67" t="s">
        <v>5495</v>
      </c>
    </row>
    <row r="52" spans="1:17" ht="52.7" customHeight="1">
      <c r="A52" s="61" t="s">
        <v>569</v>
      </c>
      <c r="B52" s="70">
        <v>2</v>
      </c>
      <c r="C52" s="70">
        <v>5</v>
      </c>
      <c r="D52" s="70">
        <v>10</v>
      </c>
      <c r="E52" s="64"/>
      <c r="F52" s="64" t="s">
        <v>570</v>
      </c>
      <c r="G52" s="64" t="s">
        <v>5537</v>
      </c>
      <c r="H52" s="64" t="s">
        <v>5488</v>
      </c>
      <c r="I52" s="64" t="s">
        <v>662</v>
      </c>
      <c r="J52" s="70" t="s">
        <v>714</v>
      </c>
      <c r="K52" s="70" t="s">
        <v>5530</v>
      </c>
      <c r="L52" s="70">
        <v>1</v>
      </c>
      <c r="M52" s="70" t="s">
        <v>5492</v>
      </c>
      <c r="N52" s="64" t="s">
        <v>5538</v>
      </c>
      <c r="O52" s="64">
        <v>10</v>
      </c>
      <c r="P52" s="64" t="s">
        <v>5539</v>
      </c>
      <c r="Q52" s="67" t="s">
        <v>5495</v>
      </c>
    </row>
    <row r="53" spans="1:17" ht="52.7" customHeight="1">
      <c r="A53" s="61" t="s">
        <v>569</v>
      </c>
      <c r="B53" s="70">
        <v>3</v>
      </c>
      <c r="C53" s="70">
        <v>8</v>
      </c>
      <c r="D53" s="70">
        <v>20</v>
      </c>
      <c r="E53" s="64"/>
      <c r="F53" s="64" t="s">
        <v>570</v>
      </c>
      <c r="G53" s="64" t="s">
        <v>5537</v>
      </c>
      <c r="H53" s="64" t="s">
        <v>5488</v>
      </c>
      <c r="I53" s="64" t="s">
        <v>662</v>
      </c>
      <c r="J53" s="70" t="s">
        <v>714</v>
      </c>
      <c r="K53" s="70" t="s">
        <v>5530</v>
      </c>
      <c r="L53" s="70">
        <v>1</v>
      </c>
      <c r="M53" s="70" t="s">
        <v>5492</v>
      </c>
      <c r="N53" s="64" t="s">
        <v>5538</v>
      </c>
      <c r="O53" s="64">
        <v>10</v>
      </c>
      <c r="P53" s="64" t="s">
        <v>5539</v>
      </c>
      <c r="Q53" s="67" t="s">
        <v>5495</v>
      </c>
    </row>
    <row r="54" spans="1:17" ht="52.7" customHeight="1">
      <c r="A54" s="61" t="s">
        <v>569</v>
      </c>
      <c r="B54" s="70">
        <v>4</v>
      </c>
      <c r="C54" s="70">
        <v>11</v>
      </c>
      <c r="D54" s="70">
        <v>35</v>
      </c>
      <c r="E54" s="64"/>
      <c r="F54" s="64" t="s">
        <v>570</v>
      </c>
      <c r="G54" s="64" t="s">
        <v>5537</v>
      </c>
      <c r="H54" s="64" t="s">
        <v>5488</v>
      </c>
      <c r="I54" s="64" t="s">
        <v>662</v>
      </c>
      <c r="J54" s="70" t="s">
        <v>714</v>
      </c>
      <c r="K54" s="70" t="s">
        <v>5530</v>
      </c>
      <c r="L54" s="70">
        <v>1</v>
      </c>
      <c r="M54" s="70" t="s">
        <v>5492</v>
      </c>
      <c r="N54" s="64" t="s">
        <v>5538</v>
      </c>
      <c r="O54" s="64">
        <v>10</v>
      </c>
      <c r="P54" s="64" t="s">
        <v>5539</v>
      </c>
      <c r="Q54" s="67" t="s">
        <v>5495</v>
      </c>
    </row>
    <row r="55" spans="1:17" ht="52.7" customHeight="1">
      <c r="A55" s="61" t="s">
        <v>569</v>
      </c>
      <c r="B55" s="70">
        <v>5</v>
      </c>
      <c r="C55" s="70">
        <v>14</v>
      </c>
      <c r="D55" s="70">
        <v>55</v>
      </c>
      <c r="E55" s="64"/>
      <c r="F55" s="64" t="s">
        <v>570</v>
      </c>
      <c r="G55" s="64" t="s">
        <v>5537</v>
      </c>
      <c r="H55" s="64" t="s">
        <v>5488</v>
      </c>
      <c r="I55" s="64" t="s">
        <v>662</v>
      </c>
      <c r="J55" s="70" t="s">
        <v>714</v>
      </c>
      <c r="K55" s="70" t="s">
        <v>5530</v>
      </c>
      <c r="L55" s="70">
        <v>1</v>
      </c>
      <c r="M55" s="70" t="s">
        <v>5492</v>
      </c>
      <c r="N55" s="64" t="s">
        <v>5538</v>
      </c>
      <c r="O55" s="64">
        <v>10</v>
      </c>
      <c r="P55" s="64" t="s">
        <v>5539</v>
      </c>
      <c r="Q55" s="67" t="s">
        <v>5495</v>
      </c>
    </row>
    <row r="56" spans="1:17" ht="52.7" customHeight="1">
      <c r="A56" s="61" t="s">
        <v>569</v>
      </c>
      <c r="B56" s="70">
        <v>6</v>
      </c>
      <c r="C56" s="70">
        <v>17</v>
      </c>
      <c r="D56" s="70">
        <v>70</v>
      </c>
      <c r="E56" s="64"/>
      <c r="F56" s="64" t="s">
        <v>570</v>
      </c>
      <c r="G56" s="64" t="s">
        <v>5537</v>
      </c>
      <c r="H56" s="64" t="s">
        <v>5488</v>
      </c>
      <c r="I56" s="64" t="s">
        <v>662</v>
      </c>
      <c r="J56" s="70" t="s">
        <v>714</v>
      </c>
      <c r="K56" s="70" t="s">
        <v>5530</v>
      </c>
      <c r="L56" s="70">
        <v>1</v>
      </c>
      <c r="M56" s="70" t="s">
        <v>5492</v>
      </c>
      <c r="N56" s="64" t="s">
        <v>5538</v>
      </c>
      <c r="O56" s="64">
        <v>10</v>
      </c>
      <c r="P56" s="64" t="s">
        <v>5539</v>
      </c>
      <c r="Q56" s="67" t="s">
        <v>5495</v>
      </c>
    </row>
    <row r="57" spans="1:17" ht="52.7" customHeight="1">
      <c r="A57" s="61" t="s">
        <v>569</v>
      </c>
      <c r="B57" s="70">
        <v>7</v>
      </c>
      <c r="C57" s="70">
        <v>20</v>
      </c>
      <c r="D57" s="70">
        <v>90</v>
      </c>
      <c r="E57" s="64"/>
      <c r="F57" s="64" t="s">
        <v>570</v>
      </c>
      <c r="G57" s="64" t="s">
        <v>5537</v>
      </c>
      <c r="H57" s="64" t="s">
        <v>5488</v>
      </c>
      <c r="I57" s="64" t="s">
        <v>662</v>
      </c>
      <c r="J57" s="70" t="s">
        <v>714</v>
      </c>
      <c r="K57" s="70" t="s">
        <v>5530</v>
      </c>
      <c r="L57" s="70">
        <v>1</v>
      </c>
      <c r="M57" s="70" t="s">
        <v>5492</v>
      </c>
      <c r="N57" s="64" t="s">
        <v>5538</v>
      </c>
      <c r="O57" s="64">
        <v>10</v>
      </c>
      <c r="P57" s="64" t="s">
        <v>5539</v>
      </c>
      <c r="Q57" s="67" t="s">
        <v>5495</v>
      </c>
    </row>
    <row r="58" spans="1:17" ht="39.6" customHeight="1">
      <c r="A58" s="61" t="s">
        <v>572</v>
      </c>
      <c r="B58" s="70">
        <v>1</v>
      </c>
      <c r="C58" s="70">
        <v>2</v>
      </c>
      <c r="D58" s="70">
        <v>5</v>
      </c>
      <c r="E58" s="64"/>
      <c r="F58" s="64" t="s">
        <v>573</v>
      </c>
      <c r="G58" s="64" t="s">
        <v>5540</v>
      </c>
      <c r="H58" s="64" t="s">
        <v>5488</v>
      </c>
      <c r="I58" s="64" t="s">
        <v>662</v>
      </c>
      <c r="J58" s="70" t="s">
        <v>714</v>
      </c>
      <c r="K58" s="70" t="s">
        <v>5530</v>
      </c>
      <c r="L58" s="70">
        <v>1</v>
      </c>
      <c r="M58" s="70" t="s">
        <v>5492</v>
      </c>
      <c r="N58" s="64" t="s">
        <v>5538</v>
      </c>
      <c r="O58" s="64">
        <v>10</v>
      </c>
      <c r="P58" s="64" t="s">
        <v>5539</v>
      </c>
      <c r="Q58" s="67" t="s">
        <v>5495</v>
      </c>
    </row>
    <row r="59" spans="1:17" ht="39.6" customHeight="1">
      <c r="A59" s="61" t="s">
        <v>572</v>
      </c>
      <c r="B59" s="70">
        <v>2</v>
      </c>
      <c r="C59" s="70">
        <v>5</v>
      </c>
      <c r="D59" s="70">
        <v>10</v>
      </c>
      <c r="E59" s="64"/>
      <c r="F59" s="64" t="s">
        <v>573</v>
      </c>
      <c r="G59" s="64" t="s">
        <v>5540</v>
      </c>
      <c r="H59" s="64" t="s">
        <v>5488</v>
      </c>
      <c r="I59" s="64" t="s">
        <v>662</v>
      </c>
      <c r="J59" s="70" t="s">
        <v>714</v>
      </c>
      <c r="K59" s="70" t="s">
        <v>5530</v>
      </c>
      <c r="L59" s="70">
        <v>1</v>
      </c>
      <c r="M59" s="70" t="s">
        <v>5492</v>
      </c>
      <c r="N59" s="64" t="s">
        <v>5538</v>
      </c>
      <c r="O59" s="64">
        <v>10</v>
      </c>
      <c r="P59" s="64" t="s">
        <v>5539</v>
      </c>
      <c r="Q59" s="67" t="s">
        <v>5495</v>
      </c>
    </row>
    <row r="60" spans="1:17" ht="39.6" customHeight="1">
      <c r="A60" s="61" t="s">
        <v>572</v>
      </c>
      <c r="B60" s="70">
        <v>3</v>
      </c>
      <c r="C60" s="70">
        <v>8</v>
      </c>
      <c r="D60" s="70">
        <v>20</v>
      </c>
      <c r="E60" s="64"/>
      <c r="F60" s="64" t="s">
        <v>573</v>
      </c>
      <c r="G60" s="64" t="s">
        <v>5540</v>
      </c>
      <c r="H60" s="64" t="s">
        <v>5488</v>
      </c>
      <c r="I60" s="64" t="s">
        <v>662</v>
      </c>
      <c r="J60" s="70" t="s">
        <v>714</v>
      </c>
      <c r="K60" s="70" t="s">
        <v>5530</v>
      </c>
      <c r="L60" s="70">
        <v>1</v>
      </c>
      <c r="M60" s="70" t="s">
        <v>5492</v>
      </c>
      <c r="N60" s="64" t="s">
        <v>5538</v>
      </c>
      <c r="O60" s="64">
        <v>10</v>
      </c>
      <c r="P60" s="64" t="s">
        <v>5539</v>
      </c>
      <c r="Q60" s="67" t="s">
        <v>5495</v>
      </c>
    </row>
    <row r="61" spans="1:17" ht="39.6" customHeight="1">
      <c r="A61" s="61" t="s">
        <v>572</v>
      </c>
      <c r="B61" s="70">
        <v>4</v>
      </c>
      <c r="C61" s="70">
        <v>11</v>
      </c>
      <c r="D61" s="70">
        <v>35</v>
      </c>
      <c r="E61" s="64"/>
      <c r="F61" s="64" t="s">
        <v>573</v>
      </c>
      <c r="G61" s="64" t="s">
        <v>5540</v>
      </c>
      <c r="H61" s="64" t="s">
        <v>5488</v>
      </c>
      <c r="I61" s="64" t="s">
        <v>662</v>
      </c>
      <c r="J61" s="70" t="s">
        <v>714</v>
      </c>
      <c r="K61" s="70" t="s">
        <v>5530</v>
      </c>
      <c r="L61" s="70">
        <v>1</v>
      </c>
      <c r="M61" s="70" t="s">
        <v>5492</v>
      </c>
      <c r="N61" s="64" t="s">
        <v>5538</v>
      </c>
      <c r="O61" s="64">
        <v>10</v>
      </c>
      <c r="P61" s="64" t="s">
        <v>5539</v>
      </c>
      <c r="Q61" s="67" t="s">
        <v>5495</v>
      </c>
    </row>
    <row r="62" spans="1:17" ht="39.6" customHeight="1">
      <c r="A62" s="61" t="s">
        <v>572</v>
      </c>
      <c r="B62" s="70">
        <v>5</v>
      </c>
      <c r="C62" s="70">
        <v>14</v>
      </c>
      <c r="D62" s="70">
        <v>55</v>
      </c>
      <c r="E62" s="64"/>
      <c r="F62" s="64" t="s">
        <v>573</v>
      </c>
      <c r="G62" s="64" t="s">
        <v>5540</v>
      </c>
      <c r="H62" s="64" t="s">
        <v>5488</v>
      </c>
      <c r="I62" s="64" t="s">
        <v>662</v>
      </c>
      <c r="J62" s="70" t="s">
        <v>714</v>
      </c>
      <c r="K62" s="70" t="s">
        <v>5530</v>
      </c>
      <c r="L62" s="70">
        <v>1</v>
      </c>
      <c r="M62" s="70" t="s">
        <v>5492</v>
      </c>
      <c r="N62" s="64" t="s">
        <v>5538</v>
      </c>
      <c r="O62" s="64">
        <v>10</v>
      </c>
      <c r="P62" s="64" t="s">
        <v>5539</v>
      </c>
      <c r="Q62" s="67" t="s">
        <v>5495</v>
      </c>
    </row>
    <row r="63" spans="1:17" ht="39.6" customHeight="1">
      <c r="A63" s="61" t="s">
        <v>572</v>
      </c>
      <c r="B63" s="70">
        <v>6</v>
      </c>
      <c r="C63" s="70">
        <v>17</v>
      </c>
      <c r="D63" s="70">
        <v>70</v>
      </c>
      <c r="E63" s="64"/>
      <c r="F63" s="64" t="s">
        <v>573</v>
      </c>
      <c r="G63" s="64" t="s">
        <v>5540</v>
      </c>
      <c r="H63" s="64" t="s">
        <v>5488</v>
      </c>
      <c r="I63" s="64" t="s">
        <v>662</v>
      </c>
      <c r="J63" s="70" t="s">
        <v>714</v>
      </c>
      <c r="K63" s="70" t="s">
        <v>5530</v>
      </c>
      <c r="L63" s="70">
        <v>1</v>
      </c>
      <c r="M63" s="70" t="s">
        <v>5492</v>
      </c>
      <c r="N63" s="64" t="s">
        <v>5538</v>
      </c>
      <c r="O63" s="64">
        <v>10</v>
      </c>
      <c r="P63" s="64" t="s">
        <v>5539</v>
      </c>
      <c r="Q63" s="67" t="s">
        <v>5495</v>
      </c>
    </row>
    <row r="64" spans="1:17" ht="39.6" customHeight="1">
      <c r="A64" s="61" t="s">
        <v>572</v>
      </c>
      <c r="B64" s="70">
        <v>7</v>
      </c>
      <c r="C64" s="70">
        <v>20</v>
      </c>
      <c r="D64" s="70">
        <v>90</v>
      </c>
      <c r="E64" s="64"/>
      <c r="F64" s="64" t="s">
        <v>573</v>
      </c>
      <c r="G64" s="64" t="s">
        <v>5540</v>
      </c>
      <c r="H64" s="64" t="s">
        <v>5488</v>
      </c>
      <c r="I64" s="64" t="s">
        <v>662</v>
      </c>
      <c r="J64" s="70" t="s">
        <v>714</v>
      </c>
      <c r="K64" s="70" t="s">
        <v>5530</v>
      </c>
      <c r="L64" s="70">
        <v>1</v>
      </c>
      <c r="M64" s="70" t="s">
        <v>5492</v>
      </c>
      <c r="N64" s="64" t="s">
        <v>5538</v>
      </c>
      <c r="O64" s="64">
        <v>10</v>
      </c>
      <c r="P64" s="64" t="s">
        <v>5539</v>
      </c>
      <c r="Q64" s="67" t="s">
        <v>5495</v>
      </c>
    </row>
    <row r="65" spans="1:17" ht="39.6" customHeight="1">
      <c r="A65" s="61" t="s">
        <v>576</v>
      </c>
      <c r="B65" s="70">
        <v>1</v>
      </c>
      <c r="C65" s="70">
        <v>2</v>
      </c>
      <c r="D65" s="70">
        <v>5</v>
      </c>
      <c r="E65" s="64"/>
      <c r="F65" s="64" t="s">
        <v>577</v>
      </c>
      <c r="G65" s="64" t="s">
        <v>5540</v>
      </c>
      <c r="H65" s="64" t="s">
        <v>5488</v>
      </c>
      <c r="I65" s="64" t="s">
        <v>662</v>
      </c>
      <c r="J65" s="70" t="s">
        <v>714</v>
      </c>
      <c r="K65" s="70" t="s">
        <v>5530</v>
      </c>
      <c r="L65" s="70">
        <v>1</v>
      </c>
      <c r="M65" s="70" t="s">
        <v>5492</v>
      </c>
      <c r="N65" s="64" t="s">
        <v>5538</v>
      </c>
      <c r="O65" s="64">
        <v>10</v>
      </c>
      <c r="P65" s="64" t="s">
        <v>5539</v>
      </c>
      <c r="Q65" s="67" t="s">
        <v>5495</v>
      </c>
    </row>
    <row r="66" spans="1:17" ht="39.6" customHeight="1">
      <c r="A66" s="61" t="s">
        <v>576</v>
      </c>
      <c r="B66" s="70">
        <v>2</v>
      </c>
      <c r="C66" s="70">
        <v>5</v>
      </c>
      <c r="D66" s="70">
        <v>10</v>
      </c>
      <c r="E66" s="64"/>
      <c r="F66" s="64" t="s">
        <v>577</v>
      </c>
      <c r="G66" s="64" t="s">
        <v>5540</v>
      </c>
      <c r="H66" s="64" t="s">
        <v>5488</v>
      </c>
      <c r="I66" s="64" t="s">
        <v>662</v>
      </c>
      <c r="J66" s="70" t="s">
        <v>714</v>
      </c>
      <c r="K66" s="70" t="s">
        <v>5530</v>
      </c>
      <c r="L66" s="70">
        <v>1</v>
      </c>
      <c r="M66" s="70" t="s">
        <v>5492</v>
      </c>
      <c r="N66" s="64" t="s">
        <v>5538</v>
      </c>
      <c r="O66" s="64">
        <v>10</v>
      </c>
      <c r="P66" s="64" t="s">
        <v>5539</v>
      </c>
      <c r="Q66" s="67" t="s">
        <v>5495</v>
      </c>
    </row>
    <row r="67" spans="1:17" ht="39.6" customHeight="1">
      <c r="A67" s="61" t="s">
        <v>576</v>
      </c>
      <c r="B67" s="70">
        <v>3</v>
      </c>
      <c r="C67" s="70">
        <v>8</v>
      </c>
      <c r="D67" s="70">
        <v>20</v>
      </c>
      <c r="E67" s="64"/>
      <c r="F67" s="64" t="s">
        <v>577</v>
      </c>
      <c r="G67" s="64" t="s">
        <v>5540</v>
      </c>
      <c r="H67" s="64" t="s">
        <v>5488</v>
      </c>
      <c r="I67" s="64" t="s">
        <v>662</v>
      </c>
      <c r="J67" s="70" t="s">
        <v>714</v>
      </c>
      <c r="K67" s="70" t="s">
        <v>5530</v>
      </c>
      <c r="L67" s="70">
        <v>1</v>
      </c>
      <c r="M67" s="70" t="s">
        <v>5492</v>
      </c>
      <c r="N67" s="64" t="s">
        <v>5538</v>
      </c>
      <c r="O67" s="64">
        <v>10</v>
      </c>
      <c r="P67" s="64" t="s">
        <v>5539</v>
      </c>
      <c r="Q67" s="67" t="s">
        <v>5495</v>
      </c>
    </row>
    <row r="68" spans="1:17" ht="39.6" customHeight="1">
      <c r="A68" s="61" t="s">
        <v>576</v>
      </c>
      <c r="B68" s="70">
        <v>4</v>
      </c>
      <c r="C68" s="70">
        <v>11</v>
      </c>
      <c r="D68" s="70">
        <v>35</v>
      </c>
      <c r="E68" s="64"/>
      <c r="F68" s="64" t="s">
        <v>577</v>
      </c>
      <c r="G68" s="64" t="s">
        <v>5540</v>
      </c>
      <c r="H68" s="64" t="s">
        <v>5488</v>
      </c>
      <c r="I68" s="64" t="s">
        <v>662</v>
      </c>
      <c r="J68" s="70" t="s">
        <v>714</v>
      </c>
      <c r="K68" s="70" t="s">
        <v>5530</v>
      </c>
      <c r="L68" s="70">
        <v>1</v>
      </c>
      <c r="M68" s="70" t="s">
        <v>5492</v>
      </c>
      <c r="N68" s="64" t="s">
        <v>5538</v>
      </c>
      <c r="O68" s="64">
        <v>10</v>
      </c>
      <c r="P68" s="64" t="s">
        <v>5539</v>
      </c>
      <c r="Q68" s="67" t="s">
        <v>5495</v>
      </c>
    </row>
    <row r="69" spans="1:17" ht="39.6" customHeight="1">
      <c r="A69" s="61" t="s">
        <v>576</v>
      </c>
      <c r="B69" s="70">
        <v>5</v>
      </c>
      <c r="C69" s="70">
        <v>14</v>
      </c>
      <c r="D69" s="70">
        <v>55</v>
      </c>
      <c r="E69" s="64"/>
      <c r="F69" s="64" t="s">
        <v>577</v>
      </c>
      <c r="G69" s="64" t="s">
        <v>5540</v>
      </c>
      <c r="H69" s="64" t="s">
        <v>5488</v>
      </c>
      <c r="I69" s="64" t="s">
        <v>662</v>
      </c>
      <c r="J69" s="70" t="s">
        <v>714</v>
      </c>
      <c r="K69" s="70" t="s">
        <v>5530</v>
      </c>
      <c r="L69" s="70">
        <v>1</v>
      </c>
      <c r="M69" s="70" t="s">
        <v>5492</v>
      </c>
      <c r="N69" s="64" t="s">
        <v>5538</v>
      </c>
      <c r="O69" s="64">
        <v>10</v>
      </c>
      <c r="P69" s="64" t="s">
        <v>5539</v>
      </c>
      <c r="Q69" s="67" t="s">
        <v>5495</v>
      </c>
    </row>
    <row r="70" spans="1:17" ht="39.6" customHeight="1">
      <c r="A70" s="61" t="s">
        <v>576</v>
      </c>
      <c r="B70" s="70">
        <v>6</v>
      </c>
      <c r="C70" s="70">
        <v>17</v>
      </c>
      <c r="D70" s="70">
        <v>70</v>
      </c>
      <c r="E70" s="64"/>
      <c r="F70" s="64" t="s">
        <v>577</v>
      </c>
      <c r="G70" s="64" t="s">
        <v>5540</v>
      </c>
      <c r="H70" s="64" t="s">
        <v>5488</v>
      </c>
      <c r="I70" s="64" t="s">
        <v>662</v>
      </c>
      <c r="J70" s="70" t="s">
        <v>714</v>
      </c>
      <c r="K70" s="70" t="s">
        <v>5530</v>
      </c>
      <c r="L70" s="70">
        <v>1</v>
      </c>
      <c r="M70" s="70" t="s">
        <v>5492</v>
      </c>
      <c r="N70" s="64" t="s">
        <v>5538</v>
      </c>
      <c r="O70" s="64">
        <v>10</v>
      </c>
      <c r="P70" s="64" t="s">
        <v>5539</v>
      </c>
      <c r="Q70" s="67" t="s">
        <v>5495</v>
      </c>
    </row>
    <row r="71" spans="1:17" ht="39.6" customHeight="1">
      <c r="A71" s="61" t="s">
        <v>576</v>
      </c>
      <c r="B71" s="70">
        <v>7</v>
      </c>
      <c r="C71" s="70">
        <v>20</v>
      </c>
      <c r="D71" s="70">
        <v>90</v>
      </c>
      <c r="E71" s="64"/>
      <c r="F71" s="64" t="s">
        <v>577</v>
      </c>
      <c r="G71" s="64" t="s">
        <v>5540</v>
      </c>
      <c r="H71" s="64" t="s">
        <v>5488</v>
      </c>
      <c r="I71" s="64" t="s">
        <v>662</v>
      </c>
      <c r="J71" s="70" t="s">
        <v>714</v>
      </c>
      <c r="K71" s="70" t="s">
        <v>5530</v>
      </c>
      <c r="L71" s="70">
        <v>1</v>
      </c>
      <c r="M71" s="70" t="s">
        <v>5492</v>
      </c>
      <c r="N71" s="64" t="s">
        <v>5538</v>
      </c>
      <c r="O71" s="64">
        <v>10</v>
      </c>
      <c r="P71" s="64" t="s">
        <v>5539</v>
      </c>
      <c r="Q71" s="67" t="s">
        <v>5495</v>
      </c>
    </row>
    <row r="72" spans="1:17" ht="39.6" customHeight="1">
      <c r="A72" s="61" t="s">
        <v>574</v>
      </c>
      <c r="B72" s="70">
        <v>1</v>
      </c>
      <c r="C72" s="70">
        <v>2</v>
      </c>
      <c r="D72" s="70">
        <v>5</v>
      </c>
      <c r="E72" s="64"/>
      <c r="F72" s="64" t="s">
        <v>575</v>
      </c>
      <c r="G72" s="64" t="s">
        <v>5540</v>
      </c>
      <c r="H72" s="64" t="s">
        <v>5488</v>
      </c>
      <c r="I72" s="64" t="s">
        <v>662</v>
      </c>
      <c r="J72" s="70" t="s">
        <v>714</v>
      </c>
      <c r="K72" s="70" t="s">
        <v>5530</v>
      </c>
      <c r="L72" s="70">
        <v>1</v>
      </c>
      <c r="M72" s="70" t="s">
        <v>5492</v>
      </c>
      <c r="N72" s="64" t="s">
        <v>5538</v>
      </c>
      <c r="O72" s="64">
        <v>10</v>
      </c>
      <c r="P72" s="64" t="s">
        <v>5539</v>
      </c>
      <c r="Q72" s="67" t="s">
        <v>5495</v>
      </c>
    </row>
    <row r="73" spans="1:17" ht="39.6" customHeight="1">
      <c r="A73" s="61" t="s">
        <v>574</v>
      </c>
      <c r="B73" s="70">
        <v>2</v>
      </c>
      <c r="C73" s="70">
        <v>5</v>
      </c>
      <c r="D73" s="70">
        <v>10</v>
      </c>
      <c r="E73" s="64"/>
      <c r="F73" s="64" t="s">
        <v>575</v>
      </c>
      <c r="G73" s="64" t="s">
        <v>5540</v>
      </c>
      <c r="H73" s="64" t="s">
        <v>5488</v>
      </c>
      <c r="I73" s="64" t="s">
        <v>662</v>
      </c>
      <c r="J73" s="70" t="s">
        <v>714</v>
      </c>
      <c r="K73" s="70" t="s">
        <v>5530</v>
      </c>
      <c r="L73" s="70">
        <v>1</v>
      </c>
      <c r="M73" s="70" t="s">
        <v>5492</v>
      </c>
      <c r="N73" s="64" t="s">
        <v>5538</v>
      </c>
      <c r="O73" s="64">
        <v>10</v>
      </c>
      <c r="P73" s="64" t="s">
        <v>5539</v>
      </c>
      <c r="Q73" s="67" t="s">
        <v>5495</v>
      </c>
    </row>
    <row r="74" spans="1:17" ht="39.6" customHeight="1">
      <c r="A74" s="61" t="s">
        <v>574</v>
      </c>
      <c r="B74" s="70">
        <v>3</v>
      </c>
      <c r="C74" s="70">
        <v>8</v>
      </c>
      <c r="D74" s="70">
        <v>20</v>
      </c>
      <c r="E74" s="64"/>
      <c r="F74" s="64" t="s">
        <v>575</v>
      </c>
      <c r="G74" s="64" t="s">
        <v>5540</v>
      </c>
      <c r="H74" s="64" t="s">
        <v>5488</v>
      </c>
      <c r="I74" s="64" t="s">
        <v>662</v>
      </c>
      <c r="J74" s="70" t="s">
        <v>714</v>
      </c>
      <c r="K74" s="70" t="s">
        <v>5530</v>
      </c>
      <c r="L74" s="70">
        <v>1</v>
      </c>
      <c r="M74" s="70" t="s">
        <v>5492</v>
      </c>
      <c r="N74" s="64" t="s">
        <v>5538</v>
      </c>
      <c r="O74" s="64">
        <v>10</v>
      </c>
      <c r="P74" s="64" t="s">
        <v>5539</v>
      </c>
      <c r="Q74" s="67" t="s">
        <v>5495</v>
      </c>
    </row>
    <row r="75" spans="1:17" ht="39.6" customHeight="1">
      <c r="A75" s="61" t="s">
        <v>574</v>
      </c>
      <c r="B75" s="70">
        <v>4</v>
      </c>
      <c r="C75" s="70">
        <v>11</v>
      </c>
      <c r="D75" s="70">
        <v>35</v>
      </c>
      <c r="E75" s="64"/>
      <c r="F75" s="64" t="s">
        <v>575</v>
      </c>
      <c r="G75" s="64" t="s">
        <v>5540</v>
      </c>
      <c r="H75" s="64" t="s">
        <v>5488</v>
      </c>
      <c r="I75" s="64" t="s">
        <v>662</v>
      </c>
      <c r="J75" s="70" t="s">
        <v>714</v>
      </c>
      <c r="K75" s="70" t="s">
        <v>5530</v>
      </c>
      <c r="L75" s="70">
        <v>1</v>
      </c>
      <c r="M75" s="70" t="s">
        <v>5492</v>
      </c>
      <c r="N75" s="64" t="s">
        <v>5538</v>
      </c>
      <c r="O75" s="64">
        <v>10</v>
      </c>
      <c r="P75" s="64" t="s">
        <v>5539</v>
      </c>
      <c r="Q75" s="67" t="s">
        <v>5495</v>
      </c>
    </row>
    <row r="76" spans="1:17" ht="39.6" customHeight="1">
      <c r="A76" s="61" t="s">
        <v>574</v>
      </c>
      <c r="B76" s="70">
        <v>5</v>
      </c>
      <c r="C76" s="70">
        <v>14</v>
      </c>
      <c r="D76" s="70">
        <v>55</v>
      </c>
      <c r="E76" s="64"/>
      <c r="F76" s="64" t="s">
        <v>575</v>
      </c>
      <c r="G76" s="64" t="s">
        <v>5540</v>
      </c>
      <c r="H76" s="64" t="s">
        <v>5488</v>
      </c>
      <c r="I76" s="64" t="s">
        <v>662</v>
      </c>
      <c r="J76" s="70" t="s">
        <v>714</v>
      </c>
      <c r="K76" s="70" t="s">
        <v>5530</v>
      </c>
      <c r="L76" s="70">
        <v>1</v>
      </c>
      <c r="M76" s="70" t="s">
        <v>5492</v>
      </c>
      <c r="N76" s="64" t="s">
        <v>5538</v>
      </c>
      <c r="O76" s="64">
        <v>10</v>
      </c>
      <c r="P76" s="64" t="s">
        <v>5539</v>
      </c>
      <c r="Q76" s="67" t="s">
        <v>5495</v>
      </c>
    </row>
    <row r="77" spans="1:17" ht="39.6" customHeight="1">
      <c r="A77" s="61" t="s">
        <v>574</v>
      </c>
      <c r="B77" s="70">
        <v>6</v>
      </c>
      <c r="C77" s="70">
        <v>17</v>
      </c>
      <c r="D77" s="70">
        <v>70</v>
      </c>
      <c r="E77" s="64"/>
      <c r="F77" s="64" t="s">
        <v>575</v>
      </c>
      <c r="G77" s="64" t="s">
        <v>5540</v>
      </c>
      <c r="H77" s="64" t="s">
        <v>5488</v>
      </c>
      <c r="I77" s="64" t="s">
        <v>662</v>
      </c>
      <c r="J77" s="70" t="s">
        <v>714</v>
      </c>
      <c r="K77" s="70" t="s">
        <v>5530</v>
      </c>
      <c r="L77" s="70">
        <v>1</v>
      </c>
      <c r="M77" s="70" t="s">
        <v>5492</v>
      </c>
      <c r="N77" s="64" t="s">
        <v>5538</v>
      </c>
      <c r="O77" s="64">
        <v>10</v>
      </c>
      <c r="P77" s="64" t="s">
        <v>5539</v>
      </c>
      <c r="Q77" s="67" t="s">
        <v>5495</v>
      </c>
    </row>
    <row r="78" spans="1:17" ht="39.6" customHeight="1">
      <c r="A78" s="61" t="s">
        <v>574</v>
      </c>
      <c r="B78" s="70">
        <v>7</v>
      </c>
      <c r="C78" s="70">
        <v>20</v>
      </c>
      <c r="D78" s="70">
        <v>90</v>
      </c>
      <c r="E78" s="64"/>
      <c r="F78" s="64" t="s">
        <v>575</v>
      </c>
      <c r="G78" s="64" t="s">
        <v>5540</v>
      </c>
      <c r="H78" s="64" t="s">
        <v>5488</v>
      </c>
      <c r="I78" s="64" t="s">
        <v>662</v>
      </c>
      <c r="J78" s="70" t="s">
        <v>714</v>
      </c>
      <c r="K78" s="70" t="s">
        <v>5530</v>
      </c>
      <c r="L78" s="70">
        <v>1</v>
      </c>
      <c r="M78" s="70" t="s">
        <v>5492</v>
      </c>
      <c r="N78" s="64" t="s">
        <v>5538</v>
      </c>
      <c r="O78" s="64">
        <v>10</v>
      </c>
      <c r="P78" s="64" t="s">
        <v>5539</v>
      </c>
      <c r="Q78" s="67" t="s">
        <v>5495</v>
      </c>
    </row>
    <row r="79" spans="1:17" ht="15" customHeight="1">
      <c r="A79" s="61" t="s">
        <v>568</v>
      </c>
      <c r="B79" s="70">
        <v>1</v>
      </c>
      <c r="C79" s="70">
        <v>3</v>
      </c>
      <c r="D79" s="70">
        <v>10</v>
      </c>
      <c r="E79" s="64"/>
      <c r="F79" s="64" t="s">
        <v>659</v>
      </c>
      <c r="G79" s="64" t="s">
        <v>5541</v>
      </c>
      <c r="H79" s="64" t="s">
        <v>5476</v>
      </c>
      <c r="I79" s="64" t="s">
        <v>5504</v>
      </c>
      <c r="J79" s="70" t="s">
        <v>706</v>
      </c>
      <c r="K79" s="70" t="s">
        <v>5522</v>
      </c>
      <c r="L79" s="70">
        <v>1</v>
      </c>
      <c r="M79" s="70" t="s">
        <v>5492</v>
      </c>
      <c r="N79" s="64" t="s">
        <v>5535</v>
      </c>
      <c r="O79" s="64">
        <v>5</v>
      </c>
      <c r="P79" s="64" t="s">
        <v>5494</v>
      </c>
      <c r="Q79" s="67" t="s">
        <v>5495</v>
      </c>
    </row>
    <row r="80" spans="1:17" ht="15" customHeight="1">
      <c r="A80" s="61" t="s">
        <v>568</v>
      </c>
      <c r="B80" s="70">
        <v>2</v>
      </c>
      <c r="C80" s="70">
        <v>6</v>
      </c>
      <c r="D80" s="70">
        <v>15</v>
      </c>
      <c r="E80" s="64"/>
      <c r="F80" s="64" t="s">
        <v>659</v>
      </c>
      <c r="G80" s="64" t="s">
        <v>5541</v>
      </c>
      <c r="H80" s="64" t="s">
        <v>5476</v>
      </c>
      <c r="I80" s="64" t="s">
        <v>5504</v>
      </c>
      <c r="J80" s="70" t="s">
        <v>706</v>
      </c>
      <c r="K80" s="70" t="s">
        <v>5522</v>
      </c>
      <c r="L80" s="70">
        <v>1</v>
      </c>
      <c r="M80" s="70" t="s">
        <v>5492</v>
      </c>
      <c r="N80" s="64" t="s">
        <v>5535</v>
      </c>
      <c r="O80" s="64">
        <v>5</v>
      </c>
      <c r="P80" s="64" t="s">
        <v>5494</v>
      </c>
      <c r="Q80" s="67" t="s">
        <v>5495</v>
      </c>
    </row>
    <row r="81" spans="1:17" ht="15" customHeight="1">
      <c r="A81" s="61" t="s">
        <v>568</v>
      </c>
      <c r="B81" s="70">
        <v>3</v>
      </c>
      <c r="C81" s="70">
        <v>9</v>
      </c>
      <c r="D81" s="70">
        <v>25</v>
      </c>
      <c r="E81" s="64"/>
      <c r="F81" s="64" t="s">
        <v>659</v>
      </c>
      <c r="G81" s="64" t="s">
        <v>5541</v>
      </c>
      <c r="H81" s="64" t="s">
        <v>5476</v>
      </c>
      <c r="I81" s="64" t="s">
        <v>5504</v>
      </c>
      <c r="J81" s="70" t="s">
        <v>706</v>
      </c>
      <c r="K81" s="70" t="s">
        <v>5522</v>
      </c>
      <c r="L81" s="70">
        <v>1</v>
      </c>
      <c r="M81" s="70" t="s">
        <v>5492</v>
      </c>
      <c r="N81" s="64" t="s">
        <v>5535</v>
      </c>
      <c r="O81" s="64">
        <v>5</v>
      </c>
      <c r="P81" s="64" t="s">
        <v>5494</v>
      </c>
      <c r="Q81" s="67" t="s">
        <v>5495</v>
      </c>
    </row>
    <row r="82" spans="1:17" ht="15" customHeight="1">
      <c r="A82" s="61" t="s">
        <v>568</v>
      </c>
      <c r="B82" s="70">
        <v>4</v>
      </c>
      <c r="C82" s="70">
        <v>12</v>
      </c>
      <c r="D82" s="70">
        <v>40</v>
      </c>
      <c r="E82" s="64"/>
      <c r="F82" s="64" t="s">
        <v>659</v>
      </c>
      <c r="G82" s="64" t="s">
        <v>5541</v>
      </c>
      <c r="H82" s="64" t="s">
        <v>5476</v>
      </c>
      <c r="I82" s="64" t="s">
        <v>5504</v>
      </c>
      <c r="J82" s="70" t="s">
        <v>706</v>
      </c>
      <c r="K82" s="70" t="s">
        <v>5522</v>
      </c>
      <c r="L82" s="70">
        <v>1</v>
      </c>
      <c r="M82" s="70" t="s">
        <v>5492</v>
      </c>
      <c r="N82" s="64" t="s">
        <v>5535</v>
      </c>
      <c r="O82" s="64">
        <v>5</v>
      </c>
      <c r="P82" s="64" t="s">
        <v>5494</v>
      </c>
      <c r="Q82" s="67" t="s">
        <v>5495</v>
      </c>
    </row>
    <row r="83" spans="1:17" ht="15" customHeight="1">
      <c r="A83" s="61" t="s">
        <v>568</v>
      </c>
      <c r="B83" s="70">
        <v>5</v>
      </c>
      <c r="C83" s="70">
        <v>15</v>
      </c>
      <c r="D83" s="70">
        <v>60</v>
      </c>
      <c r="E83" s="64"/>
      <c r="F83" s="64" t="s">
        <v>659</v>
      </c>
      <c r="G83" s="64" t="s">
        <v>5541</v>
      </c>
      <c r="H83" s="64" t="s">
        <v>5476</v>
      </c>
      <c r="I83" s="64" t="s">
        <v>5504</v>
      </c>
      <c r="J83" s="70" t="s">
        <v>706</v>
      </c>
      <c r="K83" s="70" t="s">
        <v>5522</v>
      </c>
      <c r="L83" s="70">
        <v>1</v>
      </c>
      <c r="M83" s="70" t="s">
        <v>5492</v>
      </c>
      <c r="N83" s="64" t="s">
        <v>5535</v>
      </c>
      <c r="O83" s="64">
        <v>5</v>
      </c>
      <c r="P83" s="64" t="s">
        <v>5494</v>
      </c>
      <c r="Q83" s="67" t="s">
        <v>5495</v>
      </c>
    </row>
    <row r="84" spans="1:17" ht="15" customHeight="1">
      <c r="A84" s="61" t="s">
        <v>568</v>
      </c>
      <c r="B84" s="70">
        <v>6</v>
      </c>
      <c r="C84" s="70">
        <v>18</v>
      </c>
      <c r="D84" s="70">
        <v>80</v>
      </c>
      <c r="E84" s="64"/>
      <c r="F84" s="64" t="s">
        <v>659</v>
      </c>
      <c r="G84" s="64" t="s">
        <v>5541</v>
      </c>
      <c r="H84" s="64" t="s">
        <v>5476</v>
      </c>
      <c r="I84" s="64" t="s">
        <v>5504</v>
      </c>
      <c r="J84" s="70" t="s">
        <v>706</v>
      </c>
      <c r="K84" s="70" t="s">
        <v>5522</v>
      </c>
      <c r="L84" s="70">
        <v>1</v>
      </c>
      <c r="M84" s="70" t="s">
        <v>5492</v>
      </c>
      <c r="N84" s="64" t="s">
        <v>5535</v>
      </c>
      <c r="O84" s="64">
        <v>5</v>
      </c>
      <c r="P84" s="64" t="s">
        <v>5494</v>
      </c>
      <c r="Q84" s="67" t="s">
        <v>5495</v>
      </c>
    </row>
    <row r="85" spans="1:17" ht="15" customHeight="1">
      <c r="A85" s="61" t="s">
        <v>568</v>
      </c>
      <c r="B85" s="70">
        <v>7</v>
      </c>
      <c r="C85" s="70">
        <v>21</v>
      </c>
      <c r="D85" s="70">
        <v>105</v>
      </c>
      <c r="E85" s="64"/>
      <c r="F85" s="64" t="s">
        <v>659</v>
      </c>
      <c r="G85" s="64" t="s">
        <v>5541</v>
      </c>
      <c r="H85" s="64" t="s">
        <v>5476</v>
      </c>
      <c r="I85" s="64" t="s">
        <v>5504</v>
      </c>
      <c r="J85" s="70" t="s">
        <v>706</v>
      </c>
      <c r="K85" s="70" t="s">
        <v>5522</v>
      </c>
      <c r="L85" s="70">
        <v>1</v>
      </c>
      <c r="M85" s="70" t="s">
        <v>5492</v>
      </c>
      <c r="N85" s="64" t="s">
        <v>5535</v>
      </c>
      <c r="O85" s="64">
        <v>5</v>
      </c>
      <c r="P85" s="64" t="s">
        <v>5494</v>
      </c>
      <c r="Q85" s="67" t="s">
        <v>5495</v>
      </c>
    </row>
    <row r="86" spans="1:17" ht="26.45" customHeight="1">
      <c r="A86" s="61" t="s">
        <v>557</v>
      </c>
      <c r="B86" s="70">
        <v>1</v>
      </c>
      <c r="C86" s="70">
        <v>5</v>
      </c>
      <c r="D86" s="70">
        <v>15</v>
      </c>
      <c r="E86" s="64"/>
      <c r="F86" s="64" t="s">
        <v>559</v>
      </c>
      <c r="G86" s="64" t="s">
        <v>5542</v>
      </c>
      <c r="H86" s="64" t="s">
        <v>5476</v>
      </c>
      <c r="I86" s="64" t="s">
        <v>5504</v>
      </c>
      <c r="J86" s="70" t="s">
        <v>730</v>
      </c>
      <c r="K86" s="70" t="s">
        <v>5522</v>
      </c>
      <c r="L86" s="70">
        <v>1</v>
      </c>
      <c r="M86" s="70" t="s">
        <v>5492</v>
      </c>
      <c r="N86" s="64" t="s">
        <v>5532</v>
      </c>
      <c r="O86" s="64">
        <v>15</v>
      </c>
      <c r="P86" s="64" t="s">
        <v>5543</v>
      </c>
      <c r="Q86" s="67" t="s">
        <v>5495</v>
      </c>
    </row>
    <row r="87" spans="1:17" ht="26.45" customHeight="1">
      <c r="A87" s="61" t="s">
        <v>557</v>
      </c>
      <c r="B87" s="70">
        <v>2</v>
      </c>
      <c r="C87" s="70">
        <v>10</v>
      </c>
      <c r="D87" s="70">
        <v>25</v>
      </c>
      <c r="E87" s="64"/>
      <c r="F87" s="64" t="s">
        <v>559</v>
      </c>
      <c r="G87" s="64" t="s">
        <v>5542</v>
      </c>
      <c r="H87" s="64" t="s">
        <v>5476</v>
      </c>
      <c r="I87" s="64" t="s">
        <v>5504</v>
      </c>
      <c r="J87" s="70" t="s">
        <v>730</v>
      </c>
      <c r="K87" s="70" t="s">
        <v>5522</v>
      </c>
      <c r="L87" s="70">
        <v>1</v>
      </c>
      <c r="M87" s="70" t="s">
        <v>5492</v>
      </c>
      <c r="N87" s="64" t="s">
        <v>5532</v>
      </c>
      <c r="O87" s="64">
        <v>15</v>
      </c>
      <c r="P87" s="64" t="s">
        <v>5543</v>
      </c>
      <c r="Q87" s="67" t="s">
        <v>5495</v>
      </c>
    </row>
    <row r="88" spans="1:17" ht="26.45" customHeight="1">
      <c r="A88" s="61" t="s">
        <v>557</v>
      </c>
      <c r="B88" s="70">
        <v>3</v>
      </c>
      <c r="C88" s="70">
        <v>14</v>
      </c>
      <c r="D88" s="70">
        <v>35</v>
      </c>
      <c r="E88" s="64"/>
      <c r="F88" s="64" t="s">
        <v>559</v>
      </c>
      <c r="G88" s="64" t="s">
        <v>5542</v>
      </c>
      <c r="H88" s="64" t="s">
        <v>5476</v>
      </c>
      <c r="I88" s="64" t="s">
        <v>5504</v>
      </c>
      <c r="J88" s="70" t="s">
        <v>730</v>
      </c>
      <c r="K88" s="70" t="s">
        <v>5522</v>
      </c>
      <c r="L88" s="70">
        <v>1</v>
      </c>
      <c r="M88" s="70" t="s">
        <v>5492</v>
      </c>
      <c r="N88" s="64" t="s">
        <v>5532</v>
      </c>
      <c r="O88" s="64">
        <v>15</v>
      </c>
      <c r="P88" s="64" t="s">
        <v>5543</v>
      </c>
      <c r="Q88" s="67" t="s">
        <v>5495</v>
      </c>
    </row>
    <row r="89" spans="1:17" ht="26.45" customHeight="1">
      <c r="A89" s="61" t="s">
        <v>557</v>
      </c>
      <c r="B89" s="70">
        <v>4</v>
      </c>
      <c r="C89" s="70">
        <v>18</v>
      </c>
      <c r="D89" s="70">
        <v>50</v>
      </c>
      <c r="E89" s="64"/>
      <c r="F89" s="64" t="s">
        <v>559</v>
      </c>
      <c r="G89" s="64" t="s">
        <v>5542</v>
      </c>
      <c r="H89" s="64" t="s">
        <v>5476</v>
      </c>
      <c r="I89" s="64" t="s">
        <v>5504</v>
      </c>
      <c r="J89" s="70" t="s">
        <v>730</v>
      </c>
      <c r="K89" s="70" t="s">
        <v>5522</v>
      </c>
      <c r="L89" s="70">
        <v>1</v>
      </c>
      <c r="M89" s="70" t="s">
        <v>5492</v>
      </c>
      <c r="N89" s="64" t="s">
        <v>5532</v>
      </c>
      <c r="O89" s="64">
        <v>15</v>
      </c>
      <c r="P89" s="64" t="s">
        <v>5543</v>
      </c>
      <c r="Q89" s="67" t="s">
        <v>5495</v>
      </c>
    </row>
    <row r="90" spans="1:17" ht="26.45" customHeight="1">
      <c r="A90" s="61" t="s">
        <v>557</v>
      </c>
      <c r="B90" s="70">
        <v>5</v>
      </c>
      <c r="C90" s="70">
        <v>21</v>
      </c>
      <c r="D90" s="70">
        <v>70</v>
      </c>
      <c r="E90" s="64"/>
      <c r="F90" s="64" t="s">
        <v>559</v>
      </c>
      <c r="G90" s="64" t="s">
        <v>5542</v>
      </c>
      <c r="H90" s="64" t="s">
        <v>5476</v>
      </c>
      <c r="I90" s="64" t="s">
        <v>5504</v>
      </c>
      <c r="J90" s="70" t="s">
        <v>730</v>
      </c>
      <c r="K90" s="70" t="s">
        <v>5522</v>
      </c>
      <c r="L90" s="70">
        <v>1</v>
      </c>
      <c r="M90" s="70" t="s">
        <v>5492</v>
      </c>
      <c r="N90" s="64" t="s">
        <v>5532</v>
      </c>
      <c r="O90" s="64">
        <v>15</v>
      </c>
      <c r="P90" s="64" t="s">
        <v>5543</v>
      </c>
      <c r="Q90" s="67" t="s">
        <v>5495</v>
      </c>
    </row>
    <row r="91" spans="1:17" ht="26.45" customHeight="1">
      <c r="A91" s="61" t="s">
        <v>557</v>
      </c>
      <c r="B91" s="70">
        <v>6</v>
      </c>
      <c r="C91" s="70">
        <v>24</v>
      </c>
      <c r="D91" s="70">
        <v>90</v>
      </c>
      <c r="E91" s="64"/>
      <c r="F91" s="64" t="s">
        <v>559</v>
      </c>
      <c r="G91" s="64" t="s">
        <v>5542</v>
      </c>
      <c r="H91" s="64" t="s">
        <v>5476</v>
      </c>
      <c r="I91" s="64" t="s">
        <v>5504</v>
      </c>
      <c r="J91" s="70" t="s">
        <v>730</v>
      </c>
      <c r="K91" s="70" t="s">
        <v>5522</v>
      </c>
      <c r="L91" s="70">
        <v>1</v>
      </c>
      <c r="M91" s="70" t="s">
        <v>5492</v>
      </c>
      <c r="N91" s="64" t="s">
        <v>5532</v>
      </c>
      <c r="O91" s="64">
        <v>15</v>
      </c>
      <c r="P91" s="64" t="s">
        <v>5543</v>
      </c>
      <c r="Q91" s="67" t="s">
        <v>5495</v>
      </c>
    </row>
    <row r="92" spans="1:17" ht="26.45" customHeight="1">
      <c r="A92" s="61" t="s">
        <v>557</v>
      </c>
      <c r="B92" s="70">
        <v>7</v>
      </c>
      <c r="C92" s="70">
        <v>27</v>
      </c>
      <c r="D92" s="70">
        <v>115</v>
      </c>
      <c r="E92" s="64"/>
      <c r="F92" s="64" t="s">
        <v>559</v>
      </c>
      <c r="G92" s="64" t="s">
        <v>5542</v>
      </c>
      <c r="H92" s="64" t="s">
        <v>5476</v>
      </c>
      <c r="I92" s="64" t="s">
        <v>5504</v>
      </c>
      <c r="J92" s="70" t="s">
        <v>730</v>
      </c>
      <c r="K92" s="70" t="s">
        <v>5522</v>
      </c>
      <c r="L92" s="70">
        <v>1</v>
      </c>
      <c r="M92" s="70" t="s">
        <v>5492</v>
      </c>
      <c r="N92" s="64" t="s">
        <v>5532</v>
      </c>
      <c r="O92" s="64">
        <v>15</v>
      </c>
      <c r="P92" s="64" t="s">
        <v>5543</v>
      </c>
      <c r="Q92" s="67" t="s">
        <v>5495</v>
      </c>
    </row>
    <row r="93" spans="1:17" ht="15" customHeight="1">
      <c r="A93" s="61" t="s">
        <v>581</v>
      </c>
      <c r="B93" s="70">
        <v>1</v>
      </c>
      <c r="C93" s="70">
        <v>4</v>
      </c>
      <c r="D93" s="70">
        <v>20</v>
      </c>
      <c r="E93" s="64"/>
      <c r="F93" s="64" t="s">
        <v>582</v>
      </c>
      <c r="G93" s="64" t="s">
        <v>5544</v>
      </c>
      <c r="H93" s="64" t="s">
        <v>5488</v>
      </c>
      <c r="I93" s="64" t="s">
        <v>662</v>
      </c>
      <c r="J93" s="70" t="s">
        <v>730</v>
      </c>
      <c r="K93" s="70" t="s">
        <v>5522</v>
      </c>
      <c r="L93" s="70">
        <v>1</v>
      </c>
      <c r="M93" s="70" t="s">
        <v>5492</v>
      </c>
      <c r="N93" s="64" t="s">
        <v>5535</v>
      </c>
      <c r="O93" s="64">
        <v>10</v>
      </c>
      <c r="P93" s="64" t="s">
        <v>5536</v>
      </c>
      <c r="Q93" s="67" t="s">
        <v>5495</v>
      </c>
    </row>
    <row r="94" spans="1:17" ht="15" customHeight="1">
      <c r="A94" s="61" t="s">
        <v>581</v>
      </c>
      <c r="B94" s="70">
        <v>2</v>
      </c>
      <c r="C94" s="70">
        <v>7</v>
      </c>
      <c r="D94" s="70">
        <v>30</v>
      </c>
      <c r="E94" s="64"/>
      <c r="F94" s="64" t="s">
        <v>582</v>
      </c>
      <c r="G94" s="64" t="s">
        <v>5544</v>
      </c>
      <c r="H94" s="64" t="s">
        <v>5488</v>
      </c>
      <c r="I94" s="64" t="s">
        <v>662</v>
      </c>
      <c r="J94" s="70" t="s">
        <v>730</v>
      </c>
      <c r="K94" s="70" t="s">
        <v>5522</v>
      </c>
      <c r="L94" s="70">
        <v>1</v>
      </c>
      <c r="M94" s="70" t="s">
        <v>5492</v>
      </c>
      <c r="N94" s="64" t="s">
        <v>5535</v>
      </c>
      <c r="O94" s="64">
        <v>10</v>
      </c>
      <c r="P94" s="64" t="s">
        <v>5536</v>
      </c>
      <c r="Q94" s="67" t="s">
        <v>5495</v>
      </c>
    </row>
    <row r="95" spans="1:17" ht="15" customHeight="1">
      <c r="A95" s="61" t="s">
        <v>581</v>
      </c>
      <c r="B95" s="70">
        <v>3</v>
      </c>
      <c r="C95" s="70">
        <v>10</v>
      </c>
      <c r="D95" s="70">
        <v>40</v>
      </c>
      <c r="E95" s="64"/>
      <c r="F95" s="64" t="s">
        <v>582</v>
      </c>
      <c r="G95" s="64" t="s">
        <v>5544</v>
      </c>
      <c r="H95" s="64" t="s">
        <v>5488</v>
      </c>
      <c r="I95" s="64" t="s">
        <v>662</v>
      </c>
      <c r="J95" s="70" t="s">
        <v>730</v>
      </c>
      <c r="K95" s="70" t="s">
        <v>5522</v>
      </c>
      <c r="L95" s="70">
        <v>1</v>
      </c>
      <c r="M95" s="70" t="s">
        <v>5492</v>
      </c>
      <c r="N95" s="64" t="s">
        <v>5535</v>
      </c>
      <c r="O95" s="64">
        <v>10</v>
      </c>
      <c r="P95" s="64" t="s">
        <v>5536</v>
      </c>
      <c r="Q95" s="67" t="s">
        <v>5495</v>
      </c>
    </row>
    <row r="96" spans="1:17" ht="15" customHeight="1">
      <c r="A96" s="61" t="s">
        <v>581</v>
      </c>
      <c r="B96" s="70">
        <v>4</v>
      </c>
      <c r="C96" s="70">
        <v>14</v>
      </c>
      <c r="D96" s="70">
        <v>55</v>
      </c>
      <c r="E96" s="64"/>
      <c r="F96" s="64" t="s">
        <v>582</v>
      </c>
      <c r="G96" s="64" t="s">
        <v>5544</v>
      </c>
      <c r="H96" s="64" t="s">
        <v>5488</v>
      </c>
      <c r="I96" s="64" t="s">
        <v>662</v>
      </c>
      <c r="J96" s="70" t="s">
        <v>730</v>
      </c>
      <c r="K96" s="70" t="s">
        <v>5522</v>
      </c>
      <c r="L96" s="70">
        <v>1</v>
      </c>
      <c r="M96" s="70" t="s">
        <v>5492</v>
      </c>
      <c r="N96" s="64" t="s">
        <v>5535</v>
      </c>
      <c r="O96" s="64">
        <v>10</v>
      </c>
      <c r="P96" s="64" t="s">
        <v>5536</v>
      </c>
      <c r="Q96" s="67" t="s">
        <v>5495</v>
      </c>
    </row>
    <row r="97" spans="1:17" ht="15" customHeight="1">
      <c r="A97" s="61" t="s">
        <v>581</v>
      </c>
      <c r="B97" s="70">
        <v>5</v>
      </c>
      <c r="C97" s="70">
        <v>18</v>
      </c>
      <c r="D97" s="70">
        <v>75</v>
      </c>
      <c r="E97" s="64"/>
      <c r="F97" s="64" t="s">
        <v>582</v>
      </c>
      <c r="G97" s="64" t="s">
        <v>5544</v>
      </c>
      <c r="H97" s="64" t="s">
        <v>5488</v>
      </c>
      <c r="I97" s="64" t="s">
        <v>662</v>
      </c>
      <c r="J97" s="70" t="s">
        <v>730</v>
      </c>
      <c r="K97" s="70" t="s">
        <v>5522</v>
      </c>
      <c r="L97" s="70">
        <v>1</v>
      </c>
      <c r="M97" s="70" t="s">
        <v>5492</v>
      </c>
      <c r="N97" s="64" t="s">
        <v>5535</v>
      </c>
      <c r="O97" s="64">
        <v>10</v>
      </c>
      <c r="P97" s="64" t="s">
        <v>5536</v>
      </c>
      <c r="Q97" s="67" t="s">
        <v>5495</v>
      </c>
    </row>
    <row r="98" spans="1:17" ht="15" customHeight="1">
      <c r="A98" s="61" t="s">
        <v>581</v>
      </c>
      <c r="B98" s="70">
        <v>6</v>
      </c>
      <c r="C98" s="70">
        <v>22</v>
      </c>
      <c r="D98" s="70">
        <v>95</v>
      </c>
      <c r="E98" s="64"/>
      <c r="F98" s="64" t="s">
        <v>582</v>
      </c>
      <c r="G98" s="64" t="s">
        <v>5544</v>
      </c>
      <c r="H98" s="64" t="s">
        <v>5488</v>
      </c>
      <c r="I98" s="64" t="s">
        <v>662</v>
      </c>
      <c r="J98" s="70" t="s">
        <v>730</v>
      </c>
      <c r="K98" s="70" t="s">
        <v>5522</v>
      </c>
      <c r="L98" s="70">
        <v>1</v>
      </c>
      <c r="M98" s="70" t="s">
        <v>5492</v>
      </c>
      <c r="N98" s="64" t="s">
        <v>5535</v>
      </c>
      <c r="O98" s="64">
        <v>10</v>
      </c>
      <c r="P98" s="64" t="s">
        <v>5536</v>
      </c>
      <c r="Q98" s="67" t="s">
        <v>5495</v>
      </c>
    </row>
    <row r="99" spans="1:17" ht="15" customHeight="1">
      <c r="A99" s="61" t="s">
        <v>581</v>
      </c>
      <c r="B99" s="70">
        <v>7</v>
      </c>
      <c r="C99" s="70">
        <v>29</v>
      </c>
      <c r="D99" s="70">
        <v>150</v>
      </c>
      <c r="E99" s="64"/>
      <c r="F99" s="64" t="s">
        <v>582</v>
      </c>
      <c r="G99" s="64" t="s">
        <v>5544</v>
      </c>
      <c r="H99" s="64" t="s">
        <v>5488</v>
      </c>
      <c r="I99" s="64" t="s">
        <v>662</v>
      </c>
      <c r="J99" s="70" t="s">
        <v>730</v>
      </c>
      <c r="K99" s="70" t="s">
        <v>5522</v>
      </c>
      <c r="L99" s="70">
        <v>1</v>
      </c>
      <c r="M99" s="70" t="s">
        <v>5492</v>
      </c>
      <c r="N99" s="64" t="s">
        <v>5535</v>
      </c>
      <c r="O99" s="64">
        <v>10</v>
      </c>
      <c r="P99" s="64" t="s">
        <v>5536</v>
      </c>
      <c r="Q99" s="67" t="s">
        <v>5495</v>
      </c>
    </row>
    <row r="100" spans="1:17" ht="15" customHeight="1">
      <c r="A100" s="61" t="s">
        <v>561</v>
      </c>
      <c r="B100" s="70">
        <v>1</v>
      </c>
      <c r="C100" s="70">
        <v>4</v>
      </c>
      <c r="D100" s="70">
        <v>20</v>
      </c>
      <c r="E100" s="64"/>
      <c r="F100" s="64" t="s">
        <v>567</v>
      </c>
      <c r="G100" s="64" t="s">
        <v>5545</v>
      </c>
      <c r="H100" s="64" t="s">
        <v>5476</v>
      </c>
      <c r="I100" s="64" t="s">
        <v>5504</v>
      </c>
      <c r="J100" s="70" t="s">
        <v>5489</v>
      </c>
      <c r="K100" s="70" t="s">
        <v>5522</v>
      </c>
      <c r="L100" s="70">
        <v>1</v>
      </c>
      <c r="M100" s="70" t="s">
        <v>5492</v>
      </c>
      <c r="N100" s="64" t="s">
        <v>5535</v>
      </c>
      <c r="O100" s="64">
        <v>20</v>
      </c>
      <c r="P100" s="64" t="s">
        <v>5546</v>
      </c>
      <c r="Q100" s="67" t="s">
        <v>5495</v>
      </c>
    </row>
    <row r="101" spans="1:17" ht="15" customHeight="1">
      <c r="A101" s="61" t="s">
        <v>561</v>
      </c>
      <c r="B101" s="70">
        <v>2</v>
      </c>
      <c r="C101" s="70">
        <v>7</v>
      </c>
      <c r="D101" s="70">
        <v>30</v>
      </c>
      <c r="E101" s="64"/>
      <c r="F101" s="64" t="s">
        <v>567</v>
      </c>
      <c r="G101" s="64" t="s">
        <v>5545</v>
      </c>
      <c r="H101" s="64" t="s">
        <v>5476</v>
      </c>
      <c r="I101" s="64" t="s">
        <v>5504</v>
      </c>
      <c r="J101" s="70" t="s">
        <v>5489</v>
      </c>
      <c r="K101" s="70" t="s">
        <v>5522</v>
      </c>
      <c r="L101" s="70">
        <v>1</v>
      </c>
      <c r="M101" s="70" t="s">
        <v>5492</v>
      </c>
      <c r="N101" s="64" t="s">
        <v>5535</v>
      </c>
      <c r="O101" s="64">
        <v>20</v>
      </c>
      <c r="P101" s="64" t="s">
        <v>5546</v>
      </c>
      <c r="Q101" s="67" t="s">
        <v>5495</v>
      </c>
    </row>
    <row r="102" spans="1:17" ht="15" customHeight="1">
      <c r="A102" s="61" t="s">
        <v>561</v>
      </c>
      <c r="B102" s="70">
        <v>3</v>
      </c>
      <c r="C102" s="70">
        <v>10</v>
      </c>
      <c r="D102" s="70">
        <v>40</v>
      </c>
      <c r="E102" s="64"/>
      <c r="F102" s="64" t="s">
        <v>567</v>
      </c>
      <c r="G102" s="64" t="s">
        <v>5545</v>
      </c>
      <c r="H102" s="64" t="s">
        <v>5476</v>
      </c>
      <c r="I102" s="64" t="s">
        <v>5504</v>
      </c>
      <c r="J102" s="70" t="s">
        <v>5489</v>
      </c>
      <c r="K102" s="70" t="s">
        <v>5522</v>
      </c>
      <c r="L102" s="70">
        <v>1</v>
      </c>
      <c r="M102" s="70" t="s">
        <v>5492</v>
      </c>
      <c r="N102" s="64" t="s">
        <v>5535</v>
      </c>
      <c r="O102" s="64">
        <v>20</v>
      </c>
      <c r="P102" s="64" t="s">
        <v>5546</v>
      </c>
      <c r="Q102" s="67" t="s">
        <v>5495</v>
      </c>
    </row>
    <row r="103" spans="1:17" ht="15" customHeight="1">
      <c r="A103" s="61" t="s">
        <v>561</v>
      </c>
      <c r="B103" s="70">
        <v>4</v>
      </c>
      <c r="C103" s="70">
        <v>14</v>
      </c>
      <c r="D103" s="70">
        <v>55</v>
      </c>
      <c r="E103" s="64"/>
      <c r="F103" s="64" t="s">
        <v>567</v>
      </c>
      <c r="G103" s="64" t="s">
        <v>5545</v>
      </c>
      <c r="H103" s="64" t="s">
        <v>5476</v>
      </c>
      <c r="I103" s="64" t="s">
        <v>5504</v>
      </c>
      <c r="J103" s="70" t="s">
        <v>5489</v>
      </c>
      <c r="K103" s="70" t="s">
        <v>5522</v>
      </c>
      <c r="L103" s="70">
        <v>1</v>
      </c>
      <c r="M103" s="70" t="s">
        <v>5492</v>
      </c>
      <c r="N103" s="64" t="s">
        <v>5535</v>
      </c>
      <c r="O103" s="64">
        <v>20</v>
      </c>
      <c r="P103" s="64" t="s">
        <v>5546</v>
      </c>
      <c r="Q103" s="67" t="s">
        <v>5495</v>
      </c>
    </row>
    <row r="104" spans="1:17" ht="15" customHeight="1">
      <c r="A104" s="61" t="s">
        <v>561</v>
      </c>
      <c r="B104" s="70">
        <v>5</v>
      </c>
      <c r="C104" s="70">
        <v>18</v>
      </c>
      <c r="D104" s="70">
        <v>75</v>
      </c>
      <c r="E104" s="64"/>
      <c r="F104" s="64" t="s">
        <v>567</v>
      </c>
      <c r="G104" s="64" t="s">
        <v>5545</v>
      </c>
      <c r="H104" s="64" t="s">
        <v>5476</v>
      </c>
      <c r="I104" s="64" t="s">
        <v>5504</v>
      </c>
      <c r="J104" s="70" t="s">
        <v>5489</v>
      </c>
      <c r="K104" s="70" t="s">
        <v>5522</v>
      </c>
      <c r="L104" s="70">
        <v>1</v>
      </c>
      <c r="M104" s="70" t="s">
        <v>5492</v>
      </c>
      <c r="N104" s="64" t="s">
        <v>5535</v>
      </c>
      <c r="O104" s="64">
        <v>20</v>
      </c>
      <c r="P104" s="64" t="s">
        <v>5546</v>
      </c>
      <c r="Q104" s="67" t="s">
        <v>5495</v>
      </c>
    </row>
    <row r="105" spans="1:17" ht="15" customHeight="1">
      <c r="A105" s="61" t="s">
        <v>561</v>
      </c>
      <c r="B105" s="70">
        <v>6</v>
      </c>
      <c r="C105" s="70">
        <v>22</v>
      </c>
      <c r="D105" s="70">
        <v>95</v>
      </c>
      <c r="E105" s="64"/>
      <c r="F105" s="64" t="s">
        <v>567</v>
      </c>
      <c r="G105" s="64" t="s">
        <v>5545</v>
      </c>
      <c r="H105" s="64" t="s">
        <v>5476</v>
      </c>
      <c r="I105" s="64" t="s">
        <v>5504</v>
      </c>
      <c r="J105" s="70" t="s">
        <v>5489</v>
      </c>
      <c r="K105" s="70" t="s">
        <v>5522</v>
      </c>
      <c r="L105" s="70">
        <v>1</v>
      </c>
      <c r="M105" s="70" t="s">
        <v>5492</v>
      </c>
      <c r="N105" s="64" t="s">
        <v>5535</v>
      </c>
      <c r="O105" s="64">
        <v>20</v>
      </c>
      <c r="P105" s="64" t="s">
        <v>5546</v>
      </c>
      <c r="Q105" s="67" t="s">
        <v>5495</v>
      </c>
    </row>
    <row r="106" spans="1:17" ht="15" customHeight="1">
      <c r="A106" s="62" t="s">
        <v>561</v>
      </c>
      <c r="B106" s="71">
        <v>7</v>
      </c>
      <c r="C106" s="71">
        <v>29</v>
      </c>
      <c r="D106" s="71">
        <v>150</v>
      </c>
      <c r="E106" s="65"/>
      <c r="F106" s="65" t="s">
        <v>567</v>
      </c>
      <c r="G106" s="65" t="s">
        <v>5545</v>
      </c>
      <c r="H106" s="65" t="s">
        <v>5476</v>
      </c>
      <c r="I106" s="65" t="s">
        <v>5504</v>
      </c>
      <c r="J106" s="71" t="s">
        <v>5489</v>
      </c>
      <c r="K106" s="71" t="s">
        <v>5522</v>
      </c>
      <c r="L106" s="71">
        <v>1</v>
      </c>
      <c r="M106" s="71" t="s">
        <v>5492</v>
      </c>
      <c r="N106" s="65" t="s">
        <v>5535</v>
      </c>
      <c r="O106" s="65">
        <v>20</v>
      </c>
      <c r="P106" s="65" t="s">
        <v>5546</v>
      </c>
      <c r="Q106" s="68" t="s">
        <v>5495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5547</v>
      </c>
      <c r="B1" t="s">
        <v>5548</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5474</v>
      </c>
      <c r="C1" t="s">
        <v>5549</v>
      </c>
      <c r="D1" t="s">
        <v>5550</v>
      </c>
      <c r="E1" t="s">
        <v>5551</v>
      </c>
      <c r="F1" t="s">
        <v>5552</v>
      </c>
      <c r="H1" t="s">
        <v>4319</v>
      </c>
      <c r="I1" t="s">
        <v>5553</v>
      </c>
    </row>
    <row r="2" spans="1:9">
      <c r="A2" t="s">
        <v>5554</v>
      </c>
      <c r="B2" t="s">
        <v>5555</v>
      </c>
      <c r="C2">
        <v>1</v>
      </c>
      <c r="D2" t="s">
        <v>5556</v>
      </c>
      <c r="E2" t="s">
        <v>5557</v>
      </c>
      <c r="F2" t="s">
        <v>5558</v>
      </c>
      <c r="G2" t="s">
        <v>5559</v>
      </c>
      <c r="H2" t="s">
        <v>4747</v>
      </c>
      <c r="I2" t="s">
        <v>5560</v>
      </c>
    </row>
    <row r="3" spans="1:9">
      <c r="A3" t="s">
        <v>5554</v>
      </c>
      <c r="B3" t="s">
        <v>5561</v>
      </c>
      <c r="C3">
        <v>1</v>
      </c>
      <c r="D3" t="s">
        <v>5556</v>
      </c>
      <c r="E3" t="s">
        <v>5557</v>
      </c>
      <c r="F3" t="s">
        <v>5558</v>
      </c>
      <c r="G3" t="s">
        <v>5559</v>
      </c>
      <c r="H3" t="s">
        <v>4747</v>
      </c>
      <c r="I3" t="s">
        <v>5562</v>
      </c>
    </row>
    <row r="4" spans="1:9">
      <c r="A4" t="s">
        <v>5554</v>
      </c>
      <c r="B4" t="s">
        <v>5563</v>
      </c>
      <c r="C4">
        <v>1</v>
      </c>
      <c r="D4" t="s">
        <v>5556</v>
      </c>
      <c r="E4" t="s">
        <v>5557</v>
      </c>
      <c r="F4">
        <v>470</v>
      </c>
      <c r="G4" t="s">
        <v>5564</v>
      </c>
      <c r="H4" t="s">
        <v>4747</v>
      </c>
      <c r="I4" t="s">
        <v>5565</v>
      </c>
    </row>
    <row r="5" spans="1:9">
      <c r="A5" t="s">
        <v>5554</v>
      </c>
      <c r="B5" t="s">
        <v>5566</v>
      </c>
      <c r="C5">
        <v>1</v>
      </c>
      <c r="D5" t="s">
        <v>5556</v>
      </c>
      <c r="E5" t="s">
        <v>5557</v>
      </c>
      <c r="F5">
        <v>282</v>
      </c>
      <c r="G5" t="s">
        <v>5564</v>
      </c>
      <c r="H5" t="s">
        <v>4747</v>
      </c>
      <c r="I5" t="s">
        <v>5565</v>
      </c>
    </row>
    <row r="6" spans="1:9">
      <c r="A6" t="s">
        <v>5554</v>
      </c>
      <c r="B6" t="s">
        <v>5567</v>
      </c>
      <c r="C6">
        <v>1</v>
      </c>
      <c r="D6" t="s">
        <v>5556</v>
      </c>
      <c r="E6" t="s">
        <v>5557</v>
      </c>
      <c r="F6">
        <v>750</v>
      </c>
      <c r="G6" t="s">
        <v>5564</v>
      </c>
      <c r="H6" t="s">
        <v>4747</v>
      </c>
      <c r="I6" t="s">
        <v>5565</v>
      </c>
    </row>
    <row r="7" spans="1:9">
      <c r="A7" t="s">
        <v>5554</v>
      </c>
      <c r="B7" t="s">
        <v>5568</v>
      </c>
      <c r="C7">
        <v>1</v>
      </c>
      <c r="D7" t="s">
        <v>5556</v>
      </c>
      <c r="E7" t="s">
        <v>5557</v>
      </c>
      <c r="F7">
        <v>2250</v>
      </c>
      <c r="G7" t="s">
        <v>5564</v>
      </c>
      <c r="H7" t="s">
        <v>4747</v>
      </c>
      <c r="I7" t="s">
        <v>5565</v>
      </c>
    </row>
    <row r="8" spans="1:9">
      <c r="A8" t="s">
        <v>5554</v>
      </c>
      <c r="B8" t="s">
        <v>5569</v>
      </c>
      <c r="C8">
        <v>1</v>
      </c>
      <c r="D8" t="s">
        <v>5556</v>
      </c>
      <c r="E8" t="s">
        <v>5557</v>
      </c>
      <c r="F8">
        <v>3380</v>
      </c>
      <c r="G8" t="s">
        <v>5564</v>
      </c>
      <c r="H8" t="s">
        <v>4747</v>
      </c>
      <c r="I8" t="s">
        <v>5565</v>
      </c>
    </row>
    <row r="9" spans="1:9">
      <c r="A9" t="s">
        <v>5554</v>
      </c>
      <c r="B9" t="s">
        <v>5570</v>
      </c>
      <c r="C9">
        <v>1</v>
      </c>
      <c r="D9" t="s">
        <v>5556</v>
      </c>
      <c r="E9" t="s">
        <v>5557</v>
      </c>
      <c r="F9" t="s">
        <v>5558</v>
      </c>
      <c r="G9" t="s">
        <v>5559</v>
      </c>
      <c r="H9" t="s">
        <v>4747</v>
      </c>
      <c r="I9" t="s">
        <v>5571</v>
      </c>
    </row>
    <row r="10" spans="1:9">
      <c r="A10" t="s">
        <v>5554</v>
      </c>
      <c r="B10" t="s">
        <v>5572</v>
      </c>
      <c r="C10">
        <v>1</v>
      </c>
      <c r="D10" t="s">
        <v>5556</v>
      </c>
      <c r="E10" t="s">
        <v>5557</v>
      </c>
      <c r="F10">
        <v>250</v>
      </c>
      <c r="G10" t="s">
        <v>5573</v>
      </c>
      <c r="H10" t="s">
        <v>4747</v>
      </c>
      <c r="I10" t="s">
        <v>5574</v>
      </c>
    </row>
    <row r="11" spans="1:9">
      <c r="A11" t="s">
        <v>5554</v>
      </c>
      <c r="B11" t="s">
        <v>5575</v>
      </c>
      <c r="C11">
        <v>1</v>
      </c>
      <c r="D11" t="s">
        <v>5556</v>
      </c>
      <c r="E11" t="s">
        <v>5557</v>
      </c>
      <c r="F11">
        <v>150</v>
      </c>
      <c r="G11" t="s">
        <v>5573</v>
      </c>
      <c r="H11" t="s">
        <v>4747</v>
      </c>
      <c r="I11" t="s">
        <v>5574</v>
      </c>
    </row>
    <row r="12" spans="1:9">
      <c r="A12" t="s">
        <v>5554</v>
      </c>
      <c r="B12" t="s">
        <v>5576</v>
      </c>
      <c r="C12">
        <v>1</v>
      </c>
      <c r="D12" t="s">
        <v>5556</v>
      </c>
      <c r="E12" t="s">
        <v>5557</v>
      </c>
      <c r="F12">
        <v>400</v>
      </c>
      <c r="G12" t="s">
        <v>5573</v>
      </c>
      <c r="H12" t="s">
        <v>4747</v>
      </c>
      <c r="I12" t="s">
        <v>5574</v>
      </c>
    </row>
    <row r="13" spans="1:9">
      <c r="A13" t="s">
        <v>5554</v>
      </c>
      <c r="B13" t="s">
        <v>5577</v>
      </c>
      <c r="C13">
        <v>1</v>
      </c>
      <c r="D13" t="s">
        <v>5556</v>
      </c>
      <c r="E13" t="s">
        <v>5557</v>
      </c>
      <c r="F13">
        <v>1200</v>
      </c>
      <c r="G13" t="s">
        <v>5573</v>
      </c>
      <c r="H13" t="s">
        <v>4747</v>
      </c>
      <c r="I13" t="s">
        <v>5574</v>
      </c>
    </row>
    <row r="14" spans="1:9">
      <c r="A14" t="s">
        <v>5554</v>
      </c>
      <c r="B14" t="s">
        <v>5578</v>
      </c>
      <c r="C14">
        <v>1</v>
      </c>
      <c r="D14" t="s">
        <v>5556</v>
      </c>
      <c r="E14" t="s">
        <v>5557</v>
      </c>
      <c r="F14">
        <v>1800</v>
      </c>
      <c r="G14" t="s">
        <v>5573</v>
      </c>
      <c r="H14" t="s">
        <v>4747</v>
      </c>
      <c r="I14" t="s">
        <v>5574</v>
      </c>
    </row>
    <row r="15" spans="1:9">
      <c r="A15" t="s">
        <v>5554</v>
      </c>
      <c r="B15" t="s">
        <v>5579</v>
      </c>
      <c r="C15">
        <v>1</v>
      </c>
      <c r="D15" t="s">
        <v>5556</v>
      </c>
      <c r="E15" t="s">
        <v>5557</v>
      </c>
      <c r="F15">
        <v>190</v>
      </c>
      <c r="G15" t="s">
        <v>5580</v>
      </c>
      <c r="H15" t="s">
        <v>4747</v>
      </c>
      <c r="I15" t="s">
        <v>5581</v>
      </c>
    </row>
    <row r="16" spans="1:9">
      <c r="A16" t="s">
        <v>5554</v>
      </c>
      <c r="B16" t="s">
        <v>5582</v>
      </c>
      <c r="C16">
        <v>1</v>
      </c>
      <c r="D16" t="s">
        <v>5556</v>
      </c>
      <c r="E16" t="s">
        <v>5557</v>
      </c>
      <c r="F16">
        <v>115</v>
      </c>
      <c r="G16" t="s">
        <v>5580</v>
      </c>
      <c r="H16" t="s">
        <v>4747</v>
      </c>
      <c r="I16" t="s">
        <v>5581</v>
      </c>
    </row>
    <row r="17" spans="1:9">
      <c r="A17" t="s">
        <v>5554</v>
      </c>
      <c r="B17" t="s">
        <v>5583</v>
      </c>
      <c r="C17">
        <v>1</v>
      </c>
      <c r="D17" t="s">
        <v>5556</v>
      </c>
      <c r="E17" t="s">
        <v>5557</v>
      </c>
      <c r="F17">
        <v>1350</v>
      </c>
      <c r="G17" t="s">
        <v>5580</v>
      </c>
      <c r="H17" t="s">
        <v>4747</v>
      </c>
      <c r="I17" t="s">
        <v>5581</v>
      </c>
    </row>
    <row r="18" spans="1:9">
      <c r="A18" t="s">
        <v>5554</v>
      </c>
      <c r="B18" t="s">
        <v>5584</v>
      </c>
      <c r="C18">
        <v>1</v>
      </c>
      <c r="D18" t="s">
        <v>5556</v>
      </c>
      <c r="E18" t="s">
        <v>5557</v>
      </c>
      <c r="F18">
        <v>300</v>
      </c>
      <c r="G18" t="s">
        <v>5580</v>
      </c>
      <c r="H18" t="s">
        <v>4747</v>
      </c>
      <c r="I18" t="s">
        <v>5581</v>
      </c>
    </row>
    <row r="19" spans="1:9">
      <c r="A19" t="s">
        <v>5554</v>
      </c>
      <c r="B19" t="s">
        <v>5585</v>
      </c>
      <c r="C19">
        <v>1</v>
      </c>
      <c r="D19" t="s">
        <v>5556</v>
      </c>
      <c r="E19" t="s">
        <v>5557</v>
      </c>
      <c r="F19">
        <v>900</v>
      </c>
      <c r="G19" t="s">
        <v>5580</v>
      </c>
      <c r="H19" t="s">
        <v>4747</v>
      </c>
      <c r="I19" t="s">
        <v>5581</v>
      </c>
    </row>
    <row r="20" spans="1:9">
      <c r="A20" t="s">
        <v>5554</v>
      </c>
      <c r="B20" t="s">
        <v>5586</v>
      </c>
      <c r="C20">
        <v>1</v>
      </c>
      <c r="D20" t="s">
        <v>5556</v>
      </c>
      <c r="E20" t="s">
        <v>5557</v>
      </c>
      <c r="F20">
        <v>282</v>
      </c>
      <c r="G20" t="s">
        <v>5587</v>
      </c>
      <c r="H20" t="s">
        <v>4747</v>
      </c>
      <c r="I20" t="s">
        <v>5588</v>
      </c>
    </row>
    <row r="21" spans="1:9">
      <c r="A21" t="s">
        <v>5554</v>
      </c>
      <c r="B21" t="s">
        <v>5589</v>
      </c>
      <c r="C21">
        <v>1</v>
      </c>
      <c r="D21" t="s">
        <v>5556</v>
      </c>
      <c r="E21" t="s">
        <v>5557</v>
      </c>
      <c r="F21">
        <v>169</v>
      </c>
      <c r="G21" t="s">
        <v>5587</v>
      </c>
      <c r="H21" t="s">
        <v>4747</v>
      </c>
      <c r="I21" t="s">
        <v>5588</v>
      </c>
    </row>
    <row r="22" spans="1:9">
      <c r="A22" t="s">
        <v>5554</v>
      </c>
      <c r="B22" t="s">
        <v>5590</v>
      </c>
      <c r="C22">
        <v>1</v>
      </c>
      <c r="D22" t="s">
        <v>5556</v>
      </c>
      <c r="E22" t="s">
        <v>5557</v>
      </c>
      <c r="F22">
        <v>2040</v>
      </c>
      <c r="G22" t="s">
        <v>5587</v>
      </c>
      <c r="H22" t="s">
        <v>4747</v>
      </c>
      <c r="I22" t="s">
        <v>5588</v>
      </c>
    </row>
    <row r="23" spans="1:9">
      <c r="A23" t="s">
        <v>5554</v>
      </c>
      <c r="B23" t="s">
        <v>5591</v>
      </c>
      <c r="C23">
        <v>1</v>
      </c>
      <c r="D23" t="s">
        <v>5556</v>
      </c>
      <c r="E23" t="s">
        <v>5557</v>
      </c>
      <c r="F23">
        <v>450</v>
      </c>
      <c r="G23" t="s">
        <v>5587</v>
      </c>
      <c r="H23" t="s">
        <v>4747</v>
      </c>
      <c r="I23" t="s">
        <v>5588</v>
      </c>
    </row>
    <row r="24" spans="1:9">
      <c r="A24" t="s">
        <v>5554</v>
      </c>
      <c r="B24" t="s">
        <v>5592</v>
      </c>
      <c r="C24">
        <v>1</v>
      </c>
      <c r="D24" t="s">
        <v>5556</v>
      </c>
      <c r="E24" t="s">
        <v>5557</v>
      </c>
      <c r="F24">
        <v>1350</v>
      </c>
      <c r="G24" t="s">
        <v>5587</v>
      </c>
      <c r="H24" t="s">
        <v>4747</v>
      </c>
      <c r="I24" t="s">
        <v>5588</v>
      </c>
    </row>
    <row r="25" spans="1:9">
      <c r="A25" t="s">
        <v>5554</v>
      </c>
      <c r="B25" t="s">
        <v>5593</v>
      </c>
      <c r="C25">
        <v>1</v>
      </c>
      <c r="D25" t="s">
        <v>5556</v>
      </c>
      <c r="E25" t="s">
        <v>5557</v>
      </c>
      <c r="F25">
        <v>938</v>
      </c>
      <c r="G25" t="s">
        <v>5594</v>
      </c>
      <c r="H25" t="s">
        <v>4747</v>
      </c>
      <c r="I25" t="s">
        <v>5595</v>
      </c>
    </row>
    <row r="26" spans="1:9">
      <c r="A26" t="s">
        <v>5554</v>
      </c>
      <c r="B26" t="s">
        <v>5596</v>
      </c>
      <c r="C26">
        <v>1</v>
      </c>
      <c r="D26" t="s">
        <v>5556</v>
      </c>
      <c r="E26" t="s">
        <v>5557</v>
      </c>
      <c r="F26">
        <v>563</v>
      </c>
      <c r="G26" t="s">
        <v>5594</v>
      </c>
      <c r="H26" t="s">
        <v>4747</v>
      </c>
      <c r="I26" t="s">
        <v>5595</v>
      </c>
    </row>
    <row r="27" spans="1:9">
      <c r="A27" t="s">
        <v>5554</v>
      </c>
      <c r="B27" t="s">
        <v>5597</v>
      </c>
      <c r="C27">
        <v>1</v>
      </c>
      <c r="D27" t="s">
        <v>5556</v>
      </c>
      <c r="E27" t="s">
        <v>5557</v>
      </c>
      <c r="F27">
        <v>1500</v>
      </c>
      <c r="G27" t="s">
        <v>5594</v>
      </c>
      <c r="H27" t="s">
        <v>4747</v>
      </c>
      <c r="I27" t="s">
        <v>5595</v>
      </c>
    </row>
    <row r="28" spans="1:9">
      <c r="A28" t="s">
        <v>5554</v>
      </c>
      <c r="B28" t="s">
        <v>5598</v>
      </c>
      <c r="C28">
        <v>1</v>
      </c>
      <c r="D28" t="s">
        <v>5556</v>
      </c>
      <c r="E28" t="s">
        <v>5557</v>
      </c>
      <c r="F28">
        <v>4500</v>
      </c>
      <c r="G28" t="s">
        <v>5594</v>
      </c>
      <c r="H28" t="s">
        <v>4747</v>
      </c>
      <c r="I28" t="s">
        <v>5595</v>
      </c>
    </row>
    <row r="29" spans="1:9">
      <c r="A29" t="s">
        <v>5554</v>
      </c>
      <c r="B29" t="s">
        <v>5599</v>
      </c>
      <c r="C29">
        <v>1</v>
      </c>
      <c r="D29" t="s">
        <v>5556</v>
      </c>
      <c r="E29" t="s">
        <v>5557</v>
      </c>
      <c r="F29">
        <v>6750</v>
      </c>
      <c r="G29" t="s">
        <v>5594</v>
      </c>
      <c r="H29" t="s">
        <v>4747</v>
      </c>
      <c r="I29" t="s">
        <v>5595</v>
      </c>
    </row>
    <row r="30" spans="1:9">
      <c r="A30" t="s">
        <v>5554</v>
      </c>
      <c r="B30" t="s">
        <v>5600</v>
      </c>
      <c r="C30">
        <v>1</v>
      </c>
      <c r="D30" t="s">
        <v>5556</v>
      </c>
      <c r="E30" t="s">
        <v>5557</v>
      </c>
      <c r="F30">
        <v>250</v>
      </c>
      <c r="G30" t="s">
        <v>1174</v>
      </c>
      <c r="H30" t="s">
        <v>4747</v>
      </c>
      <c r="I30" t="s">
        <v>5595</v>
      </c>
    </row>
    <row r="31" spans="1:9">
      <c r="A31" t="s">
        <v>5554</v>
      </c>
      <c r="B31" t="s">
        <v>5601</v>
      </c>
      <c r="C31">
        <v>1</v>
      </c>
      <c r="D31" t="s">
        <v>5556</v>
      </c>
      <c r="E31" t="s">
        <v>5557</v>
      </c>
      <c r="F31">
        <v>150</v>
      </c>
      <c r="G31" t="s">
        <v>1174</v>
      </c>
      <c r="H31" t="s">
        <v>4747</v>
      </c>
      <c r="I31" t="s">
        <v>5595</v>
      </c>
    </row>
    <row r="32" spans="1:9">
      <c r="A32" t="s">
        <v>5554</v>
      </c>
      <c r="B32" t="s">
        <v>5602</v>
      </c>
      <c r="C32">
        <v>1</v>
      </c>
      <c r="D32" t="s">
        <v>5556</v>
      </c>
      <c r="E32" t="s">
        <v>5557</v>
      </c>
      <c r="F32">
        <v>1800</v>
      </c>
      <c r="G32" t="s">
        <v>1174</v>
      </c>
      <c r="H32" t="s">
        <v>4747</v>
      </c>
      <c r="I32" t="s">
        <v>5595</v>
      </c>
    </row>
    <row r="33" spans="1:9">
      <c r="A33" t="s">
        <v>5554</v>
      </c>
      <c r="B33" t="s">
        <v>5603</v>
      </c>
      <c r="C33">
        <v>1</v>
      </c>
      <c r="D33" t="s">
        <v>5556</v>
      </c>
      <c r="E33" t="s">
        <v>5557</v>
      </c>
      <c r="F33">
        <v>400</v>
      </c>
      <c r="G33" t="s">
        <v>1174</v>
      </c>
      <c r="H33" t="s">
        <v>4747</v>
      </c>
      <c r="I33" t="s">
        <v>5595</v>
      </c>
    </row>
    <row r="34" spans="1:9">
      <c r="A34" t="s">
        <v>5554</v>
      </c>
      <c r="B34" t="s">
        <v>5604</v>
      </c>
      <c r="C34">
        <v>1</v>
      </c>
      <c r="D34" t="s">
        <v>5556</v>
      </c>
      <c r="E34" t="s">
        <v>5557</v>
      </c>
      <c r="F34">
        <v>1200</v>
      </c>
      <c r="G34" t="s">
        <v>1174</v>
      </c>
      <c r="H34" t="s">
        <v>4747</v>
      </c>
      <c r="I34" t="s">
        <v>5595</v>
      </c>
    </row>
    <row r="35" spans="1:9">
      <c r="A35" t="s">
        <v>5554</v>
      </c>
      <c r="B35" t="s">
        <v>5605</v>
      </c>
      <c r="C35">
        <v>1</v>
      </c>
      <c r="D35" t="s">
        <v>5556</v>
      </c>
      <c r="E35" t="s">
        <v>5557</v>
      </c>
      <c r="F35">
        <v>1000</v>
      </c>
      <c r="G35" t="s">
        <v>5606</v>
      </c>
      <c r="H35" t="s">
        <v>4747</v>
      </c>
      <c r="I35" t="s">
        <v>5595</v>
      </c>
    </row>
    <row r="36" spans="1:9">
      <c r="A36" t="s">
        <v>5554</v>
      </c>
      <c r="B36" t="s">
        <v>5607</v>
      </c>
      <c r="C36">
        <v>1</v>
      </c>
      <c r="D36" t="s">
        <v>5556</v>
      </c>
      <c r="E36" t="s">
        <v>5557</v>
      </c>
      <c r="F36">
        <v>3000</v>
      </c>
      <c r="G36" t="s">
        <v>5606</v>
      </c>
      <c r="H36" t="s">
        <v>4747</v>
      </c>
      <c r="I36" t="s">
        <v>5595</v>
      </c>
    </row>
    <row r="37" spans="1:9">
      <c r="A37" t="s">
        <v>5554</v>
      </c>
      <c r="B37" t="s">
        <v>5608</v>
      </c>
      <c r="C37">
        <v>1</v>
      </c>
      <c r="D37" t="s">
        <v>5556</v>
      </c>
      <c r="E37" t="s">
        <v>5557</v>
      </c>
      <c r="F37">
        <v>4500</v>
      </c>
      <c r="G37" t="s">
        <v>5606</v>
      </c>
      <c r="H37" t="s">
        <v>4747</v>
      </c>
      <c r="I37" t="s">
        <v>5595</v>
      </c>
    </row>
    <row r="38" spans="1:9">
      <c r="A38" t="s">
        <v>5554</v>
      </c>
      <c r="B38" t="s">
        <v>5609</v>
      </c>
      <c r="C38">
        <v>1</v>
      </c>
      <c r="D38" t="s">
        <v>5556</v>
      </c>
      <c r="E38" t="s">
        <v>5557</v>
      </c>
      <c r="F38" t="s">
        <v>5558</v>
      </c>
      <c r="G38" t="s">
        <v>5559</v>
      </c>
      <c r="H38" t="s">
        <v>4747</v>
      </c>
      <c r="I38" t="s">
        <v>5610</v>
      </c>
    </row>
    <row r="39" spans="1:9">
      <c r="A39" t="s">
        <v>5554</v>
      </c>
      <c r="B39" t="s">
        <v>5611</v>
      </c>
      <c r="C39">
        <v>1</v>
      </c>
      <c r="D39" t="s">
        <v>5556</v>
      </c>
      <c r="E39" t="s">
        <v>5557</v>
      </c>
      <c r="F39">
        <v>532</v>
      </c>
      <c r="G39" t="s">
        <v>5612</v>
      </c>
      <c r="H39" t="s">
        <v>4747</v>
      </c>
      <c r="I39" t="s">
        <v>5613</v>
      </c>
    </row>
    <row r="40" spans="1:9">
      <c r="A40" t="s">
        <v>5554</v>
      </c>
      <c r="B40" t="s">
        <v>5614</v>
      </c>
      <c r="C40">
        <v>1</v>
      </c>
      <c r="D40" t="s">
        <v>5556</v>
      </c>
      <c r="E40" t="s">
        <v>5557</v>
      </c>
      <c r="F40">
        <v>319</v>
      </c>
      <c r="G40" t="s">
        <v>5612</v>
      </c>
      <c r="H40" t="s">
        <v>4747</v>
      </c>
      <c r="I40" t="s">
        <v>5613</v>
      </c>
    </row>
    <row r="41" spans="1:9">
      <c r="A41" t="s">
        <v>5554</v>
      </c>
      <c r="B41" t="s">
        <v>5615</v>
      </c>
      <c r="C41">
        <v>1</v>
      </c>
      <c r="D41" t="s">
        <v>5556</v>
      </c>
      <c r="E41" t="s">
        <v>5557</v>
      </c>
      <c r="F41">
        <v>850</v>
      </c>
      <c r="G41" t="s">
        <v>5612</v>
      </c>
      <c r="H41" t="s">
        <v>4747</v>
      </c>
      <c r="I41" t="s">
        <v>5613</v>
      </c>
    </row>
    <row r="42" spans="1:9">
      <c r="A42" t="s">
        <v>5554</v>
      </c>
      <c r="B42" t="s">
        <v>5616</v>
      </c>
      <c r="C42">
        <v>1</v>
      </c>
      <c r="D42" t="s">
        <v>5556</v>
      </c>
      <c r="E42" t="s">
        <v>5557</v>
      </c>
      <c r="F42">
        <v>2550</v>
      </c>
      <c r="G42" t="s">
        <v>5612</v>
      </c>
      <c r="H42" t="s">
        <v>4747</v>
      </c>
      <c r="I42" t="s">
        <v>5613</v>
      </c>
    </row>
    <row r="43" spans="1:9">
      <c r="A43" t="s">
        <v>5554</v>
      </c>
      <c r="B43" t="s">
        <v>5617</v>
      </c>
      <c r="C43">
        <v>1</v>
      </c>
      <c r="D43" t="s">
        <v>5556</v>
      </c>
      <c r="E43" t="s">
        <v>5557</v>
      </c>
      <c r="F43">
        <v>3850</v>
      </c>
      <c r="G43" t="s">
        <v>5612</v>
      </c>
      <c r="H43" t="s">
        <v>4747</v>
      </c>
      <c r="I43" t="s">
        <v>5613</v>
      </c>
    </row>
    <row r="44" spans="1:9">
      <c r="A44" t="s">
        <v>5554</v>
      </c>
      <c r="B44" t="s">
        <v>5618</v>
      </c>
      <c r="C44">
        <v>1</v>
      </c>
      <c r="D44" t="s">
        <v>5556</v>
      </c>
      <c r="E44" t="s">
        <v>5557</v>
      </c>
      <c r="F44">
        <v>375</v>
      </c>
      <c r="G44" t="s">
        <v>5619</v>
      </c>
      <c r="H44" t="s">
        <v>4747</v>
      </c>
      <c r="I44" t="s">
        <v>5620</v>
      </c>
    </row>
    <row r="45" spans="1:9">
      <c r="A45" t="s">
        <v>5554</v>
      </c>
      <c r="B45" t="s">
        <v>5621</v>
      </c>
      <c r="C45">
        <v>1</v>
      </c>
      <c r="D45" t="s">
        <v>5556</v>
      </c>
      <c r="E45" t="s">
        <v>5557</v>
      </c>
      <c r="F45">
        <v>225</v>
      </c>
      <c r="G45" t="s">
        <v>5619</v>
      </c>
      <c r="H45" t="s">
        <v>4747</v>
      </c>
      <c r="I45" t="s">
        <v>5620</v>
      </c>
    </row>
    <row r="46" spans="1:9">
      <c r="A46" t="s">
        <v>5554</v>
      </c>
      <c r="B46" t="s">
        <v>5622</v>
      </c>
      <c r="C46">
        <v>1</v>
      </c>
      <c r="D46" t="s">
        <v>5556</v>
      </c>
      <c r="E46" t="s">
        <v>5557</v>
      </c>
      <c r="F46">
        <v>2700</v>
      </c>
      <c r="G46" t="s">
        <v>5619</v>
      </c>
      <c r="H46" t="s">
        <v>4747</v>
      </c>
      <c r="I46" t="s">
        <v>5620</v>
      </c>
    </row>
    <row r="47" spans="1:9">
      <c r="A47" t="s">
        <v>5554</v>
      </c>
      <c r="B47" t="s">
        <v>5623</v>
      </c>
      <c r="C47">
        <v>1</v>
      </c>
      <c r="D47" t="s">
        <v>5556</v>
      </c>
      <c r="E47" t="s">
        <v>5557</v>
      </c>
      <c r="F47">
        <v>600</v>
      </c>
      <c r="G47" t="s">
        <v>5619</v>
      </c>
      <c r="H47" t="s">
        <v>4747</v>
      </c>
      <c r="I47" t="s">
        <v>5620</v>
      </c>
    </row>
    <row r="48" spans="1:9">
      <c r="A48" t="s">
        <v>5554</v>
      </c>
      <c r="B48" t="s">
        <v>5624</v>
      </c>
      <c r="C48">
        <v>1</v>
      </c>
      <c r="D48" t="s">
        <v>5556</v>
      </c>
      <c r="E48" t="s">
        <v>5557</v>
      </c>
      <c r="F48">
        <v>1800</v>
      </c>
      <c r="G48" t="s">
        <v>5619</v>
      </c>
      <c r="H48" t="s">
        <v>4747</v>
      </c>
      <c r="I48" t="s">
        <v>5620</v>
      </c>
    </row>
    <row r="49" spans="1:9">
      <c r="A49" t="s">
        <v>5625</v>
      </c>
      <c r="B49" t="s">
        <v>5626</v>
      </c>
      <c r="C49">
        <v>1</v>
      </c>
      <c r="D49" t="s">
        <v>5627</v>
      </c>
      <c r="E49">
        <v>5</v>
      </c>
      <c r="F49">
        <v>35</v>
      </c>
      <c r="H49" t="s">
        <v>4727</v>
      </c>
      <c r="I49" t="s">
        <v>5628</v>
      </c>
    </row>
    <row r="50" spans="1:9">
      <c r="A50" t="s">
        <v>5625</v>
      </c>
      <c r="B50" t="s">
        <v>5629</v>
      </c>
      <c r="C50">
        <v>1</v>
      </c>
      <c r="D50" t="s">
        <v>5630</v>
      </c>
      <c r="E50">
        <v>1</v>
      </c>
      <c r="F50">
        <v>85</v>
      </c>
      <c r="H50" t="s">
        <v>4727</v>
      </c>
      <c r="I50" t="s">
        <v>5628</v>
      </c>
    </row>
    <row r="51" spans="1:9">
      <c r="A51" t="s">
        <v>5625</v>
      </c>
      <c r="B51" t="s">
        <v>5631</v>
      </c>
      <c r="C51">
        <v>1</v>
      </c>
      <c r="D51" t="s">
        <v>5632</v>
      </c>
      <c r="E51">
        <v>1</v>
      </c>
      <c r="F51">
        <v>500</v>
      </c>
      <c r="H51" t="s">
        <v>4727</v>
      </c>
      <c r="I51" t="s">
        <v>5628</v>
      </c>
    </row>
    <row r="52" spans="1:9">
      <c r="A52" t="s">
        <v>5633</v>
      </c>
      <c r="B52" t="s">
        <v>5634</v>
      </c>
      <c r="C52">
        <v>1</v>
      </c>
      <c r="D52" t="s">
        <v>5635</v>
      </c>
      <c r="E52">
        <v>0.2</v>
      </c>
      <c r="F52">
        <v>1</v>
      </c>
      <c r="H52" t="s">
        <v>4727</v>
      </c>
      <c r="I52" t="s">
        <v>5628</v>
      </c>
    </row>
    <row r="53" spans="1:9">
      <c r="A53" t="s">
        <v>5625</v>
      </c>
      <c r="B53" t="s">
        <v>5636</v>
      </c>
      <c r="C53">
        <v>1</v>
      </c>
      <c r="D53" t="s">
        <v>5637</v>
      </c>
      <c r="E53">
        <v>2E-3</v>
      </c>
      <c r="F53">
        <v>92</v>
      </c>
      <c r="H53" t="s">
        <v>4727</v>
      </c>
      <c r="I53" t="s">
        <v>5638</v>
      </c>
    </row>
    <row r="54" spans="1:9">
      <c r="A54" t="s">
        <v>5639</v>
      </c>
      <c r="B54" t="s">
        <v>5640</v>
      </c>
      <c r="C54">
        <v>1</v>
      </c>
      <c r="D54" t="s">
        <v>5641</v>
      </c>
      <c r="E54">
        <v>0.1</v>
      </c>
      <c r="F54">
        <v>0.98</v>
      </c>
      <c r="H54" t="s">
        <v>4727</v>
      </c>
      <c r="I54" t="s">
        <v>5642</v>
      </c>
    </row>
    <row r="55" spans="1:9">
      <c r="A55" t="s">
        <v>5639</v>
      </c>
      <c r="B55" t="s">
        <v>5643</v>
      </c>
      <c r="C55">
        <v>1</v>
      </c>
      <c r="D55" t="s">
        <v>5641</v>
      </c>
      <c r="E55">
        <v>0.1</v>
      </c>
      <c r="F55">
        <v>1.3</v>
      </c>
      <c r="H55" t="s">
        <v>4727</v>
      </c>
      <c r="I55" t="s">
        <v>5642</v>
      </c>
    </row>
    <row r="56" spans="1:9">
      <c r="A56" t="s">
        <v>5639</v>
      </c>
      <c r="B56" t="s">
        <v>5644</v>
      </c>
      <c r="C56">
        <v>1</v>
      </c>
      <c r="D56" t="s">
        <v>5641</v>
      </c>
      <c r="E56">
        <v>0.1</v>
      </c>
      <c r="F56">
        <v>3.5</v>
      </c>
      <c r="H56" t="s">
        <v>4727</v>
      </c>
      <c r="I56" t="s">
        <v>5642</v>
      </c>
    </row>
    <row r="57" spans="1:9">
      <c r="A57" t="s">
        <v>5625</v>
      </c>
      <c r="B57" t="s">
        <v>5645</v>
      </c>
      <c r="C57">
        <v>1</v>
      </c>
      <c r="D57" t="s">
        <v>5646</v>
      </c>
      <c r="E57">
        <v>1</v>
      </c>
      <c r="F57">
        <v>13</v>
      </c>
      <c r="H57" t="s">
        <v>4727</v>
      </c>
      <c r="I57" t="s">
        <v>5647</v>
      </c>
    </row>
    <row r="58" spans="1:9">
      <c r="A58" t="s">
        <v>5625</v>
      </c>
      <c r="B58" t="s">
        <v>5648</v>
      </c>
      <c r="C58">
        <v>1</v>
      </c>
      <c r="D58" t="s">
        <v>5646</v>
      </c>
      <c r="E58">
        <v>1</v>
      </c>
      <c r="F58">
        <v>13</v>
      </c>
      <c r="H58" t="s">
        <v>4727</v>
      </c>
      <c r="I58" t="s">
        <v>5647</v>
      </c>
    </row>
    <row r="59" spans="1:9">
      <c r="A59" t="s">
        <v>5649</v>
      </c>
      <c r="B59" t="s">
        <v>5650</v>
      </c>
      <c r="C59">
        <v>1</v>
      </c>
      <c r="D59" t="s">
        <v>5646</v>
      </c>
      <c r="E59">
        <v>0.02</v>
      </c>
      <c r="F59">
        <v>4.5</v>
      </c>
      <c r="H59" t="s">
        <v>4727</v>
      </c>
      <c r="I59" t="s">
        <v>5647</v>
      </c>
    </row>
    <row r="60" spans="1:9">
      <c r="A60" t="s">
        <v>5649</v>
      </c>
      <c r="B60" t="s">
        <v>5651</v>
      </c>
      <c r="C60">
        <v>1</v>
      </c>
      <c r="D60" t="s">
        <v>5556</v>
      </c>
      <c r="E60">
        <v>0.5</v>
      </c>
      <c r="F60">
        <v>0.1</v>
      </c>
      <c r="H60" t="s">
        <v>4727</v>
      </c>
      <c r="I60" t="s">
        <v>5647</v>
      </c>
    </row>
    <row r="61" spans="1:9">
      <c r="A61" t="s">
        <v>5652</v>
      </c>
      <c r="B61" t="s">
        <v>5653</v>
      </c>
      <c r="C61">
        <v>1</v>
      </c>
      <c r="D61" t="s">
        <v>5556</v>
      </c>
      <c r="E61">
        <v>0.25</v>
      </c>
      <c r="F61">
        <v>0.88</v>
      </c>
      <c r="H61" t="s">
        <v>4727</v>
      </c>
      <c r="I61" t="s">
        <v>5647</v>
      </c>
    </row>
    <row r="62" spans="1:9">
      <c r="A62" t="s">
        <v>5654</v>
      </c>
      <c r="B62" t="s">
        <v>5655</v>
      </c>
      <c r="C62">
        <v>1</v>
      </c>
      <c r="D62" t="s">
        <v>5556</v>
      </c>
      <c r="E62">
        <v>0.13</v>
      </c>
      <c r="F62">
        <v>3.5</v>
      </c>
      <c r="H62" t="s">
        <v>4727</v>
      </c>
      <c r="I62" t="s">
        <v>5647</v>
      </c>
    </row>
    <row r="63" spans="1:9">
      <c r="A63" t="s">
        <v>5625</v>
      </c>
      <c r="B63" t="s">
        <v>5656</v>
      </c>
      <c r="C63">
        <v>1</v>
      </c>
      <c r="D63" t="s">
        <v>5646</v>
      </c>
      <c r="E63">
        <v>1</v>
      </c>
      <c r="F63">
        <v>66</v>
      </c>
      <c r="H63" t="s">
        <v>4727</v>
      </c>
      <c r="I63" t="s">
        <v>5657</v>
      </c>
    </row>
    <row r="64" spans="1:9">
      <c r="A64" t="s">
        <v>5658</v>
      </c>
      <c r="B64" t="s">
        <v>5659</v>
      </c>
      <c r="C64">
        <v>1</v>
      </c>
      <c r="D64" t="s">
        <v>5646</v>
      </c>
      <c r="E64">
        <v>1</v>
      </c>
      <c r="F64">
        <v>3.5</v>
      </c>
      <c r="H64" t="s">
        <v>4727</v>
      </c>
      <c r="I64" t="s">
        <v>5660</v>
      </c>
    </row>
    <row r="65" spans="1:9">
      <c r="A65" t="s">
        <v>5633</v>
      </c>
      <c r="B65" t="s">
        <v>5661</v>
      </c>
      <c r="C65">
        <v>1</v>
      </c>
      <c r="D65" t="s">
        <v>5632</v>
      </c>
      <c r="E65">
        <v>0.25</v>
      </c>
      <c r="F65">
        <v>0.45</v>
      </c>
      <c r="H65" t="s">
        <v>4727</v>
      </c>
      <c r="I65" t="s">
        <v>5662</v>
      </c>
    </row>
    <row r="66" spans="1:9">
      <c r="A66" t="s">
        <v>5649</v>
      </c>
      <c r="B66" t="s">
        <v>5663</v>
      </c>
      <c r="C66">
        <v>1</v>
      </c>
      <c r="D66" t="s">
        <v>5632</v>
      </c>
      <c r="E66">
        <v>0.5</v>
      </c>
      <c r="F66">
        <v>2</v>
      </c>
      <c r="H66" t="s">
        <v>4727</v>
      </c>
      <c r="I66" t="s">
        <v>5662</v>
      </c>
    </row>
    <row r="67" spans="1:9">
      <c r="A67" t="s">
        <v>5649</v>
      </c>
      <c r="B67" t="s">
        <v>5664</v>
      </c>
      <c r="C67">
        <v>1</v>
      </c>
      <c r="D67" t="s">
        <v>5632</v>
      </c>
      <c r="E67">
        <v>0.13</v>
      </c>
      <c r="F67">
        <v>3</v>
      </c>
      <c r="H67" t="s">
        <v>4727</v>
      </c>
      <c r="I67" t="s">
        <v>5662</v>
      </c>
    </row>
    <row r="68" spans="1:9">
      <c r="A68" t="s">
        <v>5649</v>
      </c>
      <c r="B68" t="s">
        <v>5665</v>
      </c>
      <c r="C68">
        <v>1</v>
      </c>
      <c r="D68" t="s">
        <v>5641</v>
      </c>
      <c r="E68">
        <v>0.02</v>
      </c>
      <c r="F68">
        <v>14</v>
      </c>
      <c r="H68" t="s">
        <v>4727</v>
      </c>
      <c r="I68" t="s">
        <v>5662</v>
      </c>
    </row>
    <row r="69" spans="1:9">
      <c r="A69" t="s">
        <v>5625</v>
      </c>
      <c r="B69" t="s">
        <v>5666</v>
      </c>
      <c r="C69">
        <v>1</v>
      </c>
      <c r="D69" t="s">
        <v>5641</v>
      </c>
      <c r="E69">
        <v>0.12</v>
      </c>
      <c r="F69">
        <v>18</v>
      </c>
      <c r="H69" t="s">
        <v>4727</v>
      </c>
      <c r="I69" t="s">
        <v>5667</v>
      </c>
    </row>
    <row r="70" spans="1:9">
      <c r="A70" t="s">
        <v>5649</v>
      </c>
      <c r="B70" t="s">
        <v>5668</v>
      </c>
      <c r="C70">
        <v>1</v>
      </c>
      <c r="D70" t="s">
        <v>5646</v>
      </c>
      <c r="E70">
        <v>0.02</v>
      </c>
      <c r="F70">
        <v>2.2000000000000002</v>
      </c>
      <c r="H70" t="s">
        <v>4727</v>
      </c>
      <c r="I70" t="s">
        <v>5669</v>
      </c>
    </row>
    <row r="71" spans="1:9">
      <c r="A71" t="s">
        <v>5649</v>
      </c>
      <c r="B71" t="s">
        <v>5670</v>
      </c>
      <c r="C71">
        <v>1</v>
      </c>
      <c r="D71" t="s">
        <v>5646</v>
      </c>
      <c r="E71">
        <v>0.08</v>
      </c>
      <c r="F71">
        <v>12</v>
      </c>
      <c r="H71" t="s">
        <v>4727</v>
      </c>
      <c r="I71" t="s">
        <v>5669</v>
      </c>
    </row>
    <row r="72" spans="1:9">
      <c r="A72" t="s">
        <v>5625</v>
      </c>
      <c r="B72" t="s">
        <v>5671</v>
      </c>
      <c r="C72">
        <v>1</v>
      </c>
      <c r="D72" t="s">
        <v>5632</v>
      </c>
      <c r="E72">
        <v>1</v>
      </c>
      <c r="F72">
        <v>23</v>
      </c>
      <c r="H72" t="s">
        <v>4727</v>
      </c>
      <c r="I72" t="s">
        <v>5672</v>
      </c>
    </row>
    <row r="73" spans="1:9">
      <c r="A73" t="s">
        <v>5625</v>
      </c>
      <c r="B73" t="s">
        <v>5673</v>
      </c>
      <c r="C73">
        <v>1</v>
      </c>
      <c r="D73" t="s">
        <v>5632</v>
      </c>
      <c r="E73">
        <v>1</v>
      </c>
      <c r="F73">
        <v>25</v>
      </c>
      <c r="H73" t="s">
        <v>4727</v>
      </c>
      <c r="I73" t="s">
        <v>5672</v>
      </c>
    </row>
    <row r="74" spans="1:9">
      <c r="A74" t="s">
        <v>5674</v>
      </c>
      <c r="B74" t="s">
        <v>5675</v>
      </c>
      <c r="C74">
        <v>1</v>
      </c>
      <c r="D74" t="s">
        <v>5630</v>
      </c>
      <c r="E74">
        <v>0.5</v>
      </c>
      <c r="F74">
        <v>0.4</v>
      </c>
      <c r="H74" t="s">
        <v>4727</v>
      </c>
      <c r="I74" t="s">
        <v>5672</v>
      </c>
    </row>
    <row r="75" spans="1:9">
      <c r="A75" t="s">
        <v>5676</v>
      </c>
      <c r="B75" t="s">
        <v>5677</v>
      </c>
      <c r="C75">
        <v>1</v>
      </c>
      <c r="D75" t="s">
        <v>5678</v>
      </c>
      <c r="E75">
        <v>0.5</v>
      </c>
      <c r="F75">
        <v>0.1</v>
      </c>
      <c r="H75" t="s">
        <v>4530</v>
      </c>
      <c r="I75" t="s">
        <v>5679</v>
      </c>
    </row>
    <row r="76" spans="1:9">
      <c r="A76" t="s">
        <v>5676</v>
      </c>
      <c r="B76" t="s">
        <v>5680</v>
      </c>
      <c r="C76">
        <v>1</v>
      </c>
      <c r="D76" t="s">
        <v>5678</v>
      </c>
      <c r="E76">
        <v>1</v>
      </c>
      <c r="F76">
        <v>7.4999999999999997E-2</v>
      </c>
      <c r="H76" t="s">
        <v>4530</v>
      </c>
      <c r="I76" t="s">
        <v>5679</v>
      </c>
    </row>
    <row r="77" spans="1:9">
      <c r="A77" t="s">
        <v>5676</v>
      </c>
      <c r="B77" t="s">
        <v>5681</v>
      </c>
      <c r="C77">
        <v>1</v>
      </c>
      <c r="D77" t="s">
        <v>5678</v>
      </c>
      <c r="E77">
        <v>0.5</v>
      </c>
      <c r="F77">
        <v>1.4999999999999999E-2</v>
      </c>
      <c r="H77" t="s">
        <v>4530</v>
      </c>
      <c r="I77" t="s">
        <v>5679</v>
      </c>
    </row>
    <row r="78" spans="1:9">
      <c r="A78" t="s">
        <v>5676</v>
      </c>
      <c r="B78" t="s">
        <v>5682</v>
      </c>
      <c r="C78">
        <v>1</v>
      </c>
      <c r="D78" t="s">
        <v>5678</v>
      </c>
      <c r="E78">
        <v>1</v>
      </c>
      <c r="F78">
        <v>7.4999999999999997E-2</v>
      </c>
      <c r="H78" t="s">
        <v>4530</v>
      </c>
      <c r="I78" t="s">
        <v>5679</v>
      </c>
    </row>
    <row r="79" spans="1:9">
      <c r="A79" t="s">
        <v>5676</v>
      </c>
      <c r="B79" t="s">
        <v>5683</v>
      </c>
      <c r="C79">
        <v>1</v>
      </c>
      <c r="D79" t="s">
        <v>5678</v>
      </c>
      <c r="E79">
        <v>0.5</v>
      </c>
      <c r="F79">
        <v>0.05</v>
      </c>
      <c r="H79" t="s">
        <v>4530</v>
      </c>
      <c r="I79" t="s">
        <v>5679</v>
      </c>
    </row>
    <row r="80" spans="1:9">
      <c r="A80" t="s">
        <v>5676</v>
      </c>
      <c r="B80" t="s">
        <v>5684</v>
      </c>
      <c r="C80">
        <v>1</v>
      </c>
      <c r="D80" t="s">
        <v>5678</v>
      </c>
      <c r="E80">
        <v>1</v>
      </c>
      <c r="F80">
        <v>0.15</v>
      </c>
      <c r="H80" t="s">
        <v>4530</v>
      </c>
      <c r="I80" t="s">
        <v>5679</v>
      </c>
    </row>
    <row r="81" spans="1:9">
      <c r="A81" t="s">
        <v>5676</v>
      </c>
      <c r="B81" t="s">
        <v>5685</v>
      </c>
      <c r="C81">
        <v>1</v>
      </c>
      <c r="D81" t="s">
        <v>5678</v>
      </c>
      <c r="E81">
        <v>0.5</v>
      </c>
      <c r="F81">
        <v>0.1</v>
      </c>
      <c r="H81" t="s">
        <v>4530</v>
      </c>
      <c r="I81" t="s">
        <v>5679</v>
      </c>
    </row>
    <row r="82" spans="1:9">
      <c r="A82" t="s">
        <v>5674</v>
      </c>
      <c r="B82" t="s">
        <v>5686</v>
      </c>
      <c r="C82">
        <v>1</v>
      </c>
      <c r="D82" t="s">
        <v>5630</v>
      </c>
      <c r="E82">
        <v>0.5</v>
      </c>
      <c r="F82">
        <v>2.5000000000000001E-2</v>
      </c>
      <c r="H82" t="s">
        <v>4530</v>
      </c>
      <c r="I82" t="s">
        <v>5679</v>
      </c>
    </row>
    <row r="83" spans="1:9">
      <c r="A83" t="s">
        <v>5676</v>
      </c>
      <c r="B83" t="s">
        <v>5687</v>
      </c>
      <c r="C83">
        <v>1</v>
      </c>
      <c r="D83" t="s">
        <v>5635</v>
      </c>
      <c r="E83">
        <v>0.25</v>
      </c>
      <c r="F83">
        <v>0.43</v>
      </c>
      <c r="H83" t="s">
        <v>4530</v>
      </c>
      <c r="I83" t="s">
        <v>5688</v>
      </c>
    </row>
    <row r="84" spans="1:9">
      <c r="A84" t="s">
        <v>5676</v>
      </c>
      <c r="B84" t="s">
        <v>5689</v>
      </c>
      <c r="C84">
        <v>1</v>
      </c>
      <c r="D84" t="s">
        <v>5635</v>
      </c>
      <c r="E84">
        <v>0.5</v>
      </c>
      <c r="F84">
        <v>1</v>
      </c>
      <c r="H84" t="s">
        <v>4530</v>
      </c>
      <c r="I84" t="s">
        <v>5688</v>
      </c>
    </row>
    <row r="85" spans="1:9">
      <c r="A85" t="s">
        <v>5676</v>
      </c>
      <c r="B85" t="s">
        <v>5690</v>
      </c>
      <c r="C85">
        <v>1</v>
      </c>
      <c r="D85" t="s">
        <v>5635</v>
      </c>
      <c r="E85">
        <v>1</v>
      </c>
      <c r="F85">
        <v>3.5</v>
      </c>
      <c r="H85" t="s">
        <v>4530</v>
      </c>
      <c r="I85" t="s">
        <v>5688</v>
      </c>
    </row>
    <row r="86" spans="1:9">
      <c r="A86" t="s">
        <v>5676</v>
      </c>
      <c r="B86" t="s">
        <v>5691</v>
      </c>
      <c r="C86">
        <v>1</v>
      </c>
      <c r="D86" t="s">
        <v>5556</v>
      </c>
      <c r="E86">
        <v>0.5</v>
      </c>
      <c r="F86">
        <v>0.2</v>
      </c>
      <c r="H86" t="s">
        <v>4530</v>
      </c>
      <c r="I86" t="s">
        <v>5688</v>
      </c>
    </row>
    <row r="87" spans="1:9">
      <c r="A87" t="s">
        <v>5676</v>
      </c>
      <c r="B87" t="s">
        <v>5692</v>
      </c>
      <c r="C87">
        <v>1</v>
      </c>
      <c r="D87" t="s">
        <v>5678</v>
      </c>
      <c r="E87">
        <v>0.5</v>
      </c>
      <c r="F87">
        <v>0.25</v>
      </c>
      <c r="H87" t="s">
        <v>4530</v>
      </c>
      <c r="I87" t="s">
        <v>5688</v>
      </c>
    </row>
    <row r="88" spans="1:9">
      <c r="A88" t="s">
        <v>5676</v>
      </c>
      <c r="B88" t="s">
        <v>5693</v>
      </c>
      <c r="C88">
        <v>1</v>
      </c>
      <c r="D88" t="s">
        <v>5556</v>
      </c>
      <c r="E88">
        <v>0.5</v>
      </c>
      <c r="F88">
        <v>0.2</v>
      </c>
      <c r="H88" t="s">
        <v>4530</v>
      </c>
      <c r="I88" t="s">
        <v>5688</v>
      </c>
    </row>
    <row r="89" spans="1:9">
      <c r="A89" t="s">
        <v>5676</v>
      </c>
      <c r="B89" t="s">
        <v>5694</v>
      </c>
      <c r="C89">
        <v>1</v>
      </c>
      <c r="D89" t="s">
        <v>5635</v>
      </c>
      <c r="E89">
        <v>0.1</v>
      </c>
      <c r="F89">
        <v>0.15</v>
      </c>
      <c r="H89" t="s">
        <v>4530</v>
      </c>
      <c r="I89" t="s">
        <v>5688</v>
      </c>
    </row>
    <row r="90" spans="1:9">
      <c r="A90" t="s">
        <v>5676</v>
      </c>
      <c r="B90" t="s">
        <v>5695</v>
      </c>
      <c r="C90">
        <v>1</v>
      </c>
      <c r="D90" t="s">
        <v>5635</v>
      </c>
      <c r="E90">
        <v>0.1</v>
      </c>
      <c r="F90">
        <v>0.43</v>
      </c>
      <c r="H90" t="s">
        <v>4530</v>
      </c>
      <c r="I90" t="s">
        <v>5688</v>
      </c>
    </row>
    <row r="91" spans="1:9">
      <c r="A91" t="s">
        <v>5676</v>
      </c>
      <c r="B91" t="s">
        <v>5696</v>
      </c>
      <c r="C91">
        <v>1</v>
      </c>
      <c r="D91" t="s">
        <v>5678</v>
      </c>
      <c r="E91">
        <v>0.5</v>
      </c>
      <c r="F91">
        <v>0.3</v>
      </c>
      <c r="H91" t="s">
        <v>4530</v>
      </c>
      <c r="I91" t="s">
        <v>5688</v>
      </c>
    </row>
    <row r="92" spans="1:9">
      <c r="A92" t="s">
        <v>5676</v>
      </c>
      <c r="B92" t="s">
        <v>5697</v>
      </c>
      <c r="C92">
        <v>1</v>
      </c>
      <c r="D92" t="s">
        <v>5698</v>
      </c>
      <c r="E92">
        <v>0.02</v>
      </c>
      <c r="F92">
        <v>0.15</v>
      </c>
      <c r="H92" t="s">
        <v>4530</v>
      </c>
      <c r="I92" t="s">
        <v>5688</v>
      </c>
    </row>
    <row r="93" spans="1:9">
      <c r="A93" t="s">
        <v>5649</v>
      </c>
      <c r="B93" t="s">
        <v>5699</v>
      </c>
      <c r="C93">
        <v>1</v>
      </c>
      <c r="D93" t="s">
        <v>5700</v>
      </c>
      <c r="E93" t="s">
        <v>5557</v>
      </c>
      <c r="F93">
        <v>0.5</v>
      </c>
      <c r="H93" t="s">
        <v>4622</v>
      </c>
      <c r="I93" t="s">
        <v>5701</v>
      </c>
    </row>
    <row r="94" spans="1:9">
      <c r="A94" t="s">
        <v>5649</v>
      </c>
      <c r="B94" t="s">
        <v>5702</v>
      </c>
      <c r="C94">
        <v>1</v>
      </c>
      <c r="D94" t="s">
        <v>5700</v>
      </c>
      <c r="E94" t="s">
        <v>5557</v>
      </c>
      <c r="F94">
        <v>2</v>
      </c>
      <c r="H94" t="s">
        <v>4622</v>
      </c>
      <c r="I94" t="s">
        <v>5701</v>
      </c>
    </row>
    <row r="95" spans="1:9">
      <c r="A95" t="s">
        <v>5649</v>
      </c>
      <c r="B95" t="s">
        <v>5703</v>
      </c>
      <c r="C95">
        <v>1</v>
      </c>
      <c r="D95" t="s">
        <v>5700</v>
      </c>
      <c r="E95" t="s">
        <v>5557</v>
      </c>
      <c r="F95">
        <v>0.75</v>
      </c>
      <c r="H95" t="s">
        <v>4622</v>
      </c>
      <c r="I95" t="s">
        <v>5701</v>
      </c>
    </row>
    <row r="96" spans="1:9">
      <c r="A96" t="s">
        <v>5649</v>
      </c>
      <c r="B96" t="s">
        <v>5704</v>
      </c>
      <c r="C96">
        <v>1</v>
      </c>
      <c r="D96" t="s">
        <v>5700</v>
      </c>
      <c r="E96" t="s">
        <v>5557</v>
      </c>
      <c r="F96">
        <v>1</v>
      </c>
      <c r="H96" t="s">
        <v>4622</v>
      </c>
      <c r="I96" t="s">
        <v>5701</v>
      </c>
    </row>
    <row r="97" spans="1:9">
      <c r="A97" t="s">
        <v>5649</v>
      </c>
      <c r="B97" t="s">
        <v>5705</v>
      </c>
      <c r="C97">
        <v>1</v>
      </c>
      <c r="D97" t="s">
        <v>5700</v>
      </c>
      <c r="E97" t="s">
        <v>5557</v>
      </c>
      <c r="F97">
        <v>2</v>
      </c>
      <c r="H97" t="s">
        <v>4622</v>
      </c>
      <c r="I97" t="s">
        <v>5706</v>
      </c>
    </row>
    <row r="98" spans="1:9">
      <c r="A98" t="s">
        <v>5649</v>
      </c>
      <c r="B98" t="s">
        <v>5707</v>
      </c>
      <c r="C98">
        <v>1</v>
      </c>
      <c r="D98" t="s">
        <v>5700</v>
      </c>
      <c r="E98" t="s">
        <v>5557</v>
      </c>
      <c r="F98">
        <v>15</v>
      </c>
      <c r="H98" t="s">
        <v>4622</v>
      </c>
      <c r="I98" t="s">
        <v>5706</v>
      </c>
    </row>
    <row r="99" spans="1:9">
      <c r="A99" t="s">
        <v>5649</v>
      </c>
      <c r="B99" t="s">
        <v>5708</v>
      </c>
      <c r="C99">
        <v>1</v>
      </c>
      <c r="D99" t="s">
        <v>5700</v>
      </c>
      <c r="E99" t="s">
        <v>5557</v>
      </c>
      <c r="F99">
        <v>0.9</v>
      </c>
      <c r="H99" t="s">
        <v>4622</v>
      </c>
      <c r="I99" t="s">
        <v>5706</v>
      </c>
    </row>
    <row r="100" spans="1:9">
      <c r="A100" t="s">
        <v>5674</v>
      </c>
      <c r="B100" t="s">
        <v>5709</v>
      </c>
      <c r="C100">
        <v>1</v>
      </c>
      <c r="D100" t="s">
        <v>5700</v>
      </c>
      <c r="E100" t="s">
        <v>5557</v>
      </c>
      <c r="F100">
        <v>10</v>
      </c>
      <c r="H100" t="s">
        <v>4622</v>
      </c>
      <c r="I100" t="s">
        <v>5706</v>
      </c>
    </row>
    <row r="101" spans="1:9">
      <c r="A101" t="s">
        <v>5710</v>
      </c>
      <c r="B101" t="s">
        <v>5711</v>
      </c>
      <c r="C101">
        <v>1</v>
      </c>
      <c r="D101" t="s">
        <v>5712</v>
      </c>
      <c r="E101">
        <v>2.0000000000000001E-4</v>
      </c>
      <c r="F101">
        <v>3.6</v>
      </c>
      <c r="G101" t="s">
        <v>5713</v>
      </c>
      <c r="H101" t="s">
        <v>4713</v>
      </c>
      <c r="I101" t="s">
        <v>5710</v>
      </c>
    </row>
    <row r="102" spans="1:9">
      <c r="A102" t="s">
        <v>5710</v>
      </c>
      <c r="B102" t="s">
        <v>5714</v>
      </c>
      <c r="C102">
        <v>1</v>
      </c>
      <c r="D102" t="s">
        <v>5712</v>
      </c>
      <c r="E102">
        <v>2.0000000000000001E-4</v>
      </c>
      <c r="F102">
        <v>1.3</v>
      </c>
      <c r="G102" t="s">
        <v>5715</v>
      </c>
      <c r="H102" t="s">
        <v>4713</v>
      </c>
      <c r="I102" t="s">
        <v>5710</v>
      </c>
    </row>
    <row r="103" spans="1:9">
      <c r="A103" t="s">
        <v>5710</v>
      </c>
      <c r="B103" t="s">
        <v>5716</v>
      </c>
      <c r="C103">
        <v>1</v>
      </c>
      <c r="D103" t="s">
        <v>5712</v>
      </c>
      <c r="E103">
        <v>2.0000000000000001E-4</v>
      </c>
      <c r="F103">
        <v>2.2000000000000002</v>
      </c>
      <c r="G103" t="s">
        <v>5717</v>
      </c>
      <c r="H103" t="s">
        <v>4713</v>
      </c>
      <c r="I103" t="s">
        <v>5710</v>
      </c>
    </row>
    <row r="104" spans="1:9">
      <c r="A104" t="s">
        <v>5710</v>
      </c>
      <c r="B104" t="s">
        <v>5718</v>
      </c>
      <c r="C104">
        <v>1</v>
      </c>
      <c r="D104" t="s">
        <v>5712</v>
      </c>
      <c r="E104">
        <v>2.0000000000000001E-4</v>
      </c>
      <c r="F104">
        <v>3</v>
      </c>
      <c r="H104" t="s">
        <v>4713</v>
      </c>
      <c r="I104" t="s">
        <v>5710</v>
      </c>
    </row>
    <row r="105" spans="1:9">
      <c r="A105" t="s">
        <v>5710</v>
      </c>
      <c r="B105" t="s">
        <v>5719</v>
      </c>
      <c r="C105">
        <v>1</v>
      </c>
      <c r="D105" t="s">
        <v>5712</v>
      </c>
      <c r="E105">
        <v>2.0000000000000001E-4</v>
      </c>
      <c r="F105">
        <v>4.4000000000000004</v>
      </c>
      <c r="H105" t="s">
        <v>4713</v>
      </c>
      <c r="I105" t="s">
        <v>5710</v>
      </c>
    </row>
    <row r="106" spans="1:9">
      <c r="A106" t="s">
        <v>5710</v>
      </c>
      <c r="B106" t="s">
        <v>5720</v>
      </c>
      <c r="C106">
        <v>1</v>
      </c>
      <c r="D106" t="s">
        <v>5712</v>
      </c>
      <c r="E106">
        <v>2.0000000000000001E-4</v>
      </c>
      <c r="F106">
        <v>8</v>
      </c>
      <c r="H106" t="s">
        <v>4713</v>
      </c>
      <c r="I106" t="s">
        <v>5710</v>
      </c>
    </row>
    <row r="107" spans="1:9">
      <c r="A107" t="s">
        <v>5710</v>
      </c>
      <c r="B107" t="s">
        <v>5721</v>
      </c>
      <c r="C107">
        <v>1</v>
      </c>
      <c r="D107" t="s">
        <v>5712</v>
      </c>
      <c r="E107">
        <v>2.0000000000000001E-4</v>
      </c>
      <c r="F107">
        <v>16</v>
      </c>
      <c r="H107" t="s">
        <v>4713</v>
      </c>
      <c r="I107" t="s">
        <v>5710</v>
      </c>
    </row>
    <row r="108" spans="1:9">
      <c r="A108" t="s">
        <v>5710</v>
      </c>
      <c r="B108" t="s">
        <v>5722</v>
      </c>
      <c r="C108">
        <v>1</v>
      </c>
      <c r="D108" t="s">
        <v>5712</v>
      </c>
      <c r="E108">
        <v>2.0000000000000001E-4</v>
      </c>
      <c r="F108">
        <v>20</v>
      </c>
      <c r="H108" t="s">
        <v>4713</v>
      </c>
      <c r="I108" t="s">
        <v>5710</v>
      </c>
    </row>
    <row r="109" spans="1:9">
      <c r="A109" t="s">
        <v>5710</v>
      </c>
      <c r="B109" t="s">
        <v>5723</v>
      </c>
      <c r="C109">
        <v>1</v>
      </c>
      <c r="D109" t="s">
        <v>5712</v>
      </c>
      <c r="E109">
        <v>2.0000000000000001E-4</v>
      </c>
      <c r="F109">
        <v>25</v>
      </c>
      <c r="H109" t="s">
        <v>4713</v>
      </c>
      <c r="I109" t="s">
        <v>5710</v>
      </c>
    </row>
    <row r="110" spans="1:9">
      <c r="A110" t="s">
        <v>5710</v>
      </c>
      <c r="B110" t="s">
        <v>5724</v>
      </c>
      <c r="C110">
        <v>1</v>
      </c>
      <c r="D110" t="s">
        <v>5712</v>
      </c>
      <c r="E110">
        <v>2.0000000000000001E-4</v>
      </c>
      <c r="F110">
        <v>27</v>
      </c>
      <c r="G110" t="s">
        <v>5725</v>
      </c>
      <c r="H110" t="s">
        <v>4713</v>
      </c>
      <c r="I110" t="s">
        <v>5710</v>
      </c>
    </row>
    <row r="111" spans="1:9">
      <c r="A111" t="s">
        <v>5710</v>
      </c>
      <c r="B111" t="s">
        <v>5726</v>
      </c>
      <c r="C111">
        <v>1</v>
      </c>
      <c r="D111" t="s">
        <v>5712</v>
      </c>
      <c r="E111">
        <v>2.0000000000000001E-4</v>
      </c>
      <c r="F111">
        <v>22</v>
      </c>
      <c r="G111" t="s">
        <v>5727</v>
      </c>
      <c r="H111" t="s">
        <v>4713</v>
      </c>
      <c r="I111" t="s">
        <v>5710</v>
      </c>
    </row>
    <row r="112" spans="1:9">
      <c r="A112" t="s">
        <v>5710</v>
      </c>
      <c r="B112" t="s">
        <v>5728</v>
      </c>
      <c r="C112">
        <v>1</v>
      </c>
      <c r="D112" t="s">
        <v>5712</v>
      </c>
      <c r="E112">
        <v>2.0000000000000001E-4</v>
      </c>
      <c r="F112">
        <v>11</v>
      </c>
      <c r="G112" t="s">
        <v>5729</v>
      </c>
      <c r="H112" t="s">
        <v>4713</v>
      </c>
      <c r="I112" t="s">
        <v>5710</v>
      </c>
    </row>
    <row r="113" spans="1:9">
      <c r="A113" t="s">
        <v>5710</v>
      </c>
      <c r="B113" t="s">
        <v>5730</v>
      </c>
      <c r="C113">
        <v>1</v>
      </c>
      <c r="D113" t="s">
        <v>5712</v>
      </c>
      <c r="E113">
        <v>2.0000000000000001E-4</v>
      </c>
      <c r="F113">
        <v>7</v>
      </c>
      <c r="G113" t="s">
        <v>5731</v>
      </c>
      <c r="H113" t="s">
        <v>4713</v>
      </c>
      <c r="I113" t="s">
        <v>5710</v>
      </c>
    </row>
    <row r="114" spans="1:9">
      <c r="A114" t="s">
        <v>5710</v>
      </c>
      <c r="B114" t="s">
        <v>5732</v>
      </c>
      <c r="C114">
        <v>1</v>
      </c>
      <c r="D114" t="s">
        <v>5712</v>
      </c>
      <c r="E114">
        <v>2.0000000000000001E-4</v>
      </c>
      <c r="F114">
        <v>8</v>
      </c>
      <c r="H114" t="s">
        <v>4713</v>
      </c>
      <c r="I114" t="s">
        <v>5710</v>
      </c>
    </row>
    <row r="115" spans="1:9">
      <c r="A115" t="s">
        <v>5710</v>
      </c>
      <c r="B115" t="s">
        <v>5733</v>
      </c>
      <c r="C115">
        <v>1</v>
      </c>
      <c r="D115" t="s">
        <v>5712</v>
      </c>
      <c r="E115">
        <v>2.0000000000000001E-4</v>
      </c>
      <c r="F115">
        <v>3.5</v>
      </c>
      <c r="G115" t="s">
        <v>5734</v>
      </c>
      <c r="H115" t="s">
        <v>4713</v>
      </c>
      <c r="I115" t="s">
        <v>5710</v>
      </c>
    </row>
    <row r="116" spans="1:9">
      <c r="A116" t="s">
        <v>5710</v>
      </c>
      <c r="B116" t="s">
        <v>5735</v>
      </c>
      <c r="C116">
        <v>1</v>
      </c>
      <c r="D116" t="s">
        <v>5712</v>
      </c>
      <c r="E116">
        <v>2.0000000000000001E-4</v>
      </c>
      <c r="F116">
        <v>1.8</v>
      </c>
      <c r="G116" t="s">
        <v>5736</v>
      </c>
      <c r="H116" t="s">
        <v>4713</v>
      </c>
      <c r="I116" t="s">
        <v>5710</v>
      </c>
    </row>
    <row r="117" spans="1:9">
      <c r="A117" t="s">
        <v>4401</v>
      </c>
      <c r="B117" t="s">
        <v>5737</v>
      </c>
      <c r="C117">
        <v>1</v>
      </c>
      <c r="D117" t="s">
        <v>5738</v>
      </c>
      <c r="E117">
        <v>1</v>
      </c>
      <c r="F117">
        <v>88</v>
      </c>
      <c r="H117" t="s">
        <v>4713</v>
      </c>
      <c r="I117" t="s">
        <v>5710</v>
      </c>
    </row>
    <row r="118" spans="1:9">
      <c r="A118" t="s">
        <v>4401</v>
      </c>
      <c r="B118" t="s">
        <v>5739</v>
      </c>
      <c r="C118">
        <v>1</v>
      </c>
      <c r="D118" t="s">
        <v>5637</v>
      </c>
      <c r="E118">
        <v>1</v>
      </c>
      <c r="F118">
        <v>106</v>
      </c>
      <c r="H118" t="s">
        <v>4713</v>
      </c>
      <c r="I118" t="s">
        <v>5710</v>
      </c>
    </row>
    <row r="119" spans="1:9">
      <c r="A119" t="s">
        <v>5639</v>
      </c>
      <c r="B119" t="s">
        <v>5740</v>
      </c>
      <c r="C119">
        <v>1</v>
      </c>
      <c r="D119" t="s">
        <v>5635</v>
      </c>
      <c r="E119">
        <v>0.02</v>
      </c>
      <c r="F119">
        <v>1.7999999999999999E-2</v>
      </c>
      <c r="H119" t="s">
        <v>4713</v>
      </c>
      <c r="I119" t="s">
        <v>5741</v>
      </c>
    </row>
    <row r="120" spans="1:9">
      <c r="A120" t="s">
        <v>5639</v>
      </c>
      <c r="B120" t="s">
        <v>5742</v>
      </c>
      <c r="C120">
        <v>1</v>
      </c>
      <c r="D120" t="s">
        <v>5556</v>
      </c>
      <c r="E120">
        <v>0.5</v>
      </c>
      <c r="F120">
        <v>0.78</v>
      </c>
      <c r="H120" t="s">
        <v>4713</v>
      </c>
      <c r="I120" t="s">
        <v>5741</v>
      </c>
    </row>
    <row r="121" spans="1:9">
      <c r="A121" t="s">
        <v>5625</v>
      </c>
      <c r="B121" t="s">
        <v>5743</v>
      </c>
      <c r="C121">
        <v>1</v>
      </c>
      <c r="D121" t="s">
        <v>5630</v>
      </c>
      <c r="E121">
        <v>1</v>
      </c>
      <c r="F121">
        <v>3</v>
      </c>
      <c r="H121" t="s">
        <v>4713</v>
      </c>
      <c r="I121" t="s">
        <v>5744</v>
      </c>
    </row>
    <row r="122" spans="1:9">
      <c r="A122" t="s">
        <v>5639</v>
      </c>
      <c r="B122" t="s">
        <v>5745</v>
      </c>
      <c r="C122">
        <v>1</v>
      </c>
      <c r="D122" t="s">
        <v>5746</v>
      </c>
      <c r="E122">
        <v>0.05</v>
      </c>
      <c r="F122">
        <v>5.0000000000000001E-3</v>
      </c>
      <c r="H122" t="s">
        <v>4713</v>
      </c>
      <c r="I122" t="s">
        <v>5744</v>
      </c>
    </row>
    <row r="123" spans="1:9">
      <c r="A123" t="s">
        <v>5625</v>
      </c>
      <c r="B123" t="s">
        <v>5747</v>
      </c>
      <c r="C123">
        <v>1</v>
      </c>
      <c r="D123" t="s">
        <v>5632</v>
      </c>
      <c r="E123">
        <v>1</v>
      </c>
      <c r="F123">
        <v>52</v>
      </c>
      <c r="H123" t="s">
        <v>4713</v>
      </c>
      <c r="I123" t="s">
        <v>5748</v>
      </c>
    </row>
    <row r="124" spans="1:9">
      <c r="A124" t="s">
        <v>5625</v>
      </c>
      <c r="B124" t="s">
        <v>5749</v>
      </c>
      <c r="C124">
        <v>1</v>
      </c>
      <c r="D124" t="s">
        <v>5646</v>
      </c>
      <c r="E124">
        <v>1</v>
      </c>
      <c r="F124">
        <v>8</v>
      </c>
      <c r="H124" t="s">
        <v>4713</v>
      </c>
      <c r="I124" t="s">
        <v>5748</v>
      </c>
    </row>
    <row r="125" spans="1:9">
      <c r="A125" t="s">
        <v>5625</v>
      </c>
      <c r="B125" t="s">
        <v>5750</v>
      </c>
      <c r="C125">
        <v>1</v>
      </c>
      <c r="D125" t="s">
        <v>5630</v>
      </c>
      <c r="E125">
        <v>1</v>
      </c>
      <c r="F125">
        <v>35</v>
      </c>
      <c r="H125" t="s">
        <v>4713</v>
      </c>
      <c r="I125" t="s">
        <v>5672</v>
      </c>
    </row>
    <row r="126" spans="1:9">
      <c r="A126" t="s">
        <v>5625</v>
      </c>
      <c r="B126" t="s">
        <v>5751</v>
      </c>
      <c r="C126">
        <v>1</v>
      </c>
      <c r="D126" t="s">
        <v>5630</v>
      </c>
      <c r="E126">
        <v>1</v>
      </c>
      <c r="F126">
        <v>125</v>
      </c>
      <c r="H126" t="s">
        <v>4713</v>
      </c>
      <c r="I126" t="s">
        <v>5672</v>
      </c>
    </row>
    <row r="127" spans="1:9">
      <c r="A127" t="s">
        <v>5676</v>
      </c>
      <c r="B127" t="s">
        <v>5752</v>
      </c>
      <c r="C127">
        <v>1</v>
      </c>
      <c r="D127" t="s">
        <v>5630</v>
      </c>
      <c r="E127">
        <v>0.5</v>
      </c>
      <c r="F127">
        <v>0.3</v>
      </c>
      <c r="H127" t="s">
        <v>4713</v>
      </c>
      <c r="I127" t="s">
        <v>5672</v>
      </c>
    </row>
    <row r="128" spans="1:9">
      <c r="A128" t="s">
        <v>5753</v>
      </c>
      <c r="B128" t="s">
        <v>5754</v>
      </c>
      <c r="C128">
        <v>1</v>
      </c>
      <c r="D128" t="s">
        <v>5556</v>
      </c>
      <c r="E128" t="s">
        <v>5557</v>
      </c>
      <c r="F128">
        <v>640000</v>
      </c>
      <c r="H128" t="s">
        <v>4372</v>
      </c>
      <c r="I128" t="s">
        <v>5755</v>
      </c>
    </row>
    <row r="129" spans="1:9">
      <c r="A129" t="s">
        <v>5753</v>
      </c>
      <c r="B129" t="s">
        <v>5756</v>
      </c>
      <c r="C129">
        <v>1</v>
      </c>
      <c r="D129" t="s">
        <v>5556</v>
      </c>
      <c r="E129" t="s">
        <v>5557</v>
      </c>
      <c r="F129">
        <v>1400000</v>
      </c>
      <c r="H129" t="s">
        <v>4372</v>
      </c>
      <c r="I129" t="s">
        <v>5755</v>
      </c>
    </row>
    <row r="130" spans="1:9">
      <c r="A130" t="s">
        <v>5753</v>
      </c>
      <c r="B130" t="s">
        <v>5757</v>
      </c>
      <c r="C130">
        <v>1</v>
      </c>
      <c r="D130" t="s">
        <v>5556</v>
      </c>
      <c r="E130" t="s">
        <v>5557</v>
      </c>
      <c r="F130">
        <v>960000</v>
      </c>
      <c r="H130" t="s">
        <v>4372</v>
      </c>
      <c r="I130" t="s">
        <v>5755</v>
      </c>
    </row>
    <row r="131" spans="1:9">
      <c r="A131" t="s">
        <v>5753</v>
      </c>
      <c r="B131" t="s">
        <v>5758</v>
      </c>
      <c r="C131">
        <v>1</v>
      </c>
      <c r="D131" t="s">
        <v>5556</v>
      </c>
      <c r="E131" t="s">
        <v>5557</v>
      </c>
      <c r="F131">
        <v>420000</v>
      </c>
      <c r="H131" t="s">
        <v>4372</v>
      </c>
      <c r="I131" t="s">
        <v>5755</v>
      </c>
    </row>
    <row r="132" spans="1:9">
      <c r="A132" t="s">
        <v>5753</v>
      </c>
      <c r="B132" t="s">
        <v>5759</v>
      </c>
      <c r="C132">
        <v>1</v>
      </c>
      <c r="D132" t="s">
        <v>5556</v>
      </c>
      <c r="E132">
        <v>50</v>
      </c>
      <c r="F132">
        <v>528</v>
      </c>
      <c r="H132" t="s">
        <v>4372</v>
      </c>
      <c r="I132" t="s">
        <v>5760</v>
      </c>
    </row>
    <row r="133" spans="1:9">
      <c r="A133" t="s">
        <v>5753</v>
      </c>
      <c r="B133" t="s">
        <v>5761</v>
      </c>
      <c r="C133">
        <v>1</v>
      </c>
      <c r="D133" t="s">
        <v>5556</v>
      </c>
      <c r="E133">
        <v>400</v>
      </c>
      <c r="F133">
        <v>2860</v>
      </c>
      <c r="H133" t="s">
        <v>4372</v>
      </c>
      <c r="I133" t="s">
        <v>5760</v>
      </c>
    </row>
    <row r="134" spans="1:9">
      <c r="A134" t="s">
        <v>5753</v>
      </c>
      <c r="B134" t="s">
        <v>5762</v>
      </c>
      <c r="C134">
        <v>1</v>
      </c>
      <c r="D134" t="s">
        <v>5556</v>
      </c>
      <c r="E134">
        <v>50</v>
      </c>
      <c r="F134">
        <v>50</v>
      </c>
      <c r="H134" t="s">
        <v>4372</v>
      </c>
      <c r="I134" t="s">
        <v>5760</v>
      </c>
    </row>
    <row r="135" spans="1:9">
      <c r="A135" t="s">
        <v>5753</v>
      </c>
      <c r="B135" t="s">
        <v>5763</v>
      </c>
      <c r="C135">
        <v>1</v>
      </c>
      <c r="D135" t="s">
        <v>5556</v>
      </c>
      <c r="E135" t="s">
        <v>5557</v>
      </c>
      <c r="F135">
        <v>280000</v>
      </c>
      <c r="H135" t="s">
        <v>4372</v>
      </c>
      <c r="I135" t="s">
        <v>5760</v>
      </c>
    </row>
    <row r="136" spans="1:9">
      <c r="A136" t="s">
        <v>5625</v>
      </c>
      <c r="B136" t="s">
        <v>5764</v>
      </c>
      <c r="C136">
        <v>1</v>
      </c>
      <c r="D136" t="s">
        <v>5632</v>
      </c>
      <c r="E136">
        <v>1</v>
      </c>
      <c r="F136">
        <v>20</v>
      </c>
      <c r="H136" t="s">
        <v>4559</v>
      </c>
      <c r="I136" t="s">
        <v>5765</v>
      </c>
    </row>
    <row r="137" spans="1:9">
      <c r="A137" t="s">
        <v>5625</v>
      </c>
      <c r="B137" t="s">
        <v>5766</v>
      </c>
      <c r="C137">
        <v>1</v>
      </c>
      <c r="D137" t="s">
        <v>5632</v>
      </c>
      <c r="E137">
        <v>1</v>
      </c>
      <c r="F137">
        <v>13</v>
      </c>
      <c r="H137" t="s">
        <v>4559</v>
      </c>
      <c r="I137" t="s">
        <v>5765</v>
      </c>
    </row>
    <row r="138" spans="1:9">
      <c r="A138" t="s">
        <v>5625</v>
      </c>
      <c r="B138" t="s">
        <v>5767</v>
      </c>
      <c r="C138">
        <v>1</v>
      </c>
      <c r="D138" t="s">
        <v>5632</v>
      </c>
      <c r="E138">
        <v>1</v>
      </c>
      <c r="F138">
        <v>7.5</v>
      </c>
      <c r="H138" t="s">
        <v>4559</v>
      </c>
      <c r="I138" t="s">
        <v>5765</v>
      </c>
    </row>
    <row r="139" spans="1:9">
      <c r="A139" t="s">
        <v>5676</v>
      </c>
      <c r="B139" t="s">
        <v>5768</v>
      </c>
      <c r="C139">
        <v>1</v>
      </c>
      <c r="D139" t="s">
        <v>5632</v>
      </c>
      <c r="E139">
        <v>0.5</v>
      </c>
      <c r="F139">
        <v>0.5</v>
      </c>
      <c r="H139" t="s">
        <v>4559</v>
      </c>
      <c r="I139" t="s">
        <v>5769</v>
      </c>
    </row>
    <row r="140" spans="1:9">
      <c r="A140" t="s">
        <v>5676</v>
      </c>
      <c r="B140" t="s">
        <v>5770</v>
      </c>
      <c r="C140">
        <v>1</v>
      </c>
      <c r="D140" t="s">
        <v>5632</v>
      </c>
      <c r="E140">
        <v>1</v>
      </c>
      <c r="F140">
        <v>0.4</v>
      </c>
      <c r="H140" t="s">
        <v>4559</v>
      </c>
      <c r="I140" t="s">
        <v>5769</v>
      </c>
    </row>
    <row r="141" spans="1:9">
      <c r="A141" t="s">
        <v>5676</v>
      </c>
      <c r="B141" t="s">
        <v>5771</v>
      </c>
      <c r="C141">
        <v>1</v>
      </c>
      <c r="D141" t="s">
        <v>5632</v>
      </c>
      <c r="E141">
        <v>1</v>
      </c>
      <c r="F141">
        <v>0.5</v>
      </c>
      <c r="H141" t="s">
        <v>4559</v>
      </c>
      <c r="I141" t="s">
        <v>5769</v>
      </c>
    </row>
    <row r="142" spans="1:9">
      <c r="A142" t="s">
        <v>5676</v>
      </c>
      <c r="B142" t="s">
        <v>5772</v>
      </c>
      <c r="C142">
        <v>1</v>
      </c>
      <c r="D142" t="s">
        <v>5632</v>
      </c>
      <c r="E142">
        <v>1</v>
      </c>
      <c r="F142">
        <v>50</v>
      </c>
      <c r="H142" t="s">
        <v>4559</v>
      </c>
      <c r="I142" t="s">
        <v>5769</v>
      </c>
    </row>
    <row r="143" spans="1:9">
      <c r="A143" t="s">
        <v>5649</v>
      </c>
      <c r="B143" t="s">
        <v>5773</v>
      </c>
      <c r="C143">
        <v>1</v>
      </c>
      <c r="D143" t="s">
        <v>5632</v>
      </c>
      <c r="E143">
        <v>0.25</v>
      </c>
      <c r="F143">
        <v>2.8</v>
      </c>
      <c r="H143" t="s">
        <v>4559</v>
      </c>
      <c r="I143" t="s">
        <v>5774</v>
      </c>
    </row>
    <row r="144" spans="1:9">
      <c r="A144" t="s">
        <v>5649</v>
      </c>
      <c r="B144" t="s">
        <v>5775</v>
      </c>
      <c r="C144">
        <v>1</v>
      </c>
      <c r="D144" t="s">
        <v>5632</v>
      </c>
      <c r="E144">
        <v>0.25</v>
      </c>
      <c r="F144">
        <v>3</v>
      </c>
      <c r="H144" t="s">
        <v>4559</v>
      </c>
      <c r="I144" t="s">
        <v>5774</v>
      </c>
    </row>
    <row r="145" spans="1:9">
      <c r="A145" t="s">
        <v>5639</v>
      </c>
      <c r="B145" t="s">
        <v>5776</v>
      </c>
      <c r="C145">
        <v>1</v>
      </c>
      <c r="D145" t="s">
        <v>5556</v>
      </c>
      <c r="E145">
        <v>0.5</v>
      </c>
      <c r="F145">
        <v>15.4</v>
      </c>
      <c r="H145" t="s">
        <v>4630</v>
      </c>
      <c r="I145" t="s">
        <v>5777</v>
      </c>
    </row>
    <row r="146" spans="1:9">
      <c r="A146" t="s">
        <v>5639</v>
      </c>
      <c r="B146" t="s">
        <v>5778</v>
      </c>
      <c r="C146">
        <v>1</v>
      </c>
      <c r="D146" t="s">
        <v>5635</v>
      </c>
      <c r="E146">
        <v>0.08</v>
      </c>
      <c r="F146">
        <v>1.3</v>
      </c>
      <c r="H146" t="s">
        <v>4630</v>
      </c>
      <c r="I146" t="s">
        <v>5779</v>
      </c>
    </row>
    <row r="147" spans="1:9">
      <c r="A147" t="s">
        <v>5639</v>
      </c>
      <c r="B147" t="s">
        <v>5780</v>
      </c>
      <c r="C147">
        <v>1</v>
      </c>
      <c r="D147" t="s">
        <v>5635</v>
      </c>
      <c r="E147">
        <v>0.1</v>
      </c>
      <c r="F147">
        <v>7.5</v>
      </c>
      <c r="H147" t="s">
        <v>4630</v>
      </c>
      <c r="I147" t="s">
        <v>5779</v>
      </c>
    </row>
    <row r="148" spans="1:9">
      <c r="A148" t="s">
        <v>5639</v>
      </c>
      <c r="B148" t="s">
        <v>5781</v>
      </c>
      <c r="C148">
        <v>1</v>
      </c>
      <c r="D148" t="s">
        <v>5556</v>
      </c>
      <c r="E148">
        <v>0.75</v>
      </c>
      <c r="F148">
        <v>18</v>
      </c>
      <c r="H148" t="s">
        <v>4630</v>
      </c>
      <c r="I148" t="s">
        <v>5779</v>
      </c>
    </row>
    <row r="149" spans="1:9">
      <c r="A149" t="s">
        <v>5782</v>
      </c>
      <c r="B149" t="s">
        <v>5783</v>
      </c>
      <c r="C149">
        <v>100</v>
      </c>
      <c r="D149" t="s">
        <v>5784</v>
      </c>
      <c r="E149" t="s">
        <v>5557</v>
      </c>
      <c r="F149">
        <v>5</v>
      </c>
      <c r="H149" t="s">
        <v>4910</v>
      </c>
      <c r="I149" t="s">
        <v>5785</v>
      </c>
    </row>
    <row r="150" spans="1:9">
      <c r="A150" t="s">
        <v>5786</v>
      </c>
      <c r="B150" t="s">
        <v>5787</v>
      </c>
      <c r="C150">
        <v>1</v>
      </c>
      <c r="D150" t="s">
        <v>5556</v>
      </c>
      <c r="E150">
        <v>0.5</v>
      </c>
      <c r="F150">
        <v>32</v>
      </c>
      <c r="H150" t="s">
        <v>4439</v>
      </c>
      <c r="I150" t="s">
        <v>5788</v>
      </c>
    </row>
    <row r="151" spans="1:9">
      <c r="A151" t="s">
        <v>5786</v>
      </c>
      <c r="B151" t="s">
        <v>5789</v>
      </c>
      <c r="C151">
        <v>1</v>
      </c>
      <c r="D151" t="s">
        <v>5556</v>
      </c>
      <c r="E151">
        <v>0.3</v>
      </c>
      <c r="F151">
        <v>20</v>
      </c>
      <c r="H151" t="s">
        <v>4439</v>
      </c>
      <c r="I151" t="s">
        <v>5788</v>
      </c>
    </row>
    <row r="152" spans="1:9">
      <c r="A152" t="s">
        <v>5676</v>
      </c>
      <c r="B152" t="s">
        <v>5790</v>
      </c>
      <c r="C152">
        <v>1</v>
      </c>
      <c r="D152" t="s">
        <v>5698</v>
      </c>
      <c r="E152">
        <v>0.5</v>
      </c>
      <c r="F152">
        <v>0.25</v>
      </c>
      <c r="H152" t="s">
        <v>4567</v>
      </c>
      <c r="I152" t="s">
        <v>5791</v>
      </c>
    </row>
    <row r="153" spans="1:9">
      <c r="A153" t="s">
        <v>5676</v>
      </c>
      <c r="B153" t="s">
        <v>5792</v>
      </c>
      <c r="C153">
        <v>1</v>
      </c>
      <c r="D153" t="s">
        <v>5698</v>
      </c>
      <c r="E153">
        <v>0.1</v>
      </c>
      <c r="F153">
        <v>100</v>
      </c>
      <c r="H153" t="s">
        <v>4567</v>
      </c>
      <c r="I153" t="s">
        <v>5791</v>
      </c>
    </row>
    <row r="154" spans="1:9">
      <c r="A154" t="s">
        <v>5793</v>
      </c>
      <c r="B154" t="s">
        <v>5794</v>
      </c>
      <c r="C154">
        <v>1</v>
      </c>
      <c r="D154" t="s">
        <v>5632</v>
      </c>
      <c r="E154">
        <v>1</v>
      </c>
      <c r="F154">
        <v>3</v>
      </c>
      <c r="G154" t="s">
        <v>5795</v>
      </c>
      <c r="H154" t="s">
        <v>4567</v>
      </c>
      <c r="I154" t="s">
        <v>5796</v>
      </c>
    </row>
    <row r="155" spans="1:9">
      <c r="A155" t="s">
        <v>5676</v>
      </c>
      <c r="B155" t="s">
        <v>5797</v>
      </c>
      <c r="C155">
        <v>1</v>
      </c>
      <c r="D155" t="s">
        <v>5698</v>
      </c>
      <c r="E155">
        <v>0.5</v>
      </c>
      <c r="F155">
        <v>0.08</v>
      </c>
      <c r="H155" t="s">
        <v>4567</v>
      </c>
      <c r="I155" t="s">
        <v>5798</v>
      </c>
    </row>
    <row r="156" spans="1:9">
      <c r="A156" t="s">
        <v>5676</v>
      </c>
      <c r="B156" t="s">
        <v>5799</v>
      </c>
      <c r="C156">
        <v>1</v>
      </c>
      <c r="D156" t="s">
        <v>5698</v>
      </c>
      <c r="E156">
        <v>0.5</v>
      </c>
      <c r="F156">
        <v>0.02</v>
      </c>
      <c r="H156" t="s">
        <v>4567</v>
      </c>
      <c r="I156" t="s">
        <v>5798</v>
      </c>
    </row>
    <row r="157" spans="1:9">
      <c r="A157" t="s">
        <v>5676</v>
      </c>
      <c r="B157" t="s">
        <v>5800</v>
      </c>
      <c r="C157">
        <v>1</v>
      </c>
      <c r="D157" t="s">
        <v>5698</v>
      </c>
      <c r="E157">
        <v>0.5</v>
      </c>
      <c r="F157">
        <v>2.5000000000000001E-2</v>
      </c>
      <c r="H157" t="s">
        <v>4567</v>
      </c>
      <c r="I157" t="s">
        <v>5798</v>
      </c>
    </row>
    <row r="158" spans="1:9">
      <c r="A158" t="s">
        <v>5676</v>
      </c>
      <c r="B158" t="s">
        <v>5801</v>
      </c>
      <c r="C158">
        <v>1</v>
      </c>
      <c r="D158" t="s">
        <v>5698</v>
      </c>
      <c r="E158">
        <v>0.5</v>
      </c>
      <c r="F158">
        <v>0.03</v>
      </c>
      <c r="H158" t="s">
        <v>4567</v>
      </c>
      <c r="I158" t="s">
        <v>5798</v>
      </c>
    </row>
    <row r="159" spans="1:9">
      <c r="A159" t="s">
        <v>5676</v>
      </c>
      <c r="B159" t="s">
        <v>5802</v>
      </c>
      <c r="C159">
        <v>1</v>
      </c>
      <c r="D159" t="s">
        <v>5698</v>
      </c>
      <c r="E159">
        <v>0.5</v>
      </c>
      <c r="F159">
        <v>0.04</v>
      </c>
      <c r="H159" t="s">
        <v>4567</v>
      </c>
      <c r="I159" t="s">
        <v>5798</v>
      </c>
    </row>
    <row r="160" spans="1:9">
      <c r="A160" t="s">
        <v>5676</v>
      </c>
      <c r="B160" t="s">
        <v>5803</v>
      </c>
      <c r="C160">
        <v>1</v>
      </c>
      <c r="D160" t="s">
        <v>5698</v>
      </c>
      <c r="E160">
        <v>0.5</v>
      </c>
      <c r="F160">
        <v>0.05</v>
      </c>
      <c r="H160" t="s">
        <v>4567</v>
      </c>
      <c r="I160" t="s">
        <v>5798</v>
      </c>
    </row>
    <row r="161" spans="1:9">
      <c r="A161" t="s">
        <v>5676</v>
      </c>
      <c r="B161" t="s">
        <v>5804</v>
      </c>
      <c r="C161">
        <v>1</v>
      </c>
      <c r="D161" t="s">
        <v>5698</v>
      </c>
      <c r="E161">
        <v>3</v>
      </c>
      <c r="F161">
        <v>40</v>
      </c>
      <c r="H161" t="s">
        <v>4567</v>
      </c>
      <c r="I161" t="s">
        <v>5798</v>
      </c>
    </row>
    <row r="162" spans="1:9">
      <c r="A162" t="s">
        <v>5649</v>
      </c>
      <c r="B162" t="s">
        <v>5805</v>
      </c>
      <c r="C162">
        <v>1</v>
      </c>
      <c r="D162" t="s">
        <v>5556</v>
      </c>
      <c r="E162">
        <v>0.25</v>
      </c>
      <c r="F162">
        <v>0.5</v>
      </c>
      <c r="H162" t="s">
        <v>4567</v>
      </c>
      <c r="I162" t="s">
        <v>5806</v>
      </c>
    </row>
    <row r="163" spans="1:9">
      <c r="A163" t="s">
        <v>5625</v>
      </c>
      <c r="B163" t="s">
        <v>5807</v>
      </c>
      <c r="C163">
        <v>1</v>
      </c>
      <c r="D163" t="s">
        <v>5641</v>
      </c>
      <c r="E163">
        <v>0.2</v>
      </c>
      <c r="F163">
        <v>66</v>
      </c>
      <c r="H163" t="s">
        <v>4567</v>
      </c>
      <c r="I163" t="s">
        <v>5808</v>
      </c>
    </row>
    <row r="164" spans="1:9">
      <c r="A164" t="s">
        <v>5782</v>
      </c>
      <c r="B164" t="s">
        <v>5809</v>
      </c>
      <c r="C164">
        <v>100</v>
      </c>
      <c r="D164" t="s">
        <v>5784</v>
      </c>
      <c r="E164" t="s">
        <v>5557</v>
      </c>
      <c r="F164">
        <v>1</v>
      </c>
      <c r="H164" t="s">
        <v>4902</v>
      </c>
      <c r="I164" t="s">
        <v>5810</v>
      </c>
    </row>
    <row r="165" spans="1:9">
      <c r="A165" t="s">
        <v>5811</v>
      </c>
      <c r="B165" t="s">
        <v>5812</v>
      </c>
      <c r="C165">
        <v>1</v>
      </c>
      <c r="D165" t="s">
        <v>5556</v>
      </c>
      <c r="E165">
        <v>0.02</v>
      </c>
      <c r="F165">
        <v>0.02</v>
      </c>
      <c r="H165" t="s">
        <v>4902</v>
      </c>
      <c r="I165" t="s">
        <v>5811</v>
      </c>
    </row>
    <row r="166" spans="1:9">
      <c r="A166" t="s">
        <v>5811</v>
      </c>
      <c r="B166" t="s">
        <v>5813</v>
      </c>
      <c r="C166">
        <v>1</v>
      </c>
      <c r="D166" t="s">
        <v>5556</v>
      </c>
      <c r="E166">
        <v>1</v>
      </c>
      <c r="F166">
        <v>1</v>
      </c>
      <c r="H166" t="s">
        <v>4902</v>
      </c>
      <c r="I166" t="s">
        <v>5811</v>
      </c>
    </row>
    <row r="167" spans="1:9">
      <c r="A167" t="s">
        <v>5811</v>
      </c>
      <c r="B167" t="s">
        <v>5814</v>
      </c>
      <c r="C167">
        <v>1</v>
      </c>
      <c r="D167" t="s">
        <v>5784</v>
      </c>
      <c r="E167" t="s">
        <v>5557</v>
      </c>
      <c r="F167">
        <v>0.2</v>
      </c>
      <c r="H167" t="s">
        <v>4902</v>
      </c>
      <c r="I167" t="s">
        <v>5811</v>
      </c>
    </row>
    <row r="168" spans="1:9">
      <c r="A168" t="s">
        <v>5782</v>
      </c>
      <c r="B168" t="s">
        <v>5815</v>
      </c>
      <c r="C168">
        <v>100</v>
      </c>
      <c r="D168" t="s">
        <v>5784</v>
      </c>
      <c r="E168" t="s">
        <v>5557</v>
      </c>
      <c r="F168">
        <v>4</v>
      </c>
      <c r="H168" t="s">
        <v>4902</v>
      </c>
      <c r="I168" t="s">
        <v>5816</v>
      </c>
    </row>
    <row r="169" spans="1:9">
      <c r="A169" t="s">
        <v>5782</v>
      </c>
      <c r="B169" t="s">
        <v>5817</v>
      </c>
      <c r="C169">
        <v>100</v>
      </c>
      <c r="D169" t="s">
        <v>5784</v>
      </c>
      <c r="E169" t="s">
        <v>5557</v>
      </c>
      <c r="F169">
        <v>12</v>
      </c>
      <c r="H169" t="s">
        <v>4916</v>
      </c>
      <c r="I169" t="s">
        <v>5818</v>
      </c>
    </row>
    <row r="170" spans="1:9">
      <c r="A170" t="s">
        <v>5782</v>
      </c>
      <c r="B170" t="s">
        <v>5819</v>
      </c>
      <c r="C170">
        <v>100</v>
      </c>
      <c r="D170" t="s">
        <v>5784</v>
      </c>
      <c r="E170" t="s">
        <v>5557</v>
      </c>
      <c r="F170">
        <v>1</v>
      </c>
      <c r="H170" t="s">
        <v>4916</v>
      </c>
      <c r="I170" t="s">
        <v>5818</v>
      </c>
    </row>
    <row r="171" spans="1:9">
      <c r="A171" t="s">
        <v>5782</v>
      </c>
      <c r="B171" t="s">
        <v>5820</v>
      </c>
      <c r="C171">
        <v>100</v>
      </c>
      <c r="D171" t="s">
        <v>5784</v>
      </c>
      <c r="E171" t="s">
        <v>5557</v>
      </c>
      <c r="F171">
        <v>3</v>
      </c>
      <c r="H171" t="s">
        <v>4916</v>
      </c>
      <c r="I171" t="s">
        <v>5818</v>
      </c>
    </row>
    <row r="172" spans="1:9">
      <c r="A172" t="s">
        <v>5782</v>
      </c>
      <c r="B172" t="s">
        <v>5821</v>
      </c>
      <c r="C172">
        <v>100</v>
      </c>
      <c r="D172" t="s">
        <v>5784</v>
      </c>
      <c r="E172" t="s">
        <v>5557</v>
      </c>
      <c r="F172">
        <v>2</v>
      </c>
      <c r="H172" t="s">
        <v>4916</v>
      </c>
      <c r="I172" t="s">
        <v>5822</v>
      </c>
    </row>
    <row r="173" spans="1:9">
      <c r="A173" t="s">
        <v>5782</v>
      </c>
      <c r="B173" t="s">
        <v>5823</v>
      </c>
      <c r="C173">
        <v>100</v>
      </c>
      <c r="D173" t="s">
        <v>5784</v>
      </c>
      <c r="E173" t="s">
        <v>5557</v>
      </c>
      <c r="F173">
        <v>35</v>
      </c>
      <c r="H173" t="s">
        <v>4916</v>
      </c>
      <c r="I173" t="s">
        <v>5824</v>
      </c>
    </row>
    <row r="174" spans="1:9">
      <c r="A174" t="s">
        <v>5782</v>
      </c>
      <c r="B174" t="s">
        <v>5825</v>
      </c>
      <c r="C174">
        <v>1</v>
      </c>
      <c r="D174" t="s">
        <v>5826</v>
      </c>
      <c r="E174" t="s">
        <v>5557</v>
      </c>
      <c r="F174">
        <v>1.4999999999999999E-2</v>
      </c>
      <c r="H174" t="s">
        <v>4916</v>
      </c>
      <c r="I174" t="s">
        <v>5827</v>
      </c>
    </row>
    <row r="175" spans="1:9">
      <c r="A175" t="s">
        <v>5782</v>
      </c>
      <c r="B175" t="s">
        <v>5828</v>
      </c>
      <c r="C175">
        <v>100</v>
      </c>
      <c r="D175" t="s">
        <v>5784</v>
      </c>
      <c r="E175" t="s">
        <v>5557</v>
      </c>
      <c r="F175">
        <v>15</v>
      </c>
      <c r="H175" t="s">
        <v>4916</v>
      </c>
      <c r="I175" t="s">
        <v>5827</v>
      </c>
    </row>
    <row r="176" spans="1:9">
      <c r="A176" t="s">
        <v>5829</v>
      </c>
      <c r="B176" t="s">
        <v>5830</v>
      </c>
      <c r="C176">
        <v>1</v>
      </c>
      <c r="D176" t="s">
        <v>5700</v>
      </c>
      <c r="E176" t="s">
        <v>5557</v>
      </c>
      <c r="F176">
        <v>0.4</v>
      </c>
      <c r="H176" t="s">
        <v>4916</v>
      </c>
      <c r="I176" t="s">
        <v>5831</v>
      </c>
    </row>
    <row r="177" spans="1:9">
      <c r="A177" t="s">
        <v>5829</v>
      </c>
      <c r="B177" t="s">
        <v>5832</v>
      </c>
      <c r="C177">
        <v>1</v>
      </c>
      <c r="D177" t="s">
        <v>5700</v>
      </c>
      <c r="E177" t="s">
        <v>5557</v>
      </c>
      <c r="F177">
        <v>0.05</v>
      </c>
      <c r="H177" t="s">
        <v>4916</v>
      </c>
      <c r="I177" t="s">
        <v>5831</v>
      </c>
    </row>
    <row r="178" spans="1:9">
      <c r="A178" t="s">
        <v>5829</v>
      </c>
      <c r="B178" t="s">
        <v>5833</v>
      </c>
      <c r="C178">
        <v>1</v>
      </c>
      <c r="D178" t="s">
        <v>5556</v>
      </c>
      <c r="E178" t="s">
        <v>5557</v>
      </c>
      <c r="F178">
        <v>0.25</v>
      </c>
      <c r="H178" t="s">
        <v>4916</v>
      </c>
      <c r="I178" t="s">
        <v>5831</v>
      </c>
    </row>
    <row r="179" spans="1:9">
      <c r="A179" t="s">
        <v>5829</v>
      </c>
      <c r="B179" t="s">
        <v>5834</v>
      </c>
      <c r="C179">
        <v>10</v>
      </c>
      <c r="D179" t="s">
        <v>5835</v>
      </c>
      <c r="E179" t="s">
        <v>5557</v>
      </c>
      <c r="F179" t="s">
        <v>5558</v>
      </c>
      <c r="H179" t="s">
        <v>4916</v>
      </c>
      <c r="I179" t="s">
        <v>5831</v>
      </c>
    </row>
    <row r="180" spans="1:9">
      <c r="A180" t="s">
        <v>5654</v>
      </c>
      <c r="B180" t="s">
        <v>5836</v>
      </c>
      <c r="C180">
        <v>1</v>
      </c>
      <c r="D180" t="s">
        <v>5556</v>
      </c>
      <c r="E180">
        <v>0.25</v>
      </c>
      <c r="F180">
        <v>15</v>
      </c>
      <c r="H180" t="s">
        <v>4380</v>
      </c>
      <c r="I180" t="s">
        <v>5837</v>
      </c>
    </row>
    <row r="181" spans="1:9">
      <c r="A181" t="s">
        <v>5838</v>
      </c>
      <c r="B181" t="s">
        <v>5839</v>
      </c>
      <c r="C181">
        <v>1</v>
      </c>
      <c r="D181" t="s">
        <v>5556</v>
      </c>
      <c r="E181">
        <v>0.1</v>
      </c>
      <c r="F181">
        <v>1.2</v>
      </c>
      <c r="H181" t="s">
        <v>4380</v>
      </c>
      <c r="I181" t="s">
        <v>5840</v>
      </c>
    </row>
    <row r="182" spans="1:9">
      <c r="A182" t="s">
        <v>5838</v>
      </c>
      <c r="B182" t="s">
        <v>5841</v>
      </c>
      <c r="C182">
        <v>1</v>
      </c>
      <c r="D182" t="s">
        <v>5556</v>
      </c>
      <c r="E182">
        <v>0.25</v>
      </c>
      <c r="F182">
        <v>2.42</v>
      </c>
      <c r="H182" t="s">
        <v>4380</v>
      </c>
      <c r="I182" t="s">
        <v>5840</v>
      </c>
    </row>
    <row r="183" spans="1:9">
      <c r="A183" t="s">
        <v>5838</v>
      </c>
      <c r="B183" t="s">
        <v>5842</v>
      </c>
      <c r="C183">
        <v>1</v>
      </c>
      <c r="D183" t="s">
        <v>5556</v>
      </c>
      <c r="E183">
        <v>0.1</v>
      </c>
      <c r="F183">
        <v>1.2</v>
      </c>
      <c r="H183" t="s">
        <v>4380</v>
      </c>
      <c r="I183" t="s">
        <v>5840</v>
      </c>
    </row>
    <row r="184" spans="1:9">
      <c r="A184" t="s">
        <v>5838</v>
      </c>
      <c r="B184" t="s">
        <v>5843</v>
      </c>
      <c r="C184">
        <v>1</v>
      </c>
      <c r="D184" t="s">
        <v>5556</v>
      </c>
      <c r="E184">
        <v>0.5</v>
      </c>
      <c r="F184">
        <v>4.4000000000000004</v>
      </c>
      <c r="H184" t="s">
        <v>4380</v>
      </c>
      <c r="I184" t="s">
        <v>5840</v>
      </c>
    </row>
    <row r="185" spans="1:9">
      <c r="A185" t="s">
        <v>5844</v>
      </c>
      <c r="B185" t="s">
        <v>5845</v>
      </c>
      <c r="C185">
        <v>1</v>
      </c>
      <c r="D185" t="s">
        <v>5556</v>
      </c>
      <c r="E185">
        <v>1</v>
      </c>
      <c r="F185">
        <v>93</v>
      </c>
      <c r="H185" t="s">
        <v>4380</v>
      </c>
      <c r="I185" t="s">
        <v>5840</v>
      </c>
    </row>
    <row r="186" spans="1:9">
      <c r="A186" t="s">
        <v>5838</v>
      </c>
      <c r="B186" t="s">
        <v>5846</v>
      </c>
      <c r="C186">
        <v>1</v>
      </c>
      <c r="D186" t="s">
        <v>5556</v>
      </c>
      <c r="E186">
        <v>0.1</v>
      </c>
      <c r="F186">
        <v>17.600000000000001</v>
      </c>
      <c r="H186" t="s">
        <v>4380</v>
      </c>
      <c r="I186" t="s">
        <v>5847</v>
      </c>
    </row>
    <row r="187" spans="1:9">
      <c r="A187" t="s">
        <v>5633</v>
      </c>
      <c r="B187" t="s">
        <v>5848</v>
      </c>
      <c r="C187">
        <v>1</v>
      </c>
      <c r="D187" t="s">
        <v>5556</v>
      </c>
      <c r="E187">
        <v>0.1</v>
      </c>
      <c r="F187">
        <v>11</v>
      </c>
      <c r="H187" t="s">
        <v>4380</v>
      </c>
      <c r="I187" t="s">
        <v>5849</v>
      </c>
    </row>
    <row r="188" spans="1:9">
      <c r="A188" t="s">
        <v>5850</v>
      </c>
      <c r="B188" t="s">
        <v>5848</v>
      </c>
      <c r="C188">
        <v>1</v>
      </c>
      <c r="D188" t="s">
        <v>5556</v>
      </c>
      <c r="E188">
        <v>0.1</v>
      </c>
      <c r="F188">
        <v>11</v>
      </c>
      <c r="H188" t="s">
        <v>4380</v>
      </c>
      <c r="I188" t="s">
        <v>5849</v>
      </c>
    </row>
    <row r="189" spans="1:9">
      <c r="A189" t="s">
        <v>5850</v>
      </c>
      <c r="B189" t="s">
        <v>5851</v>
      </c>
      <c r="C189">
        <v>1</v>
      </c>
      <c r="D189" t="s">
        <v>5556</v>
      </c>
      <c r="E189">
        <v>0.08</v>
      </c>
      <c r="F189">
        <v>90</v>
      </c>
      <c r="H189" t="s">
        <v>4380</v>
      </c>
      <c r="I189" t="s">
        <v>5849</v>
      </c>
    </row>
    <row r="190" spans="1:9">
      <c r="A190" t="s">
        <v>5850</v>
      </c>
      <c r="B190" t="s">
        <v>5852</v>
      </c>
      <c r="C190">
        <v>1</v>
      </c>
      <c r="D190" t="s">
        <v>5556</v>
      </c>
      <c r="E190">
        <v>0.08</v>
      </c>
      <c r="F190">
        <v>155</v>
      </c>
      <c r="H190" t="s">
        <v>4380</v>
      </c>
      <c r="I190" t="s">
        <v>5849</v>
      </c>
    </row>
    <row r="191" spans="1:9">
      <c r="A191" t="s">
        <v>5850</v>
      </c>
      <c r="B191" t="s">
        <v>5853</v>
      </c>
      <c r="C191">
        <v>1</v>
      </c>
      <c r="D191" t="s">
        <v>5556</v>
      </c>
      <c r="E191">
        <v>0.08</v>
      </c>
      <c r="F191">
        <v>140</v>
      </c>
      <c r="H191" t="s">
        <v>4380</v>
      </c>
      <c r="I191" t="s">
        <v>5849</v>
      </c>
    </row>
    <row r="192" spans="1:9">
      <c r="A192" t="s">
        <v>5850</v>
      </c>
      <c r="B192" t="s">
        <v>5854</v>
      </c>
      <c r="C192">
        <v>1</v>
      </c>
      <c r="D192" t="s">
        <v>5556</v>
      </c>
      <c r="E192">
        <v>1.25</v>
      </c>
      <c r="F192">
        <v>360</v>
      </c>
      <c r="H192" t="s">
        <v>4380</v>
      </c>
      <c r="I192" t="s">
        <v>5849</v>
      </c>
    </row>
    <row r="193" spans="1:9">
      <c r="A193" t="s">
        <v>5850</v>
      </c>
      <c r="B193" t="s">
        <v>5855</v>
      </c>
      <c r="C193">
        <v>1</v>
      </c>
      <c r="D193" t="s">
        <v>5556</v>
      </c>
      <c r="E193">
        <v>4</v>
      </c>
      <c r="F193">
        <v>1500</v>
      </c>
      <c r="H193" t="s">
        <v>4380</v>
      </c>
      <c r="I193" t="s">
        <v>5849</v>
      </c>
    </row>
    <row r="194" spans="1:9">
      <c r="A194" t="s">
        <v>5850</v>
      </c>
      <c r="B194" t="s">
        <v>5856</v>
      </c>
      <c r="C194">
        <v>1</v>
      </c>
      <c r="D194" t="s">
        <v>5556</v>
      </c>
      <c r="E194">
        <v>0.5</v>
      </c>
      <c r="F194">
        <v>175</v>
      </c>
      <c r="H194" t="s">
        <v>4380</v>
      </c>
      <c r="I194" t="s">
        <v>5849</v>
      </c>
    </row>
    <row r="195" spans="1:9">
      <c r="A195" t="s">
        <v>5850</v>
      </c>
      <c r="B195" t="s">
        <v>5857</v>
      </c>
      <c r="C195">
        <v>1</v>
      </c>
      <c r="D195" t="s">
        <v>5556</v>
      </c>
      <c r="E195">
        <v>0.13</v>
      </c>
      <c r="F195">
        <v>176</v>
      </c>
      <c r="H195" t="s">
        <v>4380</v>
      </c>
      <c r="I195" t="s">
        <v>5849</v>
      </c>
    </row>
    <row r="196" spans="1:9">
      <c r="A196" t="s">
        <v>5850</v>
      </c>
      <c r="B196" t="s">
        <v>5858</v>
      </c>
      <c r="C196">
        <v>1</v>
      </c>
      <c r="D196" t="s">
        <v>5556</v>
      </c>
      <c r="E196">
        <v>0.05</v>
      </c>
      <c r="F196">
        <v>51</v>
      </c>
      <c r="H196" t="s">
        <v>4380</v>
      </c>
      <c r="I196" t="s">
        <v>5849</v>
      </c>
    </row>
    <row r="197" spans="1:9">
      <c r="A197" t="s">
        <v>5654</v>
      </c>
      <c r="B197" t="s">
        <v>5859</v>
      </c>
      <c r="C197">
        <v>1</v>
      </c>
      <c r="D197" t="s">
        <v>5556</v>
      </c>
      <c r="E197">
        <v>0.75</v>
      </c>
      <c r="F197">
        <v>32</v>
      </c>
      <c r="H197" t="s">
        <v>4380</v>
      </c>
      <c r="I197" t="s">
        <v>5849</v>
      </c>
    </row>
    <row r="198" spans="1:9">
      <c r="A198" t="s">
        <v>5860</v>
      </c>
      <c r="B198" t="s">
        <v>5861</v>
      </c>
      <c r="C198">
        <v>1</v>
      </c>
      <c r="D198" t="s">
        <v>5556</v>
      </c>
      <c r="E198">
        <v>9</v>
      </c>
      <c r="F198">
        <v>45</v>
      </c>
      <c r="H198" t="s">
        <v>4380</v>
      </c>
      <c r="I198" t="s">
        <v>5862</v>
      </c>
    </row>
    <row r="199" spans="1:9">
      <c r="A199" t="s">
        <v>5850</v>
      </c>
      <c r="B199" t="s">
        <v>5863</v>
      </c>
      <c r="C199">
        <v>1</v>
      </c>
      <c r="D199" t="s">
        <v>5556</v>
      </c>
      <c r="E199">
        <v>5</v>
      </c>
      <c r="F199">
        <v>792</v>
      </c>
      <c r="H199" t="s">
        <v>4380</v>
      </c>
      <c r="I199" t="s">
        <v>5862</v>
      </c>
    </row>
    <row r="200" spans="1:9">
      <c r="A200" t="s">
        <v>5850</v>
      </c>
      <c r="B200" t="s">
        <v>5864</v>
      </c>
      <c r="C200">
        <v>1</v>
      </c>
      <c r="D200" t="s">
        <v>5556</v>
      </c>
      <c r="E200">
        <v>0.38</v>
      </c>
      <c r="F200">
        <v>36</v>
      </c>
      <c r="H200" t="s">
        <v>4380</v>
      </c>
      <c r="I200" t="s">
        <v>5862</v>
      </c>
    </row>
    <row r="201" spans="1:9">
      <c r="A201" t="s">
        <v>5654</v>
      </c>
      <c r="B201" t="s">
        <v>5865</v>
      </c>
      <c r="C201">
        <v>1</v>
      </c>
      <c r="D201" t="s">
        <v>5556</v>
      </c>
      <c r="E201">
        <v>0.3</v>
      </c>
      <c r="F201">
        <v>300</v>
      </c>
      <c r="H201" t="s">
        <v>4380</v>
      </c>
      <c r="I201" t="s">
        <v>5862</v>
      </c>
    </row>
    <row r="202" spans="1:9">
      <c r="A202" t="s">
        <v>5654</v>
      </c>
      <c r="B202" t="s">
        <v>5866</v>
      </c>
      <c r="C202">
        <v>1</v>
      </c>
      <c r="D202" t="s">
        <v>5556</v>
      </c>
      <c r="E202">
        <v>2</v>
      </c>
      <c r="F202">
        <v>528</v>
      </c>
      <c r="H202" t="s">
        <v>4380</v>
      </c>
      <c r="I202" t="s">
        <v>5862</v>
      </c>
    </row>
    <row r="203" spans="1:9">
      <c r="A203" t="s">
        <v>5867</v>
      </c>
      <c r="B203" t="s">
        <v>5868</v>
      </c>
      <c r="C203">
        <v>1</v>
      </c>
      <c r="D203" t="s">
        <v>5556</v>
      </c>
      <c r="E203">
        <v>0.02</v>
      </c>
      <c r="F203">
        <v>2.2000000000000002</v>
      </c>
      <c r="G203" t="s">
        <v>5869</v>
      </c>
      <c r="H203" t="s">
        <v>5870</v>
      </c>
      <c r="I203" t="s">
        <v>5871</v>
      </c>
    </row>
    <row r="204" spans="1:9">
      <c r="A204" t="s">
        <v>5867</v>
      </c>
      <c r="B204" t="s">
        <v>5872</v>
      </c>
      <c r="C204">
        <v>1</v>
      </c>
      <c r="D204" t="s">
        <v>5556</v>
      </c>
      <c r="E204">
        <v>0.25</v>
      </c>
      <c r="F204">
        <v>1.8</v>
      </c>
      <c r="G204" t="s">
        <v>5869</v>
      </c>
      <c r="H204" t="s">
        <v>5870</v>
      </c>
      <c r="I204" t="s">
        <v>5871</v>
      </c>
    </row>
    <row r="205" spans="1:9">
      <c r="A205" t="s">
        <v>5838</v>
      </c>
      <c r="B205" t="s">
        <v>5873</v>
      </c>
      <c r="C205">
        <v>1</v>
      </c>
      <c r="D205" t="s">
        <v>5746</v>
      </c>
      <c r="E205">
        <v>0.5</v>
      </c>
      <c r="F205">
        <v>1100</v>
      </c>
      <c r="H205" t="s">
        <v>5870</v>
      </c>
      <c r="I205" t="s">
        <v>5870</v>
      </c>
    </row>
    <row r="206" spans="1:9">
      <c r="A206" t="s">
        <v>5838</v>
      </c>
      <c r="B206" t="s">
        <v>5874</v>
      </c>
      <c r="C206">
        <v>1</v>
      </c>
      <c r="D206" t="s">
        <v>5556</v>
      </c>
      <c r="E206">
        <v>0.5</v>
      </c>
      <c r="F206">
        <v>1100</v>
      </c>
      <c r="H206" t="s">
        <v>5870</v>
      </c>
      <c r="I206" t="s">
        <v>5870</v>
      </c>
    </row>
    <row r="207" spans="1:9">
      <c r="A207" t="s">
        <v>5860</v>
      </c>
      <c r="B207" t="s">
        <v>5875</v>
      </c>
      <c r="C207">
        <v>1</v>
      </c>
      <c r="D207" t="s">
        <v>5556</v>
      </c>
      <c r="E207">
        <v>10</v>
      </c>
      <c r="F207">
        <v>2200</v>
      </c>
      <c r="H207" t="s">
        <v>5870</v>
      </c>
      <c r="I207" t="s">
        <v>5870</v>
      </c>
    </row>
    <row r="208" spans="1:9">
      <c r="A208" t="s">
        <v>5860</v>
      </c>
      <c r="B208" t="s">
        <v>5876</v>
      </c>
      <c r="C208">
        <v>1</v>
      </c>
      <c r="D208" t="s">
        <v>5556</v>
      </c>
      <c r="E208">
        <v>1.25</v>
      </c>
      <c r="F208">
        <v>270</v>
      </c>
      <c r="H208" t="s">
        <v>5870</v>
      </c>
      <c r="I208" t="s">
        <v>5870</v>
      </c>
    </row>
    <row r="209" spans="1:9">
      <c r="A209" t="s">
        <v>5867</v>
      </c>
      <c r="B209" t="s">
        <v>5877</v>
      </c>
      <c r="C209">
        <v>1</v>
      </c>
      <c r="D209" t="s">
        <v>5556</v>
      </c>
      <c r="E209">
        <v>0.1</v>
      </c>
      <c r="F209">
        <v>100</v>
      </c>
      <c r="G209" t="s">
        <v>5869</v>
      </c>
      <c r="H209" t="s">
        <v>5870</v>
      </c>
      <c r="I209" t="s">
        <v>5870</v>
      </c>
    </row>
    <row r="210" spans="1:9">
      <c r="A210" t="s">
        <v>5867</v>
      </c>
      <c r="B210" t="s">
        <v>5878</v>
      </c>
      <c r="C210">
        <v>1</v>
      </c>
      <c r="D210" t="s">
        <v>5556</v>
      </c>
      <c r="E210">
        <v>0.37</v>
      </c>
      <c r="F210">
        <v>875</v>
      </c>
      <c r="G210" t="s">
        <v>5869</v>
      </c>
      <c r="H210" t="s">
        <v>5870</v>
      </c>
      <c r="I210" t="s">
        <v>5870</v>
      </c>
    </row>
    <row r="211" spans="1:9">
      <c r="A211" t="s">
        <v>5867</v>
      </c>
      <c r="B211" t="s">
        <v>5879</v>
      </c>
      <c r="C211">
        <v>1</v>
      </c>
      <c r="D211" t="s">
        <v>5556</v>
      </c>
      <c r="E211">
        <v>0.1</v>
      </c>
      <c r="F211">
        <v>88</v>
      </c>
      <c r="G211" t="s">
        <v>5869</v>
      </c>
      <c r="H211" t="s">
        <v>5870</v>
      </c>
      <c r="I211" t="s">
        <v>5870</v>
      </c>
    </row>
    <row r="212" spans="1:9">
      <c r="A212" t="s">
        <v>5867</v>
      </c>
      <c r="B212" t="s">
        <v>5880</v>
      </c>
      <c r="C212">
        <v>1</v>
      </c>
      <c r="D212" t="s">
        <v>5556</v>
      </c>
      <c r="E212">
        <v>0.1</v>
      </c>
      <c r="F212">
        <v>88</v>
      </c>
      <c r="G212" t="s">
        <v>5869</v>
      </c>
      <c r="H212" t="s">
        <v>5870</v>
      </c>
      <c r="I212" t="s">
        <v>5870</v>
      </c>
    </row>
    <row r="213" spans="1:9">
      <c r="A213" t="s">
        <v>5867</v>
      </c>
      <c r="B213" t="s">
        <v>5881</v>
      </c>
      <c r="C213">
        <v>1</v>
      </c>
      <c r="D213" t="s">
        <v>5556</v>
      </c>
      <c r="E213">
        <v>0.1</v>
      </c>
      <c r="F213">
        <v>88</v>
      </c>
      <c r="G213" t="s">
        <v>5869</v>
      </c>
      <c r="H213" t="s">
        <v>5870</v>
      </c>
      <c r="I213" t="s">
        <v>5870</v>
      </c>
    </row>
    <row r="214" spans="1:9">
      <c r="A214" t="s">
        <v>5867</v>
      </c>
      <c r="B214" t="s">
        <v>5882</v>
      </c>
      <c r="C214">
        <v>1</v>
      </c>
      <c r="D214" t="s">
        <v>5556</v>
      </c>
      <c r="E214">
        <v>0.1</v>
      </c>
      <c r="F214">
        <v>100</v>
      </c>
      <c r="G214" t="s">
        <v>5869</v>
      </c>
      <c r="H214" t="s">
        <v>5870</v>
      </c>
      <c r="I214" t="s">
        <v>5870</v>
      </c>
    </row>
    <row r="215" spans="1:9">
      <c r="A215" t="s">
        <v>5867</v>
      </c>
      <c r="B215" t="s">
        <v>5883</v>
      </c>
      <c r="C215">
        <v>1</v>
      </c>
      <c r="D215" t="s">
        <v>5556</v>
      </c>
      <c r="E215">
        <v>0.3</v>
      </c>
      <c r="F215">
        <v>260</v>
      </c>
      <c r="G215" t="s">
        <v>5869</v>
      </c>
      <c r="H215" t="s">
        <v>5870</v>
      </c>
      <c r="I215" t="s">
        <v>5870</v>
      </c>
    </row>
    <row r="216" spans="1:9">
      <c r="A216" t="s">
        <v>5838</v>
      </c>
      <c r="B216" t="s">
        <v>5884</v>
      </c>
      <c r="C216">
        <v>1</v>
      </c>
      <c r="D216" t="s">
        <v>5556</v>
      </c>
      <c r="E216">
        <v>2</v>
      </c>
      <c r="F216">
        <v>66</v>
      </c>
      <c r="H216" t="s">
        <v>5870</v>
      </c>
      <c r="I216" t="s">
        <v>5885</v>
      </c>
    </row>
    <row r="217" spans="1:9">
      <c r="A217" t="s">
        <v>5850</v>
      </c>
      <c r="B217" t="s">
        <v>5886</v>
      </c>
      <c r="C217">
        <v>1</v>
      </c>
      <c r="D217" t="s">
        <v>5556</v>
      </c>
      <c r="E217">
        <v>0.5</v>
      </c>
      <c r="F217">
        <v>5.3</v>
      </c>
      <c r="H217" t="s">
        <v>5870</v>
      </c>
      <c r="I217" t="s">
        <v>5885</v>
      </c>
    </row>
    <row r="218" spans="1:9">
      <c r="A218" t="s">
        <v>5838</v>
      </c>
      <c r="B218" t="s">
        <v>5887</v>
      </c>
      <c r="C218">
        <v>1</v>
      </c>
      <c r="D218" t="s">
        <v>5746</v>
      </c>
      <c r="E218">
        <v>0.3</v>
      </c>
      <c r="F218">
        <v>44</v>
      </c>
      <c r="H218" t="s">
        <v>5870</v>
      </c>
      <c r="I218" t="s">
        <v>5888</v>
      </c>
    </row>
    <row r="219" spans="1:9">
      <c r="A219" t="s">
        <v>5838</v>
      </c>
      <c r="B219" t="s">
        <v>5889</v>
      </c>
      <c r="C219">
        <v>1</v>
      </c>
      <c r="D219" t="s">
        <v>5556</v>
      </c>
      <c r="E219">
        <v>0.25</v>
      </c>
      <c r="F219">
        <v>44</v>
      </c>
      <c r="H219" t="s">
        <v>5870</v>
      </c>
      <c r="I219" t="s">
        <v>5888</v>
      </c>
    </row>
    <row r="220" spans="1:9">
      <c r="A220" t="s">
        <v>5838</v>
      </c>
      <c r="B220" t="s">
        <v>5890</v>
      </c>
      <c r="C220">
        <v>1</v>
      </c>
      <c r="D220" t="s">
        <v>5556</v>
      </c>
      <c r="E220">
        <v>0.25</v>
      </c>
      <c r="F220">
        <v>5.28</v>
      </c>
      <c r="H220" t="s">
        <v>5870</v>
      </c>
      <c r="I220" t="s">
        <v>5888</v>
      </c>
    </row>
    <row r="221" spans="1:9">
      <c r="A221" t="s">
        <v>5844</v>
      </c>
      <c r="B221" t="s">
        <v>5891</v>
      </c>
      <c r="C221">
        <v>1</v>
      </c>
      <c r="D221" t="s">
        <v>5556</v>
      </c>
      <c r="E221">
        <v>0.05</v>
      </c>
      <c r="F221">
        <v>1.3</v>
      </c>
      <c r="H221" t="s">
        <v>5870</v>
      </c>
      <c r="I221" t="s">
        <v>5888</v>
      </c>
    </row>
    <row r="222" spans="1:9">
      <c r="A222" t="s">
        <v>5652</v>
      </c>
      <c r="B222" t="s">
        <v>5892</v>
      </c>
      <c r="C222">
        <v>1</v>
      </c>
      <c r="D222" t="s">
        <v>5893</v>
      </c>
      <c r="E222">
        <v>0.38</v>
      </c>
      <c r="F222">
        <v>88</v>
      </c>
      <c r="H222" t="s">
        <v>5870</v>
      </c>
      <c r="I222" t="s">
        <v>5888</v>
      </c>
    </row>
    <row r="223" spans="1:9">
      <c r="A223" t="s">
        <v>5867</v>
      </c>
      <c r="B223" t="s">
        <v>5894</v>
      </c>
      <c r="C223">
        <v>1</v>
      </c>
      <c r="D223" t="s">
        <v>5556</v>
      </c>
      <c r="E223">
        <v>0.05</v>
      </c>
      <c r="F223">
        <v>10</v>
      </c>
      <c r="G223" t="s">
        <v>5869</v>
      </c>
      <c r="H223" t="s">
        <v>5870</v>
      </c>
      <c r="I223" t="s">
        <v>5888</v>
      </c>
    </row>
    <row r="224" spans="1:9">
      <c r="A224" t="s">
        <v>5867</v>
      </c>
      <c r="B224" t="s">
        <v>5895</v>
      </c>
      <c r="C224">
        <v>1</v>
      </c>
      <c r="D224" t="s">
        <v>5556</v>
      </c>
      <c r="E224">
        <v>0.25</v>
      </c>
      <c r="F224">
        <v>88</v>
      </c>
      <c r="G224" t="s">
        <v>5869</v>
      </c>
      <c r="H224" t="s">
        <v>5870</v>
      </c>
      <c r="I224" t="s">
        <v>5888</v>
      </c>
    </row>
    <row r="225" spans="1:9">
      <c r="A225" t="s">
        <v>5867</v>
      </c>
      <c r="B225" t="s">
        <v>5896</v>
      </c>
      <c r="C225">
        <v>1</v>
      </c>
      <c r="D225" t="s">
        <v>5556</v>
      </c>
      <c r="E225">
        <v>0.1</v>
      </c>
      <c r="F225">
        <v>8.8000000000000007</v>
      </c>
      <c r="G225" t="s">
        <v>5869</v>
      </c>
      <c r="H225" t="s">
        <v>5870</v>
      </c>
      <c r="I225" t="s">
        <v>5888</v>
      </c>
    </row>
    <row r="226" spans="1:9">
      <c r="A226" t="s">
        <v>5867</v>
      </c>
      <c r="B226" t="s">
        <v>5897</v>
      </c>
      <c r="C226">
        <v>1</v>
      </c>
      <c r="D226" t="s">
        <v>5556</v>
      </c>
      <c r="E226">
        <v>0.1</v>
      </c>
      <c r="F226">
        <v>8.8000000000000007</v>
      </c>
      <c r="G226" t="s">
        <v>5869</v>
      </c>
      <c r="H226" t="s">
        <v>5870</v>
      </c>
      <c r="I226" t="s">
        <v>5888</v>
      </c>
    </row>
    <row r="227" spans="1:9">
      <c r="A227" t="s">
        <v>5867</v>
      </c>
      <c r="B227" t="s">
        <v>5898</v>
      </c>
      <c r="C227">
        <v>1</v>
      </c>
      <c r="D227" t="s">
        <v>5556</v>
      </c>
      <c r="E227">
        <v>0.1</v>
      </c>
      <c r="F227">
        <v>8.8000000000000007</v>
      </c>
      <c r="G227" t="s">
        <v>5869</v>
      </c>
      <c r="H227" t="s">
        <v>5870</v>
      </c>
      <c r="I227" t="s">
        <v>5888</v>
      </c>
    </row>
    <row r="228" spans="1:9">
      <c r="A228" t="s">
        <v>5867</v>
      </c>
      <c r="B228" t="s">
        <v>5899</v>
      </c>
      <c r="C228">
        <v>1</v>
      </c>
      <c r="D228" t="s">
        <v>5556</v>
      </c>
      <c r="E228">
        <v>0.1</v>
      </c>
      <c r="F228">
        <v>10</v>
      </c>
      <c r="G228" t="s">
        <v>5869</v>
      </c>
      <c r="H228" t="s">
        <v>5870</v>
      </c>
      <c r="I228" t="s">
        <v>5888</v>
      </c>
    </row>
    <row r="229" spans="1:9">
      <c r="A229" t="s">
        <v>5867</v>
      </c>
      <c r="B229" t="s">
        <v>5900</v>
      </c>
      <c r="C229">
        <v>1</v>
      </c>
      <c r="D229" t="s">
        <v>5556</v>
      </c>
      <c r="E229">
        <v>0.3</v>
      </c>
      <c r="F229">
        <v>26</v>
      </c>
      <c r="G229" t="s">
        <v>5869</v>
      </c>
      <c r="H229" t="s">
        <v>5870</v>
      </c>
      <c r="I229" t="s">
        <v>5888</v>
      </c>
    </row>
    <row r="230" spans="1:9">
      <c r="A230" t="s">
        <v>5838</v>
      </c>
      <c r="B230" t="s">
        <v>5901</v>
      </c>
      <c r="C230">
        <v>1</v>
      </c>
      <c r="D230" t="s">
        <v>5556</v>
      </c>
      <c r="E230">
        <v>0.1</v>
      </c>
      <c r="F230">
        <v>0.88</v>
      </c>
      <c r="H230" t="s">
        <v>5870</v>
      </c>
      <c r="I230" t="s">
        <v>5902</v>
      </c>
    </row>
    <row r="231" spans="1:9">
      <c r="A231" t="s">
        <v>5838</v>
      </c>
      <c r="B231" t="s">
        <v>5903</v>
      </c>
      <c r="C231">
        <v>1</v>
      </c>
      <c r="D231" t="s">
        <v>5746</v>
      </c>
      <c r="E231">
        <v>0.25</v>
      </c>
      <c r="F231">
        <v>2.2000000000000002</v>
      </c>
      <c r="H231" t="s">
        <v>5870</v>
      </c>
      <c r="I231" t="s">
        <v>5902</v>
      </c>
    </row>
    <row r="232" spans="1:9">
      <c r="A232" t="s">
        <v>5838</v>
      </c>
      <c r="B232" t="s">
        <v>5904</v>
      </c>
      <c r="C232">
        <v>1</v>
      </c>
      <c r="D232" t="s">
        <v>5556</v>
      </c>
      <c r="E232">
        <v>0.25</v>
      </c>
      <c r="F232">
        <v>1.32</v>
      </c>
      <c r="H232" t="s">
        <v>5870</v>
      </c>
      <c r="I232" t="s">
        <v>5902</v>
      </c>
    </row>
    <row r="233" spans="1:9">
      <c r="A233" t="s">
        <v>5838</v>
      </c>
      <c r="B233" t="s">
        <v>5905</v>
      </c>
      <c r="C233">
        <v>1</v>
      </c>
      <c r="D233" t="s">
        <v>5556</v>
      </c>
      <c r="E233">
        <v>0.2</v>
      </c>
      <c r="F233">
        <v>1.32</v>
      </c>
      <c r="H233" t="s">
        <v>5870</v>
      </c>
      <c r="I233" t="s">
        <v>5902</v>
      </c>
    </row>
    <row r="234" spans="1:9">
      <c r="A234" t="s">
        <v>5860</v>
      </c>
      <c r="B234" t="s">
        <v>5906</v>
      </c>
      <c r="C234">
        <v>1</v>
      </c>
      <c r="D234" t="s">
        <v>5556</v>
      </c>
      <c r="E234">
        <v>0.75</v>
      </c>
      <c r="F234">
        <v>1.7</v>
      </c>
      <c r="H234" t="s">
        <v>5870</v>
      </c>
      <c r="I234" t="s">
        <v>5902</v>
      </c>
    </row>
    <row r="235" spans="1:9">
      <c r="A235" t="s">
        <v>5907</v>
      </c>
      <c r="B235" t="s">
        <v>5908</v>
      </c>
      <c r="C235">
        <v>1</v>
      </c>
      <c r="D235" t="s">
        <v>5556</v>
      </c>
      <c r="E235">
        <v>0.02</v>
      </c>
      <c r="F235">
        <v>0.44</v>
      </c>
      <c r="H235" t="s">
        <v>5870</v>
      </c>
      <c r="I235" t="s">
        <v>5902</v>
      </c>
    </row>
    <row r="236" spans="1:9">
      <c r="A236" t="s">
        <v>5909</v>
      </c>
      <c r="B236" t="s">
        <v>5910</v>
      </c>
      <c r="C236">
        <v>1</v>
      </c>
      <c r="D236" t="s">
        <v>5556</v>
      </c>
      <c r="E236">
        <v>1.5</v>
      </c>
      <c r="F236">
        <v>1.32</v>
      </c>
      <c r="H236" t="s">
        <v>4352</v>
      </c>
      <c r="I236" t="s">
        <v>5840</v>
      </c>
    </row>
    <row r="237" spans="1:9">
      <c r="A237" t="s">
        <v>5838</v>
      </c>
      <c r="B237" t="s">
        <v>5911</v>
      </c>
      <c r="C237">
        <v>1</v>
      </c>
      <c r="D237" t="s">
        <v>5556</v>
      </c>
      <c r="E237">
        <v>0.05</v>
      </c>
      <c r="F237">
        <v>1.4E-2</v>
      </c>
      <c r="H237" t="s">
        <v>4352</v>
      </c>
      <c r="I237" t="s">
        <v>5840</v>
      </c>
    </row>
    <row r="238" spans="1:9">
      <c r="A238" t="s">
        <v>5838</v>
      </c>
      <c r="B238" t="s">
        <v>5912</v>
      </c>
      <c r="C238">
        <v>1</v>
      </c>
      <c r="D238" t="s">
        <v>5556</v>
      </c>
      <c r="E238">
        <v>3</v>
      </c>
      <c r="F238">
        <v>3.08</v>
      </c>
      <c r="H238" t="s">
        <v>4352</v>
      </c>
      <c r="I238" t="s">
        <v>5840</v>
      </c>
    </row>
    <row r="239" spans="1:9">
      <c r="A239" t="s">
        <v>5838</v>
      </c>
      <c r="B239" t="s">
        <v>5913</v>
      </c>
      <c r="C239">
        <v>1</v>
      </c>
      <c r="D239" t="s">
        <v>5556</v>
      </c>
      <c r="E239">
        <v>7.0000000000000007E-2</v>
      </c>
      <c r="F239">
        <v>5.0000000000000001E-3</v>
      </c>
      <c r="H239" t="s">
        <v>4352</v>
      </c>
      <c r="I239" t="s">
        <v>5840</v>
      </c>
    </row>
    <row r="240" spans="1:9">
      <c r="A240" t="s">
        <v>5838</v>
      </c>
      <c r="B240" t="s">
        <v>5914</v>
      </c>
      <c r="C240">
        <v>1</v>
      </c>
      <c r="D240" t="s">
        <v>5556</v>
      </c>
      <c r="E240">
        <v>0.1</v>
      </c>
      <c r="F240">
        <v>1.7999999999999999E-2</v>
      </c>
      <c r="H240" t="s">
        <v>4352</v>
      </c>
      <c r="I240" t="s">
        <v>5840</v>
      </c>
    </row>
    <row r="241" spans="1:9">
      <c r="A241" t="s">
        <v>5649</v>
      </c>
      <c r="B241" t="s">
        <v>5915</v>
      </c>
      <c r="C241">
        <v>1</v>
      </c>
      <c r="D241" t="s">
        <v>5556</v>
      </c>
      <c r="E241">
        <v>0.13</v>
      </c>
      <c r="F241">
        <v>0.05</v>
      </c>
      <c r="H241" t="s">
        <v>4352</v>
      </c>
      <c r="I241" t="s">
        <v>5840</v>
      </c>
    </row>
    <row r="242" spans="1:9">
      <c r="A242" t="s">
        <v>5844</v>
      </c>
      <c r="B242" t="s">
        <v>5916</v>
      </c>
      <c r="C242">
        <v>1</v>
      </c>
      <c r="D242" t="s">
        <v>5556</v>
      </c>
      <c r="E242">
        <v>0.12</v>
      </c>
      <c r="F242">
        <v>2.2000000000000002</v>
      </c>
      <c r="H242" t="s">
        <v>4352</v>
      </c>
      <c r="I242" t="s">
        <v>5840</v>
      </c>
    </row>
    <row r="243" spans="1:9">
      <c r="A243" t="s">
        <v>5917</v>
      </c>
      <c r="B243" t="s">
        <v>5918</v>
      </c>
      <c r="C243">
        <v>1</v>
      </c>
      <c r="D243" t="s">
        <v>5556</v>
      </c>
      <c r="E243">
        <v>1.25</v>
      </c>
      <c r="F243">
        <v>2.1999999999999999E-2</v>
      </c>
      <c r="H243" t="s">
        <v>4352</v>
      </c>
      <c r="I243" t="s">
        <v>5840</v>
      </c>
    </row>
    <row r="244" spans="1:9">
      <c r="A244" t="s">
        <v>5639</v>
      </c>
      <c r="B244" t="s">
        <v>5919</v>
      </c>
      <c r="C244">
        <v>1</v>
      </c>
      <c r="D244" t="s">
        <v>5556</v>
      </c>
      <c r="E244">
        <v>0.5</v>
      </c>
      <c r="F244">
        <v>50</v>
      </c>
      <c r="H244" t="s">
        <v>4352</v>
      </c>
      <c r="I244" t="s">
        <v>5840</v>
      </c>
    </row>
    <row r="245" spans="1:9">
      <c r="A245" t="s">
        <v>5639</v>
      </c>
      <c r="B245" t="s">
        <v>5920</v>
      </c>
      <c r="C245">
        <v>1</v>
      </c>
      <c r="D245" t="s">
        <v>5556</v>
      </c>
      <c r="E245">
        <v>7.0000000000000007E-2</v>
      </c>
      <c r="F245">
        <v>3.6999999999999998E-2</v>
      </c>
      <c r="H245" t="s">
        <v>4352</v>
      </c>
      <c r="I245" t="s">
        <v>5840</v>
      </c>
    </row>
    <row r="246" spans="1:9">
      <c r="A246" t="s">
        <v>5907</v>
      </c>
      <c r="B246" t="s">
        <v>5921</v>
      </c>
      <c r="C246">
        <v>1</v>
      </c>
      <c r="D246" t="s">
        <v>5556</v>
      </c>
      <c r="E246">
        <v>0.03</v>
      </c>
      <c r="F246">
        <v>1.4E-2</v>
      </c>
      <c r="H246" t="s">
        <v>4352</v>
      </c>
      <c r="I246" t="s">
        <v>5840</v>
      </c>
    </row>
    <row r="247" spans="1:9">
      <c r="A247" t="s">
        <v>5907</v>
      </c>
      <c r="B247" t="s">
        <v>5922</v>
      </c>
      <c r="C247">
        <v>1</v>
      </c>
      <c r="D247" t="s">
        <v>5746</v>
      </c>
      <c r="E247">
        <v>0.5</v>
      </c>
      <c r="F247">
        <v>6.6000000000000003E-2</v>
      </c>
      <c r="H247" t="s">
        <v>4352</v>
      </c>
      <c r="I247" t="s">
        <v>5840</v>
      </c>
    </row>
    <row r="248" spans="1:9">
      <c r="A248" t="s">
        <v>5907</v>
      </c>
      <c r="B248" t="s">
        <v>5923</v>
      </c>
      <c r="C248">
        <v>1</v>
      </c>
      <c r="D248" t="s">
        <v>5746</v>
      </c>
      <c r="E248">
        <v>1.1000000000000001</v>
      </c>
      <c r="F248">
        <v>1.7</v>
      </c>
      <c r="H248" t="s">
        <v>4352</v>
      </c>
      <c r="I248" t="s">
        <v>5840</v>
      </c>
    </row>
    <row r="249" spans="1:9">
      <c r="A249" t="s">
        <v>5907</v>
      </c>
      <c r="B249" t="s">
        <v>5924</v>
      </c>
      <c r="C249">
        <v>1</v>
      </c>
      <c r="D249" t="s">
        <v>5556</v>
      </c>
      <c r="E249">
        <v>0.5</v>
      </c>
      <c r="F249">
        <v>2</v>
      </c>
      <c r="H249" t="s">
        <v>4352</v>
      </c>
      <c r="I249" t="s">
        <v>5840</v>
      </c>
    </row>
    <row r="250" spans="1:9">
      <c r="A250" t="s">
        <v>5907</v>
      </c>
      <c r="B250" t="s">
        <v>5925</v>
      </c>
      <c r="C250">
        <v>1</v>
      </c>
      <c r="D250" t="s">
        <v>5556</v>
      </c>
      <c r="E250">
        <v>1</v>
      </c>
      <c r="F250">
        <v>0.87</v>
      </c>
      <c r="H250" t="s">
        <v>4352</v>
      </c>
      <c r="I250" t="s">
        <v>5840</v>
      </c>
    </row>
    <row r="251" spans="1:9">
      <c r="A251" t="s">
        <v>5907</v>
      </c>
      <c r="B251" t="s">
        <v>5926</v>
      </c>
      <c r="C251">
        <v>1</v>
      </c>
      <c r="D251" t="s">
        <v>5746</v>
      </c>
      <c r="E251">
        <v>0.02</v>
      </c>
      <c r="F251">
        <v>0.88</v>
      </c>
      <c r="H251" t="s">
        <v>4352</v>
      </c>
      <c r="I251" t="s">
        <v>5840</v>
      </c>
    </row>
    <row r="252" spans="1:9">
      <c r="A252" t="s">
        <v>5674</v>
      </c>
      <c r="B252" t="s">
        <v>5927</v>
      </c>
      <c r="C252">
        <v>1</v>
      </c>
      <c r="D252" t="s">
        <v>5928</v>
      </c>
      <c r="E252" t="s">
        <v>5557</v>
      </c>
      <c r="F252">
        <v>0.05</v>
      </c>
      <c r="H252" t="s">
        <v>4352</v>
      </c>
      <c r="I252" t="s">
        <v>5840</v>
      </c>
    </row>
    <row r="253" spans="1:9">
      <c r="A253" t="s">
        <v>5674</v>
      </c>
      <c r="B253" t="s">
        <v>5929</v>
      </c>
      <c r="C253">
        <v>1</v>
      </c>
      <c r="D253" t="s">
        <v>5556</v>
      </c>
      <c r="E253">
        <v>0.5</v>
      </c>
      <c r="F253">
        <v>0.2</v>
      </c>
      <c r="H253" t="s">
        <v>4352</v>
      </c>
      <c r="I253" t="s">
        <v>5840</v>
      </c>
    </row>
    <row r="254" spans="1:9">
      <c r="A254" t="s">
        <v>5649</v>
      </c>
      <c r="B254" t="s">
        <v>5930</v>
      </c>
      <c r="C254">
        <v>1</v>
      </c>
      <c r="D254" t="s">
        <v>5556</v>
      </c>
      <c r="E254">
        <v>0.25</v>
      </c>
      <c r="F254">
        <v>0.25</v>
      </c>
      <c r="H254" t="s">
        <v>4352</v>
      </c>
      <c r="I254" t="s">
        <v>5931</v>
      </c>
    </row>
    <row r="255" spans="1:9">
      <c r="A255" t="s">
        <v>5652</v>
      </c>
      <c r="B255" t="s">
        <v>5932</v>
      </c>
      <c r="C255">
        <v>1</v>
      </c>
      <c r="D255" t="s">
        <v>5746</v>
      </c>
      <c r="E255">
        <v>1.5</v>
      </c>
      <c r="F255">
        <v>0.88</v>
      </c>
      <c r="H255" t="s">
        <v>4352</v>
      </c>
      <c r="I255" t="s">
        <v>5931</v>
      </c>
    </row>
    <row r="256" spans="1:9">
      <c r="A256" t="s">
        <v>5639</v>
      </c>
      <c r="B256" t="s">
        <v>5933</v>
      </c>
      <c r="C256">
        <v>1</v>
      </c>
      <c r="D256" t="s">
        <v>5746</v>
      </c>
      <c r="E256">
        <v>0.15</v>
      </c>
      <c r="F256">
        <v>3.5</v>
      </c>
      <c r="H256" t="s">
        <v>4352</v>
      </c>
      <c r="I256" t="s">
        <v>5931</v>
      </c>
    </row>
    <row r="257" spans="1:9">
      <c r="A257" t="s">
        <v>5658</v>
      </c>
      <c r="B257" t="s">
        <v>5934</v>
      </c>
      <c r="C257">
        <v>1</v>
      </c>
      <c r="D257" t="s">
        <v>5556</v>
      </c>
      <c r="E257">
        <v>1</v>
      </c>
      <c r="F257">
        <v>0.42</v>
      </c>
      <c r="H257" t="s">
        <v>4352</v>
      </c>
      <c r="I257" t="s">
        <v>5931</v>
      </c>
    </row>
    <row r="258" spans="1:9">
      <c r="A258" t="s">
        <v>5658</v>
      </c>
      <c r="B258" t="s">
        <v>5935</v>
      </c>
      <c r="C258">
        <v>1</v>
      </c>
      <c r="D258" t="s">
        <v>5556</v>
      </c>
      <c r="E258">
        <v>1.25</v>
      </c>
      <c r="F258">
        <v>1.7999999999999999E-2</v>
      </c>
      <c r="H258" t="s">
        <v>4352</v>
      </c>
      <c r="I258" t="s">
        <v>5931</v>
      </c>
    </row>
    <row r="259" spans="1:9">
      <c r="A259" t="s">
        <v>5838</v>
      </c>
      <c r="B259" t="s">
        <v>5936</v>
      </c>
      <c r="C259">
        <v>1</v>
      </c>
      <c r="D259" t="s">
        <v>5556</v>
      </c>
      <c r="E259">
        <v>3</v>
      </c>
      <c r="F259">
        <v>7.92</v>
      </c>
      <c r="H259" t="s">
        <v>4352</v>
      </c>
      <c r="I259" t="s">
        <v>5937</v>
      </c>
    </row>
    <row r="260" spans="1:9">
      <c r="A260" t="s">
        <v>5860</v>
      </c>
      <c r="B260" t="s">
        <v>5938</v>
      </c>
      <c r="C260">
        <v>1</v>
      </c>
      <c r="D260" t="s">
        <v>5556</v>
      </c>
      <c r="E260">
        <v>15</v>
      </c>
      <c r="F260">
        <v>8</v>
      </c>
      <c r="H260" t="s">
        <v>4352</v>
      </c>
      <c r="I260" t="s">
        <v>5937</v>
      </c>
    </row>
    <row r="261" spans="1:9">
      <c r="A261" t="s">
        <v>5786</v>
      </c>
      <c r="B261" t="s">
        <v>5939</v>
      </c>
      <c r="C261">
        <v>1</v>
      </c>
      <c r="D261" t="s">
        <v>5556</v>
      </c>
      <c r="E261">
        <v>1.1000000000000001</v>
      </c>
      <c r="F261">
        <v>6.6</v>
      </c>
      <c r="H261" t="s">
        <v>4352</v>
      </c>
      <c r="I261" t="s">
        <v>5937</v>
      </c>
    </row>
    <row r="262" spans="1:9">
      <c r="A262" t="s">
        <v>5786</v>
      </c>
      <c r="B262" t="s">
        <v>5940</v>
      </c>
      <c r="C262">
        <v>1</v>
      </c>
      <c r="D262" t="s">
        <v>5556</v>
      </c>
      <c r="E262">
        <v>1.5</v>
      </c>
      <c r="F262">
        <v>2.64</v>
      </c>
      <c r="H262" t="s">
        <v>4352</v>
      </c>
      <c r="I262" t="s">
        <v>5937</v>
      </c>
    </row>
    <row r="263" spans="1:9">
      <c r="A263" t="s">
        <v>5625</v>
      </c>
      <c r="B263" t="s">
        <v>5941</v>
      </c>
      <c r="C263">
        <v>1</v>
      </c>
      <c r="D263" t="s">
        <v>5630</v>
      </c>
      <c r="E263">
        <v>1</v>
      </c>
      <c r="F263">
        <v>1.4</v>
      </c>
      <c r="H263" t="s">
        <v>4352</v>
      </c>
      <c r="I263" t="s">
        <v>5942</v>
      </c>
    </row>
    <row r="264" spans="1:9">
      <c r="A264" t="s">
        <v>5625</v>
      </c>
      <c r="B264" t="s">
        <v>5943</v>
      </c>
      <c r="C264">
        <v>1</v>
      </c>
      <c r="D264" t="s">
        <v>5646</v>
      </c>
      <c r="E264">
        <v>1</v>
      </c>
      <c r="F264">
        <v>8</v>
      </c>
      <c r="H264" t="s">
        <v>4352</v>
      </c>
      <c r="I264" t="s">
        <v>5942</v>
      </c>
    </row>
    <row r="265" spans="1:9">
      <c r="A265" t="s">
        <v>5633</v>
      </c>
      <c r="B265" t="s">
        <v>5944</v>
      </c>
      <c r="C265">
        <v>1</v>
      </c>
      <c r="D265" t="s">
        <v>5556</v>
      </c>
      <c r="E265">
        <v>0.5</v>
      </c>
      <c r="F265">
        <v>2.1999999999999999E-2</v>
      </c>
      <c r="H265" t="s">
        <v>4352</v>
      </c>
      <c r="I265" t="s">
        <v>5942</v>
      </c>
    </row>
    <row r="266" spans="1:9">
      <c r="A266" t="s">
        <v>5909</v>
      </c>
      <c r="B266" t="s">
        <v>5945</v>
      </c>
      <c r="C266">
        <v>1</v>
      </c>
      <c r="D266" t="s">
        <v>5556</v>
      </c>
      <c r="E266">
        <v>2</v>
      </c>
      <c r="F266">
        <v>1.76</v>
      </c>
      <c r="H266" t="s">
        <v>4352</v>
      </c>
      <c r="I266" t="s">
        <v>5946</v>
      </c>
    </row>
    <row r="267" spans="1:9">
      <c r="A267" t="s">
        <v>5947</v>
      </c>
      <c r="B267" t="s">
        <v>5948</v>
      </c>
      <c r="C267">
        <v>1</v>
      </c>
      <c r="D267" t="s">
        <v>5893</v>
      </c>
      <c r="E267">
        <v>1.5</v>
      </c>
      <c r="F267">
        <v>5.3</v>
      </c>
      <c r="H267" t="s">
        <v>4352</v>
      </c>
      <c r="I267" t="s">
        <v>5946</v>
      </c>
    </row>
    <row r="268" spans="1:9">
      <c r="A268" t="s">
        <v>5947</v>
      </c>
      <c r="B268" t="s">
        <v>5949</v>
      </c>
      <c r="C268">
        <v>1</v>
      </c>
      <c r="D268" t="s">
        <v>5893</v>
      </c>
      <c r="E268">
        <v>0.6</v>
      </c>
      <c r="F268">
        <v>7.4999999999999997E-2</v>
      </c>
      <c r="H268" t="s">
        <v>4352</v>
      </c>
      <c r="I268" t="s">
        <v>5946</v>
      </c>
    </row>
    <row r="269" spans="1:9">
      <c r="A269" t="s">
        <v>5674</v>
      </c>
      <c r="B269" t="s">
        <v>5950</v>
      </c>
      <c r="C269">
        <v>1</v>
      </c>
      <c r="D269" t="s">
        <v>5556</v>
      </c>
      <c r="E269">
        <v>2</v>
      </c>
      <c r="F269">
        <v>1.32</v>
      </c>
      <c r="H269" t="s">
        <v>4352</v>
      </c>
      <c r="I269" t="s">
        <v>5946</v>
      </c>
    </row>
    <row r="270" spans="1:9">
      <c r="A270" t="s">
        <v>5674</v>
      </c>
      <c r="B270" t="s">
        <v>5951</v>
      </c>
      <c r="C270">
        <v>1</v>
      </c>
      <c r="D270" t="s">
        <v>5556</v>
      </c>
      <c r="E270">
        <v>2</v>
      </c>
      <c r="F270">
        <v>2.2000000000000002</v>
      </c>
      <c r="H270" t="s">
        <v>4352</v>
      </c>
      <c r="I270" t="s">
        <v>5946</v>
      </c>
    </row>
    <row r="271" spans="1:9">
      <c r="A271" t="s">
        <v>5947</v>
      </c>
      <c r="B271" t="s">
        <v>5952</v>
      </c>
      <c r="C271">
        <v>1</v>
      </c>
      <c r="D271" t="s">
        <v>5556</v>
      </c>
      <c r="E271">
        <v>0.05</v>
      </c>
      <c r="F271">
        <v>0.32</v>
      </c>
      <c r="H271" t="s">
        <v>4352</v>
      </c>
      <c r="I271" t="s">
        <v>5953</v>
      </c>
    </row>
    <row r="272" spans="1:9">
      <c r="A272" t="s">
        <v>5947</v>
      </c>
      <c r="B272" t="s">
        <v>5954</v>
      </c>
      <c r="C272">
        <v>1</v>
      </c>
      <c r="D272" t="s">
        <v>5556</v>
      </c>
      <c r="E272">
        <v>0.05</v>
      </c>
      <c r="F272">
        <v>3.5</v>
      </c>
      <c r="H272" t="s">
        <v>4352</v>
      </c>
      <c r="I272" t="s">
        <v>5953</v>
      </c>
    </row>
    <row r="273" spans="1:9">
      <c r="A273" t="s">
        <v>5947</v>
      </c>
      <c r="B273" t="s">
        <v>5955</v>
      </c>
      <c r="C273">
        <v>1</v>
      </c>
      <c r="D273" t="s">
        <v>5893</v>
      </c>
      <c r="E273">
        <v>1</v>
      </c>
      <c r="F273">
        <v>0.1</v>
      </c>
      <c r="H273" t="s">
        <v>4352</v>
      </c>
      <c r="I273" t="s">
        <v>5953</v>
      </c>
    </row>
    <row r="274" spans="1:9">
      <c r="A274" t="s">
        <v>5947</v>
      </c>
      <c r="B274" t="s">
        <v>5956</v>
      </c>
      <c r="C274">
        <v>1</v>
      </c>
      <c r="D274" t="s">
        <v>5893</v>
      </c>
      <c r="E274">
        <v>1</v>
      </c>
      <c r="F274">
        <v>1</v>
      </c>
      <c r="H274" t="s">
        <v>4352</v>
      </c>
      <c r="I274" t="s">
        <v>5953</v>
      </c>
    </row>
    <row r="275" spans="1:9">
      <c r="A275" t="s">
        <v>5909</v>
      </c>
      <c r="B275" t="s">
        <v>5957</v>
      </c>
      <c r="C275">
        <v>1</v>
      </c>
      <c r="D275" t="s">
        <v>5556</v>
      </c>
      <c r="E275">
        <v>2</v>
      </c>
      <c r="F275">
        <v>0.89</v>
      </c>
      <c r="H275" t="s">
        <v>4352</v>
      </c>
      <c r="I275" t="s">
        <v>5958</v>
      </c>
    </row>
    <row r="276" spans="1:9">
      <c r="A276" t="s">
        <v>5909</v>
      </c>
      <c r="B276" t="s">
        <v>5959</v>
      </c>
      <c r="C276">
        <v>1</v>
      </c>
      <c r="D276" t="s">
        <v>5556</v>
      </c>
      <c r="E276">
        <v>2.5</v>
      </c>
      <c r="F276">
        <v>2.5</v>
      </c>
      <c r="H276" t="s">
        <v>4352</v>
      </c>
      <c r="I276" t="s">
        <v>5958</v>
      </c>
    </row>
    <row r="277" spans="1:9">
      <c r="A277" t="s">
        <v>5947</v>
      </c>
      <c r="B277" t="s">
        <v>5960</v>
      </c>
      <c r="C277">
        <v>1</v>
      </c>
      <c r="D277" t="s">
        <v>5893</v>
      </c>
      <c r="E277">
        <v>1.5</v>
      </c>
      <c r="F277">
        <v>8.4</v>
      </c>
      <c r="H277" t="s">
        <v>4352</v>
      </c>
      <c r="I277" t="s">
        <v>5958</v>
      </c>
    </row>
    <row r="278" spans="1:9">
      <c r="A278" t="s">
        <v>5860</v>
      </c>
      <c r="B278" t="s">
        <v>5961</v>
      </c>
      <c r="C278">
        <v>1</v>
      </c>
      <c r="D278" t="s">
        <v>5556</v>
      </c>
      <c r="E278">
        <v>10</v>
      </c>
      <c r="F278">
        <v>13</v>
      </c>
      <c r="H278" t="s">
        <v>4352</v>
      </c>
      <c r="I278" t="s">
        <v>5958</v>
      </c>
    </row>
    <row r="279" spans="1:9">
      <c r="A279" t="s">
        <v>5860</v>
      </c>
      <c r="B279" t="s">
        <v>5962</v>
      </c>
      <c r="C279">
        <v>1</v>
      </c>
      <c r="D279" t="s">
        <v>5556</v>
      </c>
      <c r="E279">
        <v>25</v>
      </c>
      <c r="F279">
        <v>44</v>
      </c>
      <c r="H279" t="s">
        <v>4352</v>
      </c>
      <c r="I279" t="s">
        <v>5958</v>
      </c>
    </row>
    <row r="280" spans="1:9">
      <c r="A280" t="s">
        <v>5860</v>
      </c>
      <c r="B280" t="s">
        <v>5963</v>
      </c>
      <c r="C280">
        <v>1</v>
      </c>
      <c r="D280" t="s">
        <v>5556</v>
      </c>
      <c r="E280">
        <v>125</v>
      </c>
      <c r="F280">
        <v>176</v>
      </c>
      <c r="H280" t="s">
        <v>4352</v>
      </c>
      <c r="I280" t="s">
        <v>5958</v>
      </c>
    </row>
    <row r="281" spans="1:9">
      <c r="A281" t="s">
        <v>5860</v>
      </c>
      <c r="B281" t="s">
        <v>5964</v>
      </c>
      <c r="C281">
        <v>1</v>
      </c>
      <c r="D281" t="s">
        <v>5556</v>
      </c>
      <c r="E281">
        <v>3</v>
      </c>
      <c r="F281">
        <v>2.2000000000000002</v>
      </c>
      <c r="H281" t="s">
        <v>4352</v>
      </c>
      <c r="I281" t="s">
        <v>5958</v>
      </c>
    </row>
    <row r="282" spans="1:9">
      <c r="A282" t="s">
        <v>5860</v>
      </c>
      <c r="B282" t="s">
        <v>5965</v>
      </c>
      <c r="C282">
        <v>1</v>
      </c>
      <c r="D282" t="s">
        <v>5556</v>
      </c>
      <c r="E282">
        <v>30</v>
      </c>
      <c r="F282">
        <v>44</v>
      </c>
      <c r="H282" t="s">
        <v>4352</v>
      </c>
      <c r="I282" t="s">
        <v>5958</v>
      </c>
    </row>
    <row r="283" spans="1:9">
      <c r="A283" t="s">
        <v>5860</v>
      </c>
      <c r="B283" t="s">
        <v>5966</v>
      </c>
      <c r="C283">
        <v>1</v>
      </c>
      <c r="D283" t="s">
        <v>5556</v>
      </c>
      <c r="E283">
        <v>30</v>
      </c>
      <c r="F283">
        <v>18</v>
      </c>
      <c r="H283" t="s">
        <v>4352</v>
      </c>
      <c r="I283" t="s">
        <v>5958</v>
      </c>
    </row>
    <row r="284" spans="1:9">
      <c r="A284" t="s">
        <v>5860</v>
      </c>
      <c r="B284" t="s">
        <v>5967</v>
      </c>
      <c r="C284">
        <v>1</v>
      </c>
      <c r="D284" t="s">
        <v>5556</v>
      </c>
      <c r="E284">
        <v>100</v>
      </c>
      <c r="F284">
        <v>66</v>
      </c>
      <c r="H284" t="s">
        <v>4352</v>
      </c>
      <c r="I284" t="s">
        <v>5958</v>
      </c>
    </row>
    <row r="285" spans="1:9">
      <c r="A285" t="s">
        <v>5860</v>
      </c>
      <c r="B285" t="s">
        <v>5968</v>
      </c>
      <c r="C285">
        <v>1</v>
      </c>
      <c r="D285" t="s">
        <v>5556</v>
      </c>
      <c r="E285">
        <v>50</v>
      </c>
      <c r="F285">
        <v>110</v>
      </c>
      <c r="H285" t="s">
        <v>4352</v>
      </c>
      <c r="I285" t="s">
        <v>5958</v>
      </c>
    </row>
    <row r="286" spans="1:9">
      <c r="A286" t="s">
        <v>5860</v>
      </c>
      <c r="B286" t="s">
        <v>5969</v>
      </c>
      <c r="C286">
        <v>1</v>
      </c>
      <c r="D286" t="s">
        <v>5556</v>
      </c>
      <c r="E286">
        <v>4</v>
      </c>
      <c r="F286">
        <v>26</v>
      </c>
      <c r="H286" t="s">
        <v>4352</v>
      </c>
      <c r="I286" t="s">
        <v>5958</v>
      </c>
    </row>
    <row r="287" spans="1:9">
      <c r="A287" t="s">
        <v>5860</v>
      </c>
      <c r="B287" t="s">
        <v>5970</v>
      </c>
      <c r="C287">
        <v>1</v>
      </c>
      <c r="D287" t="s">
        <v>5556</v>
      </c>
      <c r="E287">
        <v>20</v>
      </c>
      <c r="F287">
        <v>48</v>
      </c>
      <c r="H287" t="s">
        <v>4352</v>
      </c>
      <c r="I287" t="s">
        <v>5958</v>
      </c>
    </row>
    <row r="288" spans="1:9">
      <c r="A288" t="s">
        <v>5860</v>
      </c>
      <c r="B288" t="s">
        <v>5971</v>
      </c>
      <c r="C288">
        <v>1</v>
      </c>
      <c r="D288" t="s">
        <v>5556</v>
      </c>
      <c r="E288">
        <v>4</v>
      </c>
      <c r="F288">
        <v>8</v>
      </c>
      <c r="H288" t="s">
        <v>4352</v>
      </c>
      <c r="I288" t="s">
        <v>5958</v>
      </c>
    </row>
    <row r="289" spans="1:9">
      <c r="A289" t="s">
        <v>5860</v>
      </c>
      <c r="B289" t="s">
        <v>5972</v>
      </c>
      <c r="C289">
        <v>1</v>
      </c>
      <c r="D289" t="s">
        <v>5556</v>
      </c>
      <c r="E289">
        <v>15</v>
      </c>
      <c r="F289">
        <v>5</v>
      </c>
      <c r="H289" t="s">
        <v>4352</v>
      </c>
      <c r="I289" t="s">
        <v>5958</v>
      </c>
    </row>
    <row r="290" spans="1:9">
      <c r="A290" t="s">
        <v>5860</v>
      </c>
      <c r="B290" t="s">
        <v>5973</v>
      </c>
      <c r="C290">
        <v>1</v>
      </c>
      <c r="D290" t="s">
        <v>5556</v>
      </c>
      <c r="E290">
        <v>20</v>
      </c>
      <c r="F290">
        <v>80</v>
      </c>
      <c r="H290" t="s">
        <v>4352</v>
      </c>
      <c r="I290" t="s">
        <v>5958</v>
      </c>
    </row>
    <row r="291" spans="1:9">
      <c r="A291" t="s">
        <v>5860</v>
      </c>
      <c r="B291" t="s">
        <v>5974</v>
      </c>
      <c r="C291">
        <v>1</v>
      </c>
      <c r="D291" t="s">
        <v>5556</v>
      </c>
      <c r="E291">
        <v>15</v>
      </c>
      <c r="F291">
        <v>14</v>
      </c>
      <c r="H291" t="s">
        <v>4352</v>
      </c>
      <c r="I291" t="s">
        <v>5958</v>
      </c>
    </row>
    <row r="292" spans="1:9">
      <c r="A292" t="s">
        <v>5860</v>
      </c>
      <c r="B292" t="s">
        <v>5975</v>
      </c>
      <c r="C292">
        <v>1</v>
      </c>
      <c r="D292" t="s">
        <v>5556</v>
      </c>
      <c r="E292">
        <v>5</v>
      </c>
      <c r="F292">
        <v>3.5</v>
      </c>
      <c r="H292" t="s">
        <v>4352</v>
      </c>
      <c r="I292" t="s">
        <v>5958</v>
      </c>
    </row>
    <row r="293" spans="1:9">
      <c r="A293" t="s">
        <v>5793</v>
      </c>
      <c r="B293" t="s">
        <v>5976</v>
      </c>
      <c r="C293">
        <v>1</v>
      </c>
      <c r="D293" t="s">
        <v>5556</v>
      </c>
      <c r="E293">
        <v>50</v>
      </c>
      <c r="F293">
        <v>26</v>
      </c>
      <c r="H293" t="s">
        <v>4352</v>
      </c>
      <c r="I293" t="s">
        <v>5977</v>
      </c>
    </row>
    <row r="294" spans="1:9">
      <c r="A294" t="s">
        <v>5793</v>
      </c>
      <c r="B294" t="s">
        <v>5978</v>
      </c>
      <c r="C294">
        <v>1</v>
      </c>
      <c r="D294" t="s">
        <v>5556</v>
      </c>
      <c r="E294">
        <v>17.5</v>
      </c>
      <c r="F294">
        <v>22</v>
      </c>
      <c r="H294" t="s">
        <v>4352</v>
      </c>
      <c r="I294" t="s">
        <v>5977</v>
      </c>
    </row>
    <row r="295" spans="1:9">
      <c r="A295" t="s">
        <v>5979</v>
      </c>
      <c r="B295" t="s">
        <v>5980</v>
      </c>
      <c r="C295">
        <v>1</v>
      </c>
      <c r="D295" t="s">
        <v>5556</v>
      </c>
      <c r="E295">
        <v>450</v>
      </c>
      <c r="F295">
        <v>6600</v>
      </c>
      <c r="H295" t="s">
        <v>4352</v>
      </c>
      <c r="I295" t="s">
        <v>5977</v>
      </c>
    </row>
    <row r="296" spans="1:9">
      <c r="A296" t="s">
        <v>5979</v>
      </c>
      <c r="B296" t="s">
        <v>5981</v>
      </c>
      <c r="C296">
        <v>1</v>
      </c>
      <c r="D296" t="s">
        <v>5556</v>
      </c>
      <c r="E296">
        <v>150</v>
      </c>
      <c r="F296">
        <v>1760</v>
      </c>
      <c r="H296" t="s">
        <v>4352</v>
      </c>
      <c r="I296" t="s">
        <v>5977</v>
      </c>
    </row>
    <row r="297" spans="1:9">
      <c r="A297" t="s">
        <v>5979</v>
      </c>
      <c r="B297" t="s">
        <v>5982</v>
      </c>
      <c r="C297">
        <v>1</v>
      </c>
      <c r="D297" t="s">
        <v>5556</v>
      </c>
      <c r="E297">
        <v>550</v>
      </c>
      <c r="F297">
        <v>4400</v>
      </c>
      <c r="H297" t="s">
        <v>4352</v>
      </c>
      <c r="I297" t="s">
        <v>5977</v>
      </c>
    </row>
    <row r="298" spans="1:9">
      <c r="A298" t="s">
        <v>5979</v>
      </c>
      <c r="B298" t="s">
        <v>5983</v>
      </c>
      <c r="C298">
        <v>1</v>
      </c>
      <c r="D298" t="s">
        <v>5984</v>
      </c>
      <c r="E298" t="s">
        <v>5557</v>
      </c>
      <c r="F298">
        <v>3960</v>
      </c>
      <c r="H298" t="s">
        <v>4352</v>
      </c>
      <c r="I298" t="s">
        <v>5977</v>
      </c>
    </row>
    <row r="299" spans="1:9">
      <c r="A299" t="s">
        <v>5979</v>
      </c>
      <c r="B299" t="s">
        <v>5985</v>
      </c>
      <c r="C299">
        <v>1</v>
      </c>
      <c r="D299" t="s">
        <v>5984</v>
      </c>
      <c r="E299" t="s">
        <v>5557</v>
      </c>
      <c r="F299">
        <v>100</v>
      </c>
      <c r="H299" t="s">
        <v>4352</v>
      </c>
      <c r="I299" t="s">
        <v>5977</v>
      </c>
    </row>
    <row r="300" spans="1:9">
      <c r="A300" t="s">
        <v>5979</v>
      </c>
      <c r="B300" t="s">
        <v>5986</v>
      </c>
      <c r="C300">
        <v>1</v>
      </c>
      <c r="D300" t="s">
        <v>5984</v>
      </c>
      <c r="E300" t="s">
        <v>5557</v>
      </c>
      <c r="F300">
        <v>35</v>
      </c>
      <c r="H300" t="s">
        <v>4352</v>
      </c>
      <c r="I300" t="s">
        <v>5977</v>
      </c>
    </row>
    <row r="301" spans="1:9">
      <c r="A301" t="s">
        <v>5979</v>
      </c>
      <c r="B301" t="s">
        <v>5987</v>
      </c>
      <c r="C301">
        <v>1</v>
      </c>
      <c r="D301" t="s">
        <v>5984</v>
      </c>
      <c r="E301" t="s">
        <v>5557</v>
      </c>
      <c r="F301">
        <v>53</v>
      </c>
      <c r="H301" t="s">
        <v>4352</v>
      </c>
      <c r="I301" t="s">
        <v>5977</v>
      </c>
    </row>
    <row r="302" spans="1:9">
      <c r="A302" t="s">
        <v>5979</v>
      </c>
      <c r="B302" t="s">
        <v>5988</v>
      </c>
      <c r="C302">
        <v>1</v>
      </c>
      <c r="D302" t="s">
        <v>5556</v>
      </c>
      <c r="E302">
        <v>500</v>
      </c>
      <c r="F302">
        <v>250</v>
      </c>
      <c r="H302" t="s">
        <v>4352</v>
      </c>
      <c r="I302" t="s">
        <v>5977</v>
      </c>
    </row>
    <row r="303" spans="1:9">
      <c r="A303" t="s">
        <v>5979</v>
      </c>
      <c r="B303" t="s">
        <v>5989</v>
      </c>
      <c r="C303">
        <v>1</v>
      </c>
      <c r="D303" t="s">
        <v>5556</v>
      </c>
      <c r="E303">
        <v>225</v>
      </c>
      <c r="F303">
        <v>2520</v>
      </c>
      <c r="H303" t="s">
        <v>4352</v>
      </c>
      <c r="I303" t="s">
        <v>5977</v>
      </c>
    </row>
    <row r="304" spans="1:9">
      <c r="A304" t="s">
        <v>5979</v>
      </c>
      <c r="B304" t="s">
        <v>5990</v>
      </c>
      <c r="C304">
        <v>1</v>
      </c>
      <c r="D304" t="s">
        <v>5984</v>
      </c>
      <c r="E304" t="s">
        <v>5557</v>
      </c>
      <c r="F304">
        <v>3200</v>
      </c>
      <c r="H304" t="s">
        <v>4352</v>
      </c>
      <c r="I304" t="s">
        <v>5977</v>
      </c>
    </row>
    <row r="305" spans="1:9">
      <c r="A305" t="s">
        <v>5979</v>
      </c>
      <c r="B305" t="s">
        <v>5991</v>
      </c>
      <c r="C305">
        <v>1</v>
      </c>
      <c r="D305" t="s">
        <v>5556</v>
      </c>
      <c r="E305">
        <v>300</v>
      </c>
      <c r="F305">
        <v>5280</v>
      </c>
      <c r="H305" t="s">
        <v>4352</v>
      </c>
      <c r="I305" t="s">
        <v>5977</v>
      </c>
    </row>
    <row r="306" spans="1:9">
      <c r="A306" t="s">
        <v>5979</v>
      </c>
      <c r="B306" t="s">
        <v>5992</v>
      </c>
      <c r="C306">
        <v>1</v>
      </c>
      <c r="D306" t="s">
        <v>5984</v>
      </c>
      <c r="E306" t="s">
        <v>5557</v>
      </c>
      <c r="F306">
        <v>2640</v>
      </c>
      <c r="H306" t="s">
        <v>4352</v>
      </c>
      <c r="I306" t="s">
        <v>5977</v>
      </c>
    </row>
    <row r="307" spans="1:9">
      <c r="A307" t="s">
        <v>5979</v>
      </c>
      <c r="B307" t="s">
        <v>5993</v>
      </c>
      <c r="C307">
        <v>1</v>
      </c>
      <c r="D307" t="s">
        <v>5556</v>
      </c>
      <c r="E307">
        <v>37.5</v>
      </c>
      <c r="F307">
        <v>180</v>
      </c>
      <c r="G307" t="s">
        <v>5994</v>
      </c>
      <c r="H307" t="s">
        <v>4352</v>
      </c>
      <c r="I307" t="s">
        <v>5977</v>
      </c>
    </row>
    <row r="308" spans="1:9">
      <c r="A308" t="s">
        <v>5979</v>
      </c>
      <c r="B308" t="s">
        <v>5995</v>
      </c>
      <c r="C308">
        <v>1</v>
      </c>
      <c r="D308" t="s">
        <v>5556</v>
      </c>
      <c r="E308">
        <v>300</v>
      </c>
      <c r="F308">
        <v>2860</v>
      </c>
      <c r="H308" t="s">
        <v>4352</v>
      </c>
      <c r="I308" t="s">
        <v>5977</v>
      </c>
    </row>
    <row r="309" spans="1:9">
      <c r="A309" t="s">
        <v>5979</v>
      </c>
      <c r="B309" t="s">
        <v>5996</v>
      </c>
      <c r="C309">
        <v>1</v>
      </c>
      <c r="D309" t="s">
        <v>5984</v>
      </c>
      <c r="E309" t="s">
        <v>5557</v>
      </c>
      <c r="F309">
        <v>5280</v>
      </c>
      <c r="H309" t="s">
        <v>4352</v>
      </c>
      <c r="I309" t="s">
        <v>5977</v>
      </c>
    </row>
    <row r="310" spans="1:9">
      <c r="A310" t="s">
        <v>5979</v>
      </c>
      <c r="B310" t="s">
        <v>5997</v>
      </c>
      <c r="C310">
        <v>1</v>
      </c>
      <c r="D310" t="s">
        <v>5984</v>
      </c>
      <c r="E310" t="s">
        <v>5557</v>
      </c>
      <c r="F310">
        <v>1320</v>
      </c>
      <c r="H310" t="s">
        <v>4352</v>
      </c>
      <c r="I310" t="s">
        <v>5977</v>
      </c>
    </row>
    <row r="311" spans="1:9">
      <c r="A311" t="s">
        <v>5979</v>
      </c>
      <c r="B311" t="s">
        <v>5998</v>
      </c>
      <c r="C311">
        <v>1</v>
      </c>
      <c r="D311" t="s">
        <v>5556</v>
      </c>
      <c r="E311">
        <v>500</v>
      </c>
      <c r="F311">
        <v>2960</v>
      </c>
      <c r="H311" t="s">
        <v>4352</v>
      </c>
      <c r="I311" t="s">
        <v>5977</v>
      </c>
    </row>
    <row r="312" spans="1:9">
      <c r="A312" t="s">
        <v>5979</v>
      </c>
      <c r="B312" t="s">
        <v>5999</v>
      </c>
      <c r="C312">
        <v>1</v>
      </c>
      <c r="D312" t="s">
        <v>5556</v>
      </c>
      <c r="E312">
        <v>625</v>
      </c>
      <c r="F312">
        <v>2640</v>
      </c>
      <c r="H312" t="s">
        <v>4352</v>
      </c>
      <c r="I312" t="s">
        <v>5977</v>
      </c>
    </row>
    <row r="313" spans="1:9">
      <c r="A313" t="s">
        <v>5979</v>
      </c>
      <c r="B313" t="s">
        <v>6000</v>
      </c>
      <c r="C313">
        <v>1</v>
      </c>
      <c r="D313" t="s">
        <v>5984</v>
      </c>
      <c r="E313" t="s">
        <v>5557</v>
      </c>
      <c r="F313">
        <v>1320</v>
      </c>
      <c r="H313" t="s">
        <v>4352</v>
      </c>
      <c r="I313" t="s">
        <v>5977</v>
      </c>
    </row>
    <row r="314" spans="1:9">
      <c r="A314" t="s">
        <v>5979</v>
      </c>
      <c r="B314" t="s">
        <v>6001</v>
      </c>
      <c r="C314">
        <v>1</v>
      </c>
      <c r="D314" t="s">
        <v>5556</v>
      </c>
      <c r="E314">
        <v>550</v>
      </c>
      <c r="F314">
        <v>1760</v>
      </c>
      <c r="H314" t="s">
        <v>4352</v>
      </c>
      <c r="I314" t="s">
        <v>5977</v>
      </c>
    </row>
    <row r="315" spans="1:9">
      <c r="A315" t="s">
        <v>5979</v>
      </c>
      <c r="B315" t="s">
        <v>6002</v>
      </c>
      <c r="C315">
        <v>1</v>
      </c>
      <c r="D315" t="s">
        <v>5556</v>
      </c>
      <c r="E315">
        <v>250</v>
      </c>
      <c r="F315">
        <v>4400</v>
      </c>
      <c r="H315" t="s">
        <v>4352</v>
      </c>
      <c r="I315" t="s">
        <v>5977</v>
      </c>
    </row>
    <row r="316" spans="1:9">
      <c r="A316" t="s">
        <v>6003</v>
      </c>
      <c r="B316" t="s">
        <v>6004</v>
      </c>
      <c r="C316">
        <v>1</v>
      </c>
      <c r="D316" t="s">
        <v>5556</v>
      </c>
      <c r="E316">
        <v>1</v>
      </c>
      <c r="F316">
        <v>132</v>
      </c>
      <c r="H316" t="s">
        <v>4598</v>
      </c>
      <c r="I316" t="s">
        <v>6005</v>
      </c>
    </row>
    <row r="317" spans="1:9">
      <c r="A317" t="s">
        <v>6003</v>
      </c>
      <c r="B317" t="s">
        <v>6006</v>
      </c>
      <c r="C317">
        <v>1</v>
      </c>
      <c r="D317" t="s">
        <v>5556</v>
      </c>
      <c r="E317">
        <v>0.25</v>
      </c>
      <c r="F317">
        <v>44</v>
      </c>
      <c r="H317" t="s">
        <v>4598</v>
      </c>
      <c r="I317" t="s">
        <v>6005</v>
      </c>
    </row>
    <row r="318" spans="1:9">
      <c r="A318" t="s">
        <v>6003</v>
      </c>
      <c r="B318" t="s">
        <v>6007</v>
      </c>
      <c r="C318">
        <v>1</v>
      </c>
      <c r="D318" t="s">
        <v>5556</v>
      </c>
      <c r="E318">
        <v>0.2</v>
      </c>
      <c r="F318">
        <v>0.88</v>
      </c>
      <c r="H318" t="s">
        <v>4598</v>
      </c>
      <c r="I318" t="s">
        <v>6005</v>
      </c>
    </row>
    <row r="319" spans="1:9">
      <c r="A319" t="s">
        <v>6003</v>
      </c>
      <c r="B319" t="s">
        <v>6008</v>
      </c>
      <c r="C319">
        <v>1</v>
      </c>
      <c r="D319" t="s">
        <v>5556</v>
      </c>
      <c r="E319">
        <v>0.75</v>
      </c>
      <c r="F319">
        <v>125</v>
      </c>
      <c r="H319" t="s">
        <v>4598</v>
      </c>
      <c r="I319" t="s">
        <v>6005</v>
      </c>
    </row>
    <row r="320" spans="1:9">
      <c r="A320" t="s">
        <v>6003</v>
      </c>
      <c r="B320" t="s">
        <v>6009</v>
      </c>
      <c r="C320">
        <v>1</v>
      </c>
      <c r="D320" t="s">
        <v>5556</v>
      </c>
      <c r="E320">
        <v>0.75</v>
      </c>
      <c r="F320">
        <v>154</v>
      </c>
      <c r="H320" t="s">
        <v>4598</v>
      </c>
      <c r="I320" t="s">
        <v>6005</v>
      </c>
    </row>
    <row r="321" spans="1:9">
      <c r="A321" t="s">
        <v>6003</v>
      </c>
      <c r="B321" t="s">
        <v>6010</v>
      </c>
      <c r="C321">
        <v>1</v>
      </c>
      <c r="D321" t="s">
        <v>5556</v>
      </c>
      <c r="E321">
        <v>2</v>
      </c>
      <c r="F321">
        <v>220</v>
      </c>
      <c r="H321" t="s">
        <v>4598</v>
      </c>
      <c r="I321" t="s">
        <v>6005</v>
      </c>
    </row>
    <row r="322" spans="1:9">
      <c r="A322" t="s">
        <v>6003</v>
      </c>
      <c r="B322" t="s">
        <v>6011</v>
      </c>
      <c r="C322">
        <v>1</v>
      </c>
      <c r="D322" t="s">
        <v>5556</v>
      </c>
      <c r="E322">
        <v>1.5</v>
      </c>
      <c r="F322">
        <v>330</v>
      </c>
      <c r="H322" t="s">
        <v>4598</v>
      </c>
      <c r="I322" t="s">
        <v>6005</v>
      </c>
    </row>
    <row r="323" spans="1:9">
      <c r="A323" t="s">
        <v>6003</v>
      </c>
      <c r="B323" t="s">
        <v>6012</v>
      </c>
      <c r="C323">
        <v>1</v>
      </c>
      <c r="D323" t="s">
        <v>5556</v>
      </c>
      <c r="E323">
        <v>1</v>
      </c>
      <c r="F323">
        <v>220</v>
      </c>
      <c r="H323" t="s">
        <v>4598</v>
      </c>
      <c r="I323" t="s">
        <v>6005</v>
      </c>
    </row>
    <row r="324" spans="1:9">
      <c r="A324" t="s">
        <v>6003</v>
      </c>
      <c r="B324" t="s">
        <v>6013</v>
      </c>
      <c r="C324">
        <v>1</v>
      </c>
      <c r="D324" t="s">
        <v>5556</v>
      </c>
      <c r="E324">
        <v>40</v>
      </c>
      <c r="F324">
        <v>5280</v>
      </c>
      <c r="H324" t="s">
        <v>4598</v>
      </c>
      <c r="I324" t="s">
        <v>6014</v>
      </c>
    </row>
    <row r="325" spans="1:9">
      <c r="A325" t="s">
        <v>6003</v>
      </c>
      <c r="B325" t="s">
        <v>6015</v>
      </c>
      <c r="C325">
        <v>1</v>
      </c>
      <c r="D325" t="s">
        <v>5556</v>
      </c>
      <c r="E325">
        <v>2</v>
      </c>
      <c r="F325">
        <v>330</v>
      </c>
      <c r="H325" t="s">
        <v>4598</v>
      </c>
      <c r="I325" t="s">
        <v>6014</v>
      </c>
    </row>
    <row r="326" spans="1:9">
      <c r="A326" t="s">
        <v>6003</v>
      </c>
      <c r="B326" t="s">
        <v>6016</v>
      </c>
      <c r="C326">
        <v>1</v>
      </c>
      <c r="D326" t="s">
        <v>5556</v>
      </c>
      <c r="E326">
        <v>2</v>
      </c>
      <c r="F326">
        <v>330</v>
      </c>
      <c r="H326" t="s">
        <v>4598</v>
      </c>
      <c r="I326" t="s">
        <v>6014</v>
      </c>
    </row>
    <row r="327" spans="1:9">
      <c r="A327" t="s">
        <v>6003</v>
      </c>
      <c r="B327" t="s">
        <v>6017</v>
      </c>
      <c r="C327">
        <v>1</v>
      </c>
      <c r="D327" t="s">
        <v>5556</v>
      </c>
      <c r="E327">
        <v>35</v>
      </c>
      <c r="F327">
        <v>13200</v>
      </c>
      <c r="H327" t="s">
        <v>4598</v>
      </c>
      <c r="I327" t="s">
        <v>6014</v>
      </c>
    </row>
    <row r="328" spans="1:9">
      <c r="A328" t="s">
        <v>6003</v>
      </c>
      <c r="B328" t="s">
        <v>6018</v>
      </c>
      <c r="C328">
        <v>1</v>
      </c>
      <c r="D328" t="s">
        <v>5556</v>
      </c>
      <c r="E328">
        <v>3</v>
      </c>
      <c r="F328">
        <v>220</v>
      </c>
      <c r="H328" t="s">
        <v>4598</v>
      </c>
      <c r="I328" t="s">
        <v>6019</v>
      </c>
    </row>
    <row r="329" spans="1:9">
      <c r="A329" t="s">
        <v>6003</v>
      </c>
      <c r="B329" t="s">
        <v>6020</v>
      </c>
      <c r="C329">
        <v>1</v>
      </c>
      <c r="D329" t="s">
        <v>5556</v>
      </c>
      <c r="E329">
        <v>1</v>
      </c>
      <c r="F329">
        <v>220</v>
      </c>
      <c r="H329" t="s">
        <v>4598</v>
      </c>
      <c r="I329" t="s">
        <v>6019</v>
      </c>
    </row>
    <row r="330" spans="1:9">
      <c r="A330" t="s">
        <v>6003</v>
      </c>
      <c r="B330" t="s">
        <v>6021</v>
      </c>
      <c r="C330">
        <v>1</v>
      </c>
      <c r="D330" t="s">
        <v>5556</v>
      </c>
      <c r="E330">
        <v>2.5</v>
      </c>
      <c r="F330">
        <v>88</v>
      </c>
      <c r="H330" t="s">
        <v>4598</v>
      </c>
      <c r="I330" t="s">
        <v>6019</v>
      </c>
    </row>
    <row r="331" spans="1:9">
      <c r="A331" t="s">
        <v>6003</v>
      </c>
      <c r="B331" t="s">
        <v>6022</v>
      </c>
      <c r="C331">
        <v>1</v>
      </c>
      <c r="D331" t="s">
        <v>5556</v>
      </c>
      <c r="E331">
        <v>0.5</v>
      </c>
      <c r="F331">
        <v>22</v>
      </c>
      <c r="H331" t="s">
        <v>4598</v>
      </c>
      <c r="I331" t="s">
        <v>6019</v>
      </c>
    </row>
    <row r="332" spans="1:9">
      <c r="A332" t="s">
        <v>6003</v>
      </c>
      <c r="B332" t="s">
        <v>6023</v>
      </c>
      <c r="C332">
        <v>1</v>
      </c>
      <c r="D332" t="s">
        <v>5556</v>
      </c>
      <c r="E332">
        <v>2</v>
      </c>
      <c r="F332">
        <v>44</v>
      </c>
      <c r="H332" t="s">
        <v>4598</v>
      </c>
      <c r="I332" t="s">
        <v>6019</v>
      </c>
    </row>
    <row r="333" spans="1:9">
      <c r="A333" t="s">
        <v>6024</v>
      </c>
      <c r="B333" t="s">
        <v>6025</v>
      </c>
      <c r="C333">
        <v>1</v>
      </c>
      <c r="D333" t="s">
        <v>6026</v>
      </c>
      <c r="E333" t="s">
        <v>5557</v>
      </c>
      <c r="F333">
        <v>1300</v>
      </c>
      <c r="H333" t="s">
        <v>4688</v>
      </c>
      <c r="I333" t="s">
        <v>6027</v>
      </c>
    </row>
    <row r="334" spans="1:9">
      <c r="A334" t="s">
        <v>6024</v>
      </c>
      <c r="B334" t="s">
        <v>6028</v>
      </c>
      <c r="C334">
        <v>1</v>
      </c>
      <c r="D334" t="s">
        <v>6026</v>
      </c>
      <c r="E334" t="s">
        <v>5557</v>
      </c>
      <c r="F334">
        <v>30</v>
      </c>
      <c r="H334" t="s">
        <v>4688</v>
      </c>
      <c r="I334" t="s">
        <v>6027</v>
      </c>
    </row>
    <row r="335" spans="1:9">
      <c r="A335" t="s">
        <v>6024</v>
      </c>
      <c r="B335" t="s">
        <v>6029</v>
      </c>
      <c r="C335">
        <v>1</v>
      </c>
      <c r="D335" t="s">
        <v>6026</v>
      </c>
      <c r="E335" t="s">
        <v>5557</v>
      </c>
      <c r="F335">
        <v>17.7</v>
      </c>
      <c r="H335" t="s">
        <v>4688</v>
      </c>
      <c r="I335" t="s">
        <v>6027</v>
      </c>
    </row>
    <row r="336" spans="1:9">
      <c r="A336" t="s">
        <v>6024</v>
      </c>
      <c r="B336" t="s">
        <v>6030</v>
      </c>
      <c r="C336">
        <v>1</v>
      </c>
      <c r="D336" t="s">
        <v>6026</v>
      </c>
      <c r="E336" t="s">
        <v>5557</v>
      </c>
      <c r="F336">
        <v>40</v>
      </c>
      <c r="H336" t="s">
        <v>4688</v>
      </c>
      <c r="I336" t="s">
        <v>6027</v>
      </c>
    </row>
    <row r="337" spans="1:9">
      <c r="A337" t="s">
        <v>5676</v>
      </c>
      <c r="B337" t="s">
        <v>6031</v>
      </c>
      <c r="C337">
        <v>1</v>
      </c>
      <c r="D337" t="s">
        <v>5698</v>
      </c>
      <c r="E337">
        <v>2.5000000000000001E-2</v>
      </c>
      <c r="F337">
        <v>0.4</v>
      </c>
      <c r="H337" t="s">
        <v>4688</v>
      </c>
      <c r="I337" t="s">
        <v>6032</v>
      </c>
    </row>
    <row r="338" spans="1:9">
      <c r="A338" t="s">
        <v>5676</v>
      </c>
      <c r="B338" t="s">
        <v>6033</v>
      </c>
      <c r="C338">
        <v>1</v>
      </c>
      <c r="D338" t="s">
        <v>5698</v>
      </c>
      <c r="E338">
        <v>0.2</v>
      </c>
      <c r="F338">
        <v>0.5</v>
      </c>
      <c r="H338" t="s">
        <v>4688</v>
      </c>
      <c r="I338" t="s">
        <v>6032</v>
      </c>
    </row>
    <row r="339" spans="1:9">
      <c r="A339" t="s">
        <v>6034</v>
      </c>
      <c r="B339" t="s">
        <v>6035</v>
      </c>
      <c r="C339">
        <v>30</v>
      </c>
      <c r="D339" t="s">
        <v>6036</v>
      </c>
      <c r="E339" t="s">
        <v>5557</v>
      </c>
      <c r="F339">
        <v>110</v>
      </c>
      <c r="H339" t="s">
        <v>4799</v>
      </c>
      <c r="I339" t="s">
        <v>6037</v>
      </c>
    </row>
    <row r="340" spans="1:9">
      <c r="A340" t="s">
        <v>6034</v>
      </c>
      <c r="B340" t="s">
        <v>6038</v>
      </c>
      <c r="C340">
        <v>7</v>
      </c>
      <c r="D340" t="s">
        <v>6036</v>
      </c>
      <c r="E340" t="s">
        <v>5557</v>
      </c>
      <c r="F340">
        <v>13.2</v>
      </c>
      <c r="G340" t="s">
        <v>6039</v>
      </c>
      <c r="H340" t="s">
        <v>4799</v>
      </c>
      <c r="I340" t="s">
        <v>6037</v>
      </c>
    </row>
    <row r="341" spans="1:9">
      <c r="A341" t="s">
        <v>6034</v>
      </c>
      <c r="B341" t="s">
        <v>6040</v>
      </c>
      <c r="C341">
        <v>7</v>
      </c>
      <c r="D341" t="s">
        <v>6036</v>
      </c>
      <c r="E341" t="s">
        <v>5557</v>
      </c>
      <c r="F341">
        <v>5</v>
      </c>
      <c r="H341" t="s">
        <v>4799</v>
      </c>
      <c r="I341" t="s">
        <v>6037</v>
      </c>
    </row>
    <row r="342" spans="1:9">
      <c r="A342" t="s">
        <v>6034</v>
      </c>
      <c r="B342" t="s">
        <v>6041</v>
      </c>
      <c r="C342">
        <v>1</v>
      </c>
      <c r="D342" t="s">
        <v>6036</v>
      </c>
      <c r="E342" t="s">
        <v>5557</v>
      </c>
      <c r="F342">
        <v>0.1</v>
      </c>
      <c r="H342" t="s">
        <v>4799</v>
      </c>
      <c r="I342" t="s">
        <v>6037</v>
      </c>
    </row>
    <row r="343" spans="1:9">
      <c r="A343" t="s">
        <v>6034</v>
      </c>
      <c r="B343" t="s">
        <v>6042</v>
      </c>
      <c r="C343">
        <v>7</v>
      </c>
      <c r="D343" t="s">
        <v>6036</v>
      </c>
      <c r="E343" t="s">
        <v>5557</v>
      </c>
      <c r="F343">
        <v>13</v>
      </c>
      <c r="G343" t="s">
        <v>6043</v>
      </c>
      <c r="H343" t="s">
        <v>4799</v>
      </c>
      <c r="I343" t="s">
        <v>6037</v>
      </c>
    </row>
    <row r="344" spans="1:9">
      <c r="A344" t="s">
        <v>6034</v>
      </c>
      <c r="B344" t="s">
        <v>6044</v>
      </c>
      <c r="C344">
        <v>30</v>
      </c>
      <c r="D344" t="s">
        <v>6036</v>
      </c>
      <c r="E344" t="s">
        <v>5557</v>
      </c>
      <c r="F344">
        <v>35</v>
      </c>
      <c r="H344" t="s">
        <v>4799</v>
      </c>
      <c r="I344" t="s">
        <v>6037</v>
      </c>
    </row>
    <row r="345" spans="1:9">
      <c r="A345" t="s">
        <v>6034</v>
      </c>
      <c r="B345" t="s">
        <v>6045</v>
      </c>
      <c r="C345">
        <v>1</v>
      </c>
      <c r="D345" t="s">
        <v>6036</v>
      </c>
      <c r="E345" t="s">
        <v>5557</v>
      </c>
      <c r="F345">
        <v>8</v>
      </c>
      <c r="H345" t="s">
        <v>4799</v>
      </c>
      <c r="I345" t="s">
        <v>6037</v>
      </c>
    </row>
    <row r="346" spans="1:9">
      <c r="A346" t="s">
        <v>6034</v>
      </c>
      <c r="B346" t="s">
        <v>6046</v>
      </c>
      <c r="C346">
        <v>7</v>
      </c>
      <c r="D346" t="s">
        <v>6036</v>
      </c>
      <c r="E346" t="s">
        <v>5557</v>
      </c>
      <c r="F346">
        <v>2</v>
      </c>
      <c r="G346" t="s">
        <v>6047</v>
      </c>
      <c r="H346" t="s">
        <v>4799</v>
      </c>
      <c r="I346" t="s">
        <v>6037</v>
      </c>
    </row>
    <row r="347" spans="1:9">
      <c r="A347" t="s">
        <v>6034</v>
      </c>
      <c r="B347" t="s">
        <v>6048</v>
      </c>
      <c r="C347">
        <v>30</v>
      </c>
      <c r="D347" t="s">
        <v>6036</v>
      </c>
      <c r="E347" t="s">
        <v>5557</v>
      </c>
      <c r="F347">
        <v>50</v>
      </c>
      <c r="H347" t="s">
        <v>4799</v>
      </c>
      <c r="I347" t="s">
        <v>6037</v>
      </c>
    </row>
    <row r="348" spans="1:9">
      <c r="A348" t="s">
        <v>6034</v>
      </c>
      <c r="B348" t="s">
        <v>6049</v>
      </c>
      <c r="C348">
        <v>30</v>
      </c>
      <c r="D348" t="s">
        <v>6036</v>
      </c>
      <c r="E348" t="s">
        <v>5557</v>
      </c>
      <c r="F348">
        <v>80</v>
      </c>
      <c r="H348" t="s">
        <v>4799</v>
      </c>
      <c r="I348" t="s">
        <v>6037</v>
      </c>
    </row>
    <row r="349" spans="1:9">
      <c r="A349" t="s">
        <v>6034</v>
      </c>
      <c r="B349" t="s">
        <v>6050</v>
      </c>
      <c r="C349">
        <v>30</v>
      </c>
      <c r="D349" t="s">
        <v>6036</v>
      </c>
      <c r="E349" t="s">
        <v>5557</v>
      </c>
      <c r="F349">
        <v>8</v>
      </c>
      <c r="H349" t="s">
        <v>4799</v>
      </c>
      <c r="I349" t="s">
        <v>6037</v>
      </c>
    </row>
    <row r="350" spans="1:9">
      <c r="A350" t="s">
        <v>6034</v>
      </c>
      <c r="B350" t="s">
        <v>6051</v>
      </c>
      <c r="C350">
        <v>30</v>
      </c>
      <c r="D350" t="s">
        <v>6036</v>
      </c>
      <c r="E350" t="s">
        <v>5557</v>
      </c>
      <c r="F350">
        <v>30</v>
      </c>
      <c r="H350" t="s">
        <v>4799</v>
      </c>
      <c r="I350" t="s">
        <v>6037</v>
      </c>
    </row>
    <row r="351" spans="1:9">
      <c r="A351" t="s">
        <v>6034</v>
      </c>
      <c r="B351" t="s">
        <v>6052</v>
      </c>
      <c r="C351">
        <v>30</v>
      </c>
      <c r="D351" t="s">
        <v>6036</v>
      </c>
      <c r="E351" t="s">
        <v>5557</v>
      </c>
      <c r="F351">
        <v>40</v>
      </c>
      <c r="H351" t="s">
        <v>4799</v>
      </c>
      <c r="I351" t="s">
        <v>6037</v>
      </c>
    </row>
    <row r="352" spans="1:9">
      <c r="A352" t="s">
        <v>6034</v>
      </c>
      <c r="B352" t="s">
        <v>6053</v>
      </c>
      <c r="C352">
        <v>1</v>
      </c>
      <c r="D352" t="s">
        <v>6036</v>
      </c>
      <c r="E352" t="s">
        <v>5557</v>
      </c>
      <c r="F352">
        <v>2.5</v>
      </c>
      <c r="H352" t="s">
        <v>4799</v>
      </c>
      <c r="I352" t="s">
        <v>6037</v>
      </c>
    </row>
    <row r="353" spans="1:9">
      <c r="A353" t="s">
        <v>6034</v>
      </c>
      <c r="B353" t="s">
        <v>6054</v>
      </c>
      <c r="C353">
        <v>1</v>
      </c>
      <c r="D353" t="s">
        <v>6036</v>
      </c>
      <c r="E353" t="s">
        <v>5557</v>
      </c>
      <c r="F353">
        <v>1.3</v>
      </c>
      <c r="H353" t="s">
        <v>4799</v>
      </c>
      <c r="I353" t="s">
        <v>6037</v>
      </c>
    </row>
    <row r="354" spans="1:9">
      <c r="A354" t="s">
        <v>6034</v>
      </c>
      <c r="B354" t="s">
        <v>6055</v>
      </c>
      <c r="C354">
        <v>30</v>
      </c>
      <c r="D354" t="s">
        <v>6036</v>
      </c>
      <c r="E354" t="s">
        <v>5557</v>
      </c>
      <c r="F354">
        <v>15</v>
      </c>
      <c r="H354" t="s">
        <v>4799</v>
      </c>
      <c r="I354" t="s">
        <v>6037</v>
      </c>
    </row>
    <row r="355" spans="1:9">
      <c r="A355" t="s">
        <v>6034</v>
      </c>
      <c r="B355" t="s">
        <v>6056</v>
      </c>
      <c r="C355">
        <v>1</v>
      </c>
      <c r="D355" t="s">
        <v>6036</v>
      </c>
      <c r="E355" t="s">
        <v>5557</v>
      </c>
      <c r="F355">
        <v>0.3</v>
      </c>
      <c r="H355" t="s">
        <v>4799</v>
      </c>
      <c r="I355" t="s">
        <v>6037</v>
      </c>
    </row>
    <row r="356" spans="1:9">
      <c r="A356" t="s">
        <v>6034</v>
      </c>
      <c r="B356" t="s">
        <v>6057</v>
      </c>
      <c r="C356">
        <v>7</v>
      </c>
      <c r="D356" t="s">
        <v>6036</v>
      </c>
      <c r="E356" t="s">
        <v>5557</v>
      </c>
      <c r="F356">
        <v>3</v>
      </c>
      <c r="G356" t="s">
        <v>6058</v>
      </c>
      <c r="H356" t="s">
        <v>4799</v>
      </c>
      <c r="I356" t="s">
        <v>6037</v>
      </c>
    </row>
    <row r="357" spans="1:9">
      <c r="A357" t="s">
        <v>6059</v>
      </c>
      <c r="B357" t="s">
        <v>6060</v>
      </c>
      <c r="C357">
        <v>5</v>
      </c>
      <c r="D357" t="s">
        <v>5698</v>
      </c>
      <c r="E357">
        <v>7.5</v>
      </c>
      <c r="F357">
        <v>2.5</v>
      </c>
      <c r="H357" t="s">
        <v>4799</v>
      </c>
      <c r="I357" t="s">
        <v>6037</v>
      </c>
    </row>
    <row r="358" spans="1:9">
      <c r="A358" t="s">
        <v>6059</v>
      </c>
      <c r="B358" t="s">
        <v>6061</v>
      </c>
      <c r="C358">
        <v>1</v>
      </c>
      <c r="D358" t="s">
        <v>6062</v>
      </c>
      <c r="E358">
        <v>1</v>
      </c>
      <c r="F358">
        <v>0.03</v>
      </c>
      <c r="H358" t="s">
        <v>4799</v>
      </c>
      <c r="I358" t="s">
        <v>6037</v>
      </c>
    </row>
    <row r="359" spans="1:9">
      <c r="A359" t="s">
        <v>6059</v>
      </c>
      <c r="B359" t="s">
        <v>6063</v>
      </c>
      <c r="C359">
        <v>1</v>
      </c>
      <c r="D359" t="s">
        <v>5698</v>
      </c>
      <c r="E359">
        <v>1</v>
      </c>
      <c r="F359">
        <v>0.05</v>
      </c>
      <c r="H359" t="s">
        <v>4799</v>
      </c>
      <c r="I359" t="s">
        <v>6037</v>
      </c>
    </row>
    <row r="360" spans="1:9">
      <c r="A360" t="s">
        <v>6059</v>
      </c>
      <c r="B360" t="s">
        <v>6064</v>
      </c>
      <c r="C360">
        <v>1</v>
      </c>
      <c r="D360" t="s">
        <v>5698</v>
      </c>
      <c r="E360">
        <v>0.8</v>
      </c>
      <c r="F360">
        <v>0.1</v>
      </c>
      <c r="H360" t="s">
        <v>4799</v>
      </c>
      <c r="I360" t="s">
        <v>6037</v>
      </c>
    </row>
    <row r="361" spans="1:9">
      <c r="A361" t="s">
        <v>6059</v>
      </c>
      <c r="B361" t="s">
        <v>6065</v>
      </c>
      <c r="C361">
        <v>1</v>
      </c>
      <c r="D361" t="s">
        <v>5698</v>
      </c>
      <c r="E361">
        <v>0.5</v>
      </c>
      <c r="F361">
        <v>0.15</v>
      </c>
      <c r="H361" t="s">
        <v>4799</v>
      </c>
      <c r="I361" t="s">
        <v>6037</v>
      </c>
    </row>
    <row r="362" spans="1:9">
      <c r="A362" t="s">
        <v>6059</v>
      </c>
      <c r="B362" t="s">
        <v>6066</v>
      </c>
      <c r="C362">
        <v>1</v>
      </c>
      <c r="D362" t="s">
        <v>5698</v>
      </c>
      <c r="E362">
        <v>0.5</v>
      </c>
      <c r="F362">
        <v>0.25</v>
      </c>
      <c r="H362" t="s">
        <v>4799</v>
      </c>
      <c r="I362" t="s">
        <v>6037</v>
      </c>
    </row>
    <row r="363" spans="1:9">
      <c r="A363" t="s">
        <v>6059</v>
      </c>
      <c r="B363" t="s">
        <v>6067</v>
      </c>
      <c r="C363">
        <v>1</v>
      </c>
      <c r="D363" t="s">
        <v>5698</v>
      </c>
      <c r="E363">
        <v>0.5</v>
      </c>
      <c r="F363">
        <v>0.35</v>
      </c>
      <c r="H363" t="s">
        <v>4799</v>
      </c>
      <c r="I363" t="s">
        <v>6037</v>
      </c>
    </row>
    <row r="364" spans="1:9">
      <c r="A364" t="s">
        <v>6059</v>
      </c>
      <c r="B364" t="s">
        <v>6068</v>
      </c>
      <c r="C364">
        <v>1</v>
      </c>
      <c r="D364" t="s">
        <v>5698</v>
      </c>
      <c r="E364">
        <v>0.5</v>
      </c>
      <c r="F364">
        <v>0.05</v>
      </c>
      <c r="H364" t="s">
        <v>4799</v>
      </c>
      <c r="I364" t="s">
        <v>6037</v>
      </c>
    </row>
    <row r="365" spans="1:9">
      <c r="A365" t="s">
        <v>6059</v>
      </c>
      <c r="B365" t="s">
        <v>6069</v>
      </c>
      <c r="C365">
        <v>2</v>
      </c>
      <c r="D365" t="s">
        <v>5698</v>
      </c>
      <c r="E365">
        <v>2</v>
      </c>
      <c r="F365">
        <v>0.9</v>
      </c>
      <c r="H365" t="s">
        <v>4799</v>
      </c>
      <c r="I365" t="s">
        <v>6037</v>
      </c>
    </row>
    <row r="366" spans="1:9">
      <c r="A366" t="s">
        <v>6059</v>
      </c>
      <c r="B366" t="s">
        <v>6070</v>
      </c>
      <c r="C366">
        <v>1</v>
      </c>
      <c r="D366" t="s">
        <v>5698</v>
      </c>
      <c r="E366">
        <v>0.5</v>
      </c>
      <c r="F366">
        <v>0.1</v>
      </c>
      <c r="H366" t="s">
        <v>4799</v>
      </c>
      <c r="I366" t="s">
        <v>6037</v>
      </c>
    </row>
    <row r="367" spans="1:9">
      <c r="A367" t="s">
        <v>6059</v>
      </c>
      <c r="B367" t="s">
        <v>6071</v>
      </c>
      <c r="C367">
        <v>1</v>
      </c>
      <c r="D367" t="s">
        <v>6062</v>
      </c>
      <c r="E367">
        <v>0.2</v>
      </c>
      <c r="F367">
        <v>0.5</v>
      </c>
      <c r="H367" t="s">
        <v>4799</v>
      </c>
      <c r="I367" t="s">
        <v>6037</v>
      </c>
    </row>
    <row r="368" spans="1:9">
      <c r="A368" t="s">
        <v>6059</v>
      </c>
      <c r="B368" t="s">
        <v>6072</v>
      </c>
      <c r="C368">
        <v>1</v>
      </c>
      <c r="D368" t="s">
        <v>6062</v>
      </c>
      <c r="E368">
        <v>0.3</v>
      </c>
      <c r="F368">
        <v>1.4999999999999999E-2</v>
      </c>
      <c r="H368" t="s">
        <v>4799</v>
      </c>
      <c r="I368" t="s">
        <v>6037</v>
      </c>
    </row>
    <row r="369" spans="1:9">
      <c r="A369" t="s">
        <v>6059</v>
      </c>
      <c r="B369" t="s">
        <v>6073</v>
      </c>
      <c r="C369">
        <v>10</v>
      </c>
      <c r="D369" t="s">
        <v>5698</v>
      </c>
      <c r="E369">
        <v>20</v>
      </c>
      <c r="F369">
        <v>1.2</v>
      </c>
      <c r="H369" t="s">
        <v>4799</v>
      </c>
      <c r="I369" t="s">
        <v>6037</v>
      </c>
    </row>
    <row r="370" spans="1:9">
      <c r="A370" t="s">
        <v>6059</v>
      </c>
      <c r="B370" t="s">
        <v>6074</v>
      </c>
      <c r="C370">
        <v>1</v>
      </c>
      <c r="D370" t="s">
        <v>6062</v>
      </c>
      <c r="E370">
        <v>0.2</v>
      </c>
      <c r="F370">
        <v>0.5</v>
      </c>
      <c r="H370" t="s">
        <v>4799</v>
      </c>
      <c r="I370" t="s">
        <v>6037</v>
      </c>
    </row>
    <row r="371" spans="1:9">
      <c r="A371" t="s">
        <v>6059</v>
      </c>
      <c r="B371" t="s">
        <v>6075</v>
      </c>
      <c r="C371">
        <v>1</v>
      </c>
      <c r="D371" t="s">
        <v>6062</v>
      </c>
      <c r="E371">
        <v>0.3</v>
      </c>
      <c r="F371">
        <v>0.1</v>
      </c>
      <c r="H371" t="s">
        <v>4799</v>
      </c>
      <c r="I371" t="s">
        <v>6037</v>
      </c>
    </row>
    <row r="372" spans="1:9">
      <c r="A372" t="s">
        <v>6059</v>
      </c>
      <c r="B372" t="s">
        <v>6076</v>
      </c>
      <c r="C372">
        <v>1</v>
      </c>
      <c r="D372" t="s">
        <v>6062</v>
      </c>
      <c r="E372">
        <v>0.1</v>
      </c>
      <c r="F372">
        <v>0.35</v>
      </c>
      <c r="H372" t="s">
        <v>4799</v>
      </c>
      <c r="I372" t="s">
        <v>6037</v>
      </c>
    </row>
    <row r="373" spans="1:9">
      <c r="A373" t="s">
        <v>6059</v>
      </c>
      <c r="B373" t="s">
        <v>6077</v>
      </c>
      <c r="C373">
        <v>1</v>
      </c>
      <c r="D373" t="s">
        <v>6062</v>
      </c>
      <c r="E373">
        <v>0.2</v>
      </c>
      <c r="F373">
        <v>0.05</v>
      </c>
      <c r="H373" t="s">
        <v>4799</v>
      </c>
      <c r="I373" t="s">
        <v>6037</v>
      </c>
    </row>
    <row r="374" spans="1:9">
      <c r="A374" t="s">
        <v>6059</v>
      </c>
      <c r="B374" t="s">
        <v>6078</v>
      </c>
      <c r="C374">
        <v>1</v>
      </c>
      <c r="D374" t="s">
        <v>6062</v>
      </c>
      <c r="E374">
        <v>1</v>
      </c>
      <c r="F374">
        <v>0.05</v>
      </c>
      <c r="H374" t="s">
        <v>4799</v>
      </c>
      <c r="I374" t="s">
        <v>6037</v>
      </c>
    </row>
    <row r="375" spans="1:9">
      <c r="A375" t="s">
        <v>6059</v>
      </c>
      <c r="B375" t="s">
        <v>6079</v>
      </c>
      <c r="C375">
        <v>1</v>
      </c>
      <c r="D375" t="s">
        <v>6062</v>
      </c>
      <c r="E375">
        <v>0.3</v>
      </c>
      <c r="F375">
        <v>2.5000000000000001E-2</v>
      </c>
      <c r="H375" t="s">
        <v>4799</v>
      </c>
      <c r="I375" t="s">
        <v>6037</v>
      </c>
    </row>
    <row r="376" spans="1:9">
      <c r="A376" t="s">
        <v>6059</v>
      </c>
      <c r="B376" t="s">
        <v>6080</v>
      </c>
      <c r="C376">
        <v>1</v>
      </c>
      <c r="D376" t="s">
        <v>6062</v>
      </c>
      <c r="E376">
        <v>0.5</v>
      </c>
      <c r="F376">
        <v>5.0000000000000001E-3</v>
      </c>
      <c r="H376" t="s">
        <v>4799</v>
      </c>
      <c r="I376" t="s">
        <v>6037</v>
      </c>
    </row>
    <row r="377" spans="1:9">
      <c r="A377" t="s">
        <v>6059</v>
      </c>
      <c r="B377" t="s">
        <v>6081</v>
      </c>
      <c r="C377">
        <v>1</v>
      </c>
      <c r="D377" t="s">
        <v>6062</v>
      </c>
      <c r="E377">
        <v>0.3</v>
      </c>
      <c r="F377">
        <v>0.25</v>
      </c>
      <c r="H377" t="s">
        <v>4799</v>
      </c>
      <c r="I377" t="s">
        <v>6037</v>
      </c>
    </row>
    <row r="378" spans="1:9">
      <c r="A378" t="s">
        <v>6059</v>
      </c>
      <c r="B378" t="s">
        <v>6082</v>
      </c>
      <c r="C378">
        <v>1</v>
      </c>
      <c r="D378" t="s">
        <v>6062</v>
      </c>
      <c r="E378">
        <v>0.3</v>
      </c>
      <c r="F378">
        <v>4.4999999999999998E-2</v>
      </c>
      <c r="H378" t="s">
        <v>4799</v>
      </c>
      <c r="I378" t="s">
        <v>6037</v>
      </c>
    </row>
    <row r="379" spans="1:9">
      <c r="A379" t="s">
        <v>6059</v>
      </c>
      <c r="B379" t="s">
        <v>6083</v>
      </c>
      <c r="C379">
        <v>1</v>
      </c>
      <c r="D379" t="s">
        <v>6062</v>
      </c>
      <c r="E379">
        <v>0.1</v>
      </c>
      <c r="F379">
        <v>0.35</v>
      </c>
      <c r="H379" t="s">
        <v>4799</v>
      </c>
      <c r="I379" t="s">
        <v>6037</v>
      </c>
    </row>
    <row r="380" spans="1:9">
      <c r="A380" t="s">
        <v>5676</v>
      </c>
      <c r="B380" t="s">
        <v>6084</v>
      </c>
      <c r="C380">
        <v>2</v>
      </c>
      <c r="D380" t="s">
        <v>5698</v>
      </c>
      <c r="E380">
        <v>1</v>
      </c>
      <c r="F380">
        <v>1</v>
      </c>
      <c r="H380" t="s">
        <v>4799</v>
      </c>
      <c r="I380" t="s">
        <v>6085</v>
      </c>
    </row>
    <row r="381" spans="1:9">
      <c r="A381" t="s">
        <v>5844</v>
      </c>
      <c r="B381" t="s">
        <v>6086</v>
      </c>
      <c r="C381">
        <v>1</v>
      </c>
      <c r="D381" t="s">
        <v>5556</v>
      </c>
      <c r="E381">
        <v>0.1</v>
      </c>
      <c r="F381">
        <v>45</v>
      </c>
      <c r="H381" t="s">
        <v>4799</v>
      </c>
      <c r="I381" t="s">
        <v>6085</v>
      </c>
    </row>
    <row r="382" spans="1:9">
      <c r="A382" t="s">
        <v>5907</v>
      </c>
      <c r="B382" t="s">
        <v>6087</v>
      </c>
      <c r="C382">
        <v>1</v>
      </c>
      <c r="D382" t="s">
        <v>6026</v>
      </c>
      <c r="E382">
        <v>1</v>
      </c>
      <c r="F382">
        <v>2.2000000000000002</v>
      </c>
      <c r="H382" t="s">
        <v>4799</v>
      </c>
      <c r="I382" t="s">
        <v>6085</v>
      </c>
    </row>
    <row r="383" spans="1:9">
      <c r="A383" t="s">
        <v>5674</v>
      </c>
      <c r="B383" t="s">
        <v>6088</v>
      </c>
      <c r="C383">
        <v>1</v>
      </c>
      <c r="D383" t="s">
        <v>5746</v>
      </c>
      <c r="E383">
        <v>4</v>
      </c>
      <c r="F383">
        <v>2.2000000000000002</v>
      </c>
      <c r="H383" t="s">
        <v>4799</v>
      </c>
      <c r="I383" t="s">
        <v>6085</v>
      </c>
    </row>
    <row r="384" spans="1:9">
      <c r="A384" t="s">
        <v>5786</v>
      </c>
      <c r="B384" t="s">
        <v>6089</v>
      </c>
      <c r="C384">
        <v>1</v>
      </c>
      <c r="D384" t="s">
        <v>5746</v>
      </c>
      <c r="E384">
        <v>0.6</v>
      </c>
      <c r="F384">
        <v>3.52</v>
      </c>
      <c r="H384" t="s">
        <v>4799</v>
      </c>
      <c r="I384" t="s">
        <v>6085</v>
      </c>
    </row>
    <row r="385" spans="1:9">
      <c r="A385" t="s">
        <v>5658</v>
      </c>
      <c r="B385" t="s">
        <v>6090</v>
      </c>
      <c r="C385">
        <v>1</v>
      </c>
      <c r="D385" t="s">
        <v>5746</v>
      </c>
      <c r="E385">
        <v>0.05</v>
      </c>
      <c r="F385">
        <v>3.5</v>
      </c>
      <c r="H385" t="s">
        <v>4799</v>
      </c>
      <c r="I385" t="s">
        <v>6085</v>
      </c>
    </row>
    <row r="386" spans="1:9">
      <c r="A386" t="s">
        <v>5658</v>
      </c>
      <c r="B386" t="s">
        <v>6091</v>
      </c>
      <c r="C386">
        <v>1</v>
      </c>
      <c r="D386" t="s">
        <v>5556</v>
      </c>
      <c r="E386">
        <v>0.5</v>
      </c>
      <c r="F386">
        <v>0.54</v>
      </c>
      <c r="H386" t="s">
        <v>4799</v>
      </c>
      <c r="I386" t="s">
        <v>6085</v>
      </c>
    </row>
    <row r="387" spans="1:9">
      <c r="A387" t="s">
        <v>6092</v>
      </c>
      <c r="B387" t="s">
        <v>6093</v>
      </c>
      <c r="C387">
        <v>1</v>
      </c>
      <c r="D387" t="s">
        <v>5556</v>
      </c>
      <c r="E387" t="s">
        <v>5557</v>
      </c>
      <c r="F387">
        <v>180</v>
      </c>
      <c r="H387" t="s">
        <v>4799</v>
      </c>
      <c r="I387" t="s">
        <v>6094</v>
      </c>
    </row>
    <row r="388" spans="1:9">
      <c r="A388" t="s">
        <v>6092</v>
      </c>
      <c r="B388" t="s">
        <v>6095</v>
      </c>
      <c r="C388">
        <v>1</v>
      </c>
      <c r="D388" t="s">
        <v>5556</v>
      </c>
      <c r="E388" t="s">
        <v>5557</v>
      </c>
      <c r="F388">
        <v>80</v>
      </c>
      <c r="H388" t="s">
        <v>4799</v>
      </c>
      <c r="I388" t="s">
        <v>6094</v>
      </c>
    </row>
    <row r="389" spans="1:9">
      <c r="A389" t="s">
        <v>6092</v>
      </c>
      <c r="B389" t="s">
        <v>6096</v>
      </c>
      <c r="C389">
        <v>1</v>
      </c>
      <c r="D389" t="s">
        <v>5556</v>
      </c>
      <c r="E389" t="s">
        <v>5557</v>
      </c>
      <c r="F389">
        <v>160</v>
      </c>
      <c r="H389" t="s">
        <v>4799</v>
      </c>
      <c r="I389" t="s">
        <v>6094</v>
      </c>
    </row>
    <row r="390" spans="1:9">
      <c r="A390" t="s">
        <v>6092</v>
      </c>
      <c r="B390" t="s">
        <v>6097</v>
      </c>
      <c r="C390">
        <v>1</v>
      </c>
      <c r="D390" t="s">
        <v>5556</v>
      </c>
      <c r="E390" t="s">
        <v>5557</v>
      </c>
      <c r="F390">
        <v>120</v>
      </c>
      <c r="H390" t="s">
        <v>4799</v>
      </c>
      <c r="I390" t="s">
        <v>6094</v>
      </c>
    </row>
    <row r="391" spans="1:9">
      <c r="A391" t="s">
        <v>6092</v>
      </c>
      <c r="B391" t="s">
        <v>6098</v>
      </c>
      <c r="C391">
        <v>1</v>
      </c>
      <c r="D391" t="s">
        <v>5556</v>
      </c>
      <c r="E391" t="s">
        <v>5557</v>
      </c>
      <c r="F391">
        <v>500</v>
      </c>
      <c r="H391" t="s">
        <v>4799</v>
      </c>
      <c r="I391" t="s">
        <v>6094</v>
      </c>
    </row>
    <row r="392" spans="1:9">
      <c r="A392" t="s">
        <v>6092</v>
      </c>
      <c r="B392" t="s">
        <v>6099</v>
      </c>
      <c r="C392">
        <v>1</v>
      </c>
      <c r="D392" t="s">
        <v>5556</v>
      </c>
      <c r="E392" t="s">
        <v>5557</v>
      </c>
      <c r="F392">
        <v>38</v>
      </c>
      <c r="H392" t="s">
        <v>4799</v>
      </c>
      <c r="I392" t="s">
        <v>6094</v>
      </c>
    </row>
    <row r="393" spans="1:9">
      <c r="A393" t="s">
        <v>6092</v>
      </c>
      <c r="B393" t="s">
        <v>6100</v>
      </c>
      <c r="C393">
        <v>1</v>
      </c>
      <c r="D393" t="s">
        <v>5556</v>
      </c>
      <c r="E393" t="s">
        <v>5557</v>
      </c>
      <c r="F393">
        <v>75</v>
      </c>
      <c r="H393" t="s">
        <v>4799</v>
      </c>
      <c r="I393" t="s">
        <v>6094</v>
      </c>
    </row>
    <row r="394" spans="1:9">
      <c r="A394" t="s">
        <v>6092</v>
      </c>
      <c r="B394" t="s">
        <v>6101</v>
      </c>
      <c r="C394">
        <v>1</v>
      </c>
      <c r="D394" t="s">
        <v>5556</v>
      </c>
      <c r="E394" t="s">
        <v>5557</v>
      </c>
      <c r="F394">
        <v>50</v>
      </c>
      <c r="H394" t="s">
        <v>4799</v>
      </c>
      <c r="I394" t="s">
        <v>6094</v>
      </c>
    </row>
    <row r="395" spans="1:9">
      <c r="A395" t="s">
        <v>6092</v>
      </c>
      <c r="B395" t="s">
        <v>6102</v>
      </c>
      <c r="C395">
        <v>1</v>
      </c>
      <c r="D395" t="s">
        <v>5556</v>
      </c>
      <c r="E395" t="s">
        <v>5557</v>
      </c>
      <c r="F395">
        <v>65</v>
      </c>
      <c r="H395" t="s">
        <v>4799</v>
      </c>
      <c r="I395" t="s">
        <v>6094</v>
      </c>
    </row>
    <row r="396" spans="1:9">
      <c r="A396" t="s">
        <v>6092</v>
      </c>
      <c r="B396" t="s">
        <v>6103</v>
      </c>
      <c r="C396">
        <v>1</v>
      </c>
      <c r="D396" t="s">
        <v>5556</v>
      </c>
      <c r="E396" t="s">
        <v>5557</v>
      </c>
      <c r="F396">
        <v>130</v>
      </c>
      <c r="H396" t="s">
        <v>4799</v>
      </c>
      <c r="I396" t="s">
        <v>6094</v>
      </c>
    </row>
    <row r="397" spans="1:9">
      <c r="A397" t="s">
        <v>6092</v>
      </c>
      <c r="B397" t="s">
        <v>6104</v>
      </c>
      <c r="C397">
        <v>1</v>
      </c>
      <c r="D397" t="s">
        <v>5556</v>
      </c>
      <c r="E397" t="s">
        <v>5557</v>
      </c>
      <c r="F397">
        <v>100</v>
      </c>
      <c r="H397" t="s">
        <v>4799</v>
      </c>
      <c r="I397" t="s">
        <v>6094</v>
      </c>
    </row>
    <row r="398" spans="1:9">
      <c r="A398" t="s">
        <v>6092</v>
      </c>
      <c r="B398" t="s">
        <v>6105</v>
      </c>
      <c r="C398">
        <v>1</v>
      </c>
      <c r="D398" t="s">
        <v>5556</v>
      </c>
      <c r="E398" t="s">
        <v>5557</v>
      </c>
      <c r="F398">
        <v>100</v>
      </c>
      <c r="H398" t="s">
        <v>4799</v>
      </c>
      <c r="I398" t="s">
        <v>6094</v>
      </c>
    </row>
    <row r="399" spans="1:9">
      <c r="A399" t="s">
        <v>6092</v>
      </c>
      <c r="B399" t="s">
        <v>6106</v>
      </c>
      <c r="C399">
        <v>1</v>
      </c>
      <c r="D399" t="s">
        <v>5556</v>
      </c>
      <c r="E399" t="s">
        <v>5557</v>
      </c>
      <c r="F399">
        <v>200</v>
      </c>
      <c r="H399" t="s">
        <v>4799</v>
      </c>
      <c r="I399" t="s">
        <v>6094</v>
      </c>
    </row>
    <row r="400" spans="1:9">
      <c r="A400" t="s">
        <v>6092</v>
      </c>
      <c r="B400" t="s">
        <v>6107</v>
      </c>
      <c r="C400">
        <v>1</v>
      </c>
      <c r="D400" t="s">
        <v>5556</v>
      </c>
      <c r="E400" t="s">
        <v>5557</v>
      </c>
      <c r="F400">
        <v>150</v>
      </c>
      <c r="H400" t="s">
        <v>4799</v>
      </c>
      <c r="I400" t="s">
        <v>6094</v>
      </c>
    </row>
    <row r="401" spans="1:9">
      <c r="A401" t="s">
        <v>6092</v>
      </c>
      <c r="B401" t="s">
        <v>6108</v>
      </c>
      <c r="C401">
        <v>1</v>
      </c>
      <c r="D401" t="s">
        <v>5556</v>
      </c>
      <c r="E401" t="s">
        <v>5557</v>
      </c>
      <c r="F401">
        <v>200</v>
      </c>
      <c r="H401" t="s">
        <v>4799</v>
      </c>
      <c r="I401" t="s">
        <v>6094</v>
      </c>
    </row>
    <row r="402" spans="1:9">
      <c r="A402" t="s">
        <v>6092</v>
      </c>
      <c r="B402" t="s">
        <v>6109</v>
      </c>
      <c r="C402">
        <v>1</v>
      </c>
      <c r="D402" t="s">
        <v>5556</v>
      </c>
      <c r="E402" t="s">
        <v>5557</v>
      </c>
      <c r="F402">
        <v>400</v>
      </c>
      <c r="H402" t="s">
        <v>4799</v>
      </c>
      <c r="I402" t="s">
        <v>6094</v>
      </c>
    </row>
    <row r="403" spans="1:9">
      <c r="A403" t="s">
        <v>6092</v>
      </c>
      <c r="B403" t="s">
        <v>6110</v>
      </c>
      <c r="C403">
        <v>1</v>
      </c>
      <c r="D403" t="s">
        <v>5556</v>
      </c>
      <c r="E403" t="s">
        <v>5557</v>
      </c>
      <c r="F403">
        <v>300</v>
      </c>
      <c r="H403" t="s">
        <v>4799</v>
      </c>
      <c r="I403" t="s">
        <v>6094</v>
      </c>
    </row>
    <row r="404" spans="1:9">
      <c r="A404" t="s">
        <v>6092</v>
      </c>
      <c r="B404" t="s">
        <v>6111</v>
      </c>
      <c r="C404">
        <v>1</v>
      </c>
      <c r="D404" t="s">
        <v>5556</v>
      </c>
      <c r="E404" t="s">
        <v>5557</v>
      </c>
      <c r="F404">
        <v>100</v>
      </c>
      <c r="H404" t="s">
        <v>4799</v>
      </c>
      <c r="I404" t="s">
        <v>6094</v>
      </c>
    </row>
    <row r="405" spans="1:9">
      <c r="A405" t="s">
        <v>6092</v>
      </c>
      <c r="B405" t="s">
        <v>6112</v>
      </c>
      <c r="C405">
        <v>1</v>
      </c>
      <c r="D405" t="s">
        <v>5556</v>
      </c>
      <c r="E405" t="s">
        <v>5557</v>
      </c>
      <c r="F405">
        <v>200</v>
      </c>
      <c r="H405" t="s">
        <v>4799</v>
      </c>
      <c r="I405" t="s">
        <v>6094</v>
      </c>
    </row>
    <row r="406" spans="1:9">
      <c r="A406" t="s">
        <v>6092</v>
      </c>
      <c r="B406" t="s">
        <v>6113</v>
      </c>
      <c r="C406">
        <v>1</v>
      </c>
      <c r="D406" t="s">
        <v>5556</v>
      </c>
      <c r="E406" t="s">
        <v>5557</v>
      </c>
      <c r="F406">
        <v>150</v>
      </c>
      <c r="H406" t="s">
        <v>4799</v>
      </c>
      <c r="I406" t="s">
        <v>6094</v>
      </c>
    </row>
    <row r="407" spans="1:9">
      <c r="A407" t="s">
        <v>5674</v>
      </c>
      <c r="B407" t="s">
        <v>6114</v>
      </c>
      <c r="C407">
        <v>1</v>
      </c>
      <c r="D407" t="s">
        <v>5698</v>
      </c>
      <c r="E407">
        <v>0.5</v>
      </c>
      <c r="F407">
        <v>2.2000000000000002</v>
      </c>
      <c r="G407" t="s">
        <v>6115</v>
      </c>
      <c r="H407" t="s">
        <v>4537</v>
      </c>
      <c r="I407" t="s">
        <v>6116</v>
      </c>
    </row>
    <row r="408" spans="1:9">
      <c r="A408" t="s">
        <v>5676</v>
      </c>
      <c r="B408" t="s">
        <v>6117</v>
      </c>
      <c r="C408">
        <v>1</v>
      </c>
      <c r="D408" t="s">
        <v>5698</v>
      </c>
      <c r="E408">
        <v>0.5</v>
      </c>
      <c r="F408">
        <v>0.3</v>
      </c>
      <c r="H408" t="s">
        <v>4537</v>
      </c>
      <c r="I408" t="s">
        <v>6118</v>
      </c>
    </row>
    <row r="409" spans="1:9">
      <c r="A409" t="s">
        <v>5676</v>
      </c>
      <c r="B409" t="s">
        <v>6119</v>
      </c>
      <c r="C409">
        <v>1</v>
      </c>
      <c r="D409" t="s">
        <v>5698</v>
      </c>
      <c r="E409">
        <v>0.5</v>
      </c>
      <c r="F409">
        <v>0.2</v>
      </c>
      <c r="H409" t="s">
        <v>4537</v>
      </c>
      <c r="I409" t="s">
        <v>6118</v>
      </c>
    </row>
    <row r="410" spans="1:9">
      <c r="A410" t="s">
        <v>5676</v>
      </c>
      <c r="B410" t="s">
        <v>6120</v>
      </c>
      <c r="C410">
        <v>1</v>
      </c>
      <c r="D410" t="s">
        <v>5698</v>
      </c>
      <c r="E410">
        <v>0.5</v>
      </c>
      <c r="F410">
        <v>0.4</v>
      </c>
      <c r="H410" t="s">
        <v>4537</v>
      </c>
      <c r="I410" t="s">
        <v>6121</v>
      </c>
    </row>
    <row r="411" spans="1:9">
      <c r="A411" t="s">
        <v>5676</v>
      </c>
      <c r="B411" t="s">
        <v>6122</v>
      </c>
      <c r="C411">
        <v>1</v>
      </c>
      <c r="D411" t="s">
        <v>5698</v>
      </c>
      <c r="E411">
        <v>0.5</v>
      </c>
      <c r="F411">
        <v>3.5000000000000003E-2</v>
      </c>
      <c r="H411" t="s">
        <v>4537</v>
      </c>
      <c r="I411" t="s">
        <v>6121</v>
      </c>
    </row>
    <row r="412" spans="1:9">
      <c r="A412" t="s">
        <v>5676</v>
      </c>
      <c r="B412" t="s">
        <v>6123</v>
      </c>
      <c r="C412">
        <v>1</v>
      </c>
      <c r="D412" t="s">
        <v>5698</v>
      </c>
      <c r="E412">
        <v>0.5</v>
      </c>
      <c r="F412">
        <v>0.05</v>
      </c>
      <c r="H412" t="s">
        <v>4537</v>
      </c>
      <c r="I412" t="s">
        <v>6121</v>
      </c>
    </row>
    <row r="413" spans="1:9">
      <c r="A413" t="s">
        <v>5676</v>
      </c>
      <c r="B413" t="s">
        <v>6124</v>
      </c>
      <c r="C413">
        <v>1</v>
      </c>
      <c r="D413" t="s">
        <v>5698</v>
      </c>
      <c r="E413">
        <v>0.5</v>
      </c>
      <c r="F413">
        <v>7.4999999999999997E-2</v>
      </c>
      <c r="H413" t="s">
        <v>4537</v>
      </c>
      <c r="I413" t="s">
        <v>6121</v>
      </c>
    </row>
    <row r="414" spans="1:9">
      <c r="A414" t="s">
        <v>5676</v>
      </c>
      <c r="B414" t="s">
        <v>6125</v>
      </c>
      <c r="C414">
        <v>1</v>
      </c>
      <c r="D414" t="s">
        <v>5698</v>
      </c>
      <c r="E414">
        <v>0.5</v>
      </c>
      <c r="F414">
        <v>0.4</v>
      </c>
      <c r="H414" t="s">
        <v>4537</v>
      </c>
      <c r="I414" t="s">
        <v>6121</v>
      </c>
    </row>
    <row r="415" spans="1:9">
      <c r="A415" t="s">
        <v>5676</v>
      </c>
      <c r="B415" t="s">
        <v>6126</v>
      </c>
      <c r="C415">
        <v>1</v>
      </c>
      <c r="D415" t="s">
        <v>5698</v>
      </c>
      <c r="E415">
        <v>0.125</v>
      </c>
      <c r="F415">
        <v>1.4999999999999999E-2</v>
      </c>
      <c r="H415" t="s">
        <v>4537</v>
      </c>
      <c r="I415" t="s">
        <v>6127</v>
      </c>
    </row>
    <row r="416" spans="1:9">
      <c r="A416" t="s">
        <v>6128</v>
      </c>
      <c r="B416" t="s">
        <v>6129</v>
      </c>
      <c r="C416">
        <v>1</v>
      </c>
      <c r="D416" t="s">
        <v>5556</v>
      </c>
      <c r="E416">
        <v>0.25</v>
      </c>
      <c r="F416">
        <v>660</v>
      </c>
      <c r="H416" t="s">
        <v>4588</v>
      </c>
      <c r="I416" t="s">
        <v>6130</v>
      </c>
    </row>
    <row r="417" spans="1:9">
      <c r="A417" t="s">
        <v>6128</v>
      </c>
      <c r="B417" t="s">
        <v>6131</v>
      </c>
      <c r="C417">
        <v>1</v>
      </c>
      <c r="D417" t="s">
        <v>5556</v>
      </c>
      <c r="E417">
        <v>0.25</v>
      </c>
      <c r="F417">
        <v>1320</v>
      </c>
      <c r="H417" t="s">
        <v>4588</v>
      </c>
      <c r="I417" t="s">
        <v>6130</v>
      </c>
    </row>
    <row r="418" spans="1:9">
      <c r="A418" t="s">
        <v>6128</v>
      </c>
      <c r="B418" t="s">
        <v>6132</v>
      </c>
      <c r="C418">
        <v>1</v>
      </c>
      <c r="D418" t="s">
        <v>5556</v>
      </c>
      <c r="E418">
        <v>0.25</v>
      </c>
      <c r="F418">
        <v>5.3</v>
      </c>
      <c r="H418" t="s">
        <v>4588</v>
      </c>
      <c r="I418" t="s">
        <v>6130</v>
      </c>
    </row>
    <row r="419" spans="1:9">
      <c r="A419" t="s">
        <v>6128</v>
      </c>
      <c r="B419" t="s">
        <v>6133</v>
      </c>
      <c r="C419">
        <v>1</v>
      </c>
      <c r="D419" t="s">
        <v>5556</v>
      </c>
      <c r="E419">
        <v>0.38</v>
      </c>
      <c r="F419">
        <v>100</v>
      </c>
      <c r="H419" t="s">
        <v>4588</v>
      </c>
      <c r="I419" t="s">
        <v>6130</v>
      </c>
    </row>
    <row r="420" spans="1:9">
      <c r="A420" t="s">
        <v>6128</v>
      </c>
      <c r="B420" t="s">
        <v>6134</v>
      </c>
      <c r="C420">
        <v>1</v>
      </c>
      <c r="D420" t="s">
        <v>5556</v>
      </c>
      <c r="E420">
        <v>0.25</v>
      </c>
      <c r="F420">
        <v>0.44</v>
      </c>
      <c r="H420" t="s">
        <v>4588</v>
      </c>
      <c r="I420" t="s">
        <v>6130</v>
      </c>
    </row>
    <row r="421" spans="1:9">
      <c r="A421" t="s">
        <v>6128</v>
      </c>
      <c r="B421" t="s">
        <v>6135</v>
      </c>
      <c r="C421">
        <v>1</v>
      </c>
      <c r="D421" t="s">
        <v>5556</v>
      </c>
      <c r="E421">
        <v>3</v>
      </c>
      <c r="F421">
        <v>40</v>
      </c>
      <c r="H421" t="s">
        <v>4588</v>
      </c>
      <c r="I421" t="s">
        <v>4392</v>
      </c>
    </row>
    <row r="422" spans="1:9">
      <c r="A422" t="s">
        <v>6128</v>
      </c>
      <c r="B422" t="s">
        <v>6136</v>
      </c>
      <c r="C422">
        <v>1</v>
      </c>
      <c r="D422" t="s">
        <v>5556</v>
      </c>
      <c r="E422">
        <v>1.5</v>
      </c>
      <c r="F422">
        <v>48</v>
      </c>
      <c r="H422" t="s">
        <v>4588</v>
      </c>
      <c r="I422" t="s">
        <v>4392</v>
      </c>
    </row>
    <row r="423" spans="1:9">
      <c r="A423" t="s">
        <v>5867</v>
      </c>
      <c r="B423" t="s">
        <v>6137</v>
      </c>
      <c r="C423">
        <v>1</v>
      </c>
      <c r="D423" t="s">
        <v>5700</v>
      </c>
      <c r="E423" t="s">
        <v>5557</v>
      </c>
      <c r="F423">
        <v>4.5</v>
      </c>
      <c r="G423" t="s">
        <v>5869</v>
      </c>
      <c r="H423" t="s">
        <v>4588</v>
      </c>
      <c r="I423" t="s">
        <v>6138</v>
      </c>
    </row>
    <row r="424" spans="1:9">
      <c r="A424" t="s">
        <v>5676</v>
      </c>
      <c r="B424" t="s">
        <v>6139</v>
      </c>
      <c r="C424">
        <v>1</v>
      </c>
      <c r="D424" t="s">
        <v>5630</v>
      </c>
      <c r="E424">
        <v>0.5</v>
      </c>
      <c r="F424">
        <v>0.02</v>
      </c>
      <c r="H424" t="s">
        <v>4648</v>
      </c>
      <c r="I424" t="s">
        <v>6140</v>
      </c>
    </row>
    <row r="425" spans="1:9">
      <c r="A425" t="s">
        <v>5676</v>
      </c>
      <c r="B425" t="s">
        <v>6141</v>
      </c>
      <c r="C425">
        <v>1</v>
      </c>
      <c r="D425" t="s">
        <v>5630</v>
      </c>
      <c r="E425">
        <v>0.5</v>
      </c>
      <c r="F425">
        <v>0.04</v>
      </c>
      <c r="H425" t="s">
        <v>4648</v>
      </c>
      <c r="I425" t="s">
        <v>6140</v>
      </c>
    </row>
    <row r="426" spans="1:9">
      <c r="A426" t="s">
        <v>5676</v>
      </c>
      <c r="B426" t="s">
        <v>6142</v>
      </c>
      <c r="C426">
        <v>1</v>
      </c>
      <c r="D426" t="s">
        <v>5630</v>
      </c>
      <c r="E426">
        <v>0.5</v>
      </c>
      <c r="F426">
        <v>3.5000000000000003E-2</v>
      </c>
      <c r="H426" t="s">
        <v>4648</v>
      </c>
      <c r="I426" t="s">
        <v>6140</v>
      </c>
    </row>
    <row r="427" spans="1:9">
      <c r="A427" t="s">
        <v>5676</v>
      </c>
      <c r="B427" t="s">
        <v>6143</v>
      </c>
      <c r="C427">
        <v>1</v>
      </c>
      <c r="D427" t="s">
        <v>5630</v>
      </c>
      <c r="E427">
        <v>0.5</v>
      </c>
      <c r="F427">
        <v>0.05</v>
      </c>
      <c r="H427" t="s">
        <v>4648</v>
      </c>
      <c r="I427" t="s">
        <v>6140</v>
      </c>
    </row>
    <row r="428" spans="1:9">
      <c r="A428" t="s">
        <v>5676</v>
      </c>
      <c r="B428" t="s">
        <v>6144</v>
      </c>
      <c r="C428">
        <v>1</v>
      </c>
      <c r="D428" t="s">
        <v>5630</v>
      </c>
      <c r="E428">
        <v>0.5</v>
      </c>
      <c r="F428">
        <v>0.02</v>
      </c>
      <c r="H428" t="s">
        <v>4648</v>
      </c>
      <c r="I428" t="s">
        <v>6140</v>
      </c>
    </row>
    <row r="429" spans="1:9">
      <c r="A429" t="s">
        <v>5676</v>
      </c>
      <c r="B429" t="s">
        <v>6145</v>
      </c>
      <c r="C429">
        <v>1</v>
      </c>
      <c r="D429" t="s">
        <v>5637</v>
      </c>
      <c r="E429">
        <v>0.5</v>
      </c>
      <c r="F429">
        <v>0.05</v>
      </c>
      <c r="H429" t="s">
        <v>4648</v>
      </c>
      <c r="I429" t="s">
        <v>6140</v>
      </c>
    </row>
    <row r="430" spans="1:9">
      <c r="A430" t="s">
        <v>5676</v>
      </c>
      <c r="B430" t="s">
        <v>6146</v>
      </c>
      <c r="C430">
        <v>1</v>
      </c>
      <c r="D430" t="s">
        <v>5698</v>
      </c>
      <c r="E430">
        <v>0.5</v>
      </c>
      <c r="F430">
        <v>2.2999999999999998</v>
      </c>
      <c r="H430" t="s">
        <v>4648</v>
      </c>
      <c r="I430" t="s">
        <v>6140</v>
      </c>
    </row>
    <row r="431" spans="1:9">
      <c r="A431" t="s">
        <v>5676</v>
      </c>
      <c r="B431" t="s">
        <v>6147</v>
      </c>
      <c r="C431">
        <v>1</v>
      </c>
      <c r="D431" t="s">
        <v>5698</v>
      </c>
      <c r="E431">
        <v>0.5</v>
      </c>
      <c r="F431">
        <v>1.4999999999999999E-2</v>
      </c>
      <c r="H431" t="s">
        <v>4648</v>
      </c>
      <c r="I431" t="s">
        <v>6140</v>
      </c>
    </row>
    <row r="432" spans="1:9">
      <c r="A432" t="s">
        <v>5676</v>
      </c>
      <c r="B432" t="s">
        <v>6148</v>
      </c>
      <c r="C432">
        <v>1</v>
      </c>
      <c r="D432" t="s">
        <v>5556</v>
      </c>
      <c r="E432">
        <v>0.5</v>
      </c>
      <c r="F432">
        <v>0.02</v>
      </c>
      <c r="H432" t="s">
        <v>4648</v>
      </c>
      <c r="I432" t="s">
        <v>6140</v>
      </c>
    </row>
    <row r="433" spans="1:9">
      <c r="A433" t="s">
        <v>5676</v>
      </c>
      <c r="B433" t="s">
        <v>6149</v>
      </c>
      <c r="C433">
        <v>1</v>
      </c>
      <c r="D433" t="s">
        <v>5630</v>
      </c>
      <c r="E433">
        <v>0.5</v>
      </c>
      <c r="F433">
        <v>3.5000000000000003E-2</v>
      </c>
      <c r="H433" t="s">
        <v>4648</v>
      </c>
      <c r="I433" t="s">
        <v>6140</v>
      </c>
    </row>
    <row r="434" spans="1:9">
      <c r="A434" t="s">
        <v>5676</v>
      </c>
      <c r="B434" t="s">
        <v>6150</v>
      </c>
      <c r="C434">
        <v>1</v>
      </c>
      <c r="D434" t="s">
        <v>5698</v>
      </c>
      <c r="E434">
        <v>0.5</v>
      </c>
      <c r="F434">
        <v>0.4</v>
      </c>
      <c r="H434" t="s">
        <v>4648</v>
      </c>
      <c r="I434" t="s">
        <v>6140</v>
      </c>
    </row>
    <row r="435" spans="1:9">
      <c r="A435" t="s">
        <v>5676</v>
      </c>
      <c r="B435" t="s">
        <v>6151</v>
      </c>
      <c r="C435">
        <v>1</v>
      </c>
      <c r="D435" t="s">
        <v>5698</v>
      </c>
      <c r="E435">
        <v>0.5</v>
      </c>
      <c r="F435">
        <v>0.25</v>
      </c>
      <c r="H435" t="s">
        <v>4648</v>
      </c>
      <c r="I435" t="s">
        <v>6140</v>
      </c>
    </row>
    <row r="436" spans="1:9">
      <c r="A436" t="s">
        <v>5676</v>
      </c>
      <c r="B436" t="s">
        <v>6152</v>
      </c>
      <c r="C436">
        <v>1</v>
      </c>
      <c r="D436" t="s">
        <v>5630</v>
      </c>
      <c r="E436">
        <v>0.5</v>
      </c>
      <c r="F436">
        <v>0.04</v>
      </c>
      <c r="H436" t="s">
        <v>4648</v>
      </c>
      <c r="I436" t="s">
        <v>6140</v>
      </c>
    </row>
    <row r="437" spans="1:9">
      <c r="A437" t="s">
        <v>5676</v>
      </c>
      <c r="B437" t="s">
        <v>6153</v>
      </c>
      <c r="C437">
        <v>1</v>
      </c>
      <c r="D437" t="s">
        <v>5630</v>
      </c>
      <c r="E437">
        <v>0.5</v>
      </c>
      <c r="F437">
        <v>0.02</v>
      </c>
      <c r="H437" t="s">
        <v>4648</v>
      </c>
      <c r="I437" t="s">
        <v>6140</v>
      </c>
    </row>
    <row r="438" spans="1:9">
      <c r="A438" t="s">
        <v>5676</v>
      </c>
      <c r="B438" t="s">
        <v>6154</v>
      </c>
      <c r="C438">
        <v>1</v>
      </c>
      <c r="D438" t="s">
        <v>5635</v>
      </c>
      <c r="E438">
        <v>0.25</v>
      </c>
      <c r="F438">
        <v>0.01</v>
      </c>
      <c r="H438" t="s">
        <v>4648</v>
      </c>
      <c r="I438" t="s">
        <v>6140</v>
      </c>
    </row>
    <row r="439" spans="1:9">
      <c r="A439" t="s">
        <v>5676</v>
      </c>
      <c r="B439" t="s">
        <v>6155</v>
      </c>
      <c r="C439">
        <v>1</v>
      </c>
      <c r="D439" t="s">
        <v>5630</v>
      </c>
      <c r="E439">
        <v>0.5</v>
      </c>
      <c r="F439">
        <v>2.5000000000000001E-2</v>
      </c>
      <c r="H439" t="s">
        <v>4648</v>
      </c>
      <c r="I439" t="s">
        <v>6140</v>
      </c>
    </row>
    <row r="440" spans="1:9">
      <c r="A440" t="s">
        <v>5676</v>
      </c>
      <c r="B440" t="s">
        <v>6156</v>
      </c>
      <c r="C440">
        <v>1</v>
      </c>
      <c r="D440" t="s">
        <v>5632</v>
      </c>
      <c r="E440">
        <v>1</v>
      </c>
      <c r="F440">
        <v>0.05</v>
      </c>
      <c r="H440" t="s">
        <v>4648</v>
      </c>
      <c r="I440" t="s">
        <v>6157</v>
      </c>
    </row>
    <row r="441" spans="1:9">
      <c r="A441" t="s">
        <v>5676</v>
      </c>
      <c r="B441" t="s">
        <v>6158</v>
      </c>
      <c r="C441">
        <v>1</v>
      </c>
      <c r="D441" t="s">
        <v>5630</v>
      </c>
      <c r="E441">
        <v>1</v>
      </c>
      <c r="F441">
        <v>7.4999999999999997E-2</v>
      </c>
      <c r="H441" t="s">
        <v>4648</v>
      </c>
      <c r="I441" t="s">
        <v>6157</v>
      </c>
    </row>
    <row r="442" spans="1:9">
      <c r="A442" t="s">
        <v>5676</v>
      </c>
      <c r="B442" t="s">
        <v>6159</v>
      </c>
      <c r="C442">
        <v>1</v>
      </c>
      <c r="D442" t="s">
        <v>5630</v>
      </c>
      <c r="E442">
        <v>1</v>
      </c>
      <c r="F442">
        <v>0.1</v>
      </c>
      <c r="H442" t="s">
        <v>4648</v>
      </c>
      <c r="I442" t="s">
        <v>6157</v>
      </c>
    </row>
    <row r="443" spans="1:9">
      <c r="A443" t="s">
        <v>5676</v>
      </c>
      <c r="B443" t="s">
        <v>6160</v>
      </c>
      <c r="C443">
        <v>1</v>
      </c>
      <c r="D443" t="s">
        <v>5630</v>
      </c>
      <c r="E443">
        <v>0.5</v>
      </c>
      <c r="F443">
        <v>1.4999999999999999E-2</v>
      </c>
      <c r="H443" t="s">
        <v>4648</v>
      </c>
      <c r="I443" t="s">
        <v>6157</v>
      </c>
    </row>
    <row r="444" spans="1:9">
      <c r="A444" t="s">
        <v>5676</v>
      </c>
      <c r="B444" t="s">
        <v>6161</v>
      </c>
      <c r="C444">
        <v>1</v>
      </c>
      <c r="D444" t="s">
        <v>5630</v>
      </c>
      <c r="E444">
        <v>0.5</v>
      </c>
      <c r="F444">
        <v>0.02</v>
      </c>
      <c r="H444" t="s">
        <v>4648</v>
      </c>
      <c r="I444" t="s">
        <v>6157</v>
      </c>
    </row>
    <row r="445" spans="1:9">
      <c r="A445" t="s">
        <v>5674</v>
      </c>
      <c r="B445" t="s">
        <v>6162</v>
      </c>
      <c r="C445">
        <v>7</v>
      </c>
      <c r="D445" t="s">
        <v>6036</v>
      </c>
      <c r="E445" t="s">
        <v>5557</v>
      </c>
      <c r="F445">
        <v>2.2000000000000002</v>
      </c>
      <c r="H445" t="s">
        <v>4648</v>
      </c>
      <c r="I445" t="s">
        <v>6157</v>
      </c>
    </row>
    <row r="446" spans="1:9">
      <c r="A446" t="s">
        <v>5674</v>
      </c>
      <c r="B446" t="s">
        <v>6163</v>
      </c>
      <c r="C446">
        <v>7</v>
      </c>
      <c r="D446" t="s">
        <v>6036</v>
      </c>
      <c r="E446" t="s">
        <v>5557</v>
      </c>
      <c r="F446">
        <v>20</v>
      </c>
      <c r="H446" t="s">
        <v>4648</v>
      </c>
      <c r="I446" t="s">
        <v>6157</v>
      </c>
    </row>
    <row r="447" spans="1:9">
      <c r="A447" t="s">
        <v>5674</v>
      </c>
      <c r="B447" t="s">
        <v>6164</v>
      </c>
      <c r="C447">
        <v>1</v>
      </c>
      <c r="D447" t="s">
        <v>5698</v>
      </c>
      <c r="E447" t="s">
        <v>5557</v>
      </c>
      <c r="F447">
        <v>2.5000000000000001E-2</v>
      </c>
      <c r="H447" t="s">
        <v>4648</v>
      </c>
      <c r="I447" t="s">
        <v>6157</v>
      </c>
    </row>
    <row r="448" spans="1:9">
      <c r="A448" t="s">
        <v>5676</v>
      </c>
      <c r="B448" t="s">
        <v>6165</v>
      </c>
      <c r="C448">
        <v>1</v>
      </c>
      <c r="D448" t="s">
        <v>5556</v>
      </c>
      <c r="E448">
        <v>0.2</v>
      </c>
      <c r="F448">
        <v>8.0000000000000002E-3</v>
      </c>
      <c r="H448" t="s">
        <v>4648</v>
      </c>
      <c r="I448" t="s">
        <v>6166</v>
      </c>
    </row>
    <row r="449" spans="1:9">
      <c r="A449" t="s">
        <v>5676</v>
      </c>
      <c r="B449" t="s">
        <v>6167</v>
      </c>
      <c r="C449">
        <v>1</v>
      </c>
      <c r="D449" t="s">
        <v>5635</v>
      </c>
      <c r="E449">
        <v>0.5</v>
      </c>
      <c r="F449">
        <v>0.2</v>
      </c>
      <c r="H449" t="s">
        <v>4648</v>
      </c>
      <c r="I449" t="s">
        <v>6166</v>
      </c>
    </row>
    <row r="450" spans="1:9">
      <c r="A450" t="s">
        <v>5676</v>
      </c>
      <c r="B450" t="s">
        <v>6168</v>
      </c>
      <c r="C450">
        <v>1</v>
      </c>
      <c r="D450" t="s">
        <v>5556</v>
      </c>
      <c r="E450">
        <v>0.2</v>
      </c>
      <c r="F450">
        <v>8.0000000000000002E-3</v>
      </c>
      <c r="H450" t="s">
        <v>4648</v>
      </c>
      <c r="I450" t="s">
        <v>6166</v>
      </c>
    </row>
    <row r="451" spans="1:9">
      <c r="A451" t="s">
        <v>5676</v>
      </c>
      <c r="B451" t="s">
        <v>6169</v>
      </c>
      <c r="C451">
        <v>1</v>
      </c>
      <c r="D451" t="s">
        <v>5698</v>
      </c>
      <c r="E451">
        <v>0.5</v>
      </c>
      <c r="F451">
        <v>0.2</v>
      </c>
      <c r="H451" t="s">
        <v>4648</v>
      </c>
      <c r="I451" t="s">
        <v>6166</v>
      </c>
    </row>
    <row r="452" spans="1:9">
      <c r="A452" t="s">
        <v>5676</v>
      </c>
      <c r="B452" t="s">
        <v>6170</v>
      </c>
      <c r="C452">
        <v>1</v>
      </c>
      <c r="D452" t="s">
        <v>5698</v>
      </c>
      <c r="E452">
        <v>0.5</v>
      </c>
      <c r="F452">
        <v>3.5</v>
      </c>
      <c r="H452" t="s">
        <v>4648</v>
      </c>
      <c r="I452" t="s">
        <v>6166</v>
      </c>
    </row>
    <row r="453" spans="1:9">
      <c r="A453" t="s">
        <v>5676</v>
      </c>
      <c r="B453" t="s">
        <v>6171</v>
      </c>
      <c r="C453">
        <v>1</v>
      </c>
      <c r="D453" t="s">
        <v>5630</v>
      </c>
      <c r="E453">
        <v>0.5</v>
      </c>
      <c r="F453">
        <v>0.1</v>
      </c>
      <c r="H453" t="s">
        <v>4648</v>
      </c>
      <c r="I453" t="s">
        <v>6166</v>
      </c>
    </row>
    <row r="454" spans="1:9">
      <c r="A454" t="s">
        <v>5676</v>
      </c>
      <c r="B454" t="s">
        <v>6172</v>
      </c>
      <c r="C454">
        <v>1</v>
      </c>
      <c r="D454" t="s">
        <v>5630</v>
      </c>
      <c r="E454">
        <v>0.5</v>
      </c>
      <c r="F454">
        <v>2.5000000000000001E-2</v>
      </c>
      <c r="H454" t="s">
        <v>4648</v>
      </c>
      <c r="I454" t="s">
        <v>6166</v>
      </c>
    </row>
    <row r="455" spans="1:9">
      <c r="A455" t="s">
        <v>5676</v>
      </c>
      <c r="B455" t="s">
        <v>6173</v>
      </c>
      <c r="C455">
        <v>1</v>
      </c>
      <c r="D455" t="s">
        <v>5698</v>
      </c>
      <c r="E455">
        <v>0.5</v>
      </c>
      <c r="F455">
        <v>0.35</v>
      </c>
      <c r="H455" t="s">
        <v>4648</v>
      </c>
      <c r="I455" t="s">
        <v>6166</v>
      </c>
    </row>
    <row r="456" spans="1:9">
      <c r="A456" t="s">
        <v>5676</v>
      </c>
      <c r="B456" t="s">
        <v>6174</v>
      </c>
      <c r="C456">
        <v>1</v>
      </c>
      <c r="D456" t="s">
        <v>5632</v>
      </c>
      <c r="E456">
        <v>1</v>
      </c>
      <c r="F456">
        <v>0.1</v>
      </c>
      <c r="H456" t="s">
        <v>4648</v>
      </c>
      <c r="I456" t="s">
        <v>6166</v>
      </c>
    </row>
    <row r="457" spans="1:9">
      <c r="A457" t="s">
        <v>5676</v>
      </c>
      <c r="B457" t="s">
        <v>6175</v>
      </c>
      <c r="C457">
        <v>1</v>
      </c>
      <c r="D457" t="s">
        <v>5698</v>
      </c>
      <c r="E457">
        <v>0.5</v>
      </c>
      <c r="F457">
        <v>1.6</v>
      </c>
      <c r="H457" t="s">
        <v>4648</v>
      </c>
      <c r="I457" t="s">
        <v>6166</v>
      </c>
    </row>
    <row r="458" spans="1:9">
      <c r="A458" t="s">
        <v>5676</v>
      </c>
      <c r="B458" t="s">
        <v>6176</v>
      </c>
      <c r="C458">
        <v>1</v>
      </c>
      <c r="D458" t="s">
        <v>5635</v>
      </c>
      <c r="E458">
        <v>0.5</v>
      </c>
      <c r="F458">
        <v>0.25</v>
      </c>
      <c r="H458" t="s">
        <v>4648</v>
      </c>
      <c r="I458" t="s">
        <v>6166</v>
      </c>
    </row>
    <row r="459" spans="1:9">
      <c r="A459" t="s">
        <v>5676</v>
      </c>
      <c r="B459" t="s">
        <v>6177</v>
      </c>
      <c r="C459">
        <v>1</v>
      </c>
      <c r="D459" t="s">
        <v>5635</v>
      </c>
      <c r="E459">
        <v>0.5</v>
      </c>
      <c r="F459">
        <v>0.1</v>
      </c>
      <c r="H459" t="s">
        <v>4648</v>
      </c>
      <c r="I459" t="s">
        <v>6178</v>
      </c>
    </row>
    <row r="460" spans="1:9">
      <c r="A460" t="s">
        <v>5676</v>
      </c>
      <c r="B460" t="s">
        <v>6179</v>
      </c>
      <c r="C460">
        <v>1</v>
      </c>
      <c r="D460" t="s">
        <v>5635</v>
      </c>
      <c r="E460">
        <v>0.5</v>
      </c>
      <c r="F460">
        <v>0.15</v>
      </c>
      <c r="H460" t="s">
        <v>4648</v>
      </c>
      <c r="I460" t="s">
        <v>6178</v>
      </c>
    </row>
    <row r="461" spans="1:9">
      <c r="A461" t="s">
        <v>5625</v>
      </c>
      <c r="B461" t="s">
        <v>6180</v>
      </c>
      <c r="C461">
        <v>1</v>
      </c>
      <c r="D461" t="s">
        <v>5632</v>
      </c>
      <c r="E461">
        <v>1</v>
      </c>
      <c r="F461">
        <v>1.5</v>
      </c>
      <c r="H461" t="s">
        <v>4648</v>
      </c>
      <c r="I461" t="s">
        <v>6181</v>
      </c>
    </row>
    <row r="462" spans="1:9">
      <c r="A462" t="s">
        <v>5676</v>
      </c>
      <c r="B462" t="s">
        <v>6182</v>
      </c>
      <c r="C462">
        <v>1</v>
      </c>
      <c r="D462" t="s">
        <v>5632</v>
      </c>
      <c r="E462">
        <v>0.5</v>
      </c>
      <c r="F462">
        <v>1</v>
      </c>
      <c r="H462" t="s">
        <v>4648</v>
      </c>
      <c r="I462" t="s">
        <v>6181</v>
      </c>
    </row>
    <row r="463" spans="1:9">
      <c r="A463" t="s">
        <v>5676</v>
      </c>
      <c r="B463" t="s">
        <v>6183</v>
      </c>
      <c r="C463">
        <v>1</v>
      </c>
      <c r="D463" t="s">
        <v>5632</v>
      </c>
      <c r="E463">
        <v>0.5</v>
      </c>
      <c r="F463">
        <v>1.5E-3</v>
      </c>
      <c r="H463" t="s">
        <v>4648</v>
      </c>
      <c r="I463" t="s">
        <v>6181</v>
      </c>
    </row>
    <row r="464" spans="1:9">
      <c r="A464" t="s">
        <v>5676</v>
      </c>
      <c r="B464" t="s">
        <v>6184</v>
      </c>
      <c r="C464">
        <v>1</v>
      </c>
      <c r="D464" t="s">
        <v>5632</v>
      </c>
      <c r="E464">
        <v>0.5</v>
      </c>
      <c r="F464">
        <v>880</v>
      </c>
      <c r="H464" t="s">
        <v>4648</v>
      </c>
      <c r="I464" t="s">
        <v>6181</v>
      </c>
    </row>
    <row r="465" spans="1:9">
      <c r="A465" t="s">
        <v>5676</v>
      </c>
      <c r="B465" t="s">
        <v>6185</v>
      </c>
      <c r="C465">
        <v>1</v>
      </c>
      <c r="D465" t="s">
        <v>5630</v>
      </c>
      <c r="E465">
        <v>1</v>
      </c>
      <c r="F465">
        <v>0.125</v>
      </c>
      <c r="H465" t="s">
        <v>4648</v>
      </c>
      <c r="I465" t="s">
        <v>6186</v>
      </c>
    </row>
    <row r="466" spans="1:9">
      <c r="A466" t="s">
        <v>5676</v>
      </c>
      <c r="B466" t="s">
        <v>6187</v>
      </c>
      <c r="C466">
        <v>1</v>
      </c>
      <c r="D466" t="s">
        <v>5630</v>
      </c>
      <c r="E466">
        <v>0.5</v>
      </c>
      <c r="F466">
        <v>1.5</v>
      </c>
      <c r="H466" t="s">
        <v>4648</v>
      </c>
      <c r="I466" t="s">
        <v>6186</v>
      </c>
    </row>
    <row r="467" spans="1:9">
      <c r="A467" t="s">
        <v>5676</v>
      </c>
      <c r="B467" t="s">
        <v>6188</v>
      </c>
      <c r="C467">
        <v>1</v>
      </c>
      <c r="D467" t="s">
        <v>5635</v>
      </c>
      <c r="E467">
        <v>0.2</v>
      </c>
      <c r="F467">
        <v>40</v>
      </c>
      <c r="H467" t="s">
        <v>4648</v>
      </c>
      <c r="I467" t="s">
        <v>6189</v>
      </c>
    </row>
    <row r="468" spans="1:9">
      <c r="A468" t="s">
        <v>5676</v>
      </c>
      <c r="B468" t="s">
        <v>6190</v>
      </c>
      <c r="C468">
        <v>1</v>
      </c>
      <c r="D468" t="s">
        <v>5632</v>
      </c>
      <c r="E468">
        <v>1</v>
      </c>
      <c r="F468">
        <v>0.15</v>
      </c>
      <c r="H468" t="s">
        <v>4648</v>
      </c>
      <c r="I468" t="s">
        <v>6191</v>
      </c>
    </row>
    <row r="469" spans="1:9">
      <c r="A469" t="s">
        <v>5676</v>
      </c>
      <c r="B469" t="s">
        <v>6192</v>
      </c>
      <c r="C469">
        <v>1</v>
      </c>
      <c r="D469" t="s">
        <v>5632</v>
      </c>
      <c r="E469">
        <v>1</v>
      </c>
      <c r="F469">
        <v>0.15</v>
      </c>
      <c r="H469" t="s">
        <v>4648</v>
      </c>
      <c r="I469" t="s">
        <v>6191</v>
      </c>
    </row>
    <row r="470" spans="1:9">
      <c r="A470" t="s">
        <v>5676</v>
      </c>
      <c r="B470" t="s">
        <v>6193</v>
      </c>
      <c r="C470">
        <v>1</v>
      </c>
      <c r="D470" t="s">
        <v>5632</v>
      </c>
      <c r="E470">
        <v>1</v>
      </c>
      <c r="F470">
        <v>3.5</v>
      </c>
      <c r="H470" t="s">
        <v>4648</v>
      </c>
      <c r="I470" t="s">
        <v>6191</v>
      </c>
    </row>
    <row r="471" spans="1:9">
      <c r="A471" t="s">
        <v>5674</v>
      </c>
      <c r="B471" t="s">
        <v>6194</v>
      </c>
      <c r="C471">
        <v>1</v>
      </c>
      <c r="D471" t="s">
        <v>5556</v>
      </c>
      <c r="E471">
        <v>1</v>
      </c>
      <c r="F471">
        <v>1.75</v>
      </c>
      <c r="H471" t="s">
        <v>4506</v>
      </c>
      <c r="I471" t="s">
        <v>6195</v>
      </c>
    </row>
    <row r="472" spans="1:9">
      <c r="A472" t="s">
        <v>5674</v>
      </c>
      <c r="B472" t="s">
        <v>6196</v>
      </c>
      <c r="C472">
        <v>1</v>
      </c>
      <c r="D472" t="s">
        <v>5556</v>
      </c>
      <c r="E472">
        <v>1</v>
      </c>
      <c r="F472">
        <v>13</v>
      </c>
      <c r="H472" t="s">
        <v>4506</v>
      </c>
      <c r="I472" t="s">
        <v>6195</v>
      </c>
    </row>
    <row r="473" spans="1:9">
      <c r="A473" t="s">
        <v>5947</v>
      </c>
      <c r="B473" t="s">
        <v>6197</v>
      </c>
      <c r="C473">
        <v>1</v>
      </c>
      <c r="D473" t="s">
        <v>5556</v>
      </c>
      <c r="E473">
        <v>1.25</v>
      </c>
      <c r="F473">
        <v>1.3</v>
      </c>
      <c r="H473" t="s">
        <v>4506</v>
      </c>
      <c r="I473" t="s">
        <v>6198</v>
      </c>
    </row>
    <row r="474" spans="1:9">
      <c r="A474" t="s">
        <v>5947</v>
      </c>
      <c r="B474" t="s">
        <v>6199</v>
      </c>
      <c r="C474">
        <v>1</v>
      </c>
      <c r="D474" t="s">
        <v>5556</v>
      </c>
      <c r="E474">
        <v>1.25</v>
      </c>
      <c r="F474">
        <v>17.600000000000001</v>
      </c>
      <c r="H474" t="s">
        <v>4506</v>
      </c>
      <c r="I474" t="s">
        <v>6198</v>
      </c>
    </row>
    <row r="475" spans="1:9">
      <c r="A475" t="s">
        <v>5947</v>
      </c>
      <c r="B475" t="s">
        <v>6200</v>
      </c>
      <c r="C475">
        <v>1</v>
      </c>
      <c r="D475" t="s">
        <v>5556</v>
      </c>
      <c r="E475">
        <v>1</v>
      </c>
      <c r="F475">
        <v>0.5</v>
      </c>
      <c r="H475" t="s">
        <v>4506</v>
      </c>
      <c r="I475" t="s">
        <v>6198</v>
      </c>
    </row>
    <row r="476" spans="1:9">
      <c r="A476" t="s">
        <v>5947</v>
      </c>
      <c r="B476" t="s">
        <v>6201</v>
      </c>
      <c r="C476">
        <v>1</v>
      </c>
      <c r="D476" t="s">
        <v>5556</v>
      </c>
      <c r="E476">
        <v>1</v>
      </c>
      <c r="F476">
        <v>60</v>
      </c>
      <c r="H476" t="s">
        <v>4506</v>
      </c>
      <c r="I476" t="s">
        <v>6198</v>
      </c>
    </row>
    <row r="477" spans="1:9">
      <c r="A477" t="s">
        <v>5947</v>
      </c>
      <c r="B477" t="s">
        <v>6202</v>
      </c>
      <c r="C477">
        <v>1</v>
      </c>
      <c r="D477" t="s">
        <v>5893</v>
      </c>
      <c r="E477">
        <v>0.15</v>
      </c>
      <c r="F477">
        <v>1.2</v>
      </c>
      <c r="H477" t="s">
        <v>4506</v>
      </c>
      <c r="I477" t="s">
        <v>6198</v>
      </c>
    </row>
    <row r="478" spans="1:9">
      <c r="A478" t="s">
        <v>5947</v>
      </c>
      <c r="B478" t="s">
        <v>6203</v>
      </c>
      <c r="C478">
        <v>1</v>
      </c>
      <c r="D478" t="s">
        <v>5893</v>
      </c>
      <c r="E478">
        <v>0.15</v>
      </c>
      <c r="F478">
        <v>10</v>
      </c>
      <c r="H478" t="s">
        <v>4506</v>
      </c>
      <c r="I478" t="s">
        <v>6198</v>
      </c>
    </row>
    <row r="479" spans="1:9">
      <c r="A479" t="s">
        <v>5947</v>
      </c>
      <c r="B479" t="s">
        <v>6204</v>
      </c>
      <c r="C479">
        <v>1</v>
      </c>
      <c r="D479" t="s">
        <v>5893</v>
      </c>
      <c r="E479">
        <v>0.75</v>
      </c>
      <c r="F479">
        <v>1.2</v>
      </c>
      <c r="H479" t="s">
        <v>4506</v>
      </c>
      <c r="I479" t="s">
        <v>6198</v>
      </c>
    </row>
    <row r="480" spans="1:9">
      <c r="A480" t="s">
        <v>5947</v>
      </c>
      <c r="B480" t="s">
        <v>6205</v>
      </c>
      <c r="C480">
        <v>1</v>
      </c>
      <c r="D480" t="s">
        <v>5893</v>
      </c>
      <c r="E480">
        <v>0.75</v>
      </c>
      <c r="F480">
        <v>13.2</v>
      </c>
      <c r="H480" t="s">
        <v>4506</v>
      </c>
      <c r="I480" t="s">
        <v>6198</v>
      </c>
    </row>
    <row r="481" spans="1:9">
      <c r="A481" t="s">
        <v>5947</v>
      </c>
      <c r="B481" t="s">
        <v>6206</v>
      </c>
      <c r="C481">
        <v>1</v>
      </c>
      <c r="D481" t="s">
        <v>5556</v>
      </c>
      <c r="E481">
        <v>1.75</v>
      </c>
      <c r="F481">
        <v>2</v>
      </c>
      <c r="H481" t="s">
        <v>4506</v>
      </c>
      <c r="I481" t="s">
        <v>6198</v>
      </c>
    </row>
    <row r="482" spans="1:9">
      <c r="A482" t="s">
        <v>5947</v>
      </c>
      <c r="B482" t="s">
        <v>6207</v>
      </c>
      <c r="C482">
        <v>1</v>
      </c>
      <c r="D482" t="s">
        <v>5556</v>
      </c>
      <c r="E482">
        <v>1.75</v>
      </c>
      <c r="F482">
        <v>35.5</v>
      </c>
      <c r="H482" t="s">
        <v>4506</v>
      </c>
      <c r="I482" t="s">
        <v>6198</v>
      </c>
    </row>
    <row r="483" spans="1:9">
      <c r="A483" t="s">
        <v>5793</v>
      </c>
      <c r="B483" t="s">
        <v>6208</v>
      </c>
      <c r="C483">
        <v>1</v>
      </c>
      <c r="D483" t="s">
        <v>5556</v>
      </c>
      <c r="E483">
        <v>30</v>
      </c>
      <c r="F483">
        <v>10</v>
      </c>
      <c r="G483" t="s">
        <v>6209</v>
      </c>
      <c r="H483" t="s">
        <v>4506</v>
      </c>
      <c r="I483" t="s">
        <v>6210</v>
      </c>
    </row>
    <row r="484" spans="1:9">
      <c r="A484" t="s">
        <v>5793</v>
      </c>
      <c r="B484" t="s">
        <v>6211</v>
      </c>
      <c r="C484">
        <v>1</v>
      </c>
      <c r="D484" t="s">
        <v>5556</v>
      </c>
      <c r="E484">
        <v>2</v>
      </c>
      <c r="F484">
        <v>20</v>
      </c>
      <c r="H484" t="s">
        <v>4506</v>
      </c>
      <c r="I484" t="s">
        <v>6210</v>
      </c>
    </row>
    <row r="485" spans="1:9">
      <c r="A485" t="s">
        <v>5793</v>
      </c>
      <c r="B485" t="s">
        <v>6212</v>
      </c>
      <c r="C485">
        <v>1</v>
      </c>
      <c r="D485" t="s">
        <v>5556</v>
      </c>
      <c r="E485">
        <v>37.5</v>
      </c>
      <c r="F485">
        <v>190</v>
      </c>
      <c r="G485" t="s">
        <v>6213</v>
      </c>
      <c r="H485" t="s">
        <v>4506</v>
      </c>
      <c r="I485" t="s">
        <v>6210</v>
      </c>
    </row>
    <row r="486" spans="1:9">
      <c r="A486" t="s">
        <v>5793</v>
      </c>
      <c r="B486" t="s">
        <v>6214</v>
      </c>
      <c r="C486">
        <v>1</v>
      </c>
      <c r="D486" t="s">
        <v>5556</v>
      </c>
      <c r="E486">
        <v>25</v>
      </c>
      <c r="F486">
        <v>150</v>
      </c>
      <c r="H486" t="s">
        <v>4506</v>
      </c>
      <c r="I486" t="s">
        <v>6210</v>
      </c>
    </row>
    <row r="487" spans="1:9">
      <c r="A487" t="s">
        <v>5793</v>
      </c>
      <c r="B487" t="s">
        <v>6215</v>
      </c>
      <c r="C487">
        <v>1</v>
      </c>
      <c r="D487" t="s">
        <v>5556</v>
      </c>
      <c r="E487">
        <v>20</v>
      </c>
      <c r="F487">
        <v>70</v>
      </c>
      <c r="G487" t="s">
        <v>6216</v>
      </c>
      <c r="H487" t="s">
        <v>4506</v>
      </c>
      <c r="I487" t="s">
        <v>6210</v>
      </c>
    </row>
    <row r="488" spans="1:9">
      <c r="A488" t="s">
        <v>5793</v>
      </c>
      <c r="B488" t="s">
        <v>6217</v>
      </c>
      <c r="C488">
        <v>1</v>
      </c>
      <c r="D488" t="s">
        <v>5556</v>
      </c>
      <c r="E488">
        <v>8</v>
      </c>
      <c r="F488">
        <v>4.4000000000000004</v>
      </c>
      <c r="H488" t="s">
        <v>4506</v>
      </c>
      <c r="I488" t="s">
        <v>6210</v>
      </c>
    </row>
    <row r="489" spans="1:9">
      <c r="A489" t="s">
        <v>5793</v>
      </c>
      <c r="B489" t="s">
        <v>6218</v>
      </c>
      <c r="C489">
        <v>1</v>
      </c>
      <c r="D489" t="s">
        <v>5556</v>
      </c>
      <c r="E489">
        <v>1</v>
      </c>
      <c r="F489">
        <v>0.35</v>
      </c>
      <c r="H489" t="s">
        <v>4506</v>
      </c>
      <c r="I489" t="s">
        <v>6210</v>
      </c>
    </row>
    <row r="490" spans="1:9">
      <c r="A490" t="s">
        <v>5793</v>
      </c>
      <c r="B490" t="s">
        <v>6219</v>
      </c>
      <c r="C490">
        <v>1</v>
      </c>
      <c r="D490" t="s">
        <v>5556</v>
      </c>
      <c r="E490">
        <v>3.75</v>
      </c>
      <c r="F490">
        <v>21</v>
      </c>
      <c r="H490" t="s">
        <v>4506</v>
      </c>
      <c r="I490" t="s">
        <v>6210</v>
      </c>
    </row>
    <row r="491" spans="1:9">
      <c r="A491" t="s">
        <v>5652</v>
      </c>
      <c r="B491" t="s">
        <v>6220</v>
      </c>
      <c r="C491">
        <v>1</v>
      </c>
      <c r="D491" t="s">
        <v>5556</v>
      </c>
      <c r="E491">
        <v>0.75</v>
      </c>
      <c r="F491">
        <v>1.75</v>
      </c>
      <c r="H491" t="s">
        <v>4506</v>
      </c>
      <c r="I491" t="s">
        <v>6210</v>
      </c>
    </row>
    <row r="492" spans="1:9">
      <c r="A492" t="s">
        <v>5652</v>
      </c>
      <c r="B492" t="s">
        <v>6221</v>
      </c>
      <c r="C492">
        <v>1</v>
      </c>
      <c r="D492" t="s">
        <v>5556</v>
      </c>
      <c r="E492">
        <v>0.37</v>
      </c>
      <c r="F492">
        <v>0.44</v>
      </c>
      <c r="H492" t="s">
        <v>4506</v>
      </c>
      <c r="I492" t="s">
        <v>6210</v>
      </c>
    </row>
    <row r="493" spans="1:9">
      <c r="A493" t="s">
        <v>5652</v>
      </c>
      <c r="B493" t="s">
        <v>6222</v>
      </c>
      <c r="C493">
        <v>1</v>
      </c>
      <c r="D493" t="s">
        <v>5556</v>
      </c>
      <c r="E493">
        <v>0.5</v>
      </c>
      <c r="F493">
        <v>0.88</v>
      </c>
      <c r="H493" t="s">
        <v>4506</v>
      </c>
      <c r="I493" t="s">
        <v>6210</v>
      </c>
    </row>
    <row r="494" spans="1:9">
      <c r="A494" t="s">
        <v>5652</v>
      </c>
      <c r="B494" t="s">
        <v>6223</v>
      </c>
      <c r="C494">
        <v>1</v>
      </c>
      <c r="D494" t="s">
        <v>5556</v>
      </c>
      <c r="E494">
        <v>1.5</v>
      </c>
      <c r="F494">
        <v>11</v>
      </c>
      <c r="H494" t="s">
        <v>4506</v>
      </c>
      <c r="I494" t="s">
        <v>6210</v>
      </c>
    </row>
    <row r="495" spans="1:9">
      <c r="A495" t="s">
        <v>5652</v>
      </c>
      <c r="B495" t="s">
        <v>6224</v>
      </c>
      <c r="C495">
        <v>1</v>
      </c>
      <c r="D495" t="s">
        <v>5556</v>
      </c>
      <c r="E495">
        <v>1</v>
      </c>
      <c r="F495">
        <v>3.5</v>
      </c>
      <c r="H495" t="s">
        <v>4506</v>
      </c>
      <c r="I495" t="s">
        <v>6210</v>
      </c>
    </row>
    <row r="496" spans="1:9">
      <c r="A496" t="s">
        <v>5652</v>
      </c>
      <c r="B496" t="s">
        <v>6225</v>
      </c>
      <c r="C496">
        <v>1</v>
      </c>
      <c r="D496" t="s">
        <v>5556</v>
      </c>
      <c r="E496">
        <v>2</v>
      </c>
      <c r="F496">
        <v>22</v>
      </c>
      <c r="H496" t="s">
        <v>4506</v>
      </c>
      <c r="I496" t="s">
        <v>6210</v>
      </c>
    </row>
    <row r="497" spans="1:9">
      <c r="A497" t="s">
        <v>5652</v>
      </c>
      <c r="B497" t="s">
        <v>6226</v>
      </c>
      <c r="C497">
        <v>1</v>
      </c>
      <c r="D497" t="s">
        <v>5556</v>
      </c>
      <c r="E497">
        <v>2</v>
      </c>
      <c r="F497">
        <v>2.6</v>
      </c>
      <c r="H497" t="s">
        <v>4506</v>
      </c>
      <c r="I497" t="s">
        <v>6210</v>
      </c>
    </row>
    <row r="498" spans="1:9">
      <c r="A498" t="s">
        <v>5652</v>
      </c>
      <c r="B498" t="s">
        <v>6227</v>
      </c>
      <c r="C498">
        <v>1</v>
      </c>
      <c r="D498" t="s">
        <v>5556</v>
      </c>
      <c r="E498">
        <v>0.75</v>
      </c>
      <c r="F498">
        <v>4.3</v>
      </c>
      <c r="H498" t="s">
        <v>4506</v>
      </c>
      <c r="I498" t="s">
        <v>6210</v>
      </c>
    </row>
    <row r="499" spans="1:9">
      <c r="A499" t="s">
        <v>5652</v>
      </c>
      <c r="B499" t="s">
        <v>6228</v>
      </c>
      <c r="C499">
        <v>1</v>
      </c>
      <c r="D499" t="s">
        <v>5556</v>
      </c>
      <c r="E499">
        <v>1.25</v>
      </c>
      <c r="F499">
        <v>24</v>
      </c>
      <c r="H499" t="s">
        <v>4506</v>
      </c>
      <c r="I499" t="s">
        <v>6210</v>
      </c>
    </row>
    <row r="500" spans="1:9">
      <c r="A500" t="s">
        <v>6229</v>
      </c>
      <c r="B500" t="s">
        <v>6230</v>
      </c>
      <c r="C500">
        <v>1</v>
      </c>
      <c r="D500" t="s">
        <v>5556</v>
      </c>
      <c r="E500">
        <v>1.75</v>
      </c>
      <c r="F500">
        <v>4.4000000000000004</v>
      </c>
      <c r="H500" t="s">
        <v>4506</v>
      </c>
      <c r="I500" t="s">
        <v>6210</v>
      </c>
    </row>
    <row r="501" spans="1:9">
      <c r="A501" t="s">
        <v>5674</v>
      </c>
      <c r="B501" t="s">
        <v>6231</v>
      </c>
      <c r="C501">
        <v>1</v>
      </c>
      <c r="D501" t="s">
        <v>5556</v>
      </c>
      <c r="E501">
        <v>0.4</v>
      </c>
      <c r="F501">
        <v>0.3</v>
      </c>
      <c r="H501" t="s">
        <v>4506</v>
      </c>
      <c r="I501" t="s">
        <v>6210</v>
      </c>
    </row>
    <row r="502" spans="1:9">
      <c r="A502" t="s">
        <v>5674</v>
      </c>
      <c r="B502" t="s">
        <v>6232</v>
      </c>
      <c r="C502">
        <v>1</v>
      </c>
      <c r="D502" t="s">
        <v>5556</v>
      </c>
      <c r="E502">
        <v>0.25</v>
      </c>
      <c r="F502">
        <v>0.2</v>
      </c>
      <c r="H502" t="s">
        <v>4506</v>
      </c>
      <c r="I502" t="s">
        <v>6210</v>
      </c>
    </row>
    <row r="503" spans="1:9">
      <c r="A503" t="s">
        <v>5674</v>
      </c>
      <c r="B503" t="s">
        <v>6233</v>
      </c>
      <c r="C503">
        <v>1</v>
      </c>
      <c r="D503" t="s">
        <v>5556</v>
      </c>
      <c r="E503">
        <v>20</v>
      </c>
      <c r="F503">
        <v>0.22500000000000001</v>
      </c>
      <c r="H503" t="s">
        <v>4506</v>
      </c>
      <c r="I503" t="s">
        <v>6210</v>
      </c>
    </row>
    <row r="504" spans="1:9">
      <c r="A504" t="s">
        <v>5674</v>
      </c>
      <c r="B504" t="s">
        <v>6234</v>
      </c>
      <c r="C504">
        <v>1</v>
      </c>
      <c r="D504" t="s">
        <v>5556</v>
      </c>
      <c r="E504">
        <v>0.75</v>
      </c>
      <c r="F504">
        <v>2.2000000000000002</v>
      </c>
      <c r="H504" t="s">
        <v>4506</v>
      </c>
      <c r="I504" t="s">
        <v>6210</v>
      </c>
    </row>
    <row r="505" spans="1:9">
      <c r="A505" t="s">
        <v>5674</v>
      </c>
      <c r="B505" t="s">
        <v>6235</v>
      </c>
      <c r="C505">
        <v>1</v>
      </c>
      <c r="D505" t="s">
        <v>5556</v>
      </c>
      <c r="E505">
        <v>0.38</v>
      </c>
      <c r="F505">
        <v>22</v>
      </c>
      <c r="H505" t="s">
        <v>4506</v>
      </c>
      <c r="I505" t="s">
        <v>6210</v>
      </c>
    </row>
    <row r="506" spans="1:9">
      <c r="A506" t="s">
        <v>5674</v>
      </c>
      <c r="B506" t="s">
        <v>6236</v>
      </c>
      <c r="C506">
        <v>1</v>
      </c>
      <c r="D506" t="s">
        <v>5556</v>
      </c>
      <c r="E506">
        <v>1.5</v>
      </c>
      <c r="F506">
        <v>0.88</v>
      </c>
      <c r="H506" t="s">
        <v>4506</v>
      </c>
      <c r="I506" t="s">
        <v>6210</v>
      </c>
    </row>
    <row r="507" spans="1:9">
      <c r="A507" t="s">
        <v>5674</v>
      </c>
      <c r="B507" t="s">
        <v>6237</v>
      </c>
      <c r="C507">
        <v>1</v>
      </c>
      <c r="D507" t="s">
        <v>5556</v>
      </c>
      <c r="E507">
        <v>0.75</v>
      </c>
      <c r="F507">
        <v>8</v>
      </c>
      <c r="G507" t="s">
        <v>6238</v>
      </c>
      <c r="H507" t="s">
        <v>4506</v>
      </c>
      <c r="I507" t="s">
        <v>6210</v>
      </c>
    </row>
    <row r="508" spans="1:9">
      <c r="A508" t="s">
        <v>5674</v>
      </c>
      <c r="B508" t="s">
        <v>6239</v>
      </c>
      <c r="C508">
        <v>1</v>
      </c>
      <c r="D508" t="s">
        <v>5556</v>
      </c>
      <c r="E508">
        <v>1</v>
      </c>
      <c r="F508">
        <v>2.2000000000000002</v>
      </c>
      <c r="H508" t="s">
        <v>4506</v>
      </c>
      <c r="I508" t="s">
        <v>6210</v>
      </c>
    </row>
    <row r="509" spans="1:9">
      <c r="A509" t="s">
        <v>5674</v>
      </c>
      <c r="B509" t="s">
        <v>6240</v>
      </c>
      <c r="C509">
        <v>1</v>
      </c>
      <c r="D509" t="s">
        <v>5556</v>
      </c>
      <c r="E509">
        <v>1</v>
      </c>
      <c r="F509">
        <v>1.75</v>
      </c>
      <c r="H509" t="s">
        <v>4506</v>
      </c>
      <c r="I509" t="s">
        <v>6210</v>
      </c>
    </row>
    <row r="510" spans="1:9">
      <c r="A510" t="s">
        <v>5674</v>
      </c>
      <c r="B510" t="s">
        <v>6241</v>
      </c>
      <c r="C510">
        <v>1</v>
      </c>
      <c r="D510" t="s">
        <v>5556</v>
      </c>
      <c r="E510">
        <v>0.5</v>
      </c>
      <c r="F510">
        <v>0.2</v>
      </c>
      <c r="H510" t="s">
        <v>4506</v>
      </c>
      <c r="I510" t="s">
        <v>6210</v>
      </c>
    </row>
    <row r="511" spans="1:9">
      <c r="A511" t="s">
        <v>5674</v>
      </c>
      <c r="B511" t="s">
        <v>6242</v>
      </c>
      <c r="C511">
        <v>1</v>
      </c>
      <c r="D511" t="s">
        <v>5556</v>
      </c>
      <c r="E511">
        <v>0.25</v>
      </c>
      <c r="F511">
        <v>0.25</v>
      </c>
      <c r="H511" t="s">
        <v>4506</v>
      </c>
      <c r="I511" t="s">
        <v>6210</v>
      </c>
    </row>
    <row r="512" spans="1:9">
      <c r="A512" t="s">
        <v>5674</v>
      </c>
      <c r="B512" t="s">
        <v>6243</v>
      </c>
      <c r="C512">
        <v>1</v>
      </c>
      <c r="D512" t="s">
        <v>5556</v>
      </c>
      <c r="E512">
        <v>0.36</v>
      </c>
      <c r="F512">
        <v>0.88</v>
      </c>
      <c r="H512" t="s">
        <v>4506</v>
      </c>
      <c r="I512" t="s">
        <v>6210</v>
      </c>
    </row>
    <row r="513" spans="1:9">
      <c r="A513" t="s">
        <v>5674</v>
      </c>
      <c r="B513" t="s">
        <v>6244</v>
      </c>
      <c r="C513">
        <v>1</v>
      </c>
      <c r="D513" t="s">
        <v>5556</v>
      </c>
      <c r="E513">
        <v>0.75</v>
      </c>
      <c r="F513">
        <v>8.8000000000000007</v>
      </c>
      <c r="H513" t="s">
        <v>4506</v>
      </c>
      <c r="I513" t="s">
        <v>6210</v>
      </c>
    </row>
    <row r="514" spans="1:9">
      <c r="A514" t="s">
        <v>5674</v>
      </c>
      <c r="B514" t="s">
        <v>6245</v>
      </c>
      <c r="C514">
        <v>1</v>
      </c>
      <c r="D514" t="s">
        <v>5556</v>
      </c>
      <c r="E514">
        <v>1.25</v>
      </c>
      <c r="F514">
        <v>22</v>
      </c>
      <c r="G514" t="s">
        <v>6238</v>
      </c>
      <c r="H514" t="s">
        <v>4506</v>
      </c>
      <c r="I514" t="s">
        <v>6210</v>
      </c>
    </row>
    <row r="515" spans="1:9">
      <c r="A515" t="s">
        <v>5674</v>
      </c>
      <c r="B515" t="s">
        <v>6246</v>
      </c>
      <c r="C515">
        <v>1</v>
      </c>
      <c r="D515" t="s">
        <v>5556</v>
      </c>
      <c r="E515">
        <v>5</v>
      </c>
      <c r="F515">
        <v>9</v>
      </c>
      <c r="G515" t="s">
        <v>6247</v>
      </c>
      <c r="H515" t="s">
        <v>4506</v>
      </c>
      <c r="I515" t="s">
        <v>6210</v>
      </c>
    </row>
    <row r="516" spans="1:9">
      <c r="A516" t="s">
        <v>5674</v>
      </c>
      <c r="B516" t="s">
        <v>6248</v>
      </c>
      <c r="C516">
        <v>1</v>
      </c>
      <c r="D516" t="s">
        <v>5556</v>
      </c>
      <c r="E516">
        <v>1.25</v>
      </c>
      <c r="F516">
        <v>3.5</v>
      </c>
      <c r="G516" t="s">
        <v>6247</v>
      </c>
      <c r="H516" t="s">
        <v>4506</v>
      </c>
      <c r="I516" t="s">
        <v>6210</v>
      </c>
    </row>
    <row r="517" spans="1:9">
      <c r="A517" t="s">
        <v>5674</v>
      </c>
      <c r="B517" t="s">
        <v>6249</v>
      </c>
      <c r="C517">
        <v>1</v>
      </c>
      <c r="D517" t="s">
        <v>5556</v>
      </c>
      <c r="E517">
        <v>2</v>
      </c>
      <c r="F517">
        <v>3.6</v>
      </c>
      <c r="G517" t="s">
        <v>6247</v>
      </c>
      <c r="H517" t="s">
        <v>4506</v>
      </c>
      <c r="I517" t="s">
        <v>6210</v>
      </c>
    </row>
    <row r="518" spans="1:9">
      <c r="A518" t="s">
        <v>5674</v>
      </c>
      <c r="B518" t="s">
        <v>6250</v>
      </c>
      <c r="C518">
        <v>1</v>
      </c>
      <c r="D518" t="s">
        <v>5556</v>
      </c>
      <c r="E518">
        <v>4</v>
      </c>
      <c r="F518">
        <v>9.4</v>
      </c>
      <c r="G518" t="s">
        <v>6247</v>
      </c>
      <c r="H518" t="s">
        <v>4506</v>
      </c>
      <c r="I518" t="s">
        <v>6210</v>
      </c>
    </row>
    <row r="519" spans="1:9">
      <c r="A519" t="s">
        <v>5674</v>
      </c>
      <c r="B519" t="s">
        <v>6251</v>
      </c>
      <c r="C519">
        <v>1</v>
      </c>
      <c r="D519" t="s">
        <v>5556</v>
      </c>
      <c r="E519">
        <v>0.25</v>
      </c>
      <c r="F519">
        <v>0.88</v>
      </c>
      <c r="H519" t="s">
        <v>4506</v>
      </c>
      <c r="I519" t="s">
        <v>6210</v>
      </c>
    </row>
    <row r="520" spans="1:9">
      <c r="A520" t="s">
        <v>5674</v>
      </c>
      <c r="B520" t="s">
        <v>6252</v>
      </c>
      <c r="C520">
        <v>1</v>
      </c>
      <c r="D520" t="s">
        <v>5556</v>
      </c>
      <c r="E520">
        <v>1.5</v>
      </c>
      <c r="F520">
        <v>5</v>
      </c>
      <c r="G520" t="s">
        <v>6247</v>
      </c>
      <c r="H520" t="s">
        <v>4506</v>
      </c>
      <c r="I520" t="s">
        <v>6210</v>
      </c>
    </row>
    <row r="521" spans="1:9">
      <c r="A521" t="s">
        <v>5674</v>
      </c>
      <c r="B521" t="s">
        <v>6253</v>
      </c>
      <c r="C521">
        <v>1</v>
      </c>
      <c r="D521" t="s">
        <v>5556</v>
      </c>
      <c r="E521">
        <v>0.25</v>
      </c>
      <c r="F521">
        <v>0.51300000000000001</v>
      </c>
      <c r="H521" t="s">
        <v>4506</v>
      </c>
      <c r="I521" t="s">
        <v>6210</v>
      </c>
    </row>
    <row r="522" spans="1:9">
      <c r="A522" t="s">
        <v>5909</v>
      </c>
      <c r="B522" t="s">
        <v>6254</v>
      </c>
      <c r="C522">
        <v>1</v>
      </c>
      <c r="D522" t="s">
        <v>5556</v>
      </c>
      <c r="E522">
        <v>1</v>
      </c>
      <c r="F522">
        <v>0.8</v>
      </c>
      <c r="H522" t="s">
        <v>4506</v>
      </c>
      <c r="I522" t="s">
        <v>6255</v>
      </c>
    </row>
    <row r="523" spans="1:9">
      <c r="A523" t="s">
        <v>5909</v>
      </c>
      <c r="B523" t="s">
        <v>6256</v>
      </c>
      <c r="C523">
        <v>1</v>
      </c>
      <c r="D523" t="s">
        <v>5556</v>
      </c>
      <c r="E523">
        <v>0.3</v>
      </c>
      <c r="F523">
        <v>1.32</v>
      </c>
      <c r="H523" t="s">
        <v>4506</v>
      </c>
      <c r="I523" t="s">
        <v>6255</v>
      </c>
    </row>
    <row r="524" spans="1:9">
      <c r="A524" t="s">
        <v>5909</v>
      </c>
      <c r="B524" t="s">
        <v>6257</v>
      </c>
      <c r="C524">
        <v>1</v>
      </c>
      <c r="D524" t="s">
        <v>5556</v>
      </c>
      <c r="E524">
        <v>0.06</v>
      </c>
      <c r="F524">
        <v>0.44</v>
      </c>
      <c r="H524" t="s">
        <v>4506</v>
      </c>
      <c r="I524" t="s">
        <v>6255</v>
      </c>
    </row>
    <row r="525" spans="1:9">
      <c r="A525" t="s">
        <v>5909</v>
      </c>
      <c r="B525" t="s">
        <v>6258</v>
      </c>
      <c r="C525">
        <v>1</v>
      </c>
      <c r="D525" t="s">
        <v>5556</v>
      </c>
      <c r="E525">
        <v>0.75</v>
      </c>
      <c r="F525">
        <v>0.98</v>
      </c>
      <c r="H525" t="s">
        <v>4506</v>
      </c>
      <c r="I525" t="s">
        <v>6255</v>
      </c>
    </row>
    <row r="526" spans="1:9">
      <c r="A526" t="s">
        <v>5909</v>
      </c>
      <c r="B526" t="s">
        <v>6259</v>
      </c>
      <c r="C526">
        <v>1</v>
      </c>
      <c r="D526" t="s">
        <v>5556</v>
      </c>
      <c r="E526">
        <v>1</v>
      </c>
      <c r="F526">
        <v>1.76</v>
      </c>
      <c r="H526" t="s">
        <v>4506</v>
      </c>
      <c r="I526" t="s">
        <v>6255</v>
      </c>
    </row>
    <row r="527" spans="1:9">
      <c r="A527" t="s">
        <v>5909</v>
      </c>
      <c r="B527" t="s">
        <v>6260</v>
      </c>
      <c r="C527">
        <v>1</v>
      </c>
      <c r="D527" t="s">
        <v>5556</v>
      </c>
      <c r="E527">
        <v>5</v>
      </c>
      <c r="F527">
        <v>66</v>
      </c>
      <c r="H527" t="s">
        <v>4506</v>
      </c>
      <c r="I527" t="s">
        <v>6255</v>
      </c>
    </row>
    <row r="528" spans="1:9">
      <c r="A528" t="s">
        <v>5909</v>
      </c>
      <c r="B528" t="s">
        <v>6261</v>
      </c>
      <c r="C528">
        <v>1</v>
      </c>
      <c r="D528" t="s">
        <v>5556</v>
      </c>
      <c r="E528">
        <v>0.1</v>
      </c>
      <c r="F528">
        <v>0.45</v>
      </c>
      <c r="H528" t="s">
        <v>4506</v>
      </c>
      <c r="I528" t="s">
        <v>6255</v>
      </c>
    </row>
    <row r="529" spans="1:9">
      <c r="A529" t="s">
        <v>5909</v>
      </c>
      <c r="B529" t="s">
        <v>6262</v>
      </c>
      <c r="C529">
        <v>1</v>
      </c>
      <c r="D529" t="s">
        <v>5556</v>
      </c>
      <c r="E529">
        <v>0.1</v>
      </c>
      <c r="F529">
        <v>2.1999999999999999E-2</v>
      </c>
      <c r="H529" t="s">
        <v>4506</v>
      </c>
      <c r="I529" t="s">
        <v>6255</v>
      </c>
    </row>
    <row r="530" spans="1:9">
      <c r="A530" t="s">
        <v>5909</v>
      </c>
      <c r="B530" t="s">
        <v>6263</v>
      </c>
      <c r="C530">
        <v>1</v>
      </c>
      <c r="D530" t="s">
        <v>5556</v>
      </c>
      <c r="E530">
        <v>0.3</v>
      </c>
      <c r="F530">
        <v>1.76</v>
      </c>
      <c r="H530" t="s">
        <v>4506</v>
      </c>
      <c r="I530" t="s">
        <v>6255</v>
      </c>
    </row>
    <row r="531" spans="1:9">
      <c r="A531" t="s">
        <v>5947</v>
      </c>
      <c r="B531" t="s">
        <v>6264</v>
      </c>
      <c r="C531">
        <v>1</v>
      </c>
      <c r="D531" t="s">
        <v>5556</v>
      </c>
      <c r="E531">
        <v>0.5</v>
      </c>
      <c r="F531">
        <v>2.5</v>
      </c>
      <c r="H531" t="s">
        <v>4506</v>
      </c>
      <c r="I531" t="s">
        <v>6255</v>
      </c>
    </row>
    <row r="532" spans="1:9">
      <c r="A532" t="s">
        <v>5947</v>
      </c>
      <c r="B532" t="s">
        <v>6265</v>
      </c>
      <c r="C532">
        <v>1</v>
      </c>
      <c r="D532" t="s">
        <v>5556</v>
      </c>
      <c r="E532">
        <v>0.5</v>
      </c>
      <c r="F532">
        <v>41</v>
      </c>
      <c r="H532" t="s">
        <v>4506</v>
      </c>
      <c r="I532" t="s">
        <v>6255</v>
      </c>
    </row>
    <row r="533" spans="1:9">
      <c r="A533" t="s">
        <v>5947</v>
      </c>
      <c r="B533" t="s">
        <v>6266</v>
      </c>
      <c r="C533">
        <v>1</v>
      </c>
      <c r="D533" t="s">
        <v>5556</v>
      </c>
      <c r="E533">
        <v>0.15</v>
      </c>
      <c r="F533">
        <v>0.2</v>
      </c>
      <c r="H533" t="s">
        <v>4506</v>
      </c>
      <c r="I533" t="s">
        <v>6255</v>
      </c>
    </row>
    <row r="534" spans="1:9">
      <c r="A534" t="s">
        <v>5947</v>
      </c>
      <c r="B534" t="s">
        <v>6267</v>
      </c>
      <c r="C534">
        <v>1</v>
      </c>
      <c r="D534" t="s">
        <v>5556</v>
      </c>
      <c r="E534">
        <v>0.15</v>
      </c>
      <c r="F534">
        <v>2.5</v>
      </c>
      <c r="H534" t="s">
        <v>4506</v>
      </c>
      <c r="I534" t="s">
        <v>6255</v>
      </c>
    </row>
    <row r="535" spans="1:9">
      <c r="A535" t="s">
        <v>5652</v>
      </c>
      <c r="B535" t="s">
        <v>6268</v>
      </c>
      <c r="C535">
        <v>1</v>
      </c>
      <c r="D535" t="s">
        <v>5556</v>
      </c>
      <c r="E535">
        <v>6</v>
      </c>
      <c r="F535">
        <v>17.600000000000001</v>
      </c>
      <c r="H535" t="s">
        <v>4506</v>
      </c>
      <c r="I535" t="s">
        <v>6255</v>
      </c>
    </row>
    <row r="536" spans="1:9">
      <c r="A536" t="s">
        <v>5652</v>
      </c>
      <c r="B536" t="s">
        <v>6269</v>
      </c>
      <c r="C536">
        <v>1</v>
      </c>
      <c r="D536" t="s">
        <v>5556</v>
      </c>
      <c r="E536">
        <v>15</v>
      </c>
      <c r="F536">
        <v>35.200000000000003</v>
      </c>
      <c r="H536" t="s">
        <v>4506</v>
      </c>
      <c r="I536" t="s">
        <v>6255</v>
      </c>
    </row>
    <row r="537" spans="1:9">
      <c r="A537" t="s">
        <v>5652</v>
      </c>
      <c r="B537" t="s">
        <v>6270</v>
      </c>
      <c r="C537">
        <v>1</v>
      </c>
      <c r="D537" t="s">
        <v>5556</v>
      </c>
      <c r="E537">
        <v>20</v>
      </c>
      <c r="F537">
        <v>52.8</v>
      </c>
      <c r="H537" t="s">
        <v>4506</v>
      </c>
      <c r="I537" t="s">
        <v>6255</v>
      </c>
    </row>
    <row r="538" spans="1:9">
      <c r="A538" t="s">
        <v>5652</v>
      </c>
      <c r="B538" t="s">
        <v>6271</v>
      </c>
      <c r="C538">
        <v>1</v>
      </c>
      <c r="D538" t="s">
        <v>5556</v>
      </c>
      <c r="E538">
        <v>25</v>
      </c>
      <c r="F538">
        <v>22</v>
      </c>
      <c r="H538" t="s">
        <v>4506</v>
      </c>
      <c r="I538" t="s">
        <v>6255</v>
      </c>
    </row>
    <row r="539" spans="1:9">
      <c r="A539" t="s">
        <v>5652</v>
      </c>
      <c r="B539" t="s">
        <v>6272</v>
      </c>
      <c r="C539">
        <v>1</v>
      </c>
      <c r="D539" t="s">
        <v>5556</v>
      </c>
      <c r="E539">
        <v>11.3</v>
      </c>
      <c r="F539">
        <v>25.8</v>
      </c>
      <c r="H539" t="s">
        <v>4506</v>
      </c>
      <c r="I539" t="s">
        <v>6255</v>
      </c>
    </row>
    <row r="540" spans="1:9">
      <c r="A540" t="s">
        <v>5652</v>
      </c>
      <c r="B540" t="s">
        <v>6260</v>
      </c>
      <c r="C540">
        <v>1</v>
      </c>
      <c r="D540" t="s">
        <v>5556</v>
      </c>
      <c r="E540">
        <v>5</v>
      </c>
      <c r="F540">
        <v>13.2</v>
      </c>
      <c r="H540" t="s">
        <v>4506</v>
      </c>
      <c r="I540" t="s">
        <v>6255</v>
      </c>
    </row>
    <row r="541" spans="1:9">
      <c r="A541" t="s">
        <v>5652</v>
      </c>
      <c r="B541" t="s">
        <v>6273</v>
      </c>
      <c r="C541">
        <v>1</v>
      </c>
      <c r="D541" t="s">
        <v>5556</v>
      </c>
      <c r="E541">
        <v>14.5</v>
      </c>
      <c r="F541">
        <v>440</v>
      </c>
      <c r="H541" t="s">
        <v>4506</v>
      </c>
      <c r="I541" t="s">
        <v>6255</v>
      </c>
    </row>
    <row r="542" spans="1:9">
      <c r="A542" t="s">
        <v>5652</v>
      </c>
      <c r="B542" t="s">
        <v>6274</v>
      </c>
      <c r="C542">
        <v>1</v>
      </c>
      <c r="D542" t="s">
        <v>5556</v>
      </c>
      <c r="E542">
        <v>6</v>
      </c>
      <c r="F542">
        <v>39.6</v>
      </c>
      <c r="H542" t="s">
        <v>4506</v>
      </c>
      <c r="I542" t="s">
        <v>6255</v>
      </c>
    </row>
    <row r="543" spans="1:9">
      <c r="A543" t="s">
        <v>5652</v>
      </c>
      <c r="B543" t="s">
        <v>6275</v>
      </c>
      <c r="C543">
        <v>1</v>
      </c>
      <c r="D543" t="s">
        <v>5893</v>
      </c>
      <c r="E543">
        <v>2</v>
      </c>
      <c r="F543">
        <v>4.7</v>
      </c>
      <c r="H543" t="s">
        <v>4506</v>
      </c>
      <c r="I543" t="s">
        <v>6255</v>
      </c>
    </row>
    <row r="544" spans="1:9">
      <c r="A544" t="s">
        <v>5674</v>
      </c>
      <c r="B544" t="s">
        <v>6276</v>
      </c>
      <c r="C544">
        <v>1</v>
      </c>
      <c r="D544" t="s">
        <v>5556</v>
      </c>
      <c r="E544">
        <v>32.5</v>
      </c>
      <c r="F544">
        <v>110</v>
      </c>
      <c r="H544" t="s">
        <v>4506</v>
      </c>
      <c r="I544" t="s">
        <v>6255</v>
      </c>
    </row>
    <row r="545" spans="1:9">
      <c r="A545" t="s">
        <v>5674</v>
      </c>
      <c r="B545" t="s">
        <v>6277</v>
      </c>
      <c r="C545">
        <v>1</v>
      </c>
      <c r="D545" t="s">
        <v>5556</v>
      </c>
      <c r="E545">
        <v>18.8</v>
      </c>
      <c r="F545">
        <v>28</v>
      </c>
      <c r="H545" t="s">
        <v>4506</v>
      </c>
      <c r="I545" t="s">
        <v>6255</v>
      </c>
    </row>
    <row r="546" spans="1:9">
      <c r="A546" t="s">
        <v>5674</v>
      </c>
      <c r="B546" t="s">
        <v>6278</v>
      </c>
      <c r="C546">
        <v>1</v>
      </c>
      <c r="D546" t="s">
        <v>5556</v>
      </c>
      <c r="E546">
        <v>30</v>
      </c>
      <c r="F546">
        <v>36</v>
      </c>
      <c r="H546" t="s">
        <v>4506</v>
      </c>
      <c r="I546" t="s">
        <v>6255</v>
      </c>
    </row>
    <row r="547" spans="1:9">
      <c r="A547" t="s">
        <v>5674</v>
      </c>
      <c r="B547" t="s">
        <v>6279</v>
      </c>
      <c r="C547">
        <v>1</v>
      </c>
      <c r="D547" t="s">
        <v>5556</v>
      </c>
      <c r="E547">
        <v>15</v>
      </c>
      <c r="F547">
        <v>22</v>
      </c>
      <c r="H547" t="s">
        <v>4506</v>
      </c>
      <c r="I547" t="s">
        <v>6255</v>
      </c>
    </row>
    <row r="548" spans="1:9">
      <c r="A548" t="s">
        <v>5674</v>
      </c>
      <c r="B548" t="s">
        <v>6280</v>
      </c>
      <c r="C548">
        <v>1</v>
      </c>
      <c r="D548" t="s">
        <v>5893</v>
      </c>
      <c r="E548">
        <v>5</v>
      </c>
      <c r="F548">
        <v>9.1</v>
      </c>
      <c r="G548" t="s">
        <v>6281</v>
      </c>
      <c r="H548" t="s">
        <v>4506</v>
      </c>
      <c r="I548" t="s">
        <v>6255</v>
      </c>
    </row>
    <row r="549" spans="1:9">
      <c r="A549" t="s">
        <v>5674</v>
      </c>
      <c r="B549" t="s">
        <v>6282</v>
      </c>
      <c r="C549">
        <v>1</v>
      </c>
      <c r="D549" t="s">
        <v>5893</v>
      </c>
      <c r="E549">
        <v>20</v>
      </c>
      <c r="F549">
        <v>4.5</v>
      </c>
      <c r="G549" t="s">
        <v>6283</v>
      </c>
      <c r="H549" t="s">
        <v>4506</v>
      </c>
      <c r="I549" t="s">
        <v>6255</v>
      </c>
    </row>
    <row r="550" spans="1:9">
      <c r="A550" t="s">
        <v>5674</v>
      </c>
      <c r="B550" t="s">
        <v>6284</v>
      </c>
      <c r="C550">
        <v>1</v>
      </c>
      <c r="D550" t="s">
        <v>5893</v>
      </c>
      <c r="E550">
        <v>1.5</v>
      </c>
      <c r="F550">
        <v>8.8000000000000007</v>
      </c>
      <c r="H550" t="s">
        <v>4506</v>
      </c>
      <c r="I550" t="s">
        <v>6255</v>
      </c>
    </row>
    <row r="551" spans="1:9">
      <c r="A551" t="s">
        <v>5947</v>
      </c>
      <c r="B551" t="s">
        <v>6285</v>
      </c>
      <c r="C551">
        <v>1</v>
      </c>
      <c r="D551" t="s">
        <v>5556</v>
      </c>
      <c r="E551">
        <v>0.75</v>
      </c>
      <c r="F551">
        <v>0.15</v>
      </c>
      <c r="H551" t="s">
        <v>4506</v>
      </c>
      <c r="I551" t="s">
        <v>6286</v>
      </c>
    </row>
    <row r="552" spans="1:9">
      <c r="A552" t="s">
        <v>5947</v>
      </c>
      <c r="B552" t="s">
        <v>6287</v>
      </c>
      <c r="C552">
        <v>1</v>
      </c>
      <c r="D552" t="s">
        <v>5556</v>
      </c>
      <c r="E552">
        <v>0.75</v>
      </c>
      <c r="F552">
        <v>1</v>
      </c>
      <c r="H552" t="s">
        <v>4506</v>
      </c>
      <c r="I552" t="s">
        <v>6286</v>
      </c>
    </row>
    <row r="553" spans="1:9">
      <c r="A553" t="s">
        <v>5947</v>
      </c>
      <c r="B553" t="s">
        <v>6288</v>
      </c>
      <c r="C553">
        <v>1</v>
      </c>
      <c r="D553" t="s">
        <v>5893</v>
      </c>
      <c r="E553">
        <v>1</v>
      </c>
      <c r="F553">
        <v>1</v>
      </c>
      <c r="H553" t="s">
        <v>4506</v>
      </c>
      <c r="I553" t="s">
        <v>6286</v>
      </c>
    </row>
    <row r="554" spans="1:9">
      <c r="A554" t="s">
        <v>5947</v>
      </c>
      <c r="B554" t="s">
        <v>6289</v>
      </c>
      <c r="C554">
        <v>1</v>
      </c>
      <c r="D554" t="s">
        <v>5893</v>
      </c>
      <c r="E554">
        <v>1</v>
      </c>
      <c r="F554">
        <v>50</v>
      </c>
      <c r="H554" t="s">
        <v>4506</v>
      </c>
      <c r="I554" t="s">
        <v>6286</v>
      </c>
    </row>
    <row r="555" spans="1:9">
      <c r="A555" t="s">
        <v>5947</v>
      </c>
      <c r="B555" t="s">
        <v>6290</v>
      </c>
      <c r="C555">
        <v>1</v>
      </c>
      <c r="D555" t="s">
        <v>5893</v>
      </c>
      <c r="E555">
        <v>1</v>
      </c>
      <c r="F555">
        <v>1.6</v>
      </c>
      <c r="H555" t="s">
        <v>4506</v>
      </c>
      <c r="I555" t="s">
        <v>6286</v>
      </c>
    </row>
    <row r="556" spans="1:9">
      <c r="A556" t="s">
        <v>5947</v>
      </c>
      <c r="B556" t="s">
        <v>6291</v>
      </c>
      <c r="C556">
        <v>1</v>
      </c>
      <c r="D556" t="s">
        <v>5893</v>
      </c>
      <c r="E556">
        <v>1</v>
      </c>
      <c r="F556">
        <v>10</v>
      </c>
      <c r="H556" t="s">
        <v>4506</v>
      </c>
      <c r="I556" t="s">
        <v>6286</v>
      </c>
    </row>
    <row r="557" spans="1:9">
      <c r="A557" t="s">
        <v>5947</v>
      </c>
      <c r="B557" t="s">
        <v>6292</v>
      </c>
      <c r="C557">
        <v>1</v>
      </c>
      <c r="D557" t="s">
        <v>5556</v>
      </c>
      <c r="E557">
        <v>1.8</v>
      </c>
      <c r="F557">
        <v>3.9</v>
      </c>
      <c r="H557" t="s">
        <v>4506</v>
      </c>
      <c r="I557" t="s">
        <v>6286</v>
      </c>
    </row>
    <row r="558" spans="1:9">
      <c r="A558" t="s">
        <v>5947</v>
      </c>
      <c r="B558" t="s">
        <v>6293</v>
      </c>
      <c r="C558">
        <v>1</v>
      </c>
      <c r="D558" t="s">
        <v>5556</v>
      </c>
      <c r="E558">
        <v>1.8</v>
      </c>
      <c r="F558">
        <v>12</v>
      </c>
      <c r="H558" t="s">
        <v>4506</v>
      </c>
      <c r="I558" t="s">
        <v>6286</v>
      </c>
    </row>
    <row r="559" spans="1:9">
      <c r="A559" t="s">
        <v>5947</v>
      </c>
      <c r="B559" t="s">
        <v>6294</v>
      </c>
      <c r="C559">
        <v>1</v>
      </c>
      <c r="D559" t="s">
        <v>5556</v>
      </c>
      <c r="E559">
        <v>2.5</v>
      </c>
      <c r="F559">
        <v>7</v>
      </c>
      <c r="H559" t="s">
        <v>4506</v>
      </c>
      <c r="I559" t="s">
        <v>6286</v>
      </c>
    </row>
    <row r="560" spans="1:9">
      <c r="A560" t="s">
        <v>5947</v>
      </c>
      <c r="B560" t="s">
        <v>6295</v>
      </c>
      <c r="C560">
        <v>1</v>
      </c>
      <c r="D560" t="s">
        <v>5556</v>
      </c>
      <c r="E560">
        <v>2.5</v>
      </c>
      <c r="F560">
        <v>25</v>
      </c>
      <c r="H560" t="s">
        <v>4506</v>
      </c>
      <c r="I560" t="s">
        <v>6286</v>
      </c>
    </row>
    <row r="561" spans="1:9">
      <c r="A561" t="s">
        <v>5947</v>
      </c>
      <c r="B561" t="s">
        <v>6296</v>
      </c>
      <c r="C561">
        <v>1</v>
      </c>
      <c r="D561" t="s">
        <v>5556</v>
      </c>
      <c r="E561">
        <v>2.5</v>
      </c>
      <c r="F561">
        <v>12</v>
      </c>
      <c r="H561" t="s">
        <v>4506</v>
      </c>
      <c r="I561" t="s">
        <v>6286</v>
      </c>
    </row>
    <row r="562" spans="1:9">
      <c r="A562" t="s">
        <v>5947</v>
      </c>
      <c r="B562" t="s">
        <v>6297</v>
      </c>
      <c r="C562">
        <v>1</v>
      </c>
      <c r="D562" t="s">
        <v>5556</v>
      </c>
      <c r="E562">
        <v>2.5</v>
      </c>
      <c r="F562">
        <v>28</v>
      </c>
      <c r="H562" t="s">
        <v>4506</v>
      </c>
      <c r="I562" t="s">
        <v>6286</v>
      </c>
    </row>
    <row r="563" spans="1:9">
      <c r="A563" t="s">
        <v>5786</v>
      </c>
      <c r="B563" t="s">
        <v>6298</v>
      </c>
      <c r="C563">
        <v>1</v>
      </c>
      <c r="D563" t="s">
        <v>5556</v>
      </c>
      <c r="E563">
        <v>1</v>
      </c>
      <c r="F563">
        <v>2.5</v>
      </c>
      <c r="H563" t="s">
        <v>4506</v>
      </c>
      <c r="I563" t="s">
        <v>5786</v>
      </c>
    </row>
    <row r="564" spans="1:9">
      <c r="A564" t="s">
        <v>5786</v>
      </c>
      <c r="B564" t="s">
        <v>6299</v>
      </c>
      <c r="C564">
        <v>1</v>
      </c>
      <c r="D564" t="s">
        <v>5556</v>
      </c>
      <c r="E564">
        <v>0.5</v>
      </c>
      <c r="F564">
        <v>5</v>
      </c>
      <c r="H564" t="s">
        <v>4506</v>
      </c>
      <c r="I564" t="s">
        <v>5786</v>
      </c>
    </row>
    <row r="565" spans="1:9">
      <c r="A565" t="s">
        <v>5786</v>
      </c>
      <c r="B565" t="s">
        <v>6300</v>
      </c>
      <c r="C565">
        <v>1</v>
      </c>
      <c r="D565" t="s">
        <v>5556</v>
      </c>
      <c r="E565">
        <v>0.4</v>
      </c>
      <c r="F565">
        <v>2.2000000000000002</v>
      </c>
      <c r="H565" t="s">
        <v>4506</v>
      </c>
      <c r="I565" t="s">
        <v>5786</v>
      </c>
    </row>
    <row r="566" spans="1:9">
      <c r="A566" t="s">
        <v>5786</v>
      </c>
      <c r="B566" t="s">
        <v>6301</v>
      </c>
      <c r="C566">
        <v>1</v>
      </c>
      <c r="D566" t="s">
        <v>5556</v>
      </c>
      <c r="E566">
        <v>0.5</v>
      </c>
      <c r="F566">
        <v>4.4000000000000004</v>
      </c>
      <c r="H566" t="s">
        <v>4506</v>
      </c>
      <c r="I566" t="s">
        <v>5786</v>
      </c>
    </row>
    <row r="567" spans="1:9">
      <c r="A567" t="s">
        <v>5786</v>
      </c>
      <c r="B567" t="s">
        <v>6302</v>
      </c>
      <c r="C567">
        <v>1</v>
      </c>
      <c r="D567" t="s">
        <v>5556</v>
      </c>
      <c r="E567">
        <v>0.5</v>
      </c>
      <c r="F567">
        <v>5</v>
      </c>
      <c r="H567" t="s">
        <v>4506</v>
      </c>
      <c r="I567" t="s">
        <v>5786</v>
      </c>
    </row>
    <row r="568" spans="1:9">
      <c r="A568" t="s">
        <v>5786</v>
      </c>
      <c r="B568" t="s">
        <v>6303</v>
      </c>
      <c r="C568">
        <v>1</v>
      </c>
      <c r="D568" t="s">
        <v>5556</v>
      </c>
      <c r="E568">
        <v>1</v>
      </c>
      <c r="F568">
        <v>6.6</v>
      </c>
      <c r="H568" t="s">
        <v>4506</v>
      </c>
      <c r="I568" t="s">
        <v>5786</v>
      </c>
    </row>
    <row r="569" spans="1:9">
      <c r="A569" t="s">
        <v>5786</v>
      </c>
      <c r="B569" t="s">
        <v>6304</v>
      </c>
      <c r="C569">
        <v>1</v>
      </c>
      <c r="D569" t="s">
        <v>5556</v>
      </c>
      <c r="E569">
        <v>2</v>
      </c>
      <c r="F569">
        <v>17.600000000000001</v>
      </c>
      <c r="H569" t="s">
        <v>4506</v>
      </c>
      <c r="I569" t="s">
        <v>5786</v>
      </c>
    </row>
    <row r="570" spans="1:9">
      <c r="A570" t="s">
        <v>5786</v>
      </c>
      <c r="B570" t="s">
        <v>6305</v>
      </c>
      <c r="C570">
        <v>1</v>
      </c>
      <c r="D570" t="s">
        <v>5556</v>
      </c>
      <c r="E570">
        <v>0.5</v>
      </c>
      <c r="F570">
        <v>5</v>
      </c>
      <c r="H570" t="s">
        <v>4506</v>
      </c>
      <c r="I570" t="s">
        <v>5786</v>
      </c>
    </row>
    <row r="571" spans="1:9">
      <c r="A571" t="s">
        <v>5786</v>
      </c>
      <c r="B571" t="s">
        <v>6306</v>
      </c>
      <c r="C571">
        <v>1</v>
      </c>
      <c r="D571" t="s">
        <v>5556</v>
      </c>
      <c r="E571">
        <v>0.75</v>
      </c>
      <c r="F571">
        <v>6.6</v>
      </c>
      <c r="H571" t="s">
        <v>4506</v>
      </c>
      <c r="I571" t="s">
        <v>5786</v>
      </c>
    </row>
    <row r="572" spans="1:9">
      <c r="A572" t="s">
        <v>5786</v>
      </c>
      <c r="B572" t="s">
        <v>6307</v>
      </c>
      <c r="C572">
        <v>1</v>
      </c>
      <c r="D572" t="s">
        <v>5556</v>
      </c>
      <c r="E572">
        <v>0.9</v>
      </c>
      <c r="F572">
        <v>7.92</v>
      </c>
      <c r="H572" t="s">
        <v>4506</v>
      </c>
      <c r="I572" t="s">
        <v>5786</v>
      </c>
    </row>
    <row r="573" spans="1:9">
      <c r="A573" t="s">
        <v>5786</v>
      </c>
      <c r="B573" t="s">
        <v>6308</v>
      </c>
      <c r="C573">
        <v>1</v>
      </c>
      <c r="D573" t="s">
        <v>5556</v>
      </c>
      <c r="E573">
        <v>0.3</v>
      </c>
      <c r="F573">
        <v>2</v>
      </c>
      <c r="H573" t="s">
        <v>4506</v>
      </c>
      <c r="I573" t="s">
        <v>5786</v>
      </c>
    </row>
    <row r="574" spans="1:9">
      <c r="A574" t="s">
        <v>5786</v>
      </c>
      <c r="B574" t="s">
        <v>6309</v>
      </c>
      <c r="C574">
        <v>1</v>
      </c>
      <c r="D574" t="s">
        <v>5556</v>
      </c>
      <c r="E574">
        <v>0.3</v>
      </c>
      <c r="F574">
        <v>3</v>
      </c>
      <c r="H574" t="s">
        <v>4506</v>
      </c>
      <c r="I574" t="s">
        <v>5786</v>
      </c>
    </row>
    <row r="575" spans="1:9">
      <c r="A575" t="s">
        <v>5786</v>
      </c>
      <c r="B575" t="s">
        <v>6310</v>
      </c>
      <c r="C575">
        <v>1</v>
      </c>
      <c r="D575" t="s">
        <v>5556</v>
      </c>
      <c r="E575">
        <v>0.2</v>
      </c>
      <c r="F575">
        <v>1.2</v>
      </c>
      <c r="H575" t="s">
        <v>4506</v>
      </c>
      <c r="I575" t="s">
        <v>5786</v>
      </c>
    </row>
    <row r="576" spans="1:9">
      <c r="A576" t="s">
        <v>5786</v>
      </c>
      <c r="B576" t="s">
        <v>6311</v>
      </c>
      <c r="C576">
        <v>1</v>
      </c>
      <c r="D576" t="s">
        <v>5556</v>
      </c>
      <c r="E576">
        <v>0.25</v>
      </c>
      <c r="F576">
        <v>3.52</v>
      </c>
      <c r="H576" t="s">
        <v>4506</v>
      </c>
      <c r="I576" t="s">
        <v>5786</v>
      </c>
    </row>
    <row r="577" spans="1:9">
      <c r="A577" t="s">
        <v>5786</v>
      </c>
      <c r="B577" t="s">
        <v>6312</v>
      </c>
      <c r="C577">
        <v>1</v>
      </c>
      <c r="D577" t="s">
        <v>5556</v>
      </c>
      <c r="E577">
        <v>1.5</v>
      </c>
      <c r="F577">
        <v>6.6</v>
      </c>
      <c r="H577" t="s">
        <v>4506</v>
      </c>
      <c r="I577" t="s">
        <v>5786</v>
      </c>
    </row>
    <row r="578" spans="1:9">
      <c r="A578" t="s">
        <v>6313</v>
      </c>
      <c r="B578" t="s">
        <v>6314</v>
      </c>
      <c r="C578">
        <v>1</v>
      </c>
      <c r="D578" t="s">
        <v>5556</v>
      </c>
      <c r="E578" t="s">
        <v>5557</v>
      </c>
      <c r="F578">
        <v>450000</v>
      </c>
      <c r="H578" t="s">
        <v>4640</v>
      </c>
      <c r="I578" t="s">
        <v>6315</v>
      </c>
    </row>
    <row r="579" spans="1:9">
      <c r="A579" t="s">
        <v>6313</v>
      </c>
      <c r="B579" t="s">
        <v>6316</v>
      </c>
      <c r="C579">
        <v>1</v>
      </c>
      <c r="D579" t="s">
        <v>5556</v>
      </c>
      <c r="E579" t="s">
        <v>5557</v>
      </c>
      <c r="F579">
        <v>2000000</v>
      </c>
      <c r="H579" t="s">
        <v>4640</v>
      </c>
      <c r="I579" t="s">
        <v>6315</v>
      </c>
    </row>
    <row r="580" spans="1:9">
      <c r="A580" t="s">
        <v>6313</v>
      </c>
      <c r="B580" t="s">
        <v>6317</v>
      </c>
      <c r="C580">
        <v>1</v>
      </c>
      <c r="D580" t="s">
        <v>5556</v>
      </c>
      <c r="E580" t="s">
        <v>5557</v>
      </c>
      <c r="F580">
        <v>1600000</v>
      </c>
      <c r="H580" t="s">
        <v>4640</v>
      </c>
      <c r="I580" t="s">
        <v>6318</v>
      </c>
    </row>
    <row r="581" spans="1:9">
      <c r="A581" t="s">
        <v>6313</v>
      </c>
      <c r="B581" t="s">
        <v>6319</v>
      </c>
      <c r="C581">
        <v>1</v>
      </c>
      <c r="D581" t="s">
        <v>5556</v>
      </c>
      <c r="E581" t="s">
        <v>5557</v>
      </c>
      <c r="F581">
        <v>400000</v>
      </c>
      <c r="H581" t="s">
        <v>4640</v>
      </c>
      <c r="I581" t="s">
        <v>6318</v>
      </c>
    </row>
    <row r="582" spans="1:9">
      <c r="A582" t="s">
        <v>6313</v>
      </c>
      <c r="B582" t="s">
        <v>6320</v>
      </c>
      <c r="C582">
        <v>1</v>
      </c>
      <c r="D582" t="s">
        <v>5556</v>
      </c>
      <c r="E582" t="s">
        <v>5557</v>
      </c>
      <c r="F582">
        <v>800000</v>
      </c>
      <c r="H582" t="s">
        <v>4640</v>
      </c>
      <c r="I582" t="s">
        <v>6318</v>
      </c>
    </row>
    <row r="583" spans="1:9">
      <c r="A583" t="s">
        <v>5658</v>
      </c>
      <c r="B583" t="s">
        <v>6321</v>
      </c>
      <c r="C583">
        <v>1</v>
      </c>
      <c r="D583" t="s">
        <v>5556</v>
      </c>
      <c r="E583">
        <v>6</v>
      </c>
      <c r="F583">
        <v>120</v>
      </c>
      <c r="H583" t="s">
        <v>4608</v>
      </c>
      <c r="I583" t="s">
        <v>6322</v>
      </c>
    </row>
    <row r="584" spans="1:9">
      <c r="A584" t="s">
        <v>5658</v>
      </c>
      <c r="B584" t="s">
        <v>6323</v>
      </c>
      <c r="C584">
        <v>1</v>
      </c>
      <c r="D584" t="s">
        <v>5556</v>
      </c>
      <c r="E584">
        <v>10</v>
      </c>
      <c r="F584">
        <v>22</v>
      </c>
      <c r="H584" t="s">
        <v>4608</v>
      </c>
      <c r="I584" t="s">
        <v>6322</v>
      </c>
    </row>
    <row r="585" spans="1:9">
      <c r="A585" t="s">
        <v>5658</v>
      </c>
      <c r="B585" t="s">
        <v>6324</v>
      </c>
      <c r="C585">
        <v>1</v>
      </c>
      <c r="D585" t="s">
        <v>5556</v>
      </c>
      <c r="E585">
        <v>5</v>
      </c>
      <c r="F585">
        <v>8.75</v>
      </c>
      <c r="H585" t="s">
        <v>4608</v>
      </c>
      <c r="I585" t="s">
        <v>6322</v>
      </c>
    </row>
    <row r="586" spans="1:9">
      <c r="A586" t="s">
        <v>5639</v>
      </c>
      <c r="B586" t="s">
        <v>6325</v>
      </c>
      <c r="C586">
        <v>1</v>
      </c>
      <c r="D586" t="s">
        <v>5556</v>
      </c>
      <c r="E586">
        <v>3</v>
      </c>
      <c r="F586">
        <v>8800</v>
      </c>
      <c r="H586" t="s">
        <v>4608</v>
      </c>
      <c r="I586" t="s">
        <v>6326</v>
      </c>
    </row>
    <row r="587" spans="1:9">
      <c r="A587" t="s">
        <v>5639</v>
      </c>
      <c r="B587" t="s">
        <v>6327</v>
      </c>
      <c r="C587">
        <v>1</v>
      </c>
      <c r="D587" t="s">
        <v>5556</v>
      </c>
      <c r="E587">
        <v>4</v>
      </c>
      <c r="F587">
        <v>26400</v>
      </c>
      <c r="H587" t="s">
        <v>4608</v>
      </c>
      <c r="I587" t="s">
        <v>6326</v>
      </c>
    </row>
    <row r="588" spans="1:9">
      <c r="A588" t="s">
        <v>6128</v>
      </c>
      <c r="B588" t="s">
        <v>6328</v>
      </c>
      <c r="C588">
        <v>1</v>
      </c>
      <c r="D588" t="s">
        <v>5556</v>
      </c>
      <c r="E588">
        <v>0.2</v>
      </c>
      <c r="F588">
        <v>35</v>
      </c>
      <c r="H588" t="s">
        <v>4608</v>
      </c>
      <c r="I588" t="s">
        <v>6329</v>
      </c>
    </row>
    <row r="589" spans="1:9">
      <c r="A589" t="s">
        <v>5654</v>
      </c>
      <c r="B589" t="s">
        <v>6330</v>
      </c>
      <c r="C589">
        <v>1</v>
      </c>
      <c r="D589" t="s">
        <v>5556</v>
      </c>
      <c r="E589">
        <v>0.5</v>
      </c>
      <c r="F589">
        <v>2500</v>
      </c>
      <c r="H589" t="s">
        <v>4608</v>
      </c>
      <c r="I589" t="s">
        <v>6329</v>
      </c>
    </row>
    <row r="590" spans="1:9">
      <c r="A590" t="s">
        <v>5674</v>
      </c>
      <c r="B590" t="s">
        <v>6331</v>
      </c>
      <c r="C590">
        <v>1</v>
      </c>
      <c r="D590" t="s">
        <v>5700</v>
      </c>
      <c r="E590" t="s">
        <v>5557</v>
      </c>
      <c r="F590">
        <v>30</v>
      </c>
      <c r="H590" t="s">
        <v>5126</v>
      </c>
      <c r="I590" t="s">
        <v>6332</v>
      </c>
    </row>
    <row r="591" spans="1:9">
      <c r="A591" t="s">
        <v>4401</v>
      </c>
      <c r="B591" t="s">
        <v>6333</v>
      </c>
      <c r="C591">
        <v>1</v>
      </c>
      <c r="D591" t="s">
        <v>5738</v>
      </c>
      <c r="E591">
        <v>1</v>
      </c>
      <c r="F591">
        <v>1000</v>
      </c>
      <c r="H591" t="s">
        <v>4451</v>
      </c>
      <c r="I591" t="s">
        <v>6334</v>
      </c>
    </row>
    <row r="592" spans="1:9">
      <c r="A592" t="s">
        <v>4401</v>
      </c>
      <c r="B592" t="s">
        <v>6335</v>
      </c>
      <c r="C592">
        <v>1</v>
      </c>
      <c r="D592" t="s">
        <v>5738</v>
      </c>
      <c r="E592">
        <v>1</v>
      </c>
      <c r="F592">
        <v>22</v>
      </c>
      <c r="H592" t="s">
        <v>4451</v>
      </c>
      <c r="I592" t="s">
        <v>6334</v>
      </c>
    </row>
    <row r="593" spans="1:9">
      <c r="A593" t="s">
        <v>4401</v>
      </c>
      <c r="B593" t="s">
        <v>6336</v>
      </c>
      <c r="C593">
        <v>1</v>
      </c>
      <c r="D593" t="s">
        <v>5637</v>
      </c>
      <c r="E593">
        <v>1</v>
      </c>
      <c r="F593">
        <v>27</v>
      </c>
      <c r="H593" t="s">
        <v>4451</v>
      </c>
      <c r="I593" t="s">
        <v>6334</v>
      </c>
    </row>
    <row r="594" spans="1:9">
      <c r="A594" t="s">
        <v>4401</v>
      </c>
      <c r="B594" t="s">
        <v>6337</v>
      </c>
      <c r="C594">
        <v>1</v>
      </c>
      <c r="D594" t="s">
        <v>5738</v>
      </c>
      <c r="E594">
        <v>1</v>
      </c>
      <c r="F594">
        <v>1250</v>
      </c>
      <c r="H594" t="s">
        <v>4451</v>
      </c>
      <c r="I594" t="s">
        <v>6334</v>
      </c>
    </row>
    <row r="595" spans="1:9">
      <c r="A595" t="s">
        <v>4401</v>
      </c>
      <c r="B595" t="s">
        <v>6338</v>
      </c>
      <c r="C595">
        <v>1</v>
      </c>
      <c r="D595" t="s">
        <v>5637</v>
      </c>
      <c r="E595">
        <v>1</v>
      </c>
      <c r="F595">
        <v>1500</v>
      </c>
      <c r="H595" t="s">
        <v>4451</v>
      </c>
      <c r="I595" t="s">
        <v>6334</v>
      </c>
    </row>
    <row r="596" spans="1:9">
      <c r="A596" t="s">
        <v>4401</v>
      </c>
      <c r="B596" t="s">
        <v>6339</v>
      </c>
      <c r="C596">
        <v>1</v>
      </c>
      <c r="D596" t="s">
        <v>5738</v>
      </c>
      <c r="E596">
        <v>1</v>
      </c>
      <c r="F596">
        <v>1500</v>
      </c>
      <c r="H596" t="s">
        <v>4451</v>
      </c>
      <c r="I596" t="s">
        <v>6334</v>
      </c>
    </row>
    <row r="597" spans="1:9">
      <c r="A597" t="s">
        <v>4401</v>
      </c>
      <c r="B597" t="s">
        <v>6340</v>
      </c>
      <c r="C597">
        <v>1</v>
      </c>
      <c r="D597" t="s">
        <v>5637</v>
      </c>
      <c r="E597">
        <v>1</v>
      </c>
      <c r="F597">
        <v>1800</v>
      </c>
      <c r="H597" t="s">
        <v>4451</v>
      </c>
      <c r="I597" t="s">
        <v>6334</v>
      </c>
    </row>
    <row r="598" spans="1:9">
      <c r="A598" t="s">
        <v>4401</v>
      </c>
      <c r="B598" t="s">
        <v>6341</v>
      </c>
      <c r="C598">
        <v>1</v>
      </c>
      <c r="D598" t="s">
        <v>5738</v>
      </c>
      <c r="E598">
        <v>1</v>
      </c>
      <c r="F598">
        <v>10000</v>
      </c>
      <c r="H598" t="s">
        <v>4451</v>
      </c>
      <c r="I598" t="s">
        <v>6334</v>
      </c>
    </row>
    <row r="599" spans="1:9">
      <c r="A599" t="s">
        <v>4401</v>
      </c>
      <c r="B599" t="s">
        <v>6342</v>
      </c>
      <c r="C599">
        <v>1</v>
      </c>
      <c r="D599" t="s">
        <v>5738</v>
      </c>
      <c r="E599">
        <v>1</v>
      </c>
      <c r="F599">
        <v>1500</v>
      </c>
      <c r="H599" t="s">
        <v>4451</v>
      </c>
      <c r="I599" t="s">
        <v>6334</v>
      </c>
    </row>
    <row r="600" spans="1:9">
      <c r="A600" t="s">
        <v>4401</v>
      </c>
      <c r="B600" t="s">
        <v>6343</v>
      </c>
      <c r="C600">
        <v>1</v>
      </c>
      <c r="D600" t="s">
        <v>5738</v>
      </c>
      <c r="E600">
        <v>1</v>
      </c>
      <c r="F600">
        <v>100</v>
      </c>
      <c r="H600" t="s">
        <v>4451</v>
      </c>
      <c r="I600" t="s">
        <v>6334</v>
      </c>
    </row>
    <row r="601" spans="1:9">
      <c r="A601" t="s">
        <v>4401</v>
      </c>
      <c r="B601" t="s">
        <v>6344</v>
      </c>
      <c r="C601">
        <v>1</v>
      </c>
      <c r="D601" t="s">
        <v>5637</v>
      </c>
      <c r="E601">
        <v>1</v>
      </c>
      <c r="F601">
        <v>120</v>
      </c>
      <c r="H601" t="s">
        <v>4451</v>
      </c>
      <c r="I601" t="s">
        <v>6334</v>
      </c>
    </row>
    <row r="602" spans="1:9">
      <c r="A602" t="s">
        <v>4401</v>
      </c>
      <c r="B602" t="s">
        <v>6345</v>
      </c>
      <c r="C602">
        <v>1</v>
      </c>
      <c r="D602" t="s">
        <v>5738</v>
      </c>
      <c r="E602">
        <v>1</v>
      </c>
      <c r="F602">
        <v>25</v>
      </c>
      <c r="H602" t="s">
        <v>4451</v>
      </c>
      <c r="I602" t="s">
        <v>6346</v>
      </c>
    </row>
    <row r="603" spans="1:9">
      <c r="A603" t="s">
        <v>4401</v>
      </c>
      <c r="B603" t="s">
        <v>6347</v>
      </c>
      <c r="C603">
        <v>1</v>
      </c>
      <c r="D603" t="s">
        <v>5637</v>
      </c>
      <c r="E603">
        <v>1</v>
      </c>
      <c r="F603">
        <v>30</v>
      </c>
      <c r="H603" t="s">
        <v>4451</v>
      </c>
      <c r="I603" t="s">
        <v>6346</v>
      </c>
    </row>
    <row r="604" spans="1:9">
      <c r="A604" t="s">
        <v>4401</v>
      </c>
      <c r="B604" t="s">
        <v>6348</v>
      </c>
      <c r="C604">
        <v>1</v>
      </c>
      <c r="D604" t="s">
        <v>5738</v>
      </c>
      <c r="E604">
        <v>1</v>
      </c>
      <c r="F604">
        <v>250</v>
      </c>
      <c r="H604" t="s">
        <v>4451</v>
      </c>
      <c r="I604" t="s">
        <v>6346</v>
      </c>
    </row>
    <row r="605" spans="1:9">
      <c r="A605" t="s">
        <v>4401</v>
      </c>
      <c r="B605" t="s">
        <v>6349</v>
      </c>
      <c r="C605">
        <v>1</v>
      </c>
      <c r="D605" t="s">
        <v>5637</v>
      </c>
      <c r="E605">
        <v>1</v>
      </c>
      <c r="F605">
        <v>300</v>
      </c>
      <c r="H605" t="s">
        <v>4451</v>
      </c>
      <c r="I605" t="s">
        <v>6346</v>
      </c>
    </row>
    <row r="606" spans="1:9">
      <c r="A606" t="s">
        <v>4401</v>
      </c>
      <c r="B606" t="s">
        <v>6350</v>
      </c>
      <c r="C606">
        <v>1</v>
      </c>
      <c r="D606" t="s">
        <v>5738</v>
      </c>
      <c r="E606">
        <v>1</v>
      </c>
      <c r="F606">
        <v>32</v>
      </c>
      <c r="H606" t="s">
        <v>4451</v>
      </c>
      <c r="I606" t="s">
        <v>6346</v>
      </c>
    </row>
    <row r="607" spans="1:9">
      <c r="A607" t="s">
        <v>4401</v>
      </c>
      <c r="B607" t="s">
        <v>6351</v>
      </c>
      <c r="C607">
        <v>1</v>
      </c>
      <c r="D607" t="s">
        <v>5637</v>
      </c>
      <c r="E607">
        <v>1</v>
      </c>
      <c r="F607">
        <v>39</v>
      </c>
      <c r="H607" t="s">
        <v>4451</v>
      </c>
      <c r="I607" t="s">
        <v>6346</v>
      </c>
    </row>
    <row r="608" spans="1:9">
      <c r="A608" t="s">
        <v>4401</v>
      </c>
      <c r="B608" t="s">
        <v>6352</v>
      </c>
      <c r="C608">
        <v>1</v>
      </c>
      <c r="D608" t="s">
        <v>5738</v>
      </c>
      <c r="E608">
        <v>1</v>
      </c>
      <c r="F608">
        <v>175</v>
      </c>
      <c r="H608" t="s">
        <v>4451</v>
      </c>
      <c r="I608" t="s">
        <v>6346</v>
      </c>
    </row>
    <row r="609" spans="1:9">
      <c r="A609" t="s">
        <v>4401</v>
      </c>
      <c r="B609" t="s">
        <v>6353</v>
      </c>
      <c r="C609">
        <v>1</v>
      </c>
      <c r="D609" t="s">
        <v>5637</v>
      </c>
      <c r="E609">
        <v>1</v>
      </c>
      <c r="F609">
        <v>210</v>
      </c>
      <c r="H609" t="s">
        <v>4451</v>
      </c>
      <c r="I609" t="s">
        <v>6346</v>
      </c>
    </row>
    <row r="610" spans="1:9">
      <c r="A610" t="s">
        <v>4401</v>
      </c>
      <c r="B610" t="s">
        <v>6354</v>
      </c>
      <c r="C610">
        <v>1</v>
      </c>
      <c r="D610" t="s">
        <v>5738</v>
      </c>
      <c r="E610">
        <v>1</v>
      </c>
      <c r="F610">
        <v>125</v>
      </c>
      <c r="H610" t="s">
        <v>4451</v>
      </c>
      <c r="I610" t="s">
        <v>6346</v>
      </c>
    </row>
    <row r="611" spans="1:9">
      <c r="A611" t="s">
        <v>4401</v>
      </c>
      <c r="B611" t="s">
        <v>6355</v>
      </c>
      <c r="C611">
        <v>1</v>
      </c>
      <c r="D611" t="s">
        <v>5637</v>
      </c>
      <c r="E611">
        <v>1</v>
      </c>
      <c r="F611">
        <v>150</v>
      </c>
      <c r="H611" t="s">
        <v>4451</v>
      </c>
      <c r="I611" t="s">
        <v>6346</v>
      </c>
    </row>
    <row r="612" spans="1:9">
      <c r="A612" t="s">
        <v>4401</v>
      </c>
      <c r="B612" t="s">
        <v>6356</v>
      </c>
      <c r="C612">
        <v>1</v>
      </c>
      <c r="D612" t="s">
        <v>5738</v>
      </c>
      <c r="E612">
        <v>1</v>
      </c>
      <c r="F612">
        <v>250000</v>
      </c>
      <c r="H612" t="s">
        <v>4451</v>
      </c>
      <c r="I612" t="s">
        <v>6357</v>
      </c>
    </row>
    <row r="613" spans="1:9">
      <c r="A613" t="s">
        <v>4401</v>
      </c>
      <c r="B613" t="s">
        <v>6358</v>
      </c>
      <c r="C613">
        <v>1</v>
      </c>
      <c r="D613" t="s">
        <v>5637</v>
      </c>
      <c r="E613">
        <v>1</v>
      </c>
      <c r="F613">
        <v>300000</v>
      </c>
      <c r="H613" t="s">
        <v>4451</v>
      </c>
      <c r="I613" t="s">
        <v>6357</v>
      </c>
    </row>
    <row r="614" spans="1:9">
      <c r="A614" t="s">
        <v>4401</v>
      </c>
      <c r="B614" t="s">
        <v>6359</v>
      </c>
      <c r="C614">
        <v>1</v>
      </c>
      <c r="D614" t="s">
        <v>5738</v>
      </c>
      <c r="E614">
        <v>1</v>
      </c>
      <c r="F614">
        <v>12</v>
      </c>
      <c r="H614" t="s">
        <v>4451</v>
      </c>
      <c r="I614" t="s">
        <v>6357</v>
      </c>
    </row>
    <row r="615" spans="1:9">
      <c r="A615" t="s">
        <v>4401</v>
      </c>
      <c r="B615" t="s">
        <v>6360</v>
      </c>
      <c r="C615">
        <v>1</v>
      </c>
      <c r="D615" t="s">
        <v>5738</v>
      </c>
      <c r="E615">
        <v>1</v>
      </c>
      <c r="F615">
        <v>50</v>
      </c>
      <c r="H615" t="s">
        <v>4451</v>
      </c>
      <c r="I615" t="s">
        <v>6357</v>
      </c>
    </row>
    <row r="616" spans="1:9">
      <c r="A616" t="s">
        <v>4401</v>
      </c>
      <c r="B616" t="s">
        <v>6361</v>
      </c>
      <c r="C616">
        <v>1</v>
      </c>
      <c r="D616" t="s">
        <v>5637</v>
      </c>
      <c r="E616">
        <v>1</v>
      </c>
      <c r="F616">
        <v>60</v>
      </c>
      <c r="H616" t="s">
        <v>4451</v>
      </c>
      <c r="I616" t="s">
        <v>6357</v>
      </c>
    </row>
    <row r="617" spans="1:9">
      <c r="A617" t="s">
        <v>4401</v>
      </c>
      <c r="B617" t="s">
        <v>6362</v>
      </c>
      <c r="C617">
        <v>1</v>
      </c>
      <c r="D617" t="s">
        <v>5738</v>
      </c>
      <c r="E617">
        <v>1</v>
      </c>
      <c r="F617">
        <v>15</v>
      </c>
      <c r="H617" t="s">
        <v>4451</v>
      </c>
      <c r="I617" t="s">
        <v>6357</v>
      </c>
    </row>
    <row r="618" spans="1:9">
      <c r="A618" t="s">
        <v>5676</v>
      </c>
      <c r="B618" t="s">
        <v>6363</v>
      </c>
      <c r="C618">
        <v>1</v>
      </c>
      <c r="D618" t="s">
        <v>5635</v>
      </c>
      <c r="E618">
        <v>0.1</v>
      </c>
      <c r="F618">
        <v>0.1</v>
      </c>
      <c r="H618" t="s">
        <v>4698</v>
      </c>
      <c r="I618" t="s">
        <v>6364</v>
      </c>
    </row>
    <row r="619" spans="1:9">
      <c r="A619" t="s">
        <v>6365</v>
      </c>
      <c r="B619" t="s">
        <v>6366</v>
      </c>
      <c r="C619">
        <v>1</v>
      </c>
      <c r="D619" t="s">
        <v>5637</v>
      </c>
      <c r="E619">
        <v>2E-3</v>
      </c>
      <c r="F619">
        <v>3.5</v>
      </c>
      <c r="H619" t="s">
        <v>4698</v>
      </c>
      <c r="I619" t="s">
        <v>6367</v>
      </c>
    </row>
    <row r="620" spans="1:9">
      <c r="A620" t="s">
        <v>6365</v>
      </c>
      <c r="B620" t="s">
        <v>6368</v>
      </c>
      <c r="C620">
        <v>1</v>
      </c>
      <c r="D620" t="s">
        <v>5637</v>
      </c>
      <c r="E620">
        <v>2E-3</v>
      </c>
      <c r="F620">
        <v>88</v>
      </c>
      <c r="H620" t="s">
        <v>4698</v>
      </c>
      <c r="I620" t="s">
        <v>6367</v>
      </c>
    </row>
    <row r="621" spans="1:9">
      <c r="A621" t="s">
        <v>6365</v>
      </c>
      <c r="B621" t="s">
        <v>6369</v>
      </c>
      <c r="C621">
        <v>1</v>
      </c>
      <c r="D621" t="s">
        <v>5637</v>
      </c>
      <c r="E621">
        <v>2E-3</v>
      </c>
      <c r="F621">
        <v>44</v>
      </c>
      <c r="H621" t="s">
        <v>4698</v>
      </c>
      <c r="I621" t="s">
        <v>6367</v>
      </c>
    </row>
    <row r="622" spans="1:9">
      <c r="A622" t="s">
        <v>6365</v>
      </c>
      <c r="B622" t="s">
        <v>6370</v>
      </c>
      <c r="C622">
        <v>1</v>
      </c>
      <c r="D622" t="s">
        <v>5637</v>
      </c>
      <c r="E622">
        <v>2E-3</v>
      </c>
      <c r="F622">
        <v>132</v>
      </c>
      <c r="H622" t="s">
        <v>4698</v>
      </c>
      <c r="I622" t="s">
        <v>6367</v>
      </c>
    </row>
    <row r="623" spans="1:9">
      <c r="A623" t="s">
        <v>6365</v>
      </c>
      <c r="B623" t="s">
        <v>6371</v>
      </c>
      <c r="C623">
        <v>1</v>
      </c>
      <c r="D623" t="s">
        <v>5637</v>
      </c>
      <c r="E623">
        <v>2E-3</v>
      </c>
      <c r="F623">
        <v>80</v>
      </c>
      <c r="H623" t="s">
        <v>4698</v>
      </c>
      <c r="I623" t="s">
        <v>6367</v>
      </c>
    </row>
    <row r="624" spans="1:9">
      <c r="A624" t="s">
        <v>6365</v>
      </c>
      <c r="B624" t="s">
        <v>6372</v>
      </c>
      <c r="C624">
        <v>1</v>
      </c>
      <c r="D624" t="s">
        <v>5637</v>
      </c>
      <c r="E624">
        <v>2E-3</v>
      </c>
      <c r="F624">
        <v>30</v>
      </c>
      <c r="H624" t="s">
        <v>4698</v>
      </c>
      <c r="I624" t="s">
        <v>6367</v>
      </c>
    </row>
    <row r="625" spans="1:9">
      <c r="A625" t="s">
        <v>6365</v>
      </c>
      <c r="B625" t="s">
        <v>6373</v>
      </c>
      <c r="C625">
        <v>1</v>
      </c>
      <c r="D625" t="s">
        <v>5637</v>
      </c>
      <c r="E625">
        <v>2E-3</v>
      </c>
      <c r="F625">
        <v>132</v>
      </c>
      <c r="H625" t="s">
        <v>4698</v>
      </c>
      <c r="I625" t="s">
        <v>6367</v>
      </c>
    </row>
    <row r="626" spans="1:9">
      <c r="A626" t="s">
        <v>6365</v>
      </c>
      <c r="B626" t="s">
        <v>6374</v>
      </c>
      <c r="C626">
        <v>1</v>
      </c>
      <c r="D626" t="s">
        <v>5637</v>
      </c>
      <c r="E626">
        <v>2E-3</v>
      </c>
      <c r="F626">
        <v>9</v>
      </c>
      <c r="H626" t="s">
        <v>4698</v>
      </c>
      <c r="I626" t="s">
        <v>6367</v>
      </c>
    </row>
    <row r="627" spans="1:9">
      <c r="A627" t="s">
        <v>6365</v>
      </c>
      <c r="B627" t="s">
        <v>6375</v>
      </c>
      <c r="C627">
        <v>1</v>
      </c>
      <c r="D627" t="s">
        <v>5637</v>
      </c>
      <c r="E627">
        <v>2E-3</v>
      </c>
      <c r="F627">
        <v>35</v>
      </c>
      <c r="H627" t="s">
        <v>4698</v>
      </c>
      <c r="I627" t="s">
        <v>6367</v>
      </c>
    </row>
    <row r="628" spans="1:9">
      <c r="A628" t="s">
        <v>6365</v>
      </c>
      <c r="B628" t="s">
        <v>6376</v>
      </c>
      <c r="C628">
        <v>1</v>
      </c>
      <c r="D628" t="s">
        <v>5637</v>
      </c>
      <c r="E628">
        <v>2E-3</v>
      </c>
      <c r="F628">
        <v>26</v>
      </c>
      <c r="H628" t="s">
        <v>4698</v>
      </c>
      <c r="I628" t="s">
        <v>6367</v>
      </c>
    </row>
    <row r="629" spans="1:9">
      <c r="A629" t="s">
        <v>6365</v>
      </c>
      <c r="B629" t="s">
        <v>6377</v>
      </c>
      <c r="C629">
        <v>1</v>
      </c>
      <c r="D629" t="s">
        <v>5637</v>
      </c>
      <c r="E629">
        <v>2E-3</v>
      </c>
      <c r="F629">
        <v>12</v>
      </c>
      <c r="H629" t="s">
        <v>4698</v>
      </c>
      <c r="I629" t="s">
        <v>6367</v>
      </c>
    </row>
    <row r="630" spans="1:9">
      <c r="A630" t="s">
        <v>6365</v>
      </c>
      <c r="B630" t="s">
        <v>6378</v>
      </c>
      <c r="C630">
        <v>1</v>
      </c>
      <c r="D630" t="s">
        <v>5637</v>
      </c>
      <c r="E630">
        <v>2E-3</v>
      </c>
      <c r="F630">
        <v>52</v>
      </c>
      <c r="H630" t="s">
        <v>4698</v>
      </c>
      <c r="I630" t="s">
        <v>6367</v>
      </c>
    </row>
    <row r="631" spans="1:9">
      <c r="A631" t="s">
        <v>6365</v>
      </c>
      <c r="B631" t="s">
        <v>6379</v>
      </c>
      <c r="C631">
        <v>1</v>
      </c>
      <c r="D631" t="s">
        <v>5637</v>
      </c>
      <c r="E631">
        <v>2E-3</v>
      </c>
      <c r="F631">
        <v>48</v>
      </c>
      <c r="H631" t="s">
        <v>4698</v>
      </c>
      <c r="I631" t="s">
        <v>6367</v>
      </c>
    </row>
    <row r="632" spans="1:9">
      <c r="A632" t="s">
        <v>6365</v>
      </c>
      <c r="B632" t="s">
        <v>6380</v>
      </c>
      <c r="C632">
        <v>1</v>
      </c>
      <c r="D632" t="s">
        <v>5637</v>
      </c>
      <c r="E632">
        <v>2E-3</v>
      </c>
      <c r="F632">
        <v>79</v>
      </c>
      <c r="H632" t="s">
        <v>4698</v>
      </c>
      <c r="I632" t="s">
        <v>6367</v>
      </c>
    </row>
    <row r="633" spans="1:9">
      <c r="A633" t="s">
        <v>6365</v>
      </c>
      <c r="B633" t="s">
        <v>6381</v>
      </c>
      <c r="C633">
        <v>1</v>
      </c>
      <c r="D633" t="s">
        <v>5637</v>
      </c>
      <c r="E633">
        <v>2E-3</v>
      </c>
      <c r="F633">
        <v>176</v>
      </c>
      <c r="H633" t="s">
        <v>4698</v>
      </c>
      <c r="I633" t="s">
        <v>6367</v>
      </c>
    </row>
    <row r="634" spans="1:9">
      <c r="A634" t="s">
        <v>6365</v>
      </c>
      <c r="B634" t="s">
        <v>6382</v>
      </c>
      <c r="C634">
        <v>1</v>
      </c>
      <c r="D634" t="s">
        <v>5637</v>
      </c>
      <c r="E634">
        <v>2E-3</v>
      </c>
      <c r="F634">
        <v>44</v>
      </c>
      <c r="H634" t="s">
        <v>4698</v>
      </c>
      <c r="I634" t="s">
        <v>6367</v>
      </c>
    </row>
    <row r="635" spans="1:9">
      <c r="A635" t="s">
        <v>6365</v>
      </c>
      <c r="B635" t="s">
        <v>6383</v>
      </c>
      <c r="C635">
        <v>1</v>
      </c>
      <c r="D635" t="s">
        <v>5637</v>
      </c>
      <c r="E635">
        <v>2E-3</v>
      </c>
      <c r="F635">
        <v>57</v>
      </c>
      <c r="H635" t="s">
        <v>4698</v>
      </c>
      <c r="I635" t="s">
        <v>6367</v>
      </c>
    </row>
    <row r="636" spans="1:9">
      <c r="A636" t="s">
        <v>6365</v>
      </c>
      <c r="B636" t="s">
        <v>6384</v>
      </c>
      <c r="C636">
        <v>1</v>
      </c>
      <c r="D636" t="s">
        <v>5637</v>
      </c>
      <c r="E636">
        <v>2E-3</v>
      </c>
      <c r="F636">
        <v>85</v>
      </c>
      <c r="H636" t="s">
        <v>4698</v>
      </c>
      <c r="I636" t="s">
        <v>6367</v>
      </c>
    </row>
    <row r="637" spans="1:9">
      <c r="A637" t="s">
        <v>6365</v>
      </c>
      <c r="B637" t="s">
        <v>6385</v>
      </c>
      <c r="C637">
        <v>1</v>
      </c>
      <c r="D637" t="s">
        <v>5637</v>
      </c>
      <c r="E637">
        <v>2E-3</v>
      </c>
      <c r="F637">
        <v>79</v>
      </c>
      <c r="H637" t="s">
        <v>4698</v>
      </c>
      <c r="I637" t="s">
        <v>6367</v>
      </c>
    </row>
    <row r="638" spans="1:9">
      <c r="A638" t="s">
        <v>6365</v>
      </c>
      <c r="B638" t="s">
        <v>6386</v>
      </c>
      <c r="C638">
        <v>1</v>
      </c>
      <c r="D638" t="s">
        <v>5637</v>
      </c>
      <c r="E638">
        <v>2E-3</v>
      </c>
      <c r="F638">
        <v>3.5</v>
      </c>
      <c r="H638" t="s">
        <v>4698</v>
      </c>
      <c r="I638" t="s">
        <v>6367</v>
      </c>
    </row>
    <row r="639" spans="1:9">
      <c r="A639" t="s">
        <v>6365</v>
      </c>
      <c r="B639" t="s">
        <v>6387</v>
      </c>
      <c r="C639">
        <v>1</v>
      </c>
      <c r="D639" t="s">
        <v>5637</v>
      </c>
      <c r="E639">
        <v>2E-3</v>
      </c>
      <c r="F639">
        <v>352</v>
      </c>
      <c r="H639" t="s">
        <v>4698</v>
      </c>
      <c r="I639" t="s">
        <v>6367</v>
      </c>
    </row>
    <row r="640" spans="1:9">
      <c r="A640" t="s">
        <v>6365</v>
      </c>
      <c r="B640" t="s">
        <v>6388</v>
      </c>
      <c r="C640">
        <v>1</v>
      </c>
      <c r="D640" t="s">
        <v>5637</v>
      </c>
      <c r="E640">
        <v>2E-3</v>
      </c>
      <c r="F640">
        <v>220</v>
      </c>
      <c r="H640" t="s">
        <v>4698</v>
      </c>
      <c r="I640" t="s">
        <v>6367</v>
      </c>
    </row>
    <row r="641" spans="1:9">
      <c r="A641" t="s">
        <v>6365</v>
      </c>
      <c r="B641" t="s">
        <v>6389</v>
      </c>
      <c r="C641">
        <v>1</v>
      </c>
      <c r="D641" t="s">
        <v>5637</v>
      </c>
      <c r="E641">
        <v>2E-3</v>
      </c>
      <c r="F641">
        <v>40</v>
      </c>
      <c r="H641" t="s">
        <v>4698</v>
      </c>
      <c r="I641" t="s">
        <v>6367</v>
      </c>
    </row>
    <row r="642" spans="1:9">
      <c r="A642" t="s">
        <v>6365</v>
      </c>
      <c r="B642" t="s">
        <v>6390</v>
      </c>
      <c r="C642">
        <v>1</v>
      </c>
      <c r="D642" t="s">
        <v>5637</v>
      </c>
      <c r="E642">
        <v>2E-3</v>
      </c>
      <c r="F642">
        <v>176</v>
      </c>
      <c r="H642" t="s">
        <v>4698</v>
      </c>
      <c r="I642" t="s">
        <v>6367</v>
      </c>
    </row>
    <row r="643" spans="1:9">
      <c r="A643" t="s">
        <v>6365</v>
      </c>
      <c r="B643" t="s">
        <v>6391</v>
      </c>
      <c r="C643">
        <v>1</v>
      </c>
      <c r="D643" t="s">
        <v>5637</v>
      </c>
      <c r="E643">
        <v>2E-3</v>
      </c>
      <c r="F643">
        <v>3</v>
      </c>
      <c r="H643" t="s">
        <v>4698</v>
      </c>
      <c r="I643" t="s">
        <v>6367</v>
      </c>
    </row>
    <row r="644" spans="1:9">
      <c r="A644" t="s">
        <v>6365</v>
      </c>
      <c r="B644" t="s">
        <v>6392</v>
      </c>
      <c r="C644">
        <v>1</v>
      </c>
      <c r="D644" t="s">
        <v>5637</v>
      </c>
      <c r="E644">
        <v>2E-3</v>
      </c>
      <c r="F644">
        <v>66</v>
      </c>
      <c r="H644" t="s">
        <v>4698</v>
      </c>
      <c r="I644" t="s">
        <v>6367</v>
      </c>
    </row>
    <row r="645" spans="1:9">
      <c r="A645" t="s">
        <v>6365</v>
      </c>
      <c r="B645" t="s">
        <v>6393</v>
      </c>
      <c r="C645">
        <v>1</v>
      </c>
      <c r="D645" t="s">
        <v>5637</v>
      </c>
      <c r="E645">
        <v>2E-3</v>
      </c>
      <c r="F645">
        <v>22</v>
      </c>
      <c r="H645" t="s">
        <v>4698</v>
      </c>
      <c r="I645" t="s">
        <v>6367</v>
      </c>
    </row>
    <row r="646" spans="1:9">
      <c r="A646" t="s">
        <v>6365</v>
      </c>
      <c r="B646" t="s">
        <v>6394</v>
      </c>
      <c r="C646">
        <v>1</v>
      </c>
      <c r="D646" t="s">
        <v>5637</v>
      </c>
      <c r="E646">
        <v>2E-3</v>
      </c>
      <c r="F646">
        <v>52</v>
      </c>
      <c r="H646" t="s">
        <v>4698</v>
      </c>
      <c r="I646" t="s">
        <v>6367</v>
      </c>
    </row>
    <row r="647" spans="1:9">
      <c r="A647" t="s">
        <v>6365</v>
      </c>
      <c r="B647" t="s">
        <v>6395</v>
      </c>
      <c r="C647">
        <v>1</v>
      </c>
      <c r="D647" t="s">
        <v>5637</v>
      </c>
      <c r="E647">
        <v>2E-3</v>
      </c>
      <c r="F647">
        <v>31</v>
      </c>
      <c r="H647" t="s">
        <v>4698</v>
      </c>
      <c r="I647" t="s">
        <v>6367</v>
      </c>
    </row>
    <row r="648" spans="1:9">
      <c r="A648" t="s">
        <v>6365</v>
      </c>
      <c r="B648" t="s">
        <v>6396</v>
      </c>
      <c r="C648">
        <v>1</v>
      </c>
      <c r="D648" t="s">
        <v>5637</v>
      </c>
      <c r="E648">
        <v>2E-3</v>
      </c>
      <c r="F648">
        <v>2.5</v>
      </c>
      <c r="H648" t="s">
        <v>4698</v>
      </c>
      <c r="I648" t="s">
        <v>6367</v>
      </c>
    </row>
    <row r="649" spans="1:9">
      <c r="A649" t="s">
        <v>6365</v>
      </c>
      <c r="B649" t="s">
        <v>6397</v>
      </c>
      <c r="C649">
        <v>1</v>
      </c>
      <c r="D649" t="s">
        <v>5637</v>
      </c>
      <c r="E649">
        <v>2E-3</v>
      </c>
      <c r="F649">
        <v>154</v>
      </c>
      <c r="H649" t="s">
        <v>4698</v>
      </c>
      <c r="I649" t="s">
        <v>6367</v>
      </c>
    </row>
    <row r="650" spans="1:9">
      <c r="A650" t="s">
        <v>6365</v>
      </c>
      <c r="B650" t="s">
        <v>6398</v>
      </c>
      <c r="C650">
        <v>1</v>
      </c>
      <c r="D650" t="s">
        <v>5637</v>
      </c>
      <c r="E650">
        <v>2E-3</v>
      </c>
      <c r="F650">
        <v>1.8</v>
      </c>
      <c r="H650" t="s">
        <v>4698</v>
      </c>
      <c r="I650" t="s">
        <v>6367</v>
      </c>
    </row>
    <row r="651" spans="1:9">
      <c r="A651" t="s">
        <v>6365</v>
      </c>
      <c r="B651" t="s">
        <v>6399</v>
      </c>
      <c r="C651">
        <v>1</v>
      </c>
      <c r="D651" t="s">
        <v>5637</v>
      </c>
      <c r="E651">
        <v>2E-3</v>
      </c>
      <c r="F651">
        <v>40</v>
      </c>
      <c r="H651" t="s">
        <v>4698</v>
      </c>
      <c r="I651" t="s">
        <v>6367</v>
      </c>
    </row>
    <row r="652" spans="1:9">
      <c r="A652" t="s">
        <v>6365</v>
      </c>
      <c r="B652" t="s">
        <v>6400</v>
      </c>
      <c r="C652">
        <v>1</v>
      </c>
      <c r="D652" t="s">
        <v>5637</v>
      </c>
      <c r="E652">
        <v>2E-3</v>
      </c>
      <c r="F652">
        <v>3</v>
      </c>
      <c r="H652" t="s">
        <v>4698</v>
      </c>
      <c r="I652" t="s">
        <v>6367</v>
      </c>
    </row>
    <row r="653" spans="1:9">
      <c r="A653" t="s">
        <v>6365</v>
      </c>
      <c r="B653" t="s">
        <v>6401</v>
      </c>
      <c r="C653">
        <v>1</v>
      </c>
      <c r="D653" t="s">
        <v>5637</v>
      </c>
      <c r="E653">
        <v>2E-3</v>
      </c>
      <c r="F653">
        <v>35</v>
      </c>
      <c r="H653" t="s">
        <v>4698</v>
      </c>
      <c r="I653" t="s">
        <v>6367</v>
      </c>
    </row>
    <row r="654" spans="1:9">
      <c r="A654" t="s">
        <v>6365</v>
      </c>
      <c r="B654" t="s">
        <v>6402</v>
      </c>
      <c r="C654">
        <v>1</v>
      </c>
      <c r="D654" t="s">
        <v>5637</v>
      </c>
      <c r="E654">
        <v>2E-3</v>
      </c>
      <c r="F654">
        <v>440</v>
      </c>
      <c r="H654" t="s">
        <v>4698</v>
      </c>
      <c r="I654" t="s">
        <v>6367</v>
      </c>
    </row>
    <row r="655" spans="1:9">
      <c r="A655" t="s">
        <v>6365</v>
      </c>
      <c r="B655" t="s">
        <v>6403</v>
      </c>
      <c r="C655">
        <v>1</v>
      </c>
      <c r="D655" t="s">
        <v>5637</v>
      </c>
      <c r="E655">
        <v>2E-3</v>
      </c>
      <c r="F655">
        <v>55</v>
      </c>
      <c r="H655" t="s">
        <v>4698</v>
      </c>
      <c r="I655" t="s">
        <v>6367</v>
      </c>
    </row>
    <row r="656" spans="1:9">
      <c r="A656" t="s">
        <v>6365</v>
      </c>
      <c r="B656" t="s">
        <v>6404</v>
      </c>
      <c r="C656">
        <v>1</v>
      </c>
      <c r="D656" t="s">
        <v>5637</v>
      </c>
      <c r="E656">
        <v>2E-3</v>
      </c>
      <c r="F656">
        <v>25</v>
      </c>
      <c r="H656" t="s">
        <v>4698</v>
      </c>
      <c r="I656" t="s">
        <v>6367</v>
      </c>
    </row>
    <row r="657" spans="1:9">
      <c r="A657" t="s">
        <v>5625</v>
      </c>
      <c r="B657" t="s">
        <v>6405</v>
      </c>
      <c r="C657">
        <v>1</v>
      </c>
      <c r="D657" t="s">
        <v>5646</v>
      </c>
      <c r="E657">
        <v>0.5</v>
      </c>
      <c r="F657">
        <v>13</v>
      </c>
      <c r="H657" t="s">
        <v>4698</v>
      </c>
      <c r="I657" t="s">
        <v>5642</v>
      </c>
    </row>
    <row r="658" spans="1:9">
      <c r="A658" t="s">
        <v>5676</v>
      </c>
      <c r="B658" t="s">
        <v>6406</v>
      </c>
      <c r="C658">
        <v>1</v>
      </c>
      <c r="D658" t="s">
        <v>5637</v>
      </c>
      <c r="E658">
        <v>0.1</v>
      </c>
      <c r="F658">
        <v>0.5</v>
      </c>
      <c r="H658" t="s">
        <v>4698</v>
      </c>
      <c r="I658" t="s">
        <v>6365</v>
      </c>
    </row>
    <row r="659" spans="1:9">
      <c r="A659" t="s">
        <v>5676</v>
      </c>
      <c r="B659" t="s">
        <v>6407</v>
      </c>
      <c r="C659">
        <v>1</v>
      </c>
      <c r="D659" t="s">
        <v>5630</v>
      </c>
      <c r="E659">
        <v>0.5</v>
      </c>
      <c r="F659">
        <v>0.1</v>
      </c>
      <c r="H659" t="s">
        <v>4698</v>
      </c>
      <c r="I659" t="s">
        <v>6365</v>
      </c>
    </row>
    <row r="660" spans="1:9">
      <c r="A660" t="s">
        <v>5674</v>
      </c>
      <c r="B660" t="s">
        <v>6408</v>
      </c>
      <c r="C660">
        <v>1</v>
      </c>
      <c r="D660" t="s">
        <v>5556</v>
      </c>
      <c r="E660">
        <v>0.13</v>
      </c>
      <c r="F660">
        <v>4</v>
      </c>
      <c r="G660" t="s">
        <v>6409</v>
      </c>
      <c r="H660" t="s">
        <v>4698</v>
      </c>
      <c r="I660" t="s">
        <v>6365</v>
      </c>
    </row>
    <row r="661" spans="1:9">
      <c r="A661" t="s">
        <v>5674</v>
      </c>
      <c r="B661" t="s">
        <v>6410</v>
      </c>
      <c r="C661">
        <v>1</v>
      </c>
      <c r="D661" t="s">
        <v>5630</v>
      </c>
      <c r="E661">
        <v>0.5</v>
      </c>
      <c r="F661">
        <v>0.5</v>
      </c>
      <c r="H661" t="s">
        <v>4698</v>
      </c>
      <c r="I661" t="s">
        <v>6411</v>
      </c>
    </row>
    <row r="662" spans="1:9">
      <c r="A662" t="s">
        <v>5633</v>
      </c>
      <c r="B662" t="s">
        <v>6412</v>
      </c>
      <c r="C662">
        <v>1</v>
      </c>
      <c r="D662" t="s">
        <v>5646</v>
      </c>
      <c r="E662">
        <v>0.25</v>
      </c>
      <c r="F662">
        <v>4.5999999999999996</v>
      </c>
      <c r="H662" t="s">
        <v>4698</v>
      </c>
      <c r="I662" t="s">
        <v>6413</v>
      </c>
    </row>
    <row r="663" spans="1:9">
      <c r="A663" t="s">
        <v>5633</v>
      </c>
      <c r="B663" t="s">
        <v>6414</v>
      </c>
      <c r="C663">
        <v>1</v>
      </c>
      <c r="D663" t="s">
        <v>5630</v>
      </c>
      <c r="E663">
        <v>0.2</v>
      </c>
      <c r="F663">
        <v>0.4</v>
      </c>
      <c r="H663" t="s">
        <v>4698</v>
      </c>
      <c r="I663" t="s">
        <v>6413</v>
      </c>
    </row>
    <row r="664" spans="1:9">
      <c r="A664" t="s">
        <v>5676</v>
      </c>
      <c r="B664" t="s">
        <v>6415</v>
      </c>
      <c r="C664">
        <v>1</v>
      </c>
      <c r="D664" t="s">
        <v>5646</v>
      </c>
      <c r="E664">
        <v>0.25</v>
      </c>
      <c r="F664">
        <v>50</v>
      </c>
      <c r="H664" t="s">
        <v>4698</v>
      </c>
      <c r="I664" t="s">
        <v>6416</v>
      </c>
    </row>
    <row r="665" spans="1:9">
      <c r="A665" t="s">
        <v>5676</v>
      </c>
      <c r="B665" t="s">
        <v>6417</v>
      </c>
      <c r="C665">
        <v>1</v>
      </c>
      <c r="D665" t="s">
        <v>5635</v>
      </c>
      <c r="E665">
        <v>0.1</v>
      </c>
      <c r="F665">
        <v>0.1</v>
      </c>
      <c r="H665" t="s">
        <v>4698</v>
      </c>
      <c r="I665" t="s">
        <v>6418</v>
      </c>
    </row>
    <row r="666" spans="1:9">
      <c r="A666" t="s">
        <v>5676</v>
      </c>
      <c r="B666" t="s">
        <v>6419</v>
      </c>
      <c r="C666">
        <v>1</v>
      </c>
      <c r="D666" t="s">
        <v>5635</v>
      </c>
      <c r="E666">
        <v>0.05</v>
      </c>
      <c r="F666">
        <v>2.5</v>
      </c>
      <c r="H666" t="s">
        <v>4698</v>
      </c>
      <c r="I666" t="s">
        <v>6418</v>
      </c>
    </row>
    <row r="667" spans="1:9">
      <c r="A667" t="s">
        <v>5676</v>
      </c>
      <c r="B667" t="s">
        <v>6420</v>
      </c>
      <c r="C667">
        <v>1</v>
      </c>
      <c r="D667" t="s">
        <v>5630</v>
      </c>
      <c r="E667">
        <v>0.5</v>
      </c>
      <c r="F667">
        <v>0.25</v>
      </c>
      <c r="H667" t="s">
        <v>4698</v>
      </c>
      <c r="I667" t="s">
        <v>6418</v>
      </c>
    </row>
    <row r="668" spans="1:9">
      <c r="A668" t="s">
        <v>5625</v>
      </c>
      <c r="B668" t="s">
        <v>6421</v>
      </c>
      <c r="C668">
        <v>1</v>
      </c>
      <c r="D668" t="s">
        <v>5667</v>
      </c>
      <c r="E668">
        <v>0.2</v>
      </c>
      <c r="F668">
        <v>80</v>
      </c>
      <c r="G668" t="s">
        <v>6422</v>
      </c>
      <c r="H668" t="s">
        <v>5667</v>
      </c>
      <c r="I668" t="s">
        <v>5667</v>
      </c>
    </row>
    <row r="669" spans="1:9">
      <c r="A669" t="s">
        <v>5674</v>
      </c>
      <c r="B669" t="s">
        <v>6423</v>
      </c>
      <c r="C669">
        <v>1</v>
      </c>
      <c r="D669" t="s">
        <v>5556</v>
      </c>
      <c r="E669">
        <v>1.5</v>
      </c>
      <c r="F669">
        <v>13.2</v>
      </c>
      <c r="H669" t="s">
        <v>4431</v>
      </c>
      <c r="I669" t="s">
        <v>6424</v>
      </c>
    </row>
    <row r="670" spans="1:9">
      <c r="A670" t="s">
        <v>5652</v>
      </c>
      <c r="B670" t="s">
        <v>6425</v>
      </c>
      <c r="C670">
        <v>1</v>
      </c>
      <c r="D670" t="s">
        <v>5556</v>
      </c>
      <c r="E670">
        <v>50</v>
      </c>
      <c r="F670">
        <v>220000</v>
      </c>
      <c r="H670" t="s">
        <v>4431</v>
      </c>
      <c r="I670" t="s">
        <v>6426</v>
      </c>
    </row>
    <row r="671" spans="1:9">
      <c r="A671" t="s">
        <v>5633</v>
      </c>
      <c r="B671" t="s">
        <v>6427</v>
      </c>
      <c r="C671">
        <v>1</v>
      </c>
      <c r="D671" t="s">
        <v>5556</v>
      </c>
      <c r="E671">
        <v>0.4</v>
      </c>
      <c r="F671">
        <v>1.32</v>
      </c>
      <c r="H671" t="s">
        <v>4400</v>
      </c>
      <c r="I671" t="s">
        <v>6428</v>
      </c>
    </row>
    <row r="672" spans="1:9">
      <c r="A672" t="s">
        <v>5633</v>
      </c>
      <c r="B672" t="s">
        <v>6429</v>
      </c>
      <c r="C672">
        <v>1</v>
      </c>
      <c r="D672" t="s">
        <v>5556</v>
      </c>
      <c r="E672">
        <v>0.5</v>
      </c>
      <c r="F672">
        <v>2.2000000000000002</v>
      </c>
      <c r="H672" t="s">
        <v>4400</v>
      </c>
      <c r="I672" t="s">
        <v>6428</v>
      </c>
    </row>
    <row r="673" spans="1:9">
      <c r="A673" t="s">
        <v>5633</v>
      </c>
      <c r="B673" t="s">
        <v>6430</v>
      </c>
      <c r="C673">
        <v>1</v>
      </c>
      <c r="D673" t="s">
        <v>5556</v>
      </c>
      <c r="E673">
        <v>0.75</v>
      </c>
      <c r="F673">
        <v>5.28</v>
      </c>
      <c r="H673" t="s">
        <v>4400</v>
      </c>
      <c r="I673" t="s">
        <v>6428</v>
      </c>
    </row>
    <row r="674" spans="1:9">
      <c r="A674" t="s">
        <v>5633</v>
      </c>
      <c r="B674" t="s">
        <v>6431</v>
      </c>
      <c r="C674">
        <v>1</v>
      </c>
      <c r="D674" t="s">
        <v>5556</v>
      </c>
      <c r="E674">
        <v>0.25</v>
      </c>
      <c r="F674">
        <v>3.1</v>
      </c>
      <c r="H674" t="s">
        <v>4400</v>
      </c>
      <c r="I674" t="s">
        <v>6428</v>
      </c>
    </row>
    <row r="675" spans="1:9">
      <c r="A675" t="s">
        <v>5838</v>
      </c>
      <c r="B675" t="s">
        <v>6432</v>
      </c>
      <c r="C675">
        <v>1</v>
      </c>
      <c r="D675" t="s">
        <v>5556</v>
      </c>
      <c r="E675">
        <v>0.4</v>
      </c>
      <c r="F675">
        <v>2.2000000000000002</v>
      </c>
      <c r="H675" t="s">
        <v>4400</v>
      </c>
      <c r="I675" t="s">
        <v>6428</v>
      </c>
    </row>
    <row r="676" spans="1:9">
      <c r="A676" t="s">
        <v>5639</v>
      </c>
      <c r="B676" t="s">
        <v>6433</v>
      </c>
      <c r="C676">
        <v>1</v>
      </c>
      <c r="D676" t="s">
        <v>5746</v>
      </c>
      <c r="E676">
        <v>0.4</v>
      </c>
      <c r="F676">
        <v>8</v>
      </c>
      <c r="H676" t="s">
        <v>4400</v>
      </c>
      <c r="I676" t="s">
        <v>6428</v>
      </c>
    </row>
    <row r="677" spans="1:9">
      <c r="A677" t="s">
        <v>5639</v>
      </c>
      <c r="B677" t="s">
        <v>6434</v>
      </c>
      <c r="C677">
        <v>1</v>
      </c>
      <c r="D677" t="s">
        <v>5556</v>
      </c>
      <c r="E677">
        <v>0.2</v>
      </c>
      <c r="F677">
        <v>1.3</v>
      </c>
      <c r="H677" t="s">
        <v>4400</v>
      </c>
      <c r="I677" t="s">
        <v>6428</v>
      </c>
    </row>
    <row r="678" spans="1:9">
      <c r="A678" t="s">
        <v>5639</v>
      </c>
      <c r="B678" t="s">
        <v>6435</v>
      </c>
      <c r="C678">
        <v>1</v>
      </c>
      <c r="D678" t="s">
        <v>5556</v>
      </c>
      <c r="E678">
        <v>0.1</v>
      </c>
      <c r="F678">
        <v>6.6</v>
      </c>
      <c r="H678" t="s">
        <v>4400</v>
      </c>
      <c r="I678" t="s">
        <v>6428</v>
      </c>
    </row>
    <row r="679" spans="1:9">
      <c r="A679" t="s">
        <v>5639</v>
      </c>
      <c r="B679" t="s">
        <v>6436</v>
      </c>
      <c r="C679">
        <v>1</v>
      </c>
      <c r="D679" t="s">
        <v>5746</v>
      </c>
      <c r="E679">
        <v>0.05</v>
      </c>
      <c r="F679">
        <v>0.88</v>
      </c>
      <c r="H679" t="s">
        <v>4400</v>
      </c>
      <c r="I679" t="s">
        <v>6428</v>
      </c>
    </row>
    <row r="680" spans="1:9">
      <c r="A680" t="s">
        <v>5674</v>
      </c>
      <c r="B680" t="s">
        <v>6437</v>
      </c>
      <c r="C680">
        <v>1</v>
      </c>
      <c r="D680" t="s">
        <v>5556</v>
      </c>
      <c r="E680">
        <v>5</v>
      </c>
      <c r="F680">
        <v>17.600000000000001</v>
      </c>
      <c r="H680" t="s">
        <v>4400</v>
      </c>
      <c r="I680" t="s">
        <v>6428</v>
      </c>
    </row>
    <row r="681" spans="1:9">
      <c r="A681" t="s">
        <v>5674</v>
      </c>
      <c r="B681" t="s">
        <v>6438</v>
      </c>
      <c r="C681">
        <v>1</v>
      </c>
      <c r="D681" t="s">
        <v>5556</v>
      </c>
      <c r="E681">
        <v>2</v>
      </c>
      <c r="F681">
        <v>6.6</v>
      </c>
      <c r="H681" t="s">
        <v>4400</v>
      </c>
      <c r="I681" t="s">
        <v>6428</v>
      </c>
    </row>
    <row r="682" spans="1:9">
      <c r="A682" t="s">
        <v>5658</v>
      </c>
      <c r="B682" t="s">
        <v>6439</v>
      </c>
      <c r="C682">
        <v>1</v>
      </c>
      <c r="D682" t="s">
        <v>5746</v>
      </c>
      <c r="E682">
        <v>0.37</v>
      </c>
      <c r="F682">
        <v>52.8</v>
      </c>
      <c r="H682" t="s">
        <v>4400</v>
      </c>
      <c r="I682" t="s">
        <v>6428</v>
      </c>
    </row>
    <row r="683" spans="1:9">
      <c r="A683" t="s">
        <v>5654</v>
      </c>
      <c r="B683" t="s">
        <v>6440</v>
      </c>
      <c r="C683">
        <v>1</v>
      </c>
      <c r="D683" t="s">
        <v>5556</v>
      </c>
      <c r="E683">
        <v>1</v>
      </c>
      <c r="F683">
        <v>5</v>
      </c>
      <c r="H683" t="s">
        <v>4400</v>
      </c>
      <c r="I683" t="s">
        <v>6428</v>
      </c>
    </row>
    <row r="684" spans="1:9">
      <c r="A684" t="s">
        <v>5633</v>
      </c>
      <c r="B684" t="s">
        <v>6441</v>
      </c>
      <c r="C684">
        <v>1</v>
      </c>
      <c r="D684" t="s">
        <v>5746</v>
      </c>
      <c r="E684">
        <v>0.1</v>
      </c>
      <c r="F684">
        <v>2.7E-2</v>
      </c>
      <c r="H684" t="s">
        <v>4400</v>
      </c>
      <c r="I684" t="s">
        <v>6442</v>
      </c>
    </row>
    <row r="685" spans="1:9">
      <c r="A685" t="s">
        <v>5838</v>
      </c>
      <c r="B685" t="s">
        <v>6443</v>
      </c>
      <c r="C685">
        <v>1</v>
      </c>
      <c r="D685" t="s">
        <v>5556</v>
      </c>
      <c r="E685">
        <v>1.25</v>
      </c>
      <c r="F685">
        <v>3.52</v>
      </c>
      <c r="H685" t="s">
        <v>4400</v>
      </c>
      <c r="I685" t="s">
        <v>6442</v>
      </c>
    </row>
    <row r="686" spans="1:9">
      <c r="A686" t="s">
        <v>5838</v>
      </c>
      <c r="B686" t="s">
        <v>6444</v>
      </c>
      <c r="C686">
        <v>1</v>
      </c>
      <c r="D686" t="s">
        <v>5556</v>
      </c>
      <c r="E686">
        <v>4</v>
      </c>
      <c r="F686">
        <v>8.8000000000000007</v>
      </c>
      <c r="H686" t="s">
        <v>4400</v>
      </c>
      <c r="I686" t="s">
        <v>6442</v>
      </c>
    </row>
    <row r="687" spans="1:9">
      <c r="A687" t="s">
        <v>5838</v>
      </c>
      <c r="B687" t="s">
        <v>6445</v>
      </c>
      <c r="C687">
        <v>1</v>
      </c>
      <c r="D687" t="s">
        <v>5556</v>
      </c>
      <c r="E687">
        <v>1</v>
      </c>
      <c r="F687">
        <v>1.76</v>
      </c>
      <c r="H687" t="s">
        <v>4400</v>
      </c>
      <c r="I687" t="s">
        <v>6442</v>
      </c>
    </row>
    <row r="688" spans="1:9">
      <c r="A688" t="s">
        <v>5838</v>
      </c>
      <c r="B688" t="s">
        <v>6446</v>
      </c>
      <c r="C688">
        <v>1</v>
      </c>
      <c r="D688" t="s">
        <v>5556</v>
      </c>
      <c r="E688">
        <v>2</v>
      </c>
      <c r="F688">
        <v>2.52</v>
      </c>
      <c r="H688" t="s">
        <v>4400</v>
      </c>
      <c r="I688" t="s">
        <v>6442</v>
      </c>
    </row>
    <row r="689" spans="1:9">
      <c r="A689" t="s">
        <v>5838</v>
      </c>
      <c r="B689" t="s">
        <v>6447</v>
      </c>
      <c r="C689">
        <v>1</v>
      </c>
      <c r="D689" t="s">
        <v>5556</v>
      </c>
      <c r="E689">
        <v>0.5</v>
      </c>
      <c r="F689">
        <v>0.88</v>
      </c>
      <c r="H689" t="s">
        <v>4400</v>
      </c>
      <c r="I689" t="s">
        <v>6442</v>
      </c>
    </row>
    <row r="690" spans="1:9">
      <c r="A690" t="s">
        <v>5838</v>
      </c>
      <c r="B690" t="s">
        <v>6448</v>
      </c>
      <c r="C690">
        <v>1</v>
      </c>
      <c r="D690" t="s">
        <v>5556</v>
      </c>
      <c r="E690">
        <v>3</v>
      </c>
      <c r="F690">
        <v>4.5</v>
      </c>
      <c r="H690" t="s">
        <v>4400</v>
      </c>
      <c r="I690" t="s">
        <v>6442</v>
      </c>
    </row>
    <row r="691" spans="1:9">
      <c r="A691" t="s">
        <v>5838</v>
      </c>
      <c r="B691" t="s">
        <v>6449</v>
      </c>
      <c r="C691">
        <v>1</v>
      </c>
      <c r="D691" t="s">
        <v>5556</v>
      </c>
      <c r="E691">
        <v>2</v>
      </c>
      <c r="F691">
        <v>3.52</v>
      </c>
      <c r="H691" t="s">
        <v>4400</v>
      </c>
      <c r="I691" t="s">
        <v>6442</v>
      </c>
    </row>
    <row r="692" spans="1:9">
      <c r="A692" t="s">
        <v>5649</v>
      </c>
      <c r="B692" t="s">
        <v>6450</v>
      </c>
      <c r="C692">
        <v>1</v>
      </c>
      <c r="D692" t="s">
        <v>5556</v>
      </c>
      <c r="E692">
        <v>0.05</v>
      </c>
      <c r="F692">
        <v>7.5</v>
      </c>
      <c r="H692" t="s">
        <v>4400</v>
      </c>
      <c r="I692" t="s">
        <v>6442</v>
      </c>
    </row>
    <row r="693" spans="1:9">
      <c r="A693" t="s">
        <v>5860</v>
      </c>
      <c r="B693" t="s">
        <v>6451</v>
      </c>
      <c r="C693">
        <v>1</v>
      </c>
      <c r="D693" t="s">
        <v>5556</v>
      </c>
      <c r="E693">
        <v>10</v>
      </c>
      <c r="F693">
        <v>17</v>
      </c>
      <c r="H693" t="s">
        <v>4400</v>
      </c>
      <c r="I693" t="s">
        <v>6442</v>
      </c>
    </row>
    <row r="694" spans="1:9">
      <c r="A694" t="s">
        <v>5860</v>
      </c>
      <c r="B694" t="s">
        <v>6452</v>
      </c>
      <c r="C694">
        <v>1</v>
      </c>
      <c r="D694" t="s">
        <v>5556</v>
      </c>
      <c r="E694">
        <v>1.5</v>
      </c>
      <c r="F694">
        <v>0.3</v>
      </c>
      <c r="H694" t="s">
        <v>4400</v>
      </c>
      <c r="I694" t="s">
        <v>6442</v>
      </c>
    </row>
    <row r="695" spans="1:9">
      <c r="A695" t="s">
        <v>5860</v>
      </c>
      <c r="B695" t="s">
        <v>6453</v>
      </c>
      <c r="C695">
        <v>1</v>
      </c>
      <c r="D695" t="s">
        <v>5556</v>
      </c>
      <c r="E695">
        <v>150</v>
      </c>
      <c r="F695">
        <v>180</v>
      </c>
      <c r="H695" t="s">
        <v>4400</v>
      </c>
      <c r="I695" t="s">
        <v>6442</v>
      </c>
    </row>
    <row r="696" spans="1:9">
      <c r="A696" t="s">
        <v>5860</v>
      </c>
      <c r="B696" t="s">
        <v>6454</v>
      </c>
      <c r="C696">
        <v>1</v>
      </c>
      <c r="D696" t="s">
        <v>5556</v>
      </c>
      <c r="E696">
        <v>100</v>
      </c>
      <c r="F696">
        <v>110</v>
      </c>
      <c r="H696" t="s">
        <v>4400</v>
      </c>
      <c r="I696" t="s">
        <v>6442</v>
      </c>
    </row>
    <row r="697" spans="1:9">
      <c r="A697" t="s">
        <v>5860</v>
      </c>
      <c r="B697" t="s">
        <v>6455</v>
      </c>
      <c r="C697">
        <v>1</v>
      </c>
      <c r="D697" t="s">
        <v>5556</v>
      </c>
      <c r="E697">
        <v>1000</v>
      </c>
      <c r="F697">
        <v>4400</v>
      </c>
      <c r="H697" t="s">
        <v>4400</v>
      </c>
      <c r="I697" t="s">
        <v>6442</v>
      </c>
    </row>
    <row r="698" spans="1:9">
      <c r="A698" t="s">
        <v>5917</v>
      </c>
      <c r="B698" t="s">
        <v>6456</v>
      </c>
      <c r="C698">
        <v>1</v>
      </c>
      <c r="D698" t="s">
        <v>5893</v>
      </c>
      <c r="E698">
        <v>2</v>
      </c>
      <c r="F698">
        <v>1.3</v>
      </c>
      <c r="H698" t="s">
        <v>4400</v>
      </c>
      <c r="I698" t="s">
        <v>6442</v>
      </c>
    </row>
    <row r="699" spans="1:9">
      <c r="A699" t="s">
        <v>5652</v>
      </c>
      <c r="B699" t="s">
        <v>6457</v>
      </c>
      <c r="C699">
        <v>1</v>
      </c>
      <c r="D699" t="s">
        <v>5893</v>
      </c>
      <c r="E699">
        <v>0.25</v>
      </c>
      <c r="F699">
        <v>2.6</v>
      </c>
      <c r="H699" t="s">
        <v>4400</v>
      </c>
      <c r="I699" t="s">
        <v>6442</v>
      </c>
    </row>
    <row r="700" spans="1:9">
      <c r="A700" t="s">
        <v>5652</v>
      </c>
      <c r="B700" t="s">
        <v>6458</v>
      </c>
      <c r="C700">
        <v>1</v>
      </c>
      <c r="D700" t="s">
        <v>5893</v>
      </c>
      <c r="E700">
        <v>0.25</v>
      </c>
      <c r="F700">
        <v>2.7</v>
      </c>
      <c r="H700" t="s">
        <v>4400</v>
      </c>
      <c r="I700" t="s">
        <v>6442</v>
      </c>
    </row>
    <row r="701" spans="1:9">
      <c r="A701" t="s">
        <v>6229</v>
      </c>
      <c r="B701" t="s">
        <v>6459</v>
      </c>
      <c r="C701">
        <v>1</v>
      </c>
      <c r="D701" t="s">
        <v>6460</v>
      </c>
      <c r="E701">
        <v>2.5</v>
      </c>
      <c r="F701">
        <v>140</v>
      </c>
      <c r="H701" t="s">
        <v>4400</v>
      </c>
      <c r="I701" t="s">
        <v>6442</v>
      </c>
    </row>
    <row r="702" spans="1:9">
      <c r="A702" t="s">
        <v>6229</v>
      </c>
      <c r="B702" t="s">
        <v>6461</v>
      </c>
      <c r="C702">
        <v>1</v>
      </c>
      <c r="D702" t="s">
        <v>6460</v>
      </c>
      <c r="E702">
        <v>10</v>
      </c>
      <c r="F702">
        <v>553</v>
      </c>
      <c r="H702" t="s">
        <v>4400</v>
      </c>
      <c r="I702" t="s">
        <v>6442</v>
      </c>
    </row>
    <row r="703" spans="1:9">
      <c r="A703" t="s">
        <v>5674</v>
      </c>
      <c r="B703" t="s">
        <v>6462</v>
      </c>
      <c r="C703">
        <v>1</v>
      </c>
      <c r="D703" t="s">
        <v>5746</v>
      </c>
      <c r="E703">
        <v>3</v>
      </c>
      <c r="F703">
        <v>36</v>
      </c>
      <c r="H703" t="s">
        <v>4400</v>
      </c>
      <c r="I703" t="s">
        <v>6442</v>
      </c>
    </row>
    <row r="704" spans="1:9">
      <c r="A704" t="s">
        <v>5674</v>
      </c>
      <c r="B704" t="s">
        <v>6463</v>
      </c>
      <c r="C704">
        <v>1</v>
      </c>
      <c r="D704" t="s">
        <v>5746</v>
      </c>
      <c r="E704">
        <v>2.5</v>
      </c>
      <c r="F704">
        <v>8</v>
      </c>
      <c r="H704" t="s">
        <v>4400</v>
      </c>
      <c r="I704" t="s">
        <v>6442</v>
      </c>
    </row>
    <row r="705" spans="1:9">
      <c r="A705" t="s">
        <v>5674</v>
      </c>
      <c r="B705" t="s">
        <v>6464</v>
      </c>
      <c r="C705">
        <v>1</v>
      </c>
      <c r="D705" t="s">
        <v>5556</v>
      </c>
      <c r="E705">
        <v>0.75</v>
      </c>
      <c r="F705">
        <v>0.88</v>
      </c>
      <c r="H705" t="s">
        <v>4400</v>
      </c>
      <c r="I705" t="s">
        <v>6442</v>
      </c>
    </row>
    <row r="706" spans="1:9">
      <c r="A706" t="s">
        <v>5658</v>
      </c>
      <c r="B706" t="s">
        <v>6465</v>
      </c>
      <c r="C706">
        <v>1</v>
      </c>
      <c r="D706" t="s">
        <v>5635</v>
      </c>
      <c r="E706">
        <v>0.75</v>
      </c>
      <c r="F706">
        <v>4</v>
      </c>
      <c r="H706" t="s">
        <v>4400</v>
      </c>
      <c r="I706" t="s">
        <v>6442</v>
      </c>
    </row>
    <row r="707" spans="1:9">
      <c r="A707" t="s">
        <v>5658</v>
      </c>
      <c r="B707" t="s">
        <v>6466</v>
      </c>
      <c r="C707">
        <v>1</v>
      </c>
      <c r="D707" t="s">
        <v>5556</v>
      </c>
      <c r="E707">
        <v>0.02</v>
      </c>
      <c r="F707">
        <v>4.4000000000000004</v>
      </c>
      <c r="H707" t="s">
        <v>4400</v>
      </c>
      <c r="I707" t="s">
        <v>6442</v>
      </c>
    </row>
    <row r="708" spans="1:9">
      <c r="A708" t="s">
        <v>5658</v>
      </c>
      <c r="B708" t="s">
        <v>6467</v>
      </c>
      <c r="C708">
        <v>1</v>
      </c>
      <c r="D708" t="s">
        <v>5746</v>
      </c>
      <c r="E708">
        <v>0.02</v>
      </c>
      <c r="F708">
        <v>9.0000000000000011E-3</v>
      </c>
      <c r="H708" t="s">
        <v>4400</v>
      </c>
      <c r="I708" t="s">
        <v>6442</v>
      </c>
    </row>
    <row r="709" spans="1:9">
      <c r="A709" t="s">
        <v>5658</v>
      </c>
      <c r="B709" t="s">
        <v>6468</v>
      </c>
      <c r="C709">
        <v>1</v>
      </c>
      <c r="D709" t="s">
        <v>5556</v>
      </c>
      <c r="E709">
        <v>2.5</v>
      </c>
      <c r="F709">
        <v>30</v>
      </c>
      <c r="H709" t="s">
        <v>4400</v>
      </c>
      <c r="I709" t="s">
        <v>6442</v>
      </c>
    </row>
    <row r="710" spans="1:9">
      <c r="A710" t="s">
        <v>5658</v>
      </c>
      <c r="B710" t="s">
        <v>6469</v>
      </c>
      <c r="C710">
        <v>1</v>
      </c>
      <c r="D710" t="s">
        <v>5556</v>
      </c>
      <c r="E710">
        <v>4</v>
      </c>
      <c r="F710">
        <v>35</v>
      </c>
      <c r="H710" t="s">
        <v>4400</v>
      </c>
      <c r="I710" t="s">
        <v>6442</v>
      </c>
    </row>
    <row r="711" spans="1:9">
      <c r="A711" t="s">
        <v>5658</v>
      </c>
      <c r="B711" t="s">
        <v>6470</v>
      </c>
      <c r="C711">
        <v>1</v>
      </c>
      <c r="D711" t="s">
        <v>5556</v>
      </c>
      <c r="E711">
        <v>1</v>
      </c>
      <c r="F711">
        <v>27</v>
      </c>
      <c r="H711" t="s">
        <v>4400</v>
      </c>
      <c r="I711" t="s">
        <v>6442</v>
      </c>
    </row>
    <row r="712" spans="1:9">
      <c r="A712" t="s">
        <v>5658</v>
      </c>
      <c r="B712" t="s">
        <v>6470</v>
      </c>
      <c r="C712">
        <v>1</v>
      </c>
      <c r="D712" t="s">
        <v>5556</v>
      </c>
      <c r="E712">
        <v>1.75</v>
      </c>
      <c r="F712">
        <v>30</v>
      </c>
      <c r="H712" t="s">
        <v>4400</v>
      </c>
      <c r="I712" t="s">
        <v>6442</v>
      </c>
    </row>
    <row r="713" spans="1:9">
      <c r="A713" t="s">
        <v>5658</v>
      </c>
      <c r="B713" t="s">
        <v>6471</v>
      </c>
      <c r="C713">
        <v>1</v>
      </c>
      <c r="D713" t="s">
        <v>5556</v>
      </c>
      <c r="E713">
        <v>1.5</v>
      </c>
      <c r="F713">
        <v>28</v>
      </c>
      <c r="H713" t="s">
        <v>4400</v>
      </c>
      <c r="I713" t="s">
        <v>6442</v>
      </c>
    </row>
    <row r="714" spans="1:9">
      <c r="A714" t="s">
        <v>5658</v>
      </c>
      <c r="B714" t="s">
        <v>6472</v>
      </c>
      <c r="C714">
        <v>1</v>
      </c>
      <c r="D714" t="s">
        <v>5556</v>
      </c>
      <c r="E714">
        <v>0.5</v>
      </c>
      <c r="F714">
        <v>20</v>
      </c>
      <c r="H714" t="s">
        <v>4400</v>
      </c>
      <c r="I714" t="s">
        <v>6442</v>
      </c>
    </row>
    <row r="715" spans="1:9">
      <c r="A715" t="s">
        <v>5658</v>
      </c>
      <c r="B715" t="s">
        <v>6473</v>
      </c>
      <c r="C715">
        <v>1</v>
      </c>
      <c r="D715" t="s">
        <v>5556</v>
      </c>
      <c r="E715">
        <v>2.25</v>
      </c>
      <c r="F715">
        <v>30</v>
      </c>
      <c r="H715" t="s">
        <v>4400</v>
      </c>
      <c r="I715" t="s">
        <v>6442</v>
      </c>
    </row>
    <row r="716" spans="1:9">
      <c r="A716" t="s">
        <v>5658</v>
      </c>
      <c r="B716" t="s">
        <v>6474</v>
      </c>
      <c r="C716">
        <v>1</v>
      </c>
      <c r="D716" t="s">
        <v>5556</v>
      </c>
      <c r="E716">
        <v>2.5</v>
      </c>
      <c r="F716">
        <v>50</v>
      </c>
      <c r="H716" t="s">
        <v>4400</v>
      </c>
      <c r="I716" t="s">
        <v>6442</v>
      </c>
    </row>
    <row r="717" spans="1:9">
      <c r="A717" t="s">
        <v>5658</v>
      </c>
      <c r="B717" t="s">
        <v>6475</v>
      </c>
      <c r="C717">
        <v>1</v>
      </c>
      <c r="D717" t="s">
        <v>5556</v>
      </c>
      <c r="E717">
        <v>3</v>
      </c>
      <c r="F717">
        <v>7</v>
      </c>
      <c r="H717" t="s">
        <v>4400</v>
      </c>
      <c r="I717" t="s">
        <v>6442</v>
      </c>
    </row>
    <row r="718" spans="1:9">
      <c r="A718" t="s">
        <v>5658</v>
      </c>
      <c r="B718" t="s">
        <v>6476</v>
      </c>
      <c r="C718">
        <v>1</v>
      </c>
      <c r="D718" t="s">
        <v>5556</v>
      </c>
      <c r="E718">
        <v>0.38</v>
      </c>
      <c r="F718">
        <v>3.5</v>
      </c>
      <c r="H718" t="s">
        <v>4400</v>
      </c>
      <c r="I718" t="s">
        <v>6442</v>
      </c>
    </row>
    <row r="719" spans="1:9">
      <c r="A719" t="s">
        <v>5658</v>
      </c>
      <c r="B719" t="s">
        <v>6477</v>
      </c>
      <c r="C719">
        <v>1</v>
      </c>
      <c r="D719" t="s">
        <v>5556</v>
      </c>
      <c r="E719">
        <v>0.4</v>
      </c>
      <c r="F719">
        <v>11</v>
      </c>
      <c r="H719" t="s">
        <v>4400</v>
      </c>
      <c r="I719" t="s">
        <v>6442</v>
      </c>
    </row>
    <row r="720" spans="1:9">
      <c r="A720" t="s">
        <v>5658</v>
      </c>
      <c r="B720" t="s">
        <v>6478</v>
      </c>
      <c r="C720">
        <v>1</v>
      </c>
      <c r="D720" t="s">
        <v>5556</v>
      </c>
      <c r="E720">
        <v>0.75</v>
      </c>
      <c r="F720">
        <v>6.6</v>
      </c>
      <c r="H720" t="s">
        <v>4400</v>
      </c>
      <c r="I720" t="s">
        <v>6442</v>
      </c>
    </row>
    <row r="721" spans="1:9">
      <c r="A721" t="s">
        <v>5658</v>
      </c>
      <c r="B721" t="s">
        <v>6479</v>
      </c>
      <c r="C721">
        <v>1</v>
      </c>
      <c r="D721" t="s">
        <v>5556</v>
      </c>
      <c r="E721">
        <v>1.5</v>
      </c>
      <c r="F721">
        <v>5</v>
      </c>
      <c r="H721" t="s">
        <v>4400</v>
      </c>
      <c r="I721" t="s">
        <v>6442</v>
      </c>
    </row>
    <row r="722" spans="1:9">
      <c r="A722" t="s">
        <v>5658</v>
      </c>
      <c r="B722" t="s">
        <v>6480</v>
      </c>
      <c r="C722">
        <v>1</v>
      </c>
      <c r="D722" t="s">
        <v>5556</v>
      </c>
      <c r="E722">
        <v>5</v>
      </c>
      <c r="F722">
        <v>15</v>
      </c>
      <c r="H722" t="s">
        <v>4400</v>
      </c>
      <c r="I722" t="s">
        <v>6442</v>
      </c>
    </row>
    <row r="723" spans="1:9">
      <c r="A723" t="s">
        <v>5658</v>
      </c>
      <c r="B723" t="s">
        <v>6481</v>
      </c>
      <c r="C723">
        <v>1</v>
      </c>
      <c r="D723" t="s">
        <v>5635</v>
      </c>
      <c r="E723">
        <v>1.25</v>
      </c>
      <c r="F723">
        <v>2.2000000000000002</v>
      </c>
      <c r="H723" t="s">
        <v>4400</v>
      </c>
      <c r="I723" t="s">
        <v>6442</v>
      </c>
    </row>
    <row r="724" spans="1:9">
      <c r="A724" t="s">
        <v>5658</v>
      </c>
      <c r="B724" t="s">
        <v>6482</v>
      </c>
      <c r="C724">
        <v>1</v>
      </c>
      <c r="D724" t="s">
        <v>5746</v>
      </c>
      <c r="E724">
        <v>0.75</v>
      </c>
      <c r="F724">
        <v>4.4000000000000004</v>
      </c>
      <c r="H724" t="s">
        <v>4400</v>
      </c>
      <c r="I724" t="s">
        <v>6442</v>
      </c>
    </row>
    <row r="725" spans="1:9">
      <c r="A725" t="s">
        <v>5658</v>
      </c>
      <c r="B725" t="s">
        <v>6483</v>
      </c>
      <c r="C725">
        <v>1</v>
      </c>
      <c r="D725" t="s">
        <v>5556</v>
      </c>
      <c r="E725">
        <v>0.5</v>
      </c>
      <c r="F725">
        <v>20</v>
      </c>
      <c r="H725" t="s">
        <v>4400</v>
      </c>
      <c r="I725" t="s">
        <v>6442</v>
      </c>
    </row>
    <row r="726" spans="1:9">
      <c r="A726" t="s">
        <v>5658</v>
      </c>
      <c r="B726" t="s">
        <v>6484</v>
      </c>
      <c r="C726">
        <v>1</v>
      </c>
      <c r="D726" t="s">
        <v>5556</v>
      </c>
      <c r="E726">
        <v>6.25</v>
      </c>
      <c r="F726">
        <v>90</v>
      </c>
      <c r="H726" t="s">
        <v>4400</v>
      </c>
      <c r="I726" t="s">
        <v>6442</v>
      </c>
    </row>
    <row r="727" spans="1:9">
      <c r="A727" t="s">
        <v>5658</v>
      </c>
      <c r="B727" t="s">
        <v>6485</v>
      </c>
      <c r="C727">
        <v>1</v>
      </c>
      <c r="D727" t="s">
        <v>5556</v>
      </c>
      <c r="E727">
        <v>1.25</v>
      </c>
      <c r="F727">
        <v>5.2</v>
      </c>
      <c r="H727" t="s">
        <v>4400</v>
      </c>
      <c r="I727" t="s">
        <v>6442</v>
      </c>
    </row>
    <row r="728" spans="1:9">
      <c r="A728" t="s">
        <v>5658</v>
      </c>
      <c r="B728" t="s">
        <v>6486</v>
      </c>
      <c r="C728">
        <v>1</v>
      </c>
      <c r="D728" t="s">
        <v>5635</v>
      </c>
      <c r="E728">
        <v>2</v>
      </c>
      <c r="F728">
        <v>1.7</v>
      </c>
      <c r="H728" t="s">
        <v>4400</v>
      </c>
      <c r="I728" t="s">
        <v>6442</v>
      </c>
    </row>
    <row r="729" spans="1:9">
      <c r="A729" t="s">
        <v>5658</v>
      </c>
      <c r="B729" t="s">
        <v>6487</v>
      </c>
      <c r="C729">
        <v>1</v>
      </c>
      <c r="D729" t="s">
        <v>5746</v>
      </c>
      <c r="E729">
        <v>1</v>
      </c>
      <c r="F729">
        <v>5</v>
      </c>
      <c r="H729" t="s">
        <v>4400</v>
      </c>
      <c r="I729" t="s">
        <v>6442</v>
      </c>
    </row>
    <row r="730" spans="1:9">
      <c r="A730" t="s">
        <v>5658</v>
      </c>
      <c r="B730" t="s">
        <v>6488</v>
      </c>
      <c r="C730">
        <v>1</v>
      </c>
      <c r="D730" t="s">
        <v>5556</v>
      </c>
      <c r="E730">
        <v>0.25</v>
      </c>
      <c r="F730">
        <v>1</v>
      </c>
      <c r="H730" t="s">
        <v>4400</v>
      </c>
      <c r="I730" t="s">
        <v>6442</v>
      </c>
    </row>
    <row r="731" spans="1:9">
      <c r="A731" t="s">
        <v>5658</v>
      </c>
      <c r="B731" t="s">
        <v>6489</v>
      </c>
      <c r="C731">
        <v>1</v>
      </c>
      <c r="D731" t="s">
        <v>5556</v>
      </c>
      <c r="E731">
        <v>1.5</v>
      </c>
      <c r="F731">
        <v>8.8000000000000007</v>
      </c>
      <c r="H731" t="s">
        <v>4400</v>
      </c>
      <c r="I731" t="s">
        <v>6442</v>
      </c>
    </row>
    <row r="732" spans="1:9">
      <c r="A732" t="s">
        <v>5658</v>
      </c>
      <c r="B732" t="s">
        <v>6490</v>
      </c>
      <c r="C732">
        <v>1</v>
      </c>
      <c r="D732" t="s">
        <v>5556</v>
      </c>
      <c r="E732">
        <v>2</v>
      </c>
      <c r="F732">
        <v>7</v>
      </c>
      <c r="H732" t="s">
        <v>4400</v>
      </c>
      <c r="I732" t="s">
        <v>6442</v>
      </c>
    </row>
    <row r="733" spans="1:9">
      <c r="A733" t="s">
        <v>5658</v>
      </c>
      <c r="B733" t="s">
        <v>6491</v>
      </c>
      <c r="C733">
        <v>1</v>
      </c>
      <c r="D733" t="s">
        <v>5556</v>
      </c>
      <c r="E733">
        <v>0.4</v>
      </c>
      <c r="F733">
        <v>13.2</v>
      </c>
      <c r="H733" t="s">
        <v>4400</v>
      </c>
      <c r="I733" t="s">
        <v>6442</v>
      </c>
    </row>
    <row r="734" spans="1:9">
      <c r="A734" t="s">
        <v>5658</v>
      </c>
      <c r="B734" t="s">
        <v>6492</v>
      </c>
      <c r="C734">
        <v>1</v>
      </c>
      <c r="D734" t="s">
        <v>5556</v>
      </c>
      <c r="E734">
        <v>1</v>
      </c>
      <c r="F734">
        <v>3.5</v>
      </c>
      <c r="H734" t="s">
        <v>4400</v>
      </c>
      <c r="I734" t="s">
        <v>6442</v>
      </c>
    </row>
    <row r="735" spans="1:9">
      <c r="A735" t="s">
        <v>5658</v>
      </c>
      <c r="B735" t="s">
        <v>6493</v>
      </c>
      <c r="C735">
        <v>1</v>
      </c>
      <c r="D735" t="s">
        <v>5556</v>
      </c>
      <c r="E735">
        <v>0.05</v>
      </c>
      <c r="F735">
        <v>0.46</v>
      </c>
      <c r="H735" t="s">
        <v>4400</v>
      </c>
      <c r="I735" t="s">
        <v>6442</v>
      </c>
    </row>
    <row r="736" spans="1:9">
      <c r="A736" t="s">
        <v>5658</v>
      </c>
      <c r="B736" t="s">
        <v>6494</v>
      </c>
      <c r="C736">
        <v>1</v>
      </c>
      <c r="D736" t="s">
        <v>5556</v>
      </c>
      <c r="E736">
        <v>2.5</v>
      </c>
      <c r="F736">
        <v>30</v>
      </c>
      <c r="H736" t="s">
        <v>4400</v>
      </c>
      <c r="I736" t="s">
        <v>6442</v>
      </c>
    </row>
    <row r="737" spans="1:9">
      <c r="A737" t="s">
        <v>5658</v>
      </c>
      <c r="B737" t="s">
        <v>6495</v>
      </c>
      <c r="C737">
        <v>1</v>
      </c>
      <c r="D737" t="s">
        <v>5556</v>
      </c>
      <c r="E737">
        <v>0.75</v>
      </c>
      <c r="F737">
        <v>20</v>
      </c>
      <c r="H737" t="s">
        <v>4400</v>
      </c>
      <c r="I737" t="s">
        <v>6442</v>
      </c>
    </row>
    <row r="738" spans="1:9">
      <c r="A738" t="s">
        <v>5658</v>
      </c>
      <c r="B738" t="s">
        <v>6496</v>
      </c>
      <c r="C738">
        <v>1</v>
      </c>
      <c r="D738" t="s">
        <v>5556</v>
      </c>
      <c r="E738">
        <v>2</v>
      </c>
      <c r="F738">
        <v>10</v>
      </c>
      <c r="H738" t="s">
        <v>4400</v>
      </c>
      <c r="I738" t="s">
        <v>6442</v>
      </c>
    </row>
    <row r="739" spans="1:9">
      <c r="A739" t="s">
        <v>5658</v>
      </c>
      <c r="B739" t="s">
        <v>6497</v>
      </c>
      <c r="C739">
        <v>1</v>
      </c>
      <c r="D739" t="s">
        <v>5556</v>
      </c>
      <c r="E739">
        <v>0.5</v>
      </c>
      <c r="F739">
        <v>5.3</v>
      </c>
      <c r="H739" t="s">
        <v>4400</v>
      </c>
      <c r="I739" t="s">
        <v>6442</v>
      </c>
    </row>
    <row r="740" spans="1:9">
      <c r="A740" t="s">
        <v>5658</v>
      </c>
      <c r="B740" t="s">
        <v>6498</v>
      </c>
      <c r="C740">
        <v>1</v>
      </c>
      <c r="D740" t="s">
        <v>5556</v>
      </c>
      <c r="E740">
        <v>0.5</v>
      </c>
      <c r="F740">
        <v>20</v>
      </c>
      <c r="H740" t="s">
        <v>4400</v>
      </c>
      <c r="I740" t="s">
        <v>6442</v>
      </c>
    </row>
    <row r="741" spans="1:9">
      <c r="A741" t="s">
        <v>5658</v>
      </c>
      <c r="B741" t="s">
        <v>6499</v>
      </c>
      <c r="C741">
        <v>1</v>
      </c>
      <c r="D741" t="s">
        <v>5556</v>
      </c>
      <c r="E741">
        <v>2.25</v>
      </c>
      <c r="F741">
        <v>22</v>
      </c>
      <c r="H741" t="s">
        <v>4400</v>
      </c>
      <c r="I741" t="s">
        <v>6442</v>
      </c>
    </row>
    <row r="742" spans="1:9">
      <c r="A742" t="s">
        <v>5674</v>
      </c>
      <c r="B742" t="s">
        <v>6500</v>
      </c>
      <c r="C742">
        <v>1</v>
      </c>
      <c r="D742" t="s">
        <v>6501</v>
      </c>
      <c r="E742" t="s">
        <v>5557</v>
      </c>
      <c r="F742">
        <v>0.125</v>
      </c>
      <c r="H742" t="s">
        <v>4400</v>
      </c>
      <c r="I742" t="s">
        <v>6502</v>
      </c>
    </row>
    <row r="743" spans="1:9">
      <c r="A743" t="s">
        <v>5674</v>
      </c>
      <c r="B743" t="s">
        <v>6503</v>
      </c>
      <c r="C743">
        <v>1</v>
      </c>
      <c r="D743" t="s">
        <v>6501</v>
      </c>
      <c r="E743" t="s">
        <v>5557</v>
      </c>
      <c r="F743">
        <v>0.42</v>
      </c>
      <c r="H743" t="s">
        <v>4400</v>
      </c>
      <c r="I743" t="s">
        <v>6502</v>
      </c>
    </row>
    <row r="744" spans="1:9">
      <c r="A744" t="s">
        <v>5674</v>
      </c>
      <c r="B744" t="s">
        <v>6504</v>
      </c>
      <c r="C744">
        <v>1</v>
      </c>
      <c r="D744" t="s">
        <v>5556</v>
      </c>
      <c r="E744">
        <v>1</v>
      </c>
      <c r="F744">
        <v>58</v>
      </c>
      <c r="H744" t="s">
        <v>4400</v>
      </c>
      <c r="I744" t="s">
        <v>6502</v>
      </c>
    </row>
    <row r="745" spans="1:9">
      <c r="A745" t="s">
        <v>5674</v>
      </c>
      <c r="B745" t="s">
        <v>6505</v>
      </c>
      <c r="C745">
        <v>1</v>
      </c>
      <c r="D745" t="s">
        <v>5556</v>
      </c>
      <c r="E745">
        <v>0.5</v>
      </c>
      <c r="F745">
        <v>1</v>
      </c>
      <c r="H745" t="s">
        <v>4400</v>
      </c>
      <c r="I745" t="s">
        <v>6502</v>
      </c>
    </row>
    <row r="746" spans="1:9">
      <c r="A746" t="s">
        <v>5649</v>
      </c>
      <c r="B746" t="s">
        <v>6506</v>
      </c>
      <c r="C746">
        <v>1</v>
      </c>
      <c r="D746" t="s">
        <v>5556</v>
      </c>
      <c r="E746">
        <v>0.05</v>
      </c>
      <c r="F746">
        <v>2.5000000000000001E-2</v>
      </c>
      <c r="H746" t="s">
        <v>4481</v>
      </c>
      <c r="I746" t="s">
        <v>6507</v>
      </c>
    </row>
    <row r="747" spans="1:9">
      <c r="A747" t="s">
        <v>5917</v>
      </c>
      <c r="B747" t="s">
        <v>6508</v>
      </c>
      <c r="C747">
        <v>1</v>
      </c>
      <c r="D747" t="s">
        <v>5556</v>
      </c>
      <c r="E747">
        <v>1.5</v>
      </c>
      <c r="F747">
        <v>0.82000000000000006</v>
      </c>
      <c r="H747" t="s">
        <v>4481</v>
      </c>
      <c r="I747" t="s">
        <v>6507</v>
      </c>
    </row>
    <row r="748" spans="1:9">
      <c r="A748" t="s">
        <v>5917</v>
      </c>
      <c r="B748" t="s">
        <v>6509</v>
      </c>
      <c r="C748">
        <v>1</v>
      </c>
      <c r="D748" t="s">
        <v>5556</v>
      </c>
      <c r="E748">
        <v>2</v>
      </c>
      <c r="F748">
        <v>5.7</v>
      </c>
      <c r="H748" t="s">
        <v>4481</v>
      </c>
      <c r="I748" t="s">
        <v>6507</v>
      </c>
    </row>
    <row r="749" spans="1:9">
      <c r="A749" t="s">
        <v>5917</v>
      </c>
      <c r="B749" t="s">
        <v>6510</v>
      </c>
      <c r="C749">
        <v>1</v>
      </c>
      <c r="D749" t="s">
        <v>5556</v>
      </c>
      <c r="E749">
        <v>2</v>
      </c>
      <c r="F749">
        <v>6</v>
      </c>
      <c r="H749" t="s">
        <v>4481</v>
      </c>
      <c r="I749" t="s">
        <v>6507</v>
      </c>
    </row>
    <row r="750" spans="1:9">
      <c r="A750" t="s">
        <v>5917</v>
      </c>
      <c r="B750" t="s">
        <v>6511</v>
      </c>
      <c r="C750">
        <v>1</v>
      </c>
      <c r="D750" t="s">
        <v>5556</v>
      </c>
      <c r="E750">
        <v>15</v>
      </c>
      <c r="F750">
        <v>10</v>
      </c>
      <c r="H750" t="s">
        <v>4481</v>
      </c>
      <c r="I750" t="s">
        <v>6507</v>
      </c>
    </row>
    <row r="751" spans="1:9">
      <c r="A751" t="s">
        <v>5917</v>
      </c>
      <c r="B751" t="s">
        <v>6512</v>
      </c>
      <c r="C751">
        <v>1</v>
      </c>
      <c r="D751" t="s">
        <v>5556</v>
      </c>
      <c r="E751">
        <v>22.5</v>
      </c>
      <c r="F751">
        <v>15</v>
      </c>
      <c r="H751" t="s">
        <v>4481</v>
      </c>
      <c r="I751" t="s">
        <v>6507</v>
      </c>
    </row>
    <row r="752" spans="1:9">
      <c r="A752" t="s">
        <v>5917</v>
      </c>
      <c r="B752" t="s">
        <v>6513</v>
      </c>
      <c r="C752">
        <v>1</v>
      </c>
      <c r="D752" t="s">
        <v>5556</v>
      </c>
      <c r="E752">
        <v>2</v>
      </c>
      <c r="F752">
        <v>3.5</v>
      </c>
      <c r="H752" t="s">
        <v>4481</v>
      </c>
      <c r="I752" t="s">
        <v>6507</v>
      </c>
    </row>
    <row r="753" spans="1:9">
      <c r="A753" t="s">
        <v>5652</v>
      </c>
      <c r="B753" t="s">
        <v>6514</v>
      </c>
      <c r="C753">
        <v>1</v>
      </c>
      <c r="D753" t="s">
        <v>5556</v>
      </c>
      <c r="E753">
        <v>1.5</v>
      </c>
      <c r="F753">
        <v>0.88</v>
      </c>
      <c r="H753" t="s">
        <v>4481</v>
      </c>
      <c r="I753" t="s">
        <v>6507</v>
      </c>
    </row>
    <row r="754" spans="1:9">
      <c r="A754" t="s">
        <v>5652</v>
      </c>
      <c r="B754" t="s">
        <v>6515</v>
      </c>
      <c r="C754">
        <v>1</v>
      </c>
      <c r="D754" t="s">
        <v>5556</v>
      </c>
      <c r="E754">
        <v>1</v>
      </c>
      <c r="F754">
        <v>2.2000000000000002</v>
      </c>
      <c r="H754" t="s">
        <v>4481</v>
      </c>
      <c r="I754" t="s">
        <v>6507</v>
      </c>
    </row>
    <row r="755" spans="1:9">
      <c r="A755" t="s">
        <v>5652</v>
      </c>
      <c r="B755" t="s">
        <v>6516</v>
      </c>
      <c r="C755">
        <v>1</v>
      </c>
      <c r="D755" t="s">
        <v>5556</v>
      </c>
      <c r="E755">
        <v>12.5</v>
      </c>
      <c r="F755">
        <v>93</v>
      </c>
      <c r="H755" t="s">
        <v>4481</v>
      </c>
      <c r="I755" t="s">
        <v>6507</v>
      </c>
    </row>
    <row r="756" spans="1:9">
      <c r="A756" t="s">
        <v>5674</v>
      </c>
      <c r="B756" t="s">
        <v>6515</v>
      </c>
      <c r="C756">
        <v>1</v>
      </c>
      <c r="D756" t="s">
        <v>5556</v>
      </c>
      <c r="E756">
        <v>1</v>
      </c>
      <c r="F756">
        <v>2.2000000000000002</v>
      </c>
      <c r="H756" t="s">
        <v>4481</v>
      </c>
      <c r="I756" t="s">
        <v>6507</v>
      </c>
    </row>
    <row r="757" spans="1:9">
      <c r="A757" t="s">
        <v>5674</v>
      </c>
      <c r="B757" t="s">
        <v>6517</v>
      </c>
      <c r="C757">
        <v>1</v>
      </c>
      <c r="D757" t="s">
        <v>5556</v>
      </c>
      <c r="E757">
        <v>5</v>
      </c>
      <c r="F757">
        <v>1.25</v>
      </c>
      <c r="H757" t="s">
        <v>4481</v>
      </c>
      <c r="I757" t="s">
        <v>6507</v>
      </c>
    </row>
    <row r="758" spans="1:9">
      <c r="A758" t="s">
        <v>6128</v>
      </c>
      <c r="B758" t="s">
        <v>6518</v>
      </c>
      <c r="C758">
        <v>1</v>
      </c>
      <c r="D758" t="s">
        <v>5556</v>
      </c>
      <c r="E758">
        <v>1.5</v>
      </c>
      <c r="F758">
        <v>6.6</v>
      </c>
      <c r="H758" t="s">
        <v>4481</v>
      </c>
      <c r="I758" t="s">
        <v>6519</v>
      </c>
    </row>
    <row r="759" spans="1:9">
      <c r="A759" t="s">
        <v>6128</v>
      </c>
      <c r="B759" t="s">
        <v>6520</v>
      </c>
      <c r="C759">
        <v>1</v>
      </c>
      <c r="D759" t="s">
        <v>5556</v>
      </c>
      <c r="E759">
        <v>0.2</v>
      </c>
      <c r="F759">
        <v>1.3</v>
      </c>
      <c r="H759" t="s">
        <v>4481</v>
      </c>
      <c r="I759" t="s">
        <v>6519</v>
      </c>
    </row>
    <row r="760" spans="1:9">
      <c r="A760" t="s">
        <v>5947</v>
      </c>
      <c r="B760" t="s">
        <v>6521</v>
      </c>
      <c r="C760">
        <v>1</v>
      </c>
      <c r="D760" t="s">
        <v>5556</v>
      </c>
      <c r="E760">
        <v>0.25</v>
      </c>
      <c r="F760">
        <v>1.76</v>
      </c>
      <c r="H760" t="s">
        <v>4481</v>
      </c>
      <c r="I760" t="s">
        <v>6195</v>
      </c>
    </row>
    <row r="761" spans="1:9">
      <c r="A761" t="s">
        <v>5947</v>
      </c>
      <c r="B761" t="s">
        <v>6522</v>
      </c>
      <c r="C761">
        <v>1</v>
      </c>
      <c r="D761" t="s">
        <v>5556</v>
      </c>
      <c r="E761">
        <v>0.25</v>
      </c>
      <c r="F761">
        <v>50</v>
      </c>
      <c r="H761" t="s">
        <v>4481</v>
      </c>
      <c r="I761" t="s">
        <v>6195</v>
      </c>
    </row>
    <row r="762" spans="1:9">
      <c r="A762" t="s">
        <v>5947</v>
      </c>
      <c r="B762" t="s">
        <v>6523</v>
      </c>
      <c r="C762">
        <v>1</v>
      </c>
      <c r="D762" t="s">
        <v>5556</v>
      </c>
      <c r="E762">
        <v>0.1</v>
      </c>
      <c r="F762">
        <v>7.4999999999999997E-2</v>
      </c>
      <c r="H762" t="s">
        <v>4481</v>
      </c>
      <c r="I762" t="s">
        <v>6195</v>
      </c>
    </row>
    <row r="763" spans="1:9">
      <c r="A763" t="s">
        <v>5947</v>
      </c>
      <c r="B763" t="s">
        <v>6524</v>
      </c>
      <c r="C763">
        <v>1</v>
      </c>
      <c r="D763" t="s">
        <v>5556</v>
      </c>
      <c r="E763">
        <v>0.08</v>
      </c>
      <c r="F763">
        <v>0.13</v>
      </c>
      <c r="H763" t="s">
        <v>4481</v>
      </c>
      <c r="I763" t="s">
        <v>6525</v>
      </c>
    </row>
    <row r="764" spans="1:9">
      <c r="A764" t="s">
        <v>5947</v>
      </c>
      <c r="B764" t="s">
        <v>6526</v>
      </c>
      <c r="C764">
        <v>1</v>
      </c>
      <c r="D764" t="s">
        <v>5556</v>
      </c>
      <c r="E764">
        <v>0.08</v>
      </c>
      <c r="F764">
        <v>2.5</v>
      </c>
      <c r="H764" t="s">
        <v>4481</v>
      </c>
      <c r="I764" t="s">
        <v>6525</v>
      </c>
    </row>
    <row r="765" spans="1:9">
      <c r="A765" t="s">
        <v>5947</v>
      </c>
      <c r="B765" t="s">
        <v>6527</v>
      </c>
      <c r="C765">
        <v>1</v>
      </c>
      <c r="D765" t="s">
        <v>5556</v>
      </c>
      <c r="E765">
        <v>0.25</v>
      </c>
      <c r="F765">
        <v>1.1999999999999999E-3</v>
      </c>
      <c r="H765" t="s">
        <v>4481</v>
      </c>
      <c r="I765" t="s">
        <v>6525</v>
      </c>
    </row>
    <row r="766" spans="1:9">
      <c r="A766" t="s">
        <v>5947</v>
      </c>
      <c r="B766" t="s">
        <v>6528</v>
      </c>
      <c r="C766">
        <v>1</v>
      </c>
      <c r="D766" t="s">
        <v>5556</v>
      </c>
      <c r="E766">
        <v>0.25</v>
      </c>
      <c r="F766">
        <v>70</v>
      </c>
      <c r="H766" t="s">
        <v>4481</v>
      </c>
      <c r="I766" t="s">
        <v>6525</v>
      </c>
    </row>
    <row r="767" spans="1:9">
      <c r="A767" t="s">
        <v>5947</v>
      </c>
      <c r="B767" t="s">
        <v>6529</v>
      </c>
      <c r="C767">
        <v>1</v>
      </c>
      <c r="D767" t="s">
        <v>5556</v>
      </c>
      <c r="E767">
        <v>0.1</v>
      </c>
      <c r="F767">
        <v>0.42</v>
      </c>
      <c r="H767" t="s">
        <v>4481</v>
      </c>
      <c r="I767" t="s">
        <v>6525</v>
      </c>
    </row>
    <row r="768" spans="1:9">
      <c r="A768" t="s">
        <v>5947</v>
      </c>
      <c r="B768" t="s">
        <v>6530</v>
      </c>
      <c r="C768">
        <v>1</v>
      </c>
      <c r="D768" t="s">
        <v>5556</v>
      </c>
      <c r="E768">
        <v>0.1</v>
      </c>
      <c r="F768">
        <v>3.5</v>
      </c>
      <c r="H768" t="s">
        <v>4481</v>
      </c>
      <c r="I768" t="s">
        <v>6525</v>
      </c>
    </row>
    <row r="769" spans="1:9">
      <c r="A769" t="s">
        <v>5947</v>
      </c>
      <c r="B769" t="s">
        <v>6531</v>
      </c>
      <c r="C769">
        <v>1</v>
      </c>
      <c r="D769" t="s">
        <v>5556</v>
      </c>
      <c r="E769">
        <v>0.25</v>
      </c>
      <c r="F769">
        <v>50</v>
      </c>
      <c r="H769" t="s">
        <v>4481</v>
      </c>
      <c r="I769" t="s">
        <v>6525</v>
      </c>
    </row>
    <row r="770" spans="1:9">
      <c r="A770" t="s">
        <v>5947</v>
      </c>
      <c r="B770" t="s">
        <v>6532</v>
      </c>
      <c r="C770">
        <v>1</v>
      </c>
      <c r="D770" t="s">
        <v>5556</v>
      </c>
      <c r="E770">
        <v>0.25</v>
      </c>
      <c r="F770">
        <v>22</v>
      </c>
      <c r="H770" t="s">
        <v>4481</v>
      </c>
      <c r="I770" t="s">
        <v>6525</v>
      </c>
    </row>
    <row r="771" spans="1:9">
      <c r="A771" t="s">
        <v>5947</v>
      </c>
      <c r="B771" t="s">
        <v>6533</v>
      </c>
      <c r="C771">
        <v>1</v>
      </c>
      <c r="D771" t="s">
        <v>5556</v>
      </c>
      <c r="E771">
        <v>0.12</v>
      </c>
      <c r="F771">
        <v>2</v>
      </c>
      <c r="H771" t="s">
        <v>4481</v>
      </c>
      <c r="I771" t="s">
        <v>6525</v>
      </c>
    </row>
    <row r="772" spans="1:9">
      <c r="A772" t="s">
        <v>5947</v>
      </c>
      <c r="B772" t="s">
        <v>6534</v>
      </c>
      <c r="C772">
        <v>1</v>
      </c>
      <c r="D772" t="s">
        <v>5556</v>
      </c>
      <c r="E772">
        <v>0.12</v>
      </c>
      <c r="F772">
        <v>13</v>
      </c>
      <c r="H772" t="s">
        <v>4481</v>
      </c>
      <c r="I772" t="s">
        <v>6525</v>
      </c>
    </row>
    <row r="773" spans="1:9">
      <c r="A773" t="s">
        <v>5947</v>
      </c>
      <c r="B773" t="s">
        <v>6535</v>
      </c>
      <c r="C773">
        <v>1</v>
      </c>
      <c r="D773" t="s">
        <v>5556</v>
      </c>
      <c r="E773">
        <v>0.75</v>
      </c>
      <c r="F773">
        <v>2</v>
      </c>
      <c r="H773" t="s">
        <v>4481</v>
      </c>
      <c r="I773" t="s">
        <v>6525</v>
      </c>
    </row>
    <row r="774" spans="1:9">
      <c r="A774" t="s">
        <v>5947</v>
      </c>
      <c r="B774" t="s">
        <v>6536</v>
      </c>
      <c r="C774">
        <v>1</v>
      </c>
      <c r="D774" t="s">
        <v>5556</v>
      </c>
      <c r="E774">
        <v>0.75</v>
      </c>
      <c r="F774">
        <v>20</v>
      </c>
      <c r="H774" t="s">
        <v>4481</v>
      </c>
      <c r="I774" t="s">
        <v>6525</v>
      </c>
    </row>
    <row r="775" spans="1:9">
      <c r="A775" t="s">
        <v>5947</v>
      </c>
      <c r="B775" t="s">
        <v>6537</v>
      </c>
      <c r="C775">
        <v>1</v>
      </c>
      <c r="D775" t="s">
        <v>5556</v>
      </c>
      <c r="E775">
        <v>0.08</v>
      </c>
      <c r="F775">
        <v>7.4999999999999997E-2</v>
      </c>
      <c r="H775" t="s">
        <v>4481</v>
      </c>
      <c r="I775" t="s">
        <v>6525</v>
      </c>
    </row>
    <row r="776" spans="1:9">
      <c r="A776" t="s">
        <v>5947</v>
      </c>
      <c r="B776" t="s">
        <v>6538</v>
      </c>
      <c r="C776">
        <v>1</v>
      </c>
      <c r="D776" t="s">
        <v>5556</v>
      </c>
      <c r="E776">
        <v>0.1</v>
      </c>
      <c r="F776">
        <v>0.05</v>
      </c>
      <c r="H776" t="s">
        <v>4481</v>
      </c>
      <c r="I776" t="s">
        <v>6525</v>
      </c>
    </row>
    <row r="777" spans="1:9">
      <c r="A777" t="s">
        <v>5947</v>
      </c>
      <c r="B777" t="s">
        <v>6539</v>
      </c>
      <c r="C777">
        <v>1</v>
      </c>
      <c r="D777" t="s">
        <v>5556</v>
      </c>
      <c r="E777">
        <v>0.1</v>
      </c>
      <c r="F777">
        <v>1</v>
      </c>
      <c r="H777" t="s">
        <v>4481</v>
      </c>
      <c r="I777" t="s">
        <v>6525</v>
      </c>
    </row>
    <row r="778" spans="1:9">
      <c r="A778" t="s">
        <v>5947</v>
      </c>
      <c r="B778" t="s">
        <v>6540</v>
      </c>
      <c r="C778">
        <v>1</v>
      </c>
      <c r="D778" t="s">
        <v>5556</v>
      </c>
      <c r="E778">
        <v>0.05</v>
      </c>
      <c r="F778">
        <v>0.12</v>
      </c>
      <c r="H778" t="s">
        <v>4481</v>
      </c>
      <c r="I778" t="s">
        <v>6525</v>
      </c>
    </row>
    <row r="779" spans="1:9">
      <c r="A779" t="s">
        <v>5947</v>
      </c>
      <c r="B779" t="s">
        <v>6541</v>
      </c>
      <c r="C779">
        <v>1</v>
      </c>
      <c r="D779" t="s">
        <v>5556</v>
      </c>
      <c r="E779">
        <v>0.05</v>
      </c>
      <c r="F779">
        <v>2</v>
      </c>
      <c r="H779" t="s">
        <v>4481</v>
      </c>
      <c r="I779" t="s">
        <v>6525</v>
      </c>
    </row>
    <row r="780" spans="1:9">
      <c r="A780" t="s">
        <v>5947</v>
      </c>
      <c r="B780" t="s">
        <v>6542</v>
      </c>
      <c r="C780">
        <v>1</v>
      </c>
      <c r="D780" t="s">
        <v>5556</v>
      </c>
      <c r="E780">
        <v>2</v>
      </c>
      <c r="F780">
        <v>3.5</v>
      </c>
      <c r="H780" t="s">
        <v>4481</v>
      </c>
      <c r="I780" t="s">
        <v>6198</v>
      </c>
    </row>
    <row r="781" spans="1:9">
      <c r="A781" t="s">
        <v>5947</v>
      </c>
      <c r="B781" t="s">
        <v>6543</v>
      </c>
      <c r="C781">
        <v>1</v>
      </c>
      <c r="D781" t="s">
        <v>5556</v>
      </c>
      <c r="E781">
        <v>2</v>
      </c>
      <c r="F781">
        <v>52.8</v>
      </c>
      <c r="H781" t="s">
        <v>4481</v>
      </c>
      <c r="I781" t="s">
        <v>6198</v>
      </c>
    </row>
    <row r="782" spans="1:9">
      <c r="A782" t="s">
        <v>5947</v>
      </c>
      <c r="B782" t="s">
        <v>6544</v>
      </c>
      <c r="C782">
        <v>1</v>
      </c>
      <c r="D782" t="s">
        <v>5556</v>
      </c>
      <c r="E782">
        <v>0.38</v>
      </c>
      <c r="F782">
        <v>1.3</v>
      </c>
      <c r="H782" t="s">
        <v>4481</v>
      </c>
      <c r="I782" t="s">
        <v>6198</v>
      </c>
    </row>
    <row r="783" spans="1:9">
      <c r="A783" t="s">
        <v>5947</v>
      </c>
      <c r="B783" t="s">
        <v>6545</v>
      </c>
      <c r="C783">
        <v>1</v>
      </c>
      <c r="D783" t="s">
        <v>5556</v>
      </c>
      <c r="E783">
        <v>0.38</v>
      </c>
      <c r="F783">
        <v>13.2</v>
      </c>
      <c r="H783" t="s">
        <v>4481</v>
      </c>
      <c r="I783" t="s">
        <v>6198</v>
      </c>
    </row>
    <row r="784" spans="1:9">
      <c r="A784" t="s">
        <v>5947</v>
      </c>
      <c r="B784" t="s">
        <v>6546</v>
      </c>
      <c r="C784">
        <v>1</v>
      </c>
      <c r="D784" t="s">
        <v>5556</v>
      </c>
      <c r="E784">
        <v>0.6</v>
      </c>
      <c r="F784">
        <v>0.5</v>
      </c>
      <c r="H784" t="s">
        <v>4481</v>
      </c>
      <c r="I784" t="s">
        <v>6198</v>
      </c>
    </row>
    <row r="785" spans="1:9">
      <c r="A785" t="s">
        <v>5947</v>
      </c>
      <c r="B785" t="s">
        <v>6547</v>
      </c>
      <c r="C785">
        <v>1</v>
      </c>
      <c r="D785" t="s">
        <v>5556</v>
      </c>
      <c r="E785">
        <v>0.6</v>
      </c>
      <c r="F785">
        <v>1</v>
      </c>
      <c r="H785" t="s">
        <v>4481</v>
      </c>
      <c r="I785" t="s">
        <v>6198</v>
      </c>
    </row>
    <row r="786" spans="1:9">
      <c r="A786" t="s">
        <v>5947</v>
      </c>
      <c r="B786" t="s">
        <v>6548</v>
      </c>
      <c r="C786">
        <v>1</v>
      </c>
      <c r="D786" t="s">
        <v>5556</v>
      </c>
      <c r="E786">
        <v>0.75</v>
      </c>
      <c r="F786">
        <v>0.4</v>
      </c>
      <c r="H786" t="s">
        <v>4481</v>
      </c>
      <c r="I786" t="s">
        <v>6198</v>
      </c>
    </row>
    <row r="787" spans="1:9">
      <c r="A787" t="s">
        <v>5947</v>
      </c>
      <c r="B787" t="s">
        <v>6549</v>
      </c>
      <c r="C787">
        <v>1</v>
      </c>
      <c r="D787" t="s">
        <v>5556</v>
      </c>
      <c r="E787">
        <v>0.75</v>
      </c>
      <c r="F787">
        <v>2</v>
      </c>
      <c r="H787" t="s">
        <v>4481</v>
      </c>
      <c r="I787" t="s">
        <v>6198</v>
      </c>
    </row>
    <row r="788" spans="1:9">
      <c r="A788" t="s">
        <v>5947</v>
      </c>
      <c r="B788" t="s">
        <v>6550</v>
      </c>
      <c r="C788">
        <v>1</v>
      </c>
      <c r="D788" t="s">
        <v>5556</v>
      </c>
      <c r="E788">
        <v>1.25</v>
      </c>
      <c r="F788">
        <v>1</v>
      </c>
      <c r="H788" t="s">
        <v>4481</v>
      </c>
      <c r="I788" t="s">
        <v>6198</v>
      </c>
    </row>
    <row r="789" spans="1:9">
      <c r="A789" t="s">
        <v>5947</v>
      </c>
      <c r="B789" t="s">
        <v>6551</v>
      </c>
      <c r="C789">
        <v>1</v>
      </c>
      <c r="D789" t="s">
        <v>5556</v>
      </c>
      <c r="E789">
        <v>1.25</v>
      </c>
      <c r="F789">
        <v>90</v>
      </c>
      <c r="H789" t="s">
        <v>4481</v>
      </c>
      <c r="I789" t="s">
        <v>6198</v>
      </c>
    </row>
    <row r="790" spans="1:9">
      <c r="A790" t="s">
        <v>5947</v>
      </c>
      <c r="B790" t="s">
        <v>6552</v>
      </c>
      <c r="C790">
        <v>1</v>
      </c>
      <c r="D790" t="s">
        <v>5556</v>
      </c>
      <c r="E790">
        <v>1.25</v>
      </c>
      <c r="F790">
        <v>0.8</v>
      </c>
      <c r="H790" t="s">
        <v>4481</v>
      </c>
      <c r="I790" t="s">
        <v>6198</v>
      </c>
    </row>
    <row r="791" spans="1:9">
      <c r="A791" t="s">
        <v>5947</v>
      </c>
      <c r="B791" t="s">
        <v>6553</v>
      </c>
      <c r="C791">
        <v>1</v>
      </c>
      <c r="D791" t="s">
        <v>5556</v>
      </c>
      <c r="E791">
        <v>1.25</v>
      </c>
      <c r="F791">
        <v>3.5</v>
      </c>
      <c r="H791" t="s">
        <v>4481</v>
      </c>
      <c r="I791" t="s">
        <v>6198</v>
      </c>
    </row>
    <row r="792" spans="1:9">
      <c r="A792" t="s">
        <v>5947</v>
      </c>
      <c r="B792" t="s">
        <v>6554</v>
      </c>
      <c r="C792">
        <v>1</v>
      </c>
      <c r="D792" t="s">
        <v>5556</v>
      </c>
      <c r="E792">
        <v>0.2</v>
      </c>
      <c r="F792">
        <v>1</v>
      </c>
      <c r="H792" t="s">
        <v>4481</v>
      </c>
      <c r="I792" t="s">
        <v>6198</v>
      </c>
    </row>
    <row r="793" spans="1:9">
      <c r="A793" t="s">
        <v>5947</v>
      </c>
      <c r="B793" t="s">
        <v>6555</v>
      </c>
      <c r="C793">
        <v>1</v>
      </c>
      <c r="D793" t="s">
        <v>5556</v>
      </c>
      <c r="E793">
        <v>0.2</v>
      </c>
      <c r="F793">
        <v>10</v>
      </c>
      <c r="H793" t="s">
        <v>4481</v>
      </c>
      <c r="I793" t="s">
        <v>6198</v>
      </c>
    </row>
    <row r="794" spans="1:9">
      <c r="A794" t="s">
        <v>5947</v>
      </c>
      <c r="B794" t="s">
        <v>6556</v>
      </c>
      <c r="C794">
        <v>1</v>
      </c>
      <c r="D794" t="s">
        <v>5556</v>
      </c>
      <c r="E794">
        <v>0.03</v>
      </c>
      <c r="F794">
        <v>0.1</v>
      </c>
      <c r="H794" t="s">
        <v>4481</v>
      </c>
      <c r="I794" t="s">
        <v>6198</v>
      </c>
    </row>
    <row r="795" spans="1:9">
      <c r="A795" t="s">
        <v>5947</v>
      </c>
      <c r="B795" t="s">
        <v>6557</v>
      </c>
      <c r="C795">
        <v>1</v>
      </c>
      <c r="D795" t="s">
        <v>5556</v>
      </c>
      <c r="E795">
        <v>0.03</v>
      </c>
      <c r="F795">
        <v>5</v>
      </c>
      <c r="H795" t="s">
        <v>4481</v>
      </c>
      <c r="I795" t="s">
        <v>6198</v>
      </c>
    </row>
    <row r="796" spans="1:9">
      <c r="A796" t="s">
        <v>5947</v>
      </c>
      <c r="B796" t="s">
        <v>6558</v>
      </c>
      <c r="C796">
        <v>1</v>
      </c>
      <c r="D796" t="s">
        <v>5556</v>
      </c>
      <c r="E796">
        <v>0.25</v>
      </c>
      <c r="F796">
        <v>0.2</v>
      </c>
      <c r="H796" t="s">
        <v>4481</v>
      </c>
      <c r="I796" t="s">
        <v>6198</v>
      </c>
    </row>
    <row r="797" spans="1:9">
      <c r="A797" t="s">
        <v>5947</v>
      </c>
      <c r="B797" t="s">
        <v>6559</v>
      </c>
      <c r="C797">
        <v>1</v>
      </c>
      <c r="D797" t="s">
        <v>5556</v>
      </c>
      <c r="E797">
        <v>0.25</v>
      </c>
      <c r="F797">
        <v>3.5</v>
      </c>
      <c r="H797" t="s">
        <v>4481</v>
      </c>
      <c r="I797" t="s">
        <v>6198</v>
      </c>
    </row>
    <row r="798" spans="1:9">
      <c r="A798" t="s">
        <v>5947</v>
      </c>
      <c r="B798" t="s">
        <v>6560</v>
      </c>
      <c r="C798">
        <v>1</v>
      </c>
      <c r="D798" t="s">
        <v>5556</v>
      </c>
      <c r="E798">
        <v>0.88</v>
      </c>
      <c r="F798">
        <v>1</v>
      </c>
      <c r="H798" t="s">
        <v>4481</v>
      </c>
      <c r="I798" t="s">
        <v>6198</v>
      </c>
    </row>
    <row r="799" spans="1:9">
      <c r="A799" t="s">
        <v>5947</v>
      </c>
      <c r="B799" t="s">
        <v>6561</v>
      </c>
      <c r="C799">
        <v>1</v>
      </c>
      <c r="D799" t="s">
        <v>5556</v>
      </c>
      <c r="E799">
        <v>0.88</v>
      </c>
      <c r="F799">
        <v>10</v>
      </c>
      <c r="H799" t="s">
        <v>4481</v>
      </c>
      <c r="I799" t="s">
        <v>6198</v>
      </c>
    </row>
    <row r="800" spans="1:9">
      <c r="A800" t="s">
        <v>5947</v>
      </c>
      <c r="B800" t="s">
        <v>6562</v>
      </c>
      <c r="C800">
        <v>1</v>
      </c>
      <c r="D800" t="s">
        <v>5556</v>
      </c>
      <c r="E800">
        <v>1.5</v>
      </c>
      <c r="F800">
        <v>1.8E-3</v>
      </c>
      <c r="H800" t="s">
        <v>4481</v>
      </c>
      <c r="I800" t="s">
        <v>6198</v>
      </c>
    </row>
    <row r="801" spans="1:9">
      <c r="A801" t="s">
        <v>5947</v>
      </c>
      <c r="B801" t="s">
        <v>6563</v>
      </c>
      <c r="C801">
        <v>1</v>
      </c>
      <c r="D801" t="s">
        <v>5556</v>
      </c>
      <c r="E801">
        <v>1.5</v>
      </c>
      <c r="F801">
        <v>13.1</v>
      </c>
      <c r="H801" t="s">
        <v>4481</v>
      </c>
      <c r="I801" t="s">
        <v>6198</v>
      </c>
    </row>
    <row r="802" spans="1:9">
      <c r="A802" t="s">
        <v>5947</v>
      </c>
      <c r="B802" t="s">
        <v>6564</v>
      </c>
      <c r="C802">
        <v>1</v>
      </c>
      <c r="D802" t="s">
        <v>5556</v>
      </c>
      <c r="E802">
        <v>0.75</v>
      </c>
      <c r="F802">
        <v>0.81</v>
      </c>
      <c r="H802" t="s">
        <v>4481</v>
      </c>
      <c r="I802" t="s">
        <v>6198</v>
      </c>
    </row>
    <row r="803" spans="1:9">
      <c r="A803" t="s">
        <v>5947</v>
      </c>
      <c r="B803" t="s">
        <v>6565</v>
      </c>
      <c r="C803">
        <v>1</v>
      </c>
      <c r="D803" t="s">
        <v>5556</v>
      </c>
      <c r="E803">
        <v>0.75</v>
      </c>
      <c r="F803">
        <v>50</v>
      </c>
      <c r="H803" t="s">
        <v>4481</v>
      </c>
      <c r="I803" t="s">
        <v>6198</v>
      </c>
    </row>
    <row r="804" spans="1:9">
      <c r="A804" t="s">
        <v>5947</v>
      </c>
      <c r="B804" t="s">
        <v>6566</v>
      </c>
      <c r="C804">
        <v>1</v>
      </c>
      <c r="D804" t="s">
        <v>5556</v>
      </c>
      <c r="E804">
        <v>1.5</v>
      </c>
      <c r="F804">
        <v>2.5</v>
      </c>
      <c r="H804" t="s">
        <v>4481</v>
      </c>
      <c r="I804" t="s">
        <v>6198</v>
      </c>
    </row>
    <row r="805" spans="1:9">
      <c r="A805" t="s">
        <v>5947</v>
      </c>
      <c r="B805" t="s">
        <v>6567</v>
      </c>
      <c r="C805">
        <v>1</v>
      </c>
      <c r="D805" t="s">
        <v>5556</v>
      </c>
      <c r="E805">
        <v>1</v>
      </c>
      <c r="F805">
        <v>0.9</v>
      </c>
      <c r="H805" t="s">
        <v>4481</v>
      </c>
      <c r="I805" t="s">
        <v>6198</v>
      </c>
    </row>
    <row r="806" spans="1:9">
      <c r="A806" t="s">
        <v>5947</v>
      </c>
      <c r="B806" t="s">
        <v>6568</v>
      </c>
      <c r="C806">
        <v>1</v>
      </c>
      <c r="D806" t="s">
        <v>5556</v>
      </c>
      <c r="E806">
        <v>1</v>
      </c>
      <c r="F806">
        <v>55</v>
      </c>
      <c r="H806" t="s">
        <v>4481</v>
      </c>
      <c r="I806" t="s">
        <v>6198</v>
      </c>
    </row>
    <row r="807" spans="1:9">
      <c r="A807" t="s">
        <v>5947</v>
      </c>
      <c r="B807" t="s">
        <v>6569</v>
      </c>
      <c r="C807">
        <v>1</v>
      </c>
      <c r="D807" t="s">
        <v>5556</v>
      </c>
      <c r="E807">
        <v>0.75</v>
      </c>
      <c r="F807">
        <v>1.76</v>
      </c>
      <c r="H807" t="s">
        <v>4481</v>
      </c>
      <c r="I807" t="s">
        <v>6198</v>
      </c>
    </row>
    <row r="808" spans="1:9">
      <c r="A808" t="s">
        <v>5947</v>
      </c>
      <c r="B808" t="s">
        <v>6570</v>
      </c>
      <c r="C808">
        <v>1</v>
      </c>
      <c r="D808" t="s">
        <v>5556</v>
      </c>
      <c r="E808">
        <v>0.75</v>
      </c>
      <c r="F808">
        <v>35.200000000000003</v>
      </c>
      <c r="H808" t="s">
        <v>4481</v>
      </c>
      <c r="I808" t="s">
        <v>6198</v>
      </c>
    </row>
    <row r="809" spans="1:9">
      <c r="A809" t="s">
        <v>5947</v>
      </c>
      <c r="B809" t="s">
        <v>6571</v>
      </c>
      <c r="C809">
        <v>1</v>
      </c>
      <c r="D809" t="s">
        <v>5556</v>
      </c>
      <c r="E809">
        <v>1</v>
      </c>
      <c r="F809">
        <v>0.5</v>
      </c>
      <c r="H809" t="s">
        <v>4481</v>
      </c>
      <c r="I809" t="s">
        <v>6198</v>
      </c>
    </row>
    <row r="810" spans="1:9">
      <c r="A810" t="s">
        <v>5947</v>
      </c>
      <c r="B810" t="s">
        <v>6572</v>
      </c>
      <c r="C810">
        <v>1</v>
      </c>
      <c r="D810" t="s">
        <v>5556</v>
      </c>
      <c r="E810">
        <v>1</v>
      </c>
      <c r="F810">
        <v>26</v>
      </c>
      <c r="H810" t="s">
        <v>4481</v>
      </c>
      <c r="I810" t="s">
        <v>6198</v>
      </c>
    </row>
    <row r="811" spans="1:9">
      <c r="A811" t="s">
        <v>5947</v>
      </c>
      <c r="B811" t="s">
        <v>6573</v>
      </c>
      <c r="C811">
        <v>1</v>
      </c>
      <c r="D811" t="s">
        <v>5556</v>
      </c>
      <c r="E811">
        <v>1.25</v>
      </c>
      <c r="F811">
        <v>0.45</v>
      </c>
      <c r="H811" t="s">
        <v>4481</v>
      </c>
      <c r="I811" t="s">
        <v>6198</v>
      </c>
    </row>
    <row r="812" spans="1:9">
      <c r="A812" t="s">
        <v>5947</v>
      </c>
      <c r="B812" t="s">
        <v>6574</v>
      </c>
      <c r="C812">
        <v>1</v>
      </c>
      <c r="D812" t="s">
        <v>5556</v>
      </c>
      <c r="E812">
        <v>1.25</v>
      </c>
      <c r="F812">
        <v>26</v>
      </c>
      <c r="H812" t="s">
        <v>4481</v>
      </c>
      <c r="I812" t="s">
        <v>6198</v>
      </c>
    </row>
    <row r="813" spans="1:9">
      <c r="A813" t="s">
        <v>5947</v>
      </c>
      <c r="B813" t="s">
        <v>6575</v>
      </c>
      <c r="C813">
        <v>1</v>
      </c>
      <c r="D813" t="s">
        <v>5556</v>
      </c>
      <c r="E813">
        <v>2</v>
      </c>
      <c r="F813">
        <v>0.9</v>
      </c>
      <c r="H813" t="s">
        <v>4481</v>
      </c>
      <c r="I813" t="s">
        <v>6198</v>
      </c>
    </row>
    <row r="814" spans="1:9">
      <c r="A814" t="s">
        <v>5947</v>
      </c>
      <c r="B814" t="s">
        <v>6576</v>
      </c>
      <c r="C814">
        <v>1</v>
      </c>
      <c r="D814" t="s">
        <v>5556</v>
      </c>
      <c r="E814">
        <v>2</v>
      </c>
      <c r="F814">
        <v>3.5</v>
      </c>
      <c r="H814" t="s">
        <v>4481</v>
      </c>
      <c r="I814" t="s">
        <v>6198</v>
      </c>
    </row>
    <row r="815" spans="1:9">
      <c r="A815" t="s">
        <v>5947</v>
      </c>
      <c r="B815" t="s">
        <v>6577</v>
      </c>
      <c r="C815">
        <v>1</v>
      </c>
      <c r="D815" t="s">
        <v>5556</v>
      </c>
      <c r="E815">
        <v>0.75</v>
      </c>
      <c r="F815">
        <v>2.1</v>
      </c>
      <c r="H815" t="s">
        <v>4481</v>
      </c>
      <c r="I815" t="s">
        <v>6198</v>
      </c>
    </row>
    <row r="816" spans="1:9">
      <c r="A816" t="s">
        <v>5947</v>
      </c>
      <c r="B816" t="s">
        <v>6578</v>
      </c>
      <c r="C816">
        <v>1</v>
      </c>
      <c r="D816" t="s">
        <v>5556</v>
      </c>
      <c r="E816">
        <v>0.75</v>
      </c>
      <c r="F816">
        <v>50</v>
      </c>
      <c r="H816" t="s">
        <v>4481</v>
      </c>
      <c r="I816" t="s">
        <v>6198</v>
      </c>
    </row>
    <row r="817" spans="1:9">
      <c r="A817" t="s">
        <v>5947</v>
      </c>
      <c r="B817" t="s">
        <v>6579</v>
      </c>
      <c r="C817">
        <v>1</v>
      </c>
      <c r="D817" t="s">
        <v>5556</v>
      </c>
      <c r="E817">
        <v>3</v>
      </c>
      <c r="F817">
        <v>150</v>
      </c>
      <c r="H817" t="s">
        <v>4481</v>
      </c>
      <c r="I817" t="s">
        <v>6198</v>
      </c>
    </row>
    <row r="818" spans="1:9">
      <c r="A818" t="s">
        <v>5947</v>
      </c>
      <c r="B818" t="s">
        <v>6580</v>
      </c>
      <c r="C818">
        <v>1</v>
      </c>
      <c r="D818" t="s">
        <v>5556</v>
      </c>
      <c r="E818">
        <v>3</v>
      </c>
      <c r="F818">
        <v>53</v>
      </c>
      <c r="H818" t="s">
        <v>4481</v>
      </c>
      <c r="I818" t="s">
        <v>6198</v>
      </c>
    </row>
    <row r="819" spans="1:9">
      <c r="A819" t="s">
        <v>5947</v>
      </c>
      <c r="B819" t="s">
        <v>6581</v>
      </c>
      <c r="C819">
        <v>1</v>
      </c>
      <c r="D819" t="s">
        <v>5556</v>
      </c>
      <c r="E819">
        <v>2</v>
      </c>
      <c r="F819">
        <v>3.5</v>
      </c>
      <c r="H819" t="s">
        <v>4481</v>
      </c>
      <c r="I819" t="s">
        <v>6198</v>
      </c>
    </row>
    <row r="820" spans="1:9">
      <c r="A820" t="s">
        <v>5947</v>
      </c>
      <c r="B820" t="s">
        <v>6582</v>
      </c>
      <c r="C820">
        <v>1</v>
      </c>
      <c r="D820" t="s">
        <v>5556</v>
      </c>
      <c r="E820">
        <v>2</v>
      </c>
      <c r="F820">
        <v>35</v>
      </c>
      <c r="H820" t="s">
        <v>4481</v>
      </c>
      <c r="I820" t="s">
        <v>6198</v>
      </c>
    </row>
    <row r="821" spans="1:9">
      <c r="A821" t="s">
        <v>5947</v>
      </c>
      <c r="B821" t="s">
        <v>6583</v>
      </c>
      <c r="C821">
        <v>1</v>
      </c>
      <c r="D821" t="s">
        <v>5556</v>
      </c>
      <c r="E821">
        <v>1.5</v>
      </c>
      <c r="F821">
        <v>1.4</v>
      </c>
      <c r="H821" t="s">
        <v>4481</v>
      </c>
      <c r="I821" t="s">
        <v>6198</v>
      </c>
    </row>
    <row r="822" spans="1:9">
      <c r="A822" t="s">
        <v>5947</v>
      </c>
      <c r="B822" t="s">
        <v>6584</v>
      </c>
      <c r="C822">
        <v>1</v>
      </c>
      <c r="D822" t="s">
        <v>5556</v>
      </c>
      <c r="E822">
        <v>1.5</v>
      </c>
      <c r="F822">
        <v>13</v>
      </c>
      <c r="H822" t="s">
        <v>4481</v>
      </c>
      <c r="I822" t="s">
        <v>6198</v>
      </c>
    </row>
    <row r="823" spans="1:9">
      <c r="A823" t="s">
        <v>5947</v>
      </c>
      <c r="B823" t="s">
        <v>6585</v>
      </c>
      <c r="C823">
        <v>1</v>
      </c>
      <c r="D823" t="s">
        <v>5556</v>
      </c>
      <c r="E823">
        <v>0.75</v>
      </c>
      <c r="F823">
        <v>1.86</v>
      </c>
      <c r="H823" t="s">
        <v>4481</v>
      </c>
      <c r="I823" t="s">
        <v>6198</v>
      </c>
    </row>
    <row r="824" spans="1:9">
      <c r="A824" t="s">
        <v>5947</v>
      </c>
      <c r="B824" t="s">
        <v>6586</v>
      </c>
      <c r="C824">
        <v>1</v>
      </c>
      <c r="D824" t="s">
        <v>5556</v>
      </c>
      <c r="E824">
        <v>0.75</v>
      </c>
      <c r="F824">
        <v>85</v>
      </c>
      <c r="H824" t="s">
        <v>4481</v>
      </c>
      <c r="I824" t="s">
        <v>6198</v>
      </c>
    </row>
    <row r="825" spans="1:9">
      <c r="A825" t="s">
        <v>5947</v>
      </c>
      <c r="B825" t="s">
        <v>6587</v>
      </c>
      <c r="C825">
        <v>1</v>
      </c>
      <c r="D825" t="s">
        <v>5556</v>
      </c>
      <c r="E825">
        <v>0.6</v>
      </c>
      <c r="F825">
        <v>1.5</v>
      </c>
      <c r="H825" t="s">
        <v>4481</v>
      </c>
      <c r="I825" t="s">
        <v>6198</v>
      </c>
    </row>
    <row r="826" spans="1:9">
      <c r="A826" t="s">
        <v>5947</v>
      </c>
      <c r="B826" t="s">
        <v>6588</v>
      </c>
      <c r="C826">
        <v>1</v>
      </c>
      <c r="D826" t="s">
        <v>5556</v>
      </c>
      <c r="E826">
        <v>0.6</v>
      </c>
      <c r="F826">
        <v>20</v>
      </c>
      <c r="H826" t="s">
        <v>4481</v>
      </c>
      <c r="I826" t="s">
        <v>6198</v>
      </c>
    </row>
    <row r="827" spans="1:9">
      <c r="A827" t="s">
        <v>5947</v>
      </c>
      <c r="B827" t="s">
        <v>6589</v>
      </c>
      <c r="C827">
        <v>1</v>
      </c>
      <c r="D827" t="s">
        <v>5556</v>
      </c>
      <c r="E827">
        <v>1.25</v>
      </c>
      <c r="F827">
        <v>2.5</v>
      </c>
      <c r="H827" t="s">
        <v>4481</v>
      </c>
      <c r="I827" t="s">
        <v>6198</v>
      </c>
    </row>
    <row r="828" spans="1:9">
      <c r="A828" t="s">
        <v>5947</v>
      </c>
      <c r="B828" t="s">
        <v>6590</v>
      </c>
      <c r="C828">
        <v>1</v>
      </c>
      <c r="D828" t="s">
        <v>5556</v>
      </c>
      <c r="E828">
        <v>1.25</v>
      </c>
      <c r="F828">
        <v>27</v>
      </c>
      <c r="H828" t="s">
        <v>4481</v>
      </c>
      <c r="I828" t="s">
        <v>6198</v>
      </c>
    </row>
    <row r="829" spans="1:9">
      <c r="A829" t="s">
        <v>5947</v>
      </c>
      <c r="B829" t="s">
        <v>6591</v>
      </c>
      <c r="C829">
        <v>1</v>
      </c>
      <c r="D829" t="s">
        <v>5556</v>
      </c>
      <c r="E829">
        <v>0.8</v>
      </c>
      <c r="F829">
        <v>0.35</v>
      </c>
      <c r="H829" t="s">
        <v>4481</v>
      </c>
      <c r="I829" t="s">
        <v>6198</v>
      </c>
    </row>
    <row r="830" spans="1:9">
      <c r="A830" t="s">
        <v>5947</v>
      </c>
      <c r="B830" t="s">
        <v>6592</v>
      </c>
      <c r="C830">
        <v>1</v>
      </c>
      <c r="D830" t="s">
        <v>5556</v>
      </c>
      <c r="E830">
        <v>0.8</v>
      </c>
      <c r="F830">
        <v>17</v>
      </c>
      <c r="H830" t="s">
        <v>4481</v>
      </c>
      <c r="I830" t="s">
        <v>6198</v>
      </c>
    </row>
    <row r="831" spans="1:9">
      <c r="A831" t="s">
        <v>5947</v>
      </c>
      <c r="B831" t="s">
        <v>6593</v>
      </c>
      <c r="C831">
        <v>1</v>
      </c>
      <c r="D831" t="s">
        <v>5556</v>
      </c>
      <c r="E831">
        <v>1.1000000000000001</v>
      </c>
      <c r="F831">
        <v>0.45</v>
      </c>
      <c r="H831" t="s">
        <v>4481</v>
      </c>
      <c r="I831" t="s">
        <v>6198</v>
      </c>
    </row>
    <row r="832" spans="1:9">
      <c r="A832" t="s">
        <v>5947</v>
      </c>
      <c r="B832" t="s">
        <v>6594</v>
      </c>
      <c r="C832">
        <v>1</v>
      </c>
      <c r="D832" t="s">
        <v>5556</v>
      </c>
      <c r="E832">
        <v>1.1000000000000001</v>
      </c>
      <c r="F832">
        <v>18</v>
      </c>
      <c r="H832" t="s">
        <v>4481</v>
      </c>
      <c r="I832" t="s">
        <v>6198</v>
      </c>
    </row>
    <row r="833" spans="1:9">
      <c r="A833" t="s">
        <v>5947</v>
      </c>
      <c r="B833" t="s">
        <v>6595</v>
      </c>
      <c r="C833">
        <v>1</v>
      </c>
      <c r="D833" t="s">
        <v>5556</v>
      </c>
      <c r="E833">
        <v>0.05</v>
      </c>
      <c r="F833">
        <v>1</v>
      </c>
      <c r="H833" t="s">
        <v>4481</v>
      </c>
      <c r="I833" t="s">
        <v>6198</v>
      </c>
    </row>
    <row r="834" spans="1:9">
      <c r="A834" t="s">
        <v>5947</v>
      </c>
      <c r="B834" t="s">
        <v>6596</v>
      </c>
      <c r="C834">
        <v>1</v>
      </c>
      <c r="D834" t="s">
        <v>5556</v>
      </c>
      <c r="E834">
        <v>0.05</v>
      </c>
      <c r="F834">
        <v>43</v>
      </c>
      <c r="H834" t="s">
        <v>4481</v>
      </c>
      <c r="I834" t="s">
        <v>6198</v>
      </c>
    </row>
    <row r="835" spans="1:9">
      <c r="A835" t="s">
        <v>5947</v>
      </c>
      <c r="B835" t="s">
        <v>6597</v>
      </c>
      <c r="C835">
        <v>1</v>
      </c>
      <c r="D835" t="s">
        <v>5556</v>
      </c>
      <c r="E835">
        <v>0.5</v>
      </c>
      <c r="F835">
        <v>0.8</v>
      </c>
      <c r="H835" t="s">
        <v>4481</v>
      </c>
      <c r="I835" t="s">
        <v>6198</v>
      </c>
    </row>
    <row r="836" spans="1:9">
      <c r="A836" t="s">
        <v>5947</v>
      </c>
      <c r="B836" t="s">
        <v>6598</v>
      </c>
      <c r="C836">
        <v>1</v>
      </c>
      <c r="D836" t="s">
        <v>5556</v>
      </c>
      <c r="E836">
        <v>0.5</v>
      </c>
      <c r="F836">
        <v>46</v>
      </c>
      <c r="H836" t="s">
        <v>4481</v>
      </c>
      <c r="I836" t="s">
        <v>6198</v>
      </c>
    </row>
    <row r="837" spans="1:9">
      <c r="A837" t="s">
        <v>5947</v>
      </c>
      <c r="B837" t="s">
        <v>6599</v>
      </c>
      <c r="C837">
        <v>1</v>
      </c>
      <c r="D837" t="s">
        <v>5556</v>
      </c>
      <c r="E837">
        <v>1.5</v>
      </c>
      <c r="F837">
        <v>2</v>
      </c>
      <c r="H837" t="s">
        <v>4481</v>
      </c>
      <c r="I837" t="s">
        <v>6198</v>
      </c>
    </row>
    <row r="838" spans="1:9">
      <c r="A838" t="s">
        <v>5947</v>
      </c>
      <c r="B838" t="s">
        <v>6600</v>
      </c>
      <c r="C838">
        <v>1</v>
      </c>
      <c r="D838" t="s">
        <v>5556</v>
      </c>
      <c r="E838">
        <v>1.5</v>
      </c>
      <c r="F838">
        <v>16</v>
      </c>
      <c r="H838" t="s">
        <v>4481</v>
      </c>
      <c r="I838" t="s">
        <v>6198</v>
      </c>
    </row>
    <row r="839" spans="1:9">
      <c r="A839" t="s">
        <v>5947</v>
      </c>
      <c r="B839" t="s">
        <v>6601</v>
      </c>
      <c r="C839">
        <v>1</v>
      </c>
      <c r="D839" t="s">
        <v>5556</v>
      </c>
      <c r="E839">
        <v>0.75</v>
      </c>
      <c r="F839">
        <v>0.87</v>
      </c>
      <c r="H839" t="s">
        <v>4481</v>
      </c>
      <c r="I839" t="s">
        <v>6198</v>
      </c>
    </row>
    <row r="840" spans="1:9">
      <c r="A840" t="s">
        <v>5947</v>
      </c>
      <c r="B840" t="s">
        <v>6602</v>
      </c>
      <c r="C840">
        <v>1</v>
      </c>
      <c r="D840" t="s">
        <v>5556</v>
      </c>
      <c r="E840">
        <v>0.75</v>
      </c>
      <c r="F840">
        <v>53</v>
      </c>
      <c r="H840" t="s">
        <v>4481</v>
      </c>
      <c r="I840" t="s">
        <v>6198</v>
      </c>
    </row>
    <row r="841" spans="1:9">
      <c r="A841" t="s">
        <v>5947</v>
      </c>
      <c r="B841" t="s">
        <v>6603</v>
      </c>
      <c r="C841">
        <v>1</v>
      </c>
      <c r="D841" t="s">
        <v>5556</v>
      </c>
      <c r="E841">
        <v>1</v>
      </c>
      <c r="F841">
        <v>2.2999999999999998</v>
      </c>
      <c r="H841" t="s">
        <v>4481</v>
      </c>
      <c r="I841" t="s">
        <v>6198</v>
      </c>
    </row>
    <row r="842" spans="1:9">
      <c r="A842" t="s">
        <v>5947</v>
      </c>
      <c r="B842" t="s">
        <v>6604</v>
      </c>
      <c r="C842">
        <v>1</v>
      </c>
      <c r="D842" t="s">
        <v>5556</v>
      </c>
      <c r="E842">
        <v>1</v>
      </c>
      <c r="F842">
        <v>11</v>
      </c>
      <c r="H842" t="s">
        <v>4481</v>
      </c>
      <c r="I842" t="s">
        <v>6198</v>
      </c>
    </row>
    <row r="843" spans="1:9">
      <c r="A843" t="s">
        <v>5947</v>
      </c>
      <c r="B843" t="s">
        <v>6605</v>
      </c>
      <c r="C843">
        <v>1</v>
      </c>
      <c r="D843" t="s">
        <v>5556</v>
      </c>
      <c r="E843">
        <v>1.25</v>
      </c>
      <c r="F843">
        <v>2.5</v>
      </c>
      <c r="H843" t="s">
        <v>4481</v>
      </c>
      <c r="I843" t="s">
        <v>6198</v>
      </c>
    </row>
    <row r="844" spans="1:9">
      <c r="A844" t="s">
        <v>5947</v>
      </c>
      <c r="B844" t="s">
        <v>6606</v>
      </c>
      <c r="C844">
        <v>1</v>
      </c>
      <c r="D844" t="s">
        <v>5556</v>
      </c>
      <c r="E844">
        <v>1.25</v>
      </c>
      <c r="F844">
        <v>7.5</v>
      </c>
      <c r="H844" t="s">
        <v>4481</v>
      </c>
      <c r="I844" t="s">
        <v>6198</v>
      </c>
    </row>
    <row r="845" spans="1:9">
      <c r="A845" t="s">
        <v>5947</v>
      </c>
      <c r="B845" t="s">
        <v>6607</v>
      </c>
      <c r="C845">
        <v>1</v>
      </c>
      <c r="D845" t="s">
        <v>5556</v>
      </c>
      <c r="E845">
        <v>0.25</v>
      </c>
      <c r="F845">
        <v>1.3</v>
      </c>
      <c r="H845" t="s">
        <v>4481</v>
      </c>
      <c r="I845" t="s">
        <v>6198</v>
      </c>
    </row>
    <row r="846" spans="1:9">
      <c r="A846" t="s">
        <v>5947</v>
      </c>
      <c r="B846" t="s">
        <v>6608</v>
      </c>
      <c r="C846">
        <v>1</v>
      </c>
      <c r="D846" t="s">
        <v>5556</v>
      </c>
      <c r="E846">
        <v>0.25</v>
      </c>
      <c r="F846">
        <v>4.0999999999999996</v>
      </c>
      <c r="H846" t="s">
        <v>4481</v>
      </c>
      <c r="I846" t="s">
        <v>6198</v>
      </c>
    </row>
    <row r="847" spans="1:9">
      <c r="A847" t="s">
        <v>5947</v>
      </c>
      <c r="B847" t="s">
        <v>6609</v>
      </c>
      <c r="C847">
        <v>1</v>
      </c>
      <c r="D847" t="s">
        <v>5556</v>
      </c>
      <c r="E847">
        <v>0.25</v>
      </c>
      <c r="F847">
        <v>2.6</v>
      </c>
      <c r="H847" t="s">
        <v>4481</v>
      </c>
      <c r="I847" t="s">
        <v>6610</v>
      </c>
    </row>
    <row r="848" spans="1:9">
      <c r="A848" t="s">
        <v>5947</v>
      </c>
      <c r="B848" t="s">
        <v>6611</v>
      </c>
      <c r="C848">
        <v>1</v>
      </c>
      <c r="D848" t="s">
        <v>5556</v>
      </c>
      <c r="E848">
        <v>0.25</v>
      </c>
      <c r="F848">
        <v>52.8</v>
      </c>
      <c r="H848" t="s">
        <v>4481</v>
      </c>
      <c r="I848" t="s">
        <v>6610</v>
      </c>
    </row>
    <row r="849" spans="1:9">
      <c r="A849" t="s">
        <v>5947</v>
      </c>
      <c r="B849" t="s">
        <v>6612</v>
      </c>
      <c r="C849">
        <v>1</v>
      </c>
      <c r="D849" t="s">
        <v>5556</v>
      </c>
      <c r="E849">
        <v>0.13</v>
      </c>
      <c r="F849">
        <v>5</v>
      </c>
      <c r="H849" t="s">
        <v>4481</v>
      </c>
      <c r="I849" t="s">
        <v>6610</v>
      </c>
    </row>
    <row r="850" spans="1:9">
      <c r="A850" t="s">
        <v>5947</v>
      </c>
      <c r="B850" t="s">
        <v>6613</v>
      </c>
      <c r="C850">
        <v>1</v>
      </c>
      <c r="D850" t="s">
        <v>5556</v>
      </c>
      <c r="E850">
        <v>0.13</v>
      </c>
      <c r="F850">
        <v>36</v>
      </c>
      <c r="H850" t="s">
        <v>4481</v>
      </c>
      <c r="I850" t="s">
        <v>6610</v>
      </c>
    </row>
    <row r="851" spans="1:9">
      <c r="A851" t="s">
        <v>5947</v>
      </c>
      <c r="B851" t="s">
        <v>6614</v>
      </c>
      <c r="C851">
        <v>1</v>
      </c>
      <c r="D851" t="s">
        <v>5556</v>
      </c>
      <c r="E851">
        <v>0.12</v>
      </c>
      <c r="F851">
        <v>5.3</v>
      </c>
      <c r="H851" t="s">
        <v>4481</v>
      </c>
      <c r="I851" t="s">
        <v>6610</v>
      </c>
    </row>
    <row r="852" spans="1:9">
      <c r="A852" t="s">
        <v>5947</v>
      </c>
      <c r="B852" t="s">
        <v>6615</v>
      </c>
      <c r="C852">
        <v>1</v>
      </c>
      <c r="D852" t="s">
        <v>5556</v>
      </c>
      <c r="E852">
        <v>0.12</v>
      </c>
      <c r="F852">
        <v>35</v>
      </c>
      <c r="H852" t="s">
        <v>4481</v>
      </c>
      <c r="I852" t="s">
        <v>6610</v>
      </c>
    </row>
    <row r="853" spans="1:9">
      <c r="A853" t="s">
        <v>5947</v>
      </c>
      <c r="B853" t="s">
        <v>6616</v>
      </c>
      <c r="C853">
        <v>1</v>
      </c>
      <c r="D853" t="s">
        <v>5556</v>
      </c>
      <c r="E853">
        <v>0.5</v>
      </c>
      <c r="F853">
        <v>5</v>
      </c>
      <c r="H853" t="s">
        <v>4481</v>
      </c>
      <c r="I853" t="s">
        <v>6610</v>
      </c>
    </row>
    <row r="854" spans="1:9">
      <c r="A854" t="s">
        <v>5947</v>
      </c>
      <c r="B854" t="s">
        <v>6617</v>
      </c>
      <c r="C854">
        <v>1</v>
      </c>
      <c r="D854" t="s">
        <v>5556</v>
      </c>
      <c r="E854">
        <v>0.5</v>
      </c>
      <c r="F854">
        <v>66</v>
      </c>
      <c r="H854" t="s">
        <v>4481</v>
      </c>
      <c r="I854" t="s">
        <v>6610</v>
      </c>
    </row>
    <row r="855" spans="1:9">
      <c r="A855" t="s">
        <v>5947</v>
      </c>
      <c r="B855" t="s">
        <v>6618</v>
      </c>
      <c r="C855">
        <v>1</v>
      </c>
      <c r="D855" t="s">
        <v>5556</v>
      </c>
      <c r="E855">
        <v>0.5</v>
      </c>
      <c r="F855">
        <v>132</v>
      </c>
      <c r="H855" t="s">
        <v>4481</v>
      </c>
      <c r="I855" t="s">
        <v>6610</v>
      </c>
    </row>
    <row r="856" spans="1:9">
      <c r="A856" t="s">
        <v>5947</v>
      </c>
      <c r="B856" t="s">
        <v>6619</v>
      </c>
      <c r="C856">
        <v>1</v>
      </c>
      <c r="D856" t="s">
        <v>5556</v>
      </c>
      <c r="E856">
        <v>0.5</v>
      </c>
      <c r="F856">
        <v>53</v>
      </c>
      <c r="H856" t="s">
        <v>4481</v>
      </c>
      <c r="I856" t="s">
        <v>6610</v>
      </c>
    </row>
    <row r="857" spans="1:9">
      <c r="A857" t="s">
        <v>5947</v>
      </c>
      <c r="B857" t="s">
        <v>6620</v>
      </c>
      <c r="C857">
        <v>1</v>
      </c>
      <c r="D857" t="s">
        <v>5556</v>
      </c>
      <c r="E857">
        <v>5</v>
      </c>
      <c r="F857">
        <v>350</v>
      </c>
      <c r="H857" t="s">
        <v>4481</v>
      </c>
      <c r="I857" t="s">
        <v>6610</v>
      </c>
    </row>
    <row r="858" spans="1:9">
      <c r="A858" t="s">
        <v>5947</v>
      </c>
      <c r="B858" t="s">
        <v>6621</v>
      </c>
      <c r="C858">
        <v>1</v>
      </c>
      <c r="D858" t="s">
        <v>5556</v>
      </c>
      <c r="E858">
        <v>5</v>
      </c>
      <c r="F858">
        <v>130</v>
      </c>
      <c r="H858" t="s">
        <v>4481</v>
      </c>
      <c r="I858" t="s">
        <v>6610</v>
      </c>
    </row>
    <row r="859" spans="1:9">
      <c r="A859" t="s">
        <v>5947</v>
      </c>
      <c r="B859" t="s">
        <v>6622</v>
      </c>
      <c r="C859">
        <v>1</v>
      </c>
      <c r="D859" t="s">
        <v>5556</v>
      </c>
      <c r="E859">
        <v>0.3</v>
      </c>
      <c r="F859">
        <v>50</v>
      </c>
      <c r="H859" t="s">
        <v>4481</v>
      </c>
      <c r="I859" t="s">
        <v>6610</v>
      </c>
    </row>
    <row r="860" spans="1:9">
      <c r="A860" t="s">
        <v>5947</v>
      </c>
      <c r="B860" t="s">
        <v>6623</v>
      </c>
      <c r="C860">
        <v>1</v>
      </c>
      <c r="D860" t="s">
        <v>5556</v>
      </c>
      <c r="E860">
        <v>0.3</v>
      </c>
      <c r="F860">
        <v>30.8</v>
      </c>
      <c r="H860" t="s">
        <v>4481</v>
      </c>
      <c r="I860" t="s">
        <v>6610</v>
      </c>
    </row>
    <row r="861" spans="1:9">
      <c r="A861" t="s">
        <v>5947</v>
      </c>
      <c r="B861" t="s">
        <v>6624</v>
      </c>
      <c r="C861">
        <v>1</v>
      </c>
      <c r="D861" t="s">
        <v>5556</v>
      </c>
      <c r="E861">
        <v>0.1</v>
      </c>
      <c r="F861">
        <v>2.5</v>
      </c>
      <c r="H861" t="s">
        <v>4481</v>
      </c>
      <c r="I861" t="s">
        <v>6610</v>
      </c>
    </row>
    <row r="862" spans="1:9">
      <c r="A862" t="s">
        <v>5947</v>
      </c>
      <c r="B862" t="s">
        <v>6625</v>
      </c>
      <c r="C862">
        <v>1</v>
      </c>
      <c r="D862" t="s">
        <v>5556</v>
      </c>
      <c r="E862">
        <v>0.1</v>
      </c>
      <c r="F862">
        <v>27</v>
      </c>
      <c r="H862" t="s">
        <v>4481</v>
      </c>
      <c r="I862" t="s">
        <v>6610</v>
      </c>
    </row>
    <row r="863" spans="1:9">
      <c r="A863" t="s">
        <v>5947</v>
      </c>
      <c r="B863" t="s">
        <v>6626</v>
      </c>
      <c r="C863">
        <v>1</v>
      </c>
      <c r="D863" t="s">
        <v>5556</v>
      </c>
      <c r="E863">
        <v>0.02</v>
      </c>
      <c r="F863">
        <v>3.52</v>
      </c>
      <c r="H863" t="s">
        <v>4481</v>
      </c>
      <c r="I863" t="s">
        <v>6610</v>
      </c>
    </row>
    <row r="864" spans="1:9">
      <c r="A864" t="s">
        <v>5947</v>
      </c>
      <c r="B864" t="s">
        <v>6627</v>
      </c>
      <c r="C864">
        <v>1</v>
      </c>
      <c r="D864" t="s">
        <v>5556</v>
      </c>
      <c r="E864">
        <v>0.02</v>
      </c>
      <c r="F864">
        <v>20</v>
      </c>
      <c r="H864" t="s">
        <v>4481</v>
      </c>
      <c r="I864" t="s">
        <v>6610</v>
      </c>
    </row>
    <row r="865" spans="1:9">
      <c r="A865" t="s">
        <v>5947</v>
      </c>
      <c r="B865" t="s">
        <v>6628</v>
      </c>
      <c r="C865">
        <v>1</v>
      </c>
      <c r="D865" t="s">
        <v>5556</v>
      </c>
      <c r="E865">
        <v>0.05</v>
      </c>
      <c r="F865">
        <v>5</v>
      </c>
      <c r="H865" t="s">
        <v>4481</v>
      </c>
      <c r="I865" t="s">
        <v>6610</v>
      </c>
    </row>
    <row r="866" spans="1:9">
      <c r="A866" t="s">
        <v>5947</v>
      </c>
      <c r="B866" t="s">
        <v>6629</v>
      </c>
      <c r="C866">
        <v>1</v>
      </c>
      <c r="D866" t="s">
        <v>5556</v>
      </c>
      <c r="E866">
        <v>0.05</v>
      </c>
      <c r="F866">
        <v>28</v>
      </c>
      <c r="H866" t="s">
        <v>4481</v>
      </c>
      <c r="I866" t="s">
        <v>6610</v>
      </c>
    </row>
    <row r="867" spans="1:9">
      <c r="A867" t="s">
        <v>5947</v>
      </c>
      <c r="B867" t="s">
        <v>6630</v>
      </c>
      <c r="C867">
        <v>1</v>
      </c>
      <c r="D867" t="s">
        <v>5556</v>
      </c>
      <c r="E867">
        <v>0.75</v>
      </c>
      <c r="F867">
        <v>13.5</v>
      </c>
      <c r="H867" t="s">
        <v>4481</v>
      </c>
      <c r="I867" t="s">
        <v>6610</v>
      </c>
    </row>
    <row r="868" spans="1:9">
      <c r="A868" t="s">
        <v>5947</v>
      </c>
      <c r="B868" t="s">
        <v>6631</v>
      </c>
      <c r="C868">
        <v>1</v>
      </c>
      <c r="D868" t="s">
        <v>5556</v>
      </c>
      <c r="E868">
        <v>0.75</v>
      </c>
      <c r="F868">
        <v>67</v>
      </c>
      <c r="H868" t="s">
        <v>4481</v>
      </c>
      <c r="I868" t="s">
        <v>6610</v>
      </c>
    </row>
    <row r="869" spans="1:9">
      <c r="A869" t="s">
        <v>5947</v>
      </c>
      <c r="B869" t="s">
        <v>6632</v>
      </c>
      <c r="C869">
        <v>1</v>
      </c>
      <c r="D869" t="s">
        <v>5556</v>
      </c>
      <c r="E869">
        <v>0.25</v>
      </c>
      <c r="F869">
        <v>4</v>
      </c>
      <c r="H869" t="s">
        <v>4481</v>
      </c>
      <c r="I869" t="s">
        <v>6610</v>
      </c>
    </row>
    <row r="870" spans="1:9">
      <c r="A870" t="s">
        <v>5947</v>
      </c>
      <c r="B870" t="s">
        <v>6633</v>
      </c>
      <c r="C870">
        <v>1</v>
      </c>
      <c r="D870" t="s">
        <v>5556</v>
      </c>
      <c r="E870">
        <v>0.25</v>
      </c>
      <c r="F870">
        <v>8.5</v>
      </c>
      <c r="H870" t="s">
        <v>4481</v>
      </c>
      <c r="I870" t="s">
        <v>6610</v>
      </c>
    </row>
    <row r="871" spans="1:9">
      <c r="A871" t="s">
        <v>5674</v>
      </c>
      <c r="B871" t="s">
        <v>6634</v>
      </c>
      <c r="C871">
        <v>1</v>
      </c>
      <c r="D871" t="s">
        <v>5556</v>
      </c>
      <c r="E871">
        <v>0.5</v>
      </c>
      <c r="F871">
        <v>3.5</v>
      </c>
      <c r="G871" t="s">
        <v>6635</v>
      </c>
      <c r="H871" t="s">
        <v>4481</v>
      </c>
      <c r="I871" t="s">
        <v>6610</v>
      </c>
    </row>
    <row r="872" spans="1:9">
      <c r="A872" t="s">
        <v>5674</v>
      </c>
      <c r="B872" t="s">
        <v>6636</v>
      </c>
      <c r="C872">
        <v>1</v>
      </c>
      <c r="D872" t="s">
        <v>5556</v>
      </c>
      <c r="E872">
        <v>0.2</v>
      </c>
      <c r="F872">
        <v>2.2000000000000002</v>
      </c>
      <c r="H872" t="s">
        <v>4481</v>
      </c>
      <c r="I872" t="s">
        <v>6610</v>
      </c>
    </row>
    <row r="873" spans="1:9">
      <c r="A873" t="s">
        <v>5947</v>
      </c>
      <c r="B873" t="s">
        <v>6637</v>
      </c>
      <c r="C873">
        <v>1</v>
      </c>
      <c r="D873" t="s">
        <v>5556</v>
      </c>
      <c r="E873">
        <v>1</v>
      </c>
      <c r="F873">
        <v>220</v>
      </c>
      <c r="H873" t="s">
        <v>4481</v>
      </c>
      <c r="I873" t="s">
        <v>6638</v>
      </c>
    </row>
    <row r="874" spans="1:9">
      <c r="A874" t="s">
        <v>5947</v>
      </c>
      <c r="B874" t="s">
        <v>6639</v>
      </c>
      <c r="C874">
        <v>1</v>
      </c>
      <c r="D874" t="s">
        <v>5556</v>
      </c>
      <c r="E874">
        <v>1</v>
      </c>
      <c r="F874">
        <v>1100</v>
      </c>
      <c r="H874" t="s">
        <v>4481</v>
      </c>
      <c r="I874" t="s">
        <v>6638</v>
      </c>
    </row>
    <row r="875" spans="1:9">
      <c r="A875" t="s">
        <v>5947</v>
      </c>
      <c r="B875" t="s">
        <v>6640</v>
      </c>
      <c r="C875">
        <v>1</v>
      </c>
      <c r="D875" t="s">
        <v>5556</v>
      </c>
      <c r="E875">
        <v>3</v>
      </c>
      <c r="F875">
        <v>17.600000000000001</v>
      </c>
      <c r="H875" t="s">
        <v>4481</v>
      </c>
      <c r="I875" t="s">
        <v>6638</v>
      </c>
    </row>
    <row r="876" spans="1:9">
      <c r="A876" t="s">
        <v>5909</v>
      </c>
      <c r="B876" t="s">
        <v>6641</v>
      </c>
      <c r="C876">
        <v>1</v>
      </c>
      <c r="D876" t="s">
        <v>5556</v>
      </c>
      <c r="E876">
        <v>0.4</v>
      </c>
      <c r="F876">
        <v>1.7999999999999999E-2</v>
      </c>
      <c r="H876" t="s">
        <v>4481</v>
      </c>
      <c r="I876" t="s">
        <v>6642</v>
      </c>
    </row>
    <row r="877" spans="1:9">
      <c r="A877" t="s">
        <v>5909</v>
      </c>
      <c r="B877" t="s">
        <v>6643</v>
      </c>
      <c r="C877">
        <v>1</v>
      </c>
      <c r="D877" t="s">
        <v>5556</v>
      </c>
      <c r="E877">
        <v>0.03</v>
      </c>
      <c r="F877">
        <v>5.0000000000000001E-3</v>
      </c>
      <c r="H877" t="s">
        <v>4481</v>
      </c>
      <c r="I877" t="s">
        <v>6642</v>
      </c>
    </row>
    <row r="878" spans="1:9">
      <c r="A878" t="s">
        <v>5909</v>
      </c>
      <c r="B878" t="s">
        <v>6644</v>
      </c>
      <c r="C878">
        <v>1</v>
      </c>
      <c r="D878" t="s">
        <v>5556</v>
      </c>
      <c r="E878">
        <v>0.4</v>
      </c>
      <c r="F878">
        <v>3.5999999999999997E-2</v>
      </c>
      <c r="H878" t="s">
        <v>4481</v>
      </c>
      <c r="I878" t="s">
        <v>6642</v>
      </c>
    </row>
    <row r="879" spans="1:9">
      <c r="A879" t="s">
        <v>5909</v>
      </c>
      <c r="B879" t="s">
        <v>6645</v>
      </c>
      <c r="C879">
        <v>1</v>
      </c>
      <c r="D879" t="s">
        <v>5556</v>
      </c>
      <c r="E879">
        <v>1</v>
      </c>
      <c r="F879">
        <v>0.11</v>
      </c>
      <c r="H879" t="s">
        <v>4481</v>
      </c>
      <c r="I879" t="s">
        <v>6642</v>
      </c>
    </row>
    <row r="880" spans="1:9">
      <c r="A880" t="s">
        <v>5838</v>
      </c>
      <c r="B880" t="s">
        <v>6646</v>
      </c>
      <c r="C880">
        <v>1</v>
      </c>
      <c r="D880" t="s">
        <v>5556</v>
      </c>
      <c r="E880">
        <v>0.2</v>
      </c>
      <c r="F880">
        <v>2.1999999999999999E-2</v>
      </c>
      <c r="H880" t="s">
        <v>4481</v>
      </c>
      <c r="I880" t="s">
        <v>6642</v>
      </c>
    </row>
    <row r="881" spans="1:9">
      <c r="A881" t="s">
        <v>5674</v>
      </c>
      <c r="B881" t="s">
        <v>6647</v>
      </c>
      <c r="C881">
        <v>1</v>
      </c>
      <c r="D881" t="s">
        <v>5556</v>
      </c>
      <c r="E881">
        <v>0.25</v>
      </c>
      <c r="F881">
        <v>0.15</v>
      </c>
      <c r="H881" t="s">
        <v>4481</v>
      </c>
      <c r="I881" t="s">
        <v>6642</v>
      </c>
    </row>
    <row r="882" spans="1:9">
      <c r="A882" t="s">
        <v>5786</v>
      </c>
      <c r="B882" t="s">
        <v>6648</v>
      </c>
      <c r="C882">
        <v>1</v>
      </c>
      <c r="D882" t="s">
        <v>5556</v>
      </c>
      <c r="E882">
        <v>0.5</v>
      </c>
      <c r="F882">
        <v>0.89</v>
      </c>
      <c r="H882" t="s">
        <v>4481</v>
      </c>
      <c r="I882" t="s">
        <v>6642</v>
      </c>
    </row>
    <row r="883" spans="1:9">
      <c r="A883" t="s">
        <v>5860</v>
      </c>
      <c r="B883" t="s">
        <v>6649</v>
      </c>
      <c r="C883">
        <v>1</v>
      </c>
      <c r="D883" t="s">
        <v>5556</v>
      </c>
      <c r="E883">
        <v>4</v>
      </c>
      <c r="F883">
        <v>9</v>
      </c>
      <c r="H883" t="s">
        <v>4481</v>
      </c>
      <c r="I883" t="s">
        <v>6650</v>
      </c>
    </row>
    <row r="884" spans="1:9">
      <c r="A884" t="s">
        <v>5860</v>
      </c>
      <c r="B884" t="s">
        <v>6651</v>
      </c>
      <c r="C884">
        <v>1</v>
      </c>
      <c r="D884" t="s">
        <v>5556</v>
      </c>
      <c r="E884">
        <v>4.5</v>
      </c>
      <c r="F884">
        <v>27</v>
      </c>
      <c r="H884" t="s">
        <v>4481</v>
      </c>
      <c r="I884" t="s">
        <v>6650</v>
      </c>
    </row>
    <row r="885" spans="1:9">
      <c r="A885" t="s">
        <v>5947</v>
      </c>
      <c r="B885" t="s">
        <v>6652</v>
      </c>
      <c r="C885">
        <v>1</v>
      </c>
      <c r="D885" t="s">
        <v>5556</v>
      </c>
      <c r="E885">
        <v>0.37</v>
      </c>
      <c r="F885">
        <v>0.5</v>
      </c>
      <c r="H885" t="s">
        <v>4481</v>
      </c>
      <c r="I885" t="s">
        <v>6653</v>
      </c>
    </row>
    <row r="886" spans="1:9">
      <c r="A886" t="s">
        <v>5947</v>
      </c>
      <c r="B886" t="s">
        <v>6654</v>
      </c>
      <c r="C886">
        <v>1</v>
      </c>
      <c r="D886" t="s">
        <v>5556</v>
      </c>
      <c r="E886">
        <v>0.37</v>
      </c>
      <c r="F886">
        <v>3.52</v>
      </c>
      <c r="H886" t="s">
        <v>4481</v>
      </c>
      <c r="I886" t="s">
        <v>6653</v>
      </c>
    </row>
    <row r="887" spans="1:9">
      <c r="A887" t="s">
        <v>5947</v>
      </c>
      <c r="B887" t="s">
        <v>6655</v>
      </c>
      <c r="C887">
        <v>1</v>
      </c>
      <c r="D887" t="s">
        <v>5556</v>
      </c>
      <c r="E887">
        <v>0.62</v>
      </c>
      <c r="F887">
        <v>0.85</v>
      </c>
      <c r="H887" t="s">
        <v>4481</v>
      </c>
      <c r="I887" t="s">
        <v>6653</v>
      </c>
    </row>
    <row r="888" spans="1:9">
      <c r="A888" t="s">
        <v>5947</v>
      </c>
      <c r="B888" t="s">
        <v>6656</v>
      </c>
      <c r="C888">
        <v>1</v>
      </c>
      <c r="D888" t="s">
        <v>5556</v>
      </c>
      <c r="E888">
        <v>0.62</v>
      </c>
      <c r="F888">
        <v>80</v>
      </c>
      <c r="H888" t="s">
        <v>4481</v>
      </c>
      <c r="I888" t="s">
        <v>6653</v>
      </c>
    </row>
    <row r="889" spans="1:9">
      <c r="A889" t="s">
        <v>5947</v>
      </c>
      <c r="B889" t="s">
        <v>6657</v>
      </c>
      <c r="C889">
        <v>1</v>
      </c>
      <c r="D889" t="s">
        <v>5556</v>
      </c>
      <c r="E889">
        <v>0.1</v>
      </c>
      <c r="F889">
        <v>0.05</v>
      </c>
      <c r="H889" t="s">
        <v>4481</v>
      </c>
      <c r="I889" t="s">
        <v>6653</v>
      </c>
    </row>
    <row r="890" spans="1:9">
      <c r="A890" t="s">
        <v>5947</v>
      </c>
      <c r="B890" t="s">
        <v>6658</v>
      </c>
      <c r="C890">
        <v>1</v>
      </c>
      <c r="D890" t="s">
        <v>5556</v>
      </c>
      <c r="E890">
        <v>0.1</v>
      </c>
      <c r="F890">
        <v>0.9</v>
      </c>
      <c r="H890" t="s">
        <v>4481</v>
      </c>
      <c r="I890" t="s">
        <v>6653</v>
      </c>
    </row>
    <row r="891" spans="1:9">
      <c r="A891" t="s">
        <v>5947</v>
      </c>
      <c r="B891" t="s">
        <v>6659</v>
      </c>
      <c r="C891">
        <v>1</v>
      </c>
      <c r="D891" t="s">
        <v>5556</v>
      </c>
      <c r="E891">
        <v>0.1</v>
      </c>
      <c r="F891">
        <v>7.4999999999999997E-2</v>
      </c>
      <c r="H891" t="s">
        <v>4481</v>
      </c>
      <c r="I891" t="s">
        <v>6653</v>
      </c>
    </row>
    <row r="892" spans="1:9">
      <c r="A892" t="s">
        <v>5947</v>
      </c>
      <c r="B892" t="s">
        <v>6660</v>
      </c>
      <c r="C892">
        <v>1</v>
      </c>
      <c r="D892" t="s">
        <v>5556</v>
      </c>
      <c r="E892">
        <v>0.1</v>
      </c>
      <c r="F892">
        <v>1.1000000000000001</v>
      </c>
      <c r="H892" t="s">
        <v>4481</v>
      </c>
      <c r="I892" t="s">
        <v>6653</v>
      </c>
    </row>
    <row r="893" spans="1:9">
      <c r="A893" t="s">
        <v>5947</v>
      </c>
      <c r="B893" t="s">
        <v>6661</v>
      </c>
      <c r="C893">
        <v>1</v>
      </c>
      <c r="D893" t="s">
        <v>5556</v>
      </c>
      <c r="E893">
        <v>0.2</v>
      </c>
      <c r="F893">
        <v>2.5000000000000001E-2</v>
      </c>
      <c r="H893" t="s">
        <v>4481</v>
      </c>
      <c r="I893" t="s">
        <v>6653</v>
      </c>
    </row>
    <row r="894" spans="1:9">
      <c r="A894" t="s">
        <v>5947</v>
      </c>
      <c r="B894" t="s">
        <v>6662</v>
      </c>
      <c r="C894">
        <v>1</v>
      </c>
      <c r="D894" t="s">
        <v>5556</v>
      </c>
      <c r="E894">
        <v>0.5</v>
      </c>
      <c r="F894">
        <v>0.35</v>
      </c>
      <c r="H894" t="s">
        <v>4481</v>
      </c>
      <c r="I894" t="s">
        <v>6653</v>
      </c>
    </row>
    <row r="895" spans="1:9">
      <c r="A895" t="s">
        <v>5947</v>
      </c>
      <c r="B895" t="s">
        <v>6663</v>
      </c>
      <c r="C895">
        <v>1</v>
      </c>
      <c r="D895" t="s">
        <v>5556</v>
      </c>
      <c r="E895">
        <v>0.5</v>
      </c>
      <c r="F895">
        <v>90</v>
      </c>
      <c r="H895" t="s">
        <v>4481</v>
      </c>
      <c r="I895" t="s">
        <v>6653</v>
      </c>
    </row>
    <row r="896" spans="1:9">
      <c r="A896" t="s">
        <v>5947</v>
      </c>
      <c r="B896" t="s">
        <v>6664</v>
      </c>
      <c r="C896">
        <v>1</v>
      </c>
      <c r="D896" t="s">
        <v>5556</v>
      </c>
      <c r="E896">
        <v>1</v>
      </c>
      <c r="F896">
        <v>1.6</v>
      </c>
      <c r="H896" t="s">
        <v>4481</v>
      </c>
      <c r="I896" t="s">
        <v>6653</v>
      </c>
    </row>
    <row r="897" spans="1:9">
      <c r="A897" t="s">
        <v>5947</v>
      </c>
      <c r="B897" t="s">
        <v>6665</v>
      </c>
      <c r="C897">
        <v>1</v>
      </c>
      <c r="D897" t="s">
        <v>5556</v>
      </c>
      <c r="E897">
        <v>1</v>
      </c>
      <c r="F897">
        <v>43</v>
      </c>
      <c r="H897" t="s">
        <v>4481</v>
      </c>
      <c r="I897" t="s">
        <v>6653</v>
      </c>
    </row>
    <row r="898" spans="1:9">
      <c r="A898" t="s">
        <v>5860</v>
      </c>
      <c r="B898" t="s">
        <v>6666</v>
      </c>
      <c r="C898">
        <v>1</v>
      </c>
      <c r="D898" t="s">
        <v>5556</v>
      </c>
      <c r="E898">
        <v>10</v>
      </c>
      <c r="F898">
        <v>8</v>
      </c>
      <c r="H898" t="s">
        <v>4481</v>
      </c>
      <c r="I898" t="s">
        <v>6667</v>
      </c>
    </row>
    <row r="899" spans="1:9">
      <c r="A899" t="s">
        <v>5652</v>
      </c>
      <c r="B899" t="s">
        <v>6668</v>
      </c>
      <c r="C899">
        <v>1</v>
      </c>
      <c r="D899" t="s">
        <v>5556</v>
      </c>
      <c r="E899">
        <v>4</v>
      </c>
      <c r="F899">
        <v>17.600000000000001</v>
      </c>
      <c r="H899" t="s">
        <v>4481</v>
      </c>
      <c r="I899" t="s">
        <v>6667</v>
      </c>
    </row>
    <row r="900" spans="1:9">
      <c r="A900" t="s">
        <v>5907</v>
      </c>
      <c r="B900" t="s">
        <v>6669</v>
      </c>
      <c r="C900">
        <v>1</v>
      </c>
      <c r="D900" t="s">
        <v>5556</v>
      </c>
      <c r="E900">
        <v>0.25</v>
      </c>
      <c r="F900">
        <v>2.5000000000000001E-2</v>
      </c>
      <c r="H900" t="s">
        <v>4481</v>
      </c>
      <c r="I900" t="s">
        <v>6667</v>
      </c>
    </row>
    <row r="901" spans="1:9">
      <c r="A901" t="s">
        <v>5909</v>
      </c>
      <c r="B901" t="s">
        <v>6670</v>
      </c>
      <c r="C901">
        <v>1</v>
      </c>
      <c r="D901" t="s">
        <v>5556</v>
      </c>
      <c r="E901">
        <v>1</v>
      </c>
      <c r="F901">
        <v>0.44</v>
      </c>
      <c r="H901" t="s">
        <v>4524</v>
      </c>
      <c r="I901" t="s">
        <v>6671</v>
      </c>
    </row>
    <row r="902" spans="1:9">
      <c r="A902" t="s">
        <v>6229</v>
      </c>
      <c r="B902" t="s">
        <v>6672</v>
      </c>
      <c r="C902">
        <v>1</v>
      </c>
      <c r="D902" t="s">
        <v>5556</v>
      </c>
      <c r="E902">
        <v>2</v>
      </c>
      <c r="F902">
        <v>8</v>
      </c>
      <c r="H902" t="s">
        <v>4524</v>
      </c>
      <c r="I902" t="s">
        <v>6671</v>
      </c>
    </row>
    <row r="903" spans="1:9">
      <c r="A903" t="s">
        <v>6229</v>
      </c>
      <c r="B903" t="s">
        <v>6673</v>
      </c>
      <c r="C903">
        <v>1</v>
      </c>
      <c r="D903" t="s">
        <v>5556</v>
      </c>
      <c r="E903">
        <v>0.88</v>
      </c>
      <c r="F903">
        <v>3</v>
      </c>
      <c r="H903" t="s">
        <v>4524</v>
      </c>
      <c r="I903" t="s">
        <v>6671</v>
      </c>
    </row>
    <row r="904" spans="1:9">
      <c r="A904" t="s">
        <v>6229</v>
      </c>
      <c r="B904" t="s">
        <v>6674</v>
      </c>
      <c r="C904">
        <v>1</v>
      </c>
      <c r="D904" t="s">
        <v>5556</v>
      </c>
      <c r="E904">
        <v>1.5</v>
      </c>
      <c r="F904">
        <v>8.8000000000000007</v>
      </c>
      <c r="H904" t="s">
        <v>4524</v>
      </c>
      <c r="I904" t="s">
        <v>6671</v>
      </c>
    </row>
    <row r="905" spans="1:9">
      <c r="A905" t="s">
        <v>6229</v>
      </c>
      <c r="B905" t="s">
        <v>6675</v>
      </c>
      <c r="C905">
        <v>1</v>
      </c>
      <c r="D905" t="s">
        <v>6460</v>
      </c>
      <c r="E905">
        <v>1.75</v>
      </c>
      <c r="F905">
        <v>5.3</v>
      </c>
      <c r="H905" t="s">
        <v>4524</v>
      </c>
      <c r="I905" t="s">
        <v>6676</v>
      </c>
    </row>
    <row r="906" spans="1:9">
      <c r="A906" t="s">
        <v>6229</v>
      </c>
      <c r="B906" t="s">
        <v>6677</v>
      </c>
      <c r="C906">
        <v>1</v>
      </c>
      <c r="D906" t="s">
        <v>6460</v>
      </c>
      <c r="E906">
        <v>0.25</v>
      </c>
      <c r="F906">
        <v>0.44</v>
      </c>
      <c r="H906" t="s">
        <v>4524</v>
      </c>
      <c r="I906" t="s">
        <v>6676</v>
      </c>
    </row>
    <row r="907" spans="1:9">
      <c r="A907" t="s">
        <v>6229</v>
      </c>
      <c r="B907" t="s">
        <v>6678</v>
      </c>
      <c r="C907">
        <v>1</v>
      </c>
      <c r="D907" t="s">
        <v>6460</v>
      </c>
      <c r="E907">
        <v>0.25</v>
      </c>
      <c r="F907">
        <v>0.44</v>
      </c>
      <c r="H907" t="s">
        <v>4524</v>
      </c>
      <c r="I907" t="s">
        <v>6676</v>
      </c>
    </row>
    <row r="908" spans="1:9">
      <c r="A908" t="s">
        <v>6229</v>
      </c>
      <c r="B908" t="s">
        <v>6679</v>
      </c>
      <c r="C908">
        <v>1</v>
      </c>
      <c r="D908" t="s">
        <v>6460</v>
      </c>
      <c r="E908">
        <v>1.3</v>
      </c>
      <c r="F908">
        <v>3</v>
      </c>
      <c r="H908" t="s">
        <v>4524</v>
      </c>
      <c r="I908" t="s">
        <v>6676</v>
      </c>
    </row>
    <row r="909" spans="1:9">
      <c r="A909" t="s">
        <v>6229</v>
      </c>
      <c r="B909" t="s">
        <v>6680</v>
      </c>
      <c r="C909">
        <v>1</v>
      </c>
      <c r="D909" t="s">
        <v>6460</v>
      </c>
      <c r="E909">
        <v>1.1000000000000001</v>
      </c>
      <c r="F909">
        <v>1.8</v>
      </c>
      <c r="H909" t="s">
        <v>4524</v>
      </c>
      <c r="I909" t="s">
        <v>6676</v>
      </c>
    </row>
    <row r="910" spans="1:9">
      <c r="A910" t="s">
        <v>6229</v>
      </c>
      <c r="B910" t="s">
        <v>6681</v>
      </c>
      <c r="C910">
        <v>1</v>
      </c>
      <c r="D910" t="s">
        <v>6460</v>
      </c>
      <c r="E910">
        <v>1.25</v>
      </c>
      <c r="F910">
        <v>4.4000000000000004</v>
      </c>
      <c r="H910" t="s">
        <v>4524</v>
      </c>
      <c r="I910" t="s">
        <v>6676</v>
      </c>
    </row>
    <row r="911" spans="1:9">
      <c r="A911" t="s">
        <v>6229</v>
      </c>
      <c r="B911" t="s">
        <v>6682</v>
      </c>
      <c r="C911">
        <v>1</v>
      </c>
      <c r="D911" t="s">
        <v>6460</v>
      </c>
      <c r="E911">
        <v>0.3</v>
      </c>
      <c r="F911">
        <v>1.3</v>
      </c>
      <c r="H911" t="s">
        <v>4524</v>
      </c>
      <c r="I911" t="s">
        <v>6676</v>
      </c>
    </row>
    <row r="912" spans="1:9">
      <c r="A912" t="s">
        <v>6229</v>
      </c>
      <c r="B912" t="s">
        <v>6683</v>
      </c>
      <c r="C912">
        <v>1</v>
      </c>
      <c r="D912" t="s">
        <v>6460</v>
      </c>
      <c r="E912">
        <v>0.6</v>
      </c>
      <c r="F912">
        <v>52.8</v>
      </c>
      <c r="H912" t="s">
        <v>4524</v>
      </c>
      <c r="I912" t="s">
        <v>6676</v>
      </c>
    </row>
    <row r="913" spans="1:9">
      <c r="A913" t="s">
        <v>6229</v>
      </c>
      <c r="B913" t="s">
        <v>6684</v>
      </c>
      <c r="C913">
        <v>1</v>
      </c>
      <c r="D913" t="s">
        <v>6460</v>
      </c>
      <c r="E913">
        <v>10</v>
      </c>
      <c r="F913">
        <v>4</v>
      </c>
      <c r="H913" t="s">
        <v>4524</v>
      </c>
      <c r="I913" t="s">
        <v>6676</v>
      </c>
    </row>
    <row r="914" spans="1:9">
      <c r="A914" t="s">
        <v>5674</v>
      </c>
      <c r="B914" t="s">
        <v>6685</v>
      </c>
      <c r="C914">
        <v>1</v>
      </c>
      <c r="D914" t="s">
        <v>5556</v>
      </c>
      <c r="E914">
        <v>0.5</v>
      </c>
      <c r="F914">
        <v>0.44</v>
      </c>
      <c r="H914" t="s">
        <v>4524</v>
      </c>
      <c r="I914" t="s">
        <v>6676</v>
      </c>
    </row>
    <row r="915" spans="1:9">
      <c r="A915" t="s">
        <v>5838</v>
      </c>
      <c r="B915" t="s">
        <v>6686</v>
      </c>
      <c r="C915">
        <v>1</v>
      </c>
      <c r="D915" t="s">
        <v>5746</v>
      </c>
      <c r="E915">
        <v>5</v>
      </c>
      <c r="F915">
        <v>52.8</v>
      </c>
      <c r="H915" t="s">
        <v>4581</v>
      </c>
      <c r="I915" t="s">
        <v>6687</v>
      </c>
    </row>
    <row r="916" spans="1:9">
      <c r="A916" t="s">
        <v>5838</v>
      </c>
      <c r="B916" t="s">
        <v>6688</v>
      </c>
      <c r="C916">
        <v>1</v>
      </c>
      <c r="D916" t="s">
        <v>5556</v>
      </c>
      <c r="E916">
        <v>0.25</v>
      </c>
      <c r="F916">
        <v>6.6</v>
      </c>
      <c r="H916" t="s">
        <v>4581</v>
      </c>
      <c r="I916" t="s">
        <v>6687</v>
      </c>
    </row>
    <row r="917" spans="1:9">
      <c r="A917" t="s">
        <v>5838</v>
      </c>
      <c r="B917" t="s">
        <v>6689</v>
      </c>
      <c r="C917">
        <v>1</v>
      </c>
      <c r="D917" t="s">
        <v>5556</v>
      </c>
      <c r="E917">
        <v>0.18</v>
      </c>
      <c r="F917">
        <v>6.6</v>
      </c>
      <c r="H917" t="s">
        <v>4581</v>
      </c>
      <c r="I917" t="s">
        <v>6687</v>
      </c>
    </row>
    <row r="918" spans="1:9">
      <c r="A918" t="s">
        <v>5838</v>
      </c>
      <c r="B918" t="s">
        <v>6690</v>
      </c>
      <c r="C918">
        <v>1</v>
      </c>
      <c r="D918" t="s">
        <v>5556</v>
      </c>
      <c r="E918">
        <v>1.5</v>
      </c>
      <c r="F918">
        <v>5.28</v>
      </c>
      <c r="H918" t="s">
        <v>4581</v>
      </c>
      <c r="I918" t="s">
        <v>6687</v>
      </c>
    </row>
    <row r="919" spans="1:9">
      <c r="A919" t="s">
        <v>5838</v>
      </c>
      <c r="B919" t="s">
        <v>6691</v>
      </c>
      <c r="C919">
        <v>1</v>
      </c>
      <c r="D919" t="s">
        <v>5556</v>
      </c>
      <c r="E919">
        <v>0.1</v>
      </c>
      <c r="F919">
        <v>2.1999999999999999E-2</v>
      </c>
      <c r="H919" t="s">
        <v>4581</v>
      </c>
      <c r="I919" t="s">
        <v>6692</v>
      </c>
    </row>
    <row r="920" spans="1:9">
      <c r="A920" t="s">
        <v>5838</v>
      </c>
      <c r="B920" t="s">
        <v>6693</v>
      </c>
      <c r="C920">
        <v>1</v>
      </c>
      <c r="D920" t="s">
        <v>5556</v>
      </c>
      <c r="E920">
        <v>0.5</v>
      </c>
      <c r="F920">
        <v>0.88</v>
      </c>
      <c r="H920" t="s">
        <v>4581</v>
      </c>
      <c r="I920" t="s">
        <v>6692</v>
      </c>
    </row>
    <row r="921" spans="1:9">
      <c r="A921" t="s">
        <v>5838</v>
      </c>
      <c r="B921" t="s">
        <v>6694</v>
      </c>
      <c r="C921">
        <v>1</v>
      </c>
      <c r="D921" t="s">
        <v>5556</v>
      </c>
      <c r="E921">
        <v>0.75</v>
      </c>
      <c r="F921">
        <v>0.88</v>
      </c>
      <c r="H921" t="s">
        <v>4581</v>
      </c>
      <c r="I921" t="s">
        <v>6692</v>
      </c>
    </row>
    <row r="922" spans="1:9">
      <c r="A922" t="s">
        <v>5838</v>
      </c>
      <c r="B922" t="s">
        <v>6695</v>
      </c>
      <c r="C922">
        <v>1</v>
      </c>
      <c r="D922" t="s">
        <v>5556</v>
      </c>
      <c r="E922">
        <v>0.15</v>
      </c>
      <c r="F922">
        <v>2.1999999999999999E-2</v>
      </c>
      <c r="H922" t="s">
        <v>4581</v>
      </c>
      <c r="I922" t="s">
        <v>6692</v>
      </c>
    </row>
    <row r="923" spans="1:9">
      <c r="A923" t="s">
        <v>5844</v>
      </c>
      <c r="B923" t="s">
        <v>6696</v>
      </c>
      <c r="C923">
        <v>1</v>
      </c>
      <c r="D923" t="s">
        <v>5556</v>
      </c>
      <c r="E923">
        <v>0.13</v>
      </c>
      <c r="F923">
        <v>0.44</v>
      </c>
      <c r="H923" t="s">
        <v>4581</v>
      </c>
      <c r="I923" t="s">
        <v>6692</v>
      </c>
    </row>
    <row r="924" spans="1:9">
      <c r="A924" t="s">
        <v>5676</v>
      </c>
      <c r="B924" t="s">
        <v>6697</v>
      </c>
      <c r="C924">
        <v>1</v>
      </c>
      <c r="D924" t="s">
        <v>5635</v>
      </c>
      <c r="E924">
        <v>0.5</v>
      </c>
      <c r="F924">
        <v>4.4999999999999998E-2</v>
      </c>
      <c r="H924" t="s">
        <v>4670</v>
      </c>
      <c r="I924" t="s">
        <v>6698</v>
      </c>
    </row>
    <row r="925" spans="1:9">
      <c r="A925" t="s">
        <v>5676</v>
      </c>
      <c r="B925" t="s">
        <v>6699</v>
      </c>
      <c r="C925">
        <v>1</v>
      </c>
      <c r="D925" t="s">
        <v>5556</v>
      </c>
      <c r="E925">
        <v>5</v>
      </c>
      <c r="F925">
        <v>1.75</v>
      </c>
      <c r="H925" t="s">
        <v>4670</v>
      </c>
      <c r="I925" t="s">
        <v>6698</v>
      </c>
    </row>
    <row r="926" spans="1:9">
      <c r="A926" t="s">
        <v>5676</v>
      </c>
      <c r="B926" t="s">
        <v>6700</v>
      </c>
      <c r="C926">
        <v>1</v>
      </c>
      <c r="D926" t="s">
        <v>5556</v>
      </c>
      <c r="E926">
        <v>3</v>
      </c>
      <c r="F926">
        <v>0.75</v>
      </c>
      <c r="H926" t="s">
        <v>4670</v>
      </c>
      <c r="I926" t="s">
        <v>6698</v>
      </c>
    </row>
    <row r="927" spans="1:9">
      <c r="A927" t="s">
        <v>5639</v>
      </c>
      <c r="B927" t="s">
        <v>6701</v>
      </c>
      <c r="C927">
        <v>1</v>
      </c>
      <c r="D927" t="s">
        <v>5635</v>
      </c>
      <c r="E927">
        <v>0.02</v>
      </c>
      <c r="F927">
        <v>1.8</v>
      </c>
      <c r="H927" t="s">
        <v>4670</v>
      </c>
      <c r="I927" t="s">
        <v>6698</v>
      </c>
    </row>
    <row r="928" spans="1:9">
      <c r="A928" t="s">
        <v>5633</v>
      </c>
      <c r="B928" t="s">
        <v>6702</v>
      </c>
      <c r="C928">
        <v>1</v>
      </c>
      <c r="D928" t="s">
        <v>5556</v>
      </c>
      <c r="E928">
        <v>0.05</v>
      </c>
      <c r="F928">
        <v>1.4E-2</v>
      </c>
      <c r="H928" t="s">
        <v>4670</v>
      </c>
      <c r="I928" t="s">
        <v>6703</v>
      </c>
    </row>
    <row r="929" spans="1:9">
      <c r="A929" t="s">
        <v>5676</v>
      </c>
      <c r="B929" t="s">
        <v>6704</v>
      </c>
      <c r="C929">
        <v>1</v>
      </c>
      <c r="D929" t="s">
        <v>5646</v>
      </c>
      <c r="E929">
        <v>0.5</v>
      </c>
      <c r="F929">
        <v>1</v>
      </c>
      <c r="H929" t="s">
        <v>4670</v>
      </c>
      <c r="I929" t="s">
        <v>6703</v>
      </c>
    </row>
    <row r="930" spans="1:9">
      <c r="A930" t="s">
        <v>5838</v>
      </c>
      <c r="B930" t="s">
        <v>6705</v>
      </c>
      <c r="C930">
        <v>1</v>
      </c>
      <c r="D930" t="s">
        <v>5556</v>
      </c>
      <c r="E930">
        <v>0.5</v>
      </c>
      <c r="F930">
        <v>4.4000000000000004</v>
      </c>
      <c r="H930" t="s">
        <v>4670</v>
      </c>
      <c r="I930" t="s">
        <v>4547</v>
      </c>
    </row>
    <row r="931" spans="1:9">
      <c r="A931" t="s">
        <v>5676</v>
      </c>
      <c r="B931" t="s">
        <v>6706</v>
      </c>
      <c r="C931">
        <v>1</v>
      </c>
      <c r="D931" t="s">
        <v>5698</v>
      </c>
      <c r="E931">
        <v>0.5</v>
      </c>
      <c r="F931">
        <v>0.2</v>
      </c>
      <c r="H931" t="s">
        <v>4670</v>
      </c>
      <c r="I931" t="s">
        <v>4547</v>
      </c>
    </row>
    <row r="932" spans="1:9">
      <c r="A932" t="s">
        <v>5676</v>
      </c>
      <c r="B932" t="s">
        <v>6707</v>
      </c>
      <c r="C932">
        <v>1</v>
      </c>
      <c r="D932" t="s">
        <v>5698</v>
      </c>
      <c r="E932">
        <v>0.5</v>
      </c>
      <c r="F932">
        <v>0.15</v>
      </c>
      <c r="H932" t="s">
        <v>4670</v>
      </c>
      <c r="I932" t="s">
        <v>4547</v>
      </c>
    </row>
    <row r="933" spans="1:9">
      <c r="A933" t="s">
        <v>5676</v>
      </c>
      <c r="B933" t="s">
        <v>6708</v>
      </c>
      <c r="C933">
        <v>1</v>
      </c>
      <c r="D933" t="s">
        <v>5698</v>
      </c>
      <c r="E933">
        <v>0.5</v>
      </c>
      <c r="F933">
        <v>0.35</v>
      </c>
      <c r="H933" t="s">
        <v>4670</v>
      </c>
      <c r="I933" t="s">
        <v>4547</v>
      </c>
    </row>
    <row r="934" spans="1:9">
      <c r="A934" t="s">
        <v>5676</v>
      </c>
      <c r="B934" t="s">
        <v>6709</v>
      </c>
      <c r="C934">
        <v>1</v>
      </c>
      <c r="D934" t="s">
        <v>5698</v>
      </c>
      <c r="E934">
        <v>0.5</v>
      </c>
      <c r="F934">
        <v>0.1</v>
      </c>
      <c r="H934" t="s">
        <v>4670</v>
      </c>
      <c r="I934" t="s">
        <v>4547</v>
      </c>
    </row>
    <row r="935" spans="1:9">
      <c r="A935" t="s">
        <v>5676</v>
      </c>
      <c r="B935" t="s">
        <v>6710</v>
      </c>
      <c r="C935">
        <v>1</v>
      </c>
      <c r="D935" t="s">
        <v>5698</v>
      </c>
      <c r="E935">
        <v>0.5</v>
      </c>
      <c r="F935">
        <v>0.2</v>
      </c>
      <c r="H935" t="s">
        <v>4670</v>
      </c>
      <c r="I935" t="s">
        <v>4547</v>
      </c>
    </row>
    <row r="936" spans="1:9">
      <c r="A936" t="s">
        <v>5676</v>
      </c>
      <c r="B936" t="s">
        <v>6711</v>
      </c>
      <c r="C936">
        <v>1</v>
      </c>
      <c r="D936" t="s">
        <v>5698</v>
      </c>
      <c r="E936">
        <v>0.5</v>
      </c>
      <c r="F936">
        <v>0.1</v>
      </c>
      <c r="H936" t="s">
        <v>4670</v>
      </c>
      <c r="I936" t="s">
        <v>4547</v>
      </c>
    </row>
    <row r="937" spans="1:9">
      <c r="A937" t="s">
        <v>5676</v>
      </c>
      <c r="B937" t="s">
        <v>6712</v>
      </c>
      <c r="C937">
        <v>1</v>
      </c>
      <c r="D937" t="s">
        <v>5556</v>
      </c>
      <c r="E937">
        <v>0.5</v>
      </c>
      <c r="F937">
        <v>0.5</v>
      </c>
      <c r="H937" t="s">
        <v>4670</v>
      </c>
      <c r="I937" t="s">
        <v>4547</v>
      </c>
    </row>
    <row r="938" spans="1:9">
      <c r="A938" t="s">
        <v>5676</v>
      </c>
      <c r="B938" t="s">
        <v>6713</v>
      </c>
      <c r="C938">
        <v>1</v>
      </c>
      <c r="D938" t="s">
        <v>5698</v>
      </c>
      <c r="E938">
        <v>0.5</v>
      </c>
      <c r="F938">
        <v>0.15</v>
      </c>
      <c r="H938" t="s">
        <v>4670</v>
      </c>
      <c r="I938" t="s">
        <v>4547</v>
      </c>
    </row>
    <row r="939" spans="1:9">
      <c r="A939" t="s">
        <v>5674</v>
      </c>
      <c r="B939" t="s">
        <v>6714</v>
      </c>
      <c r="C939">
        <v>1</v>
      </c>
      <c r="D939" t="s">
        <v>5556</v>
      </c>
      <c r="E939">
        <v>0.5</v>
      </c>
      <c r="F939">
        <v>0.05</v>
      </c>
      <c r="H939" t="s">
        <v>4670</v>
      </c>
      <c r="I939" t="s">
        <v>4547</v>
      </c>
    </row>
    <row r="940" spans="1:9">
      <c r="A940" t="s">
        <v>5676</v>
      </c>
      <c r="B940" t="s">
        <v>6715</v>
      </c>
      <c r="C940">
        <v>1</v>
      </c>
      <c r="D940" t="s">
        <v>5646</v>
      </c>
      <c r="E940">
        <v>0.5</v>
      </c>
      <c r="F940">
        <v>0.05</v>
      </c>
      <c r="H940" t="s">
        <v>4670</v>
      </c>
      <c r="I940" t="s">
        <v>6716</v>
      </c>
    </row>
    <row r="941" spans="1:9">
      <c r="A941" t="s">
        <v>5676</v>
      </c>
      <c r="B941" t="s">
        <v>6717</v>
      </c>
      <c r="C941">
        <v>1</v>
      </c>
      <c r="D941" t="s">
        <v>5678</v>
      </c>
      <c r="E941">
        <v>0.5</v>
      </c>
      <c r="F941">
        <v>7.4999999999999997E-2</v>
      </c>
      <c r="H941" t="s">
        <v>4670</v>
      </c>
      <c r="I941" t="s">
        <v>6716</v>
      </c>
    </row>
    <row r="942" spans="1:9">
      <c r="A942" t="s">
        <v>5676</v>
      </c>
      <c r="B942" t="s">
        <v>6718</v>
      </c>
      <c r="C942">
        <v>1</v>
      </c>
      <c r="D942" t="s">
        <v>5678</v>
      </c>
      <c r="E942">
        <v>0.5</v>
      </c>
      <c r="F942">
        <v>1</v>
      </c>
      <c r="H942" t="s">
        <v>4670</v>
      </c>
      <c r="I942" t="s">
        <v>6716</v>
      </c>
    </row>
    <row r="943" spans="1:9">
      <c r="A943" t="s">
        <v>5676</v>
      </c>
      <c r="B943" t="s">
        <v>6719</v>
      </c>
      <c r="C943">
        <v>1</v>
      </c>
      <c r="D943" t="s">
        <v>5678</v>
      </c>
      <c r="E943">
        <v>0.5</v>
      </c>
      <c r="F943">
        <v>0.1</v>
      </c>
      <c r="H943" t="s">
        <v>4670</v>
      </c>
      <c r="I943" t="s">
        <v>6716</v>
      </c>
    </row>
    <row r="944" spans="1:9">
      <c r="A944" t="s">
        <v>5676</v>
      </c>
      <c r="B944" t="s">
        <v>6720</v>
      </c>
      <c r="C944">
        <v>1</v>
      </c>
      <c r="D944" t="s">
        <v>5678</v>
      </c>
      <c r="E944">
        <v>0.5</v>
      </c>
      <c r="F944">
        <v>7.4999999999999997E-2</v>
      </c>
      <c r="H944" t="s">
        <v>4670</v>
      </c>
      <c r="I944" t="s">
        <v>6716</v>
      </c>
    </row>
    <row r="945" spans="1:9">
      <c r="A945" t="s">
        <v>5676</v>
      </c>
      <c r="B945" t="s">
        <v>6721</v>
      </c>
      <c r="C945">
        <v>1</v>
      </c>
      <c r="D945" t="s">
        <v>5632</v>
      </c>
      <c r="E945">
        <v>0.5</v>
      </c>
      <c r="F945">
        <v>1.4999999999999999E-2</v>
      </c>
      <c r="H945" t="s">
        <v>4670</v>
      </c>
      <c r="I945" t="s">
        <v>6716</v>
      </c>
    </row>
    <row r="946" spans="1:9">
      <c r="A946" t="s">
        <v>5633</v>
      </c>
      <c r="B946" t="s">
        <v>6722</v>
      </c>
      <c r="C946">
        <v>1</v>
      </c>
      <c r="D946" t="s">
        <v>5556</v>
      </c>
      <c r="E946">
        <v>0.05</v>
      </c>
      <c r="F946">
        <v>3.0000000000000001E-3</v>
      </c>
      <c r="H946" t="s">
        <v>4670</v>
      </c>
      <c r="I946" t="s">
        <v>6723</v>
      </c>
    </row>
    <row r="947" spans="1:9">
      <c r="A947" t="s">
        <v>5633</v>
      </c>
      <c r="B947" t="s">
        <v>6724</v>
      </c>
      <c r="C947">
        <v>1</v>
      </c>
      <c r="D947" t="s">
        <v>5556</v>
      </c>
      <c r="E947">
        <v>0.1</v>
      </c>
      <c r="F947">
        <v>6.0000000000000001E-3</v>
      </c>
      <c r="H947" t="s">
        <v>4670</v>
      </c>
      <c r="I947" t="s">
        <v>6723</v>
      </c>
    </row>
    <row r="948" spans="1:9">
      <c r="A948" t="s">
        <v>5633</v>
      </c>
      <c r="B948" t="s">
        <v>6725</v>
      </c>
      <c r="C948">
        <v>1</v>
      </c>
      <c r="D948" t="s">
        <v>5632</v>
      </c>
      <c r="E948">
        <v>0.25</v>
      </c>
      <c r="F948">
        <v>2.1999999999999999E-2</v>
      </c>
      <c r="H948" t="s">
        <v>4670</v>
      </c>
      <c r="I948" t="s">
        <v>6723</v>
      </c>
    </row>
    <row r="949" spans="1:9">
      <c r="A949" t="s">
        <v>5793</v>
      </c>
      <c r="B949" t="s">
        <v>6726</v>
      </c>
      <c r="C949">
        <v>1</v>
      </c>
      <c r="D949" t="s">
        <v>5646</v>
      </c>
      <c r="E949">
        <v>2</v>
      </c>
      <c r="F949">
        <v>2.6</v>
      </c>
      <c r="H949" t="s">
        <v>4670</v>
      </c>
      <c r="I949" t="s">
        <v>6723</v>
      </c>
    </row>
    <row r="950" spans="1:9">
      <c r="A950" t="s">
        <v>6024</v>
      </c>
      <c r="B950" t="s">
        <v>6727</v>
      </c>
      <c r="C950">
        <v>1</v>
      </c>
      <c r="D950" t="s">
        <v>6026</v>
      </c>
      <c r="E950" t="s">
        <v>5557</v>
      </c>
      <c r="F950">
        <v>7</v>
      </c>
      <c r="H950" t="s">
        <v>4670</v>
      </c>
      <c r="I950" t="s">
        <v>6728</v>
      </c>
    </row>
    <row r="951" spans="1:9">
      <c r="A951" t="s">
        <v>6024</v>
      </c>
      <c r="B951" t="s">
        <v>6729</v>
      </c>
      <c r="C951">
        <v>1</v>
      </c>
      <c r="D951" t="s">
        <v>6026</v>
      </c>
      <c r="E951" t="s">
        <v>5557</v>
      </c>
      <c r="F951">
        <v>4.2</v>
      </c>
      <c r="H951" t="s">
        <v>4670</v>
      </c>
      <c r="I951" t="s">
        <v>6728</v>
      </c>
    </row>
    <row r="952" spans="1:9">
      <c r="A952" t="s">
        <v>6024</v>
      </c>
      <c r="B952" t="s">
        <v>6730</v>
      </c>
      <c r="C952">
        <v>1</v>
      </c>
      <c r="D952" t="s">
        <v>6026</v>
      </c>
      <c r="E952" t="s">
        <v>5557</v>
      </c>
      <c r="F952">
        <v>1.2</v>
      </c>
      <c r="H952" t="s">
        <v>4670</v>
      </c>
      <c r="I952" t="s">
        <v>6728</v>
      </c>
    </row>
    <row r="953" spans="1:9">
      <c r="A953" t="s">
        <v>6024</v>
      </c>
      <c r="B953" t="s">
        <v>6731</v>
      </c>
      <c r="C953">
        <v>1</v>
      </c>
      <c r="D953" t="s">
        <v>6026</v>
      </c>
      <c r="E953" t="s">
        <v>5557</v>
      </c>
      <c r="F953">
        <v>2.6</v>
      </c>
      <c r="H953" t="s">
        <v>4670</v>
      </c>
      <c r="I953" t="s">
        <v>6728</v>
      </c>
    </row>
    <row r="954" spans="1:9">
      <c r="A954" t="s">
        <v>5649</v>
      </c>
      <c r="B954" t="s">
        <v>6732</v>
      </c>
      <c r="C954">
        <v>1</v>
      </c>
      <c r="D954" t="s">
        <v>5556</v>
      </c>
      <c r="E954">
        <v>0.25</v>
      </c>
      <c r="F954">
        <v>2.5</v>
      </c>
      <c r="H954" t="s">
        <v>4421</v>
      </c>
      <c r="I954" t="s">
        <v>1418</v>
      </c>
    </row>
    <row r="955" spans="1:9">
      <c r="A955" t="s">
        <v>6024</v>
      </c>
      <c r="B955" t="s">
        <v>6733</v>
      </c>
      <c r="C955">
        <v>1</v>
      </c>
      <c r="D955" t="s">
        <v>6026</v>
      </c>
      <c r="E955" t="s">
        <v>5557</v>
      </c>
      <c r="F955">
        <v>35.6</v>
      </c>
      <c r="H955" t="s">
        <v>4494</v>
      </c>
      <c r="I955" t="s">
        <v>6610</v>
      </c>
    </row>
    <row r="956" spans="1:9">
      <c r="A956" t="s">
        <v>6024</v>
      </c>
      <c r="B956" t="s">
        <v>6734</v>
      </c>
      <c r="C956">
        <v>1</v>
      </c>
      <c r="D956" t="s">
        <v>6026</v>
      </c>
      <c r="E956" t="s">
        <v>5557</v>
      </c>
      <c r="F956">
        <v>66</v>
      </c>
      <c r="H956" t="s">
        <v>4494</v>
      </c>
      <c r="I956" t="s">
        <v>6610</v>
      </c>
    </row>
    <row r="957" spans="1:9">
      <c r="A957" t="s">
        <v>6024</v>
      </c>
      <c r="B957" t="s">
        <v>6735</v>
      </c>
      <c r="C957">
        <v>1</v>
      </c>
      <c r="D957" t="s">
        <v>6026</v>
      </c>
      <c r="E957" t="s">
        <v>5557</v>
      </c>
      <c r="F957">
        <v>22.3</v>
      </c>
      <c r="H957" t="s">
        <v>4494</v>
      </c>
      <c r="I957" t="s">
        <v>6610</v>
      </c>
    </row>
    <row r="958" spans="1:9">
      <c r="A958" t="s">
        <v>6024</v>
      </c>
      <c r="B958" t="s">
        <v>6736</v>
      </c>
      <c r="C958">
        <v>1</v>
      </c>
      <c r="D958" t="s">
        <v>6026</v>
      </c>
      <c r="E958" t="s">
        <v>5557</v>
      </c>
      <c r="F958">
        <v>35</v>
      </c>
      <c r="H958" t="s">
        <v>4494</v>
      </c>
      <c r="I958" t="s">
        <v>6610</v>
      </c>
    </row>
    <row r="959" spans="1:9">
      <c r="A959" t="s">
        <v>6024</v>
      </c>
      <c r="B959" t="s">
        <v>6737</v>
      </c>
      <c r="C959">
        <v>1</v>
      </c>
      <c r="D959" t="s">
        <v>5556</v>
      </c>
      <c r="E959">
        <v>0.25</v>
      </c>
      <c r="F959">
        <v>4</v>
      </c>
      <c r="H959" t="s">
        <v>4494</v>
      </c>
      <c r="I959" t="s">
        <v>6610</v>
      </c>
    </row>
    <row r="960" spans="1:9">
      <c r="A960" t="s">
        <v>6024</v>
      </c>
      <c r="B960" t="s">
        <v>6738</v>
      </c>
      <c r="C960">
        <v>1</v>
      </c>
      <c r="D960" t="s">
        <v>5556</v>
      </c>
      <c r="E960">
        <v>0.25</v>
      </c>
      <c r="F960">
        <v>31</v>
      </c>
      <c r="H960" t="s">
        <v>4494</v>
      </c>
      <c r="I960" t="s">
        <v>6610</v>
      </c>
    </row>
    <row r="961" spans="1:9">
      <c r="A961" t="s">
        <v>6024</v>
      </c>
      <c r="B961" t="s">
        <v>6739</v>
      </c>
      <c r="C961">
        <v>0.5</v>
      </c>
      <c r="D961" t="s">
        <v>6026</v>
      </c>
      <c r="E961" t="s">
        <v>5557</v>
      </c>
      <c r="F961">
        <v>5</v>
      </c>
      <c r="H961" t="s">
        <v>4494</v>
      </c>
      <c r="I961" t="s">
        <v>6610</v>
      </c>
    </row>
    <row r="962" spans="1:9">
      <c r="A962" t="s">
        <v>6024</v>
      </c>
      <c r="B962" t="s">
        <v>6740</v>
      </c>
      <c r="C962">
        <v>1</v>
      </c>
      <c r="D962" t="s">
        <v>6026</v>
      </c>
      <c r="E962" t="s">
        <v>5557</v>
      </c>
      <c r="F962">
        <v>40</v>
      </c>
      <c r="H962" t="s">
        <v>4494</v>
      </c>
      <c r="I962" t="s">
        <v>6610</v>
      </c>
    </row>
    <row r="963" spans="1:9">
      <c r="A963" t="s">
        <v>6024</v>
      </c>
      <c r="B963" t="s">
        <v>6741</v>
      </c>
      <c r="C963">
        <v>1</v>
      </c>
      <c r="D963" t="s">
        <v>6026</v>
      </c>
      <c r="E963" t="s">
        <v>5557</v>
      </c>
      <c r="F963">
        <v>3</v>
      </c>
      <c r="H963" t="s">
        <v>4494</v>
      </c>
      <c r="I963" t="s">
        <v>6742</v>
      </c>
    </row>
    <row r="964" spans="1:9">
      <c r="A964" t="s">
        <v>6024</v>
      </c>
      <c r="B964" t="s">
        <v>6743</v>
      </c>
      <c r="C964">
        <v>7.5</v>
      </c>
      <c r="D964" t="s">
        <v>6026</v>
      </c>
      <c r="E964">
        <v>7.5</v>
      </c>
      <c r="F964">
        <v>52.8</v>
      </c>
      <c r="H964" t="s">
        <v>4494</v>
      </c>
      <c r="I964" t="s">
        <v>6742</v>
      </c>
    </row>
    <row r="965" spans="1:9">
      <c r="A965" t="s">
        <v>6024</v>
      </c>
      <c r="B965" t="s">
        <v>6743</v>
      </c>
      <c r="C965">
        <v>1</v>
      </c>
      <c r="D965" t="s">
        <v>6026</v>
      </c>
      <c r="E965" t="s">
        <v>5557</v>
      </c>
      <c r="F965">
        <v>7.9</v>
      </c>
      <c r="H965" t="s">
        <v>4494</v>
      </c>
      <c r="I965" t="s">
        <v>6742</v>
      </c>
    </row>
    <row r="966" spans="1:9">
      <c r="A966" t="s">
        <v>6024</v>
      </c>
      <c r="B966" t="s">
        <v>6744</v>
      </c>
      <c r="C966">
        <v>1</v>
      </c>
      <c r="D966" t="s">
        <v>6026</v>
      </c>
      <c r="E966" t="s">
        <v>5557</v>
      </c>
      <c r="F966">
        <v>5</v>
      </c>
      <c r="H966" t="s">
        <v>4494</v>
      </c>
      <c r="I966" t="s">
        <v>6745</v>
      </c>
    </row>
    <row r="967" spans="1:9">
      <c r="A967" t="s">
        <v>6024</v>
      </c>
      <c r="B967" t="s">
        <v>6746</v>
      </c>
      <c r="C967">
        <v>1</v>
      </c>
      <c r="D967" t="s">
        <v>6026</v>
      </c>
      <c r="E967" t="s">
        <v>5557</v>
      </c>
      <c r="F967">
        <v>8.9</v>
      </c>
      <c r="H967" t="s">
        <v>4494</v>
      </c>
      <c r="I967" t="s">
        <v>6745</v>
      </c>
    </row>
    <row r="968" spans="1:9">
      <c r="A968" t="s">
        <v>6024</v>
      </c>
      <c r="B968" t="s">
        <v>6747</v>
      </c>
      <c r="C968">
        <v>1</v>
      </c>
      <c r="D968" t="s">
        <v>6026</v>
      </c>
      <c r="E968" t="s">
        <v>5557</v>
      </c>
      <c r="F968">
        <v>1.7</v>
      </c>
      <c r="H968" t="s">
        <v>4494</v>
      </c>
      <c r="I968" t="s">
        <v>6745</v>
      </c>
    </row>
    <row r="969" spans="1:9">
      <c r="A969" t="s">
        <v>6024</v>
      </c>
      <c r="B969" t="s">
        <v>6748</v>
      </c>
      <c r="C969">
        <v>1</v>
      </c>
      <c r="D969" t="s">
        <v>6026</v>
      </c>
      <c r="E969" t="s">
        <v>5557</v>
      </c>
      <c r="F969">
        <v>3.9</v>
      </c>
      <c r="H969" t="s">
        <v>4494</v>
      </c>
      <c r="I969" t="s">
        <v>6745</v>
      </c>
    </row>
    <row r="970" spans="1:9">
      <c r="A970" t="s">
        <v>6024</v>
      </c>
      <c r="B970" t="s">
        <v>6749</v>
      </c>
      <c r="C970">
        <v>1</v>
      </c>
      <c r="D970" t="s">
        <v>6026</v>
      </c>
      <c r="E970" t="s">
        <v>5557</v>
      </c>
      <c r="F970">
        <v>2.1</v>
      </c>
      <c r="H970" t="s">
        <v>4494</v>
      </c>
      <c r="I970" t="s">
        <v>6745</v>
      </c>
    </row>
    <row r="971" spans="1:9">
      <c r="A971" t="s">
        <v>6024</v>
      </c>
      <c r="B971" t="s">
        <v>6750</v>
      </c>
      <c r="C971">
        <v>1</v>
      </c>
      <c r="D971" t="s">
        <v>6026</v>
      </c>
      <c r="E971" t="s">
        <v>5557</v>
      </c>
      <c r="F971">
        <v>2.6</v>
      </c>
      <c r="H971" t="s">
        <v>4494</v>
      </c>
      <c r="I971" t="s">
        <v>6745</v>
      </c>
    </row>
    <row r="972" spans="1:9">
      <c r="A972" t="s">
        <v>5782</v>
      </c>
      <c r="B972" t="s">
        <v>6751</v>
      </c>
      <c r="C972">
        <v>100</v>
      </c>
      <c r="D972" t="s">
        <v>5784</v>
      </c>
      <c r="E972" t="s">
        <v>5557</v>
      </c>
      <c r="F972" t="s">
        <v>5558</v>
      </c>
      <c r="H972" t="s">
        <v>5557</v>
      </c>
      <c r="I972" t="s">
        <v>5557</v>
      </c>
    </row>
    <row r="973" spans="1:9">
      <c r="A973" t="s">
        <v>5782</v>
      </c>
      <c r="B973" t="s">
        <v>6752</v>
      </c>
      <c r="C973">
        <v>100</v>
      </c>
      <c r="D973" t="s">
        <v>5784</v>
      </c>
      <c r="E973" t="s">
        <v>5557</v>
      </c>
      <c r="F973" t="s">
        <v>5558</v>
      </c>
      <c r="H973" t="s">
        <v>5557</v>
      </c>
      <c r="I973" t="s">
        <v>5557</v>
      </c>
    </row>
    <row r="974" spans="1:9" ht="36" customHeight="1">
      <c r="A974" s="76" t="s">
        <v>6753</v>
      </c>
      <c r="B974" s="76" t="s">
        <v>6754</v>
      </c>
      <c r="C974" s="77">
        <v>1</v>
      </c>
      <c r="D974" s="76" t="s">
        <v>5746</v>
      </c>
      <c r="E974" s="78">
        <v>0.7</v>
      </c>
      <c r="F974" s="78">
        <v>60</v>
      </c>
      <c r="G974" s="76" t="s">
        <v>6755</v>
      </c>
      <c r="H974" s="76" t="s">
        <v>4400</v>
      </c>
      <c r="I974" s="76" t="s">
        <v>6428</v>
      </c>
    </row>
    <row r="975" spans="1:9" ht="36" customHeight="1">
      <c r="A975" s="76" t="s">
        <v>6753</v>
      </c>
      <c r="B975" s="76" t="s">
        <v>6756</v>
      </c>
      <c r="C975" s="77">
        <v>1</v>
      </c>
      <c r="D975" s="76" t="s">
        <v>5556</v>
      </c>
      <c r="E975" s="78">
        <v>0.03</v>
      </c>
      <c r="F975" s="78">
        <v>4</v>
      </c>
      <c r="G975" s="76" t="s">
        <v>6757</v>
      </c>
      <c r="H975" s="76" t="s">
        <v>4400</v>
      </c>
      <c r="I975" s="76" t="s">
        <v>6428</v>
      </c>
    </row>
    <row r="976" spans="1:9" ht="36" customHeight="1">
      <c r="A976" s="76" t="s">
        <v>5639</v>
      </c>
      <c r="B976" s="76" t="s">
        <v>6758</v>
      </c>
      <c r="C976" s="77">
        <v>1</v>
      </c>
      <c r="D976" s="76" t="s">
        <v>6759</v>
      </c>
      <c r="E976" s="78">
        <v>0.01</v>
      </c>
      <c r="F976" s="78">
        <v>0.3</v>
      </c>
      <c r="G976" s="76" t="s">
        <v>6760</v>
      </c>
      <c r="H976" s="76" t="s">
        <v>4630</v>
      </c>
      <c r="I976" s="76" t="s">
        <v>6761</v>
      </c>
    </row>
    <row r="977" spans="1:9" ht="48" customHeight="1">
      <c r="A977" s="76" t="s">
        <v>5786</v>
      </c>
      <c r="B977" s="76" t="s">
        <v>6762</v>
      </c>
      <c r="C977" s="77">
        <v>1</v>
      </c>
      <c r="D977" s="76" t="s">
        <v>5556</v>
      </c>
      <c r="E977" s="78">
        <v>0.25</v>
      </c>
      <c r="F977" s="78">
        <v>3</v>
      </c>
      <c r="G977" s="76" t="s">
        <v>6763</v>
      </c>
      <c r="H977" s="76" t="s">
        <v>4506</v>
      </c>
      <c r="I977" s="76" t="s">
        <v>6255</v>
      </c>
    </row>
    <row r="978" spans="1:9" ht="24" customHeight="1">
      <c r="A978" s="76" t="s">
        <v>5639</v>
      </c>
      <c r="B978" s="76" t="s">
        <v>6764</v>
      </c>
      <c r="C978" s="77">
        <v>1</v>
      </c>
      <c r="D978" s="76" t="s">
        <v>6759</v>
      </c>
      <c r="E978" s="78">
        <v>0.04</v>
      </c>
      <c r="F978" s="78">
        <v>12</v>
      </c>
      <c r="G978" s="76" t="s">
        <v>6765</v>
      </c>
      <c r="H978" s="76" t="s">
        <v>5080</v>
      </c>
      <c r="I978" s="76" t="s">
        <v>6766</v>
      </c>
    </row>
    <row r="979" spans="1:9" ht="36" customHeight="1">
      <c r="A979" s="76" t="s">
        <v>5639</v>
      </c>
      <c r="B979" s="76" t="s">
        <v>6767</v>
      </c>
      <c r="C979" s="77">
        <v>1</v>
      </c>
      <c r="D979" s="76" t="s">
        <v>6759</v>
      </c>
      <c r="E979" s="78">
        <v>0.05</v>
      </c>
      <c r="F979" s="78">
        <v>20</v>
      </c>
      <c r="G979" s="76" t="s">
        <v>6768</v>
      </c>
      <c r="H979" s="76" t="s">
        <v>5080</v>
      </c>
      <c r="I979" s="76" t="s">
        <v>6766</v>
      </c>
    </row>
    <row r="980" spans="1:9" ht="36" customHeight="1">
      <c r="A980" s="76" t="s">
        <v>5658</v>
      </c>
      <c r="B980" s="76" t="s">
        <v>6769</v>
      </c>
      <c r="C980" s="77">
        <v>1</v>
      </c>
      <c r="D980" s="76" t="s">
        <v>5556</v>
      </c>
      <c r="E980" s="78">
        <v>2</v>
      </c>
      <c r="F980" s="78">
        <v>12</v>
      </c>
      <c r="G980" s="76" t="s">
        <v>6770</v>
      </c>
      <c r="H980" s="76" t="s">
        <v>4352</v>
      </c>
      <c r="I980" s="76" t="s">
        <v>5958</v>
      </c>
    </row>
    <row r="981" spans="1:9" ht="24" customHeight="1">
      <c r="A981" s="76" t="s">
        <v>5658</v>
      </c>
      <c r="B981" s="76" t="s">
        <v>6771</v>
      </c>
      <c r="C981" s="77">
        <v>1</v>
      </c>
      <c r="D981" s="76" t="s">
        <v>5556</v>
      </c>
      <c r="E981" s="78">
        <v>2.5</v>
      </c>
      <c r="F981" s="78">
        <v>35</v>
      </c>
      <c r="G981" s="76" t="s">
        <v>6772</v>
      </c>
      <c r="H981" s="76" t="s">
        <v>4400</v>
      </c>
      <c r="I981" s="76" t="s">
        <v>6428</v>
      </c>
    </row>
    <row r="982" spans="1:9" ht="24" customHeight="1">
      <c r="A982" s="76" t="s">
        <v>6773</v>
      </c>
      <c r="B982" s="76" t="s">
        <v>6774</v>
      </c>
      <c r="C982" s="77">
        <v>1</v>
      </c>
      <c r="D982" s="76" t="s">
        <v>6775</v>
      </c>
      <c r="E982" s="78">
        <v>1</v>
      </c>
      <c r="F982" s="78">
        <v>0.15</v>
      </c>
      <c r="G982" s="76" t="s">
        <v>6776</v>
      </c>
      <c r="H982" s="76" t="s">
        <v>4648</v>
      </c>
      <c r="I982" s="76" t="s">
        <v>6777</v>
      </c>
    </row>
    <row r="983" spans="1:9" ht="36" customHeight="1">
      <c r="A983" s="76" t="s">
        <v>6773</v>
      </c>
      <c r="B983" s="76" t="s">
        <v>6778</v>
      </c>
      <c r="C983" s="77">
        <v>1</v>
      </c>
      <c r="D983" s="76" t="s">
        <v>6779</v>
      </c>
      <c r="E983" s="78">
        <v>0.05</v>
      </c>
      <c r="F983" s="78">
        <v>0.25</v>
      </c>
      <c r="G983" s="76" t="s">
        <v>6780</v>
      </c>
      <c r="H983" s="76" t="s">
        <v>4648</v>
      </c>
      <c r="I983" s="76" t="s">
        <v>6140</v>
      </c>
    </row>
    <row r="984" spans="1:9" ht="24" customHeight="1">
      <c r="A984" s="76" t="s">
        <v>5658</v>
      </c>
      <c r="B984" s="76" t="s">
        <v>6781</v>
      </c>
      <c r="C984" s="77">
        <v>1</v>
      </c>
      <c r="D984" s="76" t="s">
        <v>5556</v>
      </c>
      <c r="E984" s="78">
        <v>0.7</v>
      </c>
      <c r="F984" s="78">
        <v>5</v>
      </c>
      <c r="G984" s="76" t="s">
        <v>6782</v>
      </c>
      <c r="H984" s="76" t="s">
        <v>4400</v>
      </c>
      <c r="I984" s="76" t="s">
        <v>6442</v>
      </c>
    </row>
    <row r="985" spans="1:9" ht="36" customHeight="1">
      <c r="A985" s="76" t="s">
        <v>5658</v>
      </c>
      <c r="B985" s="76" t="s">
        <v>6783</v>
      </c>
      <c r="C985" s="77">
        <v>1</v>
      </c>
      <c r="D985" s="76" t="s">
        <v>5746</v>
      </c>
      <c r="E985" s="78">
        <v>0.8</v>
      </c>
      <c r="F985" s="78">
        <v>90</v>
      </c>
      <c r="G985" s="76" t="s">
        <v>6784</v>
      </c>
      <c r="H985" s="76" t="s">
        <v>4608</v>
      </c>
      <c r="I985" s="76" t="s">
        <v>6785</v>
      </c>
    </row>
    <row r="986" spans="1:9" ht="36" customHeight="1">
      <c r="A986" s="76" t="s">
        <v>5658</v>
      </c>
      <c r="B986" s="76" t="s">
        <v>6786</v>
      </c>
      <c r="C986" s="77">
        <v>1</v>
      </c>
      <c r="D986" s="76" t="s">
        <v>5746</v>
      </c>
      <c r="E986" s="78">
        <v>3</v>
      </c>
      <c r="F986" s="78">
        <v>40</v>
      </c>
      <c r="G986" s="76" t="s">
        <v>6787</v>
      </c>
      <c r="H986" s="76" t="s">
        <v>4400</v>
      </c>
      <c r="I986" s="76" t="s">
        <v>6428</v>
      </c>
    </row>
    <row r="987" spans="1:9" ht="60" customHeight="1">
      <c r="A987" s="76" t="s">
        <v>6788</v>
      </c>
      <c r="B987" s="76" t="s">
        <v>6789</v>
      </c>
      <c r="C987" s="77">
        <v>1</v>
      </c>
      <c r="D987" s="76" t="s">
        <v>5556</v>
      </c>
      <c r="E987" s="78">
        <v>0.6</v>
      </c>
      <c r="F987" s="78">
        <v>6</v>
      </c>
      <c r="G987" s="76" t="s">
        <v>6790</v>
      </c>
      <c r="H987" s="76" t="s">
        <v>4506</v>
      </c>
      <c r="I987" s="76" t="s">
        <v>6198</v>
      </c>
    </row>
    <row r="988" spans="1:9" ht="48" customHeight="1">
      <c r="A988" s="76" t="s">
        <v>5633</v>
      </c>
      <c r="B988" s="76" t="s">
        <v>6791</v>
      </c>
      <c r="C988" s="77">
        <v>1</v>
      </c>
      <c r="D988" s="76" t="s">
        <v>5556</v>
      </c>
      <c r="E988" s="78">
        <v>1</v>
      </c>
      <c r="F988" s="78">
        <v>18</v>
      </c>
      <c r="G988" s="76" t="s">
        <v>6792</v>
      </c>
      <c r="H988" s="76" t="s">
        <v>4400</v>
      </c>
      <c r="I988" s="76" t="s">
        <v>6428</v>
      </c>
    </row>
    <row r="989" spans="1:9" ht="48" customHeight="1">
      <c r="A989" s="76" t="s">
        <v>5658</v>
      </c>
      <c r="B989" s="76" t="s">
        <v>6793</v>
      </c>
      <c r="C989" s="77">
        <v>1</v>
      </c>
      <c r="D989" s="76" t="s">
        <v>5556</v>
      </c>
      <c r="E989" s="78">
        <v>1.5</v>
      </c>
      <c r="F989" s="78">
        <v>18</v>
      </c>
      <c r="G989" s="76" t="s">
        <v>6794</v>
      </c>
      <c r="H989" s="76" t="s">
        <v>4506</v>
      </c>
      <c r="I989" s="76" t="s">
        <v>6255</v>
      </c>
    </row>
    <row r="990" spans="1:9" ht="36" customHeight="1">
      <c r="A990" s="76" t="s">
        <v>6795</v>
      </c>
      <c r="B990" s="76" t="s">
        <v>6796</v>
      </c>
      <c r="C990" s="77">
        <v>1</v>
      </c>
      <c r="D990" s="76" t="s">
        <v>5556</v>
      </c>
      <c r="E990" s="78">
        <v>2</v>
      </c>
      <c r="F990" s="78">
        <v>8</v>
      </c>
      <c r="G990" s="76" t="s">
        <v>6797</v>
      </c>
      <c r="H990" s="76" t="s">
        <v>4481</v>
      </c>
      <c r="I990" s="76" t="s">
        <v>6798</v>
      </c>
    </row>
    <row r="991" spans="1:9" ht="48" customHeight="1">
      <c r="A991" s="76" t="s">
        <v>5793</v>
      </c>
      <c r="B991" s="76" t="s">
        <v>6799</v>
      </c>
      <c r="C991" s="77">
        <v>1</v>
      </c>
      <c r="D991" s="76" t="s">
        <v>6800</v>
      </c>
      <c r="E991" s="78">
        <v>0.5</v>
      </c>
      <c r="F991" s="78">
        <v>10</v>
      </c>
      <c r="G991" s="76" t="s">
        <v>6801</v>
      </c>
      <c r="H991" s="76" t="s">
        <v>4352</v>
      </c>
      <c r="I991" s="76" t="s">
        <v>5958</v>
      </c>
    </row>
    <row r="992" spans="1:9" ht="36" customHeight="1">
      <c r="A992" s="76" t="s">
        <v>5639</v>
      </c>
      <c r="B992" s="76" t="s">
        <v>6802</v>
      </c>
      <c r="C992" s="77">
        <v>1</v>
      </c>
      <c r="D992" s="76" t="s">
        <v>6803</v>
      </c>
      <c r="E992" s="78">
        <v>0.02</v>
      </c>
      <c r="F992" s="78">
        <v>25</v>
      </c>
      <c r="G992" s="76" t="s">
        <v>6804</v>
      </c>
      <c r="H992" s="76" t="s">
        <v>4630</v>
      </c>
      <c r="I992" s="76" t="s">
        <v>6761</v>
      </c>
    </row>
    <row r="993" spans="1:9" ht="48" customHeight="1">
      <c r="A993" s="76" t="s">
        <v>5850</v>
      </c>
      <c r="B993" s="76" t="s">
        <v>6805</v>
      </c>
      <c r="C993" s="77">
        <v>1</v>
      </c>
      <c r="D993" s="76" t="s">
        <v>5556</v>
      </c>
      <c r="E993" s="78">
        <v>5</v>
      </c>
      <c r="F993" s="78">
        <v>600</v>
      </c>
      <c r="G993" s="76" t="s">
        <v>6806</v>
      </c>
      <c r="H993" s="76" t="s">
        <v>4608</v>
      </c>
      <c r="I993" s="76" t="s">
        <v>6785</v>
      </c>
    </row>
    <row r="994" spans="1:9" ht="24" customHeight="1">
      <c r="A994" s="76" t="s">
        <v>5850</v>
      </c>
      <c r="B994" s="76" t="s">
        <v>6807</v>
      </c>
      <c r="C994" s="77">
        <v>1</v>
      </c>
      <c r="D994" s="76" t="s">
        <v>5556</v>
      </c>
      <c r="E994" s="78">
        <v>3</v>
      </c>
      <c r="F994" s="78">
        <v>20</v>
      </c>
      <c r="G994" s="76" t="s">
        <v>6808</v>
      </c>
      <c r="H994" s="76" t="s">
        <v>4352</v>
      </c>
      <c r="I994" s="76" t="s">
        <v>5958</v>
      </c>
    </row>
    <row r="995" spans="1:9" ht="60" customHeight="1">
      <c r="A995" s="76" t="s">
        <v>6809</v>
      </c>
      <c r="B995" s="76" t="s">
        <v>6810</v>
      </c>
      <c r="C995" s="77">
        <v>1</v>
      </c>
      <c r="D995" s="76" t="s">
        <v>5635</v>
      </c>
      <c r="E995" s="78">
        <v>1</v>
      </c>
      <c r="F995" s="78">
        <v>12</v>
      </c>
      <c r="G995" s="76" t="s">
        <v>6811</v>
      </c>
      <c r="H995" s="76" t="s">
        <v>4380</v>
      </c>
      <c r="I995" s="76" t="s">
        <v>6812</v>
      </c>
    </row>
    <row r="996" spans="1:9" ht="48" customHeight="1">
      <c r="A996" s="76" t="s">
        <v>6809</v>
      </c>
      <c r="B996" s="76" t="s">
        <v>6813</v>
      </c>
      <c r="C996" s="77">
        <v>1</v>
      </c>
      <c r="D996" s="76" t="s">
        <v>6814</v>
      </c>
      <c r="E996" s="78">
        <v>0.5</v>
      </c>
      <c r="F996" s="78">
        <v>8</v>
      </c>
      <c r="G996" s="76" t="s">
        <v>6815</v>
      </c>
      <c r="H996" s="76" t="s">
        <v>4727</v>
      </c>
      <c r="I996" s="76" t="s">
        <v>6816</v>
      </c>
    </row>
    <row r="997" spans="1:9" ht="48" customHeight="1">
      <c r="A997" s="76" t="s">
        <v>6817</v>
      </c>
      <c r="B997" s="76" t="s">
        <v>6818</v>
      </c>
      <c r="C997" s="77">
        <v>1</v>
      </c>
      <c r="D997" s="76" t="s">
        <v>5556</v>
      </c>
      <c r="E997" s="78">
        <v>180</v>
      </c>
      <c r="F997" s="78">
        <v>1200</v>
      </c>
      <c r="G997" s="76" t="s">
        <v>6819</v>
      </c>
      <c r="H997" s="76" t="s">
        <v>4608</v>
      </c>
      <c r="I997" s="76" t="s">
        <v>6820</v>
      </c>
    </row>
    <row r="998" spans="1:9" ht="60" customHeight="1">
      <c r="A998" s="76" t="s">
        <v>6817</v>
      </c>
      <c r="B998" s="76" t="s">
        <v>6821</v>
      </c>
      <c r="C998" s="77">
        <v>1</v>
      </c>
      <c r="D998" s="76" t="s">
        <v>5746</v>
      </c>
      <c r="E998" s="78">
        <v>12</v>
      </c>
      <c r="F998" s="78">
        <v>180</v>
      </c>
      <c r="G998" s="76" t="s">
        <v>6822</v>
      </c>
      <c r="H998" s="76" t="s">
        <v>4630</v>
      </c>
      <c r="I998" s="76" t="s">
        <v>6823</v>
      </c>
    </row>
    <row r="999" spans="1:9" ht="24" customHeight="1">
      <c r="A999" s="76" t="s">
        <v>6809</v>
      </c>
      <c r="B999" s="76" t="s">
        <v>6824</v>
      </c>
      <c r="C999" s="77">
        <v>1</v>
      </c>
      <c r="D999" s="76" t="s">
        <v>6825</v>
      </c>
      <c r="E999" s="78">
        <v>0.5</v>
      </c>
      <c r="F999" s="78">
        <v>4</v>
      </c>
      <c r="G999" s="76" t="s">
        <v>6826</v>
      </c>
      <c r="H999" s="76" t="s">
        <v>4727</v>
      </c>
      <c r="I999" s="76" t="s">
        <v>6816</v>
      </c>
    </row>
    <row r="1000" spans="1:9" ht="48" customHeight="1">
      <c r="A1000" s="76" t="s">
        <v>5907</v>
      </c>
      <c r="B1000" s="76" t="s">
        <v>6827</v>
      </c>
      <c r="C1000" s="77">
        <v>1</v>
      </c>
      <c r="D1000" s="76" t="s">
        <v>5746</v>
      </c>
      <c r="E1000" s="78">
        <v>0.08</v>
      </c>
      <c r="F1000" s="78">
        <v>2</v>
      </c>
      <c r="G1000" s="76" t="s">
        <v>6828</v>
      </c>
      <c r="H1000" s="76" t="s">
        <v>4630</v>
      </c>
      <c r="I1000" s="76" t="s">
        <v>6761</v>
      </c>
    </row>
    <row r="1001" spans="1:9" ht="48" customHeight="1">
      <c r="A1001" s="76" t="s">
        <v>5907</v>
      </c>
      <c r="B1001" s="76" t="s">
        <v>6829</v>
      </c>
      <c r="C1001" s="77">
        <v>1</v>
      </c>
      <c r="D1001" s="76" t="s">
        <v>5746</v>
      </c>
      <c r="E1001" s="78">
        <v>0.08</v>
      </c>
      <c r="F1001" s="78">
        <v>8</v>
      </c>
      <c r="G1001" s="76" t="s">
        <v>6830</v>
      </c>
      <c r="H1001" s="76" t="s">
        <v>4630</v>
      </c>
      <c r="I1001" s="76" t="s">
        <v>6761</v>
      </c>
    </row>
    <row r="1002" spans="1:9" ht="36" customHeight="1">
      <c r="A1002" s="76" t="s">
        <v>5907</v>
      </c>
      <c r="B1002" s="76" t="s">
        <v>6831</v>
      </c>
      <c r="C1002" s="77">
        <v>1</v>
      </c>
      <c r="D1002" s="76" t="s">
        <v>5746</v>
      </c>
      <c r="E1002" s="78">
        <v>0.02</v>
      </c>
      <c r="F1002" s="78">
        <v>5</v>
      </c>
      <c r="G1002" s="76" t="s">
        <v>6832</v>
      </c>
      <c r="H1002" s="76" t="s">
        <v>4352</v>
      </c>
      <c r="I1002" s="76" t="s">
        <v>6833</v>
      </c>
    </row>
    <row r="1003" spans="1:9" ht="24" customHeight="1">
      <c r="A1003" s="76" t="s">
        <v>6817</v>
      </c>
      <c r="B1003" s="76" t="s">
        <v>6834</v>
      </c>
      <c r="C1003" s="77">
        <v>1</v>
      </c>
      <c r="D1003" s="76" t="s">
        <v>5556</v>
      </c>
      <c r="E1003" s="78">
        <v>60</v>
      </c>
      <c r="F1003" s="78">
        <v>180</v>
      </c>
      <c r="G1003" s="76" t="s">
        <v>6835</v>
      </c>
      <c r="H1003" s="76" t="s">
        <v>4400</v>
      </c>
      <c r="I1003" s="76" t="s">
        <v>6442</v>
      </c>
    </row>
    <row r="1004" spans="1:9" ht="36" customHeight="1">
      <c r="A1004" s="76" t="s">
        <v>6817</v>
      </c>
      <c r="B1004" s="76" t="s">
        <v>6836</v>
      </c>
      <c r="C1004" s="77">
        <v>1</v>
      </c>
      <c r="D1004" s="76" t="s">
        <v>5556</v>
      </c>
      <c r="E1004" s="78">
        <v>80</v>
      </c>
      <c r="F1004" s="78">
        <v>120</v>
      </c>
      <c r="G1004" s="76" t="s">
        <v>6837</v>
      </c>
      <c r="H1004" s="76" t="s">
        <v>4400</v>
      </c>
      <c r="I1004" s="76" t="s">
        <v>6442</v>
      </c>
    </row>
    <row r="1005" spans="1:9" ht="24" customHeight="1">
      <c r="A1005" s="76" t="s">
        <v>6817</v>
      </c>
      <c r="B1005" s="76" t="s">
        <v>6838</v>
      </c>
      <c r="C1005" s="77">
        <v>1</v>
      </c>
      <c r="D1005" s="76" t="s">
        <v>5556</v>
      </c>
      <c r="E1005" s="78">
        <v>8</v>
      </c>
      <c r="F1005" s="78">
        <v>45</v>
      </c>
      <c r="G1005" s="76" t="s">
        <v>6839</v>
      </c>
      <c r="H1005" s="76" t="s">
        <v>4506</v>
      </c>
      <c r="I1005" s="76" t="s">
        <v>6255</v>
      </c>
    </row>
    <row r="1006" spans="1:9" ht="48" customHeight="1">
      <c r="A1006" s="76" t="s">
        <v>6817</v>
      </c>
      <c r="B1006" s="76" t="s">
        <v>6840</v>
      </c>
      <c r="C1006" s="77">
        <v>1</v>
      </c>
      <c r="D1006" s="76" t="s">
        <v>5556</v>
      </c>
      <c r="E1006" s="78">
        <v>35</v>
      </c>
      <c r="F1006" s="78">
        <v>100</v>
      </c>
      <c r="G1006" s="76" t="s">
        <v>6841</v>
      </c>
      <c r="H1006" s="76" t="s">
        <v>4352</v>
      </c>
      <c r="I1006" s="76" t="s">
        <v>5958</v>
      </c>
    </row>
    <row r="1007" spans="1:9" ht="36" customHeight="1">
      <c r="A1007" s="76" t="s">
        <v>5658</v>
      </c>
      <c r="B1007" s="76" t="s">
        <v>6842</v>
      </c>
      <c r="C1007" s="77">
        <v>1</v>
      </c>
      <c r="D1007" s="76" t="s">
        <v>5746</v>
      </c>
      <c r="E1007" s="78">
        <v>1.2</v>
      </c>
      <c r="F1007" s="78">
        <v>65</v>
      </c>
      <c r="G1007" s="76" t="s">
        <v>6843</v>
      </c>
      <c r="H1007" s="76" t="s">
        <v>4400</v>
      </c>
      <c r="I1007" s="76" t="s">
        <v>6428</v>
      </c>
    </row>
    <row r="1008" spans="1:9" ht="48" customHeight="1">
      <c r="A1008" s="76" t="s">
        <v>5658</v>
      </c>
      <c r="B1008" s="76" t="s">
        <v>6844</v>
      </c>
      <c r="C1008" s="77">
        <v>1</v>
      </c>
      <c r="D1008" s="76" t="s">
        <v>5746</v>
      </c>
      <c r="E1008" s="78">
        <v>5</v>
      </c>
      <c r="F1008" s="78">
        <v>55</v>
      </c>
      <c r="G1008" s="76" t="s">
        <v>6845</v>
      </c>
      <c r="H1008" s="76" t="s">
        <v>4400</v>
      </c>
      <c r="I1008" s="76" t="s">
        <v>6442</v>
      </c>
    </row>
    <row r="1009" spans="1:9" ht="48" customHeight="1">
      <c r="A1009" s="76" t="s">
        <v>6846</v>
      </c>
      <c r="B1009" s="76" t="s">
        <v>6847</v>
      </c>
      <c r="C1009" s="77">
        <v>1</v>
      </c>
      <c r="D1009" s="76" t="s">
        <v>5635</v>
      </c>
      <c r="E1009" s="78">
        <v>0.3</v>
      </c>
      <c r="F1009" s="78">
        <v>5</v>
      </c>
      <c r="G1009" s="76" t="s">
        <v>6848</v>
      </c>
      <c r="H1009" s="76" t="s">
        <v>4400</v>
      </c>
      <c r="I1009" s="76" t="s">
        <v>6428</v>
      </c>
    </row>
    <row r="1010" spans="1:9" ht="36" customHeight="1">
      <c r="A1010" s="76" t="s">
        <v>5658</v>
      </c>
      <c r="B1010" s="76" t="s">
        <v>6849</v>
      </c>
      <c r="C1010" s="77">
        <v>1</v>
      </c>
      <c r="D1010" s="76" t="s">
        <v>5746</v>
      </c>
      <c r="E1010" s="78">
        <v>0.4</v>
      </c>
      <c r="F1010" s="78">
        <v>9</v>
      </c>
      <c r="G1010" s="76" t="s">
        <v>6850</v>
      </c>
      <c r="H1010" s="76" t="s">
        <v>4400</v>
      </c>
      <c r="I1010" s="76" t="s">
        <v>6428</v>
      </c>
    </row>
    <row r="1011" spans="1:9" ht="48" customHeight="1">
      <c r="A1011" s="76" t="s">
        <v>5658</v>
      </c>
      <c r="B1011" s="76" t="s">
        <v>6851</v>
      </c>
      <c r="C1011" s="77">
        <v>1</v>
      </c>
      <c r="D1011" s="76" t="s">
        <v>5746</v>
      </c>
      <c r="E1011" s="78">
        <v>1.2</v>
      </c>
      <c r="F1011" s="78">
        <v>16</v>
      </c>
      <c r="G1011" s="76" t="s">
        <v>6852</v>
      </c>
      <c r="H1011" s="76" t="s">
        <v>4400</v>
      </c>
      <c r="I1011" s="76" t="s">
        <v>6442</v>
      </c>
    </row>
    <row r="1012" spans="1:9" ht="60" customHeight="1">
      <c r="A1012" s="76" t="s">
        <v>6846</v>
      </c>
      <c r="B1012" s="76" t="s">
        <v>6853</v>
      </c>
      <c r="C1012" s="77">
        <v>1</v>
      </c>
      <c r="D1012" s="76" t="s">
        <v>5635</v>
      </c>
      <c r="E1012" s="78">
        <v>0.3</v>
      </c>
      <c r="F1012" s="78">
        <v>6</v>
      </c>
      <c r="G1012" s="76" t="s">
        <v>6854</v>
      </c>
      <c r="H1012" s="76" t="s">
        <v>4400</v>
      </c>
      <c r="I1012" s="76" t="s">
        <v>6428</v>
      </c>
    </row>
    <row r="1013" spans="1:9" ht="48" customHeight="1">
      <c r="A1013" s="76" t="s">
        <v>6846</v>
      </c>
      <c r="B1013" s="76" t="s">
        <v>6855</v>
      </c>
      <c r="C1013" s="77">
        <v>1</v>
      </c>
      <c r="D1013" s="76" t="s">
        <v>5746</v>
      </c>
      <c r="E1013" s="78">
        <v>2</v>
      </c>
      <c r="F1013" s="78">
        <v>30</v>
      </c>
      <c r="G1013" s="76" t="s">
        <v>6856</v>
      </c>
      <c r="H1013" s="76" t="s">
        <v>4608</v>
      </c>
      <c r="I1013" s="76" t="s">
        <v>6820</v>
      </c>
    </row>
    <row r="1014" spans="1:9" ht="36" customHeight="1">
      <c r="A1014" s="76" t="s">
        <v>6857</v>
      </c>
      <c r="B1014" s="76" t="s">
        <v>6858</v>
      </c>
      <c r="C1014" s="77">
        <v>1</v>
      </c>
      <c r="D1014" s="76" t="s">
        <v>6859</v>
      </c>
      <c r="E1014" s="78">
        <v>10</v>
      </c>
      <c r="F1014" s="78">
        <v>4</v>
      </c>
      <c r="G1014" s="76" t="s">
        <v>6860</v>
      </c>
      <c r="H1014" s="76" t="s">
        <v>4352</v>
      </c>
      <c r="I1014" s="76" t="s">
        <v>6861</v>
      </c>
    </row>
    <row r="1015" spans="1:9" ht="36" customHeight="1">
      <c r="A1015" s="76" t="s">
        <v>6857</v>
      </c>
      <c r="B1015" s="76" t="s">
        <v>6862</v>
      </c>
      <c r="C1015" s="77">
        <v>1</v>
      </c>
      <c r="D1015" s="76" t="s">
        <v>5556</v>
      </c>
      <c r="E1015" s="78">
        <v>15</v>
      </c>
      <c r="F1015" s="78">
        <v>6</v>
      </c>
      <c r="G1015" s="76" t="s">
        <v>6863</v>
      </c>
      <c r="H1015" s="76" t="s">
        <v>4352</v>
      </c>
      <c r="I1015" s="76" t="s">
        <v>6861</v>
      </c>
    </row>
    <row r="1016" spans="1:9" ht="48" customHeight="1">
      <c r="A1016" s="76" t="s">
        <v>5909</v>
      </c>
      <c r="B1016" s="76" t="s">
        <v>6864</v>
      </c>
      <c r="C1016" s="77">
        <v>1</v>
      </c>
      <c r="D1016" s="76" t="s">
        <v>5556</v>
      </c>
      <c r="E1016" s="78">
        <v>1</v>
      </c>
      <c r="F1016" s="78">
        <v>5</v>
      </c>
      <c r="G1016" s="76" t="s">
        <v>6865</v>
      </c>
      <c r="H1016" s="76" t="s">
        <v>4506</v>
      </c>
      <c r="I1016" s="76" t="s">
        <v>6866</v>
      </c>
    </row>
    <row r="1017" spans="1:9" ht="36" customHeight="1">
      <c r="A1017" s="76" t="s">
        <v>6867</v>
      </c>
      <c r="B1017" s="76" t="s">
        <v>6868</v>
      </c>
      <c r="C1017" s="77">
        <v>1</v>
      </c>
      <c r="D1017" s="76" t="s">
        <v>6869</v>
      </c>
      <c r="E1017" s="78">
        <v>0.15</v>
      </c>
      <c r="F1017" s="78">
        <v>1.5</v>
      </c>
      <c r="G1017" s="76" t="s">
        <v>6870</v>
      </c>
      <c r="H1017" s="76" t="s">
        <v>4494</v>
      </c>
      <c r="I1017" s="76" t="s">
        <v>6871</v>
      </c>
    </row>
    <row r="1018" spans="1:9" ht="48" customHeight="1">
      <c r="A1018" s="76" t="s">
        <v>6867</v>
      </c>
      <c r="B1018" s="76" t="s">
        <v>6872</v>
      </c>
      <c r="C1018" s="77">
        <v>1</v>
      </c>
      <c r="D1018" s="76" t="s">
        <v>6869</v>
      </c>
      <c r="E1018" s="78">
        <v>0.15</v>
      </c>
      <c r="F1018" s="78">
        <v>3</v>
      </c>
      <c r="G1018" s="76" t="s">
        <v>6873</v>
      </c>
      <c r="H1018" s="76" t="s">
        <v>4494</v>
      </c>
      <c r="I1018" s="76" t="s">
        <v>6871</v>
      </c>
    </row>
    <row r="1019" spans="1:9" ht="60" customHeight="1">
      <c r="A1019" s="76" t="s">
        <v>6867</v>
      </c>
      <c r="B1019" s="76" t="s">
        <v>6874</v>
      </c>
      <c r="C1019" s="77">
        <v>1</v>
      </c>
      <c r="D1019" s="76" t="s">
        <v>5746</v>
      </c>
      <c r="E1019" s="78">
        <v>0.8</v>
      </c>
      <c r="F1019" s="78">
        <v>75</v>
      </c>
      <c r="G1019" s="76" t="s">
        <v>6875</v>
      </c>
      <c r="H1019" s="76" t="s">
        <v>4400</v>
      </c>
      <c r="I1019" s="76" t="s">
        <v>6428</v>
      </c>
    </row>
    <row r="1020" spans="1:9" ht="48" customHeight="1">
      <c r="A1020" s="76" t="s">
        <v>6867</v>
      </c>
      <c r="B1020" s="76" t="s">
        <v>6876</v>
      </c>
      <c r="C1020" s="77">
        <v>1</v>
      </c>
      <c r="D1020" s="76" t="s">
        <v>6877</v>
      </c>
      <c r="E1020" s="78">
        <v>0.05</v>
      </c>
      <c r="F1020" s="78">
        <v>4</v>
      </c>
      <c r="G1020" s="76" t="s">
        <v>6878</v>
      </c>
      <c r="H1020" s="76" t="s">
        <v>4400</v>
      </c>
      <c r="I1020" s="76" t="s">
        <v>6428</v>
      </c>
    </row>
    <row r="1021" spans="1:9" ht="48" customHeight="1">
      <c r="A1021" s="76" t="s">
        <v>6867</v>
      </c>
      <c r="B1021" s="76" t="s">
        <v>6879</v>
      </c>
      <c r="C1021" s="77">
        <v>1</v>
      </c>
      <c r="D1021" s="76" t="s">
        <v>6880</v>
      </c>
      <c r="E1021" s="78">
        <v>0.25</v>
      </c>
      <c r="F1021" s="78">
        <v>4</v>
      </c>
      <c r="G1021" s="76" t="s">
        <v>6881</v>
      </c>
      <c r="H1021" s="76" t="s">
        <v>4727</v>
      </c>
      <c r="I1021" s="76" t="s">
        <v>6882</v>
      </c>
    </row>
    <row r="1022" spans="1:9" ht="36" customHeight="1">
      <c r="A1022" s="76" t="s">
        <v>6867</v>
      </c>
      <c r="B1022" s="76" t="s">
        <v>6883</v>
      </c>
      <c r="C1022" s="77">
        <v>1</v>
      </c>
      <c r="D1022" s="76" t="s">
        <v>5746</v>
      </c>
      <c r="E1022" s="78">
        <v>2</v>
      </c>
      <c r="F1022" s="78">
        <v>18</v>
      </c>
      <c r="G1022" s="76" t="s">
        <v>6884</v>
      </c>
      <c r="H1022" s="76" t="s">
        <v>4400</v>
      </c>
      <c r="I1022" s="76" t="s">
        <v>6428</v>
      </c>
    </row>
    <row r="1023" spans="1:9" ht="36" customHeight="1">
      <c r="A1023" s="76" t="s">
        <v>5658</v>
      </c>
      <c r="B1023" s="76" t="s">
        <v>6885</v>
      </c>
      <c r="C1023" s="77">
        <v>1</v>
      </c>
      <c r="D1023" s="76" t="s">
        <v>5746</v>
      </c>
      <c r="E1023" s="78">
        <v>1</v>
      </c>
      <c r="F1023" s="78">
        <v>4</v>
      </c>
      <c r="G1023" s="76" t="s">
        <v>6886</v>
      </c>
      <c r="H1023" s="76" t="s">
        <v>4581</v>
      </c>
      <c r="I1023" s="76" t="s">
        <v>6692</v>
      </c>
    </row>
    <row r="1024" spans="1:9" ht="48" customHeight="1">
      <c r="A1024" s="76" t="s">
        <v>6365</v>
      </c>
      <c r="B1024" s="76" t="s">
        <v>6887</v>
      </c>
      <c r="C1024" s="77">
        <v>1</v>
      </c>
      <c r="D1024" s="76" t="s">
        <v>6888</v>
      </c>
      <c r="E1024" s="78">
        <v>0.1</v>
      </c>
      <c r="F1024" s="78">
        <v>2</v>
      </c>
      <c r="G1024" s="76" t="s">
        <v>6889</v>
      </c>
      <c r="H1024" s="76" t="s">
        <v>4698</v>
      </c>
      <c r="I1024" s="76" t="s">
        <v>6890</v>
      </c>
    </row>
    <row r="1025" spans="1:9" ht="48" customHeight="1">
      <c r="A1025" s="76" t="s">
        <v>5909</v>
      </c>
      <c r="B1025" s="76" t="s">
        <v>6891</v>
      </c>
      <c r="C1025" s="77">
        <v>1</v>
      </c>
      <c r="D1025" s="76" t="s">
        <v>5746</v>
      </c>
      <c r="E1025" s="78">
        <v>1</v>
      </c>
      <c r="F1025" s="78">
        <v>6</v>
      </c>
      <c r="G1025" s="76" t="s">
        <v>6892</v>
      </c>
      <c r="H1025" s="76" t="s">
        <v>4352</v>
      </c>
      <c r="I1025" s="76" t="s">
        <v>5958</v>
      </c>
    </row>
    <row r="1026" spans="1:9" ht="36" customHeight="1">
      <c r="A1026" s="76" t="s">
        <v>6893</v>
      </c>
      <c r="B1026" s="76" t="s">
        <v>6894</v>
      </c>
      <c r="C1026" s="77">
        <v>1</v>
      </c>
      <c r="D1026" s="76" t="s">
        <v>5556</v>
      </c>
      <c r="E1026" s="78">
        <v>0.5</v>
      </c>
      <c r="F1026" s="78">
        <v>12</v>
      </c>
      <c r="G1026" s="76" t="s">
        <v>6895</v>
      </c>
      <c r="H1026" s="76" t="s">
        <v>4380</v>
      </c>
      <c r="I1026" s="76" t="s">
        <v>6812</v>
      </c>
    </row>
    <row r="1027" spans="1:9" ht="60" customHeight="1">
      <c r="A1027" s="76" t="s">
        <v>6893</v>
      </c>
      <c r="B1027" s="76" t="s">
        <v>6896</v>
      </c>
      <c r="C1027" s="77">
        <v>1</v>
      </c>
      <c r="D1027" s="76" t="s">
        <v>5746</v>
      </c>
      <c r="E1027" s="78">
        <v>5</v>
      </c>
      <c r="F1027" s="78">
        <v>80</v>
      </c>
      <c r="G1027" s="76" t="s">
        <v>6897</v>
      </c>
      <c r="H1027" s="76" t="s">
        <v>4380</v>
      </c>
      <c r="I1027" s="76" t="s">
        <v>6812</v>
      </c>
    </row>
    <row r="1028" spans="1:9" ht="24" customHeight="1">
      <c r="A1028" s="76" t="s">
        <v>6893</v>
      </c>
      <c r="B1028" s="76" t="s">
        <v>6898</v>
      </c>
      <c r="C1028" s="77">
        <v>1</v>
      </c>
      <c r="D1028" s="76" t="s">
        <v>5556</v>
      </c>
      <c r="E1028" s="78">
        <v>0.4</v>
      </c>
      <c r="F1028" s="78">
        <v>8</v>
      </c>
      <c r="G1028" s="76" t="s">
        <v>6899</v>
      </c>
      <c r="H1028" s="76" t="s">
        <v>4400</v>
      </c>
      <c r="I1028" s="76" t="s">
        <v>6428</v>
      </c>
    </row>
    <row r="1029" spans="1:9" ht="48" customHeight="1">
      <c r="A1029" s="76" t="s">
        <v>6900</v>
      </c>
      <c r="B1029" s="76" t="s">
        <v>6901</v>
      </c>
      <c r="C1029" s="77">
        <v>1</v>
      </c>
      <c r="D1029" s="76" t="s">
        <v>5556</v>
      </c>
      <c r="E1029" s="78">
        <v>0.2</v>
      </c>
      <c r="F1029" s="78">
        <v>4</v>
      </c>
      <c r="G1029" s="76" t="s">
        <v>6902</v>
      </c>
      <c r="H1029" s="76" t="s">
        <v>4352</v>
      </c>
      <c r="I1029" s="76" t="s">
        <v>6833</v>
      </c>
    </row>
    <row r="1030" spans="1:9" ht="24" customHeight="1">
      <c r="A1030" s="76" t="s">
        <v>6900</v>
      </c>
      <c r="B1030" s="76" t="s">
        <v>6903</v>
      </c>
      <c r="C1030" s="77">
        <v>1</v>
      </c>
      <c r="D1030" s="76" t="s">
        <v>5635</v>
      </c>
      <c r="E1030" s="78">
        <v>0.1</v>
      </c>
      <c r="F1030" s="78">
        <v>0.5</v>
      </c>
      <c r="G1030" s="76" t="s">
        <v>6904</v>
      </c>
      <c r="H1030" s="76" t="s">
        <v>4727</v>
      </c>
      <c r="I1030" s="76" t="s">
        <v>6816</v>
      </c>
    </row>
    <row r="1031" spans="1:9" ht="36" customHeight="1">
      <c r="A1031" s="76" t="s">
        <v>6900</v>
      </c>
      <c r="B1031" s="76" t="s">
        <v>6905</v>
      </c>
      <c r="C1031" s="77">
        <v>1</v>
      </c>
      <c r="D1031" s="76" t="s">
        <v>6888</v>
      </c>
      <c r="E1031" s="78">
        <v>0.05</v>
      </c>
      <c r="F1031" s="78">
        <v>1</v>
      </c>
      <c r="G1031" s="76" t="s">
        <v>6906</v>
      </c>
      <c r="H1031" s="76" t="s">
        <v>4698</v>
      </c>
      <c r="I1031" s="76" t="s">
        <v>5765</v>
      </c>
    </row>
    <row r="1032" spans="1:9" ht="24" customHeight="1">
      <c r="A1032" s="76" t="s">
        <v>6907</v>
      </c>
      <c r="B1032" s="76" t="s">
        <v>6908</v>
      </c>
      <c r="C1032" s="77">
        <v>1</v>
      </c>
      <c r="D1032" s="76" t="s">
        <v>6909</v>
      </c>
      <c r="E1032" s="78">
        <v>0.8</v>
      </c>
      <c r="F1032" s="78">
        <v>30</v>
      </c>
      <c r="G1032" s="76" t="s">
        <v>6910</v>
      </c>
      <c r="H1032" s="76" t="s">
        <v>4630</v>
      </c>
      <c r="I1032" s="76" t="s">
        <v>5777</v>
      </c>
    </row>
    <row r="1033" spans="1:9" ht="36" customHeight="1">
      <c r="A1033" s="76" t="s">
        <v>6907</v>
      </c>
      <c r="B1033" s="76" t="s">
        <v>6911</v>
      </c>
      <c r="C1033" s="77">
        <v>1</v>
      </c>
      <c r="D1033" s="76" t="s">
        <v>6909</v>
      </c>
      <c r="E1033" s="78">
        <v>1</v>
      </c>
      <c r="F1033" s="78">
        <v>60</v>
      </c>
      <c r="G1033" s="76" t="s">
        <v>6912</v>
      </c>
      <c r="H1033" s="76" t="s">
        <v>4630</v>
      </c>
      <c r="I1033" s="76" t="s">
        <v>5777</v>
      </c>
    </row>
    <row r="1034" spans="1:9" ht="36" customHeight="1">
      <c r="A1034" s="76" t="s">
        <v>6913</v>
      </c>
      <c r="B1034" s="76" t="s">
        <v>6914</v>
      </c>
      <c r="C1034" s="77">
        <v>1</v>
      </c>
      <c r="D1034" s="76" t="s">
        <v>5746</v>
      </c>
      <c r="E1034" s="78">
        <v>1.2</v>
      </c>
      <c r="F1034" s="78">
        <v>12</v>
      </c>
      <c r="G1034" s="76" t="s">
        <v>6915</v>
      </c>
      <c r="H1034" s="76" t="s">
        <v>4352</v>
      </c>
      <c r="I1034" s="76" t="s">
        <v>5958</v>
      </c>
    </row>
    <row r="1035" spans="1:9" ht="48" customHeight="1">
      <c r="A1035" s="76" t="s">
        <v>5639</v>
      </c>
      <c r="B1035" s="76" t="s">
        <v>6916</v>
      </c>
      <c r="C1035" s="77">
        <v>1</v>
      </c>
      <c r="D1035" s="76" t="s">
        <v>5556</v>
      </c>
      <c r="E1035" s="78">
        <v>0.1</v>
      </c>
      <c r="F1035" s="78">
        <v>12</v>
      </c>
      <c r="G1035" s="76" t="s">
        <v>6917</v>
      </c>
      <c r="H1035" s="76" t="s">
        <v>4400</v>
      </c>
      <c r="I1035" s="76" t="s">
        <v>6428</v>
      </c>
    </row>
    <row r="1036" spans="1:9" ht="24" customHeight="1">
      <c r="A1036" s="76" t="s">
        <v>5639</v>
      </c>
      <c r="B1036" s="76" t="s">
        <v>6918</v>
      </c>
      <c r="C1036" s="77">
        <v>1</v>
      </c>
      <c r="D1036" s="76" t="s">
        <v>5556</v>
      </c>
      <c r="E1036" s="78">
        <v>0.08</v>
      </c>
      <c r="F1036" s="78">
        <v>4</v>
      </c>
      <c r="G1036" s="76" t="s">
        <v>6919</v>
      </c>
      <c r="H1036" s="76" t="s">
        <v>4352</v>
      </c>
      <c r="I1036" s="76" t="s">
        <v>6833</v>
      </c>
    </row>
    <row r="1037" spans="1:9" ht="24" customHeight="1">
      <c r="A1037" s="76" t="s">
        <v>5639</v>
      </c>
      <c r="B1037" s="76" t="s">
        <v>6920</v>
      </c>
      <c r="C1037" s="77">
        <v>1</v>
      </c>
      <c r="D1037" s="76" t="s">
        <v>6921</v>
      </c>
      <c r="E1037" s="78">
        <v>0.05</v>
      </c>
      <c r="F1037" s="78">
        <v>0.5</v>
      </c>
      <c r="G1037" s="76" t="s">
        <v>6922</v>
      </c>
      <c r="H1037" s="76" t="s">
        <v>4727</v>
      </c>
      <c r="I1037" s="76" t="s">
        <v>6923</v>
      </c>
    </row>
    <row r="1038" spans="1:9" ht="48" customHeight="1">
      <c r="A1038" s="76" t="s">
        <v>5639</v>
      </c>
      <c r="B1038" s="76" t="s">
        <v>6924</v>
      </c>
      <c r="C1038" s="77">
        <v>1</v>
      </c>
      <c r="D1038" s="76" t="s">
        <v>5635</v>
      </c>
      <c r="E1038" s="78">
        <v>0.08</v>
      </c>
      <c r="F1038" s="78">
        <v>2</v>
      </c>
      <c r="G1038" s="76" t="s">
        <v>6925</v>
      </c>
      <c r="H1038" s="76" t="s">
        <v>4630</v>
      </c>
      <c r="I1038" s="76" t="s">
        <v>6761</v>
      </c>
    </row>
    <row r="1039" spans="1:9" ht="24" customHeight="1">
      <c r="A1039" s="76" t="s">
        <v>6788</v>
      </c>
      <c r="B1039" s="76" t="s">
        <v>6926</v>
      </c>
      <c r="C1039" s="77">
        <v>1</v>
      </c>
      <c r="D1039" s="76" t="s">
        <v>5556</v>
      </c>
      <c r="E1039" s="78">
        <v>0.7</v>
      </c>
      <c r="F1039" s="78">
        <v>2.5</v>
      </c>
      <c r="G1039" s="76" t="s">
        <v>6927</v>
      </c>
      <c r="H1039" s="76" t="s">
        <v>4506</v>
      </c>
      <c r="I1039" s="76" t="s">
        <v>6198</v>
      </c>
    </row>
    <row r="1040" spans="1:9" ht="36" customHeight="1">
      <c r="A1040" s="76" t="s">
        <v>6788</v>
      </c>
      <c r="B1040" s="76" t="s">
        <v>6928</v>
      </c>
      <c r="C1040" s="77">
        <v>1</v>
      </c>
      <c r="D1040" s="76" t="s">
        <v>5556</v>
      </c>
      <c r="E1040" s="78">
        <v>0.2</v>
      </c>
      <c r="F1040" s="78">
        <v>0.4</v>
      </c>
      <c r="G1040" s="76" t="s">
        <v>6929</v>
      </c>
      <c r="H1040" s="76" t="s">
        <v>4481</v>
      </c>
      <c r="I1040" s="76" t="s">
        <v>6930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6931</v>
      </c>
      <c r="C1" s="31" t="s">
        <v>5474</v>
      </c>
      <c r="D1" s="32" t="s">
        <v>6932</v>
      </c>
      <c r="E1" s="32" t="s">
        <v>6933</v>
      </c>
      <c r="F1" s="31" t="s">
        <v>6934</v>
      </c>
      <c r="G1" s="31" t="s">
        <v>6935</v>
      </c>
      <c r="H1" s="31" t="s">
        <v>6936</v>
      </c>
      <c r="I1" s="31" t="s">
        <v>6937</v>
      </c>
      <c r="J1" s="31" t="s">
        <v>15</v>
      </c>
      <c r="K1" s="31" t="s">
        <v>6938</v>
      </c>
      <c r="L1" s="31" t="s">
        <v>6939</v>
      </c>
      <c r="M1" s="31" t="s">
        <v>6940</v>
      </c>
      <c r="N1" s="33" t="s">
        <v>6941</v>
      </c>
      <c r="O1" s="33" t="s">
        <v>6942</v>
      </c>
      <c r="P1" s="31" t="s">
        <v>6943</v>
      </c>
    </row>
    <row r="2" spans="1:16">
      <c r="A2" s="30" t="s">
        <v>6944</v>
      </c>
      <c r="B2" s="34" t="s">
        <v>6945</v>
      </c>
      <c r="C2" s="35" t="s">
        <v>6946</v>
      </c>
      <c r="D2" s="36">
        <v>5</v>
      </c>
      <c r="E2" s="36" t="s">
        <v>6947</v>
      </c>
      <c r="F2" s="34" t="s">
        <v>6948</v>
      </c>
      <c r="G2" s="34" t="s">
        <v>6949</v>
      </c>
      <c r="H2" s="34" t="s">
        <v>6949</v>
      </c>
      <c r="I2" s="34" t="s">
        <v>6950</v>
      </c>
      <c r="J2" s="34" t="s">
        <v>6951</v>
      </c>
      <c r="K2" s="36">
        <v>3</v>
      </c>
      <c r="L2" s="44">
        <v>0</v>
      </c>
      <c r="M2">
        <v>1</v>
      </c>
      <c r="N2" s="38">
        <v>0.25</v>
      </c>
      <c r="O2" s="38">
        <f t="shared" ref="O2:O33" si="0">N2*(K2+L2)</f>
        <v>0.75</v>
      </c>
      <c r="P2" s="30">
        <v>4</v>
      </c>
    </row>
    <row r="3" spans="1:16">
      <c r="A3" s="30" t="s">
        <v>6944</v>
      </c>
      <c r="B3" s="34" t="s">
        <v>6945</v>
      </c>
      <c r="C3" s="35" t="s">
        <v>6952</v>
      </c>
      <c r="D3" s="36">
        <v>15</v>
      </c>
      <c r="E3" s="36" t="s">
        <v>6947</v>
      </c>
      <c r="F3" s="34" t="s">
        <v>6948</v>
      </c>
      <c r="G3" s="34" t="s">
        <v>6949</v>
      </c>
      <c r="H3" s="34" t="s">
        <v>6949</v>
      </c>
      <c r="I3" s="34" t="s">
        <v>6950</v>
      </c>
      <c r="J3" s="34" t="s">
        <v>6953</v>
      </c>
      <c r="K3" s="36">
        <v>4</v>
      </c>
      <c r="L3" s="44">
        <v>0</v>
      </c>
      <c r="M3">
        <v>2</v>
      </c>
      <c r="N3" s="38">
        <v>0.5</v>
      </c>
      <c r="O3" s="38">
        <f t="shared" si="0"/>
        <v>2</v>
      </c>
      <c r="P3" s="30">
        <v>6</v>
      </c>
    </row>
    <row r="4" spans="1:16">
      <c r="A4" s="30" t="s">
        <v>6944</v>
      </c>
      <c r="B4" s="34" t="s">
        <v>6945</v>
      </c>
      <c r="C4" s="35" t="s">
        <v>6954</v>
      </c>
      <c r="D4" s="36">
        <v>30</v>
      </c>
      <c r="E4" s="36" t="s">
        <v>6947</v>
      </c>
      <c r="F4" s="34" t="s">
        <v>6948</v>
      </c>
      <c r="G4" s="34" t="s">
        <v>6949</v>
      </c>
      <c r="H4" s="34" t="s">
        <v>6949</v>
      </c>
      <c r="I4" s="34" t="s">
        <v>6950</v>
      </c>
      <c r="J4" s="34" t="s">
        <v>6955</v>
      </c>
      <c r="K4" s="36">
        <v>5</v>
      </c>
      <c r="L4" s="44">
        <v>0</v>
      </c>
      <c r="M4">
        <v>3</v>
      </c>
      <c r="N4" s="38">
        <v>1</v>
      </c>
      <c r="O4" s="38">
        <f t="shared" si="0"/>
        <v>5</v>
      </c>
      <c r="P4" s="30">
        <v>10</v>
      </c>
    </row>
    <row r="5" spans="1:16">
      <c r="A5" s="30" t="s">
        <v>6944</v>
      </c>
      <c r="B5" s="34" t="s">
        <v>6945</v>
      </c>
      <c r="C5" s="40" t="s">
        <v>6956</v>
      </c>
      <c r="D5" s="36">
        <v>15</v>
      </c>
      <c r="E5" s="36" t="s">
        <v>6947</v>
      </c>
      <c r="F5" s="34" t="s">
        <v>6948</v>
      </c>
      <c r="G5" s="34" t="s">
        <v>6949</v>
      </c>
      <c r="H5" s="34" t="s">
        <v>6949</v>
      </c>
      <c r="I5" s="34" t="s">
        <v>6957</v>
      </c>
      <c r="J5" s="34" t="s">
        <v>6958</v>
      </c>
      <c r="K5" s="36">
        <v>4</v>
      </c>
      <c r="L5" s="44">
        <v>0</v>
      </c>
      <c r="M5">
        <v>5</v>
      </c>
      <c r="N5" s="38">
        <v>50</v>
      </c>
      <c r="O5" s="38">
        <f t="shared" si="0"/>
        <v>200</v>
      </c>
      <c r="P5" s="30">
        <v>30</v>
      </c>
    </row>
    <row r="6" spans="1:16">
      <c r="A6" s="30" t="s">
        <v>6944</v>
      </c>
      <c r="B6" s="34" t="s">
        <v>6945</v>
      </c>
      <c r="C6" s="35" t="s">
        <v>6959</v>
      </c>
      <c r="D6" s="36">
        <v>30</v>
      </c>
      <c r="E6" s="36" t="s">
        <v>6947</v>
      </c>
      <c r="F6" s="34" t="s">
        <v>6948</v>
      </c>
      <c r="G6" s="34" t="s">
        <v>6949</v>
      </c>
      <c r="H6" s="34" t="s">
        <v>6949</v>
      </c>
      <c r="I6" s="34" t="s">
        <v>6957</v>
      </c>
      <c r="J6" s="34" t="s">
        <v>6960</v>
      </c>
      <c r="K6" s="36">
        <v>5</v>
      </c>
      <c r="L6" s="44">
        <v>0</v>
      </c>
      <c r="M6">
        <v>6</v>
      </c>
      <c r="N6" s="38">
        <v>150</v>
      </c>
      <c r="O6" s="38">
        <f t="shared" si="0"/>
        <v>750</v>
      </c>
      <c r="P6" s="30">
        <v>48</v>
      </c>
    </row>
    <row r="7" spans="1:16">
      <c r="A7" s="30" t="s">
        <v>6944</v>
      </c>
      <c r="B7" s="34" t="s">
        <v>6945</v>
      </c>
      <c r="C7" s="35" t="s">
        <v>6961</v>
      </c>
      <c r="D7" s="36">
        <v>5</v>
      </c>
      <c r="E7" s="36" t="s">
        <v>6947</v>
      </c>
      <c r="F7" s="34" t="s">
        <v>6948</v>
      </c>
      <c r="G7" s="34" t="s">
        <v>6949</v>
      </c>
      <c r="H7" s="34" t="s">
        <v>6949</v>
      </c>
      <c r="I7" s="34" t="s">
        <v>6957</v>
      </c>
      <c r="J7" s="34" t="s">
        <v>6962</v>
      </c>
      <c r="K7" s="36">
        <v>3</v>
      </c>
      <c r="L7" s="44">
        <v>0</v>
      </c>
      <c r="M7">
        <v>4</v>
      </c>
      <c r="N7" s="38">
        <v>25</v>
      </c>
      <c r="O7" s="38">
        <f t="shared" si="0"/>
        <v>75</v>
      </c>
      <c r="P7" s="30">
        <v>18</v>
      </c>
    </row>
    <row r="8" spans="1:16">
      <c r="A8" s="30" t="s">
        <v>6944</v>
      </c>
      <c r="B8" s="34" t="s">
        <v>6945</v>
      </c>
      <c r="C8" s="35" t="s">
        <v>6963</v>
      </c>
      <c r="D8" s="36">
        <v>5</v>
      </c>
      <c r="E8" s="36" t="s">
        <v>6947</v>
      </c>
      <c r="F8" s="34" t="s">
        <v>6948</v>
      </c>
      <c r="G8" s="34" t="s">
        <v>6964</v>
      </c>
      <c r="H8" s="34" t="s">
        <v>6965</v>
      </c>
      <c r="I8" s="34" t="s">
        <v>6966</v>
      </c>
      <c r="J8" s="34" t="s">
        <v>6967</v>
      </c>
      <c r="K8" s="36">
        <v>2</v>
      </c>
      <c r="L8" s="44">
        <v>0</v>
      </c>
      <c r="M8">
        <v>2</v>
      </c>
      <c r="N8" s="38">
        <v>1</v>
      </c>
      <c r="O8" s="38">
        <f t="shared" si="0"/>
        <v>2</v>
      </c>
      <c r="P8" s="30">
        <v>12</v>
      </c>
    </row>
    <row r="9" spans="1:16">
      <c r="A9" s="30" t="s">
        <v>6944</v>
      </c>
      <c r="B9" s="34" t="s">
        <v>6945</v>
      </c>
      <c r="C9" s="35" t="s">
        <v>6968</v>
      </c>
      <c r="D9" s="36">
        <v>15</v>
      </c>
      <c r="E9" s="36" t="s">
        <v>6947</v>
      </c>
      <c r="F9" s="34" t="s">
        <v>6948</v>
      </c>
      <c r="G9" s="34" t="s">
        <v>6964</v>
      </c>
      <c r="H9" s="34" t="s">
        <v>6965</v>
      </c>
      <c r="I9" s="34" t="s">
        <v>6966</v>
      </c>
      <c r="J9" s="34" t="s">
        <v>6967</v>
      </c>
      <c r="K9" s="36">
        <v>3</v>
      </c>
      <c r="L9" s="44">
        <v>0</v>
      </c>
      <c r="M9">
        <v>3</v>
      </c>
      <c r="N9" s="38">
        <v>2</v>
      </c>
      <c r="O9" s="38">
        <f t="shared" si="0"/>
        <v>6</v>
      </c>
      <c r="P9" s="30">
        <v>18</v>
      </c>
    </row>
    <row r="10" spans="1:16">
      <c r="A10" s="30" t="s">
        <v>6944</v>
      </c>
      <c r="B10" s="34" t="s">
        <v>6945</v>
      </c>
      <c r="C10" s="35" t="s">
        <v>6969</v>
      </c>
      <c r="D10" s="36">
        <v>30</v>
      </c>
      <c r="E10" s="36" t="s">
        <v>6947</v>
      </c>
      <c r="F10" s="34" t="s">
        <v>6948</v>
      </c>
      <c r="G10" s="34" t="s">
        <v>6964</v>
      </c>
      <c r="H10" s="34" t="s">
        <v>6965</v>
      </c>
      <c r="I10" s="34" t="s">
        <v>6966</v>
      </c>
      <c r="J10" s="34" t="s">
        <v>6967</v>
      </c>
      <c r="K10" s="36">
        <v>4</v>
      </c>
      <c r="L10" s="44">
        <v>0</v>
      </c>
      <c r="M10">
        <v>4</v>
      </c>
      <c r="N10" s="38">
        <v>4</v>
      </c>
      <c r="O10" s="38">
        <f t="shared" si="0"/>
        <v>16</v>
      </c>
      <c r="P10" s="30">
        <v>30</v>
      </c>
    </row>
    <row r="11" spans="1:16">
      <c r="A11" s="30" t="s">
        <v>6944</v>
      </c>
      <c r="B11" s="34" t="s">
        <v>6945</v>
      </c>
      <c r="C11" s="35" t="s">
        <v>6970</v>
      </c>
      <c r="D11" s="36">
        <v>5</v>
      </c>
      <c r="E11" s="36" t="s">
        <v>6947</v>
      </c>
      <c r="F11" s="34" t="s">
        <v>6948</v>
      </c>
      <c r="G11" s="34" t="s">
        <v>6964</v>
      </c>
      <c r="H11" s="34" t="s">
        <v>6965</v>
      </c>
      <c r="I11" s="34" t="s">
        <v>6966</v>
      </c>
      <c r="J11" s="34" t="s">
        <v>6971</v>
      </c>
      <c r="K11" s="36">
        <v>2</v>
      </c>
      <c r="L11" s="44">
        <v>0</v>
      </c>
      <c r="M11">
        <v>2</v>
      </c>
      <c r="N11" s="38">
        <v>1</v>
      </c>
      <c r="O11" s="38">
        <f t="shared" si="0"/>
        <v>2</v>
      </c>
      <c r="P11" s="30">
        <v>12</v>
      </c>
    </row>
    <row r="12" spans="1:16">
      <c r="A12" s="30" t="s">
        <v>6944</v>
      </c>
      <c r="B12" s="34" t="s">
        <v>6945</v>
      </c>
      <c r="C12" s="35" t="s">
        <v>6972</v>
      </c>
      <c r="D12" s="36">
        <v>15</v>
      </c>
      <c r="E12" s="36" t="s">
        <v>6947</v>
      </c>
      <c r="F12" s="34" t="s">
        <v>6948</v>
      </c>
      <c r="G12" s="34" t="s">
        <v>6964</v>
      </c>
      <c r="H12" s="34" t="s">
        <v>6965</v>
      </c>
      <c r="I12" s="34" t="s">
        <v>6966</v>
      </c>
      <c r="J12" s="34" t="s">
        <v>6971</v>
      </c>
      <c r="K12" s="36">
        <v>3</v>
      </c>
      <c r="L12" s="44">
        <v>0</v>
      </c>
      <c r="M12">
        <v>3</v>
      </c>
      <c r="N12" s="38">
        <v>2</v>
      </c>
      <c r="O12" s="38">
        <f t="shared" si="0"/>
        <v>6</v>
      </c>
      <c r="P12" s="30">
        <v>18</v>
      </c>
    </row>
    <row r="13" spans="1:16">
      <c r="A13" s="30" t="s">
        <v>6944</v>
      </c>
      <c r="B13" s="34" t="s">
        <v>6945</v>
      </c>
      <c r="C13" s="35" t="s">
        <v>6973</v>
      </c>
      <c r="D13" s="36">
        <v>30</v>
      </c>
      <c r="E13" s="36" t="s">
        <v>6947</v>
      </c>
      <c r="F13" s="34" t="s">
        <v>6948</v>
      </c>
      <c r="G13" s="34" t="s">
        <v>6964</v>
      </c>
      <c r="H13" s="34" t="s">
        <v>6965</v>
      </c>
      <c r="I13" s="34" t="s">
        <v>6966</v>
      </c>
      <c r="J13" s="34" t="s">
        <v>6971</v>
      </c>
      <c r="K13" s="36">
        <v>4</v>
      </c>
      <c r="L13" s="44">
        <v>0</v>
      </c>
      <c r="M13">
        <v>4</v>
      </c>
      <c r="N13" s="38">
        <v>4</v>
      </c>
      <c r="O13" s="38">
        <f t="shared" si="0"/>
        <v>16</v>
      </c>
      <c r="P13" s="30">
        <v>30</v>
      </c>
    </row>
    <row r="14" spans="1:16">
      <c r="A14" s="30" t="s">
        <v>6944</v>
      </c>
      <c r="B14" s="34" t="s">
        <v>6945</v>
      </c>
      <c r="C14" s="35" t="s">
        <v>6974</v>
      </c>
      <c r="D14" s="36">
        <v>5</v>
      </c>
      <c r="E14" s="36" t="s">
        <v>6947</v>
      </c>
      <c r="F14" s="34" t="s">
        <v>6975</v>
      </c>
      <c r="G14" s="34" t="s">
        <v>6964</v>
      </c>
      <c r="H14" s="34" t="s">
        <v>6976</v>
      </c>
      <c r="I14" s="34" t="s">
        <v>6966</v>
      </c>
      <c r="J14" s="34" t="s">
        <v>6977</v>
      </c>
      <c r="K14" s="36">
        <v>2</v>
      </c>
      <c r="L14" s="44">
        <v>0</v>
      </c>
      <c r="M14">
        <v>2</v>
      </c>
      <c r="N14" s="38">
        <v>0.5</v>
      </c>
      <c r="O14" s="38">
        <f t="shared" si="0"/>
        <v>1</v>
      </c>
      <c r="P14" s="30">
        <v>12</v>
      </c>
    </row>
    <row r="15" spans="1:16">
      <c r="A15" s="30" t="s">
        <v>6944</v>
      </c>
      <c r="B15" s="34" t="s">
        <v>6945</v>
      </c>
      <c r="C15" s="35" t="s">
        <v>6978</v>
      </c>
      <c r="D15" s="36">
        <v>15</v>
      </c>
      <c r="E15" s="36" t="s">
        <v>6947</v>
      </c>
      <c r="F15" s="34" t="s">
        <v>6975</v>
      </c>
      <c r="G15" s="34" t="s">
        <v>6964</v>
      </c>
      <c r="H15" s="34" t="s">
        <v>6976</v>
      </c>
      <c r="I15" s="34" t="s">
        <v>6966</v>
      </c>
      <c r="J15" s="34" t="s">
        <v>6977</v>
      </c>
      <c r="K15" s="36">
        <v>3</v>
      </c>
      <c r="L15" s="44">
        <v>0</v>
      </c>
      <c r="M15">
        <v>3</v>
      </c>
      <c r="N15" s="38">
        <v>1</v>
      </c>
      <c r="O15" s="38">
        <f t="shared" si="0"/>
        <v>3</v>
      </c>
      <c r="P15" s="30">
        <v>18</v>
      </c>
    </row>
    <row r="16" spans="1:16">
      <c r="A16" s="30" t="s">
        <v>6944</v>
      </c>
      <c r="B16" s="34" t="s">
        <v>6945</v>
      </c>
      <c r="C16" s="35" t="s">
        <v>6979</v>
      </c>
      <c r="D16" s="36">
        <v>30</v>
      </c>
      <c r="E16" s="36" t="s">
        <v>6947</v>
      </c>
      <c r="F16" s="34" t="s">
        <v>6975</v>
      </c>
      <c r="G16" s="34" t="s">
        <v>6964</v>
      </c>
      <c r="H16" s="34" t="s">
        <v>6976</v>
      </c>
      <c r="I16" s="34" t="s">
        <v>6966</v>
      </c>
      <c r="J16" s="34" t="s">
        <v>6977</v>
      </c>
      <c r="K16" s="36">
        <v>4</v>
      </c>
      <c r="L16" s="44">
        <v>0</v>
      </c>
      <c r="M16">
        <v>4</v>
      </c>
      <c r="N16" s="38">
        <v>3</v>
      </c>
      <c r="O16" s="38">
        <f t="shared" si="0"/>
        <v>12</v>
      </c>
      <c r="P16" s="30">
        <v>30</v>
      </c>
    </row>
    <row r="17" spans="1:16">
      <c r="A17" s="30" t="s">
        <v>6944</v>
      </c>
      <c r="B17" s="34" t="s">
        <v>6945</v>
      </c>
      <c r="C17" s="35" t="s">
        <v>6980</v>
      </c>
      <c r="D17" s="36">
        <v>5</v>
      </c>
      <c r="E17" s="36" t="s">
        <v>6947</v>
      </c>
      <c r="F17" s="34" t="s">
        <v>6948</v>
      </c>
      <c r="G17" s="34" t="s">
        <v>6964</v>
      </c>
      <c r="H17" s="34" t="s">
        <v>6965</v>
      </c>
      <c r="I17" s="34" t="s">
        <v>6966</v>
      </c>
      <c r="J17" s="34" t="s">
        <v>6981</v>
      </c>
      <c r="K17" s="36">
        <v>2</v>
      </c>
      <c r="L17" s="44">
        <v>0</v>
      </c>
      <c r="M17">
        <v>2</v>
      </c>
      <c r="N17" s="38">
        <v>1</v>
      </c>
      <c r="O17" s="38">
        <f t="shared" si="0"/>
        <v>2</v>
      </c>
      <c r="P17" s="30">
        <v>12</v>
      </c>
    </row>
    <row r="18" spans="1:16">
      <c r="A18" s="30" t="s">
        <v>6944</v>
      </c>
      <c r="B18" s="34" t="s">
        <v>6945</v>
      </c>
      <c r="C18" s="40" t="s">
        <v>6982</v>
      </c>
      <c r="D18" s="36">
        <v>15</v>
      </c>
      <c r="E18" s="36" t="s">
        <v>6947</v>
      </c>
      <c r="F18" s="34" t="s">
        <v>6948</v>
      </c>
      <c r="G18" s="34" t="s">
        <v>6964</v>
      </c>
      <c r="H18" s="34" t="s">
        <v>6965</v>
      </c>
      <c r="I18" s="34" t="s">
        <v>6966</v>
      </c>
      <c r="J18" s="34" t="s">
        <v>6983</v>
      </c>
      <c r="K18" s="36">
        <v>3</v>
      </c>
      <c r="L18" s="44">
        <v>0</v>
      </c>
      <c r="M18">
        <v>3</v>
      </c>
      <c r="N18" s="38">
        <v>2</v>
      </c>
      <c r="O18" s="38">
        <f t="shared" si="0"/>
        <v>6</v>
      </c>
      <c r="P18" s="30">
        <v>18</v>
      </c>
    </row>
    <row r="19" spans="1:16">
      <c r="A19" s="30" t="s">
        <v>6944</v>
      </c>
      <c r="B19" s="34" t="s">
        <v>6945</v>
      </c>
      <c r="C19" s="35" t="s">
        <v>6984</v>
      </c>
      <c r="D19" s="36">
        <v>30</v>
      </c>
      <c r="E19" s="36" t="s">
        <v>6947</v>
      </c>
      <c r="F19" s="34" t="s">
        <v>6948</v>
      </c>
      <c r="G19" s="34" t="s">
        <v>6964</v>
      </c>
      <c r="H19" s="34" t="s">
        <v>6965</v>
      </c>
      <c r="I19" s="34" t="s">
        <v>6966</v>
      </c>
      <c r="J19" s="34" t="s">
        <v>6985</v>
      </c>
      <c r="K19" s="36">
        <v>4</v>
      </c>
      <c r="L19" s="44">
        <v>0</v>
      </c>
      <c r="M19">
        <v>4</v>
      </c>
      <c r="N19" s="38">
        <v>4</v>
      </c>
      <c r="O19" s="38">
        <f t="shared" si="0"/>
        <v>16</v>
      </c>
      <c r="P19" s="30">
        <v>30</v>
      </c>
    </row>
    <row r="20" spans="1:16">
      <c r="A20" s="30" t="s">
        <v>6944</v>
      </c>
      <c r="B20" s="34" t="s">
        <v>6945</v>
      </c>
      <c r="C20" s="35" t="s">
        <v>6986</v>
      </c>
      <c r="D20" s="36">
        <v>5</v>
      </c>
      <c r="E20" s="36" t="s">
        <v>6947</v>
      </c>
      <c r="F20" s="34" t="s">
        <v>6948</v>
      </c>
      <c r="G20" s="34" t="s">
        <v>6964</v>
      </c>
      <c r="H20" s="34" t="s">
        <v>6965</v>
      </c>
      <c r="I20" s="34" t="s">
        <v>6966</v>
      </c>
      <c r="J20" s="34" t="s">
        <v>6987</v>
      </c>
      <c r="K20" s="36">
        <v>2</v>
      </c>
      <c r="L20" s="44">
        <v>0</v>
      </c>
      <c r="M20">
        <v>2</v>
      </c>
      <c r="N20" s="38">
        <v>1</v>
      </c>
      <c r="O20" s="38">
        <f t="shared" si="0"/>
        <v>2</v>
      </c>
      <c r="P20" s="30">
        <v>18</v>
      </c>
    </row>
    <row r="21" spans="1:16">
      <c r="A21" s="30" t="s">
        <v>6944</v>
      </c>
      <c r="B21" s="34" t="s">
        <v>6945</v>
      </c>
      <c r="C21" s="35" t="s">
        <v>6988</v>
      </c>
      <c r="D21" s="36">
        <v>15</v>
      </c>
      <c r="E21" s="36" t="s">
        <v>6947</v>
      </c>
      <c r="F21" s="34" t="s">
        <v>6948</v>
      </c>
      <c r="G21" s="34" t="s">
        <v>6964</v>
      </c>
      <c r="H21" s="34" t="s">
        <v>6965</v>
      </c>
      <c r="I21" s="34" t="s">
        <v>6966</v>
      </c>
      <c r="J21" s="34" t="s">
        <v>6987</v>
      </c>
      <c r="K21" s="36">
        <v>3</v>
      </c>
      <c r="L21" s="44">
        <v>0</v>
      </c>
      <c r="M21">
        <v>3</v>
      </c>
      <c r="N21" s="38">
        <v>2</v>
      </c>
      <c r="O21" s="38">
        <f t="shared" si="0"/>
        <v>6</v>
      </c>
      <c r="P21" s="30">
        <v>27</v>
      </c>
    </row>
    <row r="22" spans="1:16">
      <c r="A22" s="30" t="s">
        <v>6944</v>
      </c>
      <c r="B22" s="34" t="s">
        <v>6945</v>
      </c>
      <c r="C22" s="35" t="s">
        <v>6989</v>
      </c>
      <c r="D22" s="36">
        <v>30</v>
      </c>
      <c r="E22" s="36" t="s">
        <v>6947</v>
      </c>
      <c r="F22" s="34" t="s">
        <v>6948</v>
      </c>
      <c r="G22" s="34" t="s">
        <v>6964</v>
      </c>
      <c r="H22" s="34" t="s">
        <v>6965</v>
      </c>
      <c r="I22" s="34" t="s">
        <v>6966</v>
      </c>
      <c r="J22" s="34" t="s">
        <v>6987</v>
      </c>
      <c r="K22" s="36">
        <v>4</v>
      </c>
      <c r="L22" s="44">
        <v>0</v>
      </c>
      <c r="M22">
        <v>4</v>
      </c>
      <c r="N22" s="38">
        <v>4</v>
      </c>
      <c r="O22" s="38">
        <f t="shared" si="0"/>
        <v>16</v>
      </c>
      <c r="P22" s="30">
        <v>45</v>
      </c>
    </row>
    <row r="23" spans="1:16">
      <c r="A23" s="30" t="s">
        <v>6944</v>
      </c>
      <c r="B23" s="34" t="s">
        <v>6945</v>
      </c>
      <c r="C23" s="35" t="s">
        <v>6990</v>
      </c>
      <c r="D23" s="36">
        <v>5</v>
      </c>
      <c r="E23" s="36" t="s">
        <v>6947</v>
      </c>
      <c r="F23" s="34" t="s">
        <v>6948</v>
      </c>
      <c r="G23" s="34" t="s">
        <v>6949</v>
      </c>
      <c r="H23" s="34" t="s">
        <v>6949</v>
      </c>
      <c r="I23" s="34" t="s">
        <v>6966</v>
      </c>
      <c r="J23" s="34" t="s">
        <v>6991</v>
      </c>
      <c r="K23" s="36">
        <v>3</v>
      </c>
      <c r="L23" s="44">
        <v>0</v>
      </c>
      <c r="M23">
        <v>4</v>
      </c>
      <c r="N23" s="38">
        <v>50</v>
      </c>
      <c r="O23" s="38">
        <f t="shared" si="0"/>
        <v>150</v>
      </c>
      <c r="P23" s="30">
        <v>12</v>
      </c>
    </row>
    <row r="24" spans="1:16">
      <c r="A24" s="30" t="s">
        <v>6944</v>
      </c>
      <c r="B24" s="34" t="s">
        <v>6945</v>
      </c>
      <c r="C24" s="35" t="s">
        <v>6992</v>
      </c>
      <c r="D24" s="36">
        <v>15</v>
      </c>
      <c r="E24" s="36" t="s">
        <v>6947</v>
      </c>
      <c r="F24" s="34" t="s">
        <v>6948</v>
      </c>
      <c r="G24" s="34" t="s">
        <v>6949</v>
      </c>
      <c r="H24" s="34" t="s">
        <v>6949</v>
      </c>
      <c r="I24" s="34" t="s">
        <v>6966</v>
      </c>
      <c r="J24" s="34" t="s">
        <v>6993</v>
      </c>
      <c r="K24" s="36">
        <v>4</v>
      </c>
      <c r="L24" s="44">
        <v>0</v>
      </c>
      <c r="M24">
        <v>5</v>
      </c>
      <c r="N24" s="38">
        <v>150</v>
      </c>
      <c r="O24" s="38">
        <f t="shared" si="0"/>
        <v>600</v>
      </c>
      <c r="P24" s="30">
        <v>18</v>
      </c>
    </row>
    <row r="25" spans="1:16">
      <c r="A25" s="30" t="s">
        <v>6944</v>
      </c>
      <c r="B25" s="34" t="s">
        <v>6945</v>
      </c>
      <c r="C25" s="35" t="s">
        <v>6994</v>
      </c>
      <c r="D25" s="36">
        <v>30</v>
      </c>
      <c r="E25" s="36" t="s">
        <v>6947</v>
      </c>
      <c r="F25" s="34" t="s">
        <v>6948</v>
      </c>
      <c r="G25" s="34" t="s">
        <v>6949</v>
      </c>
      <c r="H25" s="34" t="s">
        <v>6949</v>
      </c>
      <c r="I25" s="34" t="s">
        <v>6966</v>
      </c>
      <c r="J25" s="34" t="s">
        <v>6995</v>
      </c>
      <c r="K25" s="36">
        <v>5</v>
      </c>
      <c r="L25" s="44">
        <v>0</v>
      </c>
      <c r="M25">
        <v>6</v>
      </c>
      <c r="N25" s="38">
        <v>500</v>
      </c>
      <c r="O25" s="38">
        <f t="shared" si="0"/>
        <v>2500</v>
      </c>
      <c r="P25" s="30">
        <v>30</v>
      </c>
    </row>
    <row r="26" spans="1:16">
      <c r="A26" s="30" t="s">
        <v>6944</v>
      </c>
      <c r="B26" s="34" t="s">
        <v>6945</v>
      </c>
      <c r="C26" s="40" t="s">
        <v>6996</v>
      </c>
      <c r="D26" s="36">
        <v>5</v>
      </c>
      <c r="E26" s="36" t="s">
        <v>6947</v>
      </c>
      <c r="F26" s="34" t="s">
        <v>6948</v>
      </c>
      <c r="G26" s="34" t="s">
        <v>6964</v>
      </c>
      <c r="H26" s="34" t="s">
        <v>6976</v>
      </c>
      <c r="I26" s="34" t="s">
        <v>6966</v>
      </c>
      <c r="J26" s="34" t="s">
        <v>6997</v>
      </c>
      <c r="K26" s="36">
        <v>2</v>
      </c>
      <c r="L26" s="44">
        <v>0</v>
      </c>
      <c r="M26">
        <v>2</v>
      </c>
      <c r="N26" s="38">
        <v>0.5</v>
      </c>
      <c r="O26" s="38">
        <f t="shared" si="0"/>
        <v>1</v>
      </c>
      <c r="P26" s="30">
        <v>12</v>
      </c>
    </row>
    <row r="27" spans="1:16">
      <c r="A27" s="30" t="s">
        <v>6944</v>
      </c>
      <c r="B27" s="34" t="s">
        <v>6945</v>
      </c>
      <c r="C27" s="40" t="s">
        <v>6998</v>
      </c>
      <c r="D27" s="36">
        <v>15</v>
      </c>
      <c r="E27" s="36" t="s">
        <v>6947</v>
      </c>
      <c r="F27" s="34" t="s">
        <v>6948</v>
      </c>
      <c r="G27" s="34" t="s">
        <v>6964</v>
      </c>
      <c r="H27" s="34" t="s">
        <v>6976</v>
      </c>
      <c r="I27" s="34" t="s">
        <v>6966</v>
      </c>
      <c r="J27" s="34" t="s">
        <v>6999</v>
      </c>
      <c r="K27" s="36">
        <v>3</v>
      </c>
      <c r="L27" s="44">
        <v>0</v>
      </c>
      <c r="M27">
        <v>3</v>
      </c>
      <c r="N27" s="38">
        <v>1</v>
      </c>
      <c r="O27" s="38">
        <f t="shared" si="0"/>
        <v>3</v>
      </c>
      <c r="P27" s="30">
        <v>18</v>
      </c>
    </row>
    <row r="28" spans="1:16">
      <c r="A28" s="30" t="s">
        <v>6944</v>
      </c>
      <c r="B28" s="34" t="s">
        <v>6945</v>
      </c>
      <c r="C28" s="40" t="s">
        <v>7000</v>
      </c>
      <c r="D28" s="36">
        <v>30</v>
      </c>
      <c r="E28" s="36" t="s">
        <v>6947</v>
      </c>
      <c r="F28" s="34" t="s">
        <v>6948</v>
      </c>
      <c r="G28" s="34" t="s">
        <v>6964</v>
      </c>
      <c r="H28" s="34" t="s">
        <v>6976</v>
      </c>
      <c r="I28" s="34" t="s">
        <v>6966</v>
      </c>
      <c r="J28" s="34" t="s">
        <v>7001</v>
      </c>
      <c r="K28" s="36">
        <v>4</v>
      </c>
      <c r="L28" s="44">
        <v>0</v>
      </c>
      <c r="M28">
        <v>4</v>
      </c>
      <c r="N28" s="38">
        <v>3</v>
      </c>
      <c r="O28" s="38">
        <f t="shared" si="0"/>
        <v>12</v>
      </c>
      <c r="P28" s="30">
        <v>30</v>
      </c>
    </row>
    <row r="29" spans="1:16">
      <c r="A29" s="30" t="s">
        <v>6944</v>
      </c>
      <c r="B29" s="34" t="s">
        <v>6945</v>
      </c>
      <c r="C29" s="35" t="s">
        <v>7002</v>
      </c>
      <c r="D29" s="36">
        <v>5</v>
      </c>
      <c r="E29" s="36" t="s">
        <v>7003</v>
      </c>
      <c r="F29" s="34" t="s">
        <v>4531</v>
      </c>
      <c r="G29" s="34" t="s">
        <v>7004</v>
      </c>
      <c r="H29" s="34" t="s">
        <v>7005</v>
      </c>
      <c r="I29" s="34" t="s">
        <v>7006</v>
      </c>
      <c r="J29" s="34" t="s">
        <v>7007</v>
      </c>
      <c r="K29" s="36">
        <v>4</v>
      </c>
      <c r="L29" s="44">
        <v>0</v>
      </c>
      <c r="M29">
        <v>4</v>
      </c>
      <c r="N29" s="38">
        <v>20</v>
      </c>
      <c r="O29" s="38">
        <f t="shared" si="0"/>
        <v>80</v>
      </c>
      <c r="P29" s="30">
        <v>12</v>
      </c>
    </row>
    <row r="30" spans="1:16">
      <c r="A30" s="30" t="s">
        <v>6944</v>
      </c>
      <c r="B30" s="34" t="s">
        <v>6945</v>
      </c>
      <c r="C30" s="35" t="s">
        <v>7008</v>
      </c>
      <c r="D30" s="36">
        <v>15</v>
      </c>
      <c r="E30" s="36" t="s">
        <v>7003</v>
      </c>
      <c r="F30" s="34" t="s">
        <v>4531</v>
      </c>
      <c r="G30" s="34" t="s">
        <v>7004</v>
      </c>
      <c r="H30" s="34" t="s">
        <v>7005</v>
      </c>
      <c r="I30" s="34" t="s">
        <v>7006</v>
      </c>
      <c r="J30" s="34" t="s">
        <v>7009</v>
      </c>
      <c r="K30" s="36">
        <v>5</v>
      </c>
      <c r="L30" s="44">
        <v>0</v>
      </c>
      <c r="M30">
        <v>5</v>
      </c>
      <c r="N30" s="38">
        <v>40</v>
      </c>
      <c r="O30" s="38">
        <f t="shared" si="0"/>
        <v>200</v>
      </c>
      <c r="P30" s="30">
        <v>18</v>
      </c>
    </row>
    <row r="31" spans="1:16">
      <c r="A31" s="30" t="s">
        <v>6944</v>
      </c>
      <c r="B31" s="34" t="s">
        <v>6945</v>
      </c>
      <c r="C31" s="35" t="s">
        <v>7010</v>
      </c>
      <c r="D31" s="36">
        <v>30</v>
      </c>
      <c r="E31" s="36" t="s">
        <v>7003</v>
      </c>
      <c r="F31" s="34" t="s">
        <v>4531</v>
      </c>
      <c r="G31" s="34" t="s">
        <v>7004</v>
      </c>
      <c r="H31" s="34" t="s">
        <v>7005</v>
      </c>
      <c r="I31" s="34" t="s">
        <v>7006</v>
      </c>
      <c r="J31" s="34" t="s">
        <v>7011</v>
      </c>
      <c r="K31" s="36">
        <v>6</v>
      </c>
      <c r="L31" s="44">
        <v>0</v>
      </c>
      <c r="M31">
        <v>6</v>
      </c>
      <c r="N31" s="38">
        <v>60</v>
      </c>
      <c r="O31" s="38">
        <f t="shared" si="0"/>
        <v>360</v>
      </c>
      <c r="P31" s="30">
        <v>30</v>
      </c>
    </row>
    <row r="32" spans="1:16">
      <c r="A32" s="30" t="s">
        <v>6944</v>
      </c>
      <c r="B32" s="34" t="s">
        <v>6945</v>
      </c>
      <c r="C32" s="35" t="s">
        <v>7012</v>
      </c>
      <c r="D32" s="36">
        <v>5</v>
      </c>
      <c r="E32" s="36" t="s">
        <v>6947</v>
      </c>
      <c r="F32" s="34" t="s">
        <v>6948</v>
      </c>
      <c r="G32" s="34" t="s">
        <v>6964</v>
      </c>
      <c r="H32" s="34" t="s">
        <v>7013</v>
      </c>
      <c r="I32" s="34" t="s">
        <v>7014</v>
      </c>
      <c r="J32" s="41" t="s">
        <v>7015</v>
      </c>
      <c r="K32" s="36">
        <v>1</v>
      </c>
      <c r="L32" s="44">
        <v>0</v>
      </c>
      <c r="M32">
        <v>1</v>
      </c>
      <c r="N32" s="38">
        <v>2</v>
      </c>
      <c r="O32" s="38">
        <f t="shared" si="0"/>
        <v>2</v>
      </c>
      <c r="P32" s="30">
        <v>18</v>
      </c>
    </row>
    <row r="33" spans="1:16">
      <c r="A33" s="30" t="s">
        <v>6944</v>
      </c>
      <c r="B33" s="34" t="s">
        <v>6945</v>
      </c>
      <c r="C33" s="35" t="s">
        <v>7016</v>
      </c>
      <c r="D33" s="36">
        <v>15</v>
      </c>
      <c r="E33" s="36" t="s">
        <v>6947</v>
      </c>
      <c r="F33" s="34" t="s">
        <v>6948</v>
      </c>
      <c r="G33" s="34" t="s">
        <v>6964</v>
      </c>
      <c r="H33" s="34" t="s">
        <v>7017</v>
      </c>
      <c r="I33" s="34" t="s">
        <v>7014</v>
      </c>
      <c r="J33" s="41" t="s">
        <v>7018</v>
      </c>
      <c r="K33" s="36">
        <v>2</v>
      </c>
      <c r="L33" s="44">
        <v>0</v>
      </c>
      <c r="M33">
        <v>2</v>
      </c>
      <c r="N33" s="38">
        <v>4</v>
      </c>
      <c r="O33" s="38">
        <f t="shared" si="0"/>
        <v>8</v>
      </c>
      <c r="P33" s="30">
        <v>30</v>
      </c>
    </row>
    <row r="34" spans="1:16">
      <c r="A34" s="30" t="s">
        <v>6944</v>
      </c>
      <c r="B34" s="34" t="s">
        <v>6945</v>
      </c>
      <c r="C34" s="35" t="s">
        <v>7019</v>
      </c>
      <c r="D34" s="36">
        <v>30</v>
      </c>
      <c r="E34" s="36" t="s">
        <v>6947</v>
      </c>
      <c r="F34" s="34" t="s">
        <v>6948</v>
      </c>
      <c r="G34" s="34" t="s">
        <v>6964</v>
      </c>
      <c r="H34" s="34" t="s">
        <v>7020</v>
      </c>
      <c r="I34" s="34" t="s">
        <v>7014</v>
      </c>
      <c r="J34" s="41" t="s">
        <v>7021</v>
      </c>
      <c r="K34" s="36">
        <v>4</v>
      </c>
      <c r="L34" s="44">
        <v>0</v>
      </c>
      <c r="M34">
        <v>4</v>
      </c>
      <c r="N34" s="38">
        <v>7</v>
      </c>
      <c r="O34" s="38">
        <f t="shared" ref="O34:O65" si="1">N34*(K34+L34)</f>
        <v>28</v>
      </c>
      <c r="P34" s="30">
        <v>48</v>
      </c>
    </row>
    <row r="35" spans="1:16">
      <c r="A35" s="30" t="s">
        <v>6944</v>
      </c>
      <c r="B35" s="34" t="s">
        <v>7022</v>
      </c>
      <c r="C35" s="35" t="s">
        <v>7023</v>
      </c>
      <c r="D35" s="36">
        <v>5</v>
      </c>
      <c r="E35" s="36" t="s">
        <v>6947</v>
      </c>
      <c r="F35" s="34" t="s">
        <v>6975</v>
      </c>
      <c r="G35" s="34" t="s">
        <v>6949</v>
      </c>
      <c r="H35" s="34" t="s">
        <v>6949</v>
      </c>
      <c r="I35" s="34" t="s">
        <v>5493</v>
      </c>
      <c r="J35" s="34" t="s">
        <v>7024</v>
      </c>
      <c r="K35" s="36">
        <v>3</v>
      </c>
      <c r="L35" s="44">
        <v>0</v>
      </c>
      <c r="M35">
        <v>4</v>
      </c>
      <c r="N35" s="38">
        <v>50</v>
      </c>
      <c r="O35" s="38">
        <f t="shared" si="1"/>
        <v>150</v>
      </c>
      <c r="P35" s="30">
        <v>24</v>
      </c>
    </row>
    <row r="36" spans="1:16">
      <c r="A36" s="30" t="s">
        <v>6944</v>
      </c>
      <c r="B36" s="34" t="s">
        <v>7022</v>
      </c>
      <c r="C36" s="35" t="s">
        <v>7025</v>
      </c>
      <c r="D36" s="36">
        <v>15</v>
      </c>
      <c r="E36" s="36" t="s">
        <v>6947</v>
      </c>
      <c r="F36" s="34" t="s">
        <v>6975</v>
      </c>
      <c r="G36" s="34" t="s">
        <v>6949</v>
      </c>
      <c r="H36" s="34" t="s">
        <v>6949</v>
      </c>
      <c r="I36" s="34" t="s">
        <v>5493</v>
      </c>
      <c r="J36" s="34" t="s">
        <v>7026</v>
      </c>
      <c r="K36" s="36">
        <v>4</v>
      </c>
      <c r="L36" s="44">
        <v>0</v>
      </c>
      <c r="M36">
        <v>5</v>
      </c>
      <c r="N36" s="38">
        <v>150</v>
      </c>
      <c r="O36" s="38">
        <f t="shared" si="1"/>
        <v>600</v>
      </c>
      <c r="P36" s="30">
        <v>36</v>
      </c>
    </row>
    <row r="37" spans="1:16">
      <c r="A37" s="30" t="s">
        <v>6944</v>
      </c>
      <c r="B37" s="34" t="s">
        <v>7022</v>
      </c>
      <c r="C37" s="35" t="s">
        <v>7027</v>
      </c>
      <c r="D37" s="36">
        <v>30</v>
      </c>
      <c r="E37" s="36" t="s">
        <v>6947</v>
      </c>
      <c r="F37" s="34" t="s">
        <v>6975</v>
      </c>
      <c r="G37" s="34" t="s">
        <v>6949</v>
      </c>
      <c r="H37" s="34" t="s">
        <v>6949</v>
      </c>
      <c r="I37" s="34" t="s">
        <v>5493</v>
      </c>
      <c r="J37" s="34" t="s">
        <v>7028</v>
      </c>
      <c r="K37" s="36">
        <v>5</v>
      </c>
      <c r="L37" s="44">
        <v>0</v>
      </c>
      <c r="M37">
        <v>6</v>
      </c>
      <c r="N37" s="38">
        <v>500</v>
      </c>
      <c r="O37" s="38">
        <f t="shared" si="1"/>
        <v>2500</v>
      </c>
      <c r="P37" s="30">
        <v>60</v>
      </c>
    </row>
    <row r="38" spans="1:16">
      <c r="A38" s="30" t="s">
        <v>6944</v>
      </c>
      <c r="B38" s="34" t="s">
        <v>6945</v>
      </c>
      <c r="C38" s="35" t="s">
        <v>7029</v>
      </c>
      <c r="D38" s="36">
        <v>15</v>
      </c>
      <c r="E38" s="36" t="s">
        <v>7003</v>
      </c>
      <c r="F38" s="34" t="s">
        <v>7030</v>
      </c>
      <c r="G38" s="34" t="s">
        <v>6964</v>
      </c>
      <c r="H38" s="34" t="s">
        <v>6964</v>
      </c>
      <c r="I38" s="34" t="s">
        <v>5493</v>
      </c>
      <c r="J38" s="34" t="s">
        <v>7031</v>
      </c>
      <c r="K38" s="36">
        <v>5</v>
      </c>
      <c r="L38" s="44">
        <v>0</v>
      </c>
      <c r="M38">
        <v>3</v>
      </c>
      <c r="N38" s="38">
        <v>10</v>
      </c>
      <c r="O38" s="38">
        <f t="shared" si="1"/>
        <v>50</v>
      </c>
      <c r="P38" s="30">
        <v>18</v>
      </c>
    </row>
    <row r="39" spans="1:16">
      <c r="A39" s="30" t="s">
        <v>6944</v>
      </c>
      <c r="B39" s="34" t="s">
        <v>6945</v>
      </c>
      <c r="C39" s="35" t="s">
        <v>7032</v>
      </c>
      <c r="D39" s="36">
        <v>30</v>
      </c>
      <c r="E39" s="36" t="s">
        <v>6947</v>
      </c>
      <c r="F39" s="34" t="s">
        <v>6975</v>
      </c>
      <c r="G39" s="34" t="s">
        <v>6964</v>
      </c>
      <c r="H39" s="34" t="s">
        <v>6964</v>
      </c>
      <c r="I39" s="34" t="s">
        <v>5493</v>
      </c>
      <c r="J39" s="34" t="s">
        <v>7031</v>
      </c>
      <c r="K39" s="36">
        <v>2</v>
      </c>
      <c r="L39" s="44">
        <v>0</v>
      </c>
      <c r="M39">
        <v>3</v>
      </c>
      <c r="N39" s="38">
        <v>1</v>
      </c>
      <c r="O39" s="38">
        <f t="shared" si="1"/>
        <v>2</v>
      </c>
      <c r="P39" s="30">
        <v>15</v>
      </c>
    </row>
    <row r="40" spans="1:16">
      <c r="A40" s="30" t="s">
        <v>6944</v>
      </c>
      <c r="B40" s="34" t="s">
        <v>6945</v>
      </c>
      <c r="C40" s="35" t="s">
        <v>7033</v>
      </c>
      <c r="D40" s="36">
        <v>30</v>
      </c>
      <c r="E40" s="36" t="s">
        <v>7003</v>
      </c>
      <c r="F40" s="34" t="s">
        <v>7030</v>
      </c>
      <c r="G40" s="34" t="s">
        <v>6964</v>
      </c>
      <c r="H40" s="34" t="s">
        <v>6964</v>
      </c>
      <c r="I40" s="34" t="s">
        <v>5493</v>
      </c>
      <c r="J40" s="34" t="s">
        <v>7034</v>
      </c>
      <c r="K40" s="36">
        <v>6</v>
      </c>
      <c r="L40" s="44">
        <v>0</v>
      </c>
      <c r="M40">
        <v>4</v>
      </c>
      <c r="N40" s="38">
        <v>20</v>
      </c>
      <c r="O40" s="38">
        <f t="shared" si="1"/>
        <v>120</v>
      </c>
      <c r="P40" s="30">
        <v>30</v>
      </c>
    </row>
    <row r="41" spans="1:16">
      <c r="A41" s="30" t="s">
        <v>6944</v>
      </c>
      <c r="B41" s="34" t="s">
        <v>6945</v>
      </c>
      <c r="C41" s="35" t="s">
        <v>7035</v>
      </c>
      <c r="D41" s="36">
        <v>40</v>
      </c>
      <c r="E41" s="36" t="s">
        <v>6947</v>
      </c>
      <c r="F41" s="34" t="s">
        <v>6975</v>
      </c>
      <c r="G41" s="34" t="s">
        <v>6964</v>
      </c>
      <c r="H41" s="34" t="s">
        <v>6964</v>
      </c>
      <c r="I41" s="34" t="s">
        <v>5493</v>
      </c>
      <c r="J41" s="34" t="s">
        <v>7034</v>
      </c>
      <c r="K41" s="36">
        <v>3</v>
      </c>
      <c r="L41" s="44">
        <v>0</v>
      </c>
      <c r="M41">
        <v>5</v>
      </c>
      <c r="N41" s="38">
        <v>5</v>
      </c>
      <c r="O41" s="38">
        <f t="shared" si="1"/>
        <v>15</v>
      </c>
      <c r="P41" s="30">
        <v>24</v>
      </c>
    </row>
    <row r="42" spans="1:16">
      <c r="A42" s="30" t="s">
        <v>6944</v>
      </c>
      <c r="B42" s="34" t="s">
        <v>6945</v>
      </c>
      <c r="C42" s="35" t="s">
        <v>7036</v>
      </c>
      <c r="D42" s="36">
        <v>40</v>
      </c>
      <c r="E42" s="36" t="s">
        <v>7003</v>
      </c>
      <c r="F42" s="34" t="s">
        <v>7030</v>
      </c>
      <c r="G42" s="34" t="s">
        <v>6964</v>
      </c>
      <c r="H42" s="34" t="s">
        <v>6964</v>
      </c>
      <c r="I42" s="34" t="s">
        <v>5493</v>
      </c>
      <c r="J42" s="34" t="s">
        <v>7037</v>
      </c>
      <c r="K42" s="36">
        <v>7</v>
      </c>
      <c r="L42" s="44">
        <v>0</v>
      </c>
      <c r="M42">
        <v>5</v>
      </c>
      <c r="N42" s="38">
        <v>30</v>
      </c>
      <c r="O42" s="38">
        <f t="shared" si="1"/>
        <v>210</v>
      </c>
      <c r="P42" s="30">
        <v>48</v>
      </c>
    </row>
    <row r="43" spans="1:16">
      <c r="A43" s="30" t="s">
        <v>6944</v>
      </c>
      <c r="B43" s="34" t="s">
        <v>6945</v>
      </c>
      <c r="C43" s="35" t="s">
        <v>7038</v>
      </c>
      <c r="D43" s="36">
        <v>5</v>
      </c>
      <c r="E43" s="36" t="s">
        <v>6947</v>
      </c>
      <c r="F43" s="34" t="s">
        <v>6975</v>
      </c>
      <c r="G43" s="34" t="s">
        <v>6964</v>
      </c>
      <c r="H43" s="34" t="s">
        <v>6964</v>
      </c>
      <c r="I43" s="34" t="s">
        <v>5493</v>
      </c>
      <c r="J43" s="34" t="s">
        <v>7039</v>
      </c>
      <c r="K43" s="36">
        <v>1</v>
      </c>
      <c r="L43" s="44">
        <v>0</v>
      </c>
      <c r="M43">
        <v>1</v>
      </c>
      <c r="N43" s="38">
        <v>0.25</v>
      </c>
      <c r="O43" s="38">
        <f t="shared" si="1"/>
        <v>0.25</v>
      </c>
      <c r="P43" s="30">
        <v>6</v>
      </c>
    </row>
    <row r="44" spans="1:16">
      <c r="A44" s="30" t="s">
        <v>6944</v>
      </c>
      <c r="B44" s="34" t="s">
        <v>6945</v>
      </c>
      <c r="C44" s="35" t="s">
        <v>7040</v>
      </c>
      <c r="D44" s="36">
        <v>5</v>
      </c>
      <c r="E44" s="36" t="s">
        <v>7003</v>
      </c>
      <c r="F44" s="34" t="s">
        <v>7030</v>
      </c>
      <c r="G44" s="34" t="s">
        <v>6964</v>
      </c>
      <c r="H44" s="34" t="s">
        <v>6964</v>
      </c>
      <c r="I44" s="34" t="s">
        <v>5493</v>
      </c>
      <c r="J44" s="34" t="s">
        <v>7041</v>
      </c>
      <c r="K44" s="36">
        <v>4</v>
      </c>
      <c r="L44" s="44">
        <v>0</v>
      </c>
      <c r="M44">
        <v>2</v>
      </c>
      <c r="N44" s="38">
        <v>5</v>
      </c>
      <c r="O44" s="38">
        <f t="shared" si="1"/>
        <v>20</v>
      </c>
      <c r="P44" s="30">
        <v>12</v>
      </c>
    </row>
    <row r="45" spans="1:16">
      <c r="A45" s="30" t="s">
        <v>6944</v>
      </c>
      <c r="B45" s="34" t="s">
        <v>6945</v>
      </c>
      <c r="C45" s="35" t="s">
        <v>7042</v>
      </c>
      <c r="D45" s="36">
        <v>15</v>
      </c>
      <c r="E45" s="36" t="s">
        <v>6947</v>
      </c>
      <c r="F45" s="34" t="s">
        <v>6975</v>
      </c>
      <c r="G45" s="34" t="s">
        <v>6964</v>
      </c>
      <c r="H45" s="34" t="s">
        <v>6964</v>
      </c>
      <c r="I45" s="34" t="s">
        <v>5493</v>
      </c>
      <c r="J45" s="34" t="s">
        <v>7041</v>
      </c>
      <c r="K45" s="36">
        <v>1</v>
      </c>
      <c r="L45" s="44">
        <v>0</v>
      </c>
      <c r="M45">
        <v>2</v>
      </c>
      <c r="N45" s="38">
        <v>0.5</v>
      </c>
      <c r="O45" s="38">
        <f t="shared" si="1"/>
        <v>0.5</v>
      </c>
      <c r="P45" s="30">
        <v>9</v>
      </c>
    </row>
    <row r="46" spans="1:16">
      <c r="A46" s="30" t="s">
        <v>6944</v>
      </c>
      <c r="B46" s="34" t="s">
        <v>6945</v>
      </c>
      <c r="C46" s="35" t="s">
        <v>7043</v>
      </c>
      <c r="D46" s="36">
        <v>15</v>
      </c>
      <c r="E46" s="36" t="s">
        <v>6947</v>
      </c>
      <c r="F46" s="34" t="s">
        <v>6948</v>
      </c>
      <c r="G46" s="34" t="s">
        <v>6964</v>
      </c>
      <c r="H46" s="34" t="s">
        <v>6964</v>
      </c>
      <c r="I46" s="34" t="s">
        <v>5493</v>
      </c>
      <c r="J46" s="34" t="s">
        <v>7044</v>
      </c>
      <c r="K46" s="36">
        <v>3</v>
      </c>
      <c r="L46" s="44">
        <v>0</v>
      </c>
      <c r="M46">
        <v>3</v>
      </c>
      <c r="N46" s="38">
        <v>1</v>
      </c>
      <c r="O46" s="38">
        <f t="shared" si="1"/>
        <v>3</v>
      </c>
      <c r="P46" s="30">
        <v>9</v>
      </c>
    </row>
    <row r="47" spans="1:16">
      <c r="A47" s="30" t="s">
        <v>6944</v>
      </c>
      <c r="B47" s="34" t="s">
        <v>6945</v>
      </c>
      <c r="C47" s="35" t="s">
        <v>7045</v>
      </c>
      <c r="D47" s="36">
        <v>30</v>
      </c>
      <c r="E47" s="36" t="s">
        <v>6947</v>
      </c>
      <c r="F47" s="34" t="s">
        <v>6948</v>
      </c>
      <c r="G47" s="34" t="s">
        <v>6964</v>
      </c>
      <c r="H47" s="34" t="s">
        <v>6964</v>
      </c>
      <c r="I47" s="34" t="s">
        <v>5493</v>
      </c>
      <c r="J47" s="34" t="s">
        <v>7046</v>
      </c>
      <c r="K47" s="36">
        <v>4</v>
      </c>
      <c r="L47" s="44">
        <v>0</v>
      </c>
      <c r="M47">
        <v>4</v>
      </c>
      <c r="N47" s="38">
        <v>3</v>
      </c>
      <c r="O47" s="38">
        <f t="shared" si="1"/>
        <v>12</v>
      </c>
      <c r="P47" s="30">
        <v>15</v>
      </c>
    </row>
    <row r="48" spans="1:16">
      <c r="A48" s="30" t="s">
        <v>6944</v>
      </c>
      <c r="B48" s="34" t="s">
        <v>6945</v>
      </c>
      <c r="C48" s="35" t="s">
        <v>7047</v>
      </c>
      <c r="D48" s="36">
        <v>5</v>
      </c>
      <c r="E48" s="36" t="s">
        <v>6947</v>
      </c>
      <c r="F48" s="34" t="s">
        <v>6948</v>
      </c>
      <c r="G48" s="34" t="s">
        <v>6964</v>
      </c>
      <c r="H48" s="34" t="s">
        <v>6964</v>
      </c>
      <c r="I48" s="34" t="s">
        <v>5493</v>
      </c>
      <c r="J48" s="34" t="s">
        <v>7048</v>
      </c>
      <c r="K48" s="36">
        <v>2</v>
      </c>
      <c r="L48" s="44">
        <v>0</v>
      </c>
      <c r="M48">
        <v>2</v>
      </c>
      <c r="N48" s="38">
        <v>0.5</v>
      </c>
      <c r="O48" s="38">
        <f t="shared" si="1"/>
        <v>1</v>
      </c>
      <c r="P48" s="30">
        <v>6</v>
      </c>
    </row>
    <row r="49" spans="1:16">
      <c r="A49" s="30" t="s">
        <v>7049</v>
      </c>
      <c r="B49" s="34" t="s">
        <v>6945</v>
      </c>
      <c r="C49" s="35" t="s">
        <v>7050</v>
      </c>
      <c r="D49" s="36">
        <v>65</v>
      </c>
      <c r="E49" s="36" t="s">
        <v>6947</v>
      </c>
      <c r="F49" s="34" t="s">
        <v>4531</v>
      </c>
      <c r="G49" s="34" t="s">
        <v>7051</v>
      </c>
      <c r="H49" s="34" t="s">
        <v>7052</v>
      </c>
      <c r="I49" s="34" t="s">
        <v>5493</v>
      </c>
      <c r="J49" s="34" t="s">
        <v>7053</v>
      </c>
      <c r="K49" s="36">
        <v>1</v>
      </c>
      <c r="L49" s="44">
        <v>0</v>
      </c>
      <c r="M49">
        <v>1</v>
      </c>
      <c r="N49" s="38">
        <v>5</v>
      </c>
      <c r="O49" s="38">
        <f t="shared" si="1"/>
        <v>5</v>
      </c>
      <c r="P49" s="30">
        <v>6</v>
      </c>
    </row>
    <row r="50" spans="1:16">
      <c r="A50" s="30" t="s">
        <v>7049</v>
      </c>
      <c r="B50" s="34" t="s">
        <v>7022</v>
      </c>
      <c r="C50" s="35" t="s">
        <v>7054</v>
      </c>
      <c r="D50" s="36">
        <v>75</v>
      </c>
      <c r="E50" s="36" t="s">
        <v>6947</v>
      </c>
      <c r="F50" s="34" t="s">
        <v>4531</v>
      </c>
      <c r="G50" s="34" t="s">
        <v>6949</v>
      </c>
      <c r="H50" s="34" t="s">
        <v>6949</v>
      </c>
      <c r="I50" s="34" t="s">
        <v>5493</v>
      </c>
      <c r="J50" s="34" t="s">
        <v>7055</v>
      </c>
      <c r="K50" s="36">
        <v>1</v>
      </c>
      <c r="L50" s="44">
        <v>0</v>
      </c>
      <c r="M50">
        <v>3</v>
      </c>
      <c r="N50" s="38">
        <v>25</v>
      </c>
      <c r="O50" s="38">
        <f t="shared" si="1"/>
        <v>25</v>
      </c>
      <c r="P50" s="30">
        <v>24</v>
      </c>
    </row>
    <row r="51" spans="1:16">
      <c r="A51" s="30" t="s">
        <v>7049</v>
      </c>
      <c r="B51" s="34" t="s">
        <v>7022</v>
      </c>
      <c r="C51" s="35" t="s">
        <v>7056</v>
      </c>
      <c r="D51" s="36">
        <v>85</v>
      </c>
      <c r="E51" s="36" t="s">
        <v>6947</v>
      </c>
      <c r="F51" s="34" t="s">
        <v>4531</v>
      </c>
      <c r="G51" s="34" t="s">
        <v>6949</v>
      </c>
      <c r="H51" s="34" t="s">
        <v>6949</v>
      </c>
      <c r="I51" s="34" t="s">
        <v>5493</v>
      </c>
      <c r="J51" s="34" t="s">
        <v>7057</v>
      </c>
      <c r="K51" s="36">
        <v>1</v>
      </c>
      <c r="L51" s="44">
        <v>0</v>
      </c>
      <c r="M51">
        <v>4</v>
      </c>
      <c r="N51" s="38">
        <v>250</v>
      </c>
      <c r="O51" s="38">
        <f t="shared" si="1"/>
        <v>250</v>
      </c>
      <c r="P51" s="30">
        <v>48</v>
      </c>
    </row>
    <row r="52" spans="1:16">
      <c r="A52" s="30" t="s">
        <v>7049</v>
      </c>
      <c r="B52" s="34" t="s">
        <v>6945</v>
      </c>
      <c r="C52" s="35" t="s">
        <v>7058</v>
      </c>
      <c r="D52" s="36">
        <v>30</v>
      </c>
      <c r="E52" s="36" t="s">
        <v>6947</v>
      </c>
      <c r="F52" s="34" t="s">
        <v>4531</v>
      </c>
      <c r="G52" s="34" t="s">
        <v>7059</v>
      </c>
      <c r="H52" s="34" t="s">
        <v>7060</v>
      </c>
      <c r="I52" s="34" t="s">
        <v>7061</v>
      </c>
      <c r="J52" s="34" t="s">
        <v>7062</v>
      </c>
      <c r="K52" s="36">
        <v>1</v>
      </c>
      <c r="L52" s="44">
        <v>0</v>
      </c>
      <c r="M52">
        <v>1</v>
      </c>
      <c r="N52" s="38">
        <v>2.5</v>
      </c>
      <c r="O52" s="38">
        <f t="shared" si="1"/>
        <v>2.5</v>
      </c>
      <c r="P52" s="30">
        <v>6</v>
      </c>
    </row>
    <row r="53" spans="1:16">
      <c r="A53" s="30" t="s">
        <v>7049</v>
      </c>
      <c r="B53" s="34" t="s">
        <v>6945</v>
      </c>
      <c r="C53" s="35" t="s">
        <v>7063</v>
      </c>
      <c r="D53" s="36">
        <v>40</v>
      </c>
      <c r="E53" s="36" t="s">
        <v>6947</v>
      </c>
      <c r="F53" s="34" t="s">
        <v>4531</v>
      </c>
      <c r="G53" s="34" t="s">
        <v>7059</v>
      </c>
      <c r="H53" s="34" t="s">
        <v>7060</v>
      </c>
      <c r="I53" s="34" t="s">
        <v>7061</v>
      </c>
      <c r="J53" s="34" t="s">
        <v>7064</v>
      </c>
      <c r="K53" s="36">
        <v>1</v>
      </c>
      <c r="L53" s="44">
        <v>0</v>
      </c>
      <c r="M53">
        <v>1</v>
      </c>
      <c r="N53" s="38">
        <v>10</v>
      </c>
      <c r="O53" s="38">
        <f t="shared" si="1"/>
        <v>10</v>
      </c>
      <c r="P53" s="30">
        <v>9</v>
      </c>
    </row>
    <row r="54" spans="1:16">
      <c r="A54" s="30" t="s">
        <v>7049</v>
      </c>
      <c r="B54" s="34" t="s">
        <v>6945</v>
      </c>
      <c r="C54" s="35" t="s">
        <v>7065</v>
      </c>
      <c r="D54" s="36">
        <v>50</v>
      </c>
      <c r="E54" s="36" t="s">
        <v>6947</v>
      </c>
      <c r="F54" s="34" t="s">
        <v>4531</v>
      </c>
      <c r="G54" s="34" t="s">
        <v>7059</v>
      </c>
      <c r="H54" s="34" t="s">
        <v>7060</v>
      </c>
      <c r="I54" s="34" t="s">
        <v>7061</v>
      </c>
      <c r="J54" s="34" t="s">
        <v>7066</v>
      </c>
      <c r="K54" s="36">
        <v>1</v>
      </c>
      <c r="L54" s="44">
        <v>0</v>
      </c>
      <c r="M54">
        <v>1</v>
      </c>
      <c r="N54" s="38">
        <v>40</v>
      </c>
      <c r="O54" s="38">
        <f t="shared" si="1"/>
        <v>40</v>
      </c>
      <c r="P54" s="30">
        <v>15</v>
      </c>
    </row>
    <row r="55" spans="1:16">
      <c r="A55" s="30" t="s">
        <v>7049</v>
      </c>
      <c r="B55" s="34" t="s">
        <v>7022</v>
      </c>
      <c r="C55" s="35" t="s">
        <v>7067</v>
      </c>
      <c r="D55" s="36">
        <v>30</v>
      </c>
      <c r="E55" s="36" t="s">
        <v>6947</v>
      </c>
      <c r="F55" s="34" t="s">
        <v>7030</v>
      </c>
      <c r="G55" s="34" t="s">
        <v>7068</v>
      </c>
      <c r="H55" s="34" t="s">
        <v>7059</v>
      </c>
      <c r="I55" s="34" t="s">
        <v>5493</v>
      </c>
      <c r="J55" s="34" t="s">
        <v>7069</v>
      </c>
      <c r="K55" s="36">
        <v>1</v>
      </c>
      <c r="L55" s="44">
        <v>0</v>
      </c>
      <c r="M55">
        <v>2</v>
      </c>
      <c r="N55" s="38">
        <v>5</v>
      </c>
      <c r="O55" s="38">
        <f t="shared" si="1"/>
        <v>5</v>
      </c>
      <c r="P55" s="30">
        <v>12</v>
      </c>
    </row>
    <row r="56" spans="1:16">
      <c r="A56" s="30" t="s">
        <v>7049</v>
      </c>
      <c r="B56" s="34" t="s">
        <v>7022</v>
      </c>
      <c r="C56" s="35" t="s">
        <v>7070</v>
      </c>
      <c r="D56" s="36">
        <v>40</v>
      </c>
      <c r="E56" s="36" t="s">
        <v>6947</v>
      </c>
      <c r="F56" s="34" t="s">
        <v>7030</v>
      </c>
      <c r="G56" s="34" t="s">
        <v>7068</v>
      </c>
      <c r="H56" s="34" t="s">
        <v>7059</v>
      </c>
      <c r="I56" s="34" t="s">
        <v>5493</v>
      </c>
      <c r="J56" s="34" t="s">
        <v>7071</v>
      </c>
      <c r="K56" s="36">
        <v>1</v>
      </c>
      <c r="L56" s="44">
        <v>0</v>
      </c>
      <c r="M56">
        <v>3</v>
      </c>
      <c r="N56" s="38">
        <v>20</v>
      </c>
      <c r="O56" s="38">
        <f t="shared" si="1"/>
        <v>20</v>
      </c>
      <c r="P56" s="30">
        <v>18</v>
      </c>
    </row>
    <row r="57" spans="1:16">
      <c r="A57" s="30" t="s">
        <v>7049</v>
      </c>
      <c r="B57" s="34" t="s">
        <v>7022</v>
      </c>
      <c r="C57" s="35" t="s">
        <v>7072</v>
      </c>
      <c r="D57" s="36">
        <v>50</v>
      </c>
      <c r="E57" s="36" t="s">
        <v>6947</v>
      </c>
      <c r="F57" s="34" t="s">
        <v>7030</v>
      </c>
      <c r="G57" s="34" t="s">
        <v>7068</v>
      </c>
      <c r="H57" s="34" t="s">
        <v>7059</v>
      </c>
      <c r="I57" s="34" t="s">
        <v>5493</v>
      </c>
      <c r="J57" s="34" t="s">
        <v>7073</v>
      </c>
      <c r="K57" s="36">
        <v>1</v>
      </c>
      <c r="L57" s="44">
        <v>0</v>
      </c>
      <c r="M57">
        <v>4</v>
      </c>
      <c r="N57" s="38">
        <v>125</v>
      </c>
      <c r="O57" s="38">
        <f t="shared" si="1"/>
        <v>125</v>
      </c>
      <c r="P57" s="30">
        <v>30</v>
      </c>
    </row>
    <row r="58" spans="1:16">
      <c r="A58" s="30" t="s">
        <v>7049</v>
      </c>
      <c r="B58" s="34" t="s">
        <v>7022</v>
      </c>
      <c r="C58" s="35" t="s">
        <v>7074</v>
      </c>
      <c r="D58" s="36">
        <v>55</v>
      </c>
      <c r="E58" s="36" t="s">
        <v>6947</v>
      </c>
      <c r="F58" s="34" t="s">
        <v>4531</v>
      </c>
      <c r="G58" s="34" t="s">
        <v>7068</v>
      </c>
      <c r="H58" s="34" t="s">
        <v>7075</v>
      </c>
      <c r="I58" s="34" t="s">
        <v>5493</v>
      </c>
      <c r="J58" s="34" t="s">
        <v>7076</v>
      </c>
      <c r="K58" s="36">
        <v>1</v>
      </c>
      <c r="L58" s="44">
        <v>0</v>
      </c>
      <c r="M58">
        <v>3</v>
      </c>
      <c r="N58" s="38">
        <v>250</v>
      </c>
      <c r="O58" s="38">
        <f t="shared" si="1"/>
        <v>250</v>
      </c>
      <c r="P58" s="30">
        <v>24</v>
      </c>
    </row>
    <row r="59" spans="1:16">
      <c r="A59" s="30" t="s">
        <v>7049</v>
      </c>
      <c r="B59" s="34" t="s">
        <v>7022</v>
      </c>
      <c r="C59" s="35" t="s">
        <v>7077</v>
      </c>
      <c r="D59" s="36">
        <v>65</v>
      </c>
      <c r="E59" s="36" t="s">
        <v>6947</v>
      </c>
      <c r="F59" s="34" t="s">
        <v>4531</v>
      </c>
      <c r="G59" s="34" t="s">
        <v>7068</v>
      </c>
      <c r="H59" s="34" t="s">
        <v>7075</v>
      </c>
      <c r="I59" s="34" t="s">
        <v>5493</v>
      </c>
      <c r="J59" s="34" t="s">
        <v>7078</v>
      </c>
      <c r="K59" s="36">
        <v>1</v>
      </c>
      <c r="L59" s="44">
        <v>0</v>
      </c>
      <c r="M59">
        <v>6</v>
      </c>
      <c r="N59" s="38">
        <v>2500</v>
      </c>
      <c r="O59" s="38">
        <f t="shared" si="1"/>
        <v>2500</v>
      </c>
      <c r="P59" s="30">
        <v>48</v>
      </c>
    </row>
    <row r="60" spans="1:16">
      <c r="A60" s="30" t="s">
        <v>7049</v>
      </c>
      <c r="B60" s="34" t="s">
        <v>7022</v>
      </c>
      <c r="C60" s="35" t="s">
        <v>7079</v>
      </c>
      <c r="D60" s="36">
        <v>80</v>
      </c>
      <c r="E60" s="36" t="s">
        <v>6947</v>
      </c>
      <c r="F60" s="34" t="s">
        <v>4531</v>
      </c>
      <c r="G60" s="34" t="s">
        <v>7080</v>
      </c>
      <c r="H60" s="34" t="s">
        <v>7081</v>
      </c>
      <c r="I60" s="34" t="s">
        <v>5493</v>
      </c>
      <c r="J60" s="34" t="s">
        <v>7082</v>
      </c>
      <c r="K60" s="36">
        <v>2</v>
      </c>
      <c r="L60" s="44">
        <v>0</v>
      </c>
      <c r="M60">
        <v>7</v>
      </c>
      <c r="N60" s="38">
        <v>1500</v>
      </c>
      <c r="O60" s="38">
        <f t="shared" si="1"/>
        <v>3000</v>
      </c>
      <c r="P60" s="30">
        <v>150</v>
      </c>
    </row>
    <row r="61" spans="1:16">
      <c r="A61" s="30" t="s">
        <v>7049</v>
      </c>
      <c r="B61" s="34" t="s">
        <v>7022</v>
      </c>
      <c r="C61" s="35" t="s">
        <v>7083</v>
      </c>
      <c r="D61" s="36">
        <v>90</v>
      </c>
      <c r="E61" s="36" t="s">
        <v>6947</v>
      </c>
      <c r="F61" s="34" t="s">
        <v>4531</v>
      </c>
      <c r="G61" s="34" t="s">
        <v>7080</v>
      </c>
      <c r="H61" s="34" t="s">
        <v>7081</v>
      </c>
      <c r="I61" s="34" t="s">
        <v>5493</v>
      </c>
      <c r="J61" s="34" t="s">
        <v>7084</v>
      </c>
      <c r="K61" s="36">
        <v>3</v>
      </c>
      <c r="L61" s="44">
        <v>0</v>
      </c>
      <c r="M61">
        <v>7</v>
      </c>
      <c r="N61" s="38">
        <v>2000</v>
      </c>
      <c r="O61" s="38">
        <f t="shared" si="1"/>
        <v>6000</v>
      </c>
      <c r="P61" s="30">
        <v>240</v>
      </c>
    </row>
    <row r="62" spans="1:16">
      <c r="A62" s="30" t="s">
        <v>7049</v>
      </c>
      <c r="B62" s="34" t="s">
        <v>7022</v>
      </c>
      <c r="C62" s="35" t="s">
        <v>7085</v>
      </c>
      <c r="D62" s="36">
        <v>60</v>
      </c>
      <c r="E62" s="36" t="s">
        <v>6947</v>
      </c>
      <c r="F62" s="34" t="s">
        <v>4531</v>
      </c>
      <c r="G62" s="34" t="s">
        <v>7080</v>
      </c>
      <c r="H62" s="34" t="s">
        <v>7081</v>
      </c>
      <c r="I62" s="34" t="s">
        <v>5493</v>
      </c>
      <c r="J62" s="34" t="s">
        <v>7086</v>
      </c>
      <c r="K62" s="36">
        <v>1</v>
      </c>
      <c r="L62" s="44">
        <v>0</v>
      </c>
      <c r="M62">
        <v>5</v>
      </c>
      <c r="N62" s="38">
        <v>500</v>
      </c>
      <c r="O62" s="38">
        <f t="shared" si="1"/>
        <v>500</v>
      </c>
      <c r="P62" s="30">
        <v>60</v>
      </c>
    </row>
    <row r="63" spans="1:16">
      <c r="A63" s="30" t="s">
        <v>7049</v>
      </c>
      <c r="B63" s="34" t="s">
        <v>7022</v>
      </c>
      <c r="C63" s="35" t="s">
        <v>7087</v>
      </c>
      <c r="D63" s="36">
        <v>70</v>
      </c>
      <c r="E63" s="36" t="s">
        <v>6947</v>
      </c>
      <c r="F63" s="34" t="s">
        <v>4531</v>
      </c>
      <c r="G63" s="34" t="s">
        <v>7080</v>
      </c>
      <c r="H63" s="34" t="s">
        <v>7081</v>
      </c>
      <c r="I63" s="34" t="s">
        <v>5493</v>
      </c>
      <c r="J63" s="34" t="s">
        <v>7088</v>
      </c>
      <c r="K63" s="36">
        <v>1</v>
      </c>
      <c r="L63" s="44">
        <v>0</v>
      </c>
      <c r="M63">
        <v>6</v>
      </c>
      <c r="N63" s="38">
        <v>1000</v>
      </c>
      <c r="O63" s="38">
        <f t="shared" si="1"/>
        <v>1000</v>
      </c>
      <c r="P63" s="30">
        <v>90</v>
      </c>
    </row>
    <row r="64" spans="1:16">
      <c r="A64" s="30" t="s">
        <v>7049</v>
      </c>
      <c r="B64" s="34" t="s">
        <v>6945</v>
      </c>
      <c r="C64" s="35" t="s">
        <v>7089</v>
      </c>
      <c r="D64" s="36">
        <v>65</v>
      </c>
      <c r="E64" s="36" t="s">
        <v>6947</v>
      </c>
      <c r="F64" s="34" t="s">
        <v>4531</v>
      </c>
      <c r="G64" s="34" t="s">
        <v>7068</v>
      </c>
      <c r="H64" s="34" t="s">
        <v>7051</v>
      </c>
      <c r="I64" s="34" t="s">
        <v>7090</v>
      </c>
      <c r="J64" s="34" t="s">
        <v>7091</v>
      </c>
      <c r="K64" s="36">
        <v>1</v>
      </c>
      <c r="L64" s="44">
        <v>0</v>
      </c>
      <c r="M64">
        <v>1</v>
      </c>
      <c r="N64" s="38">
        <v>25</v>
      </c>
      <c r="O64" s="38">
        <f t="shared" si="1"/>
        <v>25</v>
      </c>
      <c r="P64" s="30">
        <v>10</v>
      </c>
    </row>
    <row r="65" spans="1:16">
      <c r="A65" s="30" t="s">
        <v>7049</v>
      </c>
      <c r="B65" s="34" t="s">
        <v>6945</v>
      </c>
      <c r="C65" s="35" t="s">
        <v>7092</v>
      </c>
      <c r="D65" s="36">
        <v>75</v>
      </c>
      <c r="E65" s="36" t="s">
        <v>6947</v>
      </c>
      <c r="F65" s="34" t="s">
        <v>4531</v>
      </c>
      <c r="G65" s="34" t="s">
        <v>7068</v>
      </c>
      <c r="H65" s="34" t="s">
        <v>7051</v>
      </c>
      <c r="I65" s="34" t="s">
        <v>7090</v>
      </c>
      <c r="J65" s="34" t="s">
        <v>7093</v>
      </c>
      <c r="K65" s="36">
        <v>1</v>
      </c>
      <c r="L65" s="44">
        <v>0</v>
      </c>
      <c r="M65">
        <v>3</v>
      </c>
      <c r="N65" s="38">
        <v>50</v>
      </c>
      <c r="O65" s="38">
        <f t="shared" si="1"/>
        <v>50</v>
      </c>
      <c r="P65" s="30">
        <v>15</v>
      </c>
    </row>
    <row r="66" spans="1:16">
      <c r="A66" s="30" t="s">
        <v>7049</v>
      </c>
      <c r="B66" s="34" t="s">
        <v>6945</v>
      </c>
      <c r="C66" s="35" t="s">
        <v>7094</v>
      </c>
      <c r="D66" s="36">
        <v>85</v>
      </c>
      <c r="E66" s="36" t="s">
        <v>6947</v>
      </c>
      <c r="F66" s="34" t="s">
        <v>4531</v>
      </c>
      <c r="G66" s="34" t="s">
        <v>7068</v>
      </c>
      <c r="H66" s="34" t="s">
        <v>7051</v>
      </c>
      <c r="I66" s="34" t="s">
        <v>7090</v>
      </c>
      <c r="J66" s="34" t="s">
        <v>7095</v>
      </c>
      <c r="K66" s="36">
        <v>1</v>
      </c>
      <c r="L66" s="44">
        <v>0</v>
      </c>
      <c r="M66">
        <v>5</v>
      </c>
      <c r="N66" s="38">
        <v>100</v>
      </c>
      <c r="O66" s="38">
        <f t="shared" ref="O66:O97" si="2">N66*(K66+L66)</f>
        <v>100</v>
      </c>
      <c r="P66" s="30">
        <v>25</v>
      </c>
    </row>
    <row r="67" spans="1:16">
      <c r="A67" s="30" t="s">
        <v>7049</v>
      </c>
      <c r="B67" s="34" t="s">
        <v>7022</v>
      </c>
      <c r="C67" s="35" t="s">
        <v>7096</v>
      </c>
      <c r="D67" s="36">
        <v>35</v>
      </c>
      <c r="E67" s="36" t="s">
        <v>6947</v>
      </c>
      <c r="F67" s="34" t="s">
        <v>4531</v>
      </c>
      <c r="G67" s="34" t="s">
        <v>6949</v>
      </c>
      <c r="H67" s="34" t="s">
        <v>6949</v>
      </c>
      <c r="I67" s="34" t="s">
        <v>6957</v>
      </c>
      <c r="J67" s="34" t="s">
        <v>7097</v>
      </c>
      <c r="K67" s="36">
        <v>1</v>
      </c>
      <c r="L67" s="44">
        <v>0</v>
      </c>
      <c r="M67">
        <v>2</v>
      </c>
      <c r="N67" s="38">
        <v>5</v>
      </c>
      <c r="O67" s="38">
        <f t="shared" si="2"/>
        <v>5</v>
      </c>
      <c r="P67" s="30">
        <v>18</v>
      </c>
    </row>
    <row r="68" spans="1:16">
      <c r="A68" s="30" t="s">
        <v>7049</v>
      </c>
      <c r="B68" s="34" t="s">
        <v>7022</v>
      </c>
      <c r="C68" s="35" t="s">
        <v>7098</v>
      </c>
      <c r="D68" s="36">
        <v>45</v>
      </c>
      <c r="E68" s="36" t="s">
        <v>6947</v>
      </c>
      <c r="F68" s="34" t="s">
        <v>4531</v>
      </c>
      <c r="G68" s="34" t="s">
        <v>6949</v>
      </c>
      <c r="H68" s="34" t="s">
        <v>6949</v>
      </c>
      <c r="I68" s="34" t="s">
        <v>7099</v>
      </c>
      <c r="J68" s="34" t="s">
        <v>7100</v>
      </c>
      <c r="K68" s="36">
        <v>1</v>
      </c>
      <c r="L68" s="44">
        <v>0</v>
      </c>
      <c r="M68">
        <v>3</v>
      </c>
      <c r="N68" s="38">
        <v>20</v>
      </c>
      <c r="O68" s="38">
        <f t="shared" si="2"/>
        <v>20</v>
      </c>
      <c r="P68" s="30">
        <v>27</v>
      </c>
    </row>
    <row r="69" spans="1:16">
      <c r="A69" s="30" t="s">
        <v>7049</v>
      </c>
      <c r="B69" s="34" t="s">
        <v>7022</v>
      </c>
      <c r="C69" s="35" t="s">
        <v>7101</v>
      </c>
      <c r="D69" s="36">
        <v>55</v>
      </c>
      <c r="E69" s="36" t="s">
        <v>6947</v>
      </c>
      <c r="F69" s="34" t="s">
        <v>4531</v>
      </c>
      <c r="G69" s="34" t="s">
        <v>6949</v>
      </c>
      <c r="H69" s="34" t="s">
        <v>6949</v>
      </c>
      <c r="I69" s="34" t="s">
        <v>7102</v>
      </c>
      <c r="J69" s="34" t="s">
        <v>7103</v>
      </c>
      <c r="K69" s="36">
        <v>1</v>
      </c>
      <c r="L69" s="44">
        <v>0</v>
      </c>
      <c r="M69">
        <v>4</v>
      </c>
      <c r="N69" s="38">
        <v>50</v>
      </c>
      <c r="O69" s="38">
        <f t="shared" si="2"/>
        <v>50</v>
      </c>
      <c r="P69" s="30">
        <v>45</v>
      </c>
    </row>
    <row r="70" spans="1:16">
      <c r="A70" s="30" t="s">
        <v>7049</v>
      </c>
      <c r="B70" s="34" t="s">
        <v>7022</v>
      </c>
      <c r="C70" s="35" t="s">
        <v>7104</v>
      </c>
      <c r="D70" s="36">
        <v>40</v>
      </c>
      <c r="E70" s="36" t="s">
        <v>6947</v>
      </c>
      <c r="F70" s="34" t="s">
        <v>4531</v>
      </c>
      <c r="G70" s="34" t="s">
        <v>6949</v>
      </c>
      <c r="H70" s="34" t="s">
        <v>6949</v>
      </c>
      <c r="I70" s="34" t="s">
        <v>5493</v>
      </c>
      <c r="J70" s="34" t="s">
        <v>7105</v>
      </c>
      <c r="K70" s="36">
        <v>1</v>
      </c>
      <c r="L70" s="44">
        <v>0</v>
      </c>
      <c r="M70">
        <v>3</v>
      </c>
      <c r="N70" s="38">
        <v>100</v>
      </c>
      <c r="O70" s="38">
        <f t="shared" si="2"/>
        <v>100</v>
      </c>
      <c r="P70" s="30">
        <v>30</v>
      </c>
    </row>
    <row r="71" spans="1:16">
      <c r="A71" s="30" t="s">
        <v>7049</v>
      </c>
      <c r="B71" s="34" t="s">
        <v>7022</v>
      </c>
      <c r="C71" s="35" t="s">
        <v>7106</v>
      </c>
      <c r="D71" s="36">
        <v>45</v>
      </c>
      <c r="E71" s="36" t="s">
        <v>6947</v>
      </c>
      <c r="F71" s="34" t="s">
        <v>4531</v>
      </c>
      <c r="G71" s="34" t="s">
        <v>6949</v>
      </c>
      <c r="H71" s="34" t="s">
        <v>6949</v>
      </c>
      <c r="I71" s="34" t="s">
        <v>5493</v>
      </c>
      <c r="J71" s="34" t="s">
        <v>7107</v>
      </c>
      <c r="K71" s="36">
        <v>1</v>
      </c>
      <c r="L71" s="44">
        <v>0</v>
      </c>
      <c r="M71">
        <v>4</v>
      </c>
      <c r="N71" s="38">
        <v>250</v>
      </c>
      <c r="O71" s="38">
        <f t="shared" si="2"/>
        <v>250</v>
      </c>
      <c r="P71" s="30">
        <v>45</v>
      </c>
    </row>
    <row r="72" spans="1:16">
      <c r="A72" s="30" t="s">
        <v>7049</v>
      </c>
      <c r="B72" s="34" t="s">
        <v>7022</v>
      </c>
      <c r="C72" s="35" t="s">
        <v>7108</v>
      </c>
      <c r="D72" s="36">
        <v>50</v>
      </c>
      <c r="E72" s="36" t="s">
        <v>6947</v>
      </c>
      <c r="F72" s="34" t="s">
        <v>4531</v>
      </c>
      <c r="G72" s="34" t="s">
        <v>6949</v>
      </c>
      <c r="H72" s="34" t="s">
        <v>6949</v>
      </c>
      <c r="I72" s="34" t="s">
        <v>5493</v>
      </c>
      <c r="J72" s="34" t="s">
        <v>7109</v>
      </c>
      <c r="K72" s="36">
        <v>1</v>
      </c>
      <c r="L72" s="44">
        <v>0</v>
      </c>
      <c r="M72">
        <v>5</v>
      </c>
      <c r="N72" s="38">
        <v>750</v>
      </c>
      <c r="O72" s="38">
        <f t="shared" si="2"/>
        <v>750</v>
      </c>
      <c r="P72" s="30">
        <v>75</v>
      </c>
    </row>
    <row r="73" spans="1:16">
      <c r="A73" s="30" t="s">
        <v>7049</v>
      </c>
      <c r="B73" s="34" t="s">
        <v>7022</v>
      </c>
      <c r="C73" s="35" t="s">
        <v>7110</v>
      </c>
      <c r="D73" s="36">
        <v>35</v>
      </c>
      <c r="E73" s="36" t="s">
        <v>6947</v>
      </c>
      <c r="F73" s="34" t="s">
        <v>4531</v>
      </c>
      <c r="G73" s="34" t="s">
        <v>6949</v>
      </c>
      <c r="H73" s="34" t="s">
        <v>6949</v>
      </c>
      <c r="I73" s="34" t="s">
        <v>5493</v>
      </c>
      <c r="J73" s="34" t="s">
        <v>7111</v>
      </c>
      <c r="K73" s="36">
        <v>1</v>
      </c>
      <c r="L73" s="44">
        <v>0</v>
      </c>
      <c r="M73">
        <v>2</v>
      </c>
      <c r="N73" s="38">
        <v>12.5</v>
      </c>
      <c r="O73" s="38">
        <f t="shared" si="2"/>
        <v>12.5</v>
      </c>
      <c r="P73" s="30">
        <v>24</v>
      </c>
    </row>
    <row r="74" spans="1:16">
      <c r="A74" s="30" t="s">
        <v>7049</v>
      </c>
      <c r="B74" s="34" t="s">
        <v>7022</v>
      </c>
      <c r="C74" s="35" t="s">
        <v>7112</v>
      </c>
      <c r="D74" s="36">
        <v>45</v>
      </c>
      <c r="E74" s="36" t="s">
        <v>6947</v>
      </c>
      <c r="F74" s="34" t="s">
        <v>4531</v>
      </c>
      <c r="G74" s="34" t="s">
        <v>6949</v>
      </c>
      <c r="H74" s="34" t="s">
        <v>6949</v>
      </c>
      <c r="I74" s="34" t="s">
        <v>5493</v>
      </c>
      <c r="J74" s="34" t="s">
        <v>7113</v>
      </c>
      <c r="K74" s="36">
        <v>1</v>
      </c>
      <c r="L74" s="44">
        <v>0</v>
      </c>
      <c r="M74">
        <v>3</v>
      </c>
      <c r="N74" s="38">
        <v>50</v>
      </c>
      <c r="O74" s="38">
        <f t="shared" si="2"/>
        <v>50</v>
      </c>
      <c r="P74" s="30">
        <v>36</v>
      </c>
    </row>
    <row r="75" spans="1:16">
      <c r="A75" s="30" t="s">
        <v>7049</v>
      </c>
      <c r="B75" s="34" t="s">
        <v>7022</v>
      </c>
      <c r="C75" s="35" t="s">
        <v>7114</v>
      </c>
      <c r="D75" s="36">
        <v>55</v>
      </c>
      <c r="E75" s="36" t="s">
        <v>6947</v>
      </c>
      <c r="F75" s="34" t="s">
        <v>4531</v>
      </c>
      <c r="G75" s="34" t="s">
        <v>6949</v>
      </c>
      <c r="H75" s="34" t="s">
        <v>6949</v>
      </c>
      <c r="I75" s="34" t="s">
        <v>5493</v>
      </c>
      <c r="J75" s="34" t="s">
        <v>7115</v>
      </c>
      <c r="K75" s="36">
        <v>1</v>
      </c>
      <c r="L75" s="44">
        <v>0</v>
      </c>
      <c r="M75">
        <v>4</v>
      </c>
      <c r="N75" s="38">
        <v>200</v>
      </c>
      <c r="O75" s="38">
        <f t="shared" si="2"/>
        <v>200</v>
      </c>
      <c r="P75" s="30">
        <v>60</v>
      </c>
    </row>
    <row r="76" spans="1:16">
      <c r="A76" s="30" t="s">
        <v>7049</v>
      </c>
      <c r="B76" s="34" t="s">
        <v>7022</v>
      </c>
      <c r="C76" s="35" t="s">
        <v>7116</v>
      </c>
      <c r="D76" s="36">
        <v>40</v>
      </c>
      <c r="E76" s="36" t="s">
        <v>6947</v>
      </c>
      <c r="F76" s="34" t="s">
        <v>4531</v>
      </c>
      <c r="G76" s="34" t="s">
        <v>6949</v>
      </c>
      <c r="H76" s="34" t="s">
        <v>6949</v>
      </c>
      <c r="I76" s="34" t="s">
        <v>5493</v>
      </c>
      <c r="J76" s="34" t="s">
        <v>7117</v>
      </c>
      <c r="K76" s="36">
        <v>1</v>
      </c>
      <c r="L76" s="44">
        <v>0</v>
      </c>
      <c r="M76">
        <v>3</v>
      </c>
      <c r="N76" s="38">
        <v>50</v>
      </c>
      <c r="O76" s="38">
        <f t="shared" si="2"/>
        <v>50</v>
      </c>
      <c r="P76" s="30">
        <v>24</v>
      </c>
    </row>
    <row r="77" spans="1:16">
      <c r="A77" s="30" t="s">
        <v>7049</v>
      </c>
      <c r="B77" s="34" t="s">
        <v>7022</v>
      </c>
      <c r="C77" s="35" t="s">
        <v>7118</v>
      </c>
      <c r="D77" s="36">
        <v>50</v>
      </c>
      <c r="E77" s="36" t="s">
        <v>6947</v>
      </c>
      <c r="F77" s="34" t="s">
        <v>4531</v>
      </c>
      <c r="G77" s="34" t="s">
        <v>6949</v>
      </c>
      <c r="H77" s="34" t="s">
        <v>6949</v>
      </c>
      <c r="I77" s="34" t="s">
        <v>5493</v>
      </c>
      <c r="J77" s="34" t="s">
        <v>7119</v>
      </c>
      <c r="K77" s="36">
        <v>1</v>
      </c>
      <c r="L77" s="44">
        <v>0</v>
      </c>
      <c r="M77">
        <v>4</v>
      </c>
      <c r="N77" s="38">
        <v>150</v>
      </c>
      <c r="O77" s="38">
        <f t="shared" si="2"/>
        <v>150</v>
      </c>
      <c r="P77" s="30">
        <v>36</v>
      </c>
    </row>
    <row r="78" spans="1:16">
      <c r="A78" s="30" t="s">
        <v>7049</v>
      </c>
      <c r="B78" s="34" t="s">
        <v>7022</v>
      </c>
      <c r="C78" s="35" t="s">
        <v>7120</v>
      </c>
      <c r="D78" s="36">
        <v>60</v>
      </c>
      <c r="E78" s="36" t="s">
        <v>6947</v>
      </c>
      <c r="F78" s="34" t="s">
        <v>4531</v>
      </c>
      <c r="G78" s="34" t="s">
        <v>6949</v>
      </c>
      <c r="H78" s="34" t="s">
        <v>6949</v>
      </c>
      <c r="I78" s="34" t="s">
        <v>5493</v>
      </c>
      <c r="J78" s="34" t="s">
        <v>7121</v>
      </c>
      <c r="K78" s="36">
        <v>1</v>
      </c>
      <c r="L78" s="44">
        <v>0</v>
      </c>
      <c r="M78">
        <v>5</v>
      </c>
      <c r="N78" s="38">
        <v>500</v>
      </c>
      <c r="O78" s="38">
        <f t="shared" si="2"/>
        <v>500</v>
      </c>
      <c r="P78" s="30">
        <v>60</v>
      </c>
    </row>
    <row r="79" spans="1:16">
      <c r="A79" s="30" t="s">
        <v>7122</v>
      </c>
      <c r="B79" s="34" t="s">
        <v>7022</v>
      </c>
      <c r="C79" s="35" t="s">
        <v>7123</v>
      </c>
      <c r="D79" s="36">
        <v>55</v>
      </c>
      <c r="E79" s="36" t="s">
        <v>6947</v>
      </c>
      <c r="F79" s="34" t="s">
        <v>4531</v>
      </c>
      <c r="G79" s="34" t="s">
        <v>6949</v>
      </c>
      <c r="H79" s="34" t="s">
        <v>6949</v>
      </c>
      <c r="I79" s="34" t="s">
        <v>6966</v>
      </c>
      <c r="J79" s="34" t="s">
        <v>7124</v>
      </c>
      <c r="K79" s="36">
        <v>3</v>
      </c>
      <c r="L79" s="44">
        <v>0</v>
      </c>
      <c r="M79">
        <v>5</v>
      </c>
      <c r="N79" s="38">
        <v>83.35</v>
      </c>
      <c r="O79" s="38">
        <f t="shared" si="2"/>
        <v>250.04999999999998</v>
      </c>
      <c r="P79" s="30">
        <v>36</v>
      </c>
    </row>
    <row r="80" spans="1:16">
      <c r="A80" s="30" t="s">
        <v>7122</v>
      </c>
      <c r="B80" s="34" t="s">
        <v>7022</v>
      </c>
      <c r="C80" s="35" t="s">
        <v>7125</v>
      </c>
      <c r="D80" s="36">
        <v>65</v>
      </c>
      <c r="E80" s="36" t="s">
        <v>6947</v>
      </c>
      <c r="F80" s="34" t="s">
        <v>4531</v>
      </c>
      <c r="G80" s="34" t="s">
        <v>6949</v>
      </c>
      <c r="H80" s="34" t="s">
        <v>6949</v>
      </c>
      <c r="I80" s="34" t="s">
        <v>6966</v>
      </c>
      <c r="J80" s="34" t="s">
        <v>7126</v>
      </c>
      <c r="K80" s="36">
        <v>4</v>
      </c>
      <c r="L80" s="44">
        <v>0</v>
      </c>
      <c r="M80">
        <v>6</v>
      </c>
      <c r="N80" s="38">
        <v>175</v>
      </c>
      <c r="O80" s="38">
        <f t="shared" si="2"/>
        <v>700</v>
      </c>
      <c r="P80" s="30">
        <v>54</v>
      </c>
    </row>
    <row r="81" spans="1:16">
      <c r="A81" s="30" t="s">
        <v>7122</v>
      </c>
      <c r="B81" s="34" t="s">
        <v>7022</v>
      </c>
      <c r="C81" s="35" t="s">
        <v>7127</v>
      </c>
      <c r="D81" s="36">
        <v>75</v>
      </c>
      <c r="E81" s="36" t="s">
        <v>6947</v>
      </c>
      <c r="F81" s="34" t="s">
        <v>4531</v>
      </c>
      <c r="G81" s="34" t="s">
        <v>6949</v>
      </c>
      <c r="H81" s="34" t="s">
        <v>6949</v>
      </c>
      <c r="I81" s="34" t="s">
        <v>6966</v>
      </c>
      <c r="J81" s="34" t="s">
        <v>7128</v>
      </c>
      <c r="K81" s="36">
        <v>4</v>
      </c>
      <c r="L81" s="44">
        <v>0</v>
      </c>
      <c r="M81">
        <v>7</v>
      </c>
      <c r="N81" s="38">
        <v>500</v>
      </c>
      <c r="O81" s="38">
        <f t="shared" si="2"/>
        <v>2000</v>
      </c>
      <c r="P81" s="39">
        <v>90</v>
      </c>
    </row>
    <row r="82" spans="1:16">
      <c r="A82" s="30" t="s">
        <v>7122</v>
      </c>
      <c r="B82" s="34" t="s">
        <v>7022</v>
      </c>
      <c r="C82" s="35" t="s">
        <v>7129</v>
      </c>
      <c r="D82" s="36">
        <v>45</v>
      </c>
      <c r="E82" s="36" t="s">
        <v>6947</v>
      </c>
      <c r="F82" s="34" t="s">
        <v>4531</v>
      </c>
      <c r="G82" s="34" t="s">
        <v>6949</v>
      </c>
      <c r="H82" s="34" t="s">
        <v>6949</v>
      </c>
      <c r="I82" s="34" t="s">
        <v>6966</v>
      </c>
      <c r="J82" s="34" t="s">
        <v>7130</v>
      </c>
      <c r="K82" s="36">
        <v>2</v>
      </c>
      <c r="L82" s="44">
        <v>0</v>
      </c>
      <c r="M82">
        <v>3</v>
      </c>
      <c r="N82" s="38">
        <v>50</v>
      </c>
      <c r="O82" s="38">
        <f t="shared" si="2"/>
        <v>100</v>
      </c>
      <c r="P82" s="30">
        <v>30</v>
      </c>
    </row>
    <row r="83" spans="1:16">
      <c r="A83" s="30" t="s">
        <v>7122</v>
      </c>
      <c r="B83" s="34" t="s">
        <v>7022</v>
      </c>
      <c r="C83" s="35" t="s">
        <v>7131</v>
      </c>
      <c r="D83" s="36">
        <v>55</v>
      </c>
      <c r="E83" s="36" t="s">
        <v>6947</v>
      </c>
      <c r="F83" s="34" t="s">
        <v>4531</v>
      </c>
      <c r="G83" s="34" t="s">
        <v>6949</v>
      </c>
      <c r="H83" s="34" t="s">
        <v>6949</v>
      </c>
      <c r="I83" s="34" t="s">
        <v>6966</v>
      </c>
      <c r="J83" s="34" t="s">
        <v>7132</v>
      </c>
      <c r="K83" s="36">
        <v>2</v>
      </c>
      <c r="L83" s="44">
        <v>0</v>
      </c>
      <c r="M83">
        <v>4</v>
      </c>
      <c r="N83" s="38">
        <v>125</v>
      </c>
      <c r="O83" s="38">
        <f t="shared" si="2"/>
        <v>250</v>
      </c>
      <c r="P83" s="30">
        <v>45</v>
      </c>
    </row>
    <row r="84" spans="1:16">
      <c r="A84" s="30" t="s">
        <v>7122</v>
      </c>
      <c r="B84" s="34" t="s">
        <v>7022</v>
      </c>
      <c r="C84" s="35" t="s">
        <v>7133</v>
      </c>
      <c r="D84" s="36">
        <v>65</v>
      </c>
      <c r="E84" s="36" t="s">
        <v>6947</v>
      </c>
      <c r="F84" s="34" t="s">
        <v>4531</v>
      </c>
      <c r="G84" s="34" t="s">
        <v>6949</v>
      </c>
      <c r="H84" s="34" t="s">
        <v>6949</v>
      </c>
      <c r="I84" s="34" t="s">
        <v>6966</v>
      </c>
      <c r="J84" s="34" t="s">
        <v>7134</v>
      </c>
      <c r="K84" s="36">
        <v>2</v>
      </c>
      <c r="L84" s="44">
        <v>0</v>
      </c>
      <c r="M84">
        <v>5</v>
      </c>
      <c r="N84" s="38">
        <v>300</v>
      </c>
      <c r="O84" s="38">
        <f t="shared" si="2"/>
        <v>600</v>
      </c>
      <c r="P84" s="30">
        <v>75</v>
      </c>
    </row>
    <row r="85" spans="1:16">
      <c r="A85" s="30" t="s">
        <v>7122</v>
      </c>
      <c r="B85" s="34" t="s">
        <v>7022</v>
      </c>
      <c r="C85" s="35" t="s">
        <v>7135</v>
      </c>
      <c r="D85" s="36">
        <v>65</v>
      </c>
      <c r="E85" s="36" t="s">
        <v>6947</v>
      </c>
      <c r="F85" s="34" t="s">
        <v>4531</v>
      </c>
      <c r="G85" s="34" t="s">
        <v>7068</v>
      </c>
      <c r="H85" s="34" t="s">
        <v>7136</v>
      </c>
      <c r="I85" s="34" t="s">
        <v>6966</v>
      </c>
      <c r="J85" s="34" t="s">
        <v>7137</v>
      </c>
      <c r="K85" s="36">
        <v>2</v>
      </c>
      <c r="L85" s="44">
        <v>0</v>
      </c>
      <c r="M85">
        <v>7</v>
      </c>
      <c r="N85" s="37">
        <v>5000</v>
      </c>
      <c r="O85" s="38">
        <f t="shared" si="2"/>
        <v>10000</v>
      </c>
      <c r="P85" s="30">
        <v>60</v>
      </c>
    </row>
    <row r="86" spans="1:16">
      <c r="A86" s="30" t="s">
        <v>7122</v>
      </c>
      <c r="B86" s="34" t="s">
        <v>7022</v>
      </c>
      <c r="C86" s="35" t="s">
        <v>7138</v>
      </c>
      <c r="D86" s="36">
        <v>45</v>
      </c>
      <c r="E86" s="36" t="s">
        <v>6947</v>
      </c>
      <c r="F86" s="34" t="s">
        <v>4531</v>
      </c>
      <c r="G86" s="34" t="s">
        <v>7068</v>
      </c>
      <c r="H86" s="34" t="s">
        <v>7136</v>
      </c>
      <c r="I86" s="34" t="s">
        <v>6966</v>
      </c>
      <c r="J86" s="34" t="s">
        <v>7139</v>
      </c>
      <c r="K86" s="36">
        <v>2</v>
      </c>
      <c r="L86" s="44">
        <v>0</v>
      </c>
      <c r="M86">
        <v>3</v>
      </c>
      <c r="N86" s="38">
        <v>100</v>
      </c>
      <c r="O86" s="38">
        <f t="shared" si="2"/>
        <v>200</v>
      </c>
      <c r="P86" s="30">
        <v>18</v>
      </c>
    </row>
    <row r="87" spans="1:16">
      <c r="A87" s="30" t="s">
        <v>7122</v>
      </c>
      <c r="B87" s="34" t="s">
        <v>7022</v>
      </c>
      <c r="C87" s="35" t="s">
        <v>7140</v>
      </c>
      <c r="D87" s="36">
        <v>55</v>
      </c>
      <c r="E87" s="36" t="s">
        <v>6947</v>
      </c>
      <c r="F87" s="34" t="s">
        <v>4531</v>
      </c>
      <c r="G87" s="34" t="s">
        <v>7068</v>
      </c>
      <c r="H87" s="34" t="s">
        <v>7136</v>
      </c>
      <c r="I87" s="34" t="s">
        <v>6966</v>
      </c>
      <c r="J87" s="34" t="s">
        <v>7141</v>
      </c>
      <c r="K87" s="36">
        <v>2</v>
      </c>
      <c r="L87" s="44">
        <v>0</v>
      </c>
      <c r="M87">
        <v>4</v>
      </c>
      <c r="N87" s="38">
        <v>350</v>
      </c>
      <c r="O87" s="38">
        <f t="shared" si="2"/>
        <v>700</v>
      </c>
      <c r="P87" s="30">
        <v>30</v>
      </c>
    </row>
    <row r="88" spans="1:16">
      <c r="A88" s="30" t="s">
        <v>7122</v>
      </c>
      <c r="B88" s="34" t="s">
        <v>7022</v>
      </c>
      <c r="C88" s="35" t="s">
        <v>7142</v>
      </c>
      <c r="D88" s="36">
        <v>45</v>
      </c>
      <c r="E88" s="36" t="s">
        <v>6947</v>
      </c>
      <c r="F88" s="34" t="s">
        <v>4531</v>
      </c>
      <c r="G88" s="34" t="s">
        <v>6949</v>
      </c>
      <c r="H88" s="34" t="s">
        <v>6949</v>
      </c>
      <c r="I88" s="34" t="s">
        <v>6966</v>
      </c>
      <c r="J88" s="41" t="s">
        <v>7143</v>
      </c>
      <c r="K88" s="36">
        <v>2</v>
      </c>
      <c r="L88" s="44">
        <v>0</v>
      </c>
      <c r="M88">
        <v>4</v>
      </c>
      <c r="N88" s="38">
        <v>33</v>
      </c>
      <c r="O88" s="38">
        <f t="shared" si="2"/>
        <v>66</v>
      </c>
      <c r="P88" s="30">
        <v>30</v>
      </c>
    </row>
    <row r="89" spans="1:16">
      <c r="A89" s="30" t="s">
        <v>7122</v>
      </c>
      <c r="B89" s="34" t="s">
        <v>7022</v>
      </c>
      <c r="C89" s="35" t="s">
        <v>7144</v>
      </c>
      <c r="D89" s="36">
        <v>55</v>
      </c>
      <c r="E89" s="36" t="s">
        <v>6947</v>
      </c>
      <c r="F89" s="34" t="s">
        <v>4531</v>
      </c>
      <c r="G89" s="34" t="s">
        <v>6949</v>
      </c>
      <c r="H89" s="34" t="s">
        <v>6949</v>
      </c>
      <c r="I89" s="34" t="s">
        <v>6966</v>
      </c>
      <c r="J89" s="41" t="s">
        <v>7145</v>
      </c>
      <c r="K89" s="36">
        <v>2</v>
      </c>
      <c r="L89" s="44">
        <v>0</v>
      </c>
      <c r="M89">
        <v>5</v>
      </c>
      <c r="N89" s="38">
        <v>75</v>
      </c>
      <c r="O89" s="38">
        <f t="shared" si="2"/>
        <v>150</v>
      </c>
      <c r="P89" s="30">
        <v>45</v>
      </c>
    </row>
    <row r="90" spans="1:16">
      <c r="A90" s="30" t="s">
        <v>7122</v>
      </c>
      <c r="B90" s="34" t="s">
        <v>7022</v>
      </c>
      <c r="C90" s="35" t="s">
        <v>7146</v>
      </c>
      <c r="D90" s="36">
        <v>65</v>
      </c>
      <c r="E90" s="36" t="s">
        <v>6947</v>
      </c>
      <c r="F90" s="34" t="s">
        <v>4531</v>
      </c>
      <c r="G90" s="34" t="s">
        <v>6949</v>
      </c>
      <c r="H90" s="34" t="s">
        <v>6949</v>
      </c>
      <c r="I90" s="34" t="s">
        <v>6966</v>
      </c>
      <c r="J90" s="41" t="s">
        <v>7147</v>
      </c>
      <c r="K90" s="36">
        <v>3</v>
      </c>
      <c r="L90" s="44">
        <v>0</v>
      </c>
      <c r="M90">
        <v>7</v>
      </c>
      <c r="N90" s="38">
        <v>200</v>
      </c>
      <c r="O90" s="38">
        <f t="shared" si="2"/>
        <v>600</v>
      </c>
      <c r="P90" s="30">
        <v>75</v>
      </c>
    </row>
    <row r="91" spans="1:16">
      <c r="A91" s="30" t="s">
        <v>7122</v>
      </c>
      <c r="B91" s="34" t="s">
        <v>7022</v>
      </c>
      <c r="C91" s="35" t="s">
        <v>7148</v>
      </c>
      <c r="D91" s="36">
        <v>45</v>
      </c>
      <c r="E91" s="36" t="s">
        <v>6947</v>
      </c>
      <c r="F91" s="34" t="s">
        <v>4531</v>
      </c>
      <c r="G91" s="34" t="s">
        <v>6949</v>
      </c>
      <c r="H91" s="34" t="s">
        <v>6949</v>
      </c>
      <c r="I91" s="34" t="s">
        <v>6966</v>
      </c>
      <c r="J91" s="34" t="s">
        <v>7149</v>
      </c>
      <c r="K91" s="36">
        <v>2</v>
      </c>
      <c r="L91" s="44">
        <v>0</v>
      </c>
      <c r="M91">
        <v>4</v>
      </c>
      <c r="N91" s="38">
        <v>32.5</v>
      </c>
      <c r="O91" s="38">
        <f t="shared" si="2"/>
        <v>65</v>
      </c>
      <c r="P91" s="30">
        <v>30</v>
      </c>
    </row>
    <row r="92" spans="1:16">
      <c r="A92" s="30" t="s">
        <v>7122</v>
      </c>
      <c r="B92" s="34" t="s">
        <v>7022</v>
      </c>
      <c r="C92" s="35" t="s">
        <v>7150</v>
      </c>
      <c r="D92" s="36">
        <v>55</v>
      </c>
      <c r="E92" s="36" t="s">
        <v>6947</v>
      </c>
      <c r="F92" s="34" t="s">
        <v>4531</v>
      </c>
      <c r="G92" s="34" t="s">
        <v>6949</v>
      </c>
      <c r="H92" s="34" t="s">
        <v>6949</v>
      </c>
      <c r="I92" s="34" t="s">
        <v>6966</v>
      </c>
      <c r="J92" s="34" t="s">
        <v>7151</v>
      </c>
      <c r="K92" s="36">
        <v>2</v>
      </c>
      <c r="L92" s="44">
        <v>0</v>
      </c>
      <c r="M92">
        <v>5</v>
      </c>
      <c r="N92" s="38">
        <v>75</v>
      </c>
      <c r="O92" s="38">
        <f t="shared" si="2"/>
        <v>150</v>
      </c>
      <c r="P92" s="30">
        <v>45</v>
      </c>
    </row>
    <row r="93" spans="1:16">
      <c r="A93" s="30" t="s">
        <v>7122</v>
      </c>
      <c r="B93" s="34" t="s">
        <v>7022</v>
      </c>
      <c r="C93" s="35" t="s">
        <v>7152</v>
      </c>
      <c r="D93" s="36">
        <v>65</v>
      </c>
      <c r="E93" s="36" t="s">
        <v>6947</v>
      </c>
      <c r="F93" s="34" t="s">
        <v>4531</v>
      </c>
      <c r="G93" s="34" t="s">
        <v>6949</v>
      </c>
      <c r="H93" s="34" t="s">
        <v>6949</v>
      </c>
      <c r="I93" s="34" t="s">
        <v>6966</v>
      </c>
      <c r="J93" s="34" t="s">
        <v>7153</v>
      </c>
      <c r="K93" s="36">
        <v>3</v>
      </c>
      <c r="L93" s="44">
        <v>0</v>
      </c>
      <c r="M93">
        <v>7</v>
      </c>
      <c r="N93" s="38">
        <v>200</v>
      </c>
      <c r="O93" s="38">
        <f t="shared" si="2"/>
        <v>600</v>
      </c>
      <c r="P93" s="30">
        <v>75</v>
      </c>
    </row>
    <row r="94" spans="1:16">
      <c r="A94" s="30" t="s">
        <v>7122</v>
      </c>
      <c r="B94" s="34" t="s">
        <v>7022</v>
      </c>
      <c r="C94" s="35" t="s">
        <v>7154</v>
      </c>
      <c r="D94" s="36">
        <v>65</v>
      </c>
      <c r="E94" s="36" t="s">
        <v>6947</v>
      </c>
      <c r="F94" s="34" t="s">
        <v>4531</v>
      </c>
      <c r="G94" s="34" t="s">
        <v>6949</v>
      </c>
      <c r="H94" s="34" t="s">
        <v>6949</v>
      </c>
      <c r="I94" s="34" t="s">
        <v>6966</v>
      </c>
      <c r="J94" s="43" t="s">
        <v>7155</v>
      </c>
      <c r="K94" s="36">
        <v>3</v>
      </c>
      <c r="L94" s="44">
        <v>0</v>
      </c>
      <c r="M94">
        <v>7</v>
      </c>
      <c r="N94" s="38">
        <v>259</v>
      </c>
      <c r="O94" s="38">
        <f t="shared" si="2"/>
        <v>777</v>
      </c>
      <c r="P94" s="30">
        <v>75</v>
      </c>
    </row>
    <row r="95" spans="1:16">
      <c r="A95" s="30" t="s">
        <v>7122</v>
      </c>
      <c r="B95" s="34" t="s">
        <v>7022</v>
      </c>
      <c r="C95" s="35" t="s">
        <v>7156</v>
      </c>
      <c r="D95" s="36">
        <v>45</v>
      </c>
      <c r="E95" s="36" t="s">
        <v>6947</v>
      </c>
      <c r="F95" s="34" t="s">
        <v>4531</v>
      </c>
      <c r="G95" s="34" t="s">
        <v>6949</v>
      </c>
      <c r="H95" s="34" t="s">
        <v>6949</v>
      </c>
      <c r="I95" s="34" t="s">
        <v>6966</v>
      </c>
      <c r="J95" s="34" t="s">
        <v>7157</v>
      </c>
      <c r="K95" s="36">
        <v>2</v>
      </c>
      <c r="L95" s="44">
        <v>0</v>
      </c>
      <c r="M95">
        <v>4</v>
      </c>
      <c r="N95" s="38">
        <v>37.5</v>
      </c>
      <c r="O95" s="38">
        <f t="shared" si="2"/>
        <v>75</v>
      </c>
      <c r="P95" s="30">
        <v>30</v>
      </c>
    </row>
    <row r="96" spans="1:16">
      <c r="A96" s="30" t="s">
        <v>7122</v>
      </c>
      <c r="B96" s="34" t="s">
        <v>7022</v>
      </c>
      <c r="C96" s="35" t="s">
        <v>7158</v>
      </c>
      <c r="D96" s="36">
        <v>55</v>
      </c>
      <c r="E96" s="36" t="s">
        <v>6947</v>
      </c>
      <c r="F96" s="34" t="s">
        <v>4531</v>
      </c>
      <c r="G96" s="34" t="s">
        <v>6949</v>
      </c>
      <c r="H96" s="34" t="s">
        <v>6949</v>
      </c>
      <c r="I96" s="34" t="s">
        <v>6966</v>
      </c>
      <c r="J96" s="34" t="s">
        <v>7159</v>
      </c>
      <c r="K96" s="36">
        <v>2</v>
      </c>
      <c r="L96" s="44">
        <v>0</v>
      </c>
      <c r="M96">
        <v>5</v>
      </c>
      <c r="N96" s="38">
        <v>90</v>
      </c>
      <c r="O96" s="38">
        <f t="shared" si="2"/>
        <v>180</v>
      </c>
      <c r="P96" s="30">
        <v>45</v>
      </c>
    </row>
    <row r="97" spans="1:16">
      <c r="A97" s="30" t="s">
        <v>7122</v>
      </c>
      <c r="B97" s="34" t="s">
        <v>6945</v>
      </c>
      <c r="C97" s="35" t="s">
        <v>7160</v>
      </c>
      <c r="D97" s="36">
        <v>45</v>
      </c>
      <c r="E97" s="36" t="s">
        <v>6947</v>
      </c>
      <c r="F97" s="34" t="s">
        <v>4531</v>
      </c>
      <c r="G97" s="34" t="s">
        <v>7161</v>
      </c>
      <c r="H97" s="34" t="s">
        <v>7006</v>
      </c>
      <c r="I97" s="34" t="s">
        <v>6966</v>
      </c>
      <c r="J97" s="34" t="s">
        <v>7162</v>
      </c>
      <c r="K97" s="36">
        <v>2</v>
      </c>
      <c r="L97" s="44">
        <v>0</v>
      </c>
      <c r="M97">
        <v>4</v>
      </c>
      <c r="N97" s="38">
        <v>31</v>
      </c>
      <c r="O97" s="38">
        <f t="shared" si="2"/>
        <v>62</v>
      </c>
      <c r="P97" s="30">
        <v>10</v>
      </c>
    </row>
    <row r="98" spans="1:16">
      <c r="A98" s="30" t="s">
        <v>7122</v>
      </c>
      <c r="B98" s="34" t="s">
        <v>6945</v>
      </c>
      <c r="C98" s="35" t="s">
        <v>7163</v>
      </c>
      <c r="D98" s="36">
        <v>55</v>
      </c>
      <c r="E98" s="36" t="s">
        <v>6947</v>
      </c>
      <c r="F98" s="34" t="s">
        <v>4531</v>
      </c>
      <c r="G98" s="34" t="s">
        <v>7161</v>
      </c>
      <c r="H98" s="34" t="s">
        <v>7006</v>
      </c>
      <c r="I98" s="34" t="s">
        <v>6966</v>
      </c>
      <c r="J98" s="34" t="s">
        <v>7164</v>
      </c>
      <c r="K98" s="36">
        <v>2</v>
      </c>
      <c r="L98" s="44">
        <v>0</v>
      </c>
      <c r="M98">
        <v>5</v>
      </c>
      <c r="N98" s="38">
        <v>75</v>
      </c>
      <c r="O98" s="38">
        <f t="shared" ref="O98:O129" si="3">N98*(K98+L98)</f>
        <v>150</v>
      </c>
      <c r="P98" s="30">
        <v>15</v>
      </c>
    </row>
    <row r="99" spans="1:16">
      <c r="A99" s="30" t="s">
        <v>7122</v>
      </c>
      <c r="B99" s="34" t="s">
        <v>6945</v>
      </c>
      <c r="C99" s="35" t="s">
        <v>7165</v>
      </c>
      <c r="D99" s="36">
        <v>65</v>
      </c>
      <c r="E99" s="36" t="s">
        <v>6947</v>
      </c>
      <c r="F99" s="34" t="s">
        <v>4531</v>
      </c>
      <c r="G99" s="34" t="s">
        <v>7161</v>
      </c>
      <c r="H99" s="34" t="s">
        <v>7006</v>
      </c>
      <c r="I99" s="34" t="s">
        <v>6966</v>
      </c>
      <c r="J99" s="34" t="s">
        <v>7166</v>
      </c>
      <c r="K99" s="36">
        <v>2</v>
      </c>
      <c r="L99" s="44">
        <v>0</v>
      </c>
      <c r="M99">
        <v>6</v>
      </c>
      <c r="N99" s="38">
        <v>250</v>
      </c>
      <c r="O99" s="38">
        <f t="shared" si="3"/>
        <v>500</v>
      </c>
      <c r="P99" s="30">
        <v>25</v>
      </c>
    </row>
    <row r="100" spans="1:16">
      <c r="A100" s="30" t="s">
        <v>7122</v>
      </c>
      <c r="B100" s="34" t="s">
        <v>7022</v>
      </c>
      <c r="C100" s="35" t="s">
        <v>7167</v>
      </c>
      <c r="D100" s="36">
        <v>35</v>
      </c>
      <c r="E100" s="36" t="s">
        <v>6947</v>
      </c>
      <c r="F100" s="34" t="s">
        <v>4531</v>
      </c>
      <c r="G100" s="34" t="s">
        <v>7068</v>
      </c>
      <c r="H100" s="34" t="s">
        <v>7136</v>
      </c>
      <c r="I100" s="34" t="s">
        <v>6966</v>
      </c>
      <c r="J100" s="34" t="s">
        <v>7168</v>
      </c>
      <c r="K100" s="36">
        <v>2</v>
      </c>
      <c r="L100" s="44">
        <v>0</v>
      </c>
      <c r="M100">
        <v>2</v>
      </c>
      <c r="N100" s="38">
        <v>25</v>
      </c>
      <c r="O100" s="38">
        <f t="shared" si="3"/>
        <v>50</v>
      </c>
      <c r="P100" s="30">
        <v>12</v>
      </c>
    </row>
    <row r="101" spans="1:16">
      <c r="A101" s="30" t="s">
        <v>5665</v>
      </c>
      <c r="B101" s="34" t="s">
        <v>7022</v>
      </c>
      <c r="C101" s="35" t="s">
        <v>7169</v>
      </c>
      <c r="D101" s="36">
        <v>65</v>
      </c>
      <c r="E101" s="36" t="s">
        <v>6947</v>
      </c>
      <c r="F101" s="34" t="s">
        <v>7170</v>
      </c>
      <c r="G101" s="34" t="s">
        <v>6949</v>
      </c>
      <c r="H101" s="34" t="s">
        <v>6949</v>
      </c>
      <c r="I101" s="34" t="s">
        <v>7171</v>
      </c>
      <c r="J101" s="34" t="s">
        <v>7172</v>
      </c>
      <c r="K101" s="36">
        <v>2</v>
      </c>
      <c r="L101" s="44">
        <v>0</v>
      </c>
      <c r="M101">
        <v>7</v>
      </c>
      <c r="N101" s="38">
        <v>80</v>
      </c>
      <c r="O101" s="38">
        <f t="shared" si="3"/>
        <v>160</v>
      </c>
      <c r="P101" s="30">
        <v>36</v>
      </c>
    </row>
    <row r="102" spans="1:16">
      <c r="A102" s="30" t="s">
        <v>5665</v>
      </c>
      <c r="B102" s="34" t="s">
        <v>6945</v>
      </c>
      <c r="C102" s="35" t="s">
        <v>7173</v>
      </c>
      <c r="D102" s="36">
        <v>30</v>
      </c>
      <c r="E102" s="36" t="s">
        <v>6947</v>
      </c>
      <c r="F102" s="34" t="s">
        <v>7170</v>
      </c>
      <c r="G102" s="34" t="s">
        <v>7068</v>
      </c>
      <c r="H102" s="34" t="s">
        <v>7174</v>
      </c>
      <c r="I102" s="34" t="s">
        <v>7175</v>
      </c>
      <c r="J102" s="34" t="s">
        <v>7176</v>
      </c>
      <c r="K102" s="36">
        <v>1</v>
      </c>
      <c r="L102" s="44">
        <v>0</v>
      </c>
      <c r="M102">
        <v>4</v>
      </c>
      <c r="N102" s="38">
        <v>5</v>
      </c>
      <c r="O102" s="38">
        <f t="shared" si="3"/>
        <v>5</v>
      </c>
      <c r="P102" s="30">
        <v>6</v>
      </c>
    </row>
    <row r="103" spans="1:16">
      <c r="A103" s="30" t="s">
        <v>5665</v>
      </c>
      <c r="B103" s="34" t="s">
        <v>6945</v>
      </c>
      <c r="C103" s="35" t="s">
        <v>7177</v>
      </c>
      <c r="D103" s="36">
        <v>40</v>
      </c>
      <c r="E103" s="36" t="s">
        <v>6947</v>
      </c>
      <c r="F103" s="34" t="s">
        <v>7170</v>
      </c>
      <c r="G103" s="34" t="s">
        <v>7068</v>
      </c>
      <c r="H103" s="34" t="s">
        <v>7174</v>
      </c>
      <c r="I103" s="34" t="s">
        <v>7014</v>
      </c>
      <c r="J103" s="34" t="s">
        <v>7178</v>
      </c>
      <c r="K103" s="36">
        <v>1</v>
      </c>
      <c r="L103" s="44">
        <v>0</v>
      </c>
      <c r="M103">
        <v>5</v>
      </c>
      <c r="N103" s="38">
        <v>10</v>
      </c>
      <c r="O103" s="38">
        <f t="shared" si="3"/>
        <v>10</v>
      </c>
      <c r="P103" s="30">
        <v>12</v>
      </c>
    </row>
    <row r="104" spans="1:16">
      <c r="A104" s="30" t="s">
        <v>5665</v>
      </c>
      <c r="B104" s="34" t="s">
        <v>6945</v>
      </c>
      <c r="C104" s="35" t="s">
        <v>7179</v>
      </c>
      <c r="D104" s="36">
        <v>50</v>
      </c>
      <c r="E104" s="36" t="s">
        <v>6947</v>
      </c>
      <c r="F104" s="34" t="s">
        <v>7170</v>
      </c>
      <c r="G104" s="34" t="s">
        <v>7068</v>
      </c>
      <c r="H104" s="34" t="s">
        <v>7174</v>
      </c>
      <c r="I104" s="34" t="s">
        <v>7180</v>
      </c>
      <c r="J104" s="34" t="s">
        <v>7181</v>
      </c>
      <c r="K104" s="36">
        <v>1</v>
      </c>
      <c r="L104" s="44">
        <v>0</v>
      </c>
      <c r="M104">
        <v>6</v>
      </c>
      <c r="N104" s="38">
        <v>25</v>
      </c>
      <c r="O104" s="38">
        <f t="shared" si="3"/>
        <v>25</v>
      </c>
      <c r="P104" s="30">
        <v>18</v>
      </c>
    </row>
    <row r="105" spans="1:16">
      <c r="A105" s="30" t="s">
        <v>5665</v>
      </c>
      <c r="B105" s="34" t="s">
        <v>6945</v>
      </c>
      <c r="C105" s="35" t="s">
        <v>7182</v>
      </c>
      <c r="D105" s="36">
        <v>60</v>
      </c>
      <c r="E105" s="36" t="s">
        <v>6947</v>
      </c>
      <c r="F105" s="34" t="s">
        <v>7170</v>
      </c>
      <c r="G105" s="34" t="s">
        <v>7068</v>
      </c>
      <c r="H105" s="34" t="s">
        <v>7174</v>
      </c>
      <c r="I105" s="34" t="s">
        <v>6950</v>
      </c>
      <c r="J105" s="34" t="s">
        <v>7183</v>
      </c>
      <c r="K105" s="36">
        <v>1</v>
      </c>
      <c r="L105" s="44">
        <v>0</v>
      </c>
      <c r="M105">
        <v>7</v>
      </c>
      <c r="N105" s="38">
        <v>60</v>
      </c>
      <c r="O105" s="38">
        <f t="shared" si="3"/>
        <v>60</v>
      </c>
      <c r="P105" s="30">
        <v>24</v>
      </c>
    </row>
    <row r="106" spans="1:16">
      <c r="A106" s="30" t="s">
        <v>7184</v>
      </c>
      <c r="B106" s="34" t="s">
        <v>7022</v>
      </c>
      <c r="C106" s="35" t="s">
        <v>7185</v>
      </c>
      <c r="D106" s="36">
        <v>40</v>
      </c>
      <c r="E106" s="36" t="s">
        <v>6947</v>
      </c>
      <c r="F106" s="34" t="s">
        <v>4531</v>
      </c>
      <c r="G106" s="34" t="s">
        <v>7068</v>
      </c>
      <c r="H106" s="34" t="s">
        <v>7136</v>
      </c>
      <c r="I106" s="34" t="s">
        <v>7186</v>
      </c>
      <c r="J106" s="34" t="s">
        <v>7187</v>
      </c>
      <c r="K106" s="36">
        <v>3</v>
      </c>
      <c r="L106" s="44">
        <v>0</v>
      </c>
      <c r="M106">
        <v>5</v>
      </c>
      <c r="N106" s="42">
        <v>100</v>
      </c>
      <c r="O106" s="38">
        <f t="shared" si="3"/>
        <v>300</v>
      </c>
      <c r="P106" s="30">
        <v>45</v>
      </c>
    </row>
    <row r="107" spans="1:16">
      <c r="A107" s="30" t="s">
        <v>7184</v>
      </c>
      <c r="B107" s="34" t="s">
        <v>7022</v>
      </c>
      <c r="C107" s="35" t="s">
        <v>7188</v>
      </c>
      <c r="D107" s="36">
        <v>50</v>
      </c>
      <c r="E107" s="36" t="s">
        <v>6947</v>
      </c>
      <c r="F107" s="34" t="s">
        <v>4531</v>
      </c>
      <c r="G107" s="34" t="s">
        <v>7068</v>
      </c>
      <c r="H107" s="34" t="s">
        <v>7136</v>
      </c>
      <c r="I107" s="34" t="s">
        <v>7189</v>
      </c>
      <c r="J107" s="34" t="s">
        <v>7190</v>
      </c>
      <c r="K107" s="36">
        <v>3</v>
      </c>
      <c r="L107" s="44">
        <v>0</v>
      </c>
      <c r="M107">
        <v>6</v>
      </c>
      <c r="N107" s="42">
        <v>250</v>
      </c>
      <c r="O107" s="38">
        <f t="shared" si="3"/>
        <v>750</v>
      </c>
      <c r="P107" s="30">
        <v>75</v>
      </c>
    </row>
    <row r="108" spans="1:16">
      <c r="A108" s="30" t="s">
        <v>7184</v>
      </c>
      <c r="B108" s="34" t="s">
        <v>7022</v>
      </c>
      <c r="C108" s="35" t="s">
        <v>7191</v>
      </c>
      <c r="D108" s="36">
        <v>30</v>
      </c>
      <c r="E108" s="36" t="s">
        <v>6947</v>
      </c>
      <c r="F108" s="34" t="s">
        <v>4531</v>
      </c>
      <c r="G108" s="34" t="s">
        <v>7068</v>
      </c>
      <c r="H108" s="34" t="s">
        <v>7136</v>
      </c>
      <c r="I108" s="34" t="s">
        <v>7192</v>
      </c>
      <c r="J108" s="34" t="s">
        <v>7193</v>
      </c>
      <c r="K108" s="36">
        <v>3</v>
      </c>
      <c r="L108" s="44">
        <v>0</v>
      </c>
      <c r="M108">
        <v>4</v>
      </c>
      <c r="N108" s="42">
        <v>50</v>
      </c>
      <c r="O108" s="38">
        <f t="shared" si="3"/>
        <v>150</v>
      </c>
      <c r="P108" s="30">
        <v>30</v>
      </c>
    </row>
    <row r="109" spans="1:16">
      <c r="A109" s="30" t="s">
        <v>7184</v>
      </c>
      <c r="B109" s="34" t="s">
        <v>7022</v>
      </c>
      <c r="C109" s="35" t="s">
        <v>7194</v>
      </c>
      <c r="D109" s="36">
        <v>45</v>
      </c>
      <c r="E109" s="36" t="s">
        <v>6947</v>
      </c>
      <c r="F109" s="34" t="s">
        <v>4531</v>
      </c>
      <c r="G109" s="34" t="s">
        <v>6949</v>
      </c>
      <c r="H109" s="34" t="s">
        <v>6949</v>
      </c>
      <c r="I109" s="34" t="s">
        <v>7014</v>
      </c>
      <c r="J109" s="34" t="s">
        <v>7195</v>
      </c>
      <c r="K109" s="36">
        <v>1</v>
      </c>
      <c r="L109" s="44">
        <v>0</v>
      </c>
      <c r="M109">
        <v>4</v>
      </c>
      <c r="N109" s="38">
        <v>100</v>
      </c>
      <c r="O109" s="38">
        <f t="shared" si="3"/>
        <v>100</v>
      </c>
      <c r="P109" s="30">
        <v>36</v>
      </c>
    </row>
    <row r="110" spans="1:16">
      <c r="A110" s="30" t="s">
        <v>7184</v>
      </c>
      <c r="B110" s="34" t="s">
        <v>7022</v>
      </c>
      <c r="C110" s="35" t="s">
        <v>353</v>
      </c>
      <c r="D110" s="36">
        <v>60</v>
      </c>
      <c r="E110" s="36" t="s">
        <v>6947</v>
      </c>
      <c r="F110" s="34" t="s">
        <v>4531</v>
      </c>
      <c r="G110" s="34" t="s">
        <v>6949</v>
      </c>
      <c r="H110" s="34" t="s">
        <v>6949</v>
      </c>
      <c r="I110" s="34" t="s">
        <v>7196</v>
      </c>
      <c r="J110" s="41" t="s">
        <v>7197</v>
      </c>
      <c r="K110" s="36">
        <v>1</v>
      </c>
      <c r="L110" s="44">
        <v>0</v>
      </c>
      <c r="M110">
        <v>4</v>
      </c>
      <c r="N110" s="38">
        <v>150</v>
      </c>
      <c r="O110" s="38">
        <f t="shared" si="3"/>
        <v>150</v>
      </c>
      <c r="P110" s="30">
        <v>48</v>
      </c>
    </row>
    <row r="111" spans="1:16">
      <c r="A111" s="30" t="s">
        <v>7184</v>
      </c>
      <c r="B111" s="34" t="s">
        <v>7022</v>
      </c>
      <c r="C111" s="35" t="s">
        <v>7198</v>
      </c>
      <c r="D111" s="36">
        <v>60</v>
      </c>
      <c r="E111" s="36" t="s">
        <v>6947</v>
      </c>
      <c r="F111" s="34" t="s">
        <v>4531</v>
      </c>
      <c r="G111" s="34" t="s">
        <v>6949</v>
      </c>
      <c r="H111" s="34" t="s">
        <v>6949</v>
      </c>
      <c r="I111" s="34" t="s">
        <v>7196</v>
      </c>
      <c r="J111" s="34" t="s">
        <v>7199</v>
      </c>
      <c r="K111" s="36">
        <v>1</v>
      </c>
      <c r="L111" s="44">
        <v>0</v>
      </c>
      <c r="M111">
        <v>4</v>
      </c>
      <c r="N111" s="38">
        <v>150</v>
      </c>
      <c r="O111" s="38">
        <f t="shared" si="3"/>
        <v>150</v>
      </c>
      <c r="P111" s="30">
        <v>48</v>
      </c>
    </row>
    <row r="112" spans="1:16">
      <c r="A112" s="30" t="s">
        <v>7184</v>
      </c>
      <c r="B112" s="34" t="s">
        <v>7022</v>
      </c>
      <c r="C112" s="35" t="s">
        <v>7200</v>
      </c>
      <c r="D112" s="36">
        <v>60</v>
      </c>
      <c r="E112" s="36" t="s">
        <v>6947</v>
      </c>
      <c r="F112" s="34" t="s">
        <v>4531</v>
      </c>
      <c r="G112" s="34" t="s">
        <v>6949</v>
      </c>
      <c r="H112" s="34" t="s">
        <v>6949</v>
      </c>
      <c r="I112" s="34" t="s">
        <v>7196</v>
      </c>
      <c r="J112" s="34" t="s">
        <v>7201</v>
      </c>
      <c r="K112" s="36">
        <v>1</v>
      </c>
      <c r="L112" s="44">
        <v>0</v>
      </c>
      <c r="M112">
        <v>4</v>
      </c>
      <c r="N112" s="38">
        <v>150</v>
      </c>
      <c r="O112" s="38">
        <f t="shared" si="3"/>
        <v>150</v>
      </c>
      <c r="P112" s="30">
        <v>48</v>
      </c>
    </row>
    <row r="113" spans="1:16">
      <c r="A113" s="30" t="s">
        <v>7184</v>
      </c>
      <c r="B113" s="34" t="s">
        <v>7022</v>
      </c>
      <c r="C113" s="35" t="s">
        <v>7202</v>
      </c>
      <c r="D113" s="36">
        <v>40</v>
      </c>
      <c r="E113" s="36" t="s">
        <v>6947</v>
      </c>
      <c r="F113" s="34" t="s">
        <v>4531</v>
      </c>
      <c r="G113" s="34" t="s">
        <v>6949</v>
      </c>
      <c r="H113" s="34" t="s">
        <v>6949</v>
      </c>
      <c r="I113" s="34" t="s">
        <v>7203</v>
      </c>
      <c r="J113" s="34" t="s">
        <v>7204</v>
      </c>
      <c r="K113" s="36">
        <v>1</v>
      </c>
      <c r="L113" s="44">
        <v>0</v>
      </c>
      <c r="M113">
        <v>4</v>
      </c>
      <c r="N113" s="38">
        <v>125</v>
      </c>
      <c r="O113" s="38">
        <f t="shared" si="3"/>
        <v>125</v>
      </c>
      <c r="P113" s="30">
        <v>60</v>
      </c>
    </row>
    <row r="114" spans="1:16">
      <c r="A114" s="30" t="s">
        <v>7184</v>
      </c>
      <c r="B114" s="34" t="s">
        <v>7022</v>
      </c>
      <c r="C114" s="35" t="s">
        <v>7205</v>
      </c>
      <c r="D114" s="36">
        <v>20</v>
      </c>
      <c r="E114" s="36" t="s">
        <v>6947</v>
      </c>
      <c r="F114" s="34" t="s">
        <v>4531</v>
      </c>
      <c r="G114" s="34" t="s">
        <v>6949</v>
      </c>
      <c r="H114" s="34" t="s">
        <v>6949</v>
      </c>
      <c r="I114" s="34" t="s">
        <v>7206</v>
      </c>
      <c r="J114" s="41" t="s">
        <v>7207</v>
      </c>
      <c r="K114" s="36">
        <v>1</v>
      </c>
      <c r="L114" s="44">
        <v>0</v>
      </c>
      <c r="M114">
        <v>3</v>
      </c>
      <c r="N114" s="42">
        <v>50</v>
      </c>
      <c r="O114" s="38">
        <f t="shared" si="3"/>
        <v>50</v>
      </c>
      <c r="P114" s="30">
        <v>24</v>
      </c>
    </row>
    <row r="115" spans="1:16">
      <c r="A115" s="30" t="s">
        <v>7184</v>
      </c>
      <c r="B115" s="34" t="s">
        <v>7022</v>
      </c>
      <c r="C115" s="35" t="s">
        <v>7208</v>
      </c>
      <c r="D115" s="36">
        <v>30</v>
      </c>
      <c r="E115" s="36" t="s">
        <v>6947</v>
      </c>
      <c r="F115" s="34" t="s">
        <v>4531</v>
      </c>
      <c r="G115" s="34" t="s">
        <v>6949</v>
      </c>
      <c r="H115" s="34" t="s">
        <v>6949</v>
      </c>
      <c r="I115" s="34" t="s">
        <v>7209</v>
      </c>
      <c r="J115" s="34" t="s">
        <v>7210</v>
      </c>
      <c r="K115" s="36">
        <v>1</v>
      </c>
      <c r="L115" s="44">
        <v>0</v>
      </c>
      <c r="M115">
        <v>3</v>
      </c>
      <c r="N115" s="38">
        <v>75</v>
      </c>
      <c r="O115" s="38">
        <f t="shared" si="3"/>
        <v>75</v>
      </c>
      <c r="P115" s="30">
        <v>36</v>
      </c>
    </row>
    <row r="116" spans="1:16">
      <c r="A116" s="30" t="s">
        <v>7184</v>
      </c>
      <c r="B116" s="34" t="s">
        <v>7022</v>
      </c>
      <c r="C116" s="35" t="s">
        <v>7211</v>
      </c>
      <c r="D116" s="36">
        <v>65</v>
      </c>
      <c r="E116" s="36" t="s">
        <v>6947</v>
      </c>
      <c r="F116" s="34" t="s">
        <v>4531</v>
      </c>
      <c r="G116" s="34" t="s">
        <v>7068</v>
      </c>
      <c r="H116" s="34" t="s">
        <v>7080</v>
      </c>
      <c r="I116" s="34" t="s">
        <v>7060</v>
      </c>
      <c r="J116" s="34" t="s">
        <v>7212</v>
      </c>
      <c r="K116" s="36">
        <v>4</v>
      </c>
      <c r="L116" s="44">
        <v>0</v>
      </c>
      <c r="M116">
        <v>7</v>
      </c>
      <c r="N116" s="38">
        <v>190</v>
      </c>
      <c r="O116" s="38">
        <f t="shared" si="3"/>
        <v>760</v>
      </c>
      <c r="P116" s="30">
        <v>72</v>
      </c>
    </row>
    <row r="117" spans="1:16">
      <c r="A117" s="30" t="s">
        <v>7184</v>
      </c>
      <c r="B117" s="34" t="s">
        <v>7022</v>
      </c>
      <c r="C117" s="35" t="s">
        <v>7213</v>
      </c>
      <c r="D117" s="36">
        <v>75</v>
      </c>
      <c r="E117" s="36" t="s">
        <v>6947</v>
      </c>
      <c r="F117" s="34" t="s">
        <v>4531</v>
      </c>
      <c r="G117" s="34" t="s">
        <v>7068</v>
      </c>
      <c r="H117" s="34" t="s">
        <v>7080</v>
      </c>
      <c r="I117" s="34" t="s">
        <v>7075</v>
      </c>
      <c r="J117" s="34" t="s">
        <v>7214</v>
      </c>
      <c r="K117" s="36">
        <v>4</v>
      </c>
      <c r="L117" s="44">
        <v>0</v>
      </c>
      <c r="M117">
        <v>7</v>
      </c>
      <c r="N117" s="38">
        <v>625</v>
      </c>
      <c r="O117" s="38">
        <f t="shared" si="3"/>
        <v>2500</v>
      </c>
      <c r="P117" s="30">
        <v>120</v>
      </c>
    </row>
    <row r="118" spans="1:16">
      <c r="A118" s="30" t="s">
        <v>7184</v>
      </c>
      <c r="B118" s="34" t="s">
        <v>7022</v>
      </c>
      <c r="C118" s="35" t="s">
        <v>7215</v>
      </c>
      <c r="D118" s="36">
        <v>55</v>
      </c>
      <c r="E118" s="36" t="s">
        <v>6947</v>
      </c>
      <c r="F118" s="34" t="s">
        <v>4531</v>
      </c>
      <c r="G118" s="34" t="s">
        <v>7068</v>
      </c>
      <c r="H118" s="34" t="s">
        <v>7080</v>
      </c>
      <c r="I118" s="34" t="s">
        <v>7161</v>
      </c>
      <c r="J118" s="34" t="s">
        <v>7216</v>
      </c>
      <c r="K118" s="36">
        <v>4</v>
      </c>
      <c r="L118" s="44">
        <v>0</v>
      </c>
      <c r="M118">
        <v>6</v>
      </c>
      <c r="N118" s="38">
        <v>65</v>
      </c>
      <c r="O118" s="38">
        <f t="shared" si="3"/>
        <v>260</v>
      </c>
      <c r="P118" s="30">
        <v>48</v>
      </c>
    </row>
    <row r="119" spans="1:16">
      <c r="A119" s="30" t="s">
        <v>7184</v>
      </c>
      <c r="B119" s="34" t="s">
        <v>6945</v>
      </c>
      <c r="C119" s="35" t="s">
        <v>7217</v>
      </c>
      <c r="D119" s="36">
        <v>75</v>
      </c>
      <c r="E119" s="36" t="s">
        <v>7003</v>
      </c>
      <c r="F119" s="34" t="s">
        <v>7030</v>
      </c>
      <c r="G119" s="34" t="s">
        <v>7136</v>
      </c>
      <c r="H119" s="34" t="s">
        <v>7218</v>
      </c>
      <c r="I119" s="34" t="s">
        <v>7175</v>
      </c>
      <c r="J119" s="34" t="s">
        <v>7219</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7220</v>
      </c>
      <c r="C1" t="s">
        <v>7221</v>
      </c>
      <c r="D1" t="s">
        <v>7222</v>
      </c>
      <c r="E1" t="s">
        <v>7223</v>
      </c>
      <c r="F1" t="s">
        <v>7224</v>
      </c>
      <c r="G1" t="s">
        <v>7225</v>
      </c>
      <c r="H1" t="s">
        <v>7226</v>
      </c>
      <c r="I1" t="s">
        <v>593</v>
      </c>
    </row>
    <row r="2" spans="1:9">
      <c r="A2" t="s">
        <v>7227</v>
      </c>
      <c r="B2" t="s">
        <v>7228</v>
      </c>
      <c r="C2" t="s">
        <v>7229</v>
      </c>
      <c r="D2" t="s">
        <v>7230</v>
      </c>
      <c r="E2">
        <v>3</v>
      </c>
      <c r="F2">
        <v>1</v>
      </c>
      <c r="G2">
        <v>227</v>
      </c>
      <c r="H2">
        <v>3</v>
      </c>
      <c r="I2">
        <v>2</v>
      </c>
    </row>
    <row r="3" spans="1:9">
      <c r="A3" t="s">
        <v>7231</v>
      </c>
      <c r="B3" t="s">
        <v>7232</v>
      </c>
      <c r="C3" t="s">
        <v>7229</v>
      </c>
      <c r="D3" t="s">
        <v>7230</v>
      </c>
      <c r="E3">
        <v>4</v>
      </c>
      <c r="F3">
        <v>2</v>
      </c>
      <c r="G3">
        <v>274</v>
      </c>
      <c r="H3">
        <v>3</v>
      </c>
      <c r="I3">
        <v>2</v>
      </c>
    </row>
    <row r="4" spans="1:9">
      <c r="A4" t="s">
        <v>7233</v>
      </c>
      <c r="B4" t="s">
        <v>7234</v>
      </c>
      <c r="C4" t="s">
        <v>7229</v>
      </c>
      <c r="D4" t="s">
        <v>7230</v>
      </c>
      <c r="E4">
        <v>6</v>
      </c>
      <c r="F4">
        <v>3</v>
      </c>
      <c r="G4">
        <v>1830</v>
      </c>
      <c r="H4">
        <v>3</v>
      </c>
      <c r="I4">
        <v>2</v>
      </c>
    </row>
    <row r="5" spans="1:9">
      <c r="A5" t="s">
        <v>7235</v>
      </c>
      <c r="B5" t="s">
        <v>7236</v>
      </c>
      <c r="C5" t="s">
        <v>7229</v>
      </c>
      <c r="D5" t="s">
        <v>7230</v>
      </c>
      <c r="E5">
        <v>6</v>
      </c>
      <c r="F5">
        <v>4</v>
      </c>
      <c r="G5">
        <v>562</v>
      </c>
      <c r="H5">
        <v>3</v>
      </c>
      <c r="I5">
        <v>2</v>
      </c>
    </row>
    <row r="6" spans="1:9">
      <c r="A6" t="s">
        <v>7237</v>
      </c>
      <c r="B6" t="s">
        <v>7238</v>
      </c>
      <c r="E6">
        <v>0</v>
      </c>
      <c r="F6">
        <v>0</v>
      </c>
      <c r="G6">
        <v>0</v>
      </c>
      <c r="H6">
        <v>0</v>
      </c>
      <c r="I6">
        <v>0</v>
      </c>
    </row>
    <row r="7" spans="1:9">
      <c r="C7" t="s">
        <v>7220</v>
      </c>
      <c r="D7" t="s">
        <v>7239</v>
      </c>
      <c r="E7">
        <v>19</v>
      </c>
      <c r="F7">
        <v>10</v>
      </c>
      <c r="G7">
        <v>2893</v>
      </c>
    </row>
    <row r="8" spans="1:9">
      <c r="B8" t="s">
        <v>7240</v>
      </c>
      <c r="C8" t="s">
        <v>7221</v>
      </c>
      <c r="D8" t="s">
        <v>7222</v>
      </c>
      <c r="E8" t="s">
        <v>7223</v>
      </c>
      <c r="F8" t="s">
        <v>7224</v>
      </c>
      <c r="G8" t="s">
        <v>7225</v>
      </c>
      <c r="H8" t="s">
        <v>7226</v>
      </c>
      <c r="I8" t="s">
        <v>593</v>
      </c>
    </row>
    <row r="9" spans="1:9">
      <c r="A9" t="s">
        <v>7227</v>
      </c>
      <c r="B9" t="s">
        <v>7228</v>
      </c>
      <c r="C9" t="s">
        <v>7241</v>
      </c>
      <c r="D9" t="s">
        <v>7242</v>
      </c>
      <c r="E9">
        <v>4</v>
      </c>
      <c r="F9">
        <v>1</v>
      </c>
      <c r="G9">
        <v>387</v>
      </c>
      <c r="H9">
        <v>5</v>
      </c>
      <c r="I9">
        <v>3</v>
      </c>
    </row>
    <row r="10" spans="1:9">
      <c r="A10" t="s">
        <v>7231</v>
      </c>
      <c r="B10" t="s">
        <v>7232</v>
      </c>
      <c r="C10" t="s">
        <v>7243</v>
      </c>
      <c r="D10" t="s">
        <v>7230</v>
      </c>
      <c r="E10">
        <v>3</v>
      </c>
      <c r="F10">
        <v>2</v>
      </c>
      <c r="G10">
        <v>38</v>
      </c>
      <c r="H10">
        <v>3</v>
      </c>
      <c r="I10">
        <v>2</v>
      </c>
    </row>
    <row r="11" spans="1:9">
      <c r="A11" t="s">
        <v>7233</v>
      </c>
      <c r="B11" t="s">
        <v>7244</v>
      </c>
      <c r="C11" t="s">
        <v>7243</v>
      </c>
      <c r="D11" t="s">
        <v>7230</v>
      </c>
      <c r="E11">
        <v>4</v>
      </c>
      <c r="F11">
        <v>3</v>
      </c>
      <c r="G11">
        <v>372</v>
      </c>
      <c r="H11">
        <v>3</v>
      </c>
      <c r="I11">
        <v>2</v>
      </c>
    </row>
    <row r="12" spans="1:9">
      <c r="A12" t="s">
        <v>7235</v>
      </c>
      <c r="B12" t="s">
        <v>7245</v>
      </c>
      <c r="C12" t="s">
        <v>7246</v>
      </c>
      <c r="D12" t="s">
        <v>7242</v>
      </c>
      <c r="E12">
        <v>14</v>
      </c>
      <c r="F12">
        <v>7</v>
      </c>
      <c r="G12">
        <v>6495</v>
      </c>
      <c r="H12">
        <v>7</v>
      </c>
      <c r="I12">
        <v>7</v>
      </c>
    </row>
    <row r="13" spans="1:9">
      <c r="A13" t="s">
        <v>7237</v>
      </c>
      <c r="B13" t="s">
        <v>7238</v>
      </c>
      <c r="E13">
        <v>0</v>
      </c>
      <c r="F13">
        <v>0</v>
      </c>
      <c r="G13">
        <v>0</v>
      </c>
      <c r="H13">
        <v>0</v>
      </c>
      <c r="I13">
        <v>0</v>
      </c>
    </row>
    <row r="14" spans="1:9">
      <c r="C14" t="s">
        <v>7240</v>
      </c>
      <c r="D14" t="s">
        <v>7239</v>
      </c>
      <c r="E14">
        <v>25</v>
      </c>
      <c r="F14">
        <v>13</v>
      </c>
      <c r="G14">
        <v>7292</v>
      </c>
    </row>
    <row r="15" spans="1:9">
      <c r="B15" t="s">
        <v>7247</v>
      </c>
      <c r="C15" t="s">
        <v>7221</v>
      </c>
      <c r="D15" t="s">
        <v>7222</v>
      </c>
      <c r="E15" t="s">
        <v>7223</v>
      </c>
      <c r="F15" t="s">
        <v>7224</v>
      </c>
      <c r="G15" t="s">
        <v>7225</v>
      </c>
      <c r="H15" t="s">
        <v>7226</v>
      </c>
      <c r="I15" t="s">
        <v>593</v>
      </c>
    </row>
    <row r="16" spans="1:9">
      <c r="A16" t="s">
        <v>7227</v>
      </c>
      <c r="B16" t="s">
        <v>7228</v>
      </c>
      <c r="C16" t="s">
        <v>7243</v>
      </c>
      <c r="D16" t="s">
        <v>7230</v>
      </c>
      <c r="E16">
        <v>2</v>
      </c>
      <c r="F16">
        <v>1</v>
      </c>
      <c r="G16">
        <v>50</v>
      </c>
      <c r="H16">
        <v>3</v>
      </c>
      <c r="I16">
        <v>2</v>
      </c>
    </row>
    <row r="17" spans="1:9">
      <c r="A17" t="s">
        <v>7231</v>
      </c>
      <c r="B17" t="s">
        <v>7232</v>
      </c>
      <c r="C17" t="s">
        <v>7243</v>
      </c>
      <c r="D17" t="s">
        <v>7230</v>
      </c>
      <c r="E17">
        <v>3</v>
      </c>
      <c r="F17">
        <v>2</v>
      </c>
      <c r="G17">
        <v>38</v>
      </c>
      <c r="H17">
        <v>3</v>
      </c>
      <c r="I17">
        <v>2</v>
      </c>
    </row>
    <row r="18" spans="1:9">
      <c r="A18" t="s">
        <v>7233</v>
      </c>
      <c r="B18" t="s">
        <v>7244</v>
      </c>
      <c r="C18" t="s">
        <v>7243</v>
      </c>
      <c r="D18" t="s">
        <v>7230</v>
      </c>
      <c r="E18">
        <v>4</v>
      </c>
      <c r="F18">
        <v>3</v>
      </c>
      <c r="G18">
        <v>372</v>
      </c>
      <c r="H18">
        <v>3</v>
      </c>
      <c r="I18">
        <v>2</v>
      </c>
    </row>
    <row r="19" spans="1:9">
      <c r="A19" t="s">
        <v>7235</v>
      </c>
      <c r="B19" t="s">
        <v>7236</v>
      </c>
      <c r="C19" t="s">
        <v>7243</v>
      </c>
      <c r="D19" t="s">
        <v>7230</v>
      </c>
      <c r="E19">
        <v>5</v>
      </c>
      <c r="F19">
        <v>4</v>
      </c>
      <c r="G19">
        <v>208</v>
      </c>
      <c r="H19">
        <v>3</v>
      </c>
      <c r="I19">
        <v>2</v>
      </c>
    </row>
    <row r="20" spans="1:9">
      <c r="A20" t="s">
        <v>7237</v>
      </c>
      <c r="B20" t="s">
        <v>7238</v>
      </c>
      <c r="E20">
        <v>0</v>
      </c>
      <c r="F20">
        <v>0</v>
      </c>
      <c r="G20">
        <v>0</v>
      </c>
      <c r="H20">
        <v>0</v>
      </c>
      <c r="I20">
        <v>0</v>
      </c>
    </row>
    <row r="21" spans="1:9">
      <c r="C21" t="s">
        <v>7247</v>
      </c>
      <c r="D21" t="s">
        <v>7239</v>
      </c>
      <c r="E21">
        <v>14</v>
      </c>
      <c r="F21">
        <v>10</v>
      </c>
      <c r="G21">
        <v>668</v>
      </c>
    </row>
    <row r="22" spans="1:9">
      <c r="B22" t="s">
        <v>7248</v>
      </c>
      <c r="C22" t="s">
        <v>7221</v>
      </c>
      <c r="D22" t="s">
        <v>7222</v>
      </c>
      <c r="E22" t="s">
        <v>7223</v>
      </c>
      <c r="F22" t="s">
        <v>7224</v>
      </c>
      <c r="G22" t="s">
        <v>7225</v>
      </c>
      <c r="H22" t="s">
        <v>7226</v>
      </c>
      <c r="I22" t="s">
        <v>593</v>
      </c>
    </row>
    <row r="23" spans="1:9">
      <c r="A23" t="s">
        <v>7227</v>
      </c>
      <c r="B23" t="s">
        <v>7228</v>
      </c>
      <c r="C23" t="s">
        <v>7243</v>
      </c>
      <c r="D23" t="s">
        <v>7230</v>
      </c>
      <c r="E23">
        <v>2</v>
      </c>
      <c r="F23">
        <v>1</v>
      </c>
      <c r="G23">
        <v>50</v>
      </c>
      <c r="H23">
        <v>3</v>
      </c>
      <c r="I23">
        <v>2</v>
      </c>
    </row>
    <row r="24" spans="1:9">
      <c r="A24" t="s">
        <v>7231</v>
      </c>
      <c r="B24" t="s">
        <v>7232</v>
      </c>
      <c r="C24" t="s">
        <v>7243</v>
      </c>
      <c r="D24" t="s">
        <v>7230</v>
      </c>
      <c r="E24">
        <v>3</v>
      </c>
      <c r="F24">
        <v>2</v>
      </c>
      <c r="G24">
        <v>38</v>
      </c>
      <c r="H24">
        <v>3</v>
      </c>
      <c r="I24">
        <v>2</v>
      </c>
    </row>
    <row r="25" spans="1:9">
      <c r="A25" t="s">
        <v>7233</v>
      </c>
      <c r="B25" t="s">
        <v>7244</v>
      </c>
      <c r="C25" t="s">
        <v>7243</v>
      </c>
      <c r="D25" t="s">
        <v>7230</v>
      </c>
      <c r="E25">
        <v>4</v>
      </c>
      <c r="F25">
        <v>3</v>
      </c>
      <c r="G25">
        <v>372</v>
      </c>
      <c r="H25">
        <v>3</v>
      </c>
      <c r="I25">
        <v>2</v>
      </c>
    </row>
    <row r="26" spans="1:9">
      <c r="A26" t="s">
        <v>7235</v>
      </c>
      <c r="B26" t="s">
        <v>7236</v>
      </c>
      <c r="C26" t="s">
        <v>7243</v>
      </c>
      <c r="D26" t="s">
        <v>7230</v>
      </c>
      <c r="E26">
        <v>5</v>
      </c>
      <c r="F26">
        <v>4</v>
      </c>
      <c r="G26">
        <v>208</v>
      </c>
      <c r="H26">
        <v>3</v>
      </c>
      <c r="I26">
        <v>2</v>
      </c>
    </row>
    <row r="27" spans="1:9">
      <c r="A27" t="s">
        <v>7237</v>
      </c>
      <c r="B27" t="s">
        <v>7238</v>
      </c>
      <c r="E27">
        <v>0</v>
      </c>
      <c r="F27">
        <v>0</v>
      </c>
      <c r="G27">
        <v>0</v>
      </c>
      <c r="H27">
        <v>0</v>
      </c>
      <c r="I27">
        <v>0</v>
      </c>
    </row>
    <row r="28" spans="1:9">
      <c r="C28" t="s">
        <v>7248</v>
      </c>
      <c r="D28" t="s">
        <v>7239</v>
      </c>
      <c r="E28">
        <v>14</v>
      </c>
      <c r="F28">
        <v>10</v>
      </c>
      <c r="G28">
        <v>668</v>
      </c>
    </row>
    <row r="29" spans="1:9">
      <c r="F29" t="s">
        <v>7224</v>
      </c>
      <c r="G29" t="s">
        <v>7225</v>
      </c>
    </row>
    <row r="30" spans="1:9">
      <c r="C30" t="s">
        <v>7249</v>
      </c>
      <c r="D30" t="s">
        <v>7239</v>
      </c>
      <c r="F30">
        <v>43</v>
      </c>
      <c r="G30">
        <v>11521</v>
      </c>
    </row>
    <row r="31" spans="1:9">
      <c r="A31" t="s">
        <v>7250</v>
      </c>
    </row>
    <row r="32" spans="1:9">
      <c r="A32" t="s">
        <v>7251</v>
      </c>
    </row>
    <row r="33" spans="1:9">
      <c r="A33" t="s">
        <v>7252</v>
      </c>
    </row>
    <row r="34" spans="1:9">
      <c r="A34" t="s">
        <v>7253</v>
      </c>
    </row>
    <row r="35" spans="1:9">
      <c r="A35" t="s">
        <v>7254</v>
      </c>
    </row>
    <row r="36" spans="1:9">
      <c r="A36" t="s">
        <v>7249</v>
      </c>
      <c r="B36" t="s">
        <v>7255</v>
      </c>
      <c r="C36" t="s">
        <v>7223</v>
      </c>
      <c r="D36" t="s">
        <v>7224</v>
      </c>
      <c r="F36" t="s">
        <v>7256</v>
      </c>
      <c r="G36" t="s">
        <v>7257</v>
      </c>
      <c r="H36" t="s">
        <v>7258</v>
      </c>
      <c r="I36" t="s">
        <v>7259</v>
      </c>
    </row>
    <row r="37" spans="1:9">
      <c r="A37" t="s">
        <v>7238</v>
      </c>
    </row>
    <row r="38" spans="1:9">
      <c r="A38" t="s">
        <v>7260</v>
      </c>
      <c r="B38">
        <v>1</v>
      </c>
      <c r="C38">
        <v>1</v>
      </c>
      <c r="D38">
        <v>1</v>
      </c>
      <c r="F38">
        <v>1</v>
      </c>
      <c r="G38">
        <v>1</v>
      </c>
      <c r="H38">
        <v>16</v>
      </c>
      <c r="I38">
        <v>1</v>
      </c>
    </row>
    <row r="39" spans="1:9">
      <c r="A39" t="s">
        <v>7228</v>
      </c>
      <c r="B39">
        <v>1</v>
      </c>
      <c r="C39">
        <v>2</v>
      </c>
      <c r="D39">
        <v>2</v>
      </c>
      <c r="F39">
        <v>1</v>
      </c>
      <c r="G39">
        <v>1</v>
      </c>
      <c r="H39">
        <v>32</v>
      </c>
      <c r="I39">
        <v>1</v>
      </c>
    </row>
    <row r="40" spans="1:9">
      <c r="A40" t="s">
        <v>7261</v>
      </c>
      <c r="B40">
        <v>1</v>
      </c>
      <c r="C40">
        <v>3</v>
      </c>
      <c r="D40">
        <v>3</v>
      </c>
      <c r="F40">
        <v>1</v>
      </c>
      <c r="G40">
        <v>1</v>
      </c>
      <c r="H40">
        <v>48</v>
      </c>
      <c r="I40">
        <v>1</v>
      </c>
    </row>
    <row r="41" spans="1:9">
      <c r="A41" t="s">
        <v>7238</v>
      </c>
      <c r="B41">
        <v>1</v>
      </c>
      <c r="F41">
        <v>1</v>
      </c>
    </row>
    <row r="42" spans="1:9">
      <c r="A42" t="s">
        <v>7232</v>
      </c>
      <c r="B42">
        <v>2</v>
      </c>
      <c r="C42">
        <v>3</v>
      </c>
      <c r="D42">
        <v>3</v>
      </c>
      <c r="F42">
        <v>1</v>
      </c>
      <c r="G42">
        <v>1</v>
      </c>
      <c r="H42">
        <v>14</v>
      </c>
      <c r="I42">
        <v>2</v>
      </c>
    </row>
    <row r="43" spans="1:9">
      <c r="A43" t="s">
        <v>7262</v>
      </c>
      <c r="B43">
        <v>2</v>
      </c>
      <c r="C43">
        <v>4</v>
      </c>
      <c r="D43">
        <v>4</v>
      </c>
      <c r="F43">
        <v>1</v>
      </c>
      <c r="G43">
        <v>1</v>
      </c>
      <c r="H43">
        <v>28</v>
      </c>
      <c r="I43">
        <v>2</v>
      </c>
    </row>
    <row r="44" spans="1:9">
      <c r="A44" t="s">
        <v>7263</v>
      </c>
      <c r="B44">
        <v>2</v>
      </c>
      <c r="C44">
        <v>5</v>
      </c>
      <c r="D44">
        <v>5</v>
      </c>
      <c r="F44">
        <v>1</v>
      </c>
      <c r="G44">
        <v>1</v>
      </c>
      <c r="H44">
        <v>48</v>
      </c>
      <c r="I44">
        <v>2</v>
      </c>
    </row>
    <row r="45" spans="1:9">
      <c r="A45" t="s">
        <v>7238</v>
      </c>
      <c r="B45">
        <v>2</v>
      </c>
      <c r="F45">
        <v>1</v>
      </c>
    </row>
    <row r="46" spans="1:9">
      <c r="A46" t="s">
        <v>7244</v>
      </c>
      <c r="B46">
        <v>3</v>
      </c>
      <c r="C46">
        <v>4</v>
      </c>
      <c r="D46">
        <v>4</v>
      </c>
      <c r="F46">
        <v>1</v>
      </c>
      <c r="G46">
        <v>1</v>
      </c>
      <c r="H46">
        <v>300</v>
      </c>
      <c r="I46">
        <v>10</v>
      </c>
    </row>
    <row r="47" spans="1:9">
      <c r="A47" t="s">
        <v>7234</v>
      </c>
      <c r="B47">
        <v>3</v>
      </c>
      <c r="C47">
        <v>5</v>
      </c>
      <c r="D47">
        <v>4</v>
      </c>
      <c r="F47">
        <v>2</v>
      </c>
      <c r="G47">
        <v>1</v>
      </c>
      <c r="H47">
        <v>1050</v>
      </c>
      <c r="I47">
        <v>10</v>
      </c>
    </row>
    <row r="48" spans="1:9">
      <c r="A48" t="s">
        <v>7264</v>
      </c>
      <c r="B48">
        <v>3</v>
      </c>
      <c r="C48">
        <v>6</v>
      </c>
      <c r="D48">
        <v>5</v>
      </c>
      <c r="F48">
        <v>1</v>
      </c>
      <c r="G48">
        <v>1</v>
      </c>
      <c r="H48">
        <v>480</v>
      </c>
      <c r="I48">
        <v>15</v>
      </c>
    </row>
    <row r="49" spans="1:9">
      <c r="A49" t="s">
        <v>7265</v>
      </c>
      <c r="B49">
        <v>3</v>
      </c>
      <c r="C49">
        <v>7</v>
      </c>
      <c r="D49">
        <v>5</v>
      </c>
      <c r="F49">
        <v>5</v>
      </c>
      <c r="G49">
        <v>3</v>
      </c>
      <c r="H49">
        <v>1500</v>
      </c>
      <c r="I49">
        <v>10</v>
      </c>
    </row>
    <row r="50" spans="1:9">
      <c r="A50" t="s">
        <v>7266</v>
      </c>
      <c r="B50">
        <v>3</v>
      </c>
      <c r="C50">
        <v>8</v>
      </c>
      <c r="D50">
        <v>6</v>
      </c>
      <c r="F50">
        <v>2</v>
      </c>
      <c r="G50">
        <v>1</v>
      </c>
      <c r="H50">
        <v>1680</v>
      </c>
      <c r="I50">
        <v>15</v>
      </c>
    </row>
    <row r="51" spans="1:9">
      <c r="A51" t="s">
        <v>7267</v>
      </c>
      <c r="B51">
        <v>3</v>
      </c>
      <c r="C51">
        <v>9</v>
      </c>
      <c r="D51">
        <v>6</v>
      </c>
      <c r="F51">
        <v>6</v>
      </c>
      <c r="G51">
        <v>4</v>
      </c>
      <c r="H51">
        <v>2400</v>
      </c>
      <c r="I51">
        <v>15</v>
      </c>
    </row>
    <row r="52" spans="1:9">
      <c r="A52" t="s">
        <v>7238</v>
      </c>
      <c r="B52">
        <v>3</v>
      </c>
      <c r="F52">
        <v>1</v>
      </c>
    </row>
    <row r="53" spans="1:9">
      <c r="A53" t="s">
        <v>7268</v>
      </c>
      <c r="B53">
        <v>4</v>
      </c>
      <c r="C53">
        <v>4</v>
      </c>
      <c r="D53">
        <v>4</v>
      </c>
      <c r="F53">
        <v>2</v>
      </c>
      <c r="G53">
        <v>2</v>
      </c>
      <c r="H53">
        <v>130</v>
      </c>
      <c r="I53">
        <v>3</v>
      </c>
    </row>
    <row r="54" spans="1:9">
      <c r="A54" t="s">
        <v>7236</v>
      </c>
      <c r="B54">
        <v>4</v>
      </c>
      <c r="C54">
        <v>5</v>
      </c>
      <c r="D54">
        <v>5</v>
      </c>
      <c r="F54">
        <v>2</v>
      </c>
      <c r="G54">
        <v>2</v>
      </c>
      <c r="H54">
        <v>172</v>
      </c>
      <c r="I54">
        <v>4</v>
      </c>
    </row>
    <row r="55" spans="1:9">
      <c r="A55" t="s">
        <v>7269</v>
      </c>
      <c r="B55">
        <v>4</v>
      </c>
      <c r="C55">
        <v>6</v>
      </c>
      <c r="D55">
        <v>6</v>
      </c>
      <c r="F55">
        <v>1</v>
      </c>
      <c r="G55">
        <v>1</v>
      </c>
      <c r="H55">
        <v>607</v>
      </c>
      <c r="I55">
        <v>7</v>
      </c>
    </row>
    <row r="56" spans="1:9">
      <c r="A56" t="s">
        <v>7270</v>
      </c>
      <c r="B56">
        <v>4</v>
      </c>
      <c r="C56">
        <v>7</v>
      </c>
      <c r="D56">
        <v>7</v>
      </c>
      <c r="F56">
        <v>2</v>
      </c>
      <c r="G56">
        <v>1</v>
      </c>
      <c r="H56">
        <v>2107</v>
      </c>
      <c r="I56">
        <v>7</v>
      </c>
    </row>
    <row r="57" spans="1:9">
      <c r="A57" t="s">
        <v>7271</v>
      </c>
      <c r="B57">
        <v>4</v>
      </c>
      <c r="C57">
        <v>8</v>
      </c>
      <c r="D57">
        <v>8</v>
      </c>
      <c r="F57">
        <v>1</v>
      </c>
      <c r="G57">
        <v>1</v>
      </c>
      <c r="H57">
        <v>907</v>
      </c>
      <c r="I57">
        <v>10</v>
      </c>
    </row>
    <row r="58" spans="1:9">
      <c r="A58" t="s">
        <v>7272</v>
      </c>
      <c r="B58">
        <v>4</v>
      </c>
      <c r="C58">
        <v>9</v>
      </c>
      <c r="D58">
        <v>8</v>
      </c>
      <c r="F58">
        <v>2</v>
      </c>
      <c r="G58">
        <v>1</v>
      </c>
      <c r="H58">
        <v>3157</v>
      </c>
      <c r="I58">
        <v>10</v>
      </c>
    </row>
    <row r="59" spans="1:9">
      <c r="A59" t="s">
        <v>7273</v>
      </c>
      <c r="B59">
        <v>4</v>
      </c>
      <c r="C59">
        <v>10</v>
      </c>
      <c r="D59">
        <v>8</v>
      </c>
      <c r="F59">
        <v>5</v>
      </c>
      <c r="G59">
        <v>3</v>
      </c>
      <c r="H59">
        <v>3007</v>
      </c>
      <c r="I59">
        <v>7</v>
      </c>
    </row>
    <row r="60" spans="1:9">
      <c r="A60" t="s">
        <v>7245</v>
      </c>
      <c r="B60">
        <v>4</v>
      </c>
      <c r="C60">
        <v>12</v>
      </c>
      <c r="D60">
        <v>10</v>
      </c>
      <c r="F60">
        <v>6</v>
      </c>
      <c r="G60">
        <v>4</v>
      </c>
      <c r="H60">
        <v>4507</v>
      </c>
      <c r="I60">
        <v>10</v>
      </c>
    </row>
    <row r="61" spans="1:9">
      <c r="A61" t="s">
        <v>7238</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7274</v>
      </c>
      <c r="B1" t="s">
        <v>7275</v>
      </c>
      <c r="C1" t="s">
        <v>7276</v>
      </c>
      <c r="D1" t="s">
        <v>7277</v>
      </c>
      <c r="E1" t="s">
        <v>7278</v>
      </c>
      <c r="F1" t="s">
        <v>7279</v>
      </c>
      <c r="G1" t="s">
        <v>7280</v>
      </c>
      <c r="H1" t="s">
        <v>7225</v>
      </c>
      <c r="I1" t="s">
        <v>7281</v>
      </c>
      <c r="J1" t="s">
        <v>7282</v>
      </c>
      <c r="L1" t="s">
        <v>7283</v>
      </c>
      <c r="M1" t="s">
        <v>7284</v>
      </c>
      <c r="N1" t="s">
        <v>7285</v>
      </c>
      <c r="O1" t="s">
        <v>7286</v>
      </c>
    </row>
    <row r="2" spans="1:15">
      <c r="A2" t="s">
        <v>7287</v>
      </c>
      <c r="F2">
        <v>1</v>
      </c>
      <c r="G2">
        <v>1</v>
      </c>
      <c r="H2">
        <v>50</v>
      </c>
      <c r="K2" t="s">
        <v>7288</v>
      </c>
      <c r="M2">
        <v>10</v>
      </c>
      <c r="N2">
        <v>1</v>
      </c>
      <c r="O2">
        <v>1</v>
      </c>
    </row>
    <row r="3" spans="1:15">
      <c r="A3" t="s">
        <v>7289</v>
      </c>
      <c r="B3">
        <v>1</v>
      </c>
      <c r="D3">
        <v>1</v>
      </c>
      <c r="E3">
        <v>-0.5</v>
      </c>
      <c r="F3">
        <v>0.9</v>
      </c>
      <c r="G3">
        <v>0.9</v>
      </c>
      <c r="H3">
        <v>125</v>
      </c>
      <c r="I3">
        <v>1</v>
      </c>
      <c r="J3">
        <v>1</v>
      </c>
      <c r="K3" t="s">
        <v>7290</v>
      </c>
      <c r="M3">
        <v>12</v>
      </c>
      <c r="N3">
        <v>1</v>
      </c>
      <c r="O3">
        <v>2</v>
      </c>
    </row>
    <row r="4" spans="1:15">
      <c r="A4" t="s">
        <v>7291</v>
      </c>
      <c r="B4">
        <v>1</v>
      </c>
      <c r="D4">
        <v>1</v>
      </c>
      <c r="E4">
        <v>-0.5</v>
      </c>
      <c r="F4">
        <v>0.9</v>
      </c>
      <c r="G4">
        <v>0.9</v>
      </c>
      <c r="H4">
        <v>175</v>
      </c>
      <c r="I4">
        <v>2</v>
      </c>
      <c r="J4">
        <v>2</v>
      </c>
      <c r="K4" t="s">
        <v>7292</v>
      </c>
      <c r="M4">
        <v>18</v>
      </c>
      <c r="N4">
        <v>2</v>
      </c>
      <c r="O4">
        <v>4</v>
      </c>
    </row>
    <row r="5" spans="1:15">
      <c r="A5" t="s">
        <v>7293</v>
      </c>
      <c r="B5">
        <v>2</v>
      </c>
      <c r="D5">
        <v>1</v>
      </c>
      <c r="E5">
        <v>-0.5</v>
      </c>
      <c r="F5">
        <v>0.8</v>
      </c>
      <c r="G5">
        <v>0.8</v>
      </c>
      <c r="H5">
        <v>250</v>
      </c>
      <c r="I5">
        <v>3</v>
      </c>
      <c r="J5">
        <v>3</v>
      </c>
      <c r="K5" t="s">
        <v>7292</v>
      </c>
      <c r="M5">
        <v>30</v>
      </c>
      <c r="N5">
        <v>3</v>
      </c>
      <c r="O5">
        <v>5</v>
      </c>
    </row>
    <row r="6" spans="1:15">
      <c r="A6" t="s">
        <v>7294</v>
      </c>
      <c r="B6">
        <v>-1</v>
      </c>
      <c r="D6">
        <v>2</v>
      </c>
      <c r="E6">
        <v>-2</v>
      </c>
      <c r="F6">
        <v>0.5</v>
      </c>
      <c r="G6">
        <v>0.5</v>
      </c>
      <c r="H6">
        <v>1250</v>
      </c>
      <c r="I6">
        <v>0</v>
      </c>
      <c r="J6">
        <v>2</v>
      </c>
      <c r="K6" t="s">
        <v>7295</v>
      </c>
      <c r="M6">
        <v>20</v>
      </c>
      <c r="N6">
        <v>7</v>
      </c>
      <c r="O6">
        <v>7</v>
      </c>
    </row>
    <row r="7" spans="1:15">
      <c r="A7" t="s">
        <v>7296</v>
      </c>
      <c r="B7">
        <v>-1</v>
      </c>
      <c r="C7">
        <v>1</v>
      </c>
      <c r="D7">
        <v>2</v>
      </c>
      <c r="E7">
        <v>-1</v>
      </c>
      <c r="F7">
        <v>0.5</v>
      </c>
      <c r="G7">
        <v>0.5</v>
      </c>
      <c r="H7">
        <v>1500</v>
      </c>
      <c r="I7">
        <v>0</v>
      </c>
      <c r="J7">
        <v>0</v>
      </c>
      <c r="K7" t="s">
        <v>5470</v>
      </c>
      <c r="M7">
        <v>5</v>
      </c>
      <c r="N7">
        <v>5</v>
      </c>
      <c r="O7">
        <v>7</v>
      </c>
    </row>
    <row r="8" spans="1:15">
      <c r="A8" t="s">
        <v>7297</v>
      </c>
      <c r="B8">
        <v>0</v>
      </c>
      <c r="C8">
        <v>-1</v>
      </c>
      <c r="F8">
        <v>1</v>
      </c>
      <c r="G8">
        <v>1</v>
      </c>
      <c r="H8">
        <v>1500</v>
      </c>
      <c r="I8">
        <v>-1</v>
      </c>
      <c r="J8">
        <v>-1</v>
      </c>
      <c r="K8" t="s">
        <v>7298</v>
      </c>
      <c r="M8">
        <v>8</v>
      </c>
      <c r="N8">
        <v>5</v>
      </c>
      <c r="O8">
        <v>6</v>
      </c>
    </row>
    <row r="9" spans="1:15">
      <c r="A9" t="s">
        <v>7299</v>
      </c>
      <c r="B9">
        <v>0</v>
      </c>
      <c r="C9">
        <v>-1</v>
      </c>
      <c r="D9">
        <v>-1</v>
      </c>
      <c r="E9">
        <v>-1</v>
      </c>
      <c r="F9">
        <v>1.2</v>
      </c>
      <c r="G9">
        <v>1.2</v>
      </c>
      <c r="H9">
        <v>1500</v>
      </c>
      <c r="I9">
        <v>-1</v>
      </c>
      <c r="J9">
        <v>-1</v>
      </c>
      <c r="K9" t="s">
        <v>7295</v>
      </c>
      <c r="M9">
        <v>7</v>
      </c>
      <c r="N9">
        <v>7</v>
      </c>
      <c r="O9">
        <v>7</v>
      </c>
    </row>
    <row r="10" spans="1:15">
      <c r="A10" t="s">
        <v>7300</v>
      </c>
      <c r="B10">
        <v>3</v>
      </c>
      <c r="D10">
        <v>1</v>
      </c>
      <c r="E10">
        <v>-0.5</v>
      </c>
      <c r="F10">
        <v>0.8</v>
      </c>
      <c r="G10">
        <v>0.8</v>
      </c>
      <c r="H10">
        <v>88</v>
      </c>
      <c r="I10">
        <v>3</v>
      </c>
      <c r="J10">
        <v>3</v>
      </c>
      <c r="K10" t="s">
        <v>5462</v>
      </c>
      <c r="L10" t="s">
        <v>7301</v>
      </c>
      <c r="M10">
        <v>12</v>
      </c>
      <c r="N10">
        <v>7</v>
      </c>
      <c r="O10">
        <v>7</v>
      </c>
    </row>
    <row r="11" spans="1:15">
      <c r="A11" t="s">
        <v>7302</v>
      </c>
      <c r="B11">
        <v>3</v>
      </c>
      <c r="D11">
        <v>1</v>
      </c>
      <c r="E11">
        <v>-0.5</v>
      </c>
      <c r="F11">
        <v>0.8</v>
      </c>
      <c r="G11">
        <v>0.8</v>
      </c>
      <c r="H11">
        <v>250000</v>
      </c>
      <c r="I11">
        <v>3</v>
      </c>
      <c r="J11">
        <v>6</v>
      </c>
      <c r="K11" t="s">
        <v>7303</v>
      </c>
      <c r="M11">
        <v>120</v>
      </c>
      <c r="N11" t="s">
        <v>3432</v>
      </c>
      <c r="O11" t="s">
        <v>3432</v>
      </c>
    </row>
    <row r="12" spans="1:15">
      <c r="A12" t="s">
        <v>5524</v>
      </c>
      <c r="B12">
        <v>-3</v>
      </c>
      <c r="C12">
        <v>2</v>
      </c>
      <c r="D12">
        <v>2</v>
      </c>
      <c r="E12">
        <v>-1.5</v>
      </c>
      <c r="F12">
        <v>0.5</v>
      </c>
      <c r="G12">
        <v>0.5</v>
      </c>
      <c r="H12">
        <v>0.1</v>
      </c>
      <c r="I12">
        <v>-11</v>
      </c>
      <c r="J12">
        <v>-7</v>
      </c>
      <c r="K12" t="s">
        <v>7304</v>
      </c>
      <c r="M12">
        <v>0</v>
      </c>
      <c r="N12">
        <v>1</v>
      </c>
      <c r="O12">
        <v>1</v>
      </c>
    </row>
    <row r="13" spans="1:15">
      <c r="A13" t="s">
        <v>7305</v>
      </c>
      <c r="B13">
        <v>0</v>
      </c>
      <c r="C13">
        <v>1</v>
      </c>
      <c r="D13">
        <v>2</v>
      </c>
      <c r="E13">
        <v>-1</v>
      </c>
      <c r="F13">
        <v>0.5</v>
      </c>
      <c r="G13">
        <v>0.5</v>
      </c>
      <c r="H13">
        <v>0.1</v>
      </c>
      <c r="I13">
        <v>-4</v>
      </c>
      <c r="J13">
        <v>-5</v>
      </c>
      <c r="K13" t="s">
        <v>7304</v>
      </c>
      <c r="M13">
        <v>2</v>
      </c>
      <c r="N13">
        <v>1</v>
      </c>
      <c r="O13">
        <v>1</v>
      </c>
    </row>
    <row r="14" spans="1:15">
      <c r="A14" t="s">
        <v>5525</v>
      </c>
      <c r="B14">
        <v>0</v>
      </c>
      <c r="C14">
        <v>-3</v>
      </c>
      <c r="D14">
        <v>-2</v>
      </c>
      <c r="E14">
        <v>1</v>
      </c>
      <c r="F14">
        <v>1.3</v>
      </c>
      <c r="G14">
        <v>1.3</v>
      </c>
      <c r="H14">
        <v>0.1</v>
      </c>
      <c r="I14">
        <v>-2</v>
      </c>
      <c r="J14">
        <v>-3</v>
      </c>
      <c r="K14" t="s">
        <v>5466</v>
      </c>
      <c r="M14">
        <v>5</v>
      </c>
      <c r="N14">
        <v>1</v>
      </c>
      <c r="O14">
        <v>1</v>
      </c>
    </row>
    <row r="15" spans="1:15">
      <c r="A15" t="s">
        <v>7306</v>
      </c>
      <c r="B15">
        <v>0</v>
      </c>
      <c r="C15">
        <v>-2</v>
      </c>
      <c r="D15">
        <v>-1</v>
      </c>
      <c r="E15">
        <v>1</v>
      </c>
      <c r="F15">
        <v>1.1000000000000001</v>
      </c>
      <c r="G15">
        <v>1.1000000000000001</v>
      </c>
      <c r="H15">
        <v>0.25</v>
      </c>
      <c r="I15">
        <v>-2</v>
      </c>
      <c r="J15">
        <v>-2</v>
      </c>
      <c r="K15" t="s">
        <v>7307</v>
      </c>
      <c r="M15">
        <v>4</v>
      </c>
      <c r="N15">
        <v>5</v>
      </c>
      <c r="O15">
        <v>1</v>
      </c>
    </row>
    <row r="16" spans="1:15">
      <c r="A16" t="s">
        <v>7308</v>
      </c>
      <c r="B16">
        <v>0</v>
      </c>
      <c r="E16">
        <v>0</v>
      </c>
      <c r="F16">
        <v>1</v>
      </c>
      <c r="G16">
        <v>1</v>
      </c>
      <c r="H16">
        <v>0.3</v>
      </c>
      <c r="K16" t="s">
        <v>7304</v>
      </c>
      <c r="M16">
        <v>5</v>
      </c>
      <c r="N16">
        <v>1</v>
      </c>
      <c r="O16">
        <v>1</v>
      </c>
    </row>
    <row r="17" spans="1:15">
      <c r="A17" t="s">
        <v>7309</v>
      </c>
      <c r="B17">
        <v>-2</v>
      </c>
      <c r="C17">
        <v>1</v>
      </c>
      <c r="D17">
        <v>2</v>
      </c>
      <c r="E17">
        <v>-1</v>
      </c>
      <c r="F17">
        <v>0.7</v>
      </c>
      <c r="G17">
        <v>0.7</v>
      </c>
      <c r="H17">
        <v>3</v>
      </c>
      <c r="I17">
        <v>-7</v>
      </c>
      <c r="J17">
        <v>-5</v>
      </c>
      <c r="K17" t="s">
        <v>7304</v>
      </c>
      <c r="L17" t="s">
        <v>7310</v>
      </c>
      <c r="M17">
        <v>3</v>
      </c>
      <c r="N17">
        <v>2</v>
      </c>
      <c r="O17">
        <v>2</v>
      </c>
    </row>
    <row r="18" spans="1:15">
      <c r="A18" t="s">
        <v>7311</v>
      </c>
      <c r="B18">
        <v>-1</v>
      </c>
      <c r="C18">
        <v>-3</v>
      </c>
      <c r="D18">
        <v>-2</v>
      </c>
      <c r="E18">
        <v>-1</v>
      </c>
      <c r="F18">
        <v>1.1000000000000001</v>
      </c>
      <c r="G18">
        <v>1.1000000000000001</v>
      </c>
      <c r="H18">
        <v>3</v>
      </c>
      <c r="I18">
        <v>-4</v>
      </c>
      <c r="J18">
        <v>-5</v>
      </c>
      <c r="K18" t="s">
        <v>7307</v>
      </c>
      <c r="M18">
        <v>5</v>
      </c>
      <c r="N18">
        <v>7</v>
      </c>
      <c r="O18">
        <v>3</v>
      </c>
    </row>
    <row r="19" spans="1:15">
      <c r="A19" t="s">
        <v>7312</v>
      </c>
      <c r="B19">
        <v>0</v>
      </c>
      <c r="C19">
        <v>-1</v>
      </c>
      <c r="D19">
        <v>2</v>
      </c>
      <c r="E19">
        <v>-1</v>
      </c>
      <c r="F19">
        <v>0.5</v>
      </c>
      <c r="G19">
        <v>0.5</v>
      </c>
      <c r="H19">
        <v>20</v>
      </c>
      <c r="I19">
        <v>-2</v>
      </c>
      <c r="K19" t="s">
        <v>7313</v>
      </c>
      <c r="M19">
        <v>3</v>
      </c>
      <c r="N19">
        <v>5</v>
      </c>
      <c r="O19">
        <v>2</v>
      </c>
    </row>
    <row r="20" spans="1:15">
      <c r="A20" t="s">
        <v>7314</v>
      </c>
      <c r="B20">
        <v>-1</v>
      </c>
      <c r="C20">
        <v>-1</v>
      </c>
      <c r="E20">
        <v>0.5</v>
      </c>
      <c r="F20">
        <v>1.1000000000000001</v>
      </c>
      <c r="G20">
        <v>1.1000000000000001</v>
      </c>
      <c r="H20">
        <v>25</v>
      </c>
      <c r="I20">
        <v>-2</v>
      </c>
      <c r="J20">
        <v>-2</v>
      </c>
      <c r="K20" t="s">
        <v>7315</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7222</v>
      </c>
      <c r="B1" t="s">
        <v>7275</v>
      </c>
      <c r="C1" t="s">
        <v>7276</v>
      </c>
      <c r="D1" t="s">
        <v>7277</v>
      </c>
      <c r="E1" t="s">
        <v>7278</v>
      </c>
      <c r="F1" t="s">
        <v>7316</v>
      </c>
      <c r="G1" t="s">
        <v>7317</v>
      </c>
      <c r="H1" t="s">
        <v>7225</v>
      </c>
      <c r="I1" t="s">
        <v>7318</v>
      </c>
      <c r="J1" t="s">
        <v>7319</v>
      </c>
      <c r="K1" t="s">
        <v>5455</v>
      </c>
      <c r="L1" t="s">
        <v>7283</v>
      </c>
      <c r="N1" t="s">
        <v>7259</v>
      </c>
      <c r="O1" t="s">
        <v>7285</v>
      </c>
      <c r="P1" t="s">
        <v>7286</v>
      </c>
    </row>
    <row r="2" spans="1:16">
      <c r="A2" t="s">
        <v>7320</v>
      </c>
      <c r="H2">
        <v>1</v>
      </c>
      <c r="K2" t="s">
        <v>7321</v>
      </c>
      <c r="M2">
        <v>0</v>
      </c>
      <c r="N2">
        <v>0</v>
      </c>
      <c r="O2">
        <v>1</v>
      </c>
      <c r="P2">
        <v>1</v>
      </c>
    </row>
    <row r="3" spans="1:16">
      <c r="A3" t="s">
        <v>7230</v>
      </c>
      <c r="C3">
        <v>1</v>
      </c>
      <c r="D3">
        <v>1</v>
      </c>
      <c r="G3">
        <v>-2</v>
      </c>
      <c r="H3">
        <v>2</v>
      </c>
      <c r="K3" t="s">
        <v>7304</v>
      </c>
      <c r="M3">
        <v>6</v>
      </c>
      <c r="N3">
        <v>1</v>
      </c>
      <c r="O3">
        <v>2</v>
      </c>
      <c r="P3">
        <v>3</v>
      </c>
    </row>
    <row r="4" spans="1:16">
      <c r="A4" t="s">
        <v>7322</v>
      </c>
      <c r="C4">
        <v>2</v>
      </c>
      <c r="D4">
        <v>2</v>
      </c>
      <c r="G4">
        <v>-4</v>
      </c>
      <c r="H4">
        <v>5</v>
      </c>
      <c r="K4" t="s">
        <v>7304</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7323</v>
      </c>
      <c r="B1" t="s">
        <v>7275</v>
      </c>
      <c r="C1" t="s">
        <v>7276</v>
      </c>
      <c r="D1" t="s">
        <v>7277</v>
      </c>
      <c r="E1" t="s">
        <v>7278</v>
      </c>
      <c r="F1" t="s">
        <v>7316</v>
      </c>
      <c r="G1" t="s">
        <v>7317</v>
      </c>
      <c r="H1" t="s">
        <v>7324</v>
      </c>
      <c r="I1" t="s">
        <v>7318</v>
      </c>
      <c r="J1" t="s">
        <v>7319</v>
      </c>
      <c r="K1" t="s">
        <v>5455</v>
      </c>
      <c r="L1" t="s">
        <v>7283</v>
      </c>
      <c r="O1" t="s">
        <v>7285</v>
      </c>
      <c r="P1" t="s">
        <v>7286</v>
      </c>
    </row>
    <row r="2" spans="1:16">
      <c r="A2" t="s">
        <v>7321</v>
      </c>
      <c r="K2" t="s">
        <v>7304</v>
      </c>
      <c r="M2">
        <v>0</v>
      </c>
      <c r="O2">
        <v>1</v>
      </c>
      <c r="P2">
        <v>1</v>
      </c>
    </row>
    <row r="3" spans="1:16">
      <c r="A3" t="s">
        <v>7325</v>
      </c>
      <c r="C3">
        <v>-1</v>
      </c>
      <c r="D3">
        <v>-1</v>
      </c>
      <c r="G3">
        <v>2</v>
      </c>
      <c r="H3">
        <v>37.5</v>
      </c>
      <c r="J3">
        <v>2</v>
      </c>
      <c r="K3" t="s">
        <v>7288</v>
      </c>
      <c r="M3">
        <v>10</v>
      </c>
      <c r="N3">
        <v>0.5</v>
      </c>
      <c r="O3">
        <v>1</v>
      </c>
      <c r="P3">
        <v>1</v>
      </c>
    </row>
    <row r="4" spans="1:16">
      <c r="A4" t="s">
        <v>7326</v>
      </c>
      <c r="C4">
        <v>-2</v>
      </c>
      <c r="D4">
        <v>-2</v>
      </c>
      <c r="G4">
        <v>3</v>
      </c>
      <c r="H4">
        <v>275</v>
      </c>
      <c r="J4">
        <v>3</v>
      </c>
      <c r="K4" t="s">
        <v>7288</v>
      </c>
      <c r="M4">
        <v>10</v>
      </c>
      <c r="N4">
        <v>0.5</v>
      </c>
      <c r="O4">
        <v>1</v>
      </c>
      <c r="P4">
        <v>1</v>
      </c>
    </row>
    <row r="5" spans="1:16">
      <c r="A5" t="s">
        <v>7327</v>
      </c>
      <c r="C5">
        <v>-1</v>
      </c>
      <c r="D5">
        <v>-1</v>
      </c>
      <c r="G5">
        <v>2</v>
      </c>
      <c r="H5">
        <v>93.75</v>
      </c>
      <c r="J5">
        <v>3</v>
      </c>
      <c r="K5" t="s">
        <v>7290</v>
      </c>
      <c r="M5">
        <v>12</v>
      </c>
      <c r="N5">
        <v>0.5</v>
      </c>
      <c r="O5">
        <v>1</v>
      </c>
      <c r="P5">
        <v>2</v>
      </c>
    </row>
    <row r="6" spans="1:16">
      <c r="A6" t="s">
        <v>7328</v>
      </c>
      <c r="C6">
        <v>-2</v>
      </c>
      <c r="D6">
        <v>-2</v>
      </c>
      <c r="G6">
        <v>3</v>
      </c>
      <c r="H6">
        <v>687.5</v>
      </c>
      <c r="J6">
        <v>4</v>
      </c>
      <c r="K6" t="s">
        <v>7290</v>
      </c>
      <c r="M6">
        <v>12</v>
      </c>
      <c r="N6">
        <v>0.5</v>
      </c>
      <c r="O6">
        <v>1</v>
      </c>
      <c r="P6">
        <v>2</v>
      </c>
    </row>
    <row r="7" spans="1:16">
      <c r="A7" t="s">
        <v>7291</v>
      </c>
      <c r="C7">
        <v>-1</v>
      </c>
      <c r="D7">
        <v>-1</v>
      </c>
      <c r="G7">
        <v>2</v>
      </c>
      <c r="H7">
        <v>131.25</v>
      </c>
      <c r="J7">
        <v>4</v>
      </c>
      <c r="K7" t="s">
        <v>7292</v>
      </c>
      <c r="M7">
        <v>18</v>
      </c>
      <c r="N7">
        <v>0.5</v>
      </c>
      <c r="O7">
        <v>2</v>
      </c>
      <c r="P7">
        <v>4</v>
      </c>
    </row>
    <row r="8" spans="1:16">
      <c r="A8" t="s">
        <v>7329</v>
      </c>
      <c r="C8">
        <v>-2</v>
      </c>
      <c r="D8">
        <v>-2</v>
      </c>
      <c r="G8">
        <v>3</v>
      </c>
      <c r="H8">
        <v>962.5</v>
      </c>
      <c r="J8">
        <v>5</v>
      </c>
      <c r="K8" t="s">
        <v>7292</v>
      </c>
      <c r="M8">
        <v>18</v>
      </c>
      <c r="N8">
        <v>0.5</v>
      </c>
      <c r="O8">
        <v>2</v>
      </c>
      <c r="P8">
        <v>4</v>
      </c>
    </row>
    <row r="9" spans="1:16">
      <c r="A9" t="s">
        <v>7330</v>
      </c>
      <c r="C9">
        <v>-1</v>
      </c>
      <c r="D9">
        <v>-1</v>
      </c>
      <c r="G9">
        <v>2</v>
      </c>
      <c r="H9">
        <v>187.5</v>
      </c>
      <c r="J9">
        <v>5</v>
      </c>
      <c r="K9" t="s">
        <v>7292</v>
      </c>
      <c r="M9">
        <v>30</v>
      </c>
      <c r="N9">
        <v>0.5</v>
      </c>
      <c r="O9">
        <v>3</v>
      </c>
      <c r="P9">
        <v>5</v>
      </c>
    </row>
    <row r="10" spans="1:16">
      <c r="A10" t="s">
        <v>7331</v>
      </c>
      <c r="C10">
        <v>-2</v>
      </c>
      <c r="D10">
        <v>-2</v>
      </c>
      <c r="G10">
        <v>3</v>
      </c>
      <c r="H10">
        <v>1375</v>
      </c>
      <c r="J10">
        <v>6</v>
      </c>
      <c r="K10" t="s">
        <v>7292</v>
      </c>
      <c r="M10">
        <v>30</v>
      </c>
      <c r="N10">
        <v>0.5</v>
      </c>
      <c r="O10">
        <v>3</v>
      </c>
      <c r="P10">
        <v>5</v>
      </c>
    </row>
    <row r="11" spans="1:16">
      <c r="A11" t="s">
        <v>7332</v>
      </c>
      <c r="C11">
        <v>0</v>
      </c>
      <c r="D11">
        <v>-1</v>
      </c>
      <c r="G11">
        <v>1</v>
      </c>
      <c r="H11">
        <v>1875</v>
      </c>
      <c r="J11">
        <v>2</v>
      </c>
      <c r="K11" t="s">
        <v>7295</v>
      </c>
      <c r="M11">
        <v>20</v>
      </c>
      <c r="N11">
        <v>0.5</v>
      </c>
      <c r="O11">
        <v>7</v>
      </c>
      <c r="P11">
        <v>7</v>
      </c>
    </row>
    <row r="12" spans="1:16">
      <c r="A12" t="s">
        <v>7333</v>
      </c>
      <c r="C12">
        <v>-1</v>
      </c>
      <c r="D12">
        <v>-1</v>
      </c>
      <c r="G12">
        <v>1</v>
      </c>
      <c r="H12">
        <v>13750</v>
      </c>
      <c r="J12">
        <v>3</v>
      </c>
      <c r="K12" t="s">
        <v>7295</v>
      </c>
      <c r="M12">
        <v>20</v>
      </c>
      <c r="N12">
        <v>0.5</v>
      </c>
      <c r="O12">
        <v>7</v>
      </c>
      <c r="P12">
        <v>7</v>
      </c>
    </row>
    <row r="13" spans="1:16">
      <c r="A13" t="s">
        <v>7334</v>
      </c>
      <c r="C13">
        <v>-1</v>
      </c>
      <c r="D13">
        <v>-1</v>
      </c>
      <c r="G13">
        <v>2</v>
      </c>
      <c r="H13">
        <v>187500</v>
      </c>
      <c r="J13">
        <v>6</v>
      </c>
      <c r="K13" t="s">
        <v>7303</v>
      </c>
      <c r="M13">
        <v>120</v>
      </c>
      <c r="N13">
        <v>0.5</v>
      </c>
      <c r="O13" t="s">
        <v>3432</v>
      </c>
      <c r="P13" t="s">
        <v>3432</v>
      </c>
    </row>
    <row r="14" spans="1:16">
      <c r="A14" t="s">
        <v>7335</v>
      </c>
      <c r="C14">
        <v>-2</v>
      </c>
      <c r="D14">
        <v>-2</v>
      </c>
      <c r="G14">
        <v>3</v>
      </c>
      <c r="H14">
        <v>137500</v>
      </c>
      <c r="J14">
        <v>7</v>
      </c>
      <c r="K14" t="s">
        <v>7303</v>
      </c>
      <c r="M14">
        <v>120</v>
      </c>
      <c r="N14">
        <v>0.5</v>
      </c>
      <c r="O14" t="s">
        <v>3432</v>
      </c>
      <c r="P14" t="s">
        <v>3432</v>
      </c>
    </row>
    <row r="15" spans="1:16">
      <c r="A15" t="s">
        <v>7336</v>
      </c>
      <c r="C15">
        <v>-1</v>
      </c>
      <c r="D15">
        <v>-1</v>
      </c>
      <c r="G15">
        <v>2</v>
      </c>
      <c r="H15">
        <v>18.75</v>
      </c>
      <c r="J15">
        <v>1</v>
      </c>
      <c r="K15" t="s">
        <v>7315</v>
      </c>
      <c r="M15">
        <v>5</v>
      </c>
      <c r="N15">
        <v>0.5</v>
      </c>
      <c r="O15">
        <v>1</v>
      </c>
      <c r="P15">
        <v>1</v>
      </c>
    </row>
    <row r="16" spans="1:16">
      <c r="A16" t="s">
        <v>7337</v>
      </c>
      <c r="C16">
        <v>-2</v>
      </c>
      <c r="D16">
        <v>-2</v>
      </c>
      <c r="G16">
        <v>3</v>
      </c>
      <c r="H16">
        <v>137.5</v>
      </c>
      <c r="J16">
        <v>2</v>
      </c>
      <c r="K16" t="s">
        <v>7315</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7338</v>
      </c>
      <c r="B1" t="s">
        <v>7275</v>
      </c>
      <c r="C1" t="s">
        <v>7276</v>
      </c>
      <c r="D1" t="s">
        <v>7277</v>
      </c>
      <c r="E1" t="s">
        <v>7278</v>
      </c>
      <c r="F1" t="s">
        <v>7316</v>
      </c>
      <c r="G1" t="s">
        <v>7317</v>
      </c>
      <c r="H1" t="s">
        <v>7225</v>
      </c>
      <c r="I1" t="s">
        <v>7318</v>
      </c>
      <c r="J1" t="s">
        <v>7319</v>
      </c>
      <c r="K1" t="s">
        <v>5455</v>
      </c>
      <c r="L1" t="s">
        <v>7283</v>
      </c>
      <c r="N1" t="s">
        <v>7285</v>
      </c>
      <c r="O1" t="s">
        <v>7286</v>
      </c>
    </row>
    <row r="2" spans="1:15">
      <c r="A2" t="s">
        <v>7339</v>
      </c>
      <c r="H2">
        <v>1.5</v>
      </c>
      <c r="I2">
        <v>-3</v>
      </c>
      <c r="J2">
        <v>-6</v>
      </c>
      <c r="K2" t="s">
        <v>7304</v>
      </c>
      <c r="M2">
        <v>-6</v>
      </c>
      <c r="N2">
        <v>1</v>
      </c>
      <c r="O2">
        <v>1</v>
      </c>
    </row>
    <row r="3" spans="1:15">
      <c r="A3" t="s">
        <v>7340</v>
      </c>
      <c r="H3">
        <v>2</v>
      </c>
      <c r="I3">
        <v>-2</v>
      </c>
      <c r="J3">
        <v>-3</v>
      </c>
      <c r="K3" t="s">
        <v>5580</v>
      </c>
      <c r="M3">
        <v>-4</v>
      </c>
      <c r="N3">
        <v>1</v>
      </c>
      <c r="O3">
        <v>1</v>
      </c>
    </row>
    <row r="4" spans="1:15">
      <c r="A4" t="s">
        <v>7341</v>
      </c>
      <c r="H4">
        <v>4</v>
      </c>
      <c r="I4">
        <v>-1</v>
      </c>
      <c r="J4">
        <v>-1</v>
      </c>
      <c r="K4" t="s">
        <v>7304</v>
      </c>
      <c r="M4">
        <v>-3</v>
      </c>
      <c r="N4">
        <v>1</v>
      </c>
      <c r="O4">
        <v>1</v>
      </c>
    </row>
    <row r="5" spans="1:15">
      <c r="A5" t="s">
        <v>7243</v>
      </c>
      <c r="H5">
        <v>6</v>
      </c>
      <c r="K5" t="s">
        <v>7321</v>
      </c>
      <c r="M5">
        <v>0</v>
      </c>
      <c r="N5">
        <v>1</v>
      </c>
      <c r="O5">
        <v>1</v>
      </c>
    </row>
    <row r="6" spans="1:15">
      <c r="A6" t="s">
        <v>7342</v>
      </c>
      <c r="H6">
        <v>65</v>
      </c>
      <c r="I6">
        <v>1</v>
      </c>
      <c r="J6">
        <v>1</v>
      </c>
      <c r="K6" t="s">
        <v>7304</v>
      </c>
      <c r="M6">
        <v>6</v>
      </c>
      <c r="N6">
        <v>2</v>
      </c>
      <c r="O6">
        <v>3</v>
      </c>
    </row>
    <row r="7" spans="1:15">
      <c r="A7" t="s">
        <v>7241</v>
      </c>
      <c r="H7">
        <v>71</v>
      </c>
      <c r="I7">
        <v>2</v>
      </c>
      <c r="J7">
        <v>2</v>
      </c>
      <c r="K7" t="s">
        <v>7304</v>
      </c>
      <c r="M7">
        <v>12</v>
      </c>
      <c r="N7">
        <v>3</v>
      </c>
      <c r="O7">
        <v>5</v>
      </c>
    </row>
    <row r="8" spans="1:15">
      <c r="A8" t="s">
        <v>7343</v>
      </c>
      <c r="H8">
        <v>142</v>
      </c>
      <c r="I8">
        <v>3</v>
      </c>
      <c r="J8">
        <v>3</v>
      </c>
      <c r="K8" t="s">
        <v>7304</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7344</v>
      </c>
      <c r="B1" t="s">
        <v>5553</v>
      </c>
      <c r="C1" t="s">
        <v>7274</v>
      </c>
      <c r="D1" t="s">
        <v>1398</v>
      </c>
      <c r="E1" t="s">
        <v>7345</v>
      </c>
      <c r="F1" t="s">
        <v>7346</v>
      </c>
      <c r="G1" t="s">
        <v>7347</v>
      </c>
      <c r="H1" t="s">
        <v>7348</v>
      </c>
      <c r="I1" t="s">
        <v>7349</v>
      </c>
      <c r="J1" t="s">
        <v>7350</v>
      </c>
      <c r="K1" t="s">
        <v>7351</v>
      </c>
      <c r="L1" t="s">
        <v>7352</v>
      </c>
      <c r="M1" t="s">
        <v>7353</v>
      </c>
      <c r="N1" t="s">
        <v>7354</v>
      </c>
      <c r="O1" t="s">
        <v>7355</v>
      </c>
      <c r="P1" t="s">
        <v>7356</v>
      </c>
      <c r="Q1" t="s">
        <v>7357</v>
      </c>
      <c r="R1" t="s">
        <v>7358</v>
      </c>
      <c r="S1" t="s">
        <v>7359</v>
      </c>
      <c r="T1" t="s">
        <v>7360</v>
      </c>
      <c r="U1" t="s">
        <v>7361</v>
      </c>
      <c r="V1" t="s">
        <v>7362</v>
      </c>
      <c r="W1" t="s">
        <v>5455</v>
      </c>
      <c r="X1" t="s">
        <v>7363</v>
      </c>
      <c r="Y1" t="s">
        <v>7364</v>
      </c>
      <c r="Z1" t="s">
        <v>7285</v>
      </c>
      <c r="AA1" t="s">
        <v>7286</v>
      </c>
    </row>
    <row r="2" spans="1:27">
      <c r="A2" t="s">
        <v>1424</v>
      </c>
      <c r="B2" t="s">
        <v>7365</v>
      </c>
      <c r="C2" t="s">
        <v>7365</v>
      </c>
      <c r="D2">
        <v>5</v>
      </c>
      <c r="E2">
        <v>3</v>
      </c>
      <c r="F2" t="s">
        <v>5498</v>
      </c>
      <c r="G2" t="s">
        <v>5496</v>
      </c>
      <c r="H2">
        <v>3</v>
      </c>
      <c r="I2">
        <v>-6</v>
      </c>
      <c r="J2">
        <v>0</v>
      </c>
      <c r="K2">
        <v>-2</v>
      </c>
      <c r="L2">
        <v>-4</v>
      </c>
      <c r="M2">
        <v>8</v>
      </c>
      <c r="O2">
        <v>0.5</v>
      </c>
      <c r="P2">
        <v>0</v>
      </c>
      <c r="Q2" t="s">
        <v>7366</v>
      </c>
      <c r="R2">
        <v>12</v>
      </c>
      <c r="S2">
        <v>14</v>
      </c>
      <c r="T2">
        <v>10</v>
      </c>
      <c r="U2">
        <v>0.7</v>
      </c>
      <c r="V2">
        <v>3</v>
      </c>
      <c r="Z2">
        <v>1</v>
      </c>
      <c r="AA2">
        <v>1</v>
      </c>
    </row>
    <row r="3" spans="1:27">
      <c r="A3" t="s">
        <v>1422</v>
      </c>
      <c r="B3" t="s">
        <v>7367</v>
      </c>
      <c r="C3" t="s">
        <v>7365</v>
      </c>
      <c r="D3">
        <v>5</v>
      </c>
      <c r="E3">
        <v>3</v>
      </c>
      <c r="F3" t="s">
        <v>5498</v>
      </c>
      <c r="G3" t="s">
        <v>5496</v>
      </c>
      <c r="H3">
        <v>3</v>
      </c>
      <c r="I3">
        <v>-6</v>
      </c>
      <c r="J3">
        <v>0</v>
      </c>
      <c r="K3">
        <v>-2</v>
      </c>
      <c r="L3">
        <v>-4</v>
      </c>
      <c r="M3">
        <v>8</v>
      </c>
      <c r="O3">
        <v>0.5</v>
      </c>
      <c r="P3">
        <v>0</v>
      </c>
      <c r="Q3" t="s">
        <v>7366</v>
      </c>
      <c r="R3">
        <v>12</v>
      </c>
      <c r="S3">
        <v>14</v>
      </c>
      <c r="T3">
        <v>10</v>
      </c>
      <c r="U3">
        <v>0.7</v>
      </c>
      <c r="V3">
        <v>3</v>
      </c>
      <c r="Z3">
        <v>1</v>
      </c>
      <c r="AA3">
        <v>1</v>
      </c>
    </row>
    <row r="4" spans="1:27">
      <c r="A4" t="s">
        <v>1424</v>
      </c>
      <c r="B4" t="s">
        <v>7365</v>
      </c>
      <c r="C4" t="s">
        <v>7368</v>
      </c>
      <c r="D4">
        <v>5</v>
      </c>
      <c r="E4">
        <v>2.5</v>
      </c>
      <c r="F4" t="s">
        <v>5499</v>
      </c>
      <c r="G4" t="s">
        <v>5486</v>
      </c>
      <c r="H4">
        <v>3</v>
      </c>
      <c r="I4">
        <v>-6</v>
      </c>
      <c r="J4">
        <v>0</v>
      </c>
      <c r="K4">
        <v>-2</v>
      </c>
      <c r="L4">
        <v>-3</v>
      </c>
      <c r="M4">
        <v>7</v>
      </c>
      <c r="O4">
        <v>0.5</v>
      </c>
      <c r="P4">
        <v>0</v>
      </c>
      <c r="Q4" t="s">
        <v>7366</v>
      </c>
      <c r="R4">
        <v>12</v>
      </c>
      <c r="S4">
        <v>13</v>
      </c>
      <c r="T4">
        <v>12</v>
      </c>
      <c r="U4">
        <v>0.6</v>
      </c>
      <c r="V4">
        <v>4</v>
      </c>
      <c r="W4" t="s">
        <v>5463</v>
      </c>
      <c r="Z4">
        <v>1</v>
      </c>
      <c r="AA4">
        <v>1</v>
      </c>
    </row>
    <row r="5" spans="1:27">
      <c r="A5" t="s">
        <v>1415</v>
      </c>
      <c r="B5" t="s">
        <v>7369</v>
      </c>
      <c r="C5" t="s">
        <v>7370</v>
      </c>
      <c r="D5">
        <v>7</v>
      </c>
      <c r="E5">
        <v>6</v>
      </c>
      <c r="F5" t="s">
        <v>5500</v>
      </c>
      <c r="H5">
        <v>2</v>
      </c>
      <c r="I5">
        <v>-6</v>
      </c>
      <c r="J5">
        <v>0</v>
      </c>
      <c r="K5">
        <v>-4</v>
      </c>
      <c r="L5">
        <v>-5</v>
      </c>
      <c r="M5">
        <v>17</v>
      </c>
      <c r="N5">
        <v>10</v>
      </c>
      <c r="O5">
        <v>0.72</v>
      </c>
      <c r="P5">
        <v>3</v>
      </c>
      <c r="Q5" t="s">
        <v>7371</v>
      </c>
      <c r="R5">
        <v>17</v>
      </c>
      <c r="S5">
        <v>7</v>
      </c>
      <c r="T5">
        <v>8</v>
      </c>
      <c r="U5">
        <v>1.8</v>
      </c>
      <c r="V5">
        <v>1.5</v>
      </c>
      <c r="Z5">
        <v>1</v>
      </c>
      <c r="AA5">
        <v>1</v>
      </c>
    </row>
    <row r="6" spans="1:27">
      <c r="A6" t="s">
        <v>1422</v>
      </c>
      <c r="B6" t="s">
        <v>7367</v>
      </c>
      <c r="C6" t="s">
        <v>7372</v>
      </c>
      <c r="D6">
        <v>6</v>
      </c>
      <c r="E6">
        <v>3</v>
      </c>
      <c r="F6" t="s">
        <v>5499</v>
      </c>
      <c r="G6" t="s">
        <v>5486</v>
      </c>
      <c r="H6">
        <v>5</v>
      </c>
      <c r="I6">
        <v>-3</v>
      </c>
      <c r="J6">
        <v>0</v>
      </c>
      <c r="K6">
        <v>-3</v>
      </c>
      <c r="L6">
        <v>-5</v>
      </c>
      <c r="M6">
        <v>7</v>
      </c>
      <c r="N6">
        <v>5</v>
      </c>
      <c r="O6">
        <v>0.6</v>
      </c>
      <c r="P6">
        <v>4</v>
      </c>
      <c r="R6">
        <v>9</v>
      </c>
      <c r="S6">
        <v>15</v>
      </c>
      <c r="T6">
        <v>5</v>
      </c>
      <c r="U6">
        <v>0.6</v>
      </c>
      <c r="V6">
        <v>1</v>
      </c>
      <c r="Z6">
        <v>1</v>
      </c>
      <c r="AA6">
        <v>1</v>
      </c>
    </row>
    <row r="7" spans="1:27">
      <c r="A7" t="s">
        <v>1420</v>
      </c>
      <c r="B7" t="s">
        <v>7373</v>
      </c>
      <c r="C7" t="s">
        <v>7374</v>
      </c>
      <c r="D7">
        <v>21</v>
      </c>
      <c r="E7">
        <v>3</v>
      </c>
      <c r="F7" t="s">
        <v>5499</v>
      </c>
      <c r="G7" t="s">
        <v>5486</v>
      </c>
      <c r="H7">
        <v>5</v>
      </c>
      <c r="I7">
        <v>-4</v>
      </c>
      <c r="J7">
        <v>0</v>
      </c>
      <c r="K7">
        <v>-5</v>
      </c>
      <c r="L7">
        <v>-5</v>
      </c>
      <c r="M7" t="s">
        <v>7375</v>
      </c>
      <c r="N7" t="s">
        <v>7376</v>
      </c>
      <c r="O7">
        <v>2</v>
      </c>
      <c r="P7">
        <v>4</v>
      </c>
      <c r="R7">
        <v>3</v>
      </c>
      <c r="S7">
        <v>8</v>
      </c>
      <c r="T7">
        <v>5</v>
      </c>
      <c r="U7">
        <v>0.6</v>
      </c>
      <c r="V7">
        <v>1</v>
      </c>
      <c r="Z7">
        <v>1</v>
      </c>
      <c r="AA7">
        <v>1</v>
      </c>
    </row>
    <row r="8" spans="1:27">
      <c r="A8" t="s">
        <v>1415</v>
      </c>
      <c r="B8" t="s">
        <v>7377</v>
      </c>
      <c r="C8" t="s">
        <v>7378</v>
      </c>
      <c r="D8">
        <v>14</v>
      </c>
      <c r="E8">
        <v>8</v>
      </c>
      <c r="F8" t="s">
        <v>5500</v>
      </c>
      <c r="G8" t="s">
        <v>7379</v>
      </c>
      <c r="H8">
        <v>1.5</v>
      </c>
      <c r="I8">
        <v>-16</v>
      </c>
      <c r="J8">
        <v>0</v>
      </c>
      <c r="K8">
        <v>-7</v>
      </c>
      <c r="L8">
        <v>-7</v>
      </c>
      <c r="M8">
        <v>36</v>
      </c>
      <c r="N8">
        <v>20</v>
      </c>
      <c r="O8">
        <v>1.4</v>
      </c>
      <c r="P8" t="s">
        <v>7380</v>
      </c>
      <c r="Q8" t="s">
        <v>7371</v>
      </c>
      <c r="R8">
        <v>23</v>
      </c>
      <c r="S8">
        <v>8</v>
      </c>
      <c r="T8">
        <v>24</v>
      </c>
      <c r="U8">
        <v>3.5</v>
      </c>
      <c r="V8">
        <v>2.5</v>
      </c>
      <c r="Z8">
        <v>1</v>
      </c>
      <c r="AA8">
        <v>1</v>
      </c>
    </row>
    <row r="9" spans="1:27">
      <c r="A9" t="s">
        <v>1418</v>
      </c>
      <c r="B9" t="s">
        <v>7381</v>
      </c>
      <c r="C9" t="s">
        <v>7382</v>
      </c>
      <c r="D9">
        <v>11</v>
      </c>
      <c r="E9">
        <v>6</v>
      </c>
      <c r="F9" t="s">
        <v>5498</v>
      </c>
      <c r="G9" t="s">
        <v>5497</v>
      </c>
      <c r="H9">
        <v>2</v>
      </c>
      <c r="I9">
        <v>-5</v>
      </c>
      <c r="J9">
        <v>0</v>
      </c>
      <c r="K9">
        <v>-5</v>
      </c>
      <c r="L9">
        <v>-5</v>
      </c>
      <c r="M9">
        <v>16</v>
      </c>
      <c r="N9">
        <v>12</v>
      </c>
      <c r="O9">
        <v>1.1000000000000001</v>
      </c>
      <c r="P9" t="s">
        <v>7380</v>
      </c>
      <c r="R9">
        <v>14</v>
      </c>
      <c r="S9">
        <v>15</v>
      </c>
      <c r="T9">
        <v>16</v>
      </c>
      <c r="U9">
        <v>1.5</v>
      </c>
      <c r="V9">
        <v>4</v>
      </c>
      <c r="Z9">
        <v>1</v>
      </c>
      <c r="AA9">
        <v>1</v>
      </c>
    </row>
    <row r="10" spans="1:27">
      <c r="A10" t="s">
        <v>1418</v>
      </c>
      <c r="B10" t="s">
        <v>7383</v>
      </c>
      <c r="C10" t="s">
        <v>7382</v>
      </c>
      <c r="D10">
        <v>11</v>
      </c>
      <c r="E10">
        <v>6</v>
      </c>
      <c r="F10" t="s">
        <v>5498</v>
      </c>
      <c r="G10" t="s">
        <v>5497</v>
      </c>
      <c r="H10">
        <v>2</v>
      </c>
      <c r="I10">
        <v>-5</v>
      </c>
      <c r="J10">
        <v>0</v>
      </c>
      <c r="K10">
        <v>-5</v>
      </c>
      <c r="L10">
        <v>-5</v>
      </c>
      <c r="M10">
        <v>16</v>
      </c>
      <c r="N10">
        <v>12</v>
      </c>
      <c r="O10">
        <v>1.1000000000000001</v>
      </c>
      <c r="P10" t="s">
        <v>7380</v>
      </c>
      <c r="R10">
        <v>14</v>
      </c>
      <c r="S10">
        <v>15</v>
      </c>
      <c r="T10">
        <v>16</v>
      </c>
      <c r="U10">
        <v>1.5</v>
      </c>
      <c r="V10">
        <v>4</v>
      </c>
      <c r="Z10">
        <v>1</v>
      </c>
      <c r="AA10">
        <v>1</v>
      </c>
    </row>
    <row r="11" spans="1:27">
      <c r="A11" t="s">
        <v>1418</v>
      </c>
      <c r="B11" t="s">
        <v>7381</v>
      </c>
      <c r="C11" t="s">
        <v>7384</v>
      </c>
      <c r="D11">
        <v>13</v>
      </c>
      <c r="E11">
        <v>6</v>
      </c>
      <c r="F11" t="s">
        <v>7385</v>
      </c>
      <c r="G11" t="s">
        <v>7386</v>
      </c>
      <c r="H11">
        <v>2</v>
      </c>
      <c r="I11">
        <v>-8</v>
      </c>
      <c r="J11">
        <v>0</v>
      </c>
      <c r="K11">
        <v>-5</v>
      </c>
      <c r="L11">
        <v>-4</v>
      </c>
      <c r="M11">
        <v>20</v>
      </c>
      <c r="N11">
        <v>13</v>
      </c>
      <c r="O11">
        <v>1.3</v>
      </c>
      <c r="P11" t="s">
        <v>7380</v>
      </c>
      <c r="R11">
        <v>14</v>
      </c>
      <c r="S11">
        <v>15</v>
      </c>
      <c r="T11">
        <v>19</v>
      </c>
      <c r="U11">
        <v>2</v>
      </c>
      <c r="V11">
        <v>4</v>
      </c>
      <c r="Z11">
        <v>1</v>
      </c>
      <c r="AA11">
        <v>1</v>
      </c>
    </row>
    <row r="12" spans="1:27">
      <c r="A12" t="s">
        <v>1418</v>
      </c>
      <c r="B12" t="s">
        <v>7383</v>
      </c>
      <c r="C12" t="s">
        <v>7384</v>
      </c>
      <c r="D12">
        <v>13</v>
      </c>
      <c r="E12">
        <v>6</v>
      </c>
      <c r="F12" t="s">
        <v>7385</v>
      </c>
      <c r="G12" t="s">
        <v>7386</v>
      </c>
      <c r="H12">
        <v>2</v>
      </c>
      <c r="I12">
        <v>-8</v>
      </c>
      <c r="J12">
        <v>0</v>
      </c>
      <c r="K12">
        <v>-5</v>
      </c>
      <c r="L12">
        <v>-4</v>
      </c>
      <c r="M12">
        <v>20</v>
      </c>
      <c r="N12">
        <v>13</v>
      </c>
      <c r="O12">
        <v>1.3</v>
      </c>
      <c r="P12" t="s">
        <v>7380</v>
      </c>
      <c r="R12">
        <v>14</v>
      </c>
      <c r="S12">
        <v>15</v>
      </c>
      <c r="T12">
        <v>19</v>
      </c>
      <c r="U12">
        <v>2</v>
      </c>
      <c r="V12">
        <v>4</v>
      </c>
      <c r="Z12">
        <v>1</v>
      </c>
      <c r="AA12">
        <v>1</v>
      </c>
    </row>
    <row r="13" spans="1:27">
      <c r="A13" t="s">
        <v>1418</v>
      </c>
      <c r="B13" t="s">
        <v>7383</v>
      </c>
      <c r="C13" t="s">
        <v>7387</v>
      </c>
      <c r="D13">
        <v>11</v>
      </c>
      <c r="E13">
        <v>5.5</v>
      </c>
      <c r="F13" t="s">
        <v>5498</v>
      </c>
      <c r="G13" t="s">
        <v>5498</v>
      </c>
      <c r="H13">
        <v>2</v>
      </c>
      <c r="I13">
        <v>-8</v>
      </c>
      <c r="J13">
        <v>0</v>
      </c>
      <c r="K13">
        <v>-3</v>
      </c>
      <c r="L13">
        <v>-3</v>
      </c>
      <c r="M13">
        <v>15</v>
      </c>
      <c r="N13">
        <v>9</v>
      </c>
      <c r="O13">
        <v>1.1599999999999999</v>
      </c>
      <c r="P13" t="s">
        <v>7380</v>
      </c>
      <c r="Q13" t="s">
        <v>7366</v>
      </c>
      <c r="R13">
        <v>14</v>
      </c>
      <c r="S13">
        <v>14</v>
      </c>
      <c r="T13">
        <v>24</v>
      </c>
      <c r="U13">
        <v>3</v>
      </c>
      <c r="V13">
        <v>8</v>
      </c>
      <c r="W13" t="s">
        <v>5468</v>
      </c>
      <c r="Z13">
        <v>1</v>
      </c>
      <c r="AA13">
        <v>1</v>
      </c>
    </row>
    <row r="14" spans="1:27">
      <c r="A14" t="s">
        <v>1420</v>
      </c>
      <c r="B14" t="s">
        <v>7388</v>
      </c>
      <c r="C14" t="s">
        <v>7389</v>
      </c>
      <c r="D14">
        <v>10</v>
      </c>
      <c r="E14">
        <v>4</v>
      </c>
      <c r="F14" t="s">
        <v>5499</v>
      </c>
      <c r="G14" t="s">
        <v>5496</v>
      </c>
      <c r="H14">
        <v>2</v>
      </c>
      <c r="I14">
        <v>-8</v>
      </c>
      <c r="J14">
        <v>0</v>
      </c>
      <c r="K14">
        <v>-3</v>
      </c>
      <c r="L14">
        <v>-4</v>
      </c>
      <c r="M14">
        <v>13</v>
      </c>
      <c r="N14">
        <v>8</v>
      </c>
      <c r="O14">
        <v>1</v>
      </c>
      <c r="P14">
        <v>0</v>
      </c>
      <c r="R14">
        <v>14</v>
      </c>
      <c r="S14">
        <v>14</v>
      </c>
      <c r="T14">
        <v>20</v>
      </c>
      <c r="U14">
        <v>2</v>
      </c>
      <c r="V14">
        <v>8</v>
      </c>
      <c r="Z14">
        <v>1</v>
      </c>
      <c r="AA14">
        <v>1</v>
      </c>
    </row>
    <row r="15" spans="1:27">
      <c r="A15" t="s">
        <v>1418</v>
      </c>
      <c r="B15" t="s">
        <v>7383</v>
      </c>
      <c r="C15" t="s">
        <v>7389</v>
      </c>
      <c r="D15">
        <v>10</v>
      </c>
      <c r="E15">
        <v>4</v>
      </c>
      <c r="F15" t="s">
        <v>5499</v>
      </c>
      <c r="G15" t="s">
        <v>5496</v>
      </c>
      <c r="H15">
        <v>2</v>
      </c>
      <c r="I15">
        <v>-8</v>
      </c>
      <c r="J15">
        <v>0</v>
      </c>
      <c r="K15">
        <v>-3</v>
      </c>
      <c r="L15">
        <v>-4</v>
      </c>
      <c r="M15">
        <v>13</v>
      </c>
      <c r="N15">
        <v>8</v>
      </c>
      <c r="O15">
        <v>1</v>
      </c>
      <c r="P15">
        <v>0</v>
      </c>
      <c r="R15">
        <v>14</v>
      </c>
      <c r="S15">
        <v>14</v>
      </c>
      <c r="T15">
        <v>20</v>
      </c>
      <c r="U15">
        <v>2</v>
      </c>
      <c r="V15">
        <v>8</v>
      </c>
      <c r="Z15">
        <v>1</v>
      </c>
      <c r="AA15">
        <v>1</v>
      </c>
    </row>
    <row r="16" spans="1:27">
      <c r="A16" t="s">
        <v>1415</v>
      </c>
      <c r="B16" t="s">
        <v>7369</v>
      </c>
      <c r="C16" t="s">
        <v>6470</v>
      </c>
      <c r="D16">
        <v>4</v>
      </c>
      <c r="E16">
        <v>5</v>
      </c>
      <c r="F16" t="s">
        <v>5500</v>
      </c>
      <c r="H16">
        <v>3</v>
      </c>
      <c r="I16">
        <v>-5</v>
      </c>
      <c r="J16">
        <v>0</v>
      </c>
      <c r="K16">
        <v>-5</v>
      </c>
      <c r="L16">
        <v>-5</v>
      </c>
      <c r="M16">
        <v>12</v>
      </c>
      <c r="N16">
        <v>8</v>
      </c>
      <c r="O16">
        <v>0.4</v>
      </c>
      <c r="P16">
        <v>6</v>
      </c>
      <c r="Q16" t="s">
        <v>7371</v>
      </c>
      <c r="R16">
        <v>16</v>
      </c>
      <c r="S16">
        <v>7</v>
      </c>
      <c r="T16">
        <v>6</v>
      </c>
      <c r="U16">
        <v>0.6</v>
      </c>
      <c r="V16">
        <v>1</v>
      </c>
      <c r="Z16">
        <v>1</v>
      </c>
      <c r="AA16">
        <v>1</v>
      </c>
    </row>
    <row r="17" spans="1:27">
      <c r="A17" t="s">
        <v>1415</v>
      </c>
      <c r="B17" t="s">
        <v>7377</v>
      </c>
      <c r="C17" t="s">
        <v>7390</v>
      </c>
      <c r="D17">
        <v>13</v>
      </c>
      <c r="E17">
        <v>6.5</v>
      </c>
      <c r="F17" t="s">
        <v>5500</v>
      </c>
      <c r="G17" t="s">
        <v>5496</v>
      </c>
      <c r="H17">
        <v>2</v>
      </c>
      <c r="I17">
        <v>-8</v>
      </c>
      <c r="J17">
        <v>0</v>
      </c>
      <c r="K17">
        <v>-6</v>
      </c>
      <c r="L17">
        <v>-5</v>
      </c>
      <c r="M17">
        <v>24</v>
      </c>
      <c r="N17">
        <v>14</v>
      </c>
      <c r="O17">
        <v>1.4</v>
      </c>
      <c r="P17" t="s">
        <v>7380</v>
      </c>
      <c r="Q17" t="s">
        <v>7371</v>
      </c>
      <c r="R17">
        <v>18</v>
      </c>
      <c r="S17">
        <v>7</v>
      </c>
      <c r="T17">
        <v>18</v>
      </c>
      <c r="U17">
        <v>2</v>
      </c>
      <c r="V17">
        <v>2</v>
      </c>
      <c r="Z17">
        <v>1</v>
      </c>
      <c r="AA17">
        <v>1</v>
      </c>
    </row>
    <row r="18" spans="1:27">
      <c r="A18" t="s">
        <v>1420</v>
      </c>
      <c r="B18" t="s">
        <v>7391</v>
      </c>
      <c r="C18" t="s">
        <v>7390</v>
      </c>
      <c r="D18">
        <v>13</v>
      </c>
      <c r="E18">
        <v>6.5</v>
      </c>
      <c r="F18" t="s">
        <v>5500</v>
      </c>
      <c r="G18" t="s">
        <v>5496</v>
      </c>
      <c r="H18">
        <v>2</v>
      </c>
      <c r="I18">
        <v>-8</v>
      </c>
      <c r="J18">
        <v>0</v>
      </c>
      <c r="K18">
        <v>-6</v>
      </c>
      <c r="L18">
        <v>-5</v>
      </c>
      <c r="M18">
        <v>24</v>
      </c>
      <c r="N18">
        <v>14</v>
      </c>
      <c r="O18">
        <v>1.4</v>
      </c>
      <c r="P18" t="s">
        <v>7380</v>
      </c>
      <c r="Q18" t="s">
        <v>7371</v>
      </c>
      <c r="R18">
        <v>18</v>
      </c>
      <c r="S18">
        <v>7</v>
      </c>
      <c r="T18">
        <v>18</v>
      </c>
      <c r="U18">
        <v>2</v>
      </c>
      <c r="V18">
        <v>2</v>
      </c>
      <c r="Z18">
        <v>1</v>
      </c>
      <c r="AA18">
        <v>1</v>
      </c>
    </row>
    <row r="19" spans="1:27">
      <c r="A19" t="s">
        <v>1418</v>
      </c>
      <c r="B19" t="s">
        <v>7381</v>
      </c>
      <c r="C19" t="s">
        <v>7392</v>
      </c>
      <c r="D19">
        <v>9</v>
      </c>
      <c r="E19">
        <v>6</v>
      </c>
      <c r="F19" t="s">
        <v>5498</v>
      </c>
      <c r="G19" t="s">
        <v>5498</v>
      </c>
      <c r="H19">
        <v>3</v>
      </c>
      <c r="I19">
        <v>-4</v>
      </c>
      <c r="J19">
        <v>0</v>
      </c>
      <c r="K19">
        <v>-4</v>
      </c>
      <c r="L19">
        <v>-4</v>
      </c>
      <c r="M19">
        <v>14</v>
      </c>
      <c r="N19">
        <v>10</v>
      </c>
      <c r="O19">
        <v>0.9</v>
      </c>
      <c r="P19">
        <v>2</v>
      </c>
      <c r="R19">
        <v>16</v>
      </c>
      <c r="S19">
        <v>15</v>
      </c>
      <c r="T19">
        <v>14</v>
      </c>
      <c r="U19">
        <v>1</v>
      </c>
      <c r="V19">
        <v>4</v>
      </c>
      <c r="Z19">
        <v>1</v>
      </c>
      <c r="AA19">
        <v>1</v>
      </c>
    </row>
    <row r="20" spans="1:27">
      <c r="A20" t="s">
        <v>1418</v>
      </c>
      <c r="B20" t="s">
        <v>7383</v>
      </c>
      <c r="C20" t="s">
        <v>7393</v>
      </c>
      <c r="D20">
        <v>16</v>
      </c>
      <c r="E20">
        <v>7.5</v>
      </c>
      <c r="F20" t="s">
        <v>7385</v>
      </c>
      <c r="G20" t="s">
        <v>5499</v>
      </c>
      <c r="H20">
        <v>1.5</v>
      </c>
      <c r="I20">
        <v>-11</v>
      </c>
      <c r="J20">
        <v>0</v>
      </c>
      <c r="K20">
        <v>-7</v>
      </c>
      <c r="L20">
        <v>-6</v>
      </c>
      <c r="M20">
        <v>28</v>
      </c>
      <c r="N20">
        <v>16</v>
      </c>
      <c r="O20">
        <v>1.6</v>
      </c>
      <c r="P20" t="s">
        <v>7380</v>
      </c>
      <c r="R20">
        <v>17</v>
      </c>
      <c r="S20">
        <v>13</v>
      </c>
      <c r="T20">
        <v>24</v>
      </c>
      <c r="U20">
        <v>2.5</v>
      </c>
      <c r="V20">
        <v>5</v>
      </c>
      <c r="Z20">
        <v>1</v>
      </c>
      <c r="AA20">
        <v>1</v>
      </c>
    </row>
    <row r="21" spans="1:27">
      <c r="A21" t="s">
        <v>1418</v>
      </c>
      <c r="B21" t="s">
        <v>7383</v>
      </c>
      <c r="C21" t="s">
        <v>7394</v>
      </c>
      <c r="D21">
        <v>14</v>
      </c>
      <c r="E21">
        <v>6.5</v>
      </c>
      <c r="F21" t="s">
        <v>7395</v>
      </c>
      <c r="H21">
        <v>2</v>
      </c>
      <c r="I21">
        <v>-8</v>
      </c>
      <c r="J21">
        <v>0</v>
      </c>
      <c r="K21">
        <v>-4</v>
      </c>
      <c r="L21">
        <v>-4</v>
      </c>
      <c r="M21">
        <v>22</v>
      </c>
      <c r="N21">
        <v>13</v>
      </c>
      <c r="O21">
        <v>1.35</v>
      </c>
      <c r="P21" t="s">
        <v>7380</v>
      </c>
      <c r="R21">
        <v>16</v>
      </c>
      <c r="S21">
        <v>14</v>
      </c>
      <c r="T21">
        <v>25</v>
      </c>
      <c r="U21">
        <v>1.2</v>
      </c>
      <c r="V21">
        <v>5</v>
      </c>
      <c r="Z21">
        <v>1</v>
      </c>
      <c r="AA21">
        <v>1</v>
      </c>
    </row>
    <row r="22" spans="1:27">
      <c r="A22" t="s">
        <v>1422</v>
      </c>
      <c r="B22" t="s">
        <v>7367</v>
      </c>
      <c r="C22" t="s">
        <v>7396</v>
      </c>
      <c r="D22">
        <v>13</v>
      </c>
      <c r="E22">
        <v>3.5</v>
      </c>
      <c r="F22" t="s">
        <v>7385</v>
      </c>
      <c r="H22">
        <v>7</v>
      </c>
      <c r="I22">
        <v>-2</v>
      </c>
      <c r="J22">
        <v>0</v>
      </c>
      <c r="K22">
        <v>-2</v>
      </c>
      <c r="L22">
        <v>0</v>
      </c>
      <c r="M22">
        <v>9</v>
      </c>
      <c r="N22">
        <v>6</v>
      </c>
      <c r="O22">
        <v>1.2</v>
      </c>
      <c r="P22">
        <v>1</v>
      </c>
      <c r="R22">
        <v>7</v>
      </c>
      <c r="S22">
        <v>14</v>
      </c>
      <c r="T22">
        <v>18</v>
      </c>
      <c r="U22">
        <v>0.75</v>
      </c>
      <c r="V22">
        <v>4</v>
      </c>
      <c r="Z22">
        <v>1</v>
      </c>
      <c r="AA22">
        <v>1</v>
      </c>
    </row>
    <row r="23" spans="1:27">
      <c r="A23" t="s">
        <v>1422</v>
      </c>
      <c r="B23" t="s">
        <v>7397</v>
      </c>
      <c r="C23" t="s">
        <v>7398</v>
      </c>
      <c r="D23">
        <v>3</v>
      </c>
      <c r="E23">
        <v>2</v>
      </c>
      <c r="F23" t="s">
        <v>7385</v>
      </c>
      <c r="H23">
        <v>5</v>
      </c>
      <c r="I23">
        <v>-3</v>
      </c>
      <c r="J23">
        <v>0</v>
      </c>
      <c r="K23">
        <v>-1</v>
      </c>
      <c r="L23">
        <v>-6</v>
      </c>
      <c r="M23">
        <v>6</v>
      </c>
      <c r="N23">
        <v>4</v>
      </c>
      <c r="O23">
        <v>0.3</v>
      </c>
      <c r="P23">
        <v>8</v>
      </c>
      <c r="R23">
        <v>12</v>
      </c>
      <c r="S23">
        <v>17</v>
      </c>
      <c r="T23">
        <v>5</v>
      </c>
      <c r="U23">
        <v>0.3</v>
      </c>
      <c r="V23">
        <v>1</v>
      </c>
      <c r="Z23">
        <v>1</v>
      </c>
      <c r="AA23">
        <v>1</v>
      </c>
    </row>
    <row r="24" spans="1:27">
      <c r="A24" t="s">
        <v>1422</v>
      </c>
      <c r="B24" t="s">
        <v>7397</v>
      </c>
      <c r="C24" t="s">
        <v>7399</v>
      </c>
      <c r="D24">
        <v>3</v>
      </c>
      <c r="E24">
        <v>1</v>
      </c>
      <c r="F24" t="s">
        <v>7385</v>
      </c>
      <c r="H24">
        <v>6</v>
      </c>
      <c r="I24">
        <v>-3</v>
      </c>
      <c r="J24">
        <v>0</v>
      </c>
      <c r="K24">
        <v>-1</v>
      </c>
      <c r="L24">
        <v>-6</v>
      </c>
      <c r="M24">
        <v>6</v>
      </c>
      <c r="N24">
        <v>4</v>
      </c>
      <c r="O24">
        <v>0.3</v>
      </c>
      <c r="P24">
        <v>8</v>
      </c>
      <c r="Q24" t="s">
        <v>7400</v>
      </c>
      <c r="R24">
        <v>12</v>
      </c>
      <c r="S24">
        <v>15</v>
      </c>
      <c r="T24">
        <v>7</v>
      </c>
      <c r="U24">
        <v>0.4</v>
      </c>
      <c r="V24">
        <v>2</v>
      </c>
      <c r="W24" t="s">
        <v>5468</v>
      </c>
      <c r="Z24">
        <v>1</v>
      </c>
      <c r="AA24">
        <v>1</v>
      </c>
    </row>
    <row r="25" spans="1:27">
      <c r="A25" t="s">
        <v>1422</v>
      </c>
      <c r="B25" t="s">
        <v>7397</v>
      </c>
      <c r="C25" t="s">
        <v>7401</v>
      </c>
      <c r="D25">
        <v>3</v>
      </c>
      <c r="E25">
        <v>2</v>
      </c>
      <c r="F25" t="s">
        <v>7385</v>
      </c>
      <c r="H25">
        <v>4</v>
      </c>
      <c r="I25">
        <v>-4</v>
      </c>
      <c r="J25">
        <v>0</v>
      </c>
      <c r="K25">
        <v>-2</v>
      </c>
      <c r="L25">
        <v>-5</v>
      </c>
      <c r="M25">
        <v>7</v>
      </c>
      <c r="N25">
        <v>5</v>
      </c>
      <c r="O25">
        <v>0.3</v>
      </c>
      <c r="P25">
        <v>7</v>
      </c>
      <c r="R25">
        <v>12</v>
      </c>
      <c r="S25">
        <v>18</v>
      </c>
      <c r="T25">
        <v>5</v>
      </c>
      <c r="U25">
        <v>0.4</v>
      </c>
      <c r="V25">
        <v>1</v>
      </c>
      <c r="W25" t="s">
        <v>5468</v>
      </c>
      <c r="Z25">
        <v>1</v>
      </c>
      <c r="AA25">
        <v>1</v>
      </c>
    </row>
    <row r="26" spans="1:27">
      <c r="A26" t="s">
        <v>1422</v>
      </c>
      <c r="B26" t="s">
        <v>7397</v>
      </c>
      <c r="C26" t="s">
        <v>7402</v>
      </c>
      <c r="D26">
        <v>3</v>
      </c>
      <c r="E26">
        <v>3</v>
      </c>
      <c r="F26" t="s">
        <v>5500</v>
      </c>
      <c r="H26">
        <v>3</v>
      </c>
      <c r="I26">
        <v>-7</v>
      </c>
      <c r="J26">
        <v>0</v>
      </c>
      <c r="K26">
        <v>-2</v>
      </c>
      <c r="L26">
        <v>-5</v>
      </c>
      <c r="M26">
        <v>10</v>
      </c>
      <c r="N26">
        <v>8</v>
      </c>
      <c r="O26">
        <v>0.35</v>
      </c>
      <c r="P26">
        <v>4</v>
      </c>
      <c r="R26">
        <v>13</v>
      </c>
      <c r="S26">
        <v>18</v>
      </c>
      <c r="T26">
        <v>15</v>
      </c>
      <c r="U26">
        <v>0.5</v>
      </c>
      <c r="V26">
        <v>4</v>
      </c>
      <c r="W26" t="s">
        <v>5468</v>
      </c>
      <c r="Z26">
        <v>1</v>
      </c>
      <c r="AA26">
        <v>1</v>
      </c>
    </row>
    <row r="27" spans="1:27">
      <c r="A27" t="s">
        <v>1415</v>
      </c>
      <c r="B27" t="s">
        <v>7369</v>
      </c>
      <c r="C27" t="s">
        <v>7403</v>
      </c>
      <c r="D27">
        <v>8</v>
      </c>
      <c r="E27">
        <v>6</v>
      </c>
      <c r="F27" t="s">
        <v>5500</v>
      </c>
      <c r="H27">
        <v>3</v>
      </c>
      <c r="I27">
        <v>-4</v>
      </c>
      <c r="J27">
        <v>0</v>
      </c>
      <c r="K27">
        <v>-5</v>
      </c>
      <c r="L27">
        <v>-6</v>
      </c>
      <c r="M27">
        <v>20</v>
      </c>
      <c r="N27">
        <v>14</v>
      </c>
      <c r="O27">
        <v>0.8</v>
      </c>
      <c r="P27">
        <v>0</v>
      </c>
      <c r="Q27" t="s">
        <v>7371</v>
      </c>
      <c r="R27">
        <v>17</v>
      </c>
      <c r="S27">
        <v>8</v>
      </c>
      <c r="T27">
        <v>15</v>
      </c>
      <c r="U27">
        <v>2.2000000000000002</v>
      </c>
      <c r="V27">
        <v>2.5</v>
      </c>
      <c r="Z27">
        <v>1</v>
      </c>
      <c r="AA27">
        <v>1</v>
      </c>
    </row>
    <row r="28" spans="1:27">
      <c r="A28" t="s">
        <v>1415</v>
      </c>
      <c r="B28" t="s">
        <v>7369</v>
      </c>
      <c r="C28" t="s">
        <v>7404</v>
      </c>
      <c r="D28">
        <v>9</v>
      </c>
      <c r="E28">
        <v>7.5</v>
      </c>
      <c r="F28" t="s">
        <v>5500</v>
      </c>
      <c r="G28" t="s">
        <v>7385</v>
      </c>
      <c r="H28">
        <v>2</v>
      </c>
      <c r="I28">
        <v>-12</v>
      </c>
      <c r="J28">
        <v>0</v>
      </c>
      <c r="K28">
        <v>-7</v>
      </c>
      <c r="L28">
        <v>-6</v>
      </c>
      <c r="M28">
        <v>28</v>
      </c>
      <c r="N28">
        <v>16</v>
      </c>
      <c r="O28">
        <v>0.9</v>
      </c>
      <c r="P28" t="s">
        <v>7380</v>
      </c>
      <c r="Q28" t="s">
        <v>7371</v>
      </c>
      <c r="R28">
        <v>22</v>
      </c>
      <c r="S28">
        <v>8</v>
      </c>
      <c r="T28">
        <v>19</v>
      </c>
      <c r="U28">
        <v>2.5</v>
      </c>
      <c r="V28">
        <v>3</v>
      </c>
      <c r="W28" t="s">
        <v>5471</v>
      </c>
      <c r="Z28">
        <v>1</v>
      </c>
      <c r="AA28">
        <v>1</v>
      </c>
    </row>
    <row r="29" spans="1:27">
      <c r="A29" t="s">
        <v>1415</v>
      </c>
      <c r="B29" t="s">
        <v>7369</v>
      </c>
      <c r="C29" t="s">
        <v>7405</v>
      </c>
      <c r="D29">
        <v>5</v>
      </c>
      <c r="E29">
        <v>6</v>
      </c>
      <c r="F29" t="s">
        <v>5500</v>
      </c>
      <c r="G29" t="s">
        <v>7406</v>
      </c>
      <c r="H29">
        <v>3</v>
      </c>
      <c r="I29">
        <v>-11</v>
      </c>
      <c r="J29">
        <v>0</v>
      </c>
      <c r="K29">
        <v>-5</v>
      </c>
      <c r="L29">
        <v>-4</v>
      </c>
      <c r="M29">
        <v>18</v>
      </c>
      <c r="N29">
        <v>12</v>
      </c>
      <c r="O29">
        <v>0.55000000000000004</v>
      </c>
      <c r="P29">
        <v>3</v>
      </c>
      <c r="Q29" t="s">
        <v>7371</v>
      </c>
      <c r="R29">
        <v>18</v>
      </c>
      <c r="S29">
        <v>8</v>
      </c>
      <c r="T29">
        <v>19</v>
      </c>
      <c r="U29">
        <v>1.5</v>
      </c>
      <c r="V29">
        <v>3</v>
      </c>
      <c r="W29" t="s">
        <v>5471</v>
      </c>
      <c r="Z29">
        <v>1</v>
      </c>
      <c r="AA29">
        <v>1</v>
      </c>
    </row>
    <row r="30" spans="1:27">
      <c r="A30" t="s">
        <v>1420</v>
      </c>
      <c r="B30" t="s">
        <v>7391</v>
      </c>
      <c r="C30" t="s">
        <v>7407</v>
      </c>
      <c r="D30">
        <v>18</v>
      </c>
      <c r="E30">
        <v>7</v>
      </c>
      <c r="F30" t="s">
        <v>5500</v>
      </c>
      <c r="G30" t="s">
        <v>5486</v>
      </c>
      <c r="H30">
        <v>2</v>
      </c>
      <c r="I30">
        <v>-9</v>
      </c>
      <c r="J30">
        <v>0</v>
      </c>
      <c r="K30">
        <v>-6</v>
      </c>
      <c r="L30">
        <v>-6</v>
      </c>
      <c r="M30">
        <v>36</v>
      </c>
      <c r="N30">
        <v>16</v>
      </c>
      <c r="O30">
        <v>1.8</v>
      </c>
      <c r="P30" t="s">
        <v>7380</v>
      </c>
      <c r="Q30" t="s">
        <v>7371</v>
      </c>
      <c r="R30">
        <v>17</v>
      </c>
      <c r="S30">
        <v>7</v>
      </c>
      <c r="T30">
        <v>19</v>
      </c>
      <c r="U30">
        <v>3</v>
      </c>
      <c r="V30">
        <v>5</v>
      </c>
      <c r="Z30">
        <v>1</v>
      </c>
      <c r="AA30">
        <v>1</v>
      </c>
    </row>
    <row r="31" spans="1:27">
      <c r="A31" t="s">
        <v>1420</v>
      </c>
      <c r="B31" t="s">
        <v>7388</v>
      </c>
      <c r="C31" t="s">
        <v>7408</v>
      </c>
      <c r="D31">
        <v>10</v>
      </c>
      <c r="E31">
        <v>6</v>
      </c>
      <c r="F31" t="s">
        <v>7385</v>
      </c>
      <c r="G31" t="s">
        <v>5497</v>
      </c>
      <c r="H31">
        <v>3</v>
      </c>
      <c r="I31">
        <v>-7</v>
      </c>
      <c r="J31">
        <v>0</v>
      </c>
      <c r="K31">
        <v>-4</v>
      </c>
      <c r="L31">
        <v>-4</v>
      </c>
      <c r="M31">
        <v>46</v>
      </c>
      <c r="N31">
        <v>18</v>
      </c>
      <c r="O31">
        <v>1.8</v>
      </c>
      <c r="P31" t="s">
        <v>7380</v>
      </c>
      <c r="Q31" t="s">
        <v>7371</v>
      </c>
      <c r="R31">
        <v>16</v>
      </c>
      <c r="S31">
        <v>7</v>
      </c>
      <c r="T31">
        <v>16</v>
      </c>
      <c r="U31">
        <v>3</v>
      </c>
      <c r="V31">
        <v>5</v>
      </c>
      <c r="Z31">
        <v>1</v>
      </c>
      <c r="AA31">
        <v>1</v>
      </c>
    </row>
    <row r="32" spans="1:27">
      <c r="A32" t="s">
        <v>1420</v>
      </c>
      <c r="B32" t="s">
        <v>7391</v>
      </c>
      <c r="C32" t="s">
        <v>7409</v>
      </c>
      <c r="D32">
        <v>10</v>
      </c>
      <c r="E32">
        <v>5</v>
      </c>
      <c r="F32" t="s">
        <v>7385</v>
      </c>
      <c r="G32" t="s">
        <v>5496</v>
      </c>
      <c r="H32">
        <v>4</v>
      </c>
      <c r="I32">
        <v>-6</v>
      </c>
      <c r="J32">
        <v>0</v>
      </c>
      <c r="K32">
        <v>-5</v>
      </c>
      <c r="L32">
        <v>-5</v>
      </c>
      <c r="M32">
        <v>33</v>
      </c>
      <c r="N32">
        <v>11</v>
      </c>
      <c r="O32">
        <v>1.8</v>
      </c>
      <c r="P32" t="s">
        <v>7380</v>
      </c>
      <c r="Q32" t="s">
        <v>7410</v>
      </c>
      <c r="R32">
        <v>12</v>
      </c>
      <c r="S32">
        <v>6</v>
      </c>
      <c r="T32">
        <v>12</v>
      </c>
      <c r="U32">
        <v>1</v>
      </c>
      <c r="V32">
        <v>1</v>
      </c>
      <c r="Z32">
        <v>1</v>
      </c>
      <c r="AA32">
        <v>1</v>
      </c>
    </row>
    <row r="33" spans="1:27">
      <c r="A33" t="s">
        <v>1418</v>
      </c>
      <c r="B33" t="s">
        <v>7383</v>
      </c>
      <c r="C33" t="s">
        <v>7409</v>
      </c>
      <c r="D33">
        <v>10</v>
      </c>
      <c r="E33">
        <v>5</v>
      </c>
      <c r="F33" t="s">
        <v>7385</v>
      </c>
      <c r="G33" t="s">
        <v>5496</v>
      </c>
      <c r="H33">
        <v>4</v>
      </c>
      <c r="I33">
        <v>-6</v>
      </c>
      <c r="J33">
        <v>0</v>
      </c>
      <c r="K33">
        <v>-5</v>
      </c>
      <c r="L33">
        <v>-5</v>
      </c>
      <c r="M33">
        <v>33</v>
      </c>
      <c r="N33">
        <v>11</v>
      </c>
      <c r="O33">
        <v>1.8</v>
      </c>
      <c r="P33" t="s">
        <v>7380</v>
      </c>
      <c r="Q33" t="s">
        <v>7410</v>
      </c>
      <c r="R33">
        <v>12</v>
      </c>
      <c r="S33">
        <v>6</v>
      </c>
      <c r="T33">
        <v>12</v>
      </c>
      <c r="U33">
        <v>1</v>
      </c>
      <c r="V33">
        <v>1</v>
      </c>
      <c r="Z33">
        <v>1</v>
      </c>
      <c r="AA33">
        <v>1</v>
      </c>
    </row>
    <row r="34" spans="1:27">
      <c r="A34" t="s">
        <v>1415</v>
      </c>
      <c r="B34" t="s">
        <v>7377</v>
      </c>
      <c r="C34" t="s">
        <v>7411</v>
      </c>
      <c r="D34">
        <v>16</v>
      </c>
      <c r="E34">
        <v>8</v>
      </c>
      <c r="F34" t="s">
        <v>7385</v>
      </c>
      <c r="G34" t="s">
        <v>5499</v>
      </c>
      <c r="H34">
        <v>1.5</v>
      </c>
      <c r="I34">
        <v>-11</v>
      </c>
      <c r="J34">
        <v>2</v>
      </c>
      <c r="K34">
        <v>-6</v>
      </c>
      <c r="L34">
        <v>-7</v>
      </c>
      <c r="M34">
        <v>35</v>
      </c>
      <c r="N34">
        <v>20</v>
      </c>
      <c r="O34">
        <v>1.8</v>
      </c>
      <c r="P34" t="s">
        <v>7380</v>
      </c>
      <c r="Q34" t="s">
        <v>7371</v>
      </c>
      <c r="R34">
        <v>14</v>
      </c>
      <c r="S34">
        <v>11</v>
      </c>
      <c r="T34">
        <v>1</v>
      </c>
      <c r="U34">
        <v>0.25</v>
      </c>
      <c r="V34">
        <v>1</v>
      </c>
      <c r="W34" t="s">
        <v>5469</v>
      </c>
      <c r="Z34">
        <v>1</v>
      </c>
      <c r="AA34">
        <v>1</v>
      </c>
    </row>
    <row r="35" spans="1:27">
      <c r="A35" t="s">
        <v>1424</v>
      </c>
      <c r="B35" t="s">
        <v>7412</v>
      </c>
      <c r="C35" t="s">
        <v>7413</v>
      </c>
      <c r="D35">
        <v>28</v>
      </c>
      <c r="E35">
        <v>0</v>
      </c>
      <c r="F35" t="s">
        <v>5486</v>
      </c>
      <c r="G35" t="s">
        <v>5486</v>
      </c>
      <c r="H35">
        <v>5</v>
      </c>
      <c r="I35">
        <v>-1</v>
      </c>
      <c r="J35">
        <v>0</v>
      </c>
      <c r="K35">
        <v>-7</v>
      </c>
      <c r="L35">
        <v>-15</v>
      </c>
      <c r="M35">
        <v>10</v>
      </c>
      <c r="N35">
        <v>7</v>
      </c>
      <c r="O35">
        <v>3</v>
      </c>
      <c r="P35">
        <v>6</v>
      </c>
      <c r="R35">
        <v>1</v>
      </c>
      <c r="S35">
        <v>7</v>
      </c>
      <c r="T35">
        <v>7</v>
      </c>
      <c r="U35">
        <v>0.1</v>
      </c>
      <c r="V35">
        <v>0.5</v>
      </c>
      <c r="Z35">
        <v>1</v>
      </c>
      <c r="AA35">
        <v>1</v>
      </c>
    </row>
    <row r="36" spans="1:27">
      <c r="A36" t="s">
        <v>1424</v>
      </c>
      <c r="B36" t="s">
        <v>7414</v>
      </c>
      <c r="C36" t="s">
        <v>7415</v>
      </c>
      <c r="E36">
        <v>11</v>
      </c>
      <c r="F36" t="s">
        <v>7416</v>
      </c>
      <c r="H36">
        <v>3</v>
      </c>
      <c r="I36">
        <v>-5</v>
      </c>
      <c r="J36">
        <v>0</v>
      </c>
      <c r="K36">
        <v>-7</v>
      </c>
      <c r="L36">
        <v>9</v>
      </c>
      <c r="M36">
        <v>19</v>
      </c>
      <c r="P36" t="s">
        <v>7380</v>
      </c>
      <c r="R36">
        <v>15</v>
      </c>
      <c r="S36">
        <v>13</v>
      </c>
      <c r="T36">
        <v>15</v>
      </c>
      <c r="X36">
        <v>17</v>
      </c>
      <c r="Y36">
        <v>600</v>
      </c>
      <c r="Z36">
        <v>1</v>
      </c>
      <c r="AA36">
        <v>1</v>
      </c>
    </row>
    <row r="37" spans="1:27">
      <c r="A37" t="s">
        <v>1424</v>
      </c>
      <c r="B37" t="s">
        <v>7365</v>
      </c>
      <c r="C37" t="s">
        <v>7417</v>
      </c>
      <c r="D37">
        <v>4</v>
      </c>
      <c r="E37">
        <v>3</v>
      </c>
      <c r="F37" t="s">
        <v>5497</v>
      </c>
      <c r="G37" t="s">
        <v>5496</v>
      </c>
      <c r="H37">
        <v>3</v>
      </c>
      <c r="I37">
        <v>-5</v>
      </c>
      <c r="J37">
        <v>0</v>
      </c>
      <c r="K37">
        <v>-3</v>
      </c>
      <c r="L37">
        <v>-6</v>
      </c>
      <c r="M37">
        <v>8</v>
      </c>
      <c r="O37">
        <v>0.4</v>
      </c>
      <c r="P37">
        <v>0</v>
      </c>
      <c r="R37">
        <v>7</v>
      </c>
      <c r="S37">
        <v>11</v>
      </c>
      <c r="T37">
        <v>8</v>
      </c>
      <c r="U37">
        <v>0.4</v>
      </c>
      <c r="V37">
        <v>1</v>
      </c>
      <c r="Z37">
        <v>1</v>
      </c>
      <c r="AA37">
        <v>1</v>
      </c>
    </row>
    <row r="38" spans="1:27">
      <c r="A38" t="s">
        <v>1424</v>
      </c>
      <c r="B38" t="s">
        <v>7414</v>
      </c>
      <c r="C38" t="s">
        <v>7418</v>
      </c>
      <c r="E38">
        <v>8</v>
      </c>
      <c r="F38" t="s">
        <v>5497</v>
      </c>
      <c r="G38" t="s">
        <v>5496</v>
      </c>
      <c r="H38">
        <v>3</v>
      </c>
      <c r="I38">
        <v>-5</v>
      </c>
      <c r="J38">
        <v>0</v>
      </c>
      <c r="K38">
        <v>-6</v>
      </c>
      <c r="L38">
        <v>7</v>
      </c>
      <c r="M38">
        <v>17</v>
      </c>
      <c r="P38" t="s">
        <v>7380</v>
      </c>
      <c r="R38">
        <v>15</v>
      </c>
      <c r="S38">
        <v>15</v>
      </c>
      <c r="T38">
        <v>15</v>
      </c>
      <c r="X38">
        <v>16</v>
      </c>
      <c r="Y38">
        <v>400</v>
      </c>
      <c r="Z38">
        <v>1</v>
      </c>
      <c r="AA38">
        <v>1</v>
      </c>
    </row>
    <row r="39" spans="1:27">
      <c r="A39" t="s">
        <v>1424</v>
      </c>
      <c r="B39" t="s">
        <v>7414</v>
      </c>
      <c r="C39" t="s">
        <v>7419</v>
      </c>
      <c r="E39">
        <v>6</v>
      </c>
      <c r="F39" t="s">
        <v>5497</v>
      </c>
      <c r="G39" t="s">
        <v>5496</v>
      </c>
      <c r="H39">
        <v>3</v>
      </c>
      <c r="I39">
        <v>-5</v>
      </c>
      <c r="J39">
        <v>0</v>
      </c>
      <c r="K39">
        <v>-5</v>
      </c>
      <c r="L39">
        <v>6</v>
      </c>
      <c r="M39">
        <v>15</v>
      </c>
      <c r="P39" t="s">
        <v>7380</v>
      </c>
      <c r="R39">
        <v>15</v>
      </c>
      <c r="S39">
        <v>15</v>
      </c>
      <c r="T39">
        <v>15</v>
      </c>
      <c r="X39">
        <v>15</v>
      </c>
      <c r="Y39">
        <v>300</v>
      </c>
      <c r="Z39">
        <v>1</v>
      </c>
      <c r="AA39">
        <v>1</v>
      </c>
    </row>
    <row r="40" spans="1:27">
      <c r="A40" t="s">
        <v>1420</v>
      </c>
      <c r="B40" t="s">
        <v>7373</v>
      </c>
      <c r="C40" t="s">
        <v>7420</v>
      </c>
      <c r="D40">
        <v>18</v>
      </c>
      <c r="E40">
        <v>5</v>
      </c>
      <c r="F40" t="s">
        <v>5499</v>
      </c>
      <c r="G40" t="s">
        <v>5497</v>
      </c>
      <c r="H40">
        <v>3</v>
      </c>
      <c r="I40">
        <v>-6</v>
      </c>
      <c r="J40">
        <v>0</v>
      </c>
      <c r="K40">
        <v>-5</v>
      </c>
      <c r="L40">
        <v>-3</v>
      </c>
      <c r="M40">
        <v>22</v>
      </c>
      <c r="N40">
        <v>12</v>
      </c>
      <c r="O40">
        <v>1.8</v>
      </c>
      <c r="P40" t="s">
        <v>7380</v>
      </c>
      <c r="Q40" t="s">
        <v>7371</v>
      </c>
      <c r="R40">
        <v>7</v>
      </c>
      <c r="S40">
        <v>7</v>
      </c>
      <c r="T40">
        <v>5</v>
      </c>
      <c r="U40">
        <v>1</v>
      </c>
      <c r="V40">
        <v>1.5</v>
      </c>
      <c r="Z40">
        <v>1</v>
      </c>
      <c r="AA40">
        <v>1</v>
      </c>
    </row>
    <row r="41" spans="1:27">
      <c r="A41" t="s">
        <v>1415</v>
      </c>
      <c r="B41" t="s">
        <v>7421</v>
      </c>
      <c r="C41" t="s">
        <v>7422</v>
      </c>
      <c r="D41">
        <v>16</v>
      </c>
      <c r="E41">
        <v>4.5</v>
      </c>
      <c r="F41" t="s">
        <v>5498</v>
      </c>
      <c r="G41" t="s">
        <v>5496</v>
      </c>
      <c r="H41">
        <v>3</v>
      </c>
      <c r="I41">
        <v>-3</v>
      </c>
      <c r="J41">
        <v>0</v>
      </c>
      <c r="K41">
        <v>-6</v>
      </c>
      <c r="L41">
        <v>-7</v>
      </c>
      <c r="M41">
        <v>30</v>
      </c>
      <c r="N41">
        <v>10</v>
      </c>
      <c r="O41">
        <v>1.6</v>
      </c>
      <c r="P41" t="s">
        <v>7380</v>
      </c>
      <c r="Q41" t="s">
        <v>7371</v>
      </c>
      <c r="R41">
        <v>3</v>
      </c>
      <c r="S41">
        <v>6</v>
      </c>
      <c r="T41">
        <v>4</v>
      </c>
      <c r="U41">
        <v>0.2</v>
      </c>
      <c r="V41">
        <v>1</v>
      </c>
      <c r="Z41">
        <v>1</v>
      </c>
      <c r="AA41">
        <v>1</v>
      </c>
    </row>
    <row r="42" spans="1:27">
      <c r="A42" t="s">
        <v>1418</v>
      </c>
      <c r="B42" t="s">
        <v>7381</v>
      </c>
      <c r="C42" t="s">
        <v>7423</v>
      </c>
      <c r="D42">
        <v>12</v>
      </c>
      <c r="E42">
        <v>6</v>
      </c>
      <c r="F42" t="s">
        <v>5499</v>
      </c>
      <c r="G42" t="s">
        <v>7386</v>
      </c>
      <c r="H42">
        <v>2</v>
      </c>
      <c r="I42">
        <v>-8</v>
      </c>
      <c r="J42">
        <v>0</v>
      </c>
      <c r="K42">
        <v>-5</v>
      </c>
      <c r="L42">
        <v>-3</v>
      </c>
      <c r="M42">
        <v>15</v>
      </c>
      <c r="N42">
        <v>11</v>
      </c>
      <c r="O42">
        <v>1.2</v>
      </c>
      <c r="P42">
        <v>0</v>
      </c>
      <c r="R42">
        <v>15</v>
      </c>
      <c r="S42">
        <v>14</v>
      </c>
      <c r="T42">
        <v>19</v>
      </c>
      <c r="U42">
        <v>1.5</v>
      </c>
      <c r="V42">
        <v>4</v>
      </c>
      <c r="Z42">
        <v>1</v>
      </c>
      <c r="AA42">
        <v>1</v>
      </c>
    </row>
    <row r="43" spans="1:27">
      <c r="A43" t="s">
        <v>1418</v>
      </c>
      <c r="B43" t="s">
        <v>7383</v>
      </c>
      <c r="C43" t="s">
        <v>7423</v>
      </c>
      <c r="D43">
        <v>12</v>
      </c>
      <c r="E43">
        <v>6</v>
      </c>
      <c r="F43" t="s">
        <v>5499</v>
      </c>
      <c r="G43" t="s">
        <v>7386</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7424</v>
      </c>
      <c r="D44">
        <v>0</v>
      </c>
      <c r="E44">
        <v>0</v>
      </c>
      <c r="F44" t="s">
        <v>5496</v>
      </c>
      <c r="G44" t="s">
        <v>5486</v>
      </c>
      <c r="H44">
        <v>3</v>
      </c>
      <c r="I44">
        <v>-5</v>
      </c>
      <c r="J44">
        <v>0</v>
      </c>
      <c r="K44">
        <v>-3</v>
      </c>
      <c r="L44">
        <v>-11</v>
      </c>
      <c r="M44">
        <v>5</v>
      </c>
      <c r="O44">
        <v>0.02</v>
      </c>
      <c r="P44">
        <v>5</v>
      </c>
      <c r="R44">
        <v>5</v>
      </c>
      <c r="S44">
        <v>30</v>
      </c>
      <c r="T44" t="s">
        <v>7425</v>
      </c>
      <c r="U44" t="s">
        <v>7426</v>
      </c>
      <c r="V44" t="s">
        <v>7426</v>
      </c>
      <c r="Z44">
        <v>1</v>
      </c>
      <c r="AA44">
        <v>1</v>
      </c>
    </row>
    <row r="45" spans="1:27">
      <c r="A45" t="s">
        <v>1415</v>
      </c>
      <c r="B45" t="s">
        <v>7421</v>
      </c>
      <c r="C45" t="s">
        <v>7427</v>
      </c>
      <c r="D45">
        <v>14</v>
      </c>
      <c r="E45">
        <v>8</v>
      </c>
      <c r="F45" t="s">
        <v>5499</v>
      </c>
      <c r="G45" t="s">
        <v>5499</v>
      </c>
      <c r="H45">
        <v>1.5</v>
      </c>
      <c r="I45">
        <v>-10</v>
      </c>
      <c r="J45">
        <v>0</v>
      </c>
      <c r="K45">
        <v>-6</v>
      </c>
      <c r="L45">
        <v>-7</v>
      </c>
      <c r="M45">
        <v>32</v>
      </c>
      <c r="N45">
        <v>18</v>
      </c>
      <c r="O45">
        <v>1.5</v>
      </c>
      <c r="P45" t="s">
        <v>7380</v>
      </c>
      <c r="Q45" t="s">
        <v>7371</v>
      </c>
      <c r="R45">
        <v>14</v>
      </c>
      <c r="S45">
        <v>11</v>
      </c>
      <c r="T45">
        <v>4</v>
      </c>
      <c r="U45">
        <v>1</v>
      </c>
      <c r="V45">
        <v>1</v>
      </c>
      <c r="Z45">
        <v>1</v>
      </c>
      <c r="AA45">
        <v>1</v>
      </c>
    </row>
    <row r="46" spans="1:27">
      <c r="A46" t="s">
        <v>1415</v>
      </c>
      <c r="B46" t="s">
        <v>7421</v>
      </c>
      <c r="C46" t="s">
        <v>7428</v>
      </c>
      <c r="D46">
        <v>7</v>
      </c>
      <c r="E46">
        <v>3</v>
      </c>
      <c r="F46" t="s">
        <v>5496</v>
      </c>
      <c r="G46" t="s">
        <v>5496</v>
      </c>
      <c r="H46">
        <v>3</v>
      </c>
      <c r="I46">
        <v>-4</v>
      </c>
      <c r="J46">
        <v>0</v>
      </c>
      <c r="K46">
        <v>-4</v>
      </c>
      <c r="L46">
        <v>-4</v>
      </c>
      <c r="M46">
        <v>9</v>
      </c>
      <c r="N46">
        <v>6</v>
      </c>
      <c r="O46">
        <v>0.7</v>
      </c>
      <c r="P46">
        <v>4</v>
      </c>
      <c r="Q46" t="s">
        <v>7371</v>
      </c>
      <c r="R46">
        <v>7</v>
      </c>
      <c r="S46">
        <v>6</v>
      </c>
      <c r="T46">
        <v>4</v>
      </c>
      <c r="U46">
        <v>1</v>
      </c>
      <c r="V46">
        <v>1</v>
      </c>
      <c r="Z46">
        <v>1</v>
      </c>
      <c r="AA46">
        <v>1</v>
      </c>
    </row>
    <row r="47" spans="1:27">
      <c r="A47" t="s">
        <v>1415</v>
      </c>
      <c r="B47" t="s">
        <v>7421</v>
      </c>
      <c r="C47" t="s">
        <v>7429</v>
      </c>
      <c r="D47">
        <v>14</v>
      </c>
      <c r="E47">
        <v>6</v>
      </c>
      <c r="F47" t="s">
        <v>5498</v>
      </c>
      <c r="G47" t="s">
        <v>5498</v>
      </c>
      <c r="H47">
        <v>2</v>
      </c>
      <c r="I47">
        <v>-7</v>
      </c>
      <c r="J47">
        <v>0</v>
      </c>
      <c r="K47">
        <v>-6</v>
      </c>
      <c r="L47">
        <v>-6</v>
      </c>
      <c r="M47">
        <v>26</v>
      </c>
      <c r="N47">
        <v>16</v>
      </c>
      <c r="O47">
        <v>1.4</v>
      </c>
      <c r="P47" t="s">
        <v>7380</v>
      </c>
      <c r="Q47" t="s">
        <v>7371</v>
      </c>
      <c r="R47">
        <v>12</v>
      </c>
      <c r="S47">
        <v>8</v>
      </c>
      <c r="T47">
        <v>4</v>
      </c>
      <c r="U47">
        <v>1.5</v>
      </c>
      <c r="V47">
        <v>1.5</v>
      </c>
      <c r="Z47">
        <v>1</v>
      </c>
      <c r="AA47">
        <v>1</v>
      </c>
    </row>
    <row r="48" spans="1:27">
      <c r="A48" t="s">
        <v>1415</v>
      </c>
      <c r="B48" t="s">
        <v>7421</v>
      </c>
      <c r="C48" t="s">
        <v>7430</v>
      </c>
      <c r="D48">
        <v>7</v>
      </c>
      <c r="E48">
        <v>4</v>
      </c>
      <c r="F48" t="s">
        <v>5496</v>
      </c>
      <c r="G48" t="s">
        <v>5496</v>
      </c>
      <c r="H48">
        <v>3</v>
      </c>
      <c r="I48">
        <v>-4</v>
      </c>
      <c r="J48">
        <v>0</v>
      </c>
      <c r="K48">
        <v>-4</v>
      </c>
      <c r="L48">
        <v>-4</v>
      </c>
      <c r="M48">
        <v>11</v>
      </c>
      <c r="N48">
        <v>8</v>
      </c>
      <c r="O48">
        <v>0.7</v>
      </c>
      <c r="P48">
        <v>4</v>
      </c>
      <c r="R48">
        <v>7</v>
      </c>
      <c r="S48">
        <v>10</v>
      </c>
      <c r="T48">
        <v>0</v>
      </c>
      <c r="U48">
        <v>0.7</v>
      </c>
      <c r="V48">
        <v>0.1</v>
      </c>
      <c r="Z48">
        <v>1</v>
      </c>
      <c r="AA48">
        <v>1</v>
      </c>
    </row>
    <row r="49" spans="1:27">
      <c r="A49" t="s">
        <v>1415</v>
      </c>
      <c r="B49" t="s">
        <v>7369</v>
      </c>
      <c r="C49" t="s">
        <v>7431</v>
      </c>
      <c r="D49">
        <v>7</v>
      </c>
      <c r="E49">
        <v>4</v>
      </c>
      <c r="F49" t="s">
        <v>7379</v>
      </c>
      <c r="G49" t="s">
        <v>5496</v>
      </c>
      <c r="H49">
        <v>4</v>
      </c>
      <c r="I49">
        <v>-6</v>
      </c>
      <c r="J49">
        <v>0</v>
      </c>
      <c r="K49">
        <v>-4</v>
      </c>
      <c r="L49">
        <v>-4</v>
      </c>
      <c r="M49">
        <v>10</v>
      </c>
      <c r="N49">
        <v>7</v>
      </c>
      <c r="O49">
        <v>0.76</v>
      </c>
      <c r="P49">
        <v>3</v>
      </c>
      <c r="Q49" t="s">
        <v>7371</v>
      </c>
      <c r="R49">
        <v>16</v>
      </c>
      <c r="S49">
        <v>7</v>
      </c>
      <c r="T49">
        <v>7</v>
      </c>
      <c r="U49">
        <v>0.65</v>
      </c>
      <c r="V49">
        <v>1</v>
      </c>
      <c r="Z49">
        <v>1</v>
      </c>
      <c r="AA49">
        <v>1</v>
      </c>
    </row>
    <row r="50" spans="1:27">
      <c r="A50" t="s">
        <v>1415</v>
      </c>
      <c r="B50" t="s">
        <v>7432</v>
      </c>
      <c r="C50" t="s">
        <v>7433</v>
      </c>
      <c r="D50">
        <v>10</v>
      </c>
      <c r="E50">
        <v>5</v>
      </c>
      <c r="F50" t="s">
        <v>5497</v>
      </c>
      <c r="G50" t="s">
        <v>5486</v>
      </c>
      <c r="H50">
        <v>4</v>
      </c>
      <c r="I50">
        <v>-5</v>
      </c>
      <c r="J50">
        <v>0</v>
      </c>
      <c r="K50">
        <v>-8</v>
      </c>
      <c r="L50">
        <v>-15</v>
      </c>
      <c r="M50">
        <v>13</v>
      </c>
      <c r="N50">
        <v>10</v>
      </c>
      <c r="O50">
        <v>1.5</v>
      </c>
      <c r="P50">
        <v>0</v>
      </c>
      <c r="R50">
        <v>2</v>
      </c>
      <c r="S50">
        <v>4</v>
      </c>
      <c r="T50">
        <v>5</v>
      </c>
      <c r="U50">
        <v>2</v>
      </c>
      <c r="V50">
        <v>0.5</v>
      </c>
      <c r="Z50">
        <v>1</v>
      </c>
      <c r="AA50">
        <v>1</v>
      </c>
    </row>
    <row r="51" spans="1:27">
      <c r="A51" t="s">
        <v>1415</v>
      </c>
      <c r="B51" t="s">
        <v>7369</v>
      </c>
      <c r="C51" t="s">
        <v>7434</v>
      </c>
      <c r="D51">
        <v>2</v>
      </c>
      <c r="E51">
        <v>5</v>
      </c>
      <c r="F51" t="s">
        <v>5497</v>
      </c>
      <c r="G51" t="s">
        <v>5486</v>
      </c>
      <c r="H51">
        <v>4</v>
      </c>
      <c r="I51">
        <v>-5</v>
      </c>
      <c r="J51">
        <v>0</v>
      </c>
      <c r="K51">
        <v>-5</v>
      </c>
      <c r="L51">
        <v>-8</v>
      </c>
      <c r="M51">
        <v>11</v>
      </c>
      <c r="N51">
        <v>8</v>
      </c>
      <c r="O51">
        <v>0.2</v>
      </c>
      <c r="P51">
        <v>0</v>
      </c>
      <c r="R51">
        <v>7</v>
      </c>
      <c r="S51">
        <v>10</v>
      </c>
      <c r="T51">
        <v>5</v>
      </c>
      <c r="U51">
        <v>2</v>
      </c>
      <c r="V51">
        <v>0.5</v>
      </c>
      <c r="Z51">
        <v>1</v>
      </c>
      <c r="AA51">
        <v>1</v>
      </c>
    </row>
    <row r="52" spans="1:27">
      <c r="A52" t="s">
        <v>1424</v>
      </c>
      <c r="B52" t="s">
        <v>6488</v>
      </c>
      <c r="C52" t="s">
        <v>7434</v>
      </c>
      <c r="D52">
        <v>2</v>
      </c>
      <c r="E52">
        <v>5</v>
      </c>
      <c r="F52" t="s">
        <v>5497</v>
      </c>
      <c r="G52" t="s">
        <v>5486</v>
      </c>
      <c r="H52">
        <v>4</v>
      </c>
      <c r="I52">
        <v>-5</v>
      </c>
      <c r="J52">
        <v>0</v>
      </c>
      <c r="K52">
        <v>-5</v>
      </c>
      <c r="L52">
        <v>-8</v>
      </c>
      <c r="M52">
        <v>11</v>
      </c>
      <c r="N52">
        <v>8</v>
      </c>
      <c r="O52">
        <v>0.2</v>
      </c>
      <c r="P52">
        <v>0</v>
      </c>
      <c r="R52">
        <v>7</v>
      </c>
      <c r="S52">
        <v>10</v>
      </c>
      <c r="T52">
        <v>5</v>
      </c>
      <c r="U52">
        <v>2</v>
      </c>
      <c r="V52">
        <v>0.5</v>
      </c>
      <c r="Z52">
        <v>1</v>
      </c>
      <c r="AA52">
        <v>1</v>
      </c>
    </row>
    <row r="53" spans="1:27">
      <c r="A53" t="s">
        <v>1418</v>
      </c>
      <c r="B53" t="s">
        <v>7435</v>
      </c>
      <c r="C53" t="s">
        <v>7436</v>
      </c>
      <c r="D53">
        <v>8</v>
      </c>
      <c r="E53">
        <v>4</v>
      </c>
      <c r="F53" t="s">
        <v>5497</v>
      </c>
      <c r="G53" t="s">
        <v>5497</v>
      </c>
      <c r="H53">
        <v>3</v>
      </c>
      <c r="I53">
        <v>-4</v>
      </c>
      <c r="J53">
        <v>0</v>
      </c>
      <c r="K53">
        <v>-2</v>
      </c>
      <c r="L53">
        <v>-3</v>
      </c>
      <c r="M53">
        <v>9</v>
      </c>
      <c r="N53">
        <v>6</v>
      </c>
      <c r="O53">
        <v>0.8</v>
      </c>
      <c r="P53">
        <v>4</v>
      </c>
      <c r="R53">
        <v>14</v>
      </c>
      <c r="S53">
        <v>14</v>
      </c>
      <c r="T53">
        <v>12</v>
      </c>
      <c r="U53">
        <v>0.8</v>
      </c>
      <c r="V53">
        <v>3</v>
      </c>
      <c r="Z53">
        <v>1</v>
      </c>
      <c r="AA53">
        <v>1</v>
      </c>
    </row>
    <row r="54" spans="1:27">
      <c r="A54" t="s">
        <v>1418</v>
      </c>
      <c r="B54" t="s">
        <v>7381</v>
      </c>
      <c r="C54" t="s">
        <v>7436</v>
      </c>
      <c r="D54">
        <v>8</v>
      </c>
      <c r="E54">
        <v>4</v>
      </c>
      <c r="F54" t="s">
        <v>5497</v>
      </c>
      <c r="G54" t="s">
        <v>5497</v>
      </c>
      <c r="H54">
        <v>3</v>
      </c>
      <c r="I54">
        <v>-4</v>
      </c>
      <c r="J54">
        <v>0</v>
      </c>
      <c r="K54">
        <v>-2</v>
      </c>
      <c r="L54">
        <v>-3</v>
      </c>
      <c r="M54">
        <v>9</v>
      </c>
      <c r="N54">
        <v>6</v>
      </c>
      <c r="O54">
        <v>0.8</v>
      </c>
      <c r="P54">
        <v>4</v>
      </c>
      <c r="R54">
        <v>14</v>
      </c>
      <c r="S54">
        <v>14</v>
      </c>
      <c r="T54">
        <v>12</v>
      </c>
      <c r="U54">
        <v>0.8</v>
      </c>
      <c r="V54">
        <v>3</v>
      </c>
      <c r="Z54">
        <v>1</v>
      </c>
      <c r="AA54">
        <v>1</v>
      </c>
    </row>
    <row r="55" spans="1:27">
      <c r="A55" t="s">
        <v>1424</v>
      </c>
      <c r="B55" t="s">
        <v>7414</v>
      </c>
      <c r="C55" t="s">
        <v>7437</v>
      </c>
      <c r="E55">
        <v>4</v>
      </c>
      <c r="F55" t="s">
        <v>5497</v>
      </c>
      <c r="G55" t="s">
        <v>5486</v>
      </c>
      <c r="H55">
        <v>2</v>
      </c>
      <c r="I55">
        <v>-8</v>
      </c>
      <c r="K55">
        <v>-2</v>
      </c>
      <c r="L55">
        <v>2</v>
      </c>
      <c r="M55">
        <v>13</v>
      </c>
      <c r="P55" t="s">
        <v>7380</v>
      </c>
      <c r="Q55" t="s">
        <v>7438</v>
      </c>
      <c r="R55">
        <v>14</v>
      </c>
      <c r="S55">
        <v>16</v>
      </c>
      <c r="T55">
        <v>15</v>
      </c>
      <c r="X55">
        <v>12</v>
      </c>
      <c r="Y55">
        <v>100</v>
      </c>
      <c r="Z55">
        <v>1</v>
      </c>
      <c r="AA55">
        <v>1</v>
      </c>
    </row>
    <row r="56" spans="1:27">
      <c r="A56" t="s">
        <v>1418</v>
      </c>
      <c r="B56" t="s">
        <v>7383</v>
      </c>
      <c r="C56" t="s">
        <v>7439</v>
      </c>
      <c r="D56">
        <v>17</v>
      </c>
      <c r="E56">
        <v>8</v>
      </c>
      <c r="F56" t="s">
        <v>7440</v>
      </c>
      <c r="H56">
        <v>1.5</v>
      </c>
      <c r="I56">
        <v>-12</v>
      </c>
      <c r="J56">
        <v>0</v>
      </c>
      <c r="K56">
        <v>-7</v>
      </c>
      <c r="L56">
        <v>-7</v>
      </c>
      <c r="M56">
        <v>36</v>
      </c>
      <c r="N56">
        <v>18</v>
      </c>
      <c r="O56">
        <v>1.8</v>
      </c>
      <c r="P56" t="s">
        <v>7380</v>
      </c>
      <c r="R56">
        <v>17</v>
      </c>
      <c r="S56">
        <v>13</v>
      </c>
      <c r="T56">
        <v>28</v>
      </c>
      <c r="U56">
        <v>2.5</v>
      </c>
      <c r="V56">
        <v>8</v>
      </c>
      <c r="Z56">
        <v>1</v>
      </c>
      <c r="AA56">
        <v>1</v>
      </c>
    </row>
    <row r="57" spans="1:27">
      <c r="A57" t="s">
        <v>1415</v>
      </c>
      <c r="B57" t="s">
        <v>7369</v>
      </c>
      <c r="C57" t="s">
        <v>7441</v>
      </c>
      <c r="D57">
        <v>4</v>
      </c>
      <c r="E57">
        <v>3.5</v>
      </c>
      <c r="F57" t="s">
        <v>5500</v>
      </c>
      <c r="H57">
        <v>4</v>
      </c>
      <c r="I57">
        <v>-5</v>
      </c>
      <c r="J57">
        <v>0</v>
      </c>
      <c r="K57">
        <v>-6</v>
      </c>
      <c r="L57">
        <v>-6</v>
      </c>
      <c r="M57">
        <v>7</v>
      </c>
      <c r="N57">
        <v>3</v>
      </c>
      <c r="O57">
        <v>0.4</v>
      </c>
      <c r="P57">
        <v>6</v>
      </c>
      <c r="Q57" t="s">
        <v>7371</v>
      </c>
      <c r="R57">
        <v>13</v>
      </c>
      <c r="S57">
        <v>6</v>
      </c>
      <c r="T57">
        <v>5</v>
      </c>
      <c r="U57">
        <v>0.6</v>
      </c>
      <c r="V57">
        <v>0.5</v>
      </c>
      <c r="Z57">
        <v>1</v>
      </c>
      <c r="AA57">
        <v>1</v>
      </c>
    </row>
    <row r="58" spans="1:27">
      <c r="A58" t="s">
        <v>1422</v>
      </c>
      <c r="B58" t="s">
        <v>7367</v>
      </c>
      <c r="C58" t="s">
        <v>7442</v>
      </c>
      <c r="D58">
        <v>13</v>
      </c>
      <c r="E58">
        <v>2</v>
      </c>
      <c r="F58" t="s">
        <v>5497</v>
      </c>
      <c r="G58" t="s">
        <v>5486</v>
      </c>
      <c r="H58">
        <v>20</v>
      </c>
      <c r="I58">
        <v>-1</v>
      </c>
      <c r="J58">
        <v>0</v>
      </c>
      <c r="K58">
        <v>-1</v>
      </c>
      <c r="L58">
        <v>1</v>
      </c>
      <c r="M58">
        <v>6</v>
      </c>
      <c r="O58">
        <v>1.1000000000000001</v>
      </c>
      <c r="P58">
        <v>2</v>
      </c>
      <c r="Q58" t="s">
        <v>7366</v>
      </c>
      <c r="R58">
        <v>0</v>
      </c>
      <c r="S58">
        <v>20</v>
      </c>
      <c r="T58">
        <v>18</v>
      </c>
      <c r="U58">
        <v>0.7</v>
      </c>
      <c r="V58">
        <v>4</v>
      </c>
      <c r="Z58">
        <v>1</v>
      </c>
      <c r="AA58">
        <v>1</v>
      </c>
    </row>
    <row r="59" spans="1:27">
      <c r="A59" t="s">
        <v>1422</v>
      </c>
      <c r="B59" t="s">
        <v>7367</v>
      </c>
      <c r="C59" t="s">
        <v>7443</v>
      </c>
      <c r="D59">
        <v>8</v>
      </c>
      <c r="E59">
        <v>4</v>
      </c>
      <c r="F59" t="s">
        <v>5499</v>
      </c>
      <c r="G59" t="s">
        <v>5486</v>
      </c>
      <c r="H59">
        <v>4</v>
      </c>
      <c r="I59">
        <v>-4</v>
      </c>
      <c r="J59">
        <v>0</v>
      </c>
      <c r="K59">
        <v>-3</v>
      </c>
      <c r="L59">
        <v>-4</v>
      </c>
      <c r="M59">
        <v>8</v>
      </c>
      <c r="N59">
        <v>6</v>
      </c>
      <c r="O59">
        <v>0.75</v>
      </c>
      <c r="P59">
        <v>5</v>
      </c>
      <c r="R59">
        <v>15</v>
      </c>
      <c r="S59">
        <v>15</v>
      </c>
      <c r="T59">
        <v>10</v>
      </c>
      <c r="U59">
        <v>0.75</v>
      </c>
      <c r="V59">
        <v>3</v>
      </c>
      <c r="Z59">
        <v>1</v>
      </c>
      <c r="AA59">
        <v>1</v>
      </c>
    </row>
    <row r="60" spans="1:27">
      <c r="A60" t="s">
        <v>1418</v>
      </c>
      <c r="B60" t="s">
        <v>7435</v>
      </c>
      <c r="C60" t="s">
        <v>7443</v>
      </c>
      <c r="D60">
        <v>8</v>
      </c>
      <c r="E60">
        <v>4</v>
      </c>
      <c r="F60" t="s">
        <v>5499</v>
      </c>
      <c r="G60" t="s">
        <v>5486</v>
      </c>
      <c r="H60">
        <v>4</v>
      </c>
      <c r="I60">
        <v>-4</v>
      </c>
      <c r="J60">
        <v>0</v>
      </c>
      <c r="K60">
        <v>-3</v>
      </c>
      <c r="L60">
        <v>-4</v>
      </c>
      <c r="M60">
        <v>8</v>
      </c>
      <c r="N60">
        <v>6</v>
      </c>
      <c r="O60">
        <v>0.75</v>
      </c>
      <c r="P60">
        <v>5</v>
      </c>
      <c r="R60">
        <v>15</v>
      </c>
      <c r="S60">
        <v>15</v>
      </c>
      <c r="T60">
        <v>10</v>
      </c>
      <c r="U60">
        <v>0.75</v>
      </c>
      <c r="V60">
        <v>3</v>
      </c>
      <c r="Z60">
        <v>1</v>
      </c>
      <c r="AA60">
        <v>1</v>
      </c>
    </row>
    <row r="61" spans="1:27">
      <c r="A61" t="s">
        <v>1422</v>
      </c>
      <c r="B61" t="s">
        <v>7367</v>
      </c>
      <c r="C61" t="s">
        <v>7444</v>
      </c>
      <c r="D61">
        <v>7</v>
      </c>
      <c r="E61">
        <v>4</v>
      </c>
      <c r="F61" t="s">
        <v>5499</v>
      </c>
      <c r="G61" t="s">
        <v>5486</v>
      </c>
      <c r="H61">
        <v>4</v>
      </c>
      <c r="I61">
        <v>-4</v>
      </c>
      <c r="J61">
        <v>0</v>
      </c>
      <c r="K61">
        <v>-3</v>
      </c>
      <c r="L61">
        <v>-3</v>
      </c>
      <c r="M61">
        <v>9</v>
      </c>
      <c r="N61">
        <v>6</v>
      </c>
      <c r="O61">
        <v>0.75</v>
      </c>
      <c r="P61">
        <v>3</v>
      </c>
      <c r="R61">
        <v>15</v>
      </c>
      <c r="S61">
        <v>15</v>
      </c>
      <c r="T61">
        <v>11</v>
      </c>
      <c r="U61">
        <v>0.8</v>
      </c>
      <c r="V61">
        <v>3.5</v>
      </c>
      <c r="Z61">
        <v>1</v>
      </c>
      <c r="AA61">
        <v>1</v>
      </c>
    </row>
    <row r="62" spans="1:27">
      <c r="A62" t="s">
        <v>1418</v>
      </c>
      <c r="B62" t="s">
        <v>7435</v>
      </c>
      <c r="C62" t="s">
        <v>7444</v>
      </c>
      <c r="D62">
        <v>7</v>
      </c>
      <c r="E62">
        <v>4</v>
      </c>
      <c r="F62" t="s">
        <v>5499</v>
      </c>
      <c r="G62" t="s">
        <v>5486</v>
      </c>
      <c r="H62">
        <v>4</v>
      </c>
      <c r="I62">
        <v>-4</v>
      </c>
      <c r="J62">
        <v>0</v>
      </c>
      <c r="K62">
        <v>-3</v>
      </c>
      <c r="L62">
        <v>-3</v>
      </c>
      <c r="M62">
        <v>9</v>
      </c>
      <c r="N62">
        <v>6</v>
      </c>
      <c r="O62">
        <v>0.75</v>
      </c>
      <c r="P62">
        <v>3</v>
      </c>
      <c r="R62">
        <v>15</v>
      </c>
      <c r="S62">
        <v>15</v>
      </c>
      <c r="T62">
        <v>11</v>
      </c>
      <c r="U62">
        <v>0.8</v>
      </c>
      <c r="V62">
        <v>3.5</v>
      </c>
      <c r="Z62">
        <v>1</v>
      </c>
      <c r="AA62">
        <v>1</v>
      </c>
    </row>
    <row r="63" spans="1:27">
      <c r="A63" t="s">
        <v>1422</v>
      </c>
      <c r="B63" t="s">
        <v>7367</v>
      </c>
      <c r="C63" t="s">
        <v>7445</v>
      </c>
      <c r="D63">
        <v>4</v>
      </c>
      <c r="E63">
        <v>3</v>
      </c>
      <c r="F63" t="s">
        <v>5499</v>
      </c>
      <c r="G63" t="s">
        <v>5486</v>
      </c>
      <c r="H63">
        <v>4</v>
      </c>
      <c r="I63">
        <v>-4</v>
      </c>
      <c r="J63">
        <v>0</v>
      </c>
      <c r="K63">
        <v>-2</v>
      </c>
      <c r="L63">
        <v>-5</v>
      </c>
      <c r="M63">
        <v>8</v>
      </c>
      <c r="N63">
        <v>5</v>
      </c>
      <c r="O63">
        <v>0.45</v>
      </c>
      <c r="P63">
        <v>6</v>
      </c>
      <c r="R63">
        <v>13</v>
      </c>
      <c r="S63">
        <v>18</v>
      </c>
      <c r="T63">
        <v>9</v>
      </c>
      <c r="U63">
        <v>0.5</v>
      </c>
      <c r="V63">
        <v>3</v>
      </c>
      <c r="Z63">
        <v>1</v>
      </c>
      <c r="AA63">
        <v>1</v>
      </c>
    </row>
    <row r="64" spans="1:27">
      <c r="A64" t="s">
        <v>1418</v>
      </c>
      <c r="B64" t="s">
        <v>7435</v>
      </c>
      <c r="C64" t="s">
        <v>7445</v>
      </c>
      <c r="D64">
        <v>4</v>
      </c>
      <c r="E64">
        <v>3</v>
      </c>
      <c r="F64" t="s">
        <v>5499</v>
      </c>
      <c r="G64" t="s">
        <v>5486</v>
      </c>
      <c r="H64">
        <v>4</v>
      </c>
      <c r="I64">
        <v>-4</v>
      </c>
      <c r="J64">
        <v>0</v>
      </c>
      <c r="K64">
        <v>-2</v>
      </c>
      <c r="L64">
        <v>-5</v>
      </c>
      <c r="M64">
        <v>8</v>
      </c>
      <c r="N64">
        <v>5</v>
      </c>
      <c r="O64">
        <v>0.45</v>
      </c>
      <c r="P64">
        <v>6</v>
      </c>
      <c r="R64">
        <v>13</v>
      </c>
      <c r="S64">
        <v>18</v>
      </c>
      <c r="T64">
        <v>9</v>
      </c>
      <c r="U64">
        <v>0.5</v>
      </c>
      <c r="V64">
        <v>3</v>
      </c>
      <c r="Z64">
        <v>1</v>
      </c>
      <c r="AA64">
        <v>1</v>
      </c>
    </row>
    <row r="65" spans="1:27">
      <c r="A65" t="s">
        <v>1420</v>
      </c>
      <c r="B65" t="s">
        <v>7373</v>
      </c>
      <c r="C65" t="s">
        <v>7446</v>
      </c>
      <c r="D65">
        <v>29</v>
      </c>
      <c r="E65">
        <v>6</v>
      </c>
      <c r="F65" t="s">
        <v>7385</v>
      </c>
      <c r="G65" t="s">
        <v>7386</v>
      </c>
      <c r="H65">
        <v>3</v>
      </c>
      <c r="I65">
        <v>-7</v>
      </c>
      <c r="J65">
        <v>0</v>
      </c>
      <c r="K65">
        <v>-7</v>
      </c>
      <c r="L65">
        <v>-5</v>
      </c>
      <c r="M65">
        <v>26</v>
      </c>
      <c r="N65">
        <v>14</v>
      </c>
      <c r="O65">
        <v>2.7</v>
      </c>
      <c r="P65" t="s">
        <v>7380</v>
      </c>
      <c r="Q65" t="s">
        <v>7371</v>
      </c>
      <c r="R65">
        <v>16</v>
      </c>
      <c r="S65">
        <v>7</v>
      </c>
      <c r="T65">
        <v>16</v>
      </c>
      <c r="U65">
        <v>1.1000000000000001</v>
      </c>
      <c r="V65">
        <v>3.5</v>
      </c>
      <c r="Z65">
        <v>1</v>
      </c>
      <c r="AA65">
        <v>1</v>
      </c>
    </row>
    <row r="66" spans="1:27">
      <c r="A66" t="s">
        <v>1415</v>
      </c>
      <c r="B66" t="s">
        <v>7369</v>
      </c>
      <c r="C66" t="s">
        <v>7447</v>
      </c>
      <c r="D66">
        <v>14</v>
      </c>
      <c r="E66">
        <v>4.5</v>
      </c>
      <c r="F66" t="s">
        <v>7448</v>
      </c>
      <c r="G66" t="s">
        <v>5486</v>
      </c>
      <c r="H66">
        <v>3</v>
      </c>
      <c r="I66">
        <v>-5</v>
      </c>
      <c r="J66">
        <v>2</v>
      </c>
      <c r="K66">
        <v>-7</v>
      </c>
      <c r="L66">
        <v>-7</v>
      </c>
      <c r="M66">
        <v>14</v>
      </c>
      <c r="N66">
        <v>8</v>
      </c>
      <c r="O66">
        <v>1.4</v>
      </c>
      <c r="P66">
        <v>0</v>
      </c>
      <c r="Q66" t="s">
        <v>7371</v>
      </c>
      <c r="R66">
        <v>10</v>
      </c>
      <c r="S66">
        <v>4</v>
      </c>
      <c r="T66">
        <v>3</v>
      </c>
      <c r="U66">
        <v>0.3</v>
      </c>
      <c r="V66">
        <v>0.25</v>
      </c>
      <c r="Z66">
        <v>1</v>
      </c>
      <c r="AA66">
        <v>1</v>
      </c>
    </row>
    <row r="67" spans="1:27">
      <c r="A67" t="s">
        <v>1420</v>
      </c>
      <c r="B67" t="s">
        <v>7388</v>
      </c>
      <c r="C67" t="s">
        <v>7447</v>
      </c>
      <c r="D67">
        <v>14</v>
      </c>
      <c r="E67">
        <v>4.5</v>
      </c>
      <c r="F67" t="s">
        <v>7448</v>
      </c>
      <c r="G67" t="s">
        <v>5486</v>
      </c>
      <c r="H67">
        <v>3</v>
      </c>
      <c r="I67">
        <v>-5</v>
      </c>
      <c r="J67">
        <v>2</v>
      </c>
      <c r="K67">
        <v>-7</v>
      </c>
      <c r="L67">
        <v>-7</v>
      </c>
      <c r="M67">
        <v>14</v>
      </c>
      <c r="N67">
        <v>8</v>
      </c>
      <c r="O67">
        <v>1.4</v>
      </c>
      <c r="P67">
        <v>0</v>
      </c>
      <c r="Q67" t="s">
        <v>7371</v>
      </c>
      <c r="R67">
        <v>10</v>
      </c>
      <c r="S67">
        <v>4</v>
      </c>
      <c r="T67">
        <v>3</v>
      </c>
      <c r="U67">
        <v>0.3</v>
      </c>
      <c r="V67">
        <v>0.25</v>
      </c>
      <c r="Z67">
        <v>1</v>
      </c>
      <c r="AA67">
        <v>1</v>
      </c>
    </row>
    <row r="68" spans="1:27">
      <c r="A68" t="s">
        <v>1422</v>
      </c>
      <c r="B68" t="s">
        <v>7397</v>
      </c>
      <c r="C68" t="s">
        <v>7449</v>
      </c>
      <c r="D68">
        <v>3</v>
      </c>
      <c r="E68">
        <v>2</v>
      </c>
      <c r="F68" t="s">
        <v>5499</v>
      </c>
      <c r="H68">
        <v>5</v>
      </c>
      <c r="I68">
        <v>-2</v>
      </c>
      <c r="J68">
        <v>0</v>
      </c>
      <c r="K68">
        <v>-1</v>
      </c>
      <c r="L68">
        <v>-6</v>
      </c>
      <c r="M68">
        <v>6</v>
      </c>
      <c r="N68">
        <v>4</v>
      </c>
      <c r="O68">
        <v>0.35</v>
      </c>
      <c r="P68">
        <v>6</v>
      </c>
      <c r="R68">
        <v>12</v>
      </c>
      <c r="S68">
        <v>17</v>
      </c>
      <c r="T68">
        <v>7</v>
      </c>
      <c r="U68">
        <v>0.3</v>
      </c>
      <c r="V68">
        <v>1</v>
      </c>
      <c r="Z68">
        <v>1</v>
      </c>
      <c r="AA68">
        <v>1</v>
      </c>
    </row>
    <row r="69" spans="1:27">
      <c r="A69" t="s">
        <v>1415</v>
      </c>
      <c r="B69" t="s">
        <v>7421</v>
      </c>
      <c r="C69" t="s">
        <v>7450</v>
      </c>
      <c r="D69">
        <v>3</v>
      </c>
      <c r="E69">
        <v>5</v>
      </c>
      <c r="F69" t="s">
        <v>5498</v>
      </c>
      <c r="G69" t="s">
        <v>5496</v>
      </c>
      <c r="H69">
        <v>2</v>
      </c>
      <c r="I69">
        <v>-7</v>
      </c>
      <c r="J69">
        <v>0</v>
      </c>
      <c r="K69">
        <v>-5</v>
      </c>
      <c r="L69">
        <v>-8</v>
      </c>
      <c r="M69">
        <v>10</v>
      </c>
      <c r="N69">
        <v>7</v>
      </c>
      <c r="O69">
        <v>0.3</v>
      </c>
      <c r="P69">
        <v>7</v>
      </c>
      <c r="Q69" t="s">
        <v>7371</v>
      </c>
      <c r="R69">
        <v>9</v>
      </c>
      <c r="S69">
        <v>6</v>
      </c>
      <c r="T69">
        <v>4</v>
      </c>
      <c r="U69">
        <v>0.7</v>
      </c>
      <c r="V69">
        <v>0.25</v>
      </c>
      <c r="Z69">
        <v>1</v>
      </c>
      <c r="AA69">
        <v>1</v>
      </c>
    </row>
    <row r="70" spans="1:27">
      <c r="A70" t="s">
        <v>1415</v>
      </c>
      <c r="B70" t="s">
        <v>7421</v>
      </c>
      <c r="C70" t="s">
        <v>7451</v>
      </c>
      <c r="D70">
        <v>2</v>
      </c>
      <c r="E70">
        <v>2.5</v>
      </c>
      <c r="F70" t="s">
        <v>5497</v>
      </c>
      <c r="G70" t="s">
        <v>5486</v>
      </c>
      <c r="H70">
        <v>3</v>
      </c>
      <c r="I70">
        <v>-5</v>
      </c>
      <c r="J70">
        <v>0</v>
      </c>
      <c r="K70">
        <v>-6</v>
      </c>
      <c r="L70">
        <v>-9</v>
      </c>
      <c r="M70">
        <v>6</v>
      </c>
      <c r="O70">
        <v>0.25</v>
      </c>
      <c r="P70">
        <v>8</v>
      </c>
      <c r="Q70" t="s">
        <v>7371</v>
      </c>
      <c r="R70">
        <v>8</v>
      </c>
      <c r="S70">
        <v>5</v>
      </c>
      <c r="T70">
        <v>3</v>
      </c>
      <c r="U70">
        <v>0.4</v>
      </c>
      <c r="V70">
        <v>0.25</v>
      </c>
      <c r="Z70">
        <v>1</v>
      </c>
      <c r="AA70">
        <v>1</v>
      </c>
    </row>
    <row r="71" spans="1:27">
      <c r="A71" t="s">
        <v>1420</v>
      </c>
      <c r="B71" t="s">
        <v>7391</v>
      </c>
      <c r="C71" t="s">
        <v>7452</v>
      </c>
      <c r="D71">
        <v>13</v>
      </c>
      <c r="E71">
        <v>5</v>
      </c>
      <c r="F71" t="s">
        <v>5500</v>
      </c>
      <c r="G71" t="s">
        <v>5496</v>
      </c>
      <c r="H71">
        <v>3</v>
      </c>
      <c r="I71">
        <v>-8</v>
      </c>
      <c r="J71">
        <v>0</v>
      </c>
      <c r="K71">
        <v>-5</v>
      </c>
      <c r="L71">
        <v>-4</v>
      </c>
      <c r="M71">
        <v>25</v>
      </c>
      <c r="N71">
        <v>11</v>
      </c>
      <c r="O71">
        <v>1.2</v>
      </c>
      <c r="P71" t="s">
        <v>7380</v>
      </c>
      <c r="Q71" t="s">
        <v>7371</v>
      </c>
      <c r="R71">
        <v>17</v>
      </c>
      <c r="S71">
        <v>7</v>
      </c>
      <c r="T71">
        <v>16</v>
      </c>
      <c r="U71">
        <v>1.5</v>
      </c>
      <c r="V71">
        <v>4</v>
      </c>
      <c r="Z71">
        <v>1</v>
      </c>
      <c r="AA71">
        <v>1</v>
      </c>
    </row>
    <row r="72" spans="1:27">
      <c r="A72" t="s">
        <v>1418</v>
      </c>
      <c r="B72" t="s">
        <v>7435</v>
      </c>
      <c r="C72" t="s">
        <v>7453</v>
      </c>
      <c r="D72">
        <v>5</v>
      </c>
      <c r="E72">
        <v>2.5</v>
      </c>
      <c r="F72" t="s">
        <v>5496</v>
      </c>
      <c r="G72" t="s">
        <v>5496</v>
      </c>
      <c r="H72">
        <v>4</v>
      </c>
      <c r="I72">
        <v>-2</v>
      </c>
      <c r="J72">
        <v>0</v>
      </c>
      <c r="K72">
        <v>-1</v>
      </c>
      <c r="L72">
        <v>-5</v>
      </c>
      <c r="M72">
        <v>6</v>
      </c>
      <c r="N72">
        <v>4</v>
      </c>
      <c r="O72">
        <v>0.5</v>
      </c>
      <c r="P72">
        <v>6</v>
      </c>
      <c r="R72">
        <v>14</v>
      </c>
      <c r="S72">
        <v>11</v>
      </c>
      <c r="T72">
        <v>10</v>
      </c>
      <c r="U72">
        <v>0.8</v>
      </c>
      <c r="V72">
        <v>3</v>
      </c>
      <c r="Z72">
        <v>1</v>
      </c>
      <c r="AA72">
        <v>1</v>
      </c>
    </row>
    <row r="73" spans="1:27">
      <c r="A73" t="s">
        <v>1420</v>
      </c>
      <c r="B73" t="s">
        <v>7391</v>
      </c>
      <c r="C73" t="s">
        <v>7454</v>
      </c>
      <c r="D73">
        <v>32</v>
      </c>
      <c r="E73">
        <v>6</v>
      </c>
      <c r="F73" t="s">
        <v>5500</v>
      </c>
      <c r="G73" t="s">
        <v>5499</v>
      </c>
      <c r="H73">
        <v>2</v>
      </c>
      <c r="I73">
        <v>-14</v>
      </c>
      <c r="J73">
        <v>0</v>
      </c>
      <c r="K73">
        <v>-8</v>
      </c>
      <c r="L73">
        <v>-7</v>
      </c>
      <c r="M73">
        <v>32</v>
      </c>
      <c r="N73">
        <v>14</v>
      </c>
      <c r="O73">
        <v>3</v>
      </c>
      <c r="P73" t="s">
        <v>7380</v>
      </c>
      <c r="Q73" t="s">
        <v>7371</v>
      </c>
      <c r="R73">
        <v>17</v>
      </c>
      <c r="S73">
        <v>7</v>
      </c>
      <c r="T73">
        <v>16</v>
      </c>
      <c r="U73">
        <v>1.5</v>
      </c>
      <c r="V73">
        <v>4</v>
      </c>
      <c r="Z73">
        <v>1</v>
      </c>
      <c r="AA73">
        <v>1</v>
      </c>
    </row>
    <row r="74" spans="1:27">
      <c r="A74" t="s">
        <v>1420</v>
      </c>
      <c r="B74" t="s">
        <v>7391</v>
      </c>
      <c r="C74" t="s">
        <v>7455</v>
      </c>
      <c r="D74">
        <v>22</v>
      </c>
      <c r="E74">
        <v>5</v>
      </c>
      <c r="F74" t="s">
        <v>7385</v>
      </c>
      <c r="G74" t="s">
        <v>5497</v>
      </c>
      <c r="H74">
        <v>3</v>
      </c>
      <c r="I74">
        <v>-7</v>
      </c>
      <c r="J74">
        <v>0</v>
      </c>
      <c r="K74">
        <v>-5</v>
      </c>
      <c r="L74">
        <v>-5</v>
      </c>
      <c r="M74">
        <v>26</v>
      </c>
      <c r="N74">
        <v>12</v>
      </c>
      <c r="O74">
        <v>2</v>
      </c>
      <c r="P74" t="s">
        <v>7380</v>
      </c>
      <c r="Q74" t="s">
        <v>7371</v>
      </c>
      <c r="R74">
        <v>17</v>
      </c>
      <c r="S74">
        <v>7</v>
      </c>
      <c r="T74">
        <v>16</v>
      </c>
      <c r="U74">
        <v>1.5</v>
      </c>
      <c r="V74">
        <v>4</v>
      </c>
      <c r="Z74">
        <v>1</v>
      </c>
      <c r="AA74">
        <v>1</v>
      </c>
    </row>
    <row r="75" spans="1:27">
      <c r="A75" t="s">
        <v>1422</v>
      </c>
      <c r="B75" t="s">
        <v>7397</v>
      </c>
      <c r="C75" t="s">
        <v>7456</v>
      </c>
      <c r="D75">
        <v>3</v>
      </c>
      <c r="E75">
        <v>2</v>
      </c>
      <c r="F75" t="s">
        <v>5498</v>
      </c>
      <c r="G75" t="s">
        <v>5486</v>
      </c>
      <c r="H75">
        <v>5</v>
      </c>
      <c r="I75">
        <v>-3</v>
      </c>
      <c r="J75">
        <v>0</v>
      </c>
      <c r="K75">
        <v>-1</v>
      </c>
      <c r="L75">
        <v>-5</v>
      </c>
      <c r="M75">
        <v>6</v>
      </c>
      <c r="N75">
        <v>4</v>
      </c>
      <c r="O75">
        <v>0.35</v>
      </c>
      <c r="P75">
        <v>6</v>
      </c>
      <c r="R75">
        <v>13</v>
      </c>
      <c r="S75">
        <v>18</v>
      </c>
      <c r="T75">
        <v>5</v>
      </c>
      <c r="U75">
        <v>0.4</v>
      </c>
      <c r="V75">
        <v>1</v>
      </c>
      <c r="Z75">
        <v>1</v>
      </c>
      <c r="AA75">
        <v>1</v>
      </c>
    </row>
    <row r="76" spans="1:27">
      <c r="A76" t="s">
        <v>1422</v>
      </c>
      <c r="B76" t="s">
        <v>7397</v>
      </c>
      <c r="C76" t="s">
        <v>7457</v>
      </c>
      <c r="D76">
        <v>3</v>
      </c>
      <c r="E76">
        <v>1</v>
      </c>
      <c r="F76" t="s">
        <v>5498</v>
      </c>
      <c r="G76" t="s">
        <v>5486</v>
      </c>
      <c r="H76">
        <v>5</v>
      </c>
      <c r="I76">
        <v>-4</v>
      </c>
      <c r="J76">
        <v>0</v>
      </c>
      <c r="K76">
        <v>-1</v>
      </c>
      <c r="L76">
        <v>-6</v>
      </c>
      <c r="M76">
        <v>5</v>
      </c>
      <c r="N76">
        <v>3</v>
      </c>
      <c r="O76">
        <v>0.25</v>
      </c>
      <c r="P76">
        <v>9</v>
      </c>
      <c r="R76">
        <v>12</v>
      </c>
      <c r="S76">
        <v>18</v>
      </c>
      <c r="T76">
        <v>5</v>
      </c>
      <c r="U76">
        <v>0.25</v>
      </c>
      <c r="V76">
        <v>1</v>
      </c>
      <c r="Z76">
        <v>1</v>
      </c>
      <c r="AA76">
        <v>1</v>
      </c>
    </row>
    <row r="77" spans="1:27">
      <c r="A77" t="s">
        <v>1424</v>
      </c>
      <c r="B77" t="s">
        <v>6488</v>
      </c>
      <c r="C77" t="s">
        <v>7457</v>
      </c>
      <c r="D77">
        <v>3</v>
      </c>
      <c r="E77">
        <v>1</v>
      </c>
      <c r="F77" t="s">
        <v>5498</v>
      </c>
      <c r="G77" t="s">
        <v>5486</v>
      </c>
      <c r="H77">
        <v>5</v>
      </c>
      <c r="I77">
        <v>-4</v>
      </c>
      <c r="J77">
        <v>0</v>
      </c>
      <c r="K77">
        <v>-1</v>
      </c>
      <c r="L77">
        <v>-6</v>
      </c>
      <c r="M77">
        <v>5</v>
      </c>
      <c r="N77">
        <v>3</v>
      </c>
      <c r="O77">
        <v>0.25</v>
      </c>
      <c r="P77">
        <v>9</v>
      </c>
      <c r="R77">
        <v>12</v>
      </c>
      <c r="S77">
        <v>18</v>
      </c>
      <c r="T77">
        <v>5</v>
      </c>
      <c r="U77">
        <v>0.25</v>
      </c>
      <c r="V77">
        <v>1</v>
      </c>
      <c r="Z77">
        <v>1</v>
      </c>
      <c r="AA77">
        <v>1</v>
      </c>
    </row>
    <row r="78" spans="1:27">
      <c r="A78" t="s">
        <v>1422</v>
      </c>
      <c r="B78" t="s">
        <v>7367</v>
      </c>
      <c r="C78" t="s">
        <v>7458</v>
      </c>
      <c r="D78">
        <v>8</v>
      </c>
      <c r="E78">
        <v>4</v>
      </c>
      <c r="F78" t="s">
        <v>7385</v>
      </c>
      <c r="G78" t="s">
        <v>5486</v>
      </c>
      <c r="H78">
        <v>4</v>
      </c>
      <c r="I78">
        <v>-5</v>
      </c>
      <c r="J78">
        <v>0</v>
      </c>
      <c r="K78">
        <v>-2</v>
      </c>
      <c r="L78">
        <v>-3</v>
      </c>
      <c r="M78">
        <v>8</v>
      </c>
      <c r="N78">
        <v>6</v>
      </c>
      <c r="O78">
        <v>0.7</v>
      </c>
      <c r="P78">
        <v>4</v>
      </c>
      <c r="R78">
        <v>14</v>
      </c>
      <c r="S78">
        <v>16</v>
      </c>
      <c r="T78">
        <v>18</v>
      </c>
      <c r="U78">
        <v>0.8</v>
      </c>
      <c r="V78">
        <v>4</v>
      </c>
      <c r="Z78">
        <v>1</v>
      </c>
      <c r="AA78">
        <v>1</v>
      </c>
    </row>
    <row r="79" spans="1:27">
      <c r="A79" t="s">
        <v>1415</v>
      </c>
      <c r="B79" t="s">
        <v>7369</v>
      </c>
      <c r="C79" t="s">
        <v>7459</v>
      </c>
      <c r="D79">
        <v>8</v>
      </c>
      <c r="E79">
        <v>7</v>
      </c>
      <c r="F79" t="s">
        <v>5500</v>
      </c>
      <c r="G79" t="s">
        <v>5486</v>
      </c>
      <c r="H79">
        <v>1.5</v>
      </c>
      <c r="I79">
        <v>-11</v>
      </c>
      <c r="J79">
        <v>0</v>
      </c>
      <c r="K79">
        <v>-5</v>
      </c>
      <c r="L79">
        <v>-5</v>
      </c>
      <c r="M79">
        <v>28</v>
      </c>
      <c r="N79">
        <v>12</v>
      </c>
      <c r="O79">
        <v>0.8</v>
      </c>
      <c r="P79">
        <v>0</v>
      </c>
      <c r="Q79" t="s">
        <v>7371</v>
      </c>
      <c r="R79">
        <v>17</v>
      </c>
      <c r="S79">
        <v>6</v>
      </c>
      <c r="T79">
        <v>8</v>
      </c>
      <c r="U79">
        <v>2</v>
      </c>
      <c r="V79">
        <v>1.5</v>
      </c>
      <c r="Z79">
        <v>1</v>
      </c>
      <c r="AA79">
        <v>1</v>
      </c>
    </row>
    <row r="80" spans="1:27">
      <c r="A80" t="s">
        <v>1422</v>
      </c>
      <c r="B80" t="s">
        <v>7397</v>
      </c>
      <c r="C80" t="s">
        <v>7460</v>
      </c>
      <c r="D80">
        <v>3</v>
      </c>
      <c r="E80">
        <v>0</v>
      </c>
      <c r="F80" t="s">
        <v>5498</v>
      </c>
      <c r="H80">
        <v>6</v>
      </c>
      <c r="I80">
        <v>-2</v>
      </c>
      <c r="J80">
        <v>0</v>
      </c>
      <c r="K80">
        <v>-1</v>
      </c>
      <c r="L80">
        <v>-8</v>
      </c>
      <c r="M80">
        <v>3</v>
      </c>
      <c r="O80">
        <v>0.3</v>
      </c>
      <c r="P80">
        <v>11</v>
      </c>
      <c r="R80">
        <v>11</v>
      </c>
      <c r="S80">
        <v>16</v>
      </c>
      <c r="T80">
        <v>4</v>
      </c>
      <c r="U80">
        <v>0.3</v>
      </c>
      <c r="V80">
        <v>1</v>
      </c>
      <c r="Z80">
        <v>1</v>
      </c>
      <c r="AA80">
        <v>1</v>
      </c>
    </row>
    <row r="81" spans="1:27">
      <c r="A81" t="s">
        <v>1424</v>
      </c>
      <c r="B81" t="s">
        <v>6488</v>
      </c>
      <c r="C81" t="s">
        <v>7460</v>
      </c>
      <c r="D81">
        <v>3</v>
      </c>
      <c r="E81">
        <v>0</v>
      </c>
      <c r="F81" t="s">
        <v>5498</v>
      </c>
      <c r="H81">
        <v>6</v>
      </c>
      <c r="I81">
        <v>-2</v>
      </c>
      <c r="J81">
        <v>0</v>
      </c>
      <c r="K81">
        <v>-1</v>
      </c>
      <c r="L81">
        <v>-8</v>
      </c>
      <c r="M81">
        <v>3</v>
      </c>
      <c r="O81">
        <v>0.3</v>
      </c>
      <c r="P81">
        <v>11</v>
      </c>
      <c r="R81">
        <v>11</v>
      </c>
      <c r="S81">
        <v>16</v>
      </c>
      <c r="T81">
        <v>4</v>
      </c>
      <c r="U81">
        <v>0.3</v>
      </c>
      <c r="V81">
        <v>1</v>
      </c>
      <c r="Z81">
        <v>1</v>
      </c>
      <c r="AA81">
        <v>1</v>
      </c>
    </row>
    <row r="82" spans="1:27">
      <c r="A82" t="s">
        <v>1415</v>
      </c>
      <c r="B82" t="s">
        <v>7377</v>
      </c>
      <c r="C82" t="s">
        <v>7461</v>
      </c>
      <c r="D82">
        <v>28</v>
      </c>
      <c r="E82">
        <v>15</v>
      </c>
      <c r="F82" t="s">
        <v>5501</v>
      </c>
      <c r="G82" t="s">
        <v>5501</v>
      </c>
      <c r="H82">
        <v>1</v>
      </c>
      <c r="I82">
        <v>-36</v>
      </c>
      <c r="J82">
        <v>0</v>
      </c>
      <c r="K82">
        <v>-9</v>
      </c>
      <c r="L82">
        <v>-9</v>
      </c>
      <c r="M82">
        <v>128</v>
      </c>
      <c r="N82">
        <v>64</v>
      </c>
      <c r="O82">
        <v>3</v>
      </c>
      <c r="P82" t="s">
        <v>7380</v>
      </c>
      <c r="Q82" t="s">
        <v>7371</v>
      </c>
      <c r="R82">
        <v>32</v>
      </c>
      <c r="S82">
        <v>32</v>
      </c>
      <c r="T82">
        <v>10</v>
      </c>
      <c r="U82">
        <v>7000</v>
      </c>
      <c r="V82">
        <v>4</v>
      </c>
      <c r="Z82">
        <v>1</v>
      </c>
      <c r="AA82">
        <v>1</v>
      </c>
    </row>
    <row r="83" spans="1:27">
      <c r="A83" t="s">
        <v>1422</v>
      </c>
      <c r="B83" t="s">
        <v>7397</v>
      </c>
      <c r="C83" t="s">
        <v>7462</v>
      </c>
      <c r="D83">
        <v>3</v>
      </c>
      <c r="E83">
        <v>1</v>
      </c>
      <c r="F83" t="s">
        <v>5499</v>
      </c>
      <c r="H83">
        <v>6</v>
      </c>
      <c r="I83">
        <v>-2</v>
      </c>
      <c r="J83">
        <v>0</v>
      </c>
      <c r="K83">
        <v>-1</v>
      </c>
      <c r="L83">
        <v>-7</v>
      </c>
      <c r="M83">
        <v>4</v>
      </c>
      <c r="O83">
        <v>0.28000000000000003</v>
      </c>
      <c r="P83">
        <v>10</v>
      </c>
      <c r="R83">
        <v>11</v>
      </c>
      <c r="S83">
        <v>17</v>
      </c>
      <c r="T83">
        <v>4</v>
      </c>
      <c r="U83">
        <v>0.4</v>
      </c>
      <c r="V83">
        <v>1</v>
      </c>
      <c r="Z83">
        <v>1</v>
      </c>
      <c r="AA83">
        <v>1</v>
      </c>
    </row>
    <row r="84" spans="1:27">
      <c r="A84" t="s">
        <v>1424</v>
      </c>
      <c r="B84" t="s">
        <v>6488</v>
      </c>
      <c r="C84" t="s">
        <v>7462</v>
      </c>
      <c r="D84">
        <v>3</v>
      </c>
      <c r="E84">
        <v>1</v>
      </c>
      <c r="F84" t="s">
        <v>5499</v>
      </c>
      <c r="H84">
        <v>6</v>
      </c>
      <c r="I84">
        <v>-2</v>
      </c>
      <c r="J84">
        <v>0</v>
      </c>
      <c r="K84">
        <v>-1</v>
      </c>
      <c r="L84">
        <v>-7</v>
      </c>
      <c r="M84">
        <v>4</v>
      </c>
      <c r="O84">
        <v>0.28000000000000003</v>
      </c>
      <c r="P84">
        <v>10</v>
      </c>
      <c r="R84">
        <v>11</v>
      </c>
      <c r="S84">
        <v>17</v>
      </c>
      <c r="T84">
        <v>4</v>
      </c>
      <c r="U84">
        <v>0.4</v>
      </c>
      <c r="V84">
        <v>1</v>
      </c>
      <c r="Z84">
        <v>1</v>
      </c>
      <c r="AA84">
        <v>1</v>
      </c>
    </row>
    <row r="85" spans="1:27">
      <c r="A85" t="s">
        <v>1420</v>
      </c>
      <c r="B85" t="s">
        <v>7388</v>
      </c>
      <c r="C85" t="s">
        <v>7463</v>
      </c>
      <c r="D85">
        <v>11</v>
      </c>
      <c r="E85">
        <v>3.5</v>
      </c>
      <c r="F85" t="s">
        <v>5497</v>
      </c>
      <c r="G85" t="s">
        <v>5486</v>
      </c>
      <c r="H85">
        <v>4</v>
      </c>
      <c r="I85">
        <v>-2</v>
      </c>
      <c r="J85">
        <v>0</v>
      </c>
      <c r="K85">
        <v>-2</v>
      </c>
      <c r="L85">
        <v>-2</v>
      </c>
      <c r="M85">
        <v>18</v>
      </c>
      <c r="N85">
        <v>7</v>
      </c>
      <c r="O85">
        <v>1.8</v>
      </c>
      <c r="P85" t="s">
        <v>7380</v>
      </c>
      <c r="Q85" t="s">
        <v>7410</v>
      </c>
      <c r="R85">
        <v>2</v>
      </c>
      <c r="S85">
        <v>7</v>
      </c>
      <c r="T85">
        <v>3</v>
      </c>
      <c r="U85">
        <v>0.5</v>
      </c>
      <c r="V85">
        <v>0.25</v>
      </c>
      <c r="Z85">
        <v>1</v>
      </c>
      <c r="AA85">
        <v>1</v>
      </c>
    </row>
    <row r="86" spans="1:27">
      <c r="A86" t="s">
        <v>1420</v>
      </c>
      <c r="B86" t="s">
        <v>7388</v>
      </c>
      <c r="C86" t="s">
        <v>7464</v>
      </c>
      <c r="D86">
        <v>11</v>
      </c>
      <c r="E86">
        <v>4</v>
      </c>
      <c r="F86" t="s">
        <v>5497</v>
      </c>
      <c r="G86" t="s">
        <v>5496</v>
      </c>
      <c r="H86">
        <v>4</v>
      </c>
      <c r="I86">
        <v>-2</v>
      </c>
      <c r="J86">
        <v>0</v>
      </c>
      <c r="K86">
        <v>-3</v>
      </c>
      <c r="L86">
        <v>-3</v>
      </c>
      <c r="M86">
        <v>22</v>
      </c>
      <c r="N86">
        <v>11</v>
      </c>
      <c r="O86">
        <v>1.8</v>
      </c>
      <c r="P86" t="s">
        <v>7380</v>
      </c>
      <c r="Q86" t="s">
        <v>7410</v>
      </c>
      <c r="R86">
        <v>3</v>
      </c>
      <c r="S86">
        <v>7</v>
      </c>
      <c r="T86">
        <v>4</v>
      </c>
      <c r="U86">
        <v>1</v>
      </c>
      <c r="V86">
        <v>1</v>
      </c>
      <c r="Z86">
        <v>1</v>
      </c>
      <c r="AA86">
        <v>1</v>
      </c>
    </row>
    <row r="87" spans="1:27">
      <c r="A87" t="s">
        <v>1420</v>
      </c>
      <c r="B87" t="s">
        <v>7388</v>
      </c>
      <c r="C87" t="s">
        <v>7465</v>
      </c>
      <c r="D87">
        <v>11</v>
      </c>
      <c r="E87">
        <v>4</v>
      </c>
      <c r="F87" t="s">
        <v>5498</v>
      </c>
      <c r="G87" t="s">
        <v>5486</v>
      </c>
      <c r="H87">
        <v>5</v>
      </c>
      <c r="I87">
        <v>-2</v>
      </c>
      <c r="J87">
        <v>0</v>
      </c>
      <c r="K87">
        <v>-3</v>
      </c>
      <c r="L87">
        <v>-3</v>
      </c>
      <c r="M87">
        <v>20</v>
      </c>
      <c r="N87">
        <v>9</v>
      </c>
      <c r="O87">
        <v>1.8</v>
      </c>
      <c r="P87" t="s">
        <v>7380</v>
      </c>
      <c r="Q87" t="s">
        <v>7410</v>
      </c>
      <c r="R87">
        <v>3</v>
      </c>
      <c r="S87">
        <v>7</v>
      </c>
      <c r="T87">
        <v>3</v>
      </c>
      <c r="U87">
        <v>0.5</v>
      </c>
      <c r="V87">
        <v>1</v>
      </c>
      <c r="Z87">
        <v>1</v>
      </c>
      <c r="AA87">
        <v>1</v>
      </c>
    </row>
    <row r="88" spans="1:27">
      <c r="A88" t="s">
        <v>1420</v>
      </c>
      <c r="B88" t="s">
        <v>7388</v>
      </c>
      <c r="C88" t="s">
        <v>7466</v>
      </c>
      <c r="D88">
        <v>8</v>
      </c>
      <c r="E88">
        <v>3</v>
      </c>
      <c r="F88" t="s">
        <v>5496</v>
      </c>
      <c r="G88" t="s">
        <v>5496</v>
      </c>
      <c r="H88">
        <v>4</v>
      </c>
      <c r="I88">
        <v>-2</v>
      </c>
      <c r="J88">
        <v>0</v>
      </c>
      <c r="K88">
        <v>-2</v>
      </c>
      <c r="L88">
        <v>-1</v>
      </c>
      <c r="M88">
        <v>10</v>
      </c>
      <c r="N88">
        <v>6</v>
      </c>
      <c r="O88">
        <v>1.4</v>
      </c>
      <c r="P88" t="s">
        <v>7380</v>
      </c>
      <c r="Q88" t="s">
        <v>7410</v>
      </c>
      <c r="R88">
        <v>2</v>
      </c>
      <c r="S88">
        <v>7</v>
      </c>
      <c r="T88">
        <v>2</v>
      </c>
      <c r="U88">
        <v>0.5</v>
      </c>
      <c r="V88">
        <v>0.25</v>
      </c>
      <c r="Z88">
        <v>1</v>
      </c>
      <c r="AA88">
        <v>1</v>
      </c>
    </row>
    <row r="89" spans="1:27">
      <c r="A89" t="s">
        <v>1418</v>
      </c>
      <c r="B89" t="s">
        <v>7381</v>
      </c>
      <c r="C89" t="s">
        <v>7467</v>
      </c>
      <c r="D89">
        <v>11</v>
      </c>
      <c r="E89">
        <v>5</v>
      </c>
      <c r="F89" t="s">
        <v>5499</v>
      </c>
      <c r="G89" t="s">
        <v>5497</v>
      </c>
      <c r="H89">
        <v>3</v>
      </c>
      <c r="I89">
        <v>-6</v>
      </c>
      <c r="J89">
        <v>0</v>
      </c>
      <c r="K89">
        <v>-3</v>
      </c>
      <c r="L89">
        <v>-2</v>
      </c>
      <c r="M89">
        <v>11</v>
      </c>
      <c r="N89">
        <v>8</v>
      </c>
      <c r="O89">
        <v>1</v>
      </c>
      <c r="P89">
        <v>2</v>
      </c>
      <c r="R89">
        <v>15</v>
      </c>
      <c r="S89">
        <v>13</v>
      </c>
      <c r="T89">
        <v>19</v>
      </c>
      <c r="U89">
        <v>1</v>
      </c>
      <c r="V89">
        <v>5</v>
      </c>
      <c r="Z89">
        <v>1</v>
      </c>
      <c r="AA89">
        <v>1</v>
      </c>
    </row>
    <row r="90" spans="1:27">
      <c r="A90" t="s">
        <v>1418</v>
      </c>
      <c r="B90" t="s">
        <v>7383</v>
      </c>
      <c r="C90" t="s">
        <v>7467</v>
      </c>
      <c r="D90">
        <v>11</v>
      </c>
      <c r="E90">
        <v>5</v>
      </c>
      <c r="F90" t="s">
        <v>5499</v>
      </c>
      <c r="G90" t="s">
        <v>5497</v>
      </c>
      <c r="H90">
        <v>3</v>
      </c>
      <c r="I90">
        <v>-6</v>
      </c>
      <c r="J90">
        <v>0</v>
      </c>
      <c r="K90">
        <v>-3</v>
      </c>
      <c r="L90">
        <v>-2</v>
      </c>
      <c r="M90">
        <v>11</v>
      </c>
      <c r="N90">
        <v>8</v>
      </c>
      <c r="O90">
        <v>1</v>
      </c>
      <c r="P90">
        <v>2</v>
      </c>
      <c r="R90">
        <v>15</v>
      </c>
      <c r="S90">
        <v>13</v>
      </c>
      <c r="T90">
        <v>19</v>
      </c>
      <c r="U90">
        <v>1</v>
      </c>
      <c r="V90">
        <v>5</v>
      </c>
      <c r="Z90">
        <v>1</v>
      </c>
      <c r="AA90">
        <v>1</v>
      </c>
    </row>
    <row r="91" spans="1:27">
      <c r="A91" t="s">
        <v>1418</v>
      </c>
      <c r="B91" t="s">
        <v>7381</v>
      </c>
      <c r="C91" t="s">
        <v>7468</v>
      </c>
      <c r="D91">
        <v>10</v>
      </c>
      <c r="E91">
        <v>4</v>
      </c>
      <c r="F91" t="s">
        <v>5498</v>
      </c>
      <c r="G91" t="s">
        <v>5496</v>
      </c>
      <c r="H91">
        <v>4</v>
      </c>
      <c r="I91">
        <v>-3</v>
      </c>
      <c r="J91">
        <v>0</v>
      </c>
      <c r="K91">
        <v>-2</v>
      </c>
      <c r="L91">
        <v>-2</v>
      </c>
      <c r="M91">
        <v>9</v>
      </c>
      <c r="N91">
        <v>6</v>
      </c>
      <c r="O91">
        <v>1</v>
      </c>
      <c r="P91">
        <v>1</v>
      </c>
      <c r="R91">
        <v>13</v>
      </c>
      <c r="S91">
        <v>15</v>
      </c>
      <c r="T91">
        <v>16</v>
      </c>
      <c r="U91">
        <v>1</v>
      </c>
      <c r="V91">
        <v>4</v>
      </c>
      <c r="Z91">
        <v>1</v>
      </c>
      <c r="AA91">
        <v>1</v>
      </c>
    </row>
    <row r="92" spans="1:27">
      <c r="A92" t="s">
        <v>1415</v>
      </c>
      <c r="B92" t="s">
        <v>7432</v>
      </c>
      <c r="C92" t="s">
        <v>7469</v>
      </c>
      <c r="D92">
        <v>7</v>
      </c>
      <c r="E92">
        <v>0</v>
      </c>
      <c r="F92" t="s">
        <v>5486</v>
      </c>
      <c r="G92" t="s">
        <v>5486</v>
      </c>
      <c r="H92">
        <v>3</v>
      </c>
      <c r="I92">
        <v>-4</v>
      </c>
      <c r="J92">
        <v>0</v>
      </c>
      <c r="K92">
        <v>-7</v>
      </c>
      <c r="L92">
        <v>-15</v>
      </c>
      <c r="M92">
        <v>10</v>
      </c>
      <c r="N92">
        <v>6</v>
      </c>
      <c r="O92">
        <v>1</v>
      </c>
      <c r="P92">
        <v>6</v>
      </c>
      <c r="R92">
        <v>1</v>
      </c>
      <c r="S92">
        <v>12</v>
      </c>
      <c r="T92">
        <v>6</v>
      </c>
      <c r="U92">
        <v>2</v>
      </c>
      <c r="V92">
        <v>1</v>
      </c>
      <c r="Z92">
        <v>1</v>
      </c>
      <c r="AA92">
        <v>1</v>
      </c>
    </row>
    <row r="93" spans="1:27">
      <c r="A93" t="s">
        <v>1424</v>
      </c>
      <c r="B93" t="s">
        <v>7412</v>
      </c>
      <c r="C93" t="s">
        <v>7470</v>
      </c>
      <c r="D93">
        <v>14</v>
      </c>
      <c r="E93">
        <v>7</v>
      </c>
      <c r="F93" t="s">
        <v>5498</v>
      </c>
      <c r="G93" t="s">
        <v>5496</v>
      </c>
      <c r="H93">
        <v>2</v>
      </c>
      <c r="I93">
        <v>-4</v>
      </c>
      <c r="J93">
        <v>0</v>
      </c>
      <c r="K93">
        <v>-7</v>
      </c>
      <c r="L93">
        <v>-15</v>
      </c>
      <c r="M93">
        <v>14</v>
      </c>
      <c r="N93">
        <v>11</v>
      </c>
      <c r="O93">
        <v>1.5</v>
      </c>
      <c r="P93">
        <v>3</v>
      </c>
      <c r="R93">
        <v>2</v>
      </c>
      <c r="S93">
        <v>7</v>
      </c>
      <c r="T93">
        <v>6</v>
      </c>
      <c r="U93">
        <v>3</v>
      </c>
      <c r="V93">
        <v>1.5</v>
      </c>
      <c r="Z93">
        <v>1</v>
      </c>
      <c r="AA93">
        <v>1</v>
      </c>
    </row>
    <row r="94" spans="1:27">
      <c r="A94" t="s">
        <v>1415</v>
      </c>
      <c r="B94" t="s">
        <v>7421</v>
      </c>
      <c r="C94" t="s">
        <v>7471</v>
      </c>
      <c r="D94">
        <v>9</v>
      </c>
      <c r="E94">
        <v>4</v>
      </c>
      <c r="F94" t="s">
        <v>5496</v>
      </c>
      <c r="G94" t="s">
        <v>5496</v>
      </c>
      <c r="H94">
        <v>3</v>
      </c>
      <c r="I94">
        <v>-4</v>
      </c>
      <c r="J94">
        <v>0</v>
      </c>
      <c r="K94">
        <v>-4</v>
      </c>
      <c r="L94">
        <v>-5</v>
      </c>
      <c r="M94">
        <v>9</v>
      </c>
      <c r="N94">
        <v>7</v>
      </c>
      <c r="O94">
        <v>1</v>
      </c>
      <c r="P94">
        <v>0</v>
      </c>
      <c r="Q94" t="s">
        <v>7371</v>
      </c>
      <c r="R94">
        <v>12</v>
      </c>
      <c r="S94">
        <v>7</v>
      </c>
      <c r="T94">
        <v>3</v>
      </c>
      <c r="U94">
        <v>0.5</v>
      </c>
      <c r="V94">
        <v>0.25</v>
      </c>
      <c r="Z94">
        <v>1</v>
      </c>
      <c r="AA94">
        <v>1</v>
      </c>
    </row>
    <row r="95" spans="1:27">
      <c r="A95" t="s">
        <v>1415</v>
      </c>
      <c r="B95" t="s">
        <v>7377</v>
      </c>
      <c r="C95" t="s">
        <v>7472</v>
      </c>
      <c r="D95">
        <v>15</v>
      </c>
      <c r="E95">
        <v>8</v>
      </c>
      <c r="F95" t="s">
        <v>7395</v>
      </c>
      <c r="H95">
        <v>1.5</v>
      </c>
      <c r="I95">
        <v>-13</v>
      </c>
      <c r="J95">
        <v>0</v>
      </c>
      <c r="K95">
        <v>-6</v>
      </c>
      <c r="L95">
        <v>-7</v>
      </c>
      <c r="M95">
        <v>34</v>
      </c>
      <c r="N95">
        <v>19</v>
      </c>
      <c r="O95">
        <v>1.7</v>
      </c>
      <c r="P95" t="s">
        <v>7380</v>
      </c>
      <c r="Q95" t="s">
        <v>7371</v>
      </c>
      <c r="R95">
        <v>14</v>
      </c>
      <c r="S95">
        <v>11</v>
      </c>
      <c r="T95">
        <v>10</v>
      </c>
      <c r="U95">
        <v>1</v>
      </c>
      <c r="V95">
        <v>0.25</v>
      </c>
      <c r="W95" t="s">
        <v>5469</v>
      </c>
      <c r="Z95">
        <v>1</v>
      </c>
      <c r="AA95">
        <v>1</v>
      </c>
    </row>
    <row r="96" spans="1:27">
      <c r="A96" t="s">
        <v>1424</v>
      </c>
      <c r="B96" t="s">
        <v>7365</v>
      </c>
      <c r="C96" t="s">
        <v>7473</v>
      </c>
      <c r="D96">
        <v>2</v>
      </c>
      <c r="E96">
        <v>2</v>
      </c>
      <c r="F96" t="s">
        <v>5498</v>
      </c>
      <c r="G96" t="s">
        <v>5496</v>
      </c>
      <c r="H96">
        <v>3</v>
      </c>
      <c r="I96">
        <v>-6</v>
      </c>
      <c r="J96">
        <v>0</v>
      </c>
      <c r="K96">
        <v>-2</v>
      </c>
      <c r="L96">
        <v>-6</v>
      </c>
      <c r="M96">
        <v>6</v>
      </c>
      <c r="O96">
        <v>0.2</v>
      </c>
      <c r="P96">
        <v>3</v>
      </c>
      <c r="R96">
        <v>7</v>
      </c>
      <c r="S96">
        <v>12</v>
      </c>
      <c r="T96">
        <v>6</v>
      </c>
      <c r="U96">
        <v>0.4</v>
      </c>
      <c r="V96">
        <v>1</v>
      </c>
      <c r="Z96">
        <v>1</v>
      </c>
      <c r="AA96">
        <v>1</v>
      </c>
    </row>
    <row r="97" spans="1:27">
      <c r="A97" t="s">
        <v>1415</v>
      </c>
      <c r="B97" t="s">
        <v>7369</v>
      </c>
      <c r="C97" t="s">
        <v>7474</v>
      </c>
      <c r="D97">
        <v>6</v>
      </c>
      <c r="E97">
        <v>4.5</v>
      </c>
      <c r="F97" t="s">
        <v>7379</v>
      </c>
      <c r="G97" t="s">
        <v>5499</v>
      </c>
      <c r="H97">
        <v>3</v>
      </c>
      <c r="I97">
        <v>-10</v>
      </c>
      <c r="J97">
        <v>0</v>
      </c>
      <c r="K97">
        <v>-3</v>
      </c>
      <c r="L97">
        <v>-4</v>
      </c>
      <c r="M97">
        <v>12</v>
      </c>
      <c r="N97">
        <v>7</v>
      </c>
      <c r="O97">
        <v>0.6</v>
      </c>
      <c r="P97">
        <v>4</v>
      </c>
      <c r="Q97" t="s">
        <v>7371</v>
      </c>
      <c r="R97">
        <v>18</v>
      </c>
      <c r="S97">
        <v>7</v>
      </c>
      <c r="T97">
        <v>10</v>
      </c>
      <c r="U97">
        <v>0.7</v>
      </c>
      <c r="V97">
        <v>4</v>
      </c>
      <c r="Z97">
        <v>1</v>
      </c>
      <c r="AA97">
        <v>1</v>
      </c>
    </row>
    <row r="98" spans="1:27">
      <c r="A98" t="s">
        <v>1415</v>
      </c>
      <c r="B98" t="s">
        <v>7369</v>
      </c>
      <c r="C98" t="s">
        <v>7475</v>
      </c>
      <c r="D98">
        <v>9</v>
      </c>
      <c r="E98">
        <v>6</v>
      </c>
      <c r="F98" t="s">
        <v>7476</v>
      </c>
      <c r="G98" t="s">
        <v>5499</v>
      </c>
      <c r="H98">
        <v>3</v>
      </c>
      <c r="I98">
        <v>-10</v>
      </c>
      <c r="J98">
        <v>0</v>
      </c>
      <c r="K98">
        <v>-5</v>
      </c>
      <c r="L98">
        <v>-4</v>
      </c>
      <c r="M98">
        <v>19</v>
      </c>
      <c r="N98">
        <v>12</v>
      </c>
      <c r="O98">
        <v>0.9</v>
      </c>
      <c r="P98">
        <v>0</v>
      </c>
      <c r="Q98" t="s">
        <v>7371</v>
      </c>
      <c r="R98">
        <v>18</v>
      </c>
      <c r="S98">
        <v>7</v>
      </c>
      <c r="T98">
        <v>8</v>
      </c>
      <c r="U98">
        <v>1.2</v>
      </c>
      <c r="V98">
        <v>4</v>
      </c>
      <c r="W98" t="s">
        <v>5468</v>
      </c>
      <c r="Z98">
        <v>1</v>
      </c>
      <c r="AA98">
        <v>1</v>
      </c>
    </row>
    <row r="99" spans="1:27">
      <c r="A99" t="s">
        <v>1415</v>
      </c>
      <c r="B99" t="s">
        <v>7377</v>
      </c>
      <c r="C99" t="s">
        <v>7477</v>
      </c>
      <c r="D99">
        <v>13</v>
      </c>
      <c r="E99">
        <v>7</v>
      </c>
      <c r="F99" t="s">
        <v>5499</v>
      </c>
      <c r="G99" t="s">
        <v>5499</v>
      </c>
      <c r="H99">
        <v>2</v>
      </c>
      <c r="I99">
        <v>-11</v>
      </c>
      <c r="J99">
        <v>0</v>
      </c>
      <c r="K99">
        <v>-7</v>
      </c>
      <c r="L99">
        <v>-7</v>
      </c>
      <c r="M99">
        <v>28</v>
      </c>
      <c r="N99">
        <v>16</v>
      </c>
      <c r="O99">
        <v>1.4</v>
      </c>
      <c r="P99" t="s">
        <v>7380</v>
      </c>
      <c r="Q99" t="s">
        <v>7371</v>
      </c>
      <c r="R99">
        <v>19</v>
      </c>
      <c r="S99">
        <v>9</v>
      </c>
      <c r="T99">
        <v>9</v>
      </c>
      <c r="U99">
        <v>1.4</v>
      </c>
      <c r="V99">
        <v>5</v>
      </c>
      <c r="Z99">
        <v>1</v>
      </c>
      <c r="AA99">
        <v>1</v>
      </c>
    </row>
    <row r="100" spans="1:27">
      <c r="A100" t="s">
        <v>1415</v>
      </c>
      <c r="B100" t="s">
        <v>7377</v>
      </c>
      <c r="C100" t="s">
        <v>7478</v>
      </c>
      <c r="D100">
        <v>13</v>
      </c>
      <c r="E100">
        <v>7</v>
      </c>
      <c r="F100" t="s">
        <v>5501</v>
      </c>
      <c r="H100">
        <v>2</v>
      </c>
      <c r="I100">
        <v>-11</v>
      </c>
      <c r="J100">
        <v>4</v>
      </c>
      <c r="K100">
        <v>-7</v>
      </c>
      <c r="L100">
        <v>-7</v>
      </c>
      <c r="M100">
        <v>28</v>
      </c>
      <c r="N100">
        <v>16</v>
      </c>
      <c r="O100">
        <v>1.4</v>
      </c>
      <c r="P100" t="s">
        <v>7380</v>
      </c>
      <c r="Q100" t="s">
        <v>7371</v>
      </c>
      <c r="R100">
        <v>19</v>
      </c>
      <c r="S100">
        <v>9</v>
      </c>
      <c r="T100">
        <v>9</v>
      </c>
      <c r="U100">
        <v>1.4</v>
      </c>
      <c r="V100">
        <v>5</v>
      </c>
      <c r="Z100">
        <v>1</v>
      </c>
      <c r="AA100">
        <v>1</v>
      </c>
    </row>
    <row r="101" spans="1:27">
      <c r="A101" t="s">
        <v>1420</v>
      </c>
      <c r="B101" t="s">
        <v>7391</v>
      </c>
      <c r="C101" t="s">
        <v>7479</v>
      </c>
      <c r="D101">
        <v>19</v>
      </c>
      <c r="E101">
        <v>6</v>
      </c>
      <c r="F101" t="s">
        <v>5500</v>
      </c>
      <c r="G101" t="s">
        <v>5497</v>
      </c>
      <c r="H101">
        <v>2</v>
      </c>
      <c r="I101">
        <v>-11</v>
      </c>
      <c r="J101">
        <v>0</v>
      </c>
      <c r="K101">
        <v>-7</v>
      </c>
      <c r="L101">
        <v>-7</v>
      </c>
      <c r="M101">
        <v>20</v>
      </c>
      <c r="N101">
        <v>10</v>
      </c>
      <c r="O101">
        <v>2</v>
      </c>
      <c r="P101" t="s">
        <v>7380</v>
      </c>
      <c r="Q101" t="s">
        <v>7371</v>
      </c>
      <c r="R101">
        <v>12</v>
      </c>
      <c r="S101">
        <v>6</v>
      </c>
      <c r="T101">
        <v>14</v>
      </c>
      <c r="U101">
        <v>1.7</v>
      </c>
      <c r="V101">
        <v>1.5</v>
      </c>
      <c r="Z101">
        <v>1</v>
      </c>
      <c r="AA101">
        <v>1</v>
      </c>
    </row>
    <row r="102" spans="1:27">
      <c r="A102" t="s">
        <v>1420</v>
      </c>
      <c r="B102" t="s">
        <v>7388</v>
      </c>
      <c r="C102" t="s">
        <v>7480</v>
      </c>
      <c r="D102">
        <v>14</v>
      </c>
      <c r="E102">
        <v>6</v>
      </c>
      <c r="F102" t="s">
        <v>7385</v>
      </c>
      <c r="G102" t="s">
        <v>5496</v>
      </c>
      <c r="H102">
        <v>2</v>
      </c>
      <c r="I102">
        <v>-11</v>
      </c>
      <c r="J102">
        <v>0</v>
      </c>
      <c r="K102">
        <v>-5</v>
      </c>
      <c r="L102">
        <v>-5</v>
      </c>
      <c r="M102">
        <v>19</v>
      </c>
      <c r="N102">
        <v>9</v>
      </c>
      <c r="O102">
        <v>1.3</v>
      </c>
      <c r="P102" t="s">
        <v>7380</v>
      </c>
      <c r="Q102" t="s">
        <v>7371</v>
      </c>
      <c r="R102">
        <v>11</v>
      </c>
      <c r="S102">
        <v>6</v>
      </c>
      <c r="T102">
        <v>14</v>
      </c>
      <c r="U102">
        <v>1.7</v>
      </c>
      <c r="V102">
        <v>1.5</v>
      </c>
      <c r="Z102">
        <v>1</v>
      </c>
      <c r="AA102">
        <v>1</v>
      </c>
    </row>
    <row r="103" spans="1:27">
      <c r="A103" t="s">
        <v>1415</v>
      </c>
      <c r="B103" t="s">
        <v>7421</v>
      </c>
      <c r="C103" t="s">
        <v>7481</v>
      </c>
      <c r="D103">
        <v>8</v>
      </c>
      <c r="E103">
        <v>5</v>
      </c>
      <c r="F103" t="s">
        <v>7386</v>
      </c>
      <c r="G103" t="s">
        <v>5497</v>
      </c>
      <c r="H103">
        <v>3</v>
      </c>
      <c r="I103">
        <v>-5</v>
      </c>
      <c r="J103">
        <v>4</v>
      </c>
      <c r="K103">
        <v>-4</v>
      </c>
      <c r="L103">
        <v>-4</v>
      </c>
      <c r="M103">
        <v>11</v>
      </c>
      <c r="N103">
        <v>8</v>
      </c>
      <c r="O103">
        <v>0.75</v>
      </c>
      <c r="P103">
        <v>1</v>
      </c>
      <c r="Q103" t="s">
        <v>7371</v>
      </c>
      <c r="R103">
        <v>16</v>
      </c>
      <c r="S103">
        <v>8</v>
      </c>
      <c r="T103">
        <v>15</v>
      </c>
      <c r="U103">
        <v>1.5</v>
      </c>
      <c r="V103">
        <v>3.5</v>
      </c>
      <c r="Z103">
        <v>1</v>
      </c>
      <c r="AA103">
        <v>1</v>
      </c>
    </row>
    <row r="104" spans="1:27">
      <c r="A104" t="s">
        <v>1422</v>
      </c>
      <c r="B104" t="s">
        <v>7397</v>
      </c>
      <c r="C104" t="s">
        <v>7482</v>
      </c>
      <c r="D104">
        <v>5</v>
      </c>
      <c r="E104">
        <v>3.5</v>
      </c>
      <c r="F104" t="s">
        <v>5499</v>
      </c>
      <c r="G104" t="s">
        <v>5496</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7435</v>
      </c>
      <c r="C105" t="s">
        <v>7483</v>
      </c>
      <c r="D105">
        <v>6</v>
      </c>
      <c r="E105">
        <v>3.5</v>
      </c>
      <c r="F105" t="s">
        <v>5497</v>
      </c>
      <c r="G105" t="s">
        <v>5497</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7381</v>
      </c>
      <c r="C106" t="s">
        <v>7484</v>
      </c>
      <c r="D106">
        <v>8</v>
      </c>
      <c r="E106">
        <v>5</v>
      </c>
      <c r="F106" t="s">
        <v>5498</v>
      </c>
      <c r="G106" t="s">
        <v>5498</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7381</v>
      </c>
      <c r="C107" t="s">
        <v>7485</v>
      </c>
      <c r="D107">
        <v>11</v>
      </c>
      <c r="E107">
        <v>4</v>
      </c>
      <c r="F107" t="s">
        <v>5498</v>
      </c>
      <c r="G107" t="s">
        <v>5496</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7412</v>
      </c>
      <c r="C108" t="s">
        <v>7486</v>
      </c>
      <c r="D108">
        <v>28</v>
      </c>
      <c r="E108">
        <v>4</v>
      </c>
      <c r="F108" t="s">
        <v>5497</v>
      </c>
      <c r="G108" t="s">
        <v>5486</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7435</v>
      </c>
      <c r="C109" t="s">
        <v>7487</v>
      </c>
      <c r="D109">
        <v>7</v>
      </c>
      <c r="E109">
        <v>3.5</v>
      </c>
      <c r="F109" t="s">
        <v>5497</v>
      </c>
      <c r="G109" t="s">
        <v>5496</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7367</v>
      </c>
      <c r="C110" t="s">
        <v>7488</v>
      </c>
      <c r="D110">
        <v>7</v>
      </c>
      <c r="E110">
        <v>4.5</v>
      </c>
      <c r="F110" t="s">
        <v>5499</v>
      </c>
      <c r="G110" t="s">
        <v>5496</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7435</v>
      </c>
      <c r="C111" t="s">
        <v>7488</v>
      </c>
      <c r="D111">
        <v>7</v>
      </c>
      <c r="E111">
        <v>4.5</v>
      </c>
      <c r="F111" t="s">
        <v>5499</v>
      </c>
      <c r="G111" t="s">
        <v>5496</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7373</v>
      </c>
      <c r="C112" t="s">
        <v>7489</v>
      </c>
      <c r="D112">
        <v>13</v>
      </c>
      <c r="E112">
        <v>3</v>
      </c>
      <c r="F112" t="s">
        <v>5499</v>
      </c>
      <c r="G112" t="s">
        <v>5486</v>
      </c>
      <c r="H112">
        <v>4</v>
      </c>
      <c r="I112">
        <v>-4</v>
      </c>
      <c r="J112">
        <v>0</v>
      </c>
      <c r="K112">
        <v>-5</v>
      </c>
      <c r="L112">
        <v>-5</v>
      </c>
      <c r="M112">
        <v>7</v>
      </c>
      <c r="N112">
        <v>4</v>
      </c>
      <c r="O112">
        <v>1.2</v>
      </c>
      <c r="P112">
        <v>0</v>
      </c>
      <c r="Q112" t="s">
        <v>7371</v>
      </c>
      <c r="R112">
        <v>3</v>
      </c>
      <c r="S112">
        <v>7</v>
      </c>
      <c r="T112">
        <v>3</v>
      </c>
      <c r="U112">
        <v>0.5</v>
      </c>
      <c r="V112">
        <v>0.5</v>
      </c>
      <c r="Z112">
        <v>1</v>
      </c>
      <c r="AA112">
        <v>1</v>
      </c>
    </row>
    <row r="113" spans="1:27">
      <c r="A113" t="s">
        <v>1415</v>
      </c>
      <c r="B113" t="s">
        <v>7377</v>
      </c>
      <c r="C113" t="s">
        <v>7490</v>
      </c>
      <c r="D113">
        <v>15</v>
      </c>
      <c r="E113">
        <v>7</v>
      </c>
      <c r="F113" t="s">
        <v>5500</v>
      </c>
      <c r="G113" t="s">
        <v>7386</v>
      </c>
      <c r="H113">
        <v>2</v>
      </c>
      <c r="I113">
        <v>-10</v>
      </c>
      <c r="J113">
        <v>0</v>
      </c>
      <c r="K113">
        <v>-6</v>
      </c>
      <c r="L113">
        <v>-7</v>
      </c>
      <c r="M113">
        <v>26</v>
      </c>
      <c r="N113">
        <v>13</v>
      </c>
      <c r="O113">
        <v>1.65</v>
      </c>
      <c r="P113" t="s">
        <v>7380</v>
      </c>
      <c r="Q113" t="s">
        <v>7371</v>
      </c>
      <c r="R113">
        <v>18</v>
      </c>
      <c r="S113">
        <v>6</v>
      </c>
      <c r="T113">
        <v>8</v>
      </c>
      <c r="U113">
        <v>1.9</v>
      </c>
      <c r="V113">
        <v>1.5</v>
      </c>
      <c r="Z113">
        <v>1</v>
      </c>
      <c r="AA113">
        <v>1</v>
      </c>
    </row>
    <row r="114" spans="1:27">
      <c r="A114" t="s">
        <v>1420</v>
      </c>
      <c r="B114" t="s">
        <v>7391</v>
      </c>
      <c r="C114" t="s">
        <v>7490</v>
      </c>
      <c r="D114">
        <v>15</v>
      </c>
      <c r="E114">
        <v>7</v>
      </c>
      <c r="F114" t="s">
        <v>5500</v>
      </c>
      <c r="G114" t="s">
        <v>7386</v>
      </c>
      <c r="H114">
        <v>2</v>
      </c>
      <c r="I114">
        <v>-10</v>
      </c>
      <c r="J114">
        <v>0</v>
      </c>
      <c r="K114">
        <v>-6</v>
      </c>
      <c r="L114">
        <v>-7</v>
      </c>
      <c r="M114">
        <v>26</v>
      </c>
      <c r="N114">
        <v>13</v>
      </c>
      <c r="O114">
        <v>1.65</v>
      </c>
      <c r="P114" t="s">
        <v>7380</v>
      </c>
      <c r="Q114" t="s">
        <v>7371</v>
      </c>
      <c r="R114">
        <v>18</v>
      </c>
      <c r="S114">
        <v>6</v>
      </c>
      <c r="T114">
        <v>8</v>
      </c>
      <c r="U114">
        <v>1.9</v>
      </c>
      <c r="V114">
        <v>1.5</v>
      </c>
      <c r="Z114">
        <v>1</v>
      </c>
      <c r="AA114">
        <v>1</v>
      </c>
    </row>
    <row r="115" spans="1:27">
      <c r="A115" t="s">
        <v>1415</v>
      </c>
      <c r="B115" t="s">
        <v>7377</v>
      </c>
      <c r="C115" t="s">
        <v>7491</v>
      </c>
      <c r="D115">
        <v>16</v>
      </c>
      <c r="E115">
        <v>7.5</v>
      </c>
      <c r="F115" t="s">
        <v>5500</v>
      </c>
      <c r="G115" t="s">
        <v>7386</v>
      </c>
      <c r="H115">
        <v>2</v>
      </c>
      <c r="I115">
        <v>-10</v>
      </c>
      <c r="J115">
        <v>0</v>
      </c>
      <c r="K115">
        <v>-7</v>
      </c>
      <c r="L115">
        <v>-6</v>
      </c>
      <c r="M115">
        <v>29</v>
      </c>
      <c r="N115">
        <v>16</v>
      </c>
      <c r="O115">
        <v>1.8</v>
      </c>
      <c r="P115" t="s">
        <v>7380</v>
      </c>
      <c r="Q115" t="s">
        <v>7371</v>
      </c>
      <c r="R115">
        <v>19</v>
      </c>
      <c r="S115">
        <v>7</v>
      </c>
      <c r="T115">
        <v>18</v>
      </c>
      <c r="U115">
        <v>2.2000000000000002</v>
      </c>
      <c r="V115">
        <v>2.25</v>
      </c>
      <c r="Z115">
        <v>1</v>
      </c>
      <c r="AA115">
        <v>1</v>
      </c>
    </row>
    <row r="116" spans="1:27">
      <c r="A116" t="s">
        <v>1420</v>
      </c>
      <c r="B116" t="s">
        <v>7391</v>
      </c>
      <c r="C116" t="s">
        <v>7491</v>
      </c>
      <c r="D116">
        <v>16</v>
      </c>
      <c r="E116">
        <v>7.5</v>
      </c>
      <c r="F116" t="s">
        <v>5500</v>
      </c>
      <c r="G116" t="s">
        <v>7386</v>
      </c>
      <c r="H116">
        <v>2</v>
      </c>
      <c r="I116">
        <v>-10</v>
      </c>
      <c r="J116">
        <v>0</v>
      </c>
      <c r="K116">
        <v>-7</v>
      </c>
      <c r="L116">
        <v>-6</v>
      </c>
      <c r="M116">
        <v>29</v>
      </c>
      <c r="N116">
        <v>16</v>
      </c>
      <c r="O116">
        <v>1.8</v>
      </c>
      <c r="P116" t="s">
        <v>7380</v>
      </c>
      <c r="Q116" t="s">
        <v>7371</v>
      </c>
      <c r="R116">
        <v>19</v>
      </c>
      <c r="S116">
        <v>7</v>
      </c>
      <c r="T116">
        <v>18</v>
      </c>
      <c r="U116">
        <v>2.2000000000000002</v>
      </c>
      <c r="V116">
        <v>2.25</v>
      </c>
      <c r="Z116">
        <v>1</v>
      </c>
      <c r="AA116">
        <v>1</v>
      </c>
    </row>
    <row r="117" spans="1:27">
      <c r="A117" t="s">
        <v>1422</v>
      </c>
      <c r="B117" t="s">
        <v>7397</v>
      </c>
      <c r="C117" t="s">
        <v>7492</v>
      </c>
      <c r="D117">
        <v>4</v>
      </c>
      <c r="E117">
        <v>3</v>
      </c>
      <c r="F117" t="s">
        <v>7385</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7381</v>
      </c>
      <c r="C118" t="s">
        <v>7493</v>
      </c>
      <c r="D118">
        <v>11</v>
      </c>
      <c r="E118">
        <v>5</v>
      </c>
      <c r="F118" t="s">
        <v>5499</v>
      </c>
      <c r="G118" t="s">
        <v>5497</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7494</v>
      </c>
      <c r="C119" t="s">
        <v>7495</v>
      </c>
      <c r="D119">
        <v>27</v>
      </c>
      <c r="E119">
        <v>4</v>
      </c>
      <c r="F119" t="s">
        <v>7385</v>
      </c>
      <c r="G119" t="s">
        <v>5496</v>
      </c>
      <c r="H119">
        <v>4</v>
      </c>
      <c r="I119">
        <v>-6</v>
      </c>
      <c r="J119">
        <v>0</v>
      </c>
      <c r="K119">
        <v>-5</v>
      </c>
      <c r="L119">
        <v>-6</v>
      </c>
      <c r="M119">
        <v>17</v>
      </c>
      <c r="N119">
        <v>11</v>
      </c>
      <c r="O119">
        <v>2.5</v>
      </c>
      <c r="P119" t="s">
        <v>7380</v>
      </c>
      <c r="Q119" t="s">
        <v>7371</v>
      </c>
      <c r="R119">
        <v>5</v>
      </c>
      <c r="S119">
        <v>8</v>
      </c>
      <c r="T119">
        <v>3</v>
      </c>
      <c r="U119">
        <v>1</v>
      </c>
      <c r="V119">
        <v>4</v>
      </c>
      <c r="Z119">
        <v>1</v>
      </c>
      <c r="AA119">
        <v>1</v>
      </c>
    </row>
    <row r="120" spans="1:27">
      <c r="A120" t="s">
        <v>1420</v>
      </c>
      <c r="B120" t="s">
        <v>7494</v>
      </c>
      <c r="C120" t="s">
        <v>7496</v>
      </c>
      <c r="D120">
        <v>32</v>
      </c>
      <c r="E120">
        <v>4</v>
      </c>
      <c r="F120" t="s">
        <v>7385</v>
      </c>
      <c r="G120" t="s">
        <v>5486</v>
      </c>
      <c r="H120">
        <v>4</v>
      </c>
      <c r="I120">
        <v>-6</v>
      </c>
      <c r="J120">
        <v>0</v>
      </c>
      <c r="K120">
        <v>-5</v>
      </c>
      <c r="L120">
        <v>-7</v>
      </c>
      <c r="M120">
        <v>19</v>
      </c>
      <c r="N120">
        <v>12</v>
      </c>
      <c r="O120">
        <v>3</v>
      </c>
      <c r="P120" t="s">
        <v>7380</v>
      </c>
      <c r="Q120" t="s">
        <v>7371</v>
      </c>
      <c r="R120">
        <v>5</v>
      </c>
      <c r="S120">
        <v>9</v>
      </c>
      <c r="T120">
        <v>3</v>
      </c>
      <c r="U120">
        <v>1</v>
      </c>
      <c r="V120">
        <v>4</v>
      </c>
      <c r="Z120">
        <v>1</v>
      </c>
      <c r="AA120">
        <v>1</v>
      </c>
    </row>
    <row r="121" spans="1:27">
      <c r="A121" t="s">
        <v>1415</v>
      </c>
      <c r="B121" t="s">
        <v>7421</v>
      </c>
      <c r="C121" t="s">
        <v>7497</v>
      </c>
      <c r="D121">
        <v>12</v>
      </c>
      <c r="E121">
        <v>4.5</v>
      </c>
      <c r="F121" t="s">
        <v>5497</v>
      </c>
      <c r="G121" t="s">
        <v>5497</v>
      </c>
      <c r="H121">
        <v>4</v>
      </c>
      <c r="I121">
        <v>-5</v>
      </c>
      <c r="J121">
        <v>0</v>
      </c>
      <c r="K121">
        <v>-4</v>
      </c>
      <c r="L121">
        <v>-3</v>
      </c>
      <c r="M121">
        <v>10</v>
      </c>
      <c r="N121">
        <v>8</v>
      </c>
      <c r="O121">
        <v>1.2</v>
      </c>
      <c r="P121">
        <v>1</v>
      </c>
      <c r="Q121" t="s">
        <v>7371</v>
      </c>
      <c r="R121">
        <v>15</v>
      </c>
      <c r="S121">
        <v>7</v>
      </c>
      <c r="T121">
        <v>9</v>
      </c>
      <c r="U121">
        <v>1.4</v>
      </c>
      <c r="V121">
        <v>5</v>
      </c>
      <c r="Z121">
        <v>1</v>
      </c>
      <c r="AA121">
        <v>1</v>
      </c>
    </row>
    <row r="122" spans="1:27">
      <c r="A122" t="s">
        <v>1415</v>
      </c>
      <c r="B122" t="s">
        <v>7421</v>
      </c>
      <c r="C122" t="s">
        <v>7498</v>
      </c>
      <c r="D122">
        <v>12</v>
      </c>
      <c r="E122">
        <v>4.5</v>
      </c>
      <c r="F122" t="s">
        <v>5500</v>
      </c>
      <c r="G122" t="s">
        <v>5497</v>
      </c>
      <c r="H122">
        <v>4</v>
      </c>
      <c r="I122">
        <v>-5</v>
      </c>
      <c r="J122">
        <v>3</v>
      </c>
      <c r="K122">
        <v>-4</v>
      </c>
      <c r="L122">
        <v>-3</v>
      </c>
      <c r="M122">
        <v>10</v>
      </c>
      <c r="N122">
        <v>8</v>
      </c>
      <c r="O122">
        <v>1.2</v>
      </c>
      <c r="P122">
        <v>1</v>
      </c>
      <c r="Q122" t="s">
        <v>7371</v>
      </c>
      <c r="R122">
        <v>15</v>
      </c>
      <c r="S122">
        <v>7</v>
      </c>
      <c r="T122">
        <v>9</v>
      </c>
      <c r="U122">
        <v>1.4</v>
      </c>
      <c r="V122">
        <v>5</v>
      </c>
      <c r="Z122">
        <v>1</v>
      </c>
      <c r="AA122">
        <v>1</v>
      </c>
    </row>
    <row r="123" spans="1:27">
      <c r="A123" t="s">
        <v>1422</v>
      </c>
      <c r="B123" t="s">
        <v>7397</v>
      </c>
      <c r="C123" t="s">
        <v>7499</v>
      </c>
      <c r="D123">
        <v>3</v>
      </c>
      <c r="E123">
        <v>2</v>
      </c>
      <c r="F123" t="s">
        <v>5499</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7435</v>
      </c>
      <c r="C124" t="s">
        <v>7500</v>
      </c>
      <c r="D124">
        <v>7</v>
      </c>
      <c r="E124">
        <v>3</v>
      </c>
      <c r="F124" t="s">
        <v>5497</v>
      </c>
      <c r="G124" t="s">
        <v>5496</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7367</v>
      </c>
      <c r="C125" t="s">
        <v>7501</v>
      </c>
      <c r="D125">
        <v>10</v>
      </c>
      <c r="E125">
        <v>3</v>
      </c>
      <c r="F125" t="s">
        <v>5499</v>
      </c>
      <c r="G125" t="s">
        <v>5486</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7397</v>
      </c>
      <c r="C126" t="s">
        <v>7502</v>
      </c>
      <c r="D126">
        <v>3</v>
      </c>
      <c r="E126">
        <v>0</v>
      </c>
      <c r="F126" t="s">
        <v>5498</v>
      </c>
      <c r="H126">
        <v>7</v>
      </c>
      <c r="I126">
        <v>-2</v>
      </c>
      <c r="J126">
        <v>0</v>
      </c>
      <c r="K126">
        <v>-1</v>
      </c>
      <c r="L126">
        <v>-9</v>
      </c>
      <c r="M126">
        <v>2</v>
      </c>
      <c r="O126">
        <v>0.25</v>
      </c>
      <c r="P126">
        <v>12</v>
      </c>
      <c r="R126">
        <v>10</v>
      </c>
      <c r="S126">
        <v>12</v>
      </c>
      <c r="T126">
        <v>4</v>
      </c>
      <c r="U126">
        <v>0.25</v>
      </c>
      <c r="V126">
        <v>1</v>
      </c>
      <c r="Z126">
        <v>1</v>
      </c>
      <c r="AA126">
        <v>1</v>
      </c>
    </row>
    <row r="127" spans="1:27">
      <c r="A127" t="s">
        <v>1424</v>
      </c>
      <c r="B127" t="s">
        <v>6488</v>
      </c>
      <c r="C127" t="s">
        <v>7502</v>
      </c>
      <c r="D127">
        <v>3</v>
      </c>
      <c r="E127">
        <v>0</v>
      </c>
      <c r="F127" t="s">
        <v>5498</v>
      </c>
      <c r="H127">
        <v>7</v>
      </c>
      <c r="I127">
        <v>-2</v>
      </c>
      <c r="J127">
        <v>0</v>
      </c>
      <c r="K127">
        <v>-1</v>
      </c>
      <c r="L127">
        <v>-9</v>
      </c>
      <c r="M127">
        <v>2</v>
      </c>
      <c r="O127">
        <v>0.25</v>
      </c>
      <c r="P127">
        <v>12</v>
      </c>
      <c r="R127">
        <v>10</v>
      </c>
      <c r="S127">
        <v>12</v>
      </c>
      <c r="T127">
        <v>4</v>
      </c>
      <c r="U127">
        <v>0.25</v>
      </c>
      <c r="V127">
        <v>1</v>
      </c>
      <c r="Z127">
        <v>1</v>
      </c>
      <c r="AA127">
        <v>1</v>
      </c>
    </row>
    <row r="128" spans="1:27">
      <c r="A128" t="s">
        <v>1422</v>
      </c>
      <c r="B128" t="s">
        <v>7397</v>
      </c>
      <c r="C128" t="s">
        <v>7503</v>
      </c>
      <c r="D128">
        <v>2</v>
      </c>
      <c r="E128">
        <v>-1</v>
      </c>
      <c r="F128" t="s">
        <v>5497</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6488</v>
      </c>
      <c r="C129" t="s">
        <v>7503</v>
      </c>
      <c r="D129">
        <v>2</v>
      </c>
      <c r="E129">
        <v>-1</v>
      </c>
      <c r="F129" t="s">
        <v>5497</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7373</v>
      </c>
      <c r="C130" t="s">
        <v>7504</v>
      </c>
      <c r="D130">
        <v>12</v>
      </c>
      <c r="E130">
        <v>4</v>
      </c>
      <c r="F130" t="s">
        <v>5498</v>
      </c>
      <c r="G130" t="s">
        <v>5496</v>
      </c>
      <c r="H130">
        <v>3</v>
      </c>
      <c r="I130">
        <v>-6</v>
      </c>
      <c r="J130">
        <v>0</v>
      </c>
      <c r="K130">
        <v>-5</v>
      </c>
      <c r="L130">
        <v>-4</v>
      </c>
      <c r="M130">
        <v>16</v>
      </c>
      <c r="N130">
        <v>6</v>
      </c>
      <c r="O130">
        <v>1.28</v>
      </c>
      <c r="P130" t="s">
        <v>7380</v>
      </c>
      <c r="Q130" t="s">
        <v>7371</v>
      </c>
      <c r="R130">
        <v>9</v>
      </c>
      <c r="S130">
        <v>2</v>
      </c>
      <c r="T130">
        <v>5</v>
      </c>
      <c r="U130">
        <v>0.3</v>
      </c>
      <c r="V130">
        <v>0.25</v>
      </c>
      <c r="Z130">
        <v>1</v>
      </c>
      <c r="AA130">
        <v>1</v>
      </c>
    </row>
    <row r="131" spans="1:27">
      <c r="A131" t="s">
        <v>1415</v>
      </c>
      <c r="B131" t="s">
        <v>7421</v>
      </c>
      <c r="C131" t="s">
        <v>7505</v>
      </c>
      <c r="D131">
        <v>9</v>
      </c>
      <c r="E131">
        <v>5</v>
      </c>
      <c r="F131" t="s">
        <v>5497</v>
      </c>
      <c r="G131" t="s">
        <v>5497</v>
      </c>
      <c r="H131">
        <v>2</v>
      </c>
      <c r="I131">
        <v>-5</v>
      </c>
      <c r="J131">
        <v>3</v>
      </c>
      <c r="K131">
        <v>-4</v>
      </c>
      <c r="L131">
        <v>-5</v>
      </c>
      <c r="M131">
        <v>14</v>
      </c>
      <c r="N131">
        <v>10</v>
      </c>
      <c r="O131">
        <v>0.9</v>
      </c>
      <c r="P131">
        <v>0</v>
      </c>
      <c r="Q131" t="s">
        <v>7371</v>
      </c>
      <c r="R131">
        <v>16</v>
      </c>
      <c r="S131">
        <v>8</v>
      </c>
      <c r="T131">
        <v>5</v>
      </c>
      <c r="U131">
        <v>1</v>
      </c>
      <c r="V131">
        <v>3</v>
      </c>
      <c r="Z131">
        <v>1</v>
      </c>
      <c r="AA131">
        <v>1</v>
      </c>
    </row>
    <row r="132" spans="1:27">
      <c r="A132" t="s">
        <v>1415</v>
      </c>
      <c r="B132" t="s">
        <v>7432</v>
      </c>
      <c r="C132" t="s">
        <v>7506</v>
      </c>
      <c r="D132">
        <v>8</v>
      </c>
      <c r="E132">
        <v>5</v>
      </c>
      <c r="F132" t="s">
        <v>7385</v>
      </c>
      <c r="G132" t="s">
        <v>5486</v>
      </c>
      <c r="H132">
        <v>3</v>
      </c>
      <c r="I132">
        <v>-4</v>
      </c>
      <c r="J132">
        <v>0</v>
      </c>
      <c r="K132">
        <v>-6</v>
      </c>
      <c r="L132">
        <v>-7</v>
      </c>
      <c r="M132">
        <v>14</v>
      </c>
      <c r="N132">
        <v>11</v>
      </c>
      <c r="O132">
        <v>1</v>
      </c>
      <c r="P132">
        <v>0</v>
      </c>
      <c r="Q132" t="s">
        <v>7371</v>
      </c>
      <c r="R132">
        <v>10</v>
      </c>
      <c r="S132">
        <v>7</v>
      </c>
      <c r="T132">
        <v>7</v>
      </c>
      <c r="U132">
        <v>1.25</v>
      </c>
      <c r="V132">
        <v>3</v>
      </c>
      <c r="Z132">
        <v>1</v>
      </c>
      <c r="AA132">
        <v>1</v>
      </c>
    </row>
    <row r="133" spans="1:27">
      <c r="A133" t="s">
        <v>1415</v>
      </c>
      <c r="B133" t="s">
        <v>7432</v>
      </c>
      <c r="C133" t="s">
        <v>7507</v>
      </c>
      <c r="D133">
        <v>7</v>
      </c>
      <c r="E133">
        <v>6</v>
      </c>
      <c r="F133" t="s">
        <v>5500</v>
      </c>
      <c r="G133" t="s">
        <v>5486</v>
      </c>
      <c r="H133">
        <v>2</v>
      </c>
      <c r="I133">
        <v>-9</v>
      </c>
      <c r="J133">
        <v>0</v>
      </c>
      <c r="K133">
        <v>-7</v>
      </c>
      <c r="L133">
        <v>-7</v>
      </c>
      <c r="M133">
        <v>17</v>
      </c>
      <c r="N133">
        <v>13</v>
      </c>
      <c r="O133">
        <v>1</v>
      </c>
      <c r="P133">
        <v>0</v>
      </c>
      <c r="Q133" t="s">
        <v>7371</v>
      </c>
      <c r="R133">
        <v>10</v>
      </c>
      <c r="S133">
        <v>7</v>
      </c>
      <c r="T133">
        <v>7</v>
      </c>
      <c r="U133">
        <v>1.25</v>
      </c>
      <c r="V133">
        <v>3</v>
      </c>
      <c r="Z133">
        <v>1</v>
      </c>
      <c r="AA133">
        <v>1</v>
      </c>
    </row>
    <row r="134" spans="1:27">
      <c r="A134" t="s">
        <v>1415</v>
      </c>
      <c r="B134" t="s">
        <v>7421</v>
      </c>
      <c r="C134" t="s">
        <v>7508</v>
      </c>
      <c r="D134">
        <v>10</v>
      </c>
      <c r="E134">
        <v>2</v>
      </c>
      <c r="F134" t="s">
        <v>5497</v>
      </c>
      <c r="G134" t="s">
        <v>5496</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7373</v>
      </c>
      <c r="C135" t="s">
        <v>7509</v>
      </c>
      <c r="D135">
        <v>22</v>
      </c>
      <c r="E135">
        <v>4.5</v>
      </c>
      <c r="F135" t="s">
        <v>5499</v>
      </c>
      <c r="G135" t="s">
        <v>5496</v>
      </c>
      <c r="H135">
        <v>3</v>
      </c>
      <c r="I135">
        <v>-5</v>
      </c>
      <c r="J135">
        <v>0</v>
      </c>
      <c r="K135">
        <v>-4</v>
      </c>
      <c r="L135">
        <v>-3</v>
      </c>
      <c r="M135">
        <v>22</v>
      </c>
      <c r="N135">
        <v>11</v>
      </c>
      <c r="O135">
        <v>2.1</v>
      </c>
      <c r="P135" t="s">
        <v>7380</v>
      </c>
      <c r="Q135" t="s">
        <v>7371</v>
      </c>
      <c r="R135">
        <v>15</v>
      </c>
      <c r="S135">
        <v>7</v>
      </c>
      <c r="T135">
        <v>16</v>
      </c>
      <c r="U135">
        <v>1</v>
      </c>
      <c r="V135">
        <v>4</v>
      </c>
      <c r="Z135">
        <v>1</v>
      </c>
      <c r="AA135">
        <v>1</v>
      </c>
    </row>
    <row r="136" spans="1:27">
      <c r="A136" t="s">
        <v>1424</v>
      </c>
      <c r="B136" t="s">
        <v>7412</v>
      </c>
      <c r="C136" t="s">
        <v>7510</v>
      </c>
      <c r="D136">
        <v>13</v>
      </c>
      <c r="E136">
        <v>4</v>
      </c>
      <c r="F136" t="s">
        <v>5486</v>
      </c>
      <c r="G136" t="s">
        <v>5486</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7412</v>
      </c>
      <c r="C137" t="s">
        <v>7511</v>
      </c>
      <c r="D137">
        <v>13</v>
      </c>
      <c r="E137">
        <v>4</v>
      </c>
      <c r="F137" t="s">
        <v>5496</v>
      </c>
      <c r="G137" t="s">
        <v>5496</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7367</v>
      </c>
      <c r="C138" t="s">
        <v>7512</v>
      </c>
      <c r="D138">
        <v>8</v>
      </c>
      <c r="E138">
        <v>4</v>
      </c>
      <c r="F138" t="s">
        <v>5499</v>
      </c>
      <c r="G138" t="s">
        <v>5486</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7435</v>
      </c>
      <c r="C139" t="s">
        <v>7512</v>
      </c>
      <c r="D139">
        <v>8</v>
      </c>
      <c r="E139">
        <v>4</v>
      </c>
      <c r="F139" t="s">
        <v>5499</v>
      </c>
      <c r="G139" t="s">
        <v>5486</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7432</v>
      </c>
      <c r="C140" t="s">
        <v>7513</v>
      </c>
      <c r="D140">
        <v>8</v>
      </c>
      <c r="E140">
        <v>3</v>
      </c>
      <c r="F140" t="s">
        <v>5497</v>
      </c>
      <c r="G140" t="s">
        <v>5486</v>
      </c>
      <c r="H140">
        <v>4</v>
      </c>
      <c r="I140">
        <v>-3</v>
      </c>
      <c r="J140">
        <v>0</v>
      </c>
      <c r="K140">
        <v>-7</v>
      </c>
      <c r="L140">
        <v>-7</v>
      </c>
      <c r="M140">
        <v>7</v>
      </c>
      <c r="N140">
        <v>6</v>
      </c>
      <c r="O140">
        <v>0.75</v>
      </c>
      <c r="P140">
        <v>6</v>
      </c>
      <c r="Q140" t="s">
        <v>7371</v>
      </c>
      <c r="R140">
        <v>10</v>
      </c>
      <c r="S140">
        <v>5</v>
      </c>
      <c r="T140">
        <v>6</v>
      </c>
      <c r="U140">
        <v>0.5</v>
      </c>
      <c r="V140">
        <v>0.25</v>
      </c>
      <c r="Z140">
        <v>1</v>
      </c>
      <c r="AA140">
        <v>1</v>
      </c>
    </row>
    <row r="141" spans="1:27">
      <c r="A141" t="s">
        <v>1415</v>
      </c>
      <c r="B141" t="s">
        <v>7432</v>
      </c>
      <c r="C141" t="s">
        <v>7514</v>
      </c>
      <c r="D141">
        <v>9</v>
      </c>
      <c r="E141">
        <v>4</v>
      </c>
      <c r="F141" t="s">
        <v>5499</v>
      </c>
      <c r="G141" t="s">
        <v>5497</v>
      </c>
      <c r="H141">
        <v>4</v>
      </c>
      <c r="I141">
        <v>-2</v>
      </c>
      <c r="J141">
        <v>0</v>
      </c>
      <c r="K141">
        <v>-8</v>
      </c>
      <c r="L141">
        <v>-7</v>
      </c>
      <c r="M141">
        <v>15</v>
      </c>
      <c r="N141">
        <v>12</v>
      </c>
      <c r="O141">
        <v>1</v>
      </c>
      <c r="P141" t="s">
        <v>7380</v>
      </c>
      <c r="Q141" t="s">
        <v>7371</v>
      </c>
      <c r="R141">
        <v>10</v>
      </c>
      <c r="S141">
        <v>7</v>
      </c>
      <c r="T141">
        <v>9</v>
      </c>
      <c r="U141">
        <v>1.75</v>
      </c>
      <c r="V141">
        <v>4</v>
      </c>
      <c r="Z141">
        <v>1</v>
      </c>
      <c r="AA141">
        <v>1</v>
      </c>
    </row>
    <row r="142" spans="1:27">
      <c r="A142" t="s">
        <v>1415</v>
      </c>
      <c r="B142" t="s">
        <v>7432</v>
      </c>
      <c r="C142" t="s">
        <v>7515</v>
      </c>
      <c r="D142">
        <v>7</v>
      </c>
      <c r="E142">
        <v>6</v>
      </c>
      <c r="F142" t="s">
        <v>7385</v>
      </c>
      <c r="G142" t="s">
        <v>5497</v>
      </c>
      <c r="H142">
        <v>2</v>
      </c>
      <c r="I142">
        <v>-7</v>
      </c>
      <c r="J142">
        <v>0</v>
      </c>
      <c r="K142">
        <v>-8</v>
      </c>
      <c r="L142">
        <v>-8</v>
      </c>
      <c r="M142">
        <v>18</v>
      </c>
      <c r="N142">
        <v>14</v>
      </c>
      <c r="O142">
        <v>1</v>
      </c>
      <c r="P142" t="s">
        <v>7380</v>
      </c>
      <c r="Q142" t="s">
        <v>7371</v>
      </c>
      <c r="R142">
        <v>10</v>
      </c>
      <c r="S142">
        <v>7</v>
      </c>
      <c r="T142">
        <v>9</v>
      </c>
      <c r="U142">
        <v>2</v>
      </c>
      <c r="V142">
        <v>4</v>
      </c>
      <c r="Z142">
        <v>1</v>
      </c>
      <c r="AA142">
        <v>1</v>
      </c>
    </row>
    <row r="143" spans="1:27">
      <c r="A143" t="s">
        <v>1415</v>
      </c>
      <c r="B143" t="s">
        <v>7432</v>
      </c>
      <c r="C143" t="s">
        <v>7516</v>
      </c>
      <c r="D143">
        <v>8</v>
      </c>
      <c r="E143">
        <v>5</v>
      </c>
      <c r="F143" t="s">
        <v>7385</v>
      </c>
      <c r="G143" t="s">
        <v>5496</v>
      </c>
      <c r="H143">
        <v>3</v>
      </c>
      <c r="I143">
        <v>-5</v>
      </c>
      <c r="J143">
        <v>0</v>
      </c>
      <c r="K143">
        <v>-7</v>
      </c>
      <c r="L143">
        <v>-7</v>
      </c>
      <c r="M143">
        <v>14</v>
      </c>
      <c r="N143">
        <v>11</v>
      </c>
      <c r="O143">
        <v>1</v>
      </c>
      <c r="P143" t="s">
        <v>7380</v>
      </c>
      <c r="Q143" t="s">
        <v>7371</v>
      </c>
      <c r="R143">
        <v>10</v>
      </c>
      <c r="S143">
        <v>7</v>
      </c>
      <c r="T143">
        <v>8</v>
      </c>
      <c r="U143">
        <v>1.5</v>
      </c>
      <c r="V143">
        <v>4</v>
      </c>
      <c r="Z143">
        <v>1</v>
      </c>
      <c r="AA143">
        <v>1</v>
      </c>
    </row>
    <row r="144" spans="1:27">
      <c r="A144" t="s">
        <v>1424</v>
      </c>
      <c r="B144" t="s">
        <v>7365</v>
      </c>
      <c r="C144" t="s">
        <v>7517</v>
      </c>
      <c r="D144">
        <v>1</v>
      </c>
      <c r="E144">
        <v>0</v>
      </c>
      <c r="F144" t="s">
        <v>5498</v>
      </c>
      <c r="G144" t="s">
        <v>5486</v>
      </c>
      <c r="H144">
        <v>4</v>
      </c>
      <c r="I144">
        <v>-5</v>
      </c>
      <c r="J144">
        <v>0</v>
      </c>
      <c r="K144">
        <v>-3</v>
      </c>
      <c r="L144">
        <v>-4</v>
      </c>
      <c r="M144">
        <v>8</v>
      </c>
      <c r="O144">
        <v>0.1</v>
      </c>
      <c r="P144">
        <v>0</v>
      </c>
      <c r="R144">
        <v>7</v>
      </c>
      <c r="S144">
        <v>10</v>
      </c>
      <c r="T144">
        <v>18</v>
      </c>
      <c r="U144">
        <v>1</v>
      </c>
      <c r="V144">
        <v>7</v>
      </c>
      <c r="Z144">
        <v>1</v>
      </c>
      <c r="AA144">
        <v>1</v>
      </c>
    </row>
    <row r="145" spans="1:27">
      <c r="A145" t="s">
        <v>1422</v>
      </c>
      <c r="B145" t="s">
        <v>7397</v>
      </c>
      <c r="C145" t="s">
        <v>7517</v>
      </c>
      <c r="D145">
        <v>1</v>
      </c>
      <c r="E145">
        <v>0</v>
      </c>
      <c r="F145" t="s">
        <v>5498</v>
      </c>
      <c r="G145" t="s">
        <v>5486</v>
      </c>
      <c r="H145">
        <v>4</v>
      </c>
      <c r="I145">
        <v>-5</v>
      </c>
      <c r="J145">
        <v>0</v>
      </c>
      <c r="K145">
        <v>-3</v>
      </c>
      <c r="L145">
        <v>-4</v>
      </c>
      <c r="M145">
        <v>8</v>
      </c>
      <c r="O145">
        <v>0.1</v>
      </c>
      <c r="P145">
        <v>0</v>
      </c>
      <c r="R145">
        <v>7</v>
      </c>
      <c r="S145">
        <v>10</v>
      </c>
      <c r="T145">
        <v>18</v>
      </c>
      <c r="U145">
        <v>1</v>
      </c>
      <c r="V145">
        <v>7</v>
      </c>
      <c r="Z145">
        <v>1</v>
      </c>
      <c r="AA145">
        <v>1</v>
      </c>
    </row>
    <row r="146" spans="1:27">
      <c r="A146" t="s">
        <v>1415</v>
      </c>
      <c r="B146" t="s">
        <v>7421</v>
      </c>
      <c r="C146" t="s">
        <v>7518</v>
      </c>
      <c r="D146">
        <v>2</v>
      </c>
      <c r="E146">
        <v>3.5</v>
      </c>
      <c r="F146" t="s">
        <v>5497</v>
      </c>
      <c r="G146" t="s">
        <v>5496</v>
      </c>
      <c r="H146">
        <v>3</v>
      </c>
      <c r="I146">
        <v>-5</v>
      </c>
      <c r="J146">
        <v>0</v>
      </c>
      <c r="K146">
        <v>-6</v>
      </c>
      <c r="L146">
        <v>-8</v>
      </c>
      <c r="M146">
        <v>13</v>
      </c>
      <c r="N146">
        <v>10</v>
      </c>
      <c r="O146">
        <v>0.2</v>
      </c>
      <c r="P146">
        <v>4</v>
      </c>
      <c r="R146">
        <v>5</v>
      </c>
      <c r="S146">
        <v>6</v>
      </c>
      <c r="T146" t="s">
        <v>7425</v>
      </c>
      <c r="U146" t="s">
        <v>7426</v>
      </c>
      <c r="V146" t="s">
        <v>7426</v>
      </c>
      <c r="W146" t="s">
        <v>5468</v>
      </c>
      <c r="Z146">
        <v>1</v>
      </c>
      <c r="AA146">
        <v>1</v>
      </c>
    </row>
    <row r="147" spans="1:27">
      <c r="A147" t="s">
        <v>1415</v>
      </c>
      <c r="B147" t="s">
        <v>7432</v>
      </c>
      <c r="C147" t="s">
        <v>7519</v>
      </c>
      <c r="D147">
        <v>18</v>
      </c>
      <c r="E147">
        <v>6</v>
      </c>
      <c r="F147" t="s">
        <v>5498</v>
      </c>
      <c r="G147" t="s">
        <v>5497</v>
      </c>
      <c r="H147">
        <v>1.5</v>
      </c>
      <c r="I147">
        <v>-9</v>
      </c>
      <c r="J147">
        <v>0</v>
      </c>
      <c r="K147">
        <v>-6</v>
      </c>
      <c r="L147">
        <v>-7</v>
      </c>
      <c r="M147">
        <v>40</v>
      </c>
      <c r="N147">
        <v>15</v>
      </c>
      <c r="O147">
        <v>2</v>
      </c>
      <c r="P147" t="s">
        <v>7380</v>
      </c>
      <c r="Q147" t="s">
        <v>7371</v>
      </c>
      <c r="R147">
        <v>10</v>
      </c>
      <c r="S147">
        <v>7</v>
      </c>
      <c r="T147">
        <v>7</v>
      </c>
      <c r="U147">
        <v>2</v>
      </c>
      <c r="V147">
        <v>1.5</v>
      </c>
      <c r="W147" t="s">
        <v>5468</v>
      </c>
      <c r="Z147">
        <v>1</v>
      </c>
      <c r="AA147">
        <v>1</v>
      </c>
    </row>
    <row r="148" spans="1:27">
      <c r="A148" t="s">
        <v>1424</v>
      </c>
      <c r="B148" t="s">
        <v>1424</v>
      </c>
      <c r="C148" t="s">
        <v>7520</v>
      </c>
      <c r="D148">
        <v>0</v>
      </c>
      <c r="E148">
        <v>1</v>
      </c>
      <c r="F148" t="s">
        <v>5496</v>
      </c>
      <c r="G148" t="s">
        <v>5486</v>
      </c>
      <c r="H148">
        <v>2</v>
      </c>
      <c r="I148">
        <v>-7</v>
      </c>
      <c r="J148">
        <v>0</v>
      </c>
      <c r="K148">
        <v>-1</v>
      </c>
      <c r="L148">
        <v>-2</v>
      </c>
      <c r="M148">
        <v>6</v>
      </c>
      <c r="O148">
        <v>0.06</v>
      </c>
      <c r="P148">
        <v>3</v>
      </c>
      <c r="Q148" t="s">
        <v>7521</v>
      </c>
      <c r="R148">
        <v>5</v>
      </c>
      <c r="S148">
        <v>30</v>
      </c>
      <c r="T148" t="s">
        <v>7425</v>
      </c>
      <c r="U148" t="s">
        <v>7426</v>
      </c>
      <c r="V148" t="s">
        <v>7426</v>
      </c>
      <c r="Z148">
        <v>1</v>
      </c>
      <c r="AA148">
        <v>1</v>
      </c>
    </row>
    <row r="149" spans="1:27">
      <c r="A149" t="s">
        <v>1424</v>
      </c>
      <c r="B149" t="s">
        <v>7365</v>
      </c>
      <c r="C149" t="s">
        <v>7522</v>
      </c>
      <c r="D149">
        <v>5</v>
      </c>
      <c r="E149">
        <v>2</v>
      </c>
      <c r="F149" t="s">
        <v>5497</v>
      </c>
      <c r="G149" t="s">
        <v>5496</v>
      </c>
      <c r="H149">
        <v>3</v>
      </c>
      <c r="I149">
        <v>-5</v>
      </c>
      <c r="J149">
        <v>0</v>
      </c>
      <c r="K149">
        <v>-3</v>
      </c>
      <c r="L149">
        <v>-3</v>
      </c>
      <c r="M149">
        <v>8</v>
      </c>
      <c r="O149">
        <v>0.5</v>
      </c>
      <c r="P149" t="s">
        <v>7380</v>
      </c>
      <c r="R149">
        <v>10</v>
      </c>
      <c r="S149">
        <v>14</v>
      </c>
      <c r="T149">
        <v>10</v>
      </c>
      <c r="U149">
        <v>0.5</v>
      </c>
      <c r="V149">
        <v>3</v>
      </c>
      <c r="Z149">
        <v>1</v>
      </c>
      <c r="AA149">
        <v>1</v>
      </c>
    </row>
    <row r="150" spans="1:27">
      <c r="A150" t="s">
        <v>1422</v>
      </c>
      <c r="B150" t="s">
        <v>7367</v>
      </c>
      <c r="C150" t="s">
        <v>7522</v>
      </c>
      <c r="D150">
        <v>5</v>
      </c>
      <c r="E150">
        <v>2</v>
      </c>
      <c r="F150" t="s">
        <v>5497</v>
      </c>
      <c r="G150" t="s">
        <v>5496</v>
      </c>
      <c r="H150">
        <v>3</v>
      </c>
      <c r="I150">
        <v>-5</v>
      </c>
      <c r="J150">
        <v>0</v>
      </c>
      <c r="K150">
        <v>-3</v>
      </c>
      <c r="L150">
        <v>-3</v>
      </c>
      <c r="M150">
        <v>8</v>
      </c>
      <c r="O150">
        <v>0.5</v>
      </c>
      <c r="P150" t="s">
        <v>7380</v>
      </c>
      <c r="R150">
        <v>10</v>
      </c>
      <c r="S150">
        <v>14</v>
      </c>
      <c r="T150">
        <v>10</v>
      </c>
      <c r="U150">
        <v>0.5</v>
      </c>
      <c r="V150">
        <v>3</v>
      </c>
      <c r="Z150">
        <v>1</v>
      </c>
      <c r="AA150">
        <v>1</v>
      </c>
    </row>
    <row r="151" spans="1:27">
      <c r="A151" t="s">
        <v>1422</v>
      </c>
      <c r="B151" t="s">
        <v>7397</v>
      </c>
      <c r="C151" t="s">
        <v>7523</v>
      </c>
      <c r="D151">
        <v>2</v>
      </c>
      <c r="E151">
        <v>3</v>
      </c>
      <c r="F151" t="s">
        <v>5499</v>
      </c>
      <c r="G151" t="s">
        <v>5486</v>
      </c>
      <c r="H151">
        <v>3</v>
      </c>
      <c r="I151">
        <v>-5</v>
      </c>
      <c r="J151">
        <v>0</v>
      </c>
      <c r="K151">
        <v>-4</v>
      </c>
      <c r="L151">
        <v>-3</v>
      </c>
      <c r="M151">
        <v>8</v>
      </c>
      <c r="O151">
        <v>0.2</v>
      </c>
      <c r="P151" t="s">
        <v>7380</v>
      </c>
      <c r="R151">
        <v>10</v>
      </c>
      <c r="S151">
        <v>12</v>
      </c>
      <c r="T151">
        <v>8</v>
      </c>
      <c r="U151">
        <v>0.1</v>
      </c>
      <c r="V151">
        <v>1</v>
      </c>
      <c r="Z151">
        <v>1</v>
      </c>
      <c r="AA151">
        <v>1</v>
      </c>
    </row>
    <row r="152" spans="1:27">
      <c r="A152" t="s">
        <v>1424</v>
      </c>
      <c r="B152" t="s">
        <v>6488</v>
      </c>
      <c r="C152" t="s">
        <v>7523</v>
      </c>
      <c r="D152">
        <v>2</v>
      </c>
      <c r="E152">
        <v>3</v>
      </c>
      <c r="F152" t="s">
        <v>5499</v>
      </c>
      <c r="G152" t="s">
        <v>5486</v>
      </c>
      <c r="H152">
        <v>3</v>
      </c>
      <c r="I152">
        <v>-5</v>
      </c>
      <c r="J152">
        <v>0</v>
      </c>
      <c r="K152">
        <v>-4</v>
      </c>
      <c r="L152">
        <v>-3</v>
      </c>
      <c r="M152">
        <v>8</v>
      </c>
      <c r="O152">
        <v>0.2</v>
      </c>
      <c r="P152" t="s">
        <v>7380</v>
      </c>
      <c r="R152">
        <v>10</v>
      </c>
      <c r="S152">
        <v>12</v>
      </c>
      <c r="T152">
        <v>8</v>
      </c>
      <c r="U152">
        <v>0.1</v>
      </c>
      <c r="V152">
        <v>1</v>
      </c>
      <c r="Z152">
        <v>1</v>
      </c>
      <c r="AA152">
        <v>1</v>
      </c>
    </row>
    <row r="153" spans="1:27">
      <c r="A153" t="s">
        <v>1422</v>
      </c>
      <c r="B153" t="s">
        <v>7397</v>
      </c>
      <c r="C153" t="s">
        <v>7524</v>
      </c>
      <c r="D153">
        <v>2</v>
      </c>
      <c r="E153">
        <v>1</v>
      </c>
      <c r="F153" t="s">
        <v>5499</v>
      </c>
      <c r="H153">
        <v>4</v>
      </c>
      <c r="I153">
        <v>-2</v>
      </c>
      <c r="J153">
        <v>0</v>
      </c>
      <c r="K153">
        <v>-3</v>
      </c>
      <c r="L153">
        <v>-3</v>
      </c>
      <c r="M153">
        <v>7</v>
      </c>
      <c r="O153">
        <v>0.2</v>
      </c>
      <c r="P153" t="s">
        <v>7380</v>
      </c>
      <c r="R153">
        <v>4</v>
      </c>
      <c r="S153">
        <v>25</v>
      </c>
      <c r="T153">
        <v>3</v>
      </c>
      <c r="U153">
        <v>0.1</v>
      </c>
      <c r="V153">
        <v>1</v>
      </c>
      <c r="Z153">
        <v>1</v>
      </c>
      <c r="AA153">
        <v>1</v>
      </c>
    </row>
    <row r="154" spans="1:27">
      <c r="A154" t="s">
        <v>1424</v>
      </c>
      <c r="B154" t="s">
        <v>6488</v>
      </c>
      <c r="C154" t="s">
        <v>7524</v>
      </c>
      <c r="D154">
        <v>2</v>
      </c>
      <c r="E154">
        <v>1</v>
      </c>
      <c r="F154" t="s">
        <v>5499</v>
      </c>
      <c r="H154">
        <v>4</v>
      </c>
      <c r="I154">
        <v>-2</v>
      </c>
      <c r="J154">
        <v>0</v>
      </c>
      <c r="K154">
        <v>-3</v>
      </c>
      <c r="L154">
        <v>-3</v>
      </c>
      <c r="M154">
        <v>7</v>
      </c>
      <c r="O154">
        <v>0.2</v>
      </c>
      <c r="P154" t="s">
        <v>7380</v>
      </c>
      <c r="R154">
        <v>4</v>
      </c>
      <c r="S154">
        <v>25</v>
      </c>
      <c r="T154">
        <v>3</v>
      </c>
      <c r="U154">
        <v>0.1</v>
      </c>
      <c r="V154">
        <v>1</v>
      </c>
      <c r="Z154">
        <v>1</v>
      </c>
      <c r="AA154">
        <v>1</v>
      </c>
    </row>
    <row r="155" spans="1:27">
      <c r="A155" t="s">
        <v>1424</v>
      </c>
      <c r="B155" t="s">
        <v>1424</v>
      </c>
      <c r="C155" t="s">
        <v>7525</v>
      </c>
      <c r="D155">
        <v>0</v>
      </c>
      <c r="E155">
        <v>1</v>
      </c>
      <c r="F155" t="s">
        <v>5497</v>
      </c>
      <c r="G155" t="s">
        <v>5486</v>
      </c>
      <c r="H155">
        <v>3</v>
      </c>
      <c r="I155">
        <v>-7</v>
      </c>
      <c r="J155">
        <v>0</v>
      </c>
      <c r="K155">
        <v>-1</v>
      </c>
      <c r="L155">
        <v>-1</v>
      </c>
      <c r="M155">
        <v>5</v>
      </c>
      <c r="O155">
        <v>0.05</v>
      </c>
      <c r="P155">
        <v>4</v>
      </c>
      <c r="R155">
        <v>5</v>
      </c>
      <c r="S155">
        <v>30</v>
      </c>
      <c r="T155" t="s">
        <v>7425</v>
      </c>
      <c r="U155" t="s">
        <v>7426</v>
      </c>
      <c r="V155" t="s">
        <v>7426</v>
      </c>
      <c r="Z155">
        <v>1</v>
      </c>
      <c r="AA155">
        <v>1</v>
      </c>
    </row>
    <row r="156" spans="1:27">
      <c r="A156" t="s">
        <v>1424</v>
      </c>
      <c r="B156" t="s">
        <v>1424</v>
      </c>
      <c r="C156" t="s">
        <v>7526</v>
      </c>
      <c r="D156">
        <v>0</v>
      </c>
      <c r="E156">
        <v>1</v>
      </c>
      <c r="F156" t="s">
        <v>5486</v>
      </c>
      <c r="G156" t="s">
        <v>5486</v>
      </c>
      <c r="H156">
        <v>3</v>
      </c>
      <c r="I156">
        <v>-5</v>
      </c>
      <c r="J156">
        <v>0</v>
      </c>
      <c r="K156">
        <v>-3</v>
      </c>
      <c r="L156">
        <v>-2</v>
      </c>
      <c r="M156">
        <v>5</v>
      </c>
      <c r="O156">
        <v>0.05</v>
      </c>
      <c r="P156">
        <v>0</v>
      </c>
      <c r="Q156" t="s">
        <v>7527</v>
      </c>
      <c r="R156">
        <v>5</v>
      </c>
      <c r="S156">
        <v>30</v>
      </c>
      <c r="T156" t="s">
        <v>7425</v>
      </c>
      <c r="U156" t="s">
        <v>7426</v>
      </c>
      <c r="V156" t="s">
        <v>7426</v>
      </c>
      <c r="Z156">
        <v>1</v>
      </c>
      <c r="AA156">
        <v>1</v>
      </c>
    </row>
    <row r="157" spans="1:27">
      <c r="A157" t="s">
        <v>1422</v>
      </c>
      <c r="B157" t="s">
        <v>7397</v>
      </c>
      <c r="C157" t="s">
        <v>7528</v>
      </c>
      <c r="D157">
        <v>4</v>
      </c>
      <c r="E157">
        <v>3</v>
      </c>
      <c r="F157" t="s">
        <v>5498</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7414</v>
      </c>
      <c r="C158" t="s">
        <v>7529</v>
      </c>
      <c r="E158">
        <v>13</v>
      </c>
      <c r="F158" t="s">
        <v>7416</v>
      </c>
      <c r="H158">
        <v>3</v>
      </c>
      <c r="I158">
        <v>-5</v>
      </c>
      <c r="K158">
        <v>-16</v>
      </c>
      <c r="L158">
        <v>5</v>
      </c>
      <c r="M158">
        <v>37</v>
      </c>
      <c r="P158" t="s">
        <v>7380</v>
      </c>
      <c r="Q158" t="s">
        <v>7530</v>
      </c>
      <c r="R158">
        <v>15</v>
      </c>
      <c r="S158">
        <v>16</v>
      </c>
      <c r="T158">
        <v>15</v>
      </c>
      <c r="X158">
        <v>26</v>
      </c>
      <c r="Y158">
        <v>1200</v>
      </c>
      <c r="Z158">
        <v>1</v>
      </c>
      <c r="AA158">
        <v>1</v>
      </c>
    </row>
    <row r="159" spans="1:27">
      <c r="A159" t="s">
        <v>1424</v>
      </c>
      <c r="B159" t="s">
        <v>7414</v>
      </c>
      <c r="C159" t="s">
        <v>7531</v>
      </c>
      <c r="E159">
        <v>12</v>
      </c>
      <c r="F159" t="s">
        <v>5497</v>
      </c>
      <c r="G159" t="s">
        <v>5496</v>
      </c>
      <c r="H159">
        <v>3</v>
      </c>
      <c r="I159">
        <v>-5</v>
      </c>
      <c r="K159">
        <v>-8</v>
      </c>
      <c r="L159">
        <v>10</v>
      </c>
      <c r="M159">
        <v>21</v>
      </c>
      <c r="P159" t="s">
        <v>7380</v>
      </c>
      <c r="R159">
        <v>15</v>
      </c>
      <c r="S159">
        <v>15</v>
      </c>
      <c r="T159">
        <v>15</v>
      </c>
      <c r="X159">
        <v>18</v>
      </c>
      <c r="Y159">
        <v>750</v>
      </c>
      <c r="Z159">
        <v>1</v>
      </c>
      <c r="AA159">
        <v>1</v>
      </c>
    </row>
    <row r="160" spans="1:27">
      <c r="A160" t="s">
        <v>1424</v>
      </c>
      <c r="B160" t="s">
        <v>7412</v>
      </c>
      <c r="C160" t="s">
        <v>7532</v>
      </c>
      <c r="D160">
        <v>28</v>
      </c>
      <c r="E160">
        <v>0</v>
      </c>
      <c r="F160" t="s">
        <v>5496</v>
      </c>
      <c r="G160" t="s">
        <v>5496</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7494</v>
      </c>
      <c r="C161" t="s">
        <v>7533</v>
      </c>
      <c r="D161">
        <v>34</v>
      </c>
      <c r="E161">
        <v>4</v>
      </c>
      <c r="F161" t="s">
        <v>5499</v>
      </c>
      <c r="G161" t="s">
        <v>5496</v>
      </c>
      <c r="H161">
        <v>2</v>
      </c>
      <c r="I161">
        <v>-9</v>
      </c>
      <c r="J161">
        <v>0</v>
      </c>
      <c r="K161">
        <v>-5</v>
      </c>
      <c r="L161">
        <v>-8</v>
      </c>
      <c r="M161">
        <v>20</v>
      </c>
      <c r="N161">
        <v>13</v>
      </c>
      <c r="O161">
        <v>4.5</v>
      </c>
      <c r="P161" t="s">
        <v>7380</v>
      </c>
      <c r="Q161" t="s">
        <v>7371</v>
      </c>
      <c r="R161">
        <v>5</v>
      </c>
      <c r="S161">
        <v>10</v>
      </c>
      <c r="T161">
        <v>3</v>
      </c>
      <c r="U161">
        <v>1</v>
      </c>
      <c r="V161">
        <v>4</v>
      </c>
      <c r="Z161">
        <v>1</v>
      </c>
      <c r="AA161">
        <v>1</v>
      </c>
    </row>
    <row r="162" spans="1:27">
      <c r="A162" t="s">
        <v>1415</v>
      </c>
      <c r="B162" t="s">
        <v>7421</v>
      </c>
      <c r="C162" t="s">
        <v>7534</v>
      </c>
      <c r="D162">
        <v>3</v>
      </c>
      <c r="E162">
        <v>1</v>
      </c>
      <c r="F162" t="s">
        <v>5497</v>
      </c>
      <c r="G162" t="s">
        <v>5486</v>
      </c>
      <c r="H162">
        <v>6</v>
      </c>
      <c r="I162">
        <v>-4</v>
      </c>
      <c r="J162">
        <v>0</v>
      </c>
      <c r="K162">
        <v>-2</v>
      </c>
      <c r="L162">
        <v>-9</v>
      </c>
      <c r="M162">
        <v>3</v>
      </c>
      <c r="O162">
        <v>0.3</v>
      </c>
      <c r="P162">
        <v>9</v>
      </c>
      <c r="R162">
        <v>3</v>
      </c>
      <c r="S162">
        <v>3</v>
      </c>
      <c r="T162">
        <v>1</v>
      </c>
      <c r="U162">
        <v>0.15</v>
      </c>
      <c r="V162">
        <v>0.25</v>
      </c>
      <c r="Z162">
        <v>1</v>
      </c>
      <c r="AA162">
        <v>1</v>
      </c>
    </row>
    <row r="163" spans="1:27">
      <c r="A163" t="s">
        <v>1424</v>
      </c>
      <c r="B163" t="s">
        <v>7365</v>
      </c>
      <c r="C163" t="s">
        <v>7535</v>
      </c>
      <c r="D163">
        <v>1</v>
      </c>
      <c r="E163">
        <v>3</v>
      </c>
      <c r="F163" t="s">
        <v>5499</v>
      </c>
      <c r="G163" t="s">
        <v>5496</v>
      </c>
      <c r="H163">
        <v>2</v>
      </c>
      <c r="I163">
        <v>-8</v>
      </c>
      <c r="J163">
        <v>0</v>
      </c>
      <c r="K163">
        <v>-3</v>
      </c>
      <c r="L163">
        <v>-6</v>
      </c>
      <c r="M163">
        <v>7</v>
      </c>
      <c r="O163">
        <v>0.1</v>
      </c>
      <c r="P163">
        <v>0</v>
      </c>
      <c r="R163">
        <v>6</v>
      </c>
      <c r="S163">
        <v>13</v>
      </c>
      <c r="T163">
        <v>5</v>
      </c>
      <c r="U163">
        <v>0.2</v>
      </c>
      <c r="V163">
        <v>1</v>
      </c>
      <c r="Z163">
        <v>1</v>
      </c>
      <c r="AA163">
        <v>1</v>
      </c>
    </row>
    <row r="164" spans="1:27">
      <c r="A164" t="s">
        <v>1415</v>
      </c>
      <c r="B164" t="s">
        <v>7421</v>
      </c>
      <c r="C164" t="s">
        <v>7536</v>
      </c>
      <c r="D164">
        <v>11</v>
      </c>
      <c r="E164">
        <v>5</v>
      </c>
      <c r="F164" t="s">
        <v>5497</v>
      </c>
      <c r="G164" t="s">
        <v>5497</v>
      </c>
      <c r="H164">
        <v>3</v>
      </c>
      <c r="I164">
        <v>-5</v>
      </c>
      <c r="J164">
        <v>0</v>
      </c>
      <c r="K164">
        <v>-5</v>
      </c>
      <c r="L164">
        <v>-4</v>
      </c>
      <c r="M164">
        <v>16</v>
      </c>
      <c r="N164">
        <v>11</v>
      </c>
      <c r="O164">
        <v>1.1000000000000001</v>
      </c>
      <c r="P164">
        <v>1</v>
      </c>
      <c r="Q164" t="s">
        <v>7371</v>
      </c>
      <c r="R164">
        <v>16</v>
      </c>
      <c r="S164">
        <v>8</v>
      </c>
      <c r="T164">
        <v>9</v>
      </c>
      <c r="U164">
        <v>1.5</v>
      </c>
      <c r="V164">
        <v>5</v>
      </c>
      <c r="Z164">
        <v>1</v>
      </c>
      <c r="AA164">
        <v>1</v>
      </c>
    </row>
    <row r="165" spans="1:27">
      <c r="A165" t="s">
        <v>1415</v>
      </c>
      <c r="B165" t="s">
        <v>7421</v>
      </c>
      <c r="C165" t="s">
        <v>7537</v>
      </c>
      <c r="D165">
        <v>11</v>
      </c>
      <c r="E165">
        <v>5</v>
      </c>
      <c r="F165" t="s">
        <v>5500</v>
      </c>
      <c r="G165" t="s">
        <v>5497</v>
      </c>
      <c r="H165">
        <v>3</v>
      </c>
      <c r="I165">
        <v>-5</v>
      </c>
      <c r="J165">
        <v>4</v>
      </c>
      <c r="K165">
        <v>-5</v>
      </c>
      <c r="L165">
        <v>-4</v>
      </c>
      <c r="M165">
        <v>16</v>
      </c>
      <c r="N165">
        <v>11</v>
      </c>
      <c r="O165">
        <v>1.1000000000000001</v>
      </c>
      <c r="P165">
        <v>1</v>
      </c>
      <c r="Q165" t="s">
        <v>7371</v>
      </c>
      <c r="R165">
        <v>16</v>
      </c>
      <c r="S165">
        <v>8</v>
      </c>
      <c r="T165">
        <v>9</v>
      </c>
      <c r="U165">
        <v>1.5</v>
      </c>
      <c r="V165">
        <v>5</v>
      </c>
      <c r="Z165">
        <v>1</v>
      </c>
      <c r="AA165">
        <v>1</v>
      </c>
    </row>
    <row r="166" spans="1:27">
      <c r="A166" t="s">
        <v>1422</v>
      </c>
      <c r="B166" t="s">
        <v>7367</v>
      </c>
      <c r="C166" t="s">
        <v>7538</v>
      </c>
      <c r="D166">
        <v>13</v>
      </c>
      <c r="E166">
        <v>4</v>
      </c>
      <c r="F166" t="s">
        <v>5499</v>
      </c>
      <c r="G166" t="s">
        <v>5486</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7494</v>
      </c>
      <c r="C167" t="s">
        <v>7539</v>
      </c>
      <c r="D167">
        <v>32</v>
      </c>
      <c r="E167">
        <v>4</v>
      </c>
      <c r="F167" t="s">
        <v>5499</v>
      </c>
      <c r="G167" t="s">
        <v>5486</v>
      </c>
      <c r="H167">
        <v>4</v>
      </c>
      <c r="I167">
        <v>-5</v>
      </c>
      <c r="J167">
        <v>0</v>
      </c>
      <c r="K167">
        <v>-5</v>
      </c>
      <c r="L167">
        <v>-6</v>
      </c>
      <c r="M167">
        <v>20</v>
      </c>
      <c r="N167">
        <v>13</v>
      </c>
      <c r="O167">
        <v>3</v>
      </c>
      <c r="P167" t="s">
        <v>7380</v>
      </c>
      <c r="Q167" t="s">
        <v>7371</v>
      </c>
      <c r="R167">
        <v>5</v>
      </c>
      <c r="S167">
        <v>10</v>
      </c>
      <c r="T167">
        <v>3</v>
      </c>
      <c r="U167">
        <v>1</v>
      </c>
      <c r="V167">
        <v>4</v>
      </c>
      <c r="Z167">
        <v>1</v>
      </c>
      <c r="AA167">
        <v>1</v>
      </c>
    </row>
    <row r="168" spans="1:27">
      <c r="A168" t="s">
        <v>1424</v>
      </c>
      <c r="B168" t="s">
        <v>7414</v>
      </c>
      <c r="C168" t="s">
        <v>7540</v>
      </c>
      <c r="E168">
        <v>8</v>
      </c>
      <c r="F168" t="s">
        <v>5497</v>
      </c>
      <c r="G168" t="s">
        <v>5496</v>
      </c>
      <c r="H168">
        <v>3</v>
      </c>
      <c r="I168">
        <v>-5</v>
      </c>
      <c r="K168">
        <v>-5</v>
      </c>
      <c r="L168">
        <v>6</v>
      </c>
      <c r="M168">
        <v>18</v>
      </c>
      <c r="P168" t="s">
        <v>7380</v>
      </c>
      <c r="R168">
        <v>15</v>
      </c>
      <c r="S168">
        <v>15</v>
      </c>
      <c r="T168">
        <v>15</v>
      </c>
      <c r="X168">
        <v>15</v>
      </c>
      <c r="Y168">
        <v>350</v>
      </c>
      <c r="Z168">
        <v>1</v>
      </c>
      <c r="AA168">
        <v>1</v>
      </c>
    </row>
    <row r="169" spans="1:27">
      <c r="A169" t="s">
        <v>1424</v>
      </c>
      <c r="B169" t="s">
        <v>7414</v>
      </c>
      <c r="C169" t="s">
        <v>7541</v>
      </c>
      <c r="E169">
        <v>10</v>
      </c>
      <c r="F169" t="s">
        <v>5497</v>
      </c>
      <c r="G169" t="s">
        <v>5496</v>
      </c>
      <c r="H169">
        <v>3</v>
      </c>
      <c r="I169">
        <v>-5</v>
      </c>
      <c r="K169">
        <v>-6</v>
      </c>
      <c r="L169">
        <v>8</v>
      </c>
      <c r="M169">
        <v>19</v>
      </c>
      <c r="P169" t="s">
        <v>7380</v>
      </c>
      <c r="R169">
        <v>15</v>
      </c>
      <c r="S169">
        <v>14</v>
      </c>
      <c r="T169">
        <v>15</v>
      </c>
      <c r="X169">
        <v>16</v>
      </c>
      <c r="Y169">
        <v>500</v>
      </c>
      <c r="Z169">
        <v>1</v>
      </c>
      <c r="AA169">
        <v>1</v>
      </c>
    </row>
    <row r="170" spans="1:27">
      <c r="A170" t="s">
        <v>1424</v>
      </c>
      <c r="B170" t="s">
        <v>7414</v>
      </c>
      <c r="C170" t="s">
        <v>7542</v>
      </c>
      <c r="E170">
        <v>6</v>
      </c>
      <c r="F170" t="s">
        <v>5497</v>
      </c>
      <c r="G170" t="s">
        <v>5496</v>
      </c>
      <c r="H170">
        <v>3</v>
      </c>
      <c r="I170">
        <v>-5</v>
      </c>
      <c r="K170">
        <v>-3</v>
      </c>
      <c r="L170">
        <v>4</v>
      </c>
      <c r="M170">
        <v>16</v>
      </c>
      <c r="P170" t="s">
        <v>7380</v>
      </c>
      <c r="R170">
        <v>15</v>
      </c>
      <c r="S170">
        <v>15</v>
      </c>
      <c r="T170">
        <v>15</v>
      </c>
      <c r="X170">
        <v>13</v>
      </c>
      <c r="Y170">
        <v>250</v>
      </c>
      <c r="Z170">
        <v>1</v>
      </c>
      <c r="AA170">
        <v>1</v>
      </c>
    </row>
    <row r="171" spans="1:27">
      <c r="A171" t="s">
        <v>1418</v>
      </c>
      <c r="B171" t="s">
        <v>7383</v>
      </c>
      <c r="C171" t="s">
        <v>7543</v>
      </c>
      <c r="D171">
        <v>14</v>
      </c>
      <c r="E171">
        <v>6.5</v>
      </c>
      <c r="F171" t="s">
        <v>7385</v>
      </c>
      <c r="G171" t="s">
        <v>5499</v>
      </c>
      <c r="H171">
        <v>2</v>
      </c>
      <c r="I171">
        <v>-8</v>
      </c>
      <c r="J171">
        <v>0</v>
      </c>
      <c r="K171">
        <v>-5</v>
      </c>
      <c r="L171">
        <v>-5</v>
      </c>
      <c r="M171">
        <v>23</v>
      </c>
      <c r="N171">
        <v>14</v>
      </c>
      <c r="O171">
        <v>1.4</v>
      </c>
      <c r="P171" t="s">
        <v>7380</v>
      </c>
      <c r="R171">
        <v>16</v>
      </c>
      <c r="S171">
        <v>14</v>
      </c>
      <c r="T171">
        <v>23</v>
      </c>
      <c r="U171">
        <v>1.5</v>
      </c>
      <c r="V171">
        <v>8</v>
      </c>
      <c r="Z171">
        <v>1</v>
      </c>
      <c r="AA171">
        <v>1</v>
      </c>
    </row>
    <row r="172" spans="1:27">
      <c r="A172" t="s">
        <v>1418</v>
      </c>
      <c r="B172" t="s">
        <v>7381</v>
      </c>
      <c r="C172" t="s">
        <v>7544</v>
      </c>
      <c r="D172">
        <v>9</v>
      </c>
      <c r="E172">
        <v>5</v>
      </c>
      <c r="F172" t="s">
        <v>5498</v>
      </c>
      <c r="G172" t="s">
        <v>5497</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7397</v>
      </c>
      <c r="C173" t="s">
        <v>7545</v>
      </c>
      <c r="D173">
        <v>4</v>
      </c>
      <c r="E173">
        <v>3.5</v>
      </c>
      <c r="F173" t="s">
        <v>7385</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7546</v>
      </c>
      <c r="D174">
        <v>0</v>
      </c>
      <c r="E174">
        <v>-2</v>
      </c>
      <c r="F174" t="s">
        <v>5496</v>
      </c>
      <c r="G174" t="s">
        <v>5486</v>
      </c>
      <c r="H174">
        <v>3</v>
      </c>
      <c r="I174">
        <v>-5</v>
      </c>
      <c r="J174">
        <v>0</v>
      </c>
      <c r="K174">
        <v>-1</v>
      </c>
      <c r="L174">
        <v>-10</v>
      </c>
      <c r="M174">
        <v>2</v>
      </c>
      <c r="O174">
        <v>0.02</v>
      </c>
      <c r="P174">
        <v>18</v>
      </c>
      <c r="R174">
        <v>9</v>
      </c>
      <c r="S174">
        <v>15</v>
      </c>
      <c r="T174">
        <v>6</v>
      </c>
      <c r="U174">
        <v>0.3</v>
      </c>
      <c r="V174">
        <v>1</v>
      </c>
      <c r="Z174">
        <v>1</v>
      </c>
      <c r="AA174">
        <v>1</v>
      </c>
    </row>
    <row r="175" spans="1:27">
      <c r="A175" t="s">
        <v>1415</v>
      </c>
      <c r="B175" t="s">
        <v>7369</v>
      </c>
      <c r="C175" t="s">
        <v>7547</v>
      </c>
      <c r="D175">
        <v>6</v>
      </c>
      <c r="E175">
        <v>7</v>
      </c>
      <c r="F175" t="s">
        <v>5499</v>
      </c>
      <c r="G175" t="s">
        <v>5497</v>
      </c>
      <c r="H175">
        <v>1.5</v>
      </c>
      <c r="I175">
        <v>-12</v>
      </c>
      <c r="J175">
        <v>0</v>
      </c>
      <c r="K175">
        <v>-4</v>
      </c>
      <c r="L175">
        <v>-8</v>
      </c>
      <c r="M175">
        <v>24</v>
      </c>
      <c r="N175">
        <v>15</v>
      </c>
      <c r="O175">
        <v>0.6</v>
      </c>
      <c r="P175">
        <v>5</v>
      </c>
      <c r="Q175" t="s">
        <v>7371</v>
      </c>
      <c r="R175">
        <v>14</v>
      </c>
      <c r="S175">
        <v>6</v>
      </c>
      <c r="T175">
        <v>4</v>
      </c>
      <c r="U175">
        <v>3</v>
      </c>
      <c r="V175">
        <v>1</v>
      </c>
      <c r="Z175">
        <v>1</v>
      </c>
      <c r="AA175">
        <v>1</v>
      </c>
    </row>
    <row r="176" spans="1:27">
      <c r="A176" t="s">
        <v>1420</v>
      </c>
      <c r="B176" t="s">
        <v>7391</v>
      </c>
      <c r="C176" t="s">
        <v>7548</v>
      </c>
      <c r="D176">
        <v>11</v>
      </c>
      <c r="E176">
        <v>3.5</v>
      </c>
      <c r="F176" t="s">
        <v>5497</v>
      </c>
      <c r="G176" t="s">
        <v>5496</v>
      </c>
      <c r="H176">
        <v>4</v>
      </c>
      <c r="I176">
        <v>-2</v>
      </c>
      <c r="J176">
        <v>0</v>
      </c>
      <c r="K176">
        <v>-4</v>
      </c>
      <c r="L176">
        <v>-5</v>
      </c>
      <c r="M176">
        <v>12</v>
      </c>
      <c r="N176">
        <v>7</v>
      </c>
      <c r="O176">
        <v>1.2</v>
      </c>
      <c r="P176" t="s">
        <v>7380</v>
      </c>
      <c r="Q176" t="s">
        <v>7371</v>
      </c>
      <c r="R176">
        <v>8</v>
      </c>
      <c r="S176">
        <v>6</v>
      </c>
      <c r="T176">
        <v>12</v>
      </c>
      <c r="U176">
        <v>0.7</v>
      </c>
      <c r="V176">
        <v>1</v>
      </c>
      <c r="Z176">
        <v>1</v>
      </c>
      <c r="AA176">
        <v>1</v>
      </c>
    </row>
    <row r="177" spans="1:27">
      <c r="A177" t="s">
        <v>1420</v>
      </c>
      <c r="B177" t="s">
        <v>7391</v>
      </c>
      <c r="C177" t="s">
        <v>7549</v>
      </c>
      <c r="D177">
        <v>10</v>
      </c>
      <c r="E177">
        <v>6</v>
      </c>
      <c r="F177" t="s">
        <v>5499</v>
      </c>
      <c r="G177" t="s">
        <v>7386</v>
      </c>
      <c r="H177">
        <v>4</v>
      </c>
      <c r="I177">
        <v>-4</v>
      </c>
      <c r="J177">
        <v>0</v>
      </c>
      <c r="K177">
        <v>-5</v>
      </c>
      <c r="L177">
        <v>-6</v>
      </c>
      <c r="M177">
        <v>20</v>
      </c>
      <c r="N177">
        <v>10</v>
      </c>
      <c r="O177">
        <v>1.2</v>
      </c>
      <c r="P177" t="s">
        <v>7380</v>
      </c>
      <c r="Q177" t="s">
        <v>7371</v>
      </c>
      <c r="R177">
        <v>9</v>
      </c>
      <c r="S177">
        <v>6</v>
      </c>
      <c r="T177">
        <v>12</v>
      </c>
      <c r="U177">
        <v>1</v>
      </c>
      <c r="V177">
        <v>1</v>
      </c>
      <c r="Z177">
        <v>1</v>
      </c>
      <c r="AA177">
        <v>1</v>
      </c>
    </row>
    <row r="178" spans="1:27">
      <c r="A178" t="s">
        <v>1422</v>
      </c>
      <c r="B178" t="s">
        <v>7397</v>
      </c>
      <c r="C178" t="s">
        <v>7550</v>
      </c>
      <c r="D178">
        <v>3</v>
      </c>
      <c r="E178">
        <v>3</v>
      </c>
      <c r="F178" t="s">
        <v>7385</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7383</v>
      </c>
      <c r="C179" t="s">
        <v>6494</v>
      </c>
      <c r="D179">
        <v>16</v>
      </c>
      <c r="E179">
        <v>5</v>
      </c>
      <c r="F179" t="s">
        <v>5500</v>
      </c>
      <c r="G179" t="s">
        <v>5486</v>
      </c>
      <c r="H179">
        <v>3</v>
      </c>
      <c r="I179">
        <v>-9</v>
      </c>
      <c r="J179">
        <v>0</v>
      </c>
      <c r="K179">
        <v>-6</v>
      </c>
      <c r="L179">
        <v>-6</v>
      </c>
      <c r="M179">
        <v>30</v>
      </c>
      <c r="N179">
        <v>8</v>
      </c>
      <c r="O179">
        <v>1.7</v>
      </c>
      <c r="P179" t="s">
        <v>7380</v>
      </c>
      <c r="Q179" t="s">
        <v>7371</v>
      </c>
      <c r="R179">
        <v>10</v>
      </c>
      <c r="S179">
        <v>6</v>
      </c>
      <c r="T179">
        <v>12</v>
      </c>
      <c r="U179">
        <v>0.5</v>
      </c>
      <c r="V179">
        <v>0.5</v>
      </c>
      <c r="Z179">
        <v>1</v>
      </c>
      <c r="AA179">
        <v>1</v>
      </c>
    </row>
    <row r="180" spans="1:27">
      <c r="A180" t="s">
        <v>1422</v>
      </c>
      <c r="B180" t="s">
        <v>7397</v>
      </c>
      <c r="C180" t="s">
        <v>6495</v>
      </c>
      <c r="D180">
        <v>2</v>
      </c>
      <c r="E180">
        <v>2</v>
      </c>
      <c r="F180" t="s">
        <v>5499</v>
      </c>
      <c r="G180" t="s">
        <v>5486</v>
      </c>
      <c r="H180">
        <v>4</v>
      </c>
      <c r="I180">
        <v>-4</v>
      </c>
      <c r="J180">
        <v>0</v>
      </c>
      <c r="K180">
        <v>-4</v>
      </c>
      <c r="L180">
        <v>-7</v>
      </c>
      <c r="M180">
        <v>6</v>
      </c>
      <c r="N180">
        <v>4</v>
      </c>
      <c r="O180">
        <v>0.2</v>
      </c>
      <c r="P180">
        <v>4</v>
      </c>
      <c r="Q180" t="s">
        <v>7551</v>
      </c>
      <c r="R180">
        <v>8</v>
      </c>
      <c r="S180">
        <v>8</v>
      </c>
      <c r="T180">
        <v>8</v>
      </c>
      <c r="U180">
        <v>0.1</v>
      </c>
      <c r="V180">
        <v>1</v>
      </c>
      <c r="Z180">
        <v>1</v>
      </c>
      <c r="AA180">
        <v>1</v>
      </c>
    </row>
    <row r="181" spans="1:27">
      <c r="A181" t="s">
        <v>1424</v>
      </c>
      <c r="B181" t="s">
        <v>6488</v>
      </c>
      <c r="C181" t="s">
        <v>6495</v>
      </c>
      <c r="D181">
        <v>2</v>
      </c>
      <c r="E181">
        <v>2</v>
      </c>
      <c r="F181" t="s">
        <v>5499</v>
      </c>
      <c r="G181" t="s">
        <v>5486</v>
      </c>
      <c r="H181">
        <v>4</v>
      </c>
      <c r="I181">
        <v>-4</v>
      </c>
      <c r="J181">
        <v>0</v>
      </c>
      <c r="K181">
        <v>-4</v>
      </c>
      <c r="L181">
        <v>-7</v>
      </c>
      <c r="M181">
        <v>6</v>
      </c>
      <c r="N181">
        <v>4</v>
      </c>
      <c r="O181">
        <v>0.2</v>
      </c>
      <c r="P181">
        <v>4</v>
      </c>
      <c r="Q181" t="s">
        <v>7551</v>
      </c>
      <c r="R181">
        <v>8</v>
      </c>
      <c r="S181">
        <v>8</v>
      </c>
      <c r="T181">
        <v>8</v>
      </c>
      <c r="U181">
        <v>0.1</v>
      </c>
      <c r="V181">
        <v>1</v>
      </c>
      <c r="Z181">
        <v>1</v>
      </c>
      <c r="AA181">
        <v>1</v>
      </c>
    </row>
    <row r="182" spans="1:27">
      <c r="A182" t="s">
        <v>1415</v>
      </c>
      <c r="B182" t="s">
        <v>7369</v>
      </c>
      <c r="C182" t="s">
        <v>6496</v>
      </c>
      <c r="D182">
        <v>12</v>
      </c>
      <c r="E182">
        <v>5</v>
      </c>
      <c r="F182" t="s">
        <v>5498</v>
      </c>
      <c r="G182" t="s">
        <v>5496</v>
      </c>
      <c r="H182">
        <v>2</v>
      </c>
      <c r="I182">
        <v>-7</v>
      </c>
      <c r="J182">
        <v>0</v>
      </c>
      <c r="K182">
        <v>-7</v>
      </c>
      <c r="L182">
        <v>-7</v>
      </c>
      <c r="M182">
        <v>16</v>
      </c>
      <c r="N182">
        <v>6</v>
      </c>
      <c r="O182">
        <v>1.3</v>
      </c>
      <c r="P182" t="s">
        <v>7380</v>
      </c>
      <c r="Q182" t="s">
        <v>7371</v>
      </c>
      <c r="R182">
        <v>10</v>
      </c>
      <c r="S182">
        <v>2</v>
      </c>
      <c r="T182">
        <v>6</v>
      </c>
      <c r="U182">
        <v>1.5</v>
      </c>
      <c r="V182">
        <v>1</v>
      </c>
      <c r="Z182">
        <v>1</v>
      </c>
      <c r="AA182">
        <v>1</v>
      </c>
    </row>
    <row r="183" spans="1:27">
      <c r="A183" t="s">
        <v>1420</v>
      </c>
      <c r="B183" t="s">
        <v>7373</v>
      </c>
      <c r="C183" t="s">
        <v>7552</v>
      </c>
      <c r="D183">
        <v>20</v>
      </c>
      <c r="E183">
        <v>4</v>
      </c>
      <c r="F183" t="s">
        <v>5499</v>
      </c>
      <c r="G183" t="s">
        <v>7553</v>
      </c>
      <c r="H183">
        <v>4</v>
      </c>
      <c r="I183">
        <v>-5</v>
      </c>
      <c r="J183">
        <v>0</v>
      </c>
      <c r="K183">
        <v>-4</v>
      </c>
      <c r="L183">
        <v>-3</v>
      </c>
      <c r="M183">
        <v>14</v>
      </c>
      <c r="N183">
        <v>9</v>
      </c>
      <c r="O183">
        <v>1.8</v>
      </c>
      <c r="P183" t="s">
        <v>7380</v>
      </c>
      <c r="Q183" t="s">
        <v>7371</v>
      </c>
      <c r="R183">
        <v>3</v>
      </c>
      <c r="S183">
        <v>7</v>
      </c>
      <c r="T183">
        <v>5</v>
      </c>
      <c r="U183">
        <v>0.5</v>
      </c>
      <c r="V183">
        <v>0.5</v>
      </c>
      <c r="Z183">
        <v>1</v>
      </c>
      <c r="AA183">
        <v>1</v>
      </c>
    </row>
    <row r="184" spans="1:27">
      <c r="A184" t="s">
        <v>1420</v>
      </c>
      <c r="B184" t="s">
        <v>7373</v>
      </c>
      <c r="C184" t="s">
        <v>7554</v>
      </c>
      <c r="D184">
        <v>19</v>
      </c>
      <c r="E184">
        <v>4</v>
      </c>
      <c r="F184" t="s">
        <v>5499</v>
      </c>
      <c r="G184" t="s">
        <v>7555</v>
      </c>
      <c r="H184">
        <v>4</v>
      </c>
      <c r="I184">
        <v>-4</v>
      </c>
      <c r="J184">
        <v>0</v>
      </c>
      <c r="K184">
        <v>-5</v>
      </c>
      <c r="L184">
        <v>-3</v>
      </c>
      <c r="M184">
        <v>13</v>
      </c>
      <c r="N184">
        <v>8</v>
      </c>
      <c r="O184">
        <v>1.8</v>
      </c>
      <c r="P184" t="s">
        <v>7380</v>
      </c>
      <c r="Q184" t="s">
        <v>7371</v>
      </c>
      <c r="R184">
        <v>3</v>
      </c>
      <c r="S184">
        <v>7</v>
      </c>
      <c r="T184">
        <v>3</v>
      </c>
      <c r="U184">
        <v>0.5</v>
      </c>
      <c r="V184">
        <v>0.5</v>
      </c>
      <c r="Z184">
        <v>1</v>
      </c>
      <c r="AA184">
        <v>1</v>
      </c>
    </row>
    <row r="185" spans="1:27">
      <c r="A185" t="s">
        <v>1415</v>
      </c>
      <c r="B185" t="s">
        <v>7369</v>
      </c>
      <c r="C185" t="s">
        <v>7556</v>
      </c>
      <c r="D185">
        <v>9</v>
      </c>
      <c r="E185">
        <v>6</v>
      </c>
      <c r="F185" t="s">
        <v>5500</v>
      </c>
      <c r="H185">
        <v>2</v>
      </c>
      <c r="I185">
        <v>-6</v>
      </c>
      <c r="J185">
        <v>0</v>
      </c>
      <c r="K185">
        <v>-7</v>
      </c>
      <c r="L185">
        <v>-7</v>
      </c>
      <c r="M185">
        <v>24</v>
      </c>
      <c r="N185">
        <v>14</v>
      </c>
      <c r="O185">
        <v>0.9</v>
      </c>
      <c r="P185" t="s">
        <v>7380</v>
      </c>
      <c r="Q185" t="s">
        <v>7371</v>
      </c>
      <c r="R185">
        <v>10</v>
      </c>
      <c r="S185">
        <v>4</v>
      </c>
      <c r="T185">
        <v>8</v>
      </c>
      <c r="U185">
        <v>1.5</v>
      </c>
      <c r="V185">
        <v>1</v>
      </c>
      <c r="Z185">
        <v>1</v>
      </c>
      <c r="AA185">
        <v>1</v>
      </c>
    </row>
    <row r="186" spans="1:27">
      <c r="A186" t="s">
        <v>1422</v>
      </c>
      <c r="B186" t="s">
        <v>7397</v>
      </c>
      <c r="C186" t="s">
        <v>7557</v>
      </c>
      <c r="D186">
        <v>2</v>
      </c>
      <c r="E186">
        <v>0</v>
      </c>
      <c r="F186" t="s">
        <v>5499</v>
      </c>
      <c r="H186">
        <v>5</v>
      </c>
      <c r="I186">
        <v>-2</v>
      </c>
      <c r="J186">
        <v>0</v>
      </c>
      <c r="K186">
        <v>-2</v>
      </c>
      <c r="L186">
        <v>-7</v>
      </c>
      <c r="M186">
        <v>5</v>
      </c>
      <c r="O186">
        <v>0.2</v>
      </c>
      <c r="P186">
        <v>14</v>
      </c>
      <c r="R186">
        <v>7</v>
      </c>
      <c r="S186">
        <v>20</v>
      </c>
      <c r="T186">
        <v>3</v>
      </c>
      <c r="U186">
        <v>0.1</v>
      </c>
      <c r="V186">
        <v>1</v>
      </c>
      <c r="Z186">
        <v>1</v>
      </c>
      <c r="AA186">
        <v>1</v>
      </c>
    </row>
    <row r="187" spans="1:27">
      <c r="A187" t="s">
        <v>1424</v>
      </c>
      <c r="B187" t="s">
        <v>6488</v>
      </c>
      <c r="C187" t="s">
        <v>7557</v>
      </c>
      <c r="D187">
        <v>2</v>
      </c>
      <c r="E187">
        <v>0</v>
      </c>
      <c r="F187" t="s">
        <v>5499</v>
      </c>
      <c r="H187">
        <v>5</v>
      </c>
      <c r="I187">
        <v>-2</v>
      </c>
      <c r="J187">
        <v>0</v>
      </c>
      <c r="K187">
        <v>-2</v>
      </c>
      <c r="L187">
        <v>-7</v>
      </c>
      <c r="M187">
        <v>5</v>
      </c>
      <c r="O187">
        <v>0.2</v>
      </c>
      <c r="P187">
        <v>14</v>
      </c>
      <c r="R187">
        <v>7</v>
      </c>
      <c r="S187">
        <v>20</v>
      </c>
      <c r="T187">
        <v>3</v>
      </c>
      <c r="U187">
        <v>0.1</v>
      </c>
      <c r="V187">
        <v>1</v>
      </c>
      <c r="Z187">
        <v>1</v>
      </c>
      <c r="AA187">
        <v>1</v>
      </c>
    </row>
    <row r="188" spans="1:27">
      <c r="A188" t="s">
        <v>1420</v>
      </c>
      <c r="B188" t="s">
        <v>7388</v>
      </c>
      <c r="C188" t="s">
        <v>7558</v>
      </c>
      <c r="D188">
        <v>6</v>
      </c>
      <c r="E188">
        <v>3</v>
      </c>
      <c r="F188" t="s">
        <v>5486</v>
      </c>
      <c r="G188" t="s">
        <v>5486</v>
      </c>
      <c r="H188">
        <v>4</v>
      </c>
      <c r="I188">
        <v>-3</v>
      </c>
      <c r="J188">
        <v>0</v>
      </c>
      <c r="K188">
        <v>-2</v>
      </c>
      <c r="L188">
        <v>-5</v>
      </c>
      <c r="M188">
        <v>8</v>
      </c>
      <c r="N188">
        <v>5</v>
      </c>
      <c r="O188">
        <v>0.6</v>
      </c>
      <c r="P188">
        <v>5</v>
      </c>
      <c r="Q188" t="s">
        <v>7371</v>
      </c>
      <c r="R188">
        <v>3</v>
      </c>
      <c r="S188">
        <v>6</v>
      </c>
      <c r="T188">
        <v>2</v>
      </c>
      <c r="U188">
        <v>0.5</v>
      </c>
      <c r="V188">
        <v>0.25</v>
      </c>
      <c r="Z188">
        <v>1</v>
      </c>
      <c r="AA188">
        <v>1</v>
      </c>
    </row>
    <row r="189" spans="1:27">
      <c r="A189" t="s">
        <v>1415</v>
      </c>
      <c r="B189" t="s">
        <v>7421</v>
      </c>
      <c r="C189" t="s">
        <v>7558</v>
      </c>
      <c r="D189">
        <v>6</v>
      </c>
      <c r="E189">
        <v>3</v>
      </c>
      <c r="F189" t="s">
        <v>5486</v>
      </c>
      <c r="G189" t="s">
        <v>5486</v>
      </c>
      <c r="H189">
        <v>4</v>
      </c>
      <c r="I189">
        <v>-3</v>
      </c>
      <c r="J189">
        <v>0</v>
      </c>
      <c r="K189">
        <v>-2</v>
      </c>
      <c r="L189">
        <v>-5</v>
      </c>
      <c r="M189">
        <v>8</v>
      </c>
      <c r="N189">
        <v>5</v>
      </c>
      <c r="O189">
        <v>0.6</v>
      </c>
      <c r="P189">
        <v>5</v>
      </c>
      <c r="Q189" t="s">
        <v>7371</v>
      </c>
      <c r="R189">
        <v>3</v>
      </c>
      <c r="S189">
        <v>6</v>
      </c>
      <c r="T189">
        <v>3</v>
      </c>
      <c r="U189">
        <v>0.5</v>
      </c>
      <c r="V189">
        <v>0.25</v>
      </c>
      <c r="Z189">
        <v>1</v>
      </c>
      <c r="AA189">
        <v>1</v>
      </c>
    </row>
    <row r="190" spans="1:27">
      <c r="A190" t="s">
        <v>1422</v>
      </c>
      <c r="B190" t="s">
        <v>7397</v>
      </c>
      <c r="C190" t="s">
        <v>7559</v>
      </c>
      <c r="D190">
        <v>3</v>
      </c>
      <c r="E190">
        <v>2</v>
      </c>
      <c r="F190" t="s">
        <v>5499</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7397</v>
      </c>
      <c r="C191" t="s">
        <v>7560</v>
      </c>
      <c r="D191">
        <v>1</v>
      </c>
      <c r="E191">
        <v>-1.5</v>
      </c>
      <c r="F191" t="s">
        <v>5497</v>
      </c>
      <c r="H191">
        <v>8</v>
      </c>
      <c r="I191">
        <v>-1</v>
      </c>
      <c r="J191">
        <v>0</v>
      </c>
      <c r="K191">
        <v>-3</v>
      </c>
      <c r="L191">
        <v>-11</v>
      </c>
      <c r="M191">
        <v>1</v>
      </c>
      <c r="O191">
        <v>0.15</v>
      </c>
      <c r="P191">
        <v>16</v>
      </c>
      <c r="R191">
        <v>7</v>
      </c>
      <c r="S191">
        <v>11</v>
      </c>
      <c r="T191">
        <v>4</v>
      </c>
      <c r="U191">
        <v>0.3</v>
      </c>
      <c r="V191">
        <v>1</v>
      </c>
      <c r="Z191">
        <v>1</v>
      </c>
      <c r="AA191">
        <v>1</v>
      </c>
    </row>
    <row r="192" spans="1:27">
      <c r="A192" t="s">
        <v>1420</v>
      </c>
      <c r="B192" t="s">
        <v>7373</v>
      </c>
      <c r="C192" t="s">
        <v>7561</v>
      </c>
      <c r="D192">
        <v>20</v>
      </c>
      <c r="E192">
        <v>5</v>
      </c>
      <c r="F192" t="s">
        <v>5500</v>
      </c>
      <c r="G192" t="s">
        <v>5486</v>
      </c>
      <c r="H192">
        <v>3</v>
      </c>
      <c r="I192">
        <v>-8</v>
      </c>
      <c r="J192">
        <v>0</v>
      </c>
      <c r="K192">
        <v>-5</v>
      </c>
      <c r="L192">
        <v>-4</v>
      </c>
      <c r="M192">
        <v>18</v>
      </c>
      <c r="N192">
        <v>11</v>
      </c>
      <c r="O192">
        <v>1.8</v>
      </c>
      <c r="P192" t="s">
        <v>7380</v>
      </c>
      <c r="Q192" t="s">
        <v>7371</v>
      </c>
      <c r="R192">
        <v>3</v>
      </c>
      <c r="S192">
        <v>7</v>
      </c>
      <c r="T192">
        <v>3</v>
      </c>
      <c r="U192">
        <v>0.5</v>
      </c>
      <c r="V192">
        <v>0.5</v>
      </c>
      <c r="Z192">
        <v>1</v>
      </c>
      <c r="AA192">
        <v>1</v>
      </c>
    </row>
    <row r="193" spans="1:27">
      <c r="A193" t="s">
        <v>1415</v>
      </c>
      <c r="B193" t="s">
        <v>7421</v>
      </c>
      <c r="C193" t="s">
        <v>7562</v>
      </c>
      <c r="D193">
        <v>10</v>
      </c>
      <c r="E193">
        <v>7</v>
      </c>
      <c r="F193" t="s">
        <v>7385</v>
      </c>
      <c r="G193" t="s">
        <v>7386</v>
      </c>
      <c r="H193">
        <v>1.5</v>
      </c>
      <c r="I193">
        <v>-9</v>
      </c>
      <c r="J193">
        <v>0</v>
      </c>
      <c r="K193">
        <v>-6</v>
      </c>
      <c r="L193">
        <v>-7</v>
      </c>
      <c r="M193">
        <v>30</v>
      </c>
      <c r="N193">
        <v>17</v>
      </c>
      <c r="O193">
        <v>1.05</v>
      </c>
      <c r="P193" t="s">
        <v>7380</v>
      </c>
      <c r="Q193" t="s">
        <v>7371</v>
      </c>
      <c r="R193">
        <v>18</v>
      </c>
      <c r="S193">
        <v>8</v>
      </c>
      <c r="T193">
        <v>6</v>
      </c>
      <c r="U193">
        <v>1</v>
      </c>
      <c r="V193">
        <v>3</v>
      </c>
      <c r="Z193">
        <v>1</v>
      </c>
      <c r="AA193">
        <v>1</v>
      </c>
    </row>
    <row r="194" spans="1:27">
      <c r="A194" t="s">
        <v>1415</v>
      </c>
      <c r="B194" t="s">
        <v>7369</v>
      </c>
      <c r="C194" t="s">
        <v>7563</v>
      </c>
      <c r="D194">
        <v>12</v>
      </c>
      <c r="E194">
        <v>5.5</v>
      </c>
      <c r="F194" t="s">
        <v>5500</v>
      </c>
      <c r="H194">
        <v>3</v>
      </c>
      <c r="I194">
        <v>-3</v>
      </c>
      <c r="J194">
        <v>0</v>
      </c>
      <c r="K194">
        <v>-4</v>
      </c>
      <c r="L194">
        <v>-4</v>
      </c>
      <c r="M194">
        <v>17</v>
      </c>
      <c r="N194">
        <v>10</v>
      </c>
      <c r="O194">
        <v>1.2</v>
      </c>
      <c r="P194" t="s">
        <v>7380</v>
      </c>
      <c r="Q194" t="s">
        <v>7371</v>
      </c>
      <c r="R194">
        <v>17</v>
      </c>
      <c r="S194">
        <v>8</v>
      </c>
      <c r="T194">
        <v>12</v>
      </c>
      <c r="U194">
        <v>1</v>
      </c>
      <c r="V194">
        <v>2.5</v>
      </c>
      <c r="W194" t="s">
        <v>5463</v>
      </c>
      <c r="Z194">
        <v>1</v>
      </c>
      <c r="AA194">
        <v>1</v>
      </c>
    </row>
    <row r="195" spans="1:27">
      <c r="A195" t="s">
        <v>1415</v>
      </c>
      <c r="B195" t="s">
        <v>7369</v>
      </c>
      <c r="C195" t="s">
        <v>7564</v>
      </c>
      <c r="D195">
        <v>9</v>
      </c>
      <c r="E195">
        <v>5</v>
      </c>
      <c r="F195" t="s">
        <v>5500</v>
      </c>
      <c r="H195">
        <v>4</v>
      </c>
      <c r="I195">
        <v>-3</v>
      </c>
      <c r="J195">
        <v>0</v>
      </c>
      <c r="K195">
        <v>-3</v>
      </c>
      <c r="L195">
        <v>-4</v>
      </c>
      <c r="M195">
        <v>15</v>
      </c>
      <c r="N195">
        <v>9</v>
      </c>
      <c r="O195">
        <v>0.9</v>
      </c>
      <c r="P195">
        <v>0</v>
      </c>
      <c r="Q195" t="s">
        <v>7371</v>
      </c>
      <c r="R195">
        <v>16</v>
      </c>
      <c r="S195">
        <v>7</v>
      </c>
      <c r="T195">
        <v>7</v>
      </c>
      <c r="U195">
        <v>0.85</v>
      </c>
      <c r="V195">
        <v>1</v>
      </c>
      <c r="W195" t="s">
        <v>5465</v>
      </c>
      <c r="Z195">
        <v>1</v>
      </c>
      <c r="AA195">
        <v>1</v>
      </c>
    </row>
    <row r="196" spans="1:27">
      <c r="A196" t="s">
        <v>1415</v>
      </c>
      <c r="B196" t="s">
        <v>7369</v>
      </c>
      <c r="C196" t="s">
        <v>7565</v>
      </c>
      <c r="D196">
        <v>12</v>
      </c>
      <c r="E196">
        <v>7</v>
      </c>
      <c r="F196" t="s">
        <v>7566</v>
      </c>
      <c r="G196" t="s">
        <v>5499</v>
      </c>
      <c r="H196">
        <v>2</v>
      </c>
      <c r="I196">
        <v>-14</v>
      </c>
      <c r="J196">
        <v>0</v>
      </c>
      <c r="K196">
        <v>-7</v>
      </c>
      <c r="L196">
        <v>-6</v>
      </c>
      <c r="M196">
        <v>21</v>
      </c>
      <c r="N196">
        <v>14</v>
      </c>
      <c r="O196">
        <v>1.22</v>
      </c>
      <c r="P196" t="s">
        <v>7380</v>
      </c>
      <c r="Q196" t="s">
        <v>7371</v>
      </c>
      <c r="R196">
        <v>20</v>
      </c>
      <c r="S196">
        <v>7</v>
      </c>
      <c r="T196">
        <v>9</v>
      </c>
      <c r="U196">
        <v>1.1000000000000001</v>
      </c>
      <c r="V196">
        <v>2</v>
      </c>
      <c r="W196" t="s">
        <v>5468</v>
      </c>
      <c r="Z196">
        <v>1</v>
      </c>
      <c r="AA196">
        <v>1</v>
      </c>
    </row>
    <row r="197" spans="1:27">
      <c r="A197" t="s">
        <v>1415</v>
      </c>
      <c r="B197" t="s">
        <v>7421</v>
      </c>
      <c r="C197" t="s">
        <v>7567</v>
      </c>
      <c r="D197">
        <v>8</v>
      </c>
      <c r="E197">
        <v>5</v>
      </c>
      <c r="F197" t="s">
        <v>7386</v>
      </c>
      <c r="G197" t="s">
        <v>5496</v>
      </c>
      <c r="H197">
        <v>3</v>
      </c>
      <c r="I197">
        <v>-4</v>
      </c>
      <c r="J197">
        <v>4</v>
      </c>
      <c r="K197">
        <v>-4</v>
      </c>
      <c r="L197">
        <v>-4</v>
      </c>
      <c r="M197">
        <v>10</v>
      </c>
      <c r="N197">
        <v>7</v>
      </c>
      <c r="O197">
        <v>0.8</v>
      </c>
      <c r="P197">
        <v>1</v>
      </c>
      <c r="Q197" t="s">
        <v>7371</v>
      </c>
      <c r="R197">
        <v>16</v>
      </c>
      <c r="S197">
        <v>8</v>
      </c>
      <c r="T197">
        <v>12</v>
      </c>
      <c r="U197">
        <v>1.5</v>
      </c>
      <c r="V197">
        <v>3</v>
      </c>
      <c r="Z197">
        <v>1</v>
      </c>
      <c r="AA197">
        <v>1</v>
      </c>
    </row>
    <row r="198" spans="1:27">
      <c r="A198" t="s">
        <v>1415</v>
      </c>
      <c r="B198" t="s">
        <v>7421</v>
      </c>
      <c r="C198" t="s">
        <v>7568</v>
      </c>
      <c r="D198">
        <v>6</v>
      </c>
      <c r="E198">
        <v>4</v>
      </c>
      <c r="F198" t="s">
        <v>7569</v>
      </c>
      <c r="G198" t="s">
        <v>5496</v>
      </c>
      <c r="H198">
        <v>3</v>
      </c>
      <c r="I198">
        <v>-3</v>
      </c>
      <c r="J198">
        <v>3</v>
      </c>
      <c r="K198">
        <v>-3</v>
      </c>
      <c r="L198">
        <v>-4</v>
      </c>
      <c r="M198">
        <v>7</v>
      </c>
      <c r="N198">
        <v>5</v>
      </c>
      <c r="O198">
        <v>0.6</v>
      </c>
      <c r="P198">
        <v>4</v>
      </c>
      <c r="Q198" t="s">
        <v>7371</v>
      </c>
      <c r="R198">
        <v>16</v>
      </c>
      <c r="S198">
        <v>7</v>
      </c>
      <c r="T198">
        <v>12</v>
      </c>
      <c r="U198">
        <v>1.2</v>
      </c>
      <c r="V198">
        <v>3</v>
      </c>
      <c r="Z198">
        <v>1</v>
      </c>
      <c r="AA198">
        <v>1</v>
      </c>
    </row>
    <row r="199" spans="1:27">
      <c r="A199" t="s">
        <v>1415</v>
      </c>
      <c r="B199" t="s">
        <v>7377</v>
      </c>
      <c r="C199" t="s">
        <v>7570</v>
      </c>
      <c r="D199">
        <v>12</v>
      </c>
      <c r="E199">
        <v>6</v>
      </c>
      <c r="F199" t="s">
        <v>7448</v>
      </c>
      <c r="G199" t="s">
        <v>5497</v>
      </c>
      <c r="H199">
        <v>2</v>
      </c>
      <c r="I199">
        <v>-9</v>
      </c>
      <c r="J199">
        <v>2</v>
      </c>
      <c r="K199">
        <v>-6</v>
      </c>
      <c r="L199">
        <v>-6</v>
      </c>
      <c r="M199">
        <v>22</v>
      </c>
      <c r="N199">
        <v>13</v>
      </c>
      <c r="O199">
        <v>1.2</v>
      </c>
      <c r="P199" t="s">
        <v>7380</v>
      </c>
      <c r="Q199" t="s">
        <v>7371</v>
      </c>
      <c r="R199">
        <v>17</v>
      </c>
      <c r="S199">
        <v>8</v>
      </c>
      <c r="T199">
        <v>4</v>
      </c>
      <c r="U199">
        <v>1.5</v>
      </c>
      <c r="V199">
        <v>3</v>
      </c>
      <c r="Z199">
        <v>1</v>
      </c>
      <c r="AA199">
        <v>1</v>
      </c>
    </row>
    <row r="200" spans="1:27">
      <c r="A200" t="s">
        <v>1415</v>
      </c>
      <c r="B200" t="s">
        <v>7421</v>
      </c>
      <c r="C200" t="s">
        <v>7571</v>
      </c>
      <c r="D200">
        <v>8</v>
      </c>
      <c r="E200">
        <v>4</v>
      </c>
      <c r="F200" t="s">
        <v>5497</v>
      </c>
      <c r="G200" t="s">
        <v>5497</v>
      </c>
      <c r="H200">
        <v>3</v>
      </c>
      <c r="I200">
        <v>-4</v>
      </c>
      <c r="J200">
        <v>0</v>
      </c>
      <c r="K200">
        <v>-4</v>
      </c>
      <c r="L200">
        <v>-4</v>
      </c>
      <c r="M200">
        <v>10</v>
      </c>
      <c r="N200">
        <v>7</v>
      </c>
      <c r="O200">
        <v>0.75</v>
      </c>
      <c r="P200">
        <v>2</v>
      </c>
      <c r="Q200" t="s">
        <v>7371</v>
      </c>
      <c r="R200">
        <v>15</v>
      </c>
      <c r="S200">
        <v>7</v>
      </c>
      <c r="T200">
        <v>4</v>
      </c>
      <c r="U200">
        <v>1</v>
      </c>
      <c r="V200">
        <v>1</v>
      </c>
      <c r="Z200">
        <v>1</v>
      </c>
      <c r="AA200">
        <v>1</v>
      </c>
    </row>
    <row r="201" spans="1:27">
      <c r="A201" t="s">
        <v>1424</v>
      </c>
      <c r="B201" t="s">
        <v>7414</v>
      </c>
      <c r="C201" t="s">
        <v>7572</v>
      </c>
      <c r="E201">
        <v>8</v>
      </c>
      <c r="F201" t="s">
        <v>5497</v>
      </c>
      <c r="G201" t="s">
        <v>5496</v>
      </c>
      <c r="H201">
        <v>3</v>
      </c>
      <c r="I201">
        <v>-5</v>
      </c>
      <c r="K201">
        <v>-5</v>
      </c>
      <c r="L201">
        <v>6</v>
      </c>
      <c r="M201">
        <v>15</v>
      </c>
      <c r="R201">
        <v>15</v>
      </c>
      <c r="S201">
        <v>15</v>
      </c>
      <c r="T201">
        <v>15</v>
      </c>
      <c r="X201">
        <v>15</v>
      </c>
      <c r="Y201">
        <v>375</v>
      </c>
      <c r="Z201">
        <v>1</v>
      </c>
      <c r="AA201">
        <v>1</v>
      </c>
    </row>
    <row r="202" spans="1:27">
      <c r="A202" t="s">
        <v>1415</v>
      </c>
      <c r="B202" t="s">
        <v>7369</v>
      </c>
      <c r="C202" t="s">
        <v>7573</v>
      </c>
      <c r="D202">
        <v>6</v>
      </c>
      <c r="E202">
        <v>3</v>
      </c>
      <c r="F202" t="s">
        <v>7379</v>
      </c>
      <c r="G202" t="s">
        <v>5486</v>
      </c>
      <c r="H202">
        <v>4</v>
      </c>
      <c r="I202">
        <v>-6</v>
      </c>
      <c r="J202">
        <v>0</v>
      </c>
      <c r="K202">
        <v>-3</v>
      </c>
      <c r="L202">
        <v>-4</v>
      </c>
      <c r="M202">
        <v>8</v>
      </c>
      <c r="N202">
        <v>6</v>
      </c>
      <c r="O202">
        <v>0.61</v>
      </c>
      <c r="P202">
        <v>5</v>
      </c>
      <c r="Q202" t="s">
        <v>7371</v>
      </c>
      <c r="R202">
        <v>16</v>
      </c>
      <c r="S202">
        <v>7</v>
      </c>
      <c r="T202">
        <v>7</v>
      </c>
      <c r="U202">
        <v>0.6</v>
      </c>
      <c r="V202">
        <v>1</v>
      </c>
      <c r="Z202">
        <v>1</v>
      </c>
      <c r="AA202">
        <v>1</v>
      </c>
    </row>
    <row r="203" spans="1:27">
      <c r="A203" t="s">
        <v>1424</v>
      </c>
      <c r="B203" t="s">
        <v>7365</v>
      </c>
      <c r="C203" t="s">
        <v>7574</v>
      </c>
      <c r="D203">
        <v>5</v>
      </c>
      <c r="E203">
        <v>2</v>
      </c>
      <c r="F203" t="s">
        <v>5496</v>
      </c>
      <c r="G203" t="s">
        <v>5486</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7421</v>
      </c>
      <c r="C204" t="s">
        <v>7574</v>
      </c>
      <c r="D204">
        <v>5</v>
      </c>
      <c r="E204">
        <v>2</v>
      </c>
      <c r="F204" t="s">
        <v>5496</v>
      </c>
      <c r="G204" t="s">
        <v>5486</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7575</v>
      </c>
      <c r="D205">
        <v>0</v>
      </c>
      <c r="E205">
        <v>0</v>
      </c>
      <c r="F205" t="s">
        <v>5497</v>
      </c>
      <c r="H205">
        <v>3</v>
      </c>
      <c r="I205">
        <v>-3</v>
      </c>
      <c r="J205">
        <v>0</v>
      </c>
      <c r="K205">
        <v>-2</v>
      </c>
      <c r="L205">
        <v>-15</v>
      </c>
      <c r="O205">
        <v>0.1</v>
      </c>
      <c r="P205">
        <v>12</v>
      </c>
      <c r="R205">
        <v>8</v>
      </c>
      <c r="S205">
        <v>18</v>
      </c>
      <c r="T205">
        <v>2</v>
      </c>
      <c r="Z205">
        <v>1</v>
      </c>
      <c r="AA205">
        <v>1</v>
      </c>
    </row>
    <row r="206" spans="1:27">
      <c r="A206" t="s">
        <v>1415</v>
      </c>
      <c r="B206" t="s">
        <v>7421</v>
      </c>
      <c r="C206" t="s">
        <v>7575</v>
      </c>
      <c r="D206">
        <v>0</v>
      </c>
      <c r="E206">
        <v>0</v>
      </c>
      <c r="F206" t="s">
        <v>5497</v>
      </c>
      <c r="H206">
        <v>3</v>
      </c>
      <c r="I206">
        <v>-3</v>
      </c>
      <c r="J206">
        <v>0</v>
      </c>
      <c r="K206">
        <v>-2</v>
      </c>
      <c r="L206">
        <v>-15</v>
      </c>
      <c r="O206">
        <v>0.1</v>
      </c>
      <c r="P206">
        <v>12</v>
      </c>
      <c r="R206">
        <v>8</v>
      </c>
      <c r="S206">
        <v>18</v>
      </c>
      <c r="T206">
        <v>2</v>
      </c>
      <c r="U206">
        <v>0.3</v>
      </c>
      <c r="V206">
        <v>0.1</v>
      </c>
      <c r="Z206">
        <v>1</v>
      </c>
      <c r="AA206">
        <v>1</v>
      </c>
    </row>
    <row r="207" spans="1:27">
      <c r="A207" t="s">
        <v>1415</v>
      </c>
      <c r="B207" t="s">
        <v>7377</v>
      </c>
      <c r="C207" t="s">
        <v>7576</v>
      </c>
      <c r="D207">
        <v>16</v>
      </c>
      <c r="E207">
        <v>9</v>
      </c>
      <c r="F207" t="s">
        <v>7566</v>
      </c>
      <c r="G207" t="s">
        <v>5500</v>
      </c>
      <c r="H207">
        <v>1</v>
      </c>
      <c r="I207">
        <v>-28</v>
      </c>
      <c r="J207">
        <v>0</v>
      </c>
      <c r="K207">
        <v>-7</v>
      </c>
      <c r="L207">
        <v>-7</v>
      </c>
      <c r="M207">
        <v>43</v>
      </c>
      <c r="N207">
        <v>25</v>
      </c>
      <c r="O207">
        <v>1.76</v>
      </c>
      <c r="P207" t="s">
        <v>7380</v>
      </c>
      <c r="Q207" t="s">
        <v>7371</v>
      </c>
      <c r="R207">
        <v>25</v>
      </c>
      <c r="S207">
        <v>9</v>
      </c>
      <c r="T207">
        <v>8</v>
      </c>
      <c r="U207">
        <v>3.5</v>
      </c>
      <c r="V207">
        <v>1.5</v>
      </c>
      <c r="W207" t="s">
        <v>5469</v>
      </c>
      <c r="Z207">
        <v>1</v>
      </c>
      <c r="AA207">
        <v>1</v>
      </c>
    </row>
    <row r="208" spans="1:27">
      <c r="A208" t="s">
        <v>1415</v>
      </c>
      <c r="B208" t="s">
        <v>7377</v>
      </c>
      <c r="C208" t="s">
        <v>7577</v>
      </c>
      <c r="D208">
        <v>18</v>
      </c>
      <c r="E208">
        <v>9</v>
      </c>
      <c r="F208" t="s">
        <v>7440</v>
      </c>
      <c r="H208">
        <v>1</v>
      </c>
      <c r="I208">
        <v>-22</v>
      </c>
      <c r="J208">
        <v>0</v>
      </c>
      <c r="K208">
        <v>-7</v>
      </c>
      <c r="L208">
        <v>-7</v>
      </c>
      <c r="M208">
        <v>44</v>
      </c>
      <c r="N208">
        <v>26</v>
      </c>
      <c r="O208">
        <v>2</v>
      </c>
      <c r="P208" t="s">
        <v>7380</v>
      </c>
      <c r="Q208" t="s">
        <v>7371</v>
      </c>
      <c r="R208">
        <v>14</v>
      </c>
      <c r="S208">
        <v>11</v>
      </c>
      <c r="T208">
        <v>4</v>
      </c>
      <c r="U208">
        <v>2</v>
      </c>
      <c r="V208">
        <v>1.5</v>
      </c>
      <c r="W208" t="s">
        <v>5469</v>
      </c>
      <c r="Z208">
        <v>1</v>
      </c>
      <c r="AA208">
        <v>1</v>
      </c>
    </row>
    <row r="209" spans="1:27">
      <c r="A209" t="s">
        <v>1422</v>
      </c>
      <c r="B209" t="s">
        <v>7397</v>
      </c>
      <c r="C209" t="s">
        <v>7578</v>
      </c>
      <c r="D209">
        <v>3</v>
      </c>
      <c r="E209">
        <v>2</v>
      </c>
      <c r="F209" t="s">
        <v>7385</v>
      </c>
      <c r="H209">
        <v>4</v>
      </c>
      <c r="I209">
        <v>-4</v>
      </c>
      <c r="J209">
        <v>0</v>
      </c>
      <c r="K209">
        <v>-2</v>
      </c>
      <c r="L209">
        <v>-6</v>
      </c>
      <c r="M209">
        <v>9</v>
      </c>
      <c r="N209">
        <v>7</v>
      </c>
      <c r="O209">
        <v>0.35</v>
      </c>
      <c r="P209">
        <v>5</v>
      </c>
      <c r="Q209" t="s">
        <v>7579</v>
      </c>
      <c r="R209">
        <v>12</v>
      </c>
      <c r="S209">
        <v>15</v>
      </c>
      <c r="T209">
        <v>7</v>
      </c>
      <c r="U209">
        <v>1</v>
      </c>
      <c r="V209">
        <v>5</v>
      </c>
      <c r="Z209">
        <v>1</v>
      </c>
      <c r="AA209">
        <v>1</v>
      </c>
    </row>
    <row r="210" spans="1:27">
      <c r="A210" t="s">
        <v>1424</v>
      </c>
      <c r="B210" t="s">
        <v>7414</v>
      </c>
      <c r="C210" t="s">
        <v>7580</v>
      </c>
      <c r="E210">
        <v>12</v>
      </c>
      <c r="F210" t="s">
        <v>7416</v>
      </c>
      <c r="H210">
        <v>3</v>
      </c>
      <c r="I210">
        <v>-5</v>
      </c>
      <c r="K210">
        <v>-8</v>
      </c>
      <c r="L210">
        <v>10</v>
      </c>
      <c r="M210">
        <v>21</v>
      </c>
      <c r="R210">
        <v>15</v>
      </c>
      <c r="S210">
        <v>15</v>
      </c>
      <c r="T210">
        <v>15</v>
      </c>
      <c r="X210">
        <v>18</v>
      </c>
      <c r="Y210">
        <v>750</v>
      </c>
      <c r="Z210">
        <v>1</v>
      </c>
      <c r="AA210">
        <v>1</v>
      </c>
    </row>
    <row r="211" spans="1:27">
      <c r="A211" t="s">
        <v>1420</v>
      </c>
      <c r="B211" t="s">
        <v>7494</v>
      </c>
      <c r="C211" t="s">
        <v>7581</v>
      </c>
      <c r="D211">
        <v>32</v>
      </c>
      <c r="E211">
        <v>4</v>
      </c>
      <c r="F211" t="s">
        <v>5497</v>
      </c>
      <c r="G211" t="s">
        <v>5486</v>
      </c>
      <c r="H211">
        <v>3</v>
      </c>
      <c r="I211">
        <v>-6</v>
      </c>
      <c r="J211">
        <v>0</v>
      </c>
      <c r="K211">
        <v>-5</v>
      </c>
      <c r="L211">
        <v>-6</v>
      </c>
      <c r="M211">
        <v>16</v>
      </c>
      <c r="N211">
        <v>10</v>
      </c>
      <c r="O211">
        <v>3</v>
      </c>
      <c r="P211" t="s">
        <v>7380</v>
      </c>
      <c r="Q211" t="s">
        <v>7371</v>
      </c>
      <c r="R211">
        <v>5</v>
      </c>
      <c r="S211">
        <v>3</v>
      </c>
      <c r="T211">
        <v>3</v>
      </c>
      <c r="U211">
        <v>1</v>
      </c>
      <c r="V211">
        <v>4</v>
      </c>
      <c r="Z211">
        <v>1</v>
      </c>
      <c r="AA211">
        <v>1</v>
      </c>
    </row>
    <row r="212" spans="1:27">
      <c r="A212" t="s">
        <v>1424</v>
      </c>
      <c r="B212" t="s">
        <v>7414</v>
      </c>
      <c r="C212" t="s">
        <v>7582</v>
      </c>
      <c r="E212">
        <v>8</v>
      </c>
      <c r="F212" t="s">
        <v>5497</v>
      </c>
      <c r="G212" t="s">
        <v>5496</v>
      </c>
      <c r="H212">
        <v>3</v>
      </c>
      <c r="I212">
        <v>-5</v>
      </c>
      <c r="K212">
        <v>-6</v>
      </c>
      <c r="L212">
        <v>7</v>
      </c>
      <c r="M212">
        <v>17</v>
      </c>
      <c r="Q212" t="s">
        <v>7583</v>
      </c>
      <c r="R212">
        <v>14</v>
      </c>
      <c r="S212">
        <v>14</v>
      </c>
      <c r="T212">
        <v>15</v>
      </c>
      <c r="X212">
        <v>16</v>
      </c>
      <c r="Y212">
        <v>425</v>
      </c>
      <c r="Z212">
        <v>1</v>
      </c>
      <c r="AA212">
        <v>1</v>
      </c>
    </row>
    <row r="213" spans="1:27">
      <c r="A213" t="s">
        <v>1424</v>
      </c>
      <c r="B213" t="s">
        <v>1424</v>
      </c>
      <c r="C213" t="s">
        <v>1424</v>
      </c>
      <c r="D213">
        <v>0</v>
      </c>
      <c r="E213">
        <v>-2</v>
      </c>
      <c r="F213" t="s">
        <v>5497</v>
      </c>
      <c r="H213">
        <v>3</v>
      </c>
      <c r="I213">
        <v>-5</v>
      </c>
      <c r="J213">
        <v>0</v>
      </c>
      <c r="K213">
        <v>0</v>
      </c>
      <c r="L213">
        <v>0</v>
      </c>
      <c r="M213">
        <v>1</v>
      </c>
      <c r="N213">
        <v>1</v>
      </c>
      <c r="O213">
        <v>0</v>
      </c>
      <c r="P213" t="s">
        <v>7380</v>
      </c>
      <c r="Q213" t="s">
        <v>7366</v>
      </c>
      <c r="R213">
        <v>0</v>
      </c>
      <c r="S213">
        <v>0</v>
      </c>
      <c r="W213" t="s">
        <v>7584</v>
      </c>
      <c r="Z213" t="s">
        <v>7585</v>
      </c>
      <c r="AA213" t="s">
        <v>7585</v>
      </c>
    </row>
    <row r="214" spans="1:27">
      <c r="A214" t="s">
        <v>1424</v>
      </c>
      <c r="B214" t="s">
        <v>1424</v>
      </c>
      <c r="C214" t="s">
        <v>7586</v>
      </c>
      <c r="D214">
        <v>0</v>
      </c>
      <c r="E214">
        <v>0</v>
      </c>
      <c r="F214" t="s">
        <v>5497</v>
      </c>
      <c r="G214" t="s">
        <v>5486</v>
      </c>
      <c r="H214">
        <v>3</v>
      </c>
      <c r="I214">
        <v>-5</v>
      </c>
      <c r="J214">
        <v>0</v>
      </c>
      <c r="K214">
        <v>-2</v>
      </c>
      <c r="L214">
        <v>-7</v>
      </c>
      <c r="M214">
        <v>9</v>
      </c>
      <c r="O214">
        <v>0.05</v>
      </c>
      <c r="P214">
        <v>14</v>
      </c>
      <c r="R214">
        <v>4</v>
      </c>
      <c r="S214">
        <v>30</v>
      </c>
      <c r="T214">
        <v>16</v>
      </c>
      <c r="U214">
        <v>1</v>
      </c>
      <c r="V214">
        <v>4</v>
      </c>
      <c r="Z214">
        <v>1</v>
      </c>
      <c r="AA214">
        <v>1</v>
      </c>
    </row>
    <row r="215" spans="1:27">
      <c r="A215" t="s">
        <v>1415</v>
      </c>
      <c r="B215" t="s">
        <v>7377</v>
      </c>
      <c r="C215" t="s">
        <v>7587</v>
      </c>
      <c r="D215">
        <v>9</v>
      </c>
      <c r="E215">
        <v>8</v>
      </c>
      <c r="F215" t="s">
        <v>7395</v>
      </c>
      <c r="H215">
        <v>1.5</v>
      </c>
      <c r="I215">
        <v>-13</v>
      </c>
      <c r="J215">
        <v>0</v>
      </c>
      <c r="K215">
        <v>-6</v>
      </c>
      <c r="L215">
        <v>-7</v>
      </c>
      <c r="M215">
        <v>27</v>
      </c>
      <c r="N215">
        <v>16</v>
      </c>
      <c r="O215">
        <v>0.9</v>
      </c>
      <c r="P215">
        <v>0</v>
      </c>
      <c r="Q215" t="s">
        <v>7371</v>
      </c>
      <c r="R215">
        <v>16</v>
      </c>
      <c r="S215">
        <v>7</v>
      </c>
      <c r="T215">
        <v>6</v>
      </c>
      <c r="U215">
        <v>4</v>
      </c>
      <c r="V215">
        <v>1</v>
      </c>
      <c r="Z215">
        <v>1</v>
      </c>
      <c r="AA215">
        <v>1</v>
      </c>
    </row>
    <row r="216" spans="1:27">
      <c r="A216" t="s">
        <v>1422</v>
      </c>
      <c r="B216" t="s">
        <v>7367</v>
      </c>
      <c r="C216" t="s">
        <v>7588</v>
      </c>
      <c r="D216">
        <v>7</v>
      </c>
      <c r="E216">
        <v>4</v>
      </c>
      <c r="F216" t="s">
        <v>5499</v>
      </c>
      <c r="G216" t="s">
        <v>5486</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7435</v>
      </c>
      <c r="C217" t="s">
        <v>7588</v>
      </c>
      <c r="D217">
        <v>7</v>
      </c>
      <c r="E217">
        <v>4</v>
      </c>
      <c r="F217" t="s">
        <v>5499</v>
      </c>
      <c r="G217" t="s">
        <v>5486</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7367</v>
      </c>
      <c r="C218" t="s">
        <v>7589</v>
      </c>
      <c r="D218">
        <v>10</v>
      </c>
      <c r="E218">
        <v>3</v>
      </c>
      <c r="F218" t="s">
        <v>5498</v>
      </c>
      <c r="G218" t="s">
        <v>5496</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7381</v>
      </c>
      <c r="C219" t="s">
        <v>7589</v>
      </c>
      <c r="D219">
        <v>10</v>
      </c>
      <c r="E219">
        <v>3</v>
      </c>
      <c r="F219" t="s">
        <v>5498</v>
      </c>
      <c r="G219" t="s">
        <v>5496</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7373</v>
      </c>
      <c r="C220" t="s">
        <v>7590</v>
      </c>
      <c r="D220">
        <v>19</v>
      </c>
      <c r="E220">
        <v>4</v>
      </c>
      <c r="F220" t="s">
        <v>5499</v>
      </c>
      <c r="G220" t="s">
        <v>5496</v>
      </c>
      <c r="H220">
        <v>5</v>
      </c>
      <c r="I220">
        <v>-5</v>
      </c>
      <c r="J220">
        <v>0</v>
      </c>
      <c r="K220">
        <v>-5</v>
      </c>
      <c r="L220">
        <v>-4</v>
      </c>
      <c r="M220">
        <v>7</v>
      </c>
      <c r="N220">
        <v>5</v>
      </c>
      <c r="O220">
        <v>1.8</v>
      </c>
      <c r="P220" t="s">
        <v>7380</v>
      </c>
      <c r="Q220" t="s">
        <v>7371</v>
      </c>
      <c r="R220">
        <v>3</v>
      </c>
      <c r="S220">
        <v>7</v>
      </c>
      <c r="T220">
        <v>3</v>
      </c>
      <c r="U220">
        <v>0.5</v>
      </c>
      <c r="V220">
        <v>0.5</v>
      </c>
      <c r="Z220">
        <v>1</v>
      </c>
      <c r="AA220">
        <v>1</v>
      </c>
    </row>
    <row r="221" spans="1:27">
      <c r="A221" t="s">
        <v>1422</v>
      </c>
      <c r="B221" t="s">
        <v>7397</v>
      </c>
      <c r="C221" t="s">
        <v>7591</v>
      </c>
      <c r="D221">
        <v>3</v>
      </c>
      <c r="E221">
        <v>1</v>
      </c>
      <c r="F221" t="s">
        <v>5499</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7365</v>
      </c>
      <c r="C222" t="s">
        <v>7592</v>
      </c>
      <c r="D222">
        <v>2</v>
      </c>
      <c r="E222">
        <v>2</v>
      </c>
      <c r="F222" t="s">
        <v>5497</v>
      </c>
      <c r="G222" t="s">
        <v>5496</v>
      </c>
      <c r="H222">
        <v>2</v>
      </c>
      <c r="I222">
        <v>-7</v>
      </c>
      <c r="J222">
        <v>0</v>
      </c>
      <c r="K222">
        <v>-2</v>
      </c>
      <c r="L222">
        <v>-6</v>
      </c>
      <c r="M222">
        <v>7</v>
      </c>
      <c r="O222">
        <v>0.2</v>
      </c>
      <c r="P222">
        <v>0</v>
      </c>
      <c r="R222">
        <v>7</v>
      </c>
      <c r="S222">
        <v>12</v>
      </c>
      <c r="T222">
        <v>6</v>
      </c>
      <c r="U222">
        <v>0.2</v>
      </c>
      <c r="V222">
        <v>1</v>
      </c>
      <c r="Z222">
        <v>1</v>
      </c>
      <c r="AA222">
        <v>1</v>
      </c>
    </row>
    <row r="223" spans="1:27">
      <c r="A223" t="s">
        <v>1418</v>
      </c>
      <c r="B223" t="s">
        <v>7383</v>
      </c>
      <c r="C223" t="s">
        <v>7593</v>
      </c>
      <c r="D223">
        <v>12</v>
      </c>
      <c r="E223">
        <v>7</v>
      </c>
      <c r="F223" t="s">
        <v>7395</v>
      </c>
      <c r="H223">
        <v>1.5</v>
      </c>
      <c r="I223">
        <v>-10</v>
      </c>
      <c r="J223">
        <v>0</v>
      </c>
      <c r="K223">
        <v>-5</v>
      </c>
      <c r="L223">
        <v>-5</v>
      </c>
      <c r="M223">
        <v>35</v>
      </c>
      <c r="N223">
        <v>17</v>
      </c>
      <c r="O223">
        <v>1.1499999999999999</v>
      </c>
      <c r="P223" t="s">
        <v>7380</v>
      </c>
      <c r="R223">
        <v>17</v>
      </c>
      <c r="S223">
        <v>15</v>
      </c>
      <c r="T223">
        <v>25</v>
      </c>
      <c r="U223">
        <v>1.5</v>
      </c>
      <c r="V223">
        <v>4</v>
      </c>
      <c r="Z223">
        <v>1</v>
      </c>
      <c r="AA223">
        <v>1</v>
      </c>
    </row>
    <row r="224" spans="1:27">
      <c r="A224" t="s">
        <v>1418</v>
      </c>
      <c r="B224" t="s">
        <v>7383</v>
      </c>
      <c r="C224" t="s">
        <v>7594</v>
      </c>
      <c r="D224">
        <v>13</v>
      </c>
      <c r="E224">
        <v>6</v>
      </c>
      <c r="F224" t="s">
        <v>5499</v>
      </c>
      <c r="G224" t="s">
        <v>7386</v>
      </c>
      <c r="H224">
        <v>2</v>
      </c>
      <c r="I224">
        <v>-7</v>
      </c>
      <c r="J224">
        <v>0</v>
      </c>
      <c r="K224">
        <v>-4</v>
      </c>
      <c r="L224">
        <v>-4</v>
      </c>
      <c r="M224">
        <v>22</v>
      </c>
      <c r="N224">
        <v>14</v>
      </c>
      <c r="O224">
        <v>1.25</v>
      </c>
      <c r="P224" t="s">
        <v>7380</v>
      </c>
      <c r="R224">
        <v>16</v>
      </c>
      <c r="S224">
        <v>14</v>
      </c>
      <c r="T224">
        <v>24</v>
      </c>
      <c r="U224">
        <v>1.5</v>
      </c>
      <c r="V224">
        <v>4</v>
      </c>
      <c r="Z224">
        <v>1</v>
      </c>
      <c r="AA224">
        <v>1</v>
      </c>
    </row>
    <row r="225" spans="1:27">
      <c r="A225" t="s">
        <v>1418</v>
      </c>
      <c r="B225" t="s">
        <v>7383</v>
      </c>
      <c r="C225" t="s">
        <v>7595</v>
      </c>
      <c r="D225">
        <v>15</v>
      </c>
      <c r="E225">
        <v>7</v>
      </c>
      <c r="F225" t="s">
        <v>7385</v>
      </c>
      <c r="G225" t="s">
        <v>5499</v>
      </c>
      <c r="H225">
        <v>1.5</v>
      </c>
      <c r="I225">
        <v>-12</v>
      </c>
      <c r="J225">
        <v>0</v>
      </c>
      <c r="K225">
        <v>-6</v>
      </c>
      <c r="L225">
        <v>-5</v>
      </c>
      <c r="M225">
        <v>25</v>
      </c>
      <c r="N225">
        <v>15</v>
      </c>
      <c r="O225">
        <v>1.5</v>
      </c>
      <c r="P225" t="s">
        <v>7380</v>
      </c>
      <c r="R225">
        <v>16</v>
      </c>
      <c r="S225">
        <v>14</v>
      </c>
      <c r="T225">
        <v>24</v>
      </c>
      <c r="U225">
        <v>3</v>
      </c>
      <c r="V225">
        <v>5</v>
      </c>
      <c r="Z225">
        <v>1</v>
      </c>
      <c r="AA225">
        <v>1</v>
      </c>
    </row>
    <row r="226" spans="1:27">
      <c r="A226" t="s">
        <v>1420</v>
      </c>
      <c r="B226" t="s">
        <v>7388</v>
      </c>
      <c r="C226" t="s">
        <v>7596</v>
      </c>
      <c r="D226">
        <v>10</v>
      </c>
      <c r="E226">
        <v>4</v>
      </c>
      <c r="F226" t="s">
        <v>5498</v>
      </c>
      <c r="G226" t="s">
        <v>5496</v>
      </c>
      <c r="H226">
        <v>4</v>
      </c>
      <c r="I226">
        <v>-3</v>
      </c>
      <c r="J226">
        <v>0</v>
      </c>
      <c r="K226">
        <v>-2</v>
      </c>
      <c r="L226">
        <v>-3</v>
      </c>
      <c r="M226">
        <v>23</v>
      </c>
      <c r="N226">
        <v>12</v>
      </c>
      <c r="O226">
        <v>1.8</v>
      </c>
      <c r="P226" t="s">
        <v>7380</v>
      </c>
      <c r="Q226" t="s">
        <v>7410</v>
      </c>
      <c r="R226">
        <v>14</v>
      </c>
      <c r="S226">
        <v>7</v>
      </c>
      <c r="T226">
        <v>7</v>
      </c>
      <c r="U226">
        <v>1</v>
      </c>
      <c r="V226">
        <v>3</v>
      </c>
      <c r="Z226">
        <v>1</v>
      </c>
      <c r="AA226">
        <v>1</v>
      </c>
    </row>
    <row r="227" spans="1:27">
      <c r="A227" t="s">
        <v>1424</v>
      </c>
      <c r="B227" t="s">
        <v>1424</v>
      </c>
      <c r="C227" t="s">
        <v>1424</v>
      </c>
      <c r="D227">
        <v>0</v>
      </c>
      <c r="E227">
        <v>-2</v>
      </c>
      <c r="F227" t="s">
        <v>5496</v>
      </c>
      <c r="H227">
        <v>3</v>
      </c>
      <c r="I227">
        <v>-4</v>
      </c>
      <c r="J227">
        <v>0</v>
      </c>
      <c r="K227">
        <v>0</v>
      </c>
      <c r="L227">
        <v>0</v>
      </c>
      <c r="M227">
        <v>1</v>
      </c>
      <c r="N227">
        <v>1</v>
      </c>
      <c r="O227">
        <v>0</v>
      </c>
      <c r="P227" t="s">
        <v>7380</v>
      </c>
      <c r="Q227" t="s">
        <v>7366</v>
      </c>
      <c r="R227">
        <v>0</v>
      </c>
      <c r="S227">
        <v>0</v>
      </c>
      <c r="W227" t="s">
        <v>5606</v>
      </c>
      <c r="Z227" t="s">
        <v>7585</v>
      </c>
      <c r="AA227" t="s">
        <v>7585</v>
      </c>
    </row>
    <row r="228" spans="1:27">
      <c r="A228" t="s">
        <v>1424</v>
      </c>
      <c r="B228" t="s">
        <v>1424</v>
      </c>
      <c r="C228" t="s">
        <v>1424</v>
      </c>
      <c r="D228">
        <v>0</v>
      </c>
      <c r="E228">
        <v>-2</v>
      </c>
      <c r="F228" t="s">
        <v>5498</v>
      </c>
      <c r="H228">
        <v>3</v>
      </c>
      <c r="I228">
        <v>-6</v>
      </c>
      <c r="J228">
        <v>0</v>
      </c>
      <c r="K228">
        <v>0</v>
      </c>
      <c r="L228">
        <v>0</v>
      </c>
      <c r="M228">
        <v>1</v>
      </c>
      <c r="N228">
        <v>1</v>
      </c>
      <c r="O228">
        <v>0</v>
      </c>
      <c r="P228" t="s">
        <v>7380</v>
      </c>
      <c r="Q228" t="s">
        <v>7366</v>
      </c>
      <c r="R228">
        <v>0</v>
      </c>
      <c r="S228">
        <v>0</v>
      </c>
      <c r="W228" t="s">
        <v>5619</v>
      </c>
      <c r="Z228" t="s">
        <v>7585</v>
      </c>
      <c r="AA228" t="s">
        <v>7585</v>
      </c>
    </row>
    <row r="229" spans="1:27">
      <c r="A229" t="s">
        <v>1424</v>
      </c>
      <c r="B229" t="s">
        <v>1424</v>
      </c>
      <c r="C229" t="s">
        <v>1424</v>
      </c>
      <c r="D229">
        <v>0</v>
      </c>
      <c r="E229">
        <v>-2</v>
      </c>
      <c r="F229" t="s">
        <v>5499</v>
      </c>
      <c r="H229">
        <v>3</v>
      </c>
      <c r="I229">
        <v>-7</v>
      </c>
      <c r="J229">
        <v>0</v>
      </c>
      <c r="K229">
        <v>0</v>
      </c>
      <c r="L229">
        <v>0</v>
      </c>
      <c r="M229">
        <v>1</v>
      </c>
      <c r="N229">
        <v>1</v>
      </c>
      <c r="O229">
        <v>0</v>
      </c>
      <c r="P229" t="s">
        <v>7380</v>
      </c>
      <c r="Q229" t="s">
        <v>7366</v>
      </c>
      <c r="R229">
        <v>0</v>
      </c>
      <c r="S229">
        <v>0</v>
      </c>
      <c r="W229" t="s">
        <v>5612</v>
      </c>
      <c r="Z229" t="s">
        <v>7585</v>
      </c>
      <c r="AA229" t="s">
        <v>7585</v>
      </c>
    </row>
    <row r="230" spans="1:27">
      <c r="A230" t="s">
        <v>1424</v>
      </c>
      <c r="B230" t="s">
        <v>1424</v>
      </c>
      <c r="C230" t="s">
        <v>1424</v>
      </c>
      <c r="D230">
        <v>0</v>
      </c>
      <c r="E230">
        <v>-2</v>
      </c>
      <c r="F230" t="s">
        <v>5497</v>
      </c>
      <c r="H230">
        <v>3</v>
      </c>
      <c r="I230">
        <v>-5</v>
      </c>
      <c r="J230">
        <v>0</v>
      </c>
      <c r="K230">
        <v>0</v>
      </c>
      <c r="L230">
        <v>0</v>
      </c>
      <c r="M230">
        <v>1</v>
      </c>
      <c r="N230">
        <v>1</v>
      </c>
      <c r="O230">
        <v>0</v>
      </c>
      <c r="P230" t="s">
        <v>7380</v>
      </c>
      <c r="Q230" t="s">
        <v>7366</v>
      </c>
      <c r="R230">
        <v>0</v>
      </c>
      <c r="S230">
        <v>0</v>
      </c>
      <c r="W230" t="s">
        <v>7597</v>
      </c>
      <c r="Z230" t="s">
        <v>7585</v>
      </c>
      <c r="AA230" t="s">
        <v>7585</v>
      </c>
    </row>
    <row r="231" spans="1:27">
      <c r="A231" t="s">
        <v>1424</v>
      </c>
      <c r="B231" t="s">
        <v>1424</v>
      </c>
      <c r="C231" t="s">
        <v>1424</v>
      </c>
      <c r="D231">
        <v>0</v>
      </c>
      <c r="E231">
        <v>-2</v>
      </c>
      <c r="F231" t="s">
        <v>5498</v>
      </c>
      <c r="H231">
        <v>3</v>
      </c>
      <c r="I231">
        <v>-5</v>
      </c>
      <c r="J231">
        <v>0</v>
      </c>
      <c r="K231">
        <v>0</v>
      </c>
      <c r="L231">
        <v>0</v>
      </c>
      <c r="M231">
        <v>1</v>
      </c>
      <c r="N231">
        <v>1</v>
      </c>
      <c r="O231">
        <v>0</v>
      </c>
      <c r="P231" t="s">
        <v>7380</v>
      </c>
      <c r="Q231" t="s">
        <v>7366</v>
      </c>
      <c r="R231">
        <v>0</v>
      </c>
      <c r="S231">
        <v>0</v>
      </c>
      <c r="W231" t="s">
        <v>7598</v>
      </c>
      <c r="Z231" t="s">
        <v>7585</v>
      </c>
      <c r="AA231" t="s">
        <v>7585</v>
      </c>
    </row>
    <row r="232" spans="1:27">
      <c r="A232" t="s">
        <v>1424</v>
      </c>
      <c r="B232" t="s">
        <v>1424</v>
      </c>
      <c r="C232" t="s">
        <v>7599</v>
      </c>
      <c r="D232">
        <v>0</v>
      </c>
      <c r="E232">
        <v>-2</v>
      </c>
      <c r="F232" t="s">
        <v>7600</v>
      </c>
      <c r="J232">
        <v>0</v>
      </c>
      <c r="K232">
        <v>0</v>
      </c>
      <c r="L232">
        <v>0</v>
      </c>
      <c r="M232">
        <v>1</v>
      </c>
      <c r="N232">
        <v>1</v>
      </c>
      <c r="O232">
        <v>0</v>
      </c>
      <c r="P232" t="s">
        <v>7380</v>
      </c>
      <c r="Q232" t="s">
        <v>7601</v>
      </c>
      <c r="R232">
        <v>0</v>
      </c>
      <c r="S232">
        <v>0</v>
      </c>
      <c r="W232" t="s">
        <v>5619</v>
      </c>
      <c r="Z232" t="s">
        <v>7585</v>
      </c>
      <c r="AA232" t="s">
        <v>7585</v>
      </c>
    </row>
    <row r="233" spans="1:27">
      <c r="A233" t="s">
        <v>1424</v>
      </c>
      <c r="B233" t="s">
        <v>1424</v>
      </c>
      <c r="C233" t="s">
        <v>7599</v>
      </c>
      <c r="D233">
        <v>0</v>
      </c>
      <c r="E233">
        <v>-2</v>
      </c>
      <c r="F233" t="s">
        <v>7602</v>
      </c>
      <c r="H233">
        <v>3</v>
      </c>
      <c r="I233">
        <v>-7</v>
      </c>
      <c r="J233">
        <v>0</v>
      </c>
      <c r="K233">
        <v>0</v>
      </c>
      <c r="L233">
        <v>0</v>
      </c>
      <c r="M233">
        <v>1</v>
      </c>
      <c r="N233">
        <v>1</v>
      </c>
      <c r="O233">
        <v>0</v>
      </c>
      <c r="P233" t="s">
        <v>7380</v>
      </c>
      <c r="Q233" t="s">
        <v>7603</v>
      </c>
      <c r="R233">
        <v>0</v>
      </c>
      <c r="S233">
        <v>0</v>
      </c>
      <c r="W233" t="s">
        <v>5612</v>
      </c>
      <c r="Z233" t="s">
        <v>7585</v>
      </c>
      <c r="AA233" t="s">
        <v>7585</v>
      </c>
    </row>
    <row r="234" spans="1:27">
      <c r="A234" t="s">
        <v>1424</v>
      </c>
      <c r="B234" t="s">
        <v>1424</v>
      </c>
      <c r="C234" t="s">
        <v>7604</v>
      </c>
      <c r="D234">
        <v>0</v>
      </c>
      <c r="E234">
        <v>-2</v>
      </c>
      <c r="F234" t="s">
        <v>7385</v>
      </c>
      <c r="H234">
        <v>3</v>
      </c>
      <c r="I234">
        <v>-5</v>
      </c>
      <c r="J234">
        <v>0</v>
      </c>
      <c r="K234">
        <v>0</v>
      </c>
      <c r="L234">
        <v>0</v>
      </c>
      <c r="M234">
        <v>1</v>
      </c>
      <c r="N234">
        <v>1</v>
      </c>
      <c r="O234">
        <v>0</v>
      </c>
      <c r="P234" t="s">
        <v>7380</v>
      </c>
      <c r="Q234" t="s">
        <v>7605</v>
      </c>
      <c r="R234">
        <v>0</v>
      </c>
      <c r="S234">
        <v>0</v>
      </c>
      <c r="W234" t="s">
        <v>7597</v>
      </c>
      <c r="Z234" t="s">
        <v>7585</v>
      </c>
      <c r="AA234" t="s">
        <v>7585</v>
      </c>
    </row>
    <row r="235" spans="1:27">
      <c r="A235" t="s">
        <v>1424</v>
      </c>
      <c r="B235" t="s">
        <v>1424</v>
      </c>
      <c r="C235" t="s">
        <v>7599</v>
      </c>
      <c r="D235">
        <v>0</v>
      </c>
      <c r="E235">
        <v>-2</v>
      </c>
      <c r="F235" t="s">
        <v>7602</v>
      </c>
      <c r="J235">
        <v>0</v>
      </c>
      <c r="K235">
        <v>0</v>
      </c>
      <c r="L235">
        <v>0</v>
      </c>
      <c r="M235">
        <v>1</v>
      </c>
      <c r="N235">
        <v>1</v>
      </c>
      <c r="O235">
        <v>0</v>
      </c>
      <c r="P235" t="s">
        <v>7380</v>
      </c>
      <c r="Q235" t="s">
        <v>7606</v>
      </c>
      <c r="R235">
        <v>0</v>
      </c>
      <c r="S235">
        <v>0</v>
      </c>
      <c r="W235" t="s">
        <v>7598</v>
      </c>
      <c r="Z235" t="s">
        <v>7585</v>
      </c>
      <c r="AA235" t="s">
        <v>7585</v>
      </c>
    </row>
    <row r="236" spans="1:27">
      <c r="A236" t="s">
        <v>1424</v>
      </c>
      <c r="B236" t="s">
        <v>7607</v>
      </c>
      <c r="C236" t="s">
        <v>7607</v>
      </c>
      <c r="D236">
        <v>0</v>
      </c>
      <c r="F236" t="s">
        <v>7608</v>
      </c>
      <c r="J236">
        <v>0</v>
      </c>
      <c r="K236">
        <v>0</v>
      </c>
      <c r="L236">
        <v>-2</v>
      </c>
      <c r="M236">
        <v>1</v>
      </c>
      <c r="N236">
        <v>1</v>
      </c>
      <c r="O236">
        <v>0</v>
      </c>
      <c r="P236" t="s">
        <v>7380</v>
      </c>
      <c r="Q236" t="s">
        <v>7609</v>
      </c>
      <c r="R236">
        <v>0</v>
      </c>
      <c r="S236">
        <v>0</v>
      </c>
      <c r="W236" t="s">
        <v>7610</v>
      </c>
      <c r="Z236" t="s">
        <v>7585</v>
      </c>
      <c r="AA236" t="s">
        <v>7585</v>
      </c>
    </row>
    <row r="237" spans="1:27">
      <c r="A237" t="s">
        <v>1424</v>
      </c>
      <c r="B237" t="s">
        <v>7611</v>
      </c>
      <c r="C237" t="s">
        <v>7611</v>
      </c>
      <c r="D237">
        <v>0</v>
      </c>
      <c r="F237" t="s">
        <v>7612</v>
      </c>
      <c r="J237">
        <v>0</v>
      </c>
      <c r="K237">
        <v>-2</v>
      </c>
      <c r="L237">
        <v>0</v>
      </c>
      <c r="M237">
        <v>1</v>
      </c>
      <c r="N237">
        <v>1</v>
      </c>
      <c r="O237">
        <v>0</v>
      </c>
      <c r="P237" t="s">
        <v>7380</v>
      </c>
      <c r="Q237" t="s">
        <v>7613</v>
      </c>
      <c r="R237">
        <v>0</v>
      </c>
      <c r="S237">
        <v>0</v>
      </c>
      <c r="W237" t="s">
        <v>5564</v>
      </c>
      <c r="Z237" t="s">
        <v>7585</v>
      </c>
      <c r="AA237" t="s">
        <v>7585</v>
      </c>
    </row>
    <row r="238" spans="1:27">
      <c r="A238" t="s">
        <v>1424</v>
      </c>
      <c r="B238" t="s">
        <v>7614</v>
      </c>
      <c r="C238" t="s">
        <v>7614</v>
      </c>
      <c r="D238">
        <v>0</v>
      </c>
      <c r="F238" t="s">
        <v>5496</v>
      </c>
      <c r="H238">
        <v>3</v>
      </c>
      <c r="I238">
        <v>-4</v>
      </c>
      <c r="J238">
        <v>0</v>
      </c>
      <c r="K238">
        <v>-1</v>
      </c>
      <c r="L238">
        <v>-1</v>
      </c>
      <c r="M238">
        <v>1</v>
      </c>
      <c r="N238">
        <v>1</v>
      </c>
      <c r="O238">
        <v>0</v>
      </c>
      <c r="P238" t="s">
        <v>7380</v>
      </c>
      <c r="Q238" t="s">
        <v>7615</v>
      </c>
      <c r="R238">
        <v>0</v>
      </c>
      <c r="S238">
        <v>0</v>
      </c>
      <c r="W238" t="s">
        <v>5580</v>
      </c>
      <c r="Z238" t="s">
        <v>7585</v>
      </c>
      <c r="AA238" t="s">
        <v>7585</v>
      </c>
    </row>
    <row r="239" spans="1:27">
      <c r="A239" t="s">
        <v>1424</v>
      </c>
      <c r="B239" t="s">
        <v>7616</v>
      </c>
      <c r="C239" t="s">
        <v>7616</v>
      </c>
      <c r="D239">
        <v>0</v>
      </c>
      <c r="F239" t="s">
        <v>5498</v>
      </c>
      <c r="H239">
        <v>3</v>
      </c>
      <c r="I239">
        <v>-7</v>
      </c>
      <c r="J239">
        <v>0</v>
      </c>
      <c r="K239">
        <v>-2</v>
      </c>
      <c r="L239">
        <v>-2</v>
      </c>
      <c r="M239">
        <v>1</v>
      </c>
      <c r="N239">
        <v>1</v>
      </c>
      <c r="O239">
        <v>0</v>
      </c>
      <c r="P239" t="s">
        <v>7380</v>
      </c>
      <c r="Q239" t="s">
        <v>7617</v>
      </c>
      <c r="R239">
        <v>0</v>
      </c>
      <c r="S239">
        <v>0</v>
      </c>
      <c r="W239" t="s">
        <v>7598</v>
      </c>
      <c r="Z239" t="s">
        <v>7585</v>
      </c>
      <c r="AA239" t="s">
        <v>7585</v>
      </c>
    </row>
    <row r="240" spans="1:27">
      <c r="A240" t="s">
        <v>1424</v>
      </c>
      <c r="B240" t="s">
        <v>7618</v>
      </c>
      <c r="C240" t="s">
        <v>7618</v>
      </c>
      <c r="D240">
        <v>0</v>
      </c>
      <c r="F240" t="s">
        <v>7416</v>
      </c>
      <c r="H240">
        <v>2</v>
      </c>
      <c r="I240">
        <v>-9</v>
      </c>
      <c r="J240">
        <v>0</v>
      </c>
      <c r="K240">
        <v>-1</v>
      </c>
      <c r="L240">
        <v>-3</v>
      </c>
      <c r="M240">
        <v>1</v>
      </c>
      <c r="N240">
        <v>1</v>
      </c>
      <c r="O240">
        <v>0</v>
      </c>
      <c r="P240" t="s">
        <v>7380</v>
      </c>
      <c r="Q240" t="s">
        <v>7619</v>
      </c>
      <c r="R240">
        <v>0</v>
      </c>
      <c r="S240">
        <v>0</v>
      </c>
      <c r="W240" t="s">
        <v>5619</v>
      </c>
      <c r="Z240" t="s">
        <v>7585</v>
      </c>
      <c r="AA240" t="s">
        <v>7585</v>
      </c>
    </row>
    <row r="241" spans="1:27">
      <c r="A241" t="s">
        <v>1424</v>
      </c>
      <c r="B241" t="s">
        <v>7620</v>
      </c>
      <c r="C241" t="s">
        <v>7620</v>
      </c>
      <c r="D241">
        <v>0</v>
      </c>
      <c r="F241" t="s">
        <v>7608</v>
      </c>
      <c r="J241">
        <v>0</v>
      </c>
      <c r="M241">
        <v>1</v>
      </c>
      <c r="N241">
        <v>1</v>
      </c>
      <c r="O241">
        <v>0</v>
      </c>
      <c r="P241" t="s">
        <v>7380</v>
      </c>
      <c r="R241">
        <v>0</v>
      </c>
      <c r="S241">
        <v>0</v>
      </c>
      <c r="W241" t="s">
        <v>7621</v>
      </c>
      <c r="Z241" t="s">
        <v>7585</v>
      </c>
      <c r="AA241" t="s">
        <v>7585</v>
      </c>
    </row>
    <row r="242" spans="1:27">
      <c r="A242" t="s">
        <v>1424</v>
      </c>
      <c r="B242" t="s">
        <v>7622</v>
      </c>
      <c r="C242" t="s">
        <v>7622</v>
      </c>
      <c r="D242">
        <v>0</v>
      </c>
      <c r="F242" t="s">
        <v>7623</v>
      </c>
      <c r="H242">
        <v>4</v>
      </c>
      <c r="I242">
        <v>-6</v>
      </c>
      <c r="J242">
        <v>0</v>
      </c>
      <c r="K242">
        <v>0</v>
      </c>
      <c r="L242">
        <v>0</v>
      </c>
      <c r="M242">
        <v>1</v>
      </c>
      <c r="N242">
        <v>1</v>
      </c>
      <c r="O242">
        <v>0</v>
      </c>
      <c r="P242" t="s">
        <v>7380</v>
      </c>
      <c r="Q242" t="s">
        <v>7624</v>
      </c>
      <c r="R242">
        <v>0</v>
      </c>
      <c r="S242">
        <v>0</v>
      </c>
      <c r="W242" t="s">
        <v>1174</v>
      </c>
      <c r="Z242" t="s">
        <v>7585</v>
      </c>
      <c r="AA242" t="s">
        <v>7585</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7625</v>
      </c>
      <c r="B1" t="s">
        <v>7626</v>
      </c>
      <c r="C1" t="s">
        <v>2</v>
      </c>
      <c r="D1" t="s">
        <v>7627</v>
      </c>
      <c r="E1" t="s">
        <v>7628</v>
      </c>
    </row>
    <row r="2" spans="1:5" ht="150" customHeight="1">
      <c r="A2" s="27" t="s">
        <v>7629</v>
      </c>
      <c r="B2" s="27" t="s">
        <v>7630</v>
      </c>
      <c r="C2" s="27" t="s">
        <v>7631</v>
      </c>
      <c r="D2" s="27" t="s">
        <v>7632</v>
      </c>
      <c r="E2" s="27" t="s">
        <v>7633</v>
      </c>
    </row>
    <row r="3" spans="1:5" ht="60" customHeight="1">
      <c r="A3" s="27" t="s">
        <v>7634</v>
      </c>
      <c r="B3" s="27" t="s">
        <v>7635</v>
      </c>
      <c r="C3" s="27" t="s">
        <v>7636</v>
      </c>
      <c r="D3" s="27" t="s">
        <v>7637</v>
      </c>
      <c r="E3" s="27" t="s">
        <v>7633</v>
      </c>
    </row>
    <row r="4" spans="1:5" ht="135" customHeight="1">
      <c r="A4" s="27" t="s">
        <v>7634</v>
      </c>
      <c r="B4" s="27" t="s">
        <v>7638</v>
      </c>
      <c r="C4" s="27" t="s">
        <v>7639</v>
      </c>
      <c r="D4" s="27" t="s">
        <v>7632</v>
      </c>
      <c r="E4" s="27" t="s">
        <v>7633</v>
      </c>
    </row>
    <row r="5" spans="1:5" ht="45" customHeight="1">
      <c r="A5" s="27" t="s">
        <v>7640</v>
      </c>
      <c r="B5" s="27" t="s">
        <v>7641</v>
      </c>
      <c r="C5" s="27" t="s">
        <v>7642</v>
      </c>
      <c r="D5" s="27" t="s">
        <v>7637</v>
      </c>
      <c r="E5" s="27" t="s">
        <v>7633</v>
      </c>
    </row>
    <row r="6" spans="1:5" ht="60" customHeight="1">
      <c r="A6" s="27" t="s">
        <v>7643</v>
      </c>
      <c r="B6" s="27" t="s">
        <v>7644</v>
      </c>
      <c r="C6" s="27" t="s">
        <v>7645</v>
      </c>
      <c r="D6" s="27" t="s">
        <v>7637</v>
      </c>
      <c r="E6" s="27" t="s">
        <v>7633</v>
      </c>
    </row>
    <row r="7" spans="1:5" ht="90" customHeight="1">
      <c r="A7" s="27" t="s">
        <v>7646</v>
      </c>
      <c r="B7" s="27" t="s">
        <v>7647</v>
      </c>
      <c r="C7" s="27" t="s">
        <v>7648</v>
      </c>
      <c r="D7" s="27" t="s">
        <v>7637</v>
      </c>
      <c r="E7" s="27" t="s">
        <v>7633</v>
      </c>
    </row>
    <row r="8" spans="1:5" ht="60" customHeight="1">
      <c r="A8" s="27" t="s">
        <v>7646</v>
      </c>
      <c r="B8" s="27" t="s">
        <v>7649</v>
      </c>
      <c r="C8" s="27" t="s">
        <v>7650</v>
      </c>
      <c r="D8" s="27" t="s">
        <v>7637</v>
      </c>
      <c r="E8" s="27" t="s">
        <v>7633</v>
      </c>
    </row>
    <row r="9" spans="1:5" ht="45" customHeight="1">
      <c r="A9" s="27" t="s">
        <v>7646</v>
      </c>
      <c r="B9" s="27" t="s">
        <v>7651</v>
      </c>
      <c r="C9" s="27" t="s">
        <v>7652</v>
      </c>
      <c r="D9" s="27" t="s">
        <v>7637</v>
      </c>
      <c r="E9" s="27" t="s">
        <v>7633</v>
      </c>
    </row>
    <row r="10" spans="1:5" ht="60" customHeight="1">
      <c r="A10" s="27" t="s">
        <v>7646</v>
      </c>
      <c r="B10" s="27" t="s">
        <v>7653</v>
      </c>
      <c r="C10" s="27" t="s">
        <v>7654</v>
      </c>
      <c r="D10" s="27" t="s">
        <v>7637</v>
      </c>
      <c r="E10" s="27" t="s">
        <v>7633</v>
      </c>
    </row>
    <row r="11" spans="1:5" ht="30" customHeight="1">
      <c r="A11" s="27" t="s">
        <v>7646</v>
      </c>
      <c r="B11" s="27" t="s">
        <v>7655</v>
      </c>
      <c r="C11" s="27" t="s">
        <v>7656</v>
      </c>
      <c r="D11" s="27" t="s">
        <v>7637</v>
      </c>
      <c r="E11" s="27" t="s">
        <v>7633</v>
      </c>
    </row>
    <row r="12" spans="1:5" ht="60" customHeight="1">
      <c r="A12" s="27" t="s">
        <v>7629</v>
      </c>
      <c r="B12" s="27" t="s">
        <v>7657</v>
      </c>
      <c r="C12" s="27" t="s">
        <v>7658</v>
      </c>
      <c r="D12" s="27" t="s">
        <v>7637</v>
      </c>
      <c r="E12" s="27" t="s">
        <v>7633</v>
      </c>
    </row>
    <row r="13" spans="1:5" ht="60" customHeight="1">
      <c r="A13" s="27" t="s">
        <v>7629</v>
      </c>
      <c r="B13" s="27" t="s">
        <v>7659</v>
      </c>
      <c r="C13" s="27" t="s">
        <v>7660</v>
      </c>
      <c r="D13" s="27" t="s">
        <v>7637</v>
      </c>
      <c r="E13" s="27" t="s">
        <v>7633</v>
      </c>
    </row>
    <row r="14" spans="1:5" ht="30" customHeight="1">
      <c r="A14" s="27" t="s">
        <v>7629</v>
      </c>
      <c r="B14" s="27" t="s">
        <v>7661</v>
      </c>
      <c r="C14" s="27" t="s">
        <v>7662</v>
      </c>
      <c r="D14" s="27" t="s">
        <v>7637</v>
      </c>
      <c r="E14" s="27" t="s">
        <v>7633</v>
      </c>
    </row>
    <row r="15" spans="1:5" ht="60" customHeight="1">
      <c r="A15" s="27" t="s">
        <v>7629</v>
      </c>
      <c r="B15" s="27" t="s">
        <v>7663</v>
      </c>
      <c r="C15" s="27" t="s">
        <v>7664</v>
      </c>
      <c r="D15" s="27" t="s">
        <v>7637</v>
      </c>
      <c r="E15" s="27" t="s">
        <v>7633</v>
      </c>
    </row>
    <row r="16" spans="1:5" ht="120" customHeight="1">
      <c r="A16" s="27" t="s">
        <v>7665</v>
      </c>
      <c r="B16" s="27" t="s">
        <v>7666</v>
      </c>
      <c r="C16" s="27" t="s">
        <v>7667</v>
      </c>
      <c r="D16" s="27" t="s">
        <v>7637</v>
      </c>
      <c r="E16" s="27" t="s">
        <v>7633</v>
      </c>
    </row>
    <row r="17" spans="1:5" ht="105" customHeight="1">
      <c r="A17" s="27" t="s">
        <v>7668</v>
      </c>
      <c r="B17" s="27" t="s">
        <v>7669</v>
      </c>
      <c r="C17" s="27" t="s">
        <v>7670</v>
      </c>
      <c r="D17" s="27" t="s">
        <v>7632</v>
      </c>
      <c r="E17" s="27" t="s">
        <v>7633</v>
      </c>
    </row>
    <row r="18" spans="1:5" ht="105" customHeight="1">
      <c r="A18" s="27" t="s">
        <v>7668</v>
      </c>
      <c r="B18" s="27" t="s">
        <v>7671</v>
      </c>
      <c r="C18" s="27" t="s">
        <v>7672</v>
      </c>
      <c r="D18" s="27" t="s">
        <v>7637</v>
      </c>
      <c r="E18" s="27" t="s">
        <v>7633</v>
      </c>
    </row>
    <row r="19" spans="1:5" ht="75" customHeight="1">
      <c r="A19" s="27" t="s">
        <v>7668</v>
      </c>
      <c r="B19" s="27" t="s">
        <v>7673</v>
      </c>
      <c r="C19" s="27" t="s">
        <v>7674</v>
      </c>
      <c r="D19" s="27" t="s">
        <v>7637</v>
      </c>
      <c r="E19" s="27" t="s">
        <v>7633</v>
      </c>
    </row>
    <row r="20" spans="1:5" ht="120" customHeight="1">
      <c r="A20" s="27" t="s">
        <v>7675</v>
      </c>
      <c r="B20" s="27" t="s">
        <v>7676</v>
      </c>
      <c r="C20" s="27" t="s">
        <v>7677</v>
      </c>
      <c r="D20" s="27" t="s">
        <v>4</v>
      </c>
      <c r="E20" s="27" t="s">
        <v>7633</v>
      </c>
    </row>
    <row r="21" spans="1:5" ht="60" customHeight="1">
      <c r="A21" s="27" t="s">
        <v>7634</v>
      </c>
      <c r="B21" s="27" t="s">
        <v>7678</v>
      </c>
      <c r="C21" s="27" t="s">
        <v>7679</v>
      </c>
      <c r="D21" s="27" t="s">
        <v>7637</v>
      </c>
      <c r="E21" s="27" t="s">
        <v>7633</v>
      </c>
    </row>
    <row r="22" spans="1:5" ht="90" customHeight="1">
      <c r="A22" s="27" t="s">
        <v>7634</v>
      </c>
      <c r="B22" s="27" t="s">
        <v>7680</v>
      </c>
      <c r="C22" s="27" t="s">
        <v>7681</v>
      </c>
      <c r="D22" s="27" t="s">
        <v>7637</v>
      </c>
      <c r="E22" s="27" t="s">
        <v>7633</v>
      </c>
    </row>
    <row r="23" spans="1:5" ht="90" customHeight="1">
      <c r="A23" s="27" t="s">
        <v>7682</v>
      </c>
      <c r="B23" s="27" t="s">
        <v>7683</v>
      </c>
      <c r="C23" s="27" t="s">
        <v>7684</v>
      </c>
      <c r="D23" s="27" t="s">
        <v>7637</v>
      </c>
      <c r="E23" s="27" t="s">
        <v>7633</v>
      </c>
    </row>
    <row r="24" spans="1:5" ht="60" customHeight="1">
      <c r="A24" s="27" t="s">
        <v>7682</v>
      </c>
      <c r="B24" s="27" t="s">
        <v>7685</v>
      </c>
      <c r="C24" s="27" t="s">
        <v>7686</v>
      </c>
      <c r="D24" s="27" t="s">
        <v>7637</v>
      </c>
      <c r="E24" s="27" t="s">
        <v>7633</v>
      </c>
    </row>
    <row r="25" spans="1:5" ht="45" customHeight="1">
      <c r="A25" s="27" t="s">
        <v>7682</v>
      </c>
      <c r="B25" s="27" t="s">
        <v>7687</v>
      </c>
      <c r="C25" s="27" t="s">
        <v>7688</v>
      </c>
      <c r="D25" s="27" t="s">
        <v>7632</v>
      </c>
      <c r="E25" s="27" t="s">
        <v>7633</v>
      </c>
    </row>
    <row r="26" spans="1:5" ht="45" customHeight="1">
      <c r="A26" s="27" t="s">
        <v>7682</v>
      </c>
      <c r="B26" s="27" t="s">
        <v>7689</v>
      </c>
      <c r="C26" s="27" t="s">
        <v>7690</v>
      </c>
      <c r="D26" s="27" t="s">
        <v>7637</v>
      </c>
      <c r="E26" s="27" t="s">
        <v>7633</v>
      </c>
    </row>
    <row r="27" spans="1:5" ht="60" customHeight="1">
      <c r="A27" s="27" t="s">
        <v>7682</v>
      </c>
      <c r="B27" s="27" t="s">
        <v>7691</v>
      </c>
      <c r="C27" s="27" t="s">
        <v>7692</v>
      </c>
      <c r="D27" s="27" t="s">
        <v>7637</v>
      </c>
      <c r="E27" s="27" t="s">
        <v>7633</v>
      </c>
    </row>
    <row r="28" spans="1:5" ht="75" customHeight="1">
      <c r="A28" s="27" t="s">
        <v>7693</v>
      </c>
      <c r="B28" s="27" t="s">
        <v>7694</v>
      </c>
      <c r="C28" s="27" t="s">
        <v>7695</v>
      </c>
      <c r="D28" s="27" t="s">
        <v>7637</v>
      </c>
      <c r="E28" s="27" t="s">
        <v>7633</v>
      </c>
    </row>
    <row r="29" spans="1:5" ht="45" customHeight="1">
      <c r="A29" s="27" t="s">
        <v>7693</v>
      </c>
      <c r="B29" s="27" t="s">
        <v>7696</v>
      </c>
      <c r="C29" s="27" t="s">
        <v>7697</v>
      </c>
      <c r="D29" s="27" t="s">
        <v>7637</v>
      </c>
      <c r="E29" s="27" t="s">
        <v>7633</v>
      </c>
    </row>
    <row r="30" spans="1:5" ht="150" customHeight="1">
      <c r="A30" s="27" t="s">
        <v>7698</v>
      </c>
      <c r="B30" s="27" t="s">
        <v>7699</v>
      </c>
      <c r="C30" s="27" t="s">
        <v>7700</v>
      </c>
      <c r="D30" s="27" t="s">
        <v>7637</v>
      </c>
      <c r="E30" s="27" t="s">
        <v>7633</v>
      </c>
    </row>
    <row r="31" spans="1:5" ht="45" customHeight="1">
      <c r="A31" s="27" t="s">
        <v>7701</v>
      </c>
      <c r="B31" s="27" t="s">
        <v>7702</v>
      </c>
      <c r="C31" s="27" t="s">
        <v>7703</v>
      </c>
      <c r="D31" s="27" t="s">
        <v>7637</v>
      </c>
      <c r="E31" s="27" t="s">
        <v>7633</v>
      </c>
    </row>
    <row r="32" spans="1:5" ht="90" customHeight="1">
      <c r="A32" s="27" t="s">
        <v>7704</v>
      </c>
      <c r="B32" s="27" t="s">
        <v>7705</v>
      </c>
      <c r="C32" s="27" t="s">
        <v>7706</v>
      </c>
      <c r="D32" s="27" t="s">
        <v>7637</v>
      </c>
      <c r="E32" s="27" t="s">
        <v>7633</v>
      </c>
    </row>
    <row r="33" spans="1:5" ht="75" customHeight="1">
      <c r="A33" s="27" t="s">
        <v>7707</v>
      </c>
      <c r="B33" s="27" t="s">
        <v>7708</v>
      </c>
      <c r="C33" s="27" t="s">
        <v>7709</v>
      </c>
      <c r="D33" s="27" t="s">
        <v>7637</v>
      </c>
      <c r="E33" s="27" t="s">
        <v>7633</v>
      </c>
    </row>
    <row r="34" spans="1:5">
      <c r="A34" t="s">
        <v>7629</v>
      </c>
      <c r="B34" t="s">
        <v>7710</v>
      </c>
      <c r="C34" t="s">
        <v>7711</v>
      </c>
      <c r="D34" t="s">
        <v>7637</v>
      </c>
      <c r="E34" t="s">
        <v>7712</v>
      </c>
    </row>
    <row r="35" spans="1:5">
      <c r="A35" t="s">
        <v>7713</v>
      </c>
      <c r="B35" t="s">
        <v>7714</v>
      </c>
      <c r="C35" t="s">
        <v>7715</v>
      </c>
      <c r="D35" t="s">
        <v>7637</v>
      </c>
      <c r="E35" t="s">
        <v>7716</v>
      </c>
    </row>
    <row r="36" spans="1:5">
      <c r="A36" t="s">
        <v>7682</v>
      </c>
      <c r="B36" t="s">
        <v>7717</v>
      </c>
      <c r="C36" t="s">
        <v>7718</v>
      </c>
      <c r="D36" t="s">
        <v>7637</v>
      </c>
      <c r="E36" t="s">
        <v>7716</v>
      </c>
    </row>
    <row r="37" spans="1:5">
      <c r="A37" t="s">
        <v>7719</v>
      </c>
      <c r="B37" t="s">
        <v>7720</v>
      </c>
      <c r="C37" t="s">
        <v>7721</v>
      </c>
      <c r="D37" t="s">
        <v>7722</v>
      </c>
      <c r="E37" t="s">
        <v>7716</v>
      </c>
    </row>
    <row r="38" spans="1:5">
      <c r="A38" t="s">
        <v>7723</v>
      </c>
      <c r="B38" t="s">
        <v>7724</v>
      </c>
      <c r="C38" t="s">
        <v>7725</v>
      </c>
      <c r="D38" t="s">
        <v>7637</v>
      </c>
      <c r="E38" t="s">
        <v>7726</v>
      </c>
    </row>
    <row r="39" spans="1:5">
      <c r="A39" t="s">
        <v>7727</v>
      </c>
      <c r="B39" t="s">
        <v>7728</v>
      </c>
      <c r="C39" t="s">
        <v>7729</v>
      </c>
      <c r="D39" t="s">
        <v>7637</v>
      </c>
      <c r="E39" t="s">
        <v>7726</v>
      </c>
    </row>
    <row r="40" spans="1:5">
      <c r="A40" t="s">
        <v>7727</v>
      </c>
      <c r="B40" t="s">
        <v>7730</v>
      </c>
      <c r="C40" t="s">
        <v>7731</v>
      </c>
      <c r="D40" t="s">
        <v>7637</v>
      </c>
      <c r="E40" t="s">
        <v>7726</v>
      </c>
    </row>
    <row r="41" spans="1:5">
      <c r="A41" t="s">
        <v>7732</v>
      </c>
      <c r="B41" t="s">
        <v>7733</v>
      </c>
      <c r="C41" t="s">
        <v>7734</v>
      </c>
      <c r="D41" t="s">
        <v>7637</v>
      </c>
      <c r="E41" t="s">
        <v>7735</v>
      </c>
    </row>
    <row r="42" spans="1:5">
      <c r="A42" t="s">
        <v>7736</v>
      </c>
      <c r="B42" t="s">
        <v>7737</v>
      </c>
      <c r="C42" t="s">
        <v>7738</v>
      </c>
      <c r="D42" t="s">
        <v>7739</v>
      </c>
      <c r="E42" t="s">
        <v>7740</v>
      </c>
    </row>
    <row r="43" spans="1:5">
      <c r="A43" t="s">
        <v>7736</v>
      </c>
      <c r="B43" t="s">
        <v>7741</v>
      </c>
      <c r="C43" t="s">
        <v>7742</v>
      </c>
      <c r="D43" t="s">
        <v>7637</v>
      </c>
      <c r="E43" t="s">
        <v>7740</v>
      </c>
    </row>
    <row r="44" spans="1:5">
      <c r="A44" t="s">
        <v>7743</v>
      </c>
      <c r="B44" t="s">
        <v>7744</v>
      </c>
      <c r="C44" t="s">
        <v>7745</v>
      </c>
      <c r="D44" t="s">
        <v>7637</v>
      </c>
      <c r="E44" t="s">
        <v>7746</v>
      </c>
    </row>
    <row r="45" spans="1:5" ht="36" customHeight="1">
      <c r="A45" s="76" t="s">
        <v>7747</v>
      </c>
      <c r="B45" s="76" t="s">
        <v>7748</v>
      </c>
      <c r="C45" s="76" t="s">
        <v>7749</v>
      </c>
      <c r="D45" s="76" t="s">
        <v>7750</v>
      </c>
      <c r="E45" s="76" t="s">
        <v>7751</v>
      </c>
    </row>
    <row r="46" spans="1:5" ht="36" customHeight="1">
      <c r="A46" s="76" t="s">
        <v>7747</v>
      </c>
      <c r="B46" s="76" t="s">
        <v>7752</v>
      </c>
      <c r="C46" s="76" t="s">
        <v>7753</v>
      </c>
      <c r="D46" s="76" t="s">
        <v>7750</v>
      </c>
      <c r="E46" s="76" t="s">
        <v>7751</v>
      </c>
    </row>
    <row r="47" spans="1:5" ht="36" customHeight="1">
      <c r="A47" s="76" t="s">
        <v>7754</v>
      </c>
      <c r="B47" s="76" t="s">
        <v>7755</v>
      </c>
      <c r="C47" s="76" t="s">
        <v>7756</v>
      </c>
      <c r="D47" s="76" t="s">
        <v>7750</v>
      </c>
      <c r="E47" s="76" t="s">
        <v>7751</v>
      </c>
    </row>
    <row r="48" spans="1:5" ht="48" customHeight="1">
      <c r="A48" s="76" t="s">
        <v>7754</v>
      </c>
      <c r="B48" s="76" t="s">
        <v>7757</v>
      </c>
      <c r="C48" s="76" t="s">
        <v>7758</v>
      </c>
      <c r="D48" s="76" t="s">
        <v>7750</v>
      </c>
      <c r="E48" s="76" t="s">
        <v>7751</v>
      </c>
    </row>
    <row r="49" spans="1:5" ht="32.1" customHeight="1">
      <c r="A49" s="76" t="s">
        <v>7754</v>
      </c>
      <c r="B49" s="76" t="s">
        <v>7759</v>
      </c>
      <c r="C49" s="78">
        <f>SUM(Preisliste!F896,Preisliste!F891,Preisliste!F796,Preisliste!F784,Preisliste!F553,Preisliste!F821,Preisliste!F767)</f>
        <v>5.1950000000000003</v>
      </c>
      <c r="D49" s="76" t="s">
        <v>7750</v>
      </c>
      <c r="E49" s="76" t="s">
        <v>7751</v>
      </c>
    </row>
    <row r="50" spans="1:5" ht="32.1" customHeight="1">
      <c r="A50" s="76" t="s">
        <v>7754</v>
      </c>
      <c r="B50" s="76" t="s">
        <v>7760</v>
      </c>
      <c r="C50" s="78">
        <f>ROUNDUP(C49,2)</f>
        <v>5.2</v>
      </c>
      <c r="D50" s="76" t="s">
        <v>7750</v>
      </c>
      <c r="E50" s="76" t="s">
        <v>7751</v>
      </c>
    </row>
    <row r="51" spans="1:5" ht="32.1" customHeight="1">
      <c r="A51" s="76" t="s">
        <v>7754</v>
      </c>
      <c r="B51" s="76" t="s">
        <v>7761</v>
      </c>
      <c r="C51" s="78">
        <f>SUM(Preisliste!E896,Preisliste!E891,Preisliste!E796,Preisliste!E784,Preisliste!E553,Preisliste!E821,Preisliste!E767)</f>
        <v>4.55</v>
      </c>
      <c r="D51" s="76" t="s">
        <v>7750</v>
      </c>
      <c r="E51" s="76" t="s">
        <v>7751</v>
      </c>
    </row>
    <row r="52" spans="1:5" ht="48" customHeight="1">
      <c r="A52" s="76" t="s">
        <v>7754</v>
      </c>
      <c r="B52" s="76" t="s">
        <v>7762</v>
      </c>
      <c r="C52" s="76" t="s">
        <v>7763</v>
      </c>
      <c r="D52" s="76" t="s">
        <v>7750</v>
      </c>
      <c r="E52" s="76" t="s">
        <v>7751</v>
      </c>
    </row>
    <row r="53" spans="1:5" ht="48" customHeight="1">
      <c r="A53" s="76" t="s">
        <v>7754</v>
      </c>
      <c r="B53" s="76" t="s">
        <v>7764</v>
      </c>
      <c r="C53" s="76" t="s">
        <v>7765</v>
      </c>
      <c r="D53" s="76" t="s">
        <v>7750</v>
      </c>
      <c r="E53" s="76" t="s">
        <v>7751</v>
      </c>
    </row>
    <row r="54" spans="1:5" ht="48" customHeight="1">
      <c r="A54" s="76" t="s">
        <v>7747</v>
      </c>
      <c r="B54" s="76" t="s">
        <v>7766</v>
      </c>
      <c r="C54" s="76" t="s">
        <v>7767</v>
      </c>
      <c r="D54" s="76" t="s">
        <v>7750</v>
      </c>
      <c r="E54" s="76" t="s">
        <v>7751</v>
      </c>
    </row>
    <row r="55" spans="1:5" ht="36" customHeight="1">
      <c r="A55" s="76" t="s">
        <v>7747</v>
      </c>
      <c r="B55" s="76" t="s">
        <v>7768</v>
      </c>
      <c r="C55" s="76" t="s">
        <v>7769</v>
      </c>
      <c r="D55" s="76" t="s">
        <v>7750</v>
      </c>
      <c r="E55" s="76" t="s">
        <v>7751</v>
      </c>
    </row>
    <row r="56" spans="1:5" ht="36" customHeight="1">
      <c r="A56" s="76" t="s">
        <v>7747</v>
      </c>
      <c r="B56" s="76" t="s">
        <v>7770</v>
      </c>
      <c r="C56" s="76" t="s">
        <v>7771</v>
      </c>
      <c r="D56" s="76" t="s">
        <v>7637</v>
      </c>
      <c r="E56" s="76" t="s">
        <v>7751</v>
      </c>
    </row>
    <row r="57" spans="1:5" ht="36" customHeight="1">
      <c r="A57" s="76" t="s">
        <v>7772</v>
      </c>
      <c r="B57" s="76" t="s">
        <v>7773</v>
      </c>
      <c r="C57" s="76" t="s">
        <v>7774</v>
      </c>
      <c r="D57" s="76" t="s">
        <v>7750</v>
      </c>
      <c r="E57" s="76" t="s">
        <v>7751</v>
      </c>
    </row>
    <row r="58" spans="1:5" ht="36" customHeight="1">
      <c r="A58" s="76" t="s">
        <v>7772</v>
      </c>
      <c r="B58" s="76" t="s">
        <v>7775</v>
      </c>
      <c r="C58" s="76" t="s">
        <v>7776</v>
      </c>
      <c r="D58" s="76" t="s">
        <v>7750</v>
      </c>
      <c r="E58" s="76" t="s">
        <v>7751</v>
      </c>
    </row>
    <row r="59" spans="1:5" ht="36" customHeight="1">
      <c r="A59" s="76" t="s">
        <v>7772</v>
      </c>
      <c r="B59" s="76" t="s">
        <v>7777</v>
      </c>
      <c r="C59" s="76" t="s">
        <v>7778</v>
      </c>
      <c r="D59" s="76" t="s">
        <v>7750</v>
      </c>
      <c r="E59" s="76" t="s">
        <v>7751</v>
      </c>
    </row>
    <row r="60" spans="1:5" ht="36" customHeight="1">
      <c r="A60" s="76" t="s">
        <v>7772</v>
      </c>
      <c r="B60" s="76" t="s">
        <v>7779</v>
      </c>
      <c r="C60" s="76" t="s">
        <v>7780</v>
      </c>
      <c r="D60" s="76" t="s">
        <v>7750</v>
      </c>
      <c r="E60" s="76" t="s">
        <v>7751</v>
      </c>
    </row>
    <row r="61" spans="1:5" ht="36" customHeight="1">
      <c r="A61" s="76" t="s">
        <v>7772</v>
      </c>
      <c r="B61" s="76" t="s">
        <v>7781</v>
      </c>
      <c r="C61" s="76" t="s">
        <v>7782</v>
      </c>
      <c r="D61" s="76" t="s">
        <v>7750</v>
      </c>
      <c r="E61" s="76" t="s">
        <v>7751</v>
      </c>
    </row>
    <row r="62" spans="1:5" ht="36" customHeight="1">
      <c r="A62" s="76" t="s">
        <v>7772</v>
      </c>
      <c r="B62" s="76" t="s">
        <v>7783</v>
      </c>
      <c r="C62" s="76" t="s">
        <v>7784</v>
      </c>
      <c r="D62" s="76" t="s">
        <v>7750</v>
      </c>
      <c r="E62" s="76" t="s">
        <v>7751</v>
      </c>
    </row>
    <row r="63" spans="1:5" ht="36" customHeight="1">
      <c r="A63" s="76" t="s">
        <v>7772</v>
      </c>
      <c r="B63" s="76" t="s">
        <v>7785</v>
      </c>
      <c r="C63" s="76" t="s">
        <v>7786</v>
      </c>
      <c r="D63" s="76" t="s">
        <v>7750</v>
      </c>
      <c r="E63" s="76" t="s">
        <v>7751</v>
      </c>
    </row>
    <row r="64" spans="1:5" ht="36" customHeight="1">
      <c r="A64" s="76" t="s">
        <v>7772</v>
      </c>
      <c r="B64" s="76" t="s">
        <v>7787</v>
      </c>
      <c r="C64" s="76" t="s">
        <v>7788</v>
      </c>
      <c r="D64" s="76" t="s">
        <v>7750</v>
      </c>
      <c r="E64" s="76" t="s">
        <v>7751</v>
      </c>
    </row>
    <row r="65" spans="1:5" ht="24" customHeight="1">
      <c r="A65" s="76" t="s">
        <v>7772</v>
      </c>
      <c r="B65" s="76" t="s">
        <v>7789</v>
      </c>
      <c r="C65" s="76" t="s">
        <v>7790</v>
      </c>
      <c r="D65" s="76" t="s">
        <v>7750</v>
      </c>
      <c r="E65" s="76" t="s">
        <v>7751</v>
      </c>
    </row>
    <row r="66" spans="1:5" ht="36" customHeight="1">
      <c r="A66" s="76" t="s">
        <v>7772</v>
      </c>
      <c r="B66" s="76" t="s">
        <v>7791</v>
      </c>
      <c r="C66" s="76" t="s">
        <v>7792</v>
      </c>
      <c r="D66" s="76" t="s">
        <v>7750</v>
      </c>
      <c r="E66" s="76" t="s">
        <v>7751</v>
      </c>
    </row>
    <row r="67" spans="1:5" ht="24" customHeight="1">
      <c r="A67" s="76" t="s">
        <v>7772</v>
      </c>
      <c r="B67" s="76" t="s">
        <v>7793</v>
      </c>
      <c r="C67" s="76" t="s">
        <v>7794</v>
      </c>
      <c r="D67" s="76" t="s">
        <v>7750</v>
      </c>
      <c r="E67" s="76" t="s">
        <v>7751</v>
      </c>
    </row>
    <row r="68" spans="1:5" ht="36" customHeight="1">
      <c r="A68" s="76" t="s">
        <v>7772</v>
      </c>
      <c r="B68" s="76" t="s">
        <v>7795</v>
      </c>
      <c r="C68" s="76" t="s">
        <v>7796</v>
      </c>
      <c r="D68" s="76" t="s">
        <v>7750</v>
      </c>
      <c r="E68" s="76" t="s">
        <v>7751</v>
      </c>
    </row>
    <row r="69" spans="1:5" ht="36" customHeight="1">
      <c r="A69" s="76" t="s">
        <v>7772</v>
      </c>
      <c r="B69" s="76" t="s">
        <v>7797</v>
      </c>
      <c r="C69" s="76" t="s">
        <v>7798</v>
      </c>
      <c r="D69" s="76" t="s">
        <v>7750</v>
      </c>
      <c r="E69" s="76" t="s">
        <v>7751</v>
      </c>
    </row>
    <row r="70" spans="1:5" ht="36" customHeight="1">
      <c r="A70" s="76" t="s">
        <v>7772</v>
      </c>
      <c r="B70" s="76" t="s">
        <v>7799</v>
      </c>
      <c r="C70" s="76" t="s">
        <v>7800</v>
      </c>
      <c r="D70" s="76" t="s">
        <v>7750</v>
      </c>
      <c r="E70" s="76" t="s">
        <v>7751</v>
      </c>
    </row>
    <row r="71" spans="1:5" ht="36" customHeight="1">
      <c r="A71" s="76" t="s">
        <v>7772</v>
      </c>
      <c r="B71" s="76" t="s">
        <v>7801</v>
      </c>
      <c r="C71" s="76" t="s">
        <v>7802</v>
      </c>
      <c r="D71" s="76" t="s">
        <v>7750</v>
      </c>
      <c r="E71" s="76" t="s">
        <v>7751</v>
      </c>
    </row>
    <row r="72" spans="1:5" ht="36" customHeight="1">
      <c r="A72" s="76" t="s">
        <v>7772</v>
      </c>
      <c r="B72" s="76" t="s">
        <v>7803</v>
      </c>
      <c r="C72" s="76" t="s">
        <v>7804</v>
      </c>
      <c r="D72" s="76" t="s">
        <v>7750</v>
      </c>
      <c r="E72" s="76" t="s">
        <v>7751</v>
      </c>
    </row>
    <row r="73" spans="1:5" ht="36" customHeight="1">
      <c r="A73" s="76" t="s">
        <v>7772</v>
      </c>
      <c r="B73" s="76" t="s">
        <v>7805</v>
      </c>
      <c r="C73" s="76" t="s">
        <v>7806</v>
      </c>
      <c r="D73" s="76" t="s">
        <v>7750</v>
      </c>
      <c r="E73" s="76" t="s">
        <v>7751</v>
      </c>
    </row>
    <row r="74" spans="1:5" ht="36" customHeight="1">
      <c r="A74" s="76" t="s">
        <v>7772</v>
      </c>
      <c r="B74" s="76" t="s">
        <v>7807</v>
      </c>
      <c r="C74" s="76" t="s">
        <v>7808</v>
      </c>
      <c r="D74" s="76" t="s">
        <v>7750</v>
      </c>
      <c r="E74" s="76" t="s">
        <v>7751</v>
      </c>
    </row>
    <row r="75" spans="1:5" ht="36" customHeight="1">
      <c r="A75" s="76" t="s">
        <v>7772</v>
      </c>
      <c r="B75" s="76" t="s">
        <v>7809</v>
      </c>
      <c r="C75" s="76" t="s">
        <v>7810</v>
      </c>
      <c r="D75" s="76" t="s">
        <v>7750</v>
      </c>
      <c r="E75" s="76" t="s">
        <v>7751</v>
      </c>
    </row>
    <row r="76" spans="1:5" ht="36" customHeight="1">
      <c r="A76" s="76" t="s">
        <v>7772</v>
      </c>
      <c r="B76" s="76" t="s">
        <v>7811</v>
      </c>
      <c r="C76" s="76" t="s">
        <v>7812</v>
      </c>
      <c r="D76" s="76" t="s">
        <v>7750</v>
      </c>
      <c r="E76" s="76" t="s">
        <v>7751</v>
      </c>
    </row>
    <row r="77" spans="1:5" ht="36" customHeight="1">
      <c r="A77" s="76" t="s">
        <v>7772</v>
      </c>
      <c r="B77" s="76" t="s">
        <v>7813</v>
      </c>
      <c r="C77" s="76" t="s">
        <v>7814</v>
      </c>
      <c r="D77" s="76" t="s">
        <v>7750</v>
      </c>
      <c r="E77" s="76" t="s">
        <v>7751</v>
      </c>
    </row>
    <row r="78" spans="1:5" ht="36" customHeight="1">
      <c r="A78" s="76" t="s">
        <v>7772</v>
      </c>
      <c r="B78" s="76" t="s">
        <v>7815</v>
      </c>
      <c r="C78" s="76" t="s">
        <v>7816</v>
      </c>
      <c r="D78" s="76" t="s">
        <v>7750</v>
      </c>
      <c r="E78" s="76" t="s">
        <v>7751</v>
      </c>
    </row>
    <row r="79" spans="1:5" ht="36" customHeight="1">
      <c r="A79" s="76" t="s">
        <v>7772</v>
      </c>
      <c r="B79" s="76" t="s">
        <v>7817</v>
      </c>
      <c r="C79" s="76" t="s">
        <v>7818</v>
      </c>
      <c r="D79" s="76" t="s">
        <v>7750</v>
      </c>
      <c r="E79" s="76" t="s">
        <v>7751</v>
      </c>
    </row>
    <row r="80" spans="1:5" ht="36" customHeight="1">
      <c r="A80" s="76" t="s">
        <v>7772</v>
      </c>
      <c r="B80" s="76" t="s">
        <v>7819</v>
      </c>
      <c r="C80" s="76" t="s">
        <v>7820</v>
      </c>
      <c r="D80" s="76" t="s">
        <v>7750</v>
      </c>
      <c r="E80" s="76" t="s">
        <v>7751</v>
      </c>
    </row>
    <row r="81" spans="1:5" ht="24" customHeight="1">
      <c r="A81" s="76" t="s">
        <v>7772</v>
      </c>
      <c r="B81" s="76" t="s">
        <v>7821</v>
      </c>
      <c r="C81" s="76" t="s">
        <v>7822</v>
      </c>
      <c r="D81" s="76" t="s">
        <v>7750</v>
      </c>
      <c r="E81" s="76" t="s">
        <v>7751</v>
      </c>
    </row>
    <row r="82" spans="1:5" ht="24" customHeight="1">
      <c r="A82" s="76" t="s">
        <v>7772</v>
      </c>
      <c r="B82" s="76" t="s">
        <v>7823</v>
      </c>
      <c r="C82" s="76" t="s">
        <v>7824</v>
      </c>
      <c r="D82" s="76" t="s">
        <v>7750</v>
      </c>
      <c r="E82" s="76" t="s">
        <v>7751</v>
      </c>
    </row>
    <row r="83" spans="1:5" ht="36" customHeight="1">
      <c r="A83" s="76" t="s">
        <v>7772</v>
      </c>
      <c r="B83" s="76" t="s">
        <v>7825</v>
      </c>
      <c r="C83" s="76" t="s">
        <v>7826</v>
      </c>
      <c r="D83" s="76" t="s">
        <v>7750</v>
      </c>
      <c r="E83" s="76" t="s">
        <v>7751</v>
      </c>
    </row>
    <row r="84" spans="1:5" ht="36" customHeight="1">
      <c r="A84" s="76" t="s">
        <v>7772</v>
      </c>
      <c r="B84" s="76" t="s">
        <v>7827</v>
      </c>
      <c r="C84" s="76" t="s">
        <v>7828</v>
      </c>
      <c r="D84" s="76" t="s">
        <v>7750</v>
      </c>
      <c r="E84" s="76" t="s">
        <v>7751</v>
      </c>
    </row>
    <row r="85" spans="1:5" ht="24" customHeight="1">
      <c r="A85" s="76" t="s">
        <v>7772</v>
      </c>
      <c r="B85" s="76" t="s">
        <v>7829</v>
      </c>
      <c r="C85" s="76" t="s">
        <v>7830</v>
      </c>
      <c r="D85" s="76" t="s">
        <v>7750</v>
      </c>
      <c r="E85" s="76" t="s">
        <v>7751</v>
      </c>
    </row>
    <row r="86" spans="1:5" ht="36" customHeight="1">
      <c r="A86" s="76" t="s">
        <v>7772</v>
      </c>
      <c r="B86" s="76" t="s">
        <v>7831</v>
      </c>
      <c r="C86" s="76" t="s">
        <v>7832</v>
      </c>
      <c r="D86" s="76" t="s">
        <v>7750</v>
      </c>
      <c r="E86" s="76" t="s">
        <v>7751</v>
      </c>
    </row>
    <row r="87" spans="1:5" ht="36" customHeight="1">
      <c r="A87" s="76" t="s">
        <v>7772</v>
      </c>
      <c r="B87" s="76" t="s">
        <v>7833</v>
      </c>
      <c r="C87" s="76" t="s">
        <v>7834</v>
      </c>
      <c r="D87" s="76" t="s">
        <v>7750</v>
      </c>
      <c r="E87" s="76" t="s">
        <v>7751</v>
      </c>
    </row>
    <row r="88" spans="1:5" ht="36" customHeight="1">
      <c r="A88" s="76" t="s">
        <v>7772</v>
      </c>
      <c r="B88" s="76" t="s">
        <v>7835</v>
      </c>
      <c r="C88" s="76" t="s">
        <v>7836</v>
      </c>
      <c r="D88" s="76" t="s">
        <v>7750</v>
      </c>
      <c r="E88" s="76" t="s">
        <v>7751</v>
      </c>
    </row>
    <row r="89" spans="1:5" ht="36" customHeight="1">
      <c r="A89" s="76" t="s">
        <v>7772</v>
      </c>
      <c r="B89" s="76" t="s">
        <v>7837</v>
      </c>
      <c r="C89" s="76" t="s">
        <v>7838</v>
      </c>
      <c r="D89" s="76" t="s">
        <v>7750</v>
      </c>
      <c r="E89" s="76" t="s">
        <v>7751</v>
      </c>
    </row>
    <row r="90" spans="1:5" ht="36" customHeight="1">
      <c r="A90" s="76" t="s">
        <v>7772</v>
      </c>
      <c r="B90" s="76" t="s">
        <v>7839</v>
      </c>
      <c r="C90" s="76" t="s">
        <v>7840</v>
      </c>
      <c r="D90" s="76" t="s">
        <v>7750</v>
      </c>
      <c r="E90" s="76" t="s">
        <v>7751</v>
      </c>
    </row>
    <row r="91" spans="1:5" ht="24" customHeight="1">
      <c r="A91" s="76" t="s">
        <v>7772</v>
      </c>
      <c r="B91" s="76" t="s">
        <v>7841</v>
      </c>
      <c r="C91" s="76" t="s">
        <v>7842</v>
      </c>
      <c r="D91" s="76" t="s">
        <v>7750</v>
      </c>
      <c r="E91" s="76" t="s">
        <v>7751</v>
      </c>
    </row>
    <row r="92" spans="1:5" ht="24" customHeight="1">
      <c r="A92" s="76" t="s">
        <v>7772</v>
      </c>
      <c r="B92" s="76" t="s">
        <v>7843</v>
      </c>
      <c r="C92" s="76" t="s">
        <v>7844</v>
      </c>
      <c r="D92" s="76" t="s">
        <v>7750</v>
      </c>
      <c r="E92" s="76" t="s">
        <v>7751</v>
      </c>
    </row>
    <row r="93" spans="1:5" ht="24" customHeight="1">
      <c r="A93" s="76" t="s">
        <v>7772</v>
      </c>
      <c r="B93" s="76" t="s">
        <v>7845</v>
      </c>
      <c r="C93" s="76" t="s">
        <v>7846</v>
      </c>
      <c r="D93" s="76" t="s">
        <v>7750</v>
      </c>
      <c r="E93" s="76" t="s">
        <v>7751</v>
      </c>
    </row>
    <row r="94" spans="1:5" ht="24" customHeight="1">
      <c r="A94" s="76" t="s">
        <v>7772</v>
      </c>
      <c r="B94" s="76" t="s">
        <v>7847</v>
      </c>
      <c r="C94" s="76" t="s">
        <v>7848</v>
      </c>
      <c r="D94" s="76" t="s">
        <v>7750</v>
      </c>
      <c r="E94" s="76" t="s">
        <v>7751</v>
      </c>
    </row>
    <row r="95" spans="1:5" ht="36" customHeight="1">
      <c r="A95" s="76" t="s">
        <v>7772</v>
      </c>
      <c r="B95" s="76" t="s">
        <v>7849</v>
      </c>
      <c r="C95" s="76" t="s">
        <v>7850</v>
      </c>
      <c r="D95" s="76" t="s">
        <v>7750</v>
      </c>
      <c r="E95" s="76" t="s">
        <v>7751</v>
      </c>
    </row>
    <row r="96" spans="1:5" ht="36" customHeight="1">
      <c r="A96" s="76" t="s">
        <v>7772</v>
      </c>
      <c r="B96" s="76" t="s">
        <v>7851</v>
      </c>
      <c r="C96" s="76" t="s">
        <v>7852</v>
      </c>
      <c r="D96" s="76" t="s">
        <v>7750</v>
      </c>
      <c r="E96" s="76" t="s">
        <v>7751</v>
      </c>
    </row>
    <row r="97" spans="1:5" ht="36" customHeight="1">
      <c r="A97" s="76" t="s">
        <v>7772</v>
      </c>
      <c r="B97" s="76" t="s">
        <v>7853</v>
      </c>
      <c r="C97" s="76" t="s">
        <v>7854</v>
      </c>
      <c r="D97" s="76" t="s">
        <v>7750</v>
      </c>
      <c r="E97" s="76" t="s">
        <v>7751</v>
      </c>
    </row>
    <row r="98" spans="1:5" ht="36" customHeight="1">
      <c r="A98" s="76" t="s">
        <v>7772</v>
      </c>
      <c r="B98" s="76" t="s">
        <v>7855</v>
      </c>
      <c r="C98" s="76" t="s">
        <v>7856</v>
      </c>
      <c r="D98" s="76" t="s">
        <v>7750</v>
      </c>
      <c r="E98" s="76" t="s">
        <v>7751</v>
      </c>
    </row>
    <row r="99" spans="1:5" ht="36" customHeight="1">
      <c r="A99" s="76" t="s">
        <v>7772</v>
      </c>
      <c r="B99" s="76" t="s">
        <v>7857</v>
      </c>
      <c r="C99" s="76" t="s">
        <v>7858</v>
      </c>
      <c r="D99" s="76" t="s">
        <v>7750</v>
      </c>
      <c r="E99" s="76" t="s">
        <v>7751</v>
      </c>
    </row>
    <row r="100" spans="1:5" ht="24" customHeight="1">
      <c r="A100" s="76" t="s">
        <v>7772</v>
      </c>
      <c r="B100" s="76" t="s">
        <v>7859</v>
      </c>
      <c r="C100" s="76" t="s">
        <v>7860</v>
      </c>
      <c r="D100" s="76" t="s">
        <v>7750</v>
      </c>
      <c r="E100" s="76" t="s">
        <v>7751</v>
      </c>
    </row>
    <row r="101" spans="1:5" ht="36" customHeight="1">
      <c r="A101" s="76" t="s">
        <v>7772</v>
      </c>
      <c r="B101" s="76" t="s">
        <v>7861</v>
      </c>
      <c r="C101" s="76" t="s">
        <v>7862</v>
      </c>
      <c r="D101" s="76" t="s">
        <v>7750</v>
      </c>
      <c r="E101" s="76" t="s">
        <v>7751</v>
      </c>
    </row>
    <row r="102" spans="1:5" ht="36" customHeight="1">
      <c r="A102" s="76" t="s">
        <v>7772</v>
      </c>
      <c r="B102" s="76" t="s">
        <v>7863</v>
      </c>
      <c r="C102" s="76" t="s">
        <v>7864</v>
      </c>
      <c r="D102" s="76" t="s">
        <v>7750</v>
      </c>
      <c r="E102" s="76" t="s">
        <v>7751</v>
      </c>
    </row>
    <row r="103" spans="1:5" ht="36" customHeight="1">
      <c r="A103" s="76" t="s">
        <v>7772</v>
      </c>
      <c r="B103" s="76" t="s">
        <v>7865</v>
      </c>
      <c r="C103" s="76" t="s">
        <v>7866</v>
      </c>
      <c r="D103" s="76" t="s">
        <v>7750</v>
      </c>
      <c r="E103" s="76" t="s">
        <v>7751</v>
      </c>
    </row>
    <row r="104" spans="1:5" ht="36" customHeight="1">
      <c r="A104" s="76" t="s">
        <v>7772</v>
      </c>
      <c r="B104" s="76" t="s">
        <v>7867</v>
      </c>
      <c r="C104" s="76" t="s">
        <v>7868</v>
      </c>
      <c r="D104" s="76" t="s">
        <v>7750</v>
      </c>
      <c r="E104" s="76" t="s">
        <v>7751</v>
      </c>
    </row>
    <row r="105" spans="1:5" ht="36" customHeight="1">
      <c r="A105" s="76" t="s">
        <v>7772</v>
      </c>
      <c r="B105" s="76" t="s">
        <v>7869</v>
      </c>
      <c r="C105" s="76" t="s">
        <v>7870</v>
      </c>
      <c r="D105" s="76" t="s">
        <v>7750</v>
      </c>
      <c r="E105" s="76" t="s">
        <v>7751</v>
      </c>
    </row>
    <row r="106" spans="1:5" ht="24" customHeight="1">
      <c r="A106" s="76" t="s">
        <v>7772</v>
      </c>
      <c r="B106" s="76" t="s">
        <v>7871</v>
      </c>
      <c r="C106" s="76" t="s">
        <v>7872</v>
      </c>
      <c r="D106" s="76" t="s">
        <v>7750</v>
      </c>
      <c r="E106" s="76" t="s">
        <v>7751</v>
      </c>
    </row>
    <row r="107" spans="1:5" ht="36" customHeight="1">
      <c r="A107" s="76" t="s">
        <v>7772</v>
      </c>
      <c r="B107" s="76" t="s">
        <v>7873</v>
      </c>
      <c r="C107" s="76" t="s">
        <v>7874</v>
      </c>
      <c r="D107" s="76" t="s">
        <v>7750</v>
      </c>
      <c r="E107" s="76" t="s">
        <v>7751</v>
      </c>
    </row>
    <row r="108" spans="1:5" ht="36" customHeight="1">
      <c r="A108" s="76" t="s">
        <v>7772</v>
      </c>
      <c r="B108" s="76" t="s">
        <v>7875</v>
      </c>
      <c r="C108" s="76" t="s">
        <v>7876</v>
      </c>
      <c r="D108" s="76" t="s">
        <v>7750</v>
      </c>
      <c r="E108" s="76" t="s">
        <v>7751</v>
      </c>
    </row>
    <row r="109" spans="1:5" ht="24" customHeight="1">
      <c r="A109" s="76" t="s">
        <v>7772</v>
      </c>
      <c r="B109" s="76" t="s">
        <v>7877</v>
      </c>
      <c r="C109" s="76" t="s">
        <v>7878</v>
      </c>
      <c r="D109" s="76" t="s">
        <v>7750</v>
      </c>
      <c r="E109" s="76" t="s">
        <v>7751</v>
      </c>
    </row>
    <row r="110" spans="1:5" ht="36" customHeight="1">
      <c r="A110" s="76" t="s">
        <v>7772</v>
      </c>
      <c r="B110" s="76" t="s">
        <v>7879</v>
      </c>
      <c r="C110" s="76" t="s">
        <v>7880</v>
      </c>
      <c r="D110" s="76" t="s">
        <v>7750</v>
      </c>
      <c r="E110" s="76" t="s">
        <v>7751</v>
      </c>
    </row>
    <row r="111" spans="1:5" ht="36" customHeight="1">
      <c r="A111" s="76" t="s">
        <v>7772</v>
      </c>
      <c r="B111" s="76" t="s">
        <v>7881</v>
      </c>
      <c r="C111" s="76" t="s">
        <v>7882</v>
      </c>
      <c r="D111" s="76" t="s">
        <v>7750</v>
      </c>
      <c r="E111" s="76" t="s">
        <v>7751</v>
      </c>
    </row>
    <row r="112" spans="1:5" ht="36" customHeight="1">
      <c r="A112" s="76" t="s">
        <v>7772</v>
      </c>
      <c r="B112" s="76" t="s">
        <v>7883</v>
      </c>
      <c r="C112" s="76" t="s">
        <v>7884</v>
      </c>
      <c r="D112" s="76" t="s">
        <v>7750</v>
      </c>
      <c r="E112" s="76" t="s">
        <v>7751</v>
      </c>
    </row>
    <row r="113" spans="1:5" ht="36" customHeight="1">
      <c r="A113" s="76" t="s">
        <v>7772</v>
      </c>
      <c r="B113" s="76" t="s">
        <v>7885</v>
      </c>
      <c r="C113" s="76" t="s">
        <v>7886</v>
      </c>
      <c r="D113" s="76" t="s">
        <v>7750</v>
      </c>
      <c r="E113" s="76" t="s">
        <v>7751</v>
      </c>
    </row>
    <row r="114" spans="1:5" ht="36" customHeight="1">
      <c r="A114" s="76" t="s">
        <v>7772</v>
      </c>
      <c r="B114" s="76" t="s">
        <v>7887</v>
      </c>
      <c r="C114" s="76" t="s">
        <v>7888</v>
      </c>
      <c r="D114" s="76" t="s">
        <v>7750</v>
      </c>
      <c r="E114" s="76" t="s">
        <v>7751</v>
      </c>
    </row>
    <row r="115" spans="1:5" ht="36" customHeight="1">
      <c r="A115" s="76" t="s">
        <v>7772</v>
      </c>
      <c r="B115" s="76" t="s">
        <v>7889</v>
      </c>
      <c r="C115" s="76" t="s">
        <v>7890</v>
      </c>
      <c r="D115" s="76" t="s">
        <v>7750</v>
      </c>
      <c r="E115" s="76" t="s">
        <v>7751</v>
      </c>
    </row>
    <row r="116" spans="1:5" ht="36" customHeight="1">
      <c r="A116" s="76" t="s">
        <v>7772</v>
      </c>
      <c r="B116" s="76" t="s">
        <v>7891</v>
      </c>
      <c r="C116" s="76" t="s">
        <v>7892</v>
      </c>
      <c r="D116" s="76" t="s">
        <v>7750</v>
      </c>
      <c r="E116" s="76" t="s">
        <v>7751</v>
      </c>
    </row>
    <row r="117" spans="1:5" ht="36" customHeight="1">
      <c r="A117" s="76" t="s">
        <v>7772</v>
      </c>
      <c r="B117" s="76" t="s">
        <v>7893</v>
      </c>
      <c r="C117" s="76" t="s">
        <v>7894</v>
      </c>
      <c r="D117" s="76" t="s">
        <v>7750</v>
      </c>
      <c r="E117" s="76" t="s">
        <v>7751</v>
      </c>
    </row>
    <row r="118" spans="1:5" ht="36" customHeight="1">
      <c r="A118" s="76" t="s">
        <v>7772</v>
      </c>
      <c r="B118" s="76" t="s">
        <v>7895</v>
      </c>
      <c r="C118" s="76" t="s">
        <v>7896</v>
      </c>
      <c r="D118" s="76" t="s">
        <v>7750</v>
      </c>
      <c r="E118" s="76" t="s">
        <v>7751</v>
      </c>
    </row>
    <row r="119" spans="1:5" ht="24" customHeight="1">
      <c r="A119" s="76" t="s">
        <v>7772</v>
      </c>
      <c r="B119" s="76" t="s">
        <v>7897</v>
      </c>
      <c r="C119" s="76" t="s">
        <v>7898</v>
      </c>
      <c r="D119" s="76" t="s">
        <v>7750</v>
      </c>
      <c r="E119" s="76" t="s">
        <v>7751</v>
      </c>
    </row>
    <row r="120" spans="1:5" ht="24" customHeight="1">
      <c r="A120" s="76" t="s">
        <v>7772</v>
      </c>
      <c r="B120" s="76" t="s">
        <v>7899</v>
      </c>
      <c r="C120" s="76" t="s">
        <v>7900</v>
      </c>
      <c r="D120" s="76" t="s">
        <v>7750</v>
      </c>
      <c r="E120" s="76" t="s">
        <v>7751</v>
      </c>
    </row>
    <row r="121" spans="1:5" ht="36" customHeight="1">
      <c r="A121" s="76" t="s">
        <v>7772</v>
      </c>
      <c r="B121" s="76" t="s">
        <v>7901</v>
      </c>
      <c r="C121" s="76" t="s">
        <v>7902</v>
      </c>
      <c r="D121" s="76" t="s">
        <v>7750</v>
      </c>
      <c r="E121" s="76" t="s">
        <v>7751</v>
      </c>
    </row>
    <row r="122" spans="1:5" ht="36" customHeight="1">
      <c r="A122" s="76" t="s">
        <v>7772</v>
      </c>
      <c r="B122" s="76" t="s">
        <v>7903</v>
      </c>
      <c r="C122" s="76" t="s">
        <v>7904</v>
      </c>
      <c r="D122" s="76" t="s">
        <v>7750</v>
      </c>
      <c r="E122" s="76" t="s">
        <v>7751</v>
      </c>
    </row>
    <row r="123" spans="1:5" ht="36" customHeight="1">
      <c r="A123" s="76" t="s">
        <v>7772</v>
      </c>
      <c r="B123" s="76" t="s">
        <v>7905</v>
      </c>
      <c r="C123" s="76" t="s">
        <v>7906</v>
      </c>
      <c r="D123" s="76" t="s">
        <v>7750</v>
      </c>
      <c r="E123" s="76" t="s">
        <v>7751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7907</v>
      </c>
      <c r="B1" t="s">
        <v>7908</v>
      </c>
      <c r="C1" t="s">
        <v>7909</v>
      </c>
      <c r="D1" t="s">
        <v>7910</v>
      </c>
      <c r="E1" t="s">
        <v>7911</v>
      </c>
      <c r="F1" t="s">
        <v>7912</v>
      </c>
      <c r="G1" t="s">
        <v>7913</v>
      </c>
      <c r="H1" t="s">
        <v>7914</v>
      </c>
      <c r="I1" t="s">
        <v>7915</v>
      </c>
      <c r="J1" t="s">
        <v>7916</v>
      </c>
      <c r="K1" t="s">
        <v>7357</v>
      </c>
      <c r="L1" t="s">
        <v>7285</v>
      </c>
      <c r="M1" t="s">
        <v>7286</v>
      </c>
      <c r="N1" t="s">
        <v>5455</v>
      </c>
    </row>
    <row r="2" spans="1:14">
      <c r="A2" t="s">
        <v>5524</v>
      </c>
      <c r="B2">
        <v>-3</v>
      </c>
      <c r="C2">
        <v>2</v>
      </c>
      <c r="D2">
        <v>2</v>
      </c>
      <c r="E2">
        <v>-1.5</v>
      </c>
      <c r="F2">
        <v>-11</v>
      </c>
      <c r="G2">
        <v>-10</v>
      </c>
      <c r="H2">
        <v>-5</v>
      </c>
      <c r="I2">
        <v>0.5</v>
      </c>
      <c r="J2">
        <v>0.2</v>
      </c>
      <c r="L2">
        <v>1</v>
      </c>
      <c r="M2">
        <v>1</v>
      </c>
    </row>
    <row r="3" spans="1:14">
      <c r="A3" t="s">
        <v>7917</v>
      </c>
      <c r="B3">
        <v>-2</v>
      </c>
      <c r="C3">
        <v>1</v>
      </c>
      <c r="D3">
        <v>2</v>
      </c>
      <c r="E3">
        <v>-1</v>
      </c>
      <c r="F3">
        <v>-4</v>
      </c>
      <c r="G3">
        <v>-5</v>
      </c>
      <c r="H3">
        <v>-3</v>
      </c>
      <c r="I3">
        <v>0.7</v>
      </c>
      <c r="J3">
        <v>0.3</v>
      </c>
      <c r="L3">
        <v>2</v>
      </c>
      <c r="M3">
        <v>2</v>
      </c>
    </row>
    <row r="4" spans="1:14">
      <c r="A4" t="s">
        <v>7308</v>
      </c>
      <c r="B4">
        <v>0</v>
      </c>
      <c r="C4">
        <v>3</v>
      </c>
      <c r="D4">
        <v>3</v>
      </c>
      <c r="E4">
        <v>0</v>
      </c>
      <c r="F4">
        <v>-20</v>
      </c>
      <c r="G4">
        <v>-15</v>
      </c>
      <c r="H4">
        <v>-7</v>
      </c>
      <c r="I4">
        <v>0.45</v>
      </c>
      <c r="J4">
        <v>0.1</v>
      </c>
      <c r="L4">
        <v>1</v>
      </c>
      <c r="M4">
        <v>1</v>
      </c>
    </row>
    <row r="5" spans="1:14">
      <c r="A5" t="s">
        <v>7918</v>
      </c>
      <c r="B5">
        <v>-6</v>
      </c>
      <c r="C5">
        <v>3</v>
      </c>
      <c r="D5">
        <v>4</v>
      </c>
      <c r="E5">
        <v>-2</v>
      </c>
      <c r="F5">
        <v>-11</v>
      </c>
      <c r="G5">
        <v>-5</v>
      </c>
      <c r="H5">
        <v>3</v>
      </c>
      <c r="I5">
        <v>0.4</v>
      </c>
      <c r="J5">
        <v>6</v>
      </c>
      <c r="K5" t="s">
        <v>7919</v>
      </c>
      <c r="L5">
        <v>4</v>
      </c>
      <c r="M5">
        <v>4</v>
      </c>
      <c r="N5" t="s">
        <v>5462</v>
      </c>
    </row>
    <row r="6" spans="1:14">
      <c r="A6" t="s">
        <v>7312</v>
      </c>
      <c r="B6">
        <v>0</v>
      </c>
      <c r="C6">
        <v>1</v>
      </c>
      <c r="D6">
        <v>2</v>
      </c>
      <c r="E6">
        <v>-1</v>
      </c>
      <c r="F6">
        <v>-2</v>
      </c>
      <c r="G6">
        <v>0</v>
      </c>
      <c r="H6">
        <v>-4</v>
      </c>
      <c r="I6">
        <v>0.5</v>
      </c>
      <c r="J6">
        <v>3</v>
      </c>
      <c r="L6">
        <v>5</v>
      </c>
      <c r="M6">
        <v>2</v>
      </c>
      <c r="N6" t="s">
        <v>7313</v>
      </c>
    </row>
    <row r="7" spans="1:14">
      <c r="A7" t="s">
        <v>7920</v>
      </c>
      <c r="B7">
        <v>0</v>
      </c>
      <c r="C7">
        <v>1</v>
      </c>
      <c r="D7">
        <v>2</v>
      </c>
      <c r="E7">
        <v>-1</v>
      </c>
      <c r="F7">
        <v>-2</v>
      </c>
      <c r="G7">
        <v>0</v>
      </c>
      <c r="H7">
        <v>-3</v>
      </c>
      <c r="I7">
        <v>0.5</v>
      </c>
      <c r="J7" t="s">
        <v>7921</v>
      </c>
      <c r="L7" t="s">
        <v>3432</v>
      </c>
      <c r="M7" t="s">
        <v>3432</v>
      </c>
    </row>
    <row r="8" spans="1:14">
      <c r="A8" t="s">
        <v>5525</v>
      </c>
      <c r="B8">
        <v>0</v>
      </c>
      <c r="C8">
        <v>-3</v>
      </c>
      <c r="D8">
        <v>-2</v>
      </c>
      <c r="E8">
        <v>1</v>
      </c>
      <c r="F8">
        <v>-2</v>
      </c>
      <c r="G8">
        <v>-3</v>
      </c>
      <c r="H8">
        <v>-3</v>
      </c>
      <c r="I8">
        <v>1.3</v>
      </c>
      <c r="J8">
        <v>0.25</v>
      </c>
      <c r="L8">
        <v>1</v>
      </c>
      <c r="M8">
        <v>1</v>
      </c>
      <c r="N8" t="s">
        <v>5466</v>
      </c>
    </row>
    <row r="9" spans="1:14">
      <c r="A9" t="s">
        <v>7306</v>
      </c>
      <c r="B9">
        <v>0</v>
      </c>
      <c r="C9">
        <v>-2</v>
      </c>
      <c r="D9">
        <v>-1</v>
      </c>
      <c r="E9">
        <v>1</v>
      </c>
      <c r="F9">
        <v>-2</v>
      </c>
      <c r="G9">
        <v>-2</v>
      </c>
      <c r="H9">
        <v>-1</v>
      </c>
      <c r="I9">
        <v>1.1000000000000001</v>
      </c>
      <c r="J9">
        <v>0.5</v>
      </c>
      <c r="L9">
        <v>5</v>
      </c>
      <c r="M9">
        <v>1</v>
      </c>
      <c r="N9" t="s">
        <v>7307</v>
      </c>
    </row>
    <row r="10" spans="1:14">
      <c r="A10" t="s">
        <v>7300</v>
      </c>
      <c r="B10">
        <v>3</v>
      </c>
      <c r="C10">
        <v>0</v>
      </c>
      <c r="D10">
        <v>1</v>
      </c>
      <c r="E10">
        <v>-0.5</v>
      </c>
      <c r="F10">
        <v>3</v>
      </c>
      <c r="G10">
        <v>3</v>
      </c>
      <c r="H10">
        <v>6</v>
      </c>
      <c r="I10">
        <v>0.8</v>
      </c>
      <c r="J10">
        <v>1.75</v>
      </c>
      <c r="K10" t="s">
        <v>7922</v>
      </c>
      <c r="L10">
        <v>7</v>
      </c>
      <c r="M10">
        <v>7</v>
      </c>
      <c r="N10" t="s">
        <v>5462</v>
      </c>
    </row>
    <row r="11" spans="1:14">
      <c r="A11" t="s">
        <v>7314</v>
      </c>
      <c r="B11">
        <v>-1</v>
      </c>
      <c r="C11">
        <v>-1</v>
      </c>
      <c r="D11">
        <v>0</v>
      </c>
      <c r="E11">
        <v>0.5</v>
      </c>
      <c r="F11">
        <v>-2</v>
      </c>
      <c r="G11">
        <v>-2</v>
      </c>
      <c r="H11">
        <v>-2</v>
      </c>
      <c r="I11">
        <v>1.1000000000000001</v>
      </c>
      <c r="J11">
        <v>0.5</v>
      </c>
      <c r="L11">
        <v>1</v>
      </c>
      <c r="M11">
        <v>1</v>
      </c>
      <c r="N11" t="s">
        <v>7315</v>
      </c>
    </row>
    <row r="12" spans="1:14">
      <c r="A12" t="s">
        <v>7287</v>
      </c>
      <c r="B12">
        <v>0</v>
      </c>
      <c r="C12">
        <v>-1</v>
      </c>
      <c r="D12">
        <v>0</v>
      </c>
      <c r="E12">
        <v>0</v>
      </c>
      <c r="F12">
        <v>-1</v>
      </c>
      <c r="G12">
        <v>-1</v>
      </c>
      <c r="H12">
        <v>-1</v>
      </c>
      <c r="I12">
        <v>1.1000000000000001</v>
      </c>
      <c r="J12">
        <v>0.75</v>
      </c>
      <c r="L12">
        <v>1</v>
      </c>
      <c r="M12">
        <v>1</v>
      </c>
      <c r="N12" t="s">
        <v>7288</v>
      </c>
    </row>
    <row r="13" spans="1:14">
      <c r="A13" t="s">
        <v>7923</v>
      </c>
      <c r="B13">
        <v>0</v>
      </c>
      <c r="C13">
        <v>0</v>
      </c>
      <c r="D13">
        <v>0</v>
      </c>
      <c r="E13">
        <v>0</v>
      </c>
      <c r="F13">
        <v>0</v>
      </c>
      <c r="G13">
        <v>0</v>
      </c>
      <c r="H13">
        <v>0</v>
      </c>
      <c r="I13">
        <v>1</v>
      </c>
      <c r="J13">
        <v>1</v>
      </c>
      <c r="K13" t="s">
        <v>7924</v>
      </c>
      <c r="L13">
        <v>1</v>
      </c>
      <c r="M13">
        <v>1</v>
      </c>
      <c r="N13" t="s">
        <v>7288</v>
      </c>
    </row>
    <row r="14" spans="1:14">
      <c r="A14" t="s">
        <v>7289</v>
      </c>
      <c r="B14">
        <v>1</v>
      </c>
      <c r="C14">
        <v>0</v>
      </c>
      <c r="D14">
        <v>1</v>
      </c>
      <c r="E14">
        <v>-0.5</v>
      </c>
      <c r="F14">
        <v>1</v>
      </c>
      <c r="G14">
        <v>1</v>
      </c>
      <c r="H14">
        <v>2</v>
      </c>
      <c r="I14">
        <v>0.9</v>
      </c>
      <c r="J14">
        <v>2.5</v>
      </c>
      <c r="L14">
        <v>1</v>
      </c>
      <c r="M14">
        <v>2</v>
      </c>
      <c r="N14" t="s">
        <v>7290</v>
      </c>
    </row>
    <row r="15" spans="1:14">
      <c r="A15" t="s">
        <v>7925</v>
      </c>
      <c r="B15">
        <v>1</v>
      </c>
      <c r="C15">
        <v>0</v>
      </c>
      <c r="D15">
        <v>1</v>
      </c>
      <c r="E15">
        <v>-0.5</v>
      </c>
      <c r="F15">
        <v>2</v>
      </c>
      <c r="G15">
        <v>2</v>
      </c>
      <c r="H15">
        <v>3</v>
      </c>
      <c r="I15">
        <v>0.9</v>
      </c>
      <c r="J15">
        <v>3.5</v>
      </c>
      <c r="L15">
        <v>2</v>
      </c>
      <c r="M15">
        <v>4</v>
      </c>
      <c r="N15" t="s">
        <v>7292</v>
      </c>
    </row>
    <row r="16" spans="1:14">
      <c r="A16" t="s">
        <v>7293</v>
      </c>
      <c r="B16">
        <v>2</v>
      </c>
      <c r="C16">
        <v>0</v>
      </c>
      <c r="D16">
        <v>1</v>
      </c>
      <c r="E16">
        <v>-0.5</v>
      </c>
      <c r="F16">
        <v>3</v>
      </c>
      <c r="G16">
        <v>3</v>
      </c>
      <c r="H16">
        <v>5</v>
      </c>
      <c r="I16">
        <v>0.8</v>
      </c>
      <c r="J16">
        <v>5</v>
      </c>
      <c r="K16" t="s">
        <v>7922</v>
      </c>
      <c r="L16">
        <v>3</v>
      </c>
      <c r="M16">
        <v>5</v>
      </c>
      <c r="N16" t="s">
        <v>7292</v>
      </c>
    </row>
    <row r="17" spans="1:14">
      <c r="A17" t="s">
        <v>7294</v>
      </c>
      <c r="B17">
        <v>-1</v>
      </c>
      <c r="C17">
        <v>1</v>
      </c>
      <c r="D17">
        <v>2</v>
      </c>
      <c r="E17">
        <v>-2</v>
      </c>
      <c r="F17">
        <v>0</v>
      </c>
      <c r="G17">
        <v>2</v>
      </c>
      <c r="H17">
        <v>2</v>
      </c>
      <c r="I17">
        <v>0.5</v>
      </c>
      <c r="J17">
        <v>25</v>
      </c>
      <c r="L17">
        <v>7</v>
      </c>
      <c r="M17">
        <v>7</v>
      </c>
      <c r="N17" t="s">
        <v>7295</v>
      </c>
    </row>
    <row r="18" spans="1:14">
      <c r="A18" t="s">
        <v>7302</v>
      </c>
      <c r="B18">
        <v>3</v>
      </c>
      <c r="C18">
        <v>0</v>
      </c>
      <c r="D18">
        <v>1</v>
      </c>
      <c r="E18">
        <v>-0.5</v>
      </c>
      <c r="F18">
        <v>3</v>
      </c>
      <c r="G18" t="s">
        <v>7926</v>
      </c>
      <c r="H18">
        <v>7</v>
      </c>
      <c r="I18">
        <v>0.8</v>
      </c>
      <c r="J18">
        <v>5000</v>
      </c>
      <c r="K18" t="s">
        <v>7927</v>
      </c>
      <c r="L18" t="s">
        <v>3432</v>
      </c>
      <c r="M18" t="s">
        <v>3432</v>
      </c>
      <c r="N18" t="s">
        <v>7303</v>
      </c>
    </row>
    <row r="19" spans="1:14">
      <c r="A19" t="s">
        <v>7297</v>
      </c>
      <c r="B19">
        <v>0</v>
      </c>
      <c r="C19">
        <v>-1</v>
      </c>
      <c r="D19">
        <v>0</v>
      </c>
      <c r="E19">
        <v>0</v>
      </c>
      <c r="F19">
        <v>-1</v>
      </c>
      <c r="G19">
        <v>-1</v>
      </c>
      <c r="H19">
        <v>-1</v>
      </c>
      <c r="I19">
        <v>1</v>
      </c>
      <c r="J19">
        <v>3.5</v>
      </c>
      <c r="L19">
        <v>5</v>
      </c>
      <c r="M19">
        <v>6</v>
      </c>
      <c r="N19" t="s">
        <v>7298</v>
      </c>
    </row>
    <row r="20" spans="1:14">
      <c r="A20" t="s">
        <v>7311</v>
      </c>
      <c r="B20">
        <v>-1</v>
      </c>
      <c r="C20">
        <v>-3</v>
      </c>
      <c r="D20">
        <v>-2</v>
      </c>
      <c r="E20">
        <v>-1</v>
      </c>
      <c r="F20">
        <v>-4</v>
      </c>
      <c r="G20">
        <v>-5</v>
      </c>
      <c r="H20">
        <v>-1</v>
      </c>
      <c r="I20">
        <v>1.1000000000000001</v>
      </c>
      <c r="J20">
        <v>3.5</v>
      </c>
      <c r="L20">
        <v>7</v>
      </c>
      <c r="M20">
        <v>3</v>
      </c>
      <c r="N20" t="s">
        <v>7307</v>
      </c>
    </row>
    <row r="21" spans="1:14">
      <c r="A21" t="s">
        <v>7299</v>
      </c>
      <c r="B21">
        <v>0</v>
      </c>
      <c r="C21">
        <v>-1</v>
      </c>
      <c r="D21">
        <v>-1</v>
      </c>
      <c r="E21">
        <v>-1</v>
      </c>
      <c r="F21">
        <v>-1</v>
      </c>
      <c r="G21">
        <v>-1</v>
      </c>
      <c r="H21">
        <v>-1</v>
      </c>
      <c r="I21">
        <v>1.2</v>
      </c>
      <c r="J21">
        <v>30</v>
      </c>
      <c r="L21">
        <v>7</v>
      </c>
      <c r="M21">
        <v>7</v>
      </c>
      <c r="N21" t="s">
        <v>7295</v>
      </c>
    </row>
    <row r="22" spans="1:14">
      <c r="A22" t="s">
        <v>7305</v>
      </c>
      <c r="B22">
        <v>0</v>
      </c>
      <c r="C22">
        <v>1</v>
      </c>
      <c r="D22">
        <v>2</v>
      </c>
      <c r="E22">
        <v>-1</v>
      </c>
      <c r="F22">
        <v>-4</v>
      </c>
      <c r="G22">
        <v>-5</v>
      </c>
      <c r="H22">
        <v>-4</v>
      </c>
      <c r="I22">
        <v>0.5</v>
      </c>
      <c r="J22">
        <v>0.1</v>
      </c>
      <c r="L22">
        <v>1</v>
      </c>
      <c r="M22">
        <v>1</v>
      </c>
    </row>
    <row r="23" spans="1:14">
      <c r="A23" t="s">
        <v>7296</v>
      </c>
      <c r="B23">
        <v>-1</v>
      </c>
      <c r="C23">
        <v>1</v>
      </c>
      <c r="D23">
        <v>2</v>
      </c>
      <c r="E23">
        <v>-1</v>
      </c>
      <c r="F23">
        <v>0</v>
      </c>
      <c r="G23">
        <v>0</v>
      </c>
      <c r="H23">
        <v>-1</v>
      </c>
      <c r="I23">
        <v>0.5</v>
      </c>
      <c r="J23">
        <v>1</v>
      </c>
      <c r="K23" t="s">
        <v>7928</v>
      </c>
      <c r="L23">
        <v>5</v>
      </c>
      <c r="M23">
        <v>7</v>
      </c>
      <c r="N23" t="s">
        <v>5470</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7338</v>
      </c>
      <c r="B1" t="s">
        <v>7912</v>
      </c>
      <c r="C1" t="s">
        <v>7913</v>
      </c>
      <c r="D1" t="s">
        <v>7916</v>
      </c>
      <c r="E1" t="s">
        <v>7285</v>
      </c>
      <c r="F1" t="s">
        <v>7286</v>
      </c>
      <c r="G1" t="s">
        <v>5455</v>
      </c>
    </row>
    <row r="2" spans="1:7">
      <c r="A2" t="s">
        <v>7929</v>
      </c>
      <c r="B2">
        <v>-3</v>
      </c>
      <c r="C2">
        <v>-6</v>
      </c>
      <c r="D2">
        <v>0.3</v>
      </c>
      <c r="E2">
        <v>1</v>
      </c>
      <c r="F2">
        <v>1</v>
      </c>
    </row>
    <row r="3" spans="1:7">
      <c r="A3" t="s">
        <v>7340</v>
      </c>
      <c r="B3">
        <v>-2</v>
      </c>
      <c r="C3">
        <v>-3</v>
      </c>
      <c r="D3">
        <v>0.5</v>
      </c>
      <c r="E3">
        <v>1</v>
      </c>
      <c r="F3">
        <v>1</v>
      </c>
      <c r="G3" t="s">
        <v>5465</v>
      </c>
    </row>
    <row r="4" spans="1:7">
      <c r="A4" t="s">
        <v>7341</v>
      </c>
      <c r="B4">
        <v>-1</v>
      </c>
      <c r="C4">
        <v>-1</v>
      </c>
      <c r="D4">
        <v>0.75</v>
      </c>
      <c r="E4">
        <v>1</v>
      </c>
      <c r="F4">
        <v>1</v>
      </c>
    </row>
    <row r="5" spans="1:7">
      <c r="A5" t="s">
        <v>7243</v>
      </c>
      <c r="B5">
        <v>0</v>
      </c>
      <c r="C5">
        <v>0</v>
      </c>
      <c r="D5">
        <v>1</v>
      </c>
      <c r="E5">
        <v>1</v>
      </c>
      <c r="F5">
        <v>1</v>
      </c>
    </row>
    <row r="6" spans="1:7">
      <c r="A6" t="s">
        <v>7229</v>
      </c>
      <c r="B6">
        <v>1</v>
      </c>
      <c r="C6">
        <v>1</v>
      </c>
      <c r="D6">
        <v>2</v>
      </c>
      <c r="E6">
        <v>2</v>
      </c>
      <c r="F6">
        <v>3</v>
      </c>
    </row>
    <row r="7" spans="1:7">
      <c r="A7" t="s">
        <v>7241</v>
      </c>
      <c r="B7">
        <v>2</v>
      </c>
      <c r="C7">
        <v>2</v>
      </c>
      <c r="D7">
        <v>5</v>
      </c>
      <c r="E7">
        <v>3</v>
      </c>
      <c r="F7">
        <v>5</v>
      </c>
    </row>
    <row r="8" spans="1:7">
      <c r="A8" t="s">
        <v>7246</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7930</v>
      </c>
      <c r="B1" t="s">
        <v>7912</v>
      </c>
      <c r="C1" t="s">
        <v>7913</v>
      </c>
      <c r="D1" t="s">
        <v>7914</v>
      </c>
      <c r="E1" t="s">
        <v>7915</v>
      </c>
      <c r="F1" t="s">
        <v>7225</v>
      </c>
      <c r="G1" t="s">
        <v>7357</v>
      </c>
      <c r="H1" t="s">
        <v>7285</v>
      </c>
      <c r="I1" t="s">
        <v>7286</v>
      </c>
      <c r="J1" t="s">
        <v>5455</v>
      </c>
    </row>
    <row r="2" spans="1:10">
      <c r="A2" t="s">
        <v>7931</v>
      </c>
      <c r="B2">
        <v>0</v>
      </c>
      <c r="C2">
        <v>0</v>
      </c>
      <c r="F2">
        <v>20</v>
      </c>
      <c r="H2">
        <v>1</v>
      </c>
      <c r="I2">
        <v>1</v>
      </c>
    </row>
    <row r="3" spans="1:10">
      <c r="A3" t="s">
        <v>7918</v>
      </c>
      <c r="B3">
        <v>0</v>
      </c>
      <c r="C3">
        <v>1</v>
      </c>
      <c r="D3">
        <v>3</v>
      </c>
      <c r="E3">
        <v>1.05</v>
      </c>
      <c r="F3">
        <v>600</v>
      </c>
      <c r="G3" t="s">
        <v>7932</v>
      </c>
      <c r="H3">
        <v>4</v>
      </c>
      <c r="I3">
        <v>4</v>
      </c>
      <c r="J3" t="s">
        <v>5462</v>
      </c>
    </row>
    <row r="4" spans="1:10">
      <c r="A4" t="s">
        <v>7308</v>
      </c>
      <c r="B4">
        <v>0</v>
      </c>
      <c r="C4">
        <v>2</v>
      </c>
      <c r="D4">
        <v>1</v>
      </c>
      <c r="E4">
        <v>1.1000000000000001</v>
      </c>
      <c r="F4">
        <v>25</v>
      </c>
      <c r="H4">
        <v>1</v>
      </c>
      <c r="I4">
        <v>1</v>
      </c>
    </row>
    <row r="5" spans="1:10">
      <c r="A5" t="s">
        <v>7933</v>
      </c>
      <c r="B5">
        <v>1</v>
      </c>
      <c r="C5">
        <v>2</v>
      </c>
      <c r="D5">
        <v>4</v>
      </c>
      <c r="E5">
        <v>1.2</v>
      </c>
      <c r="F5" t="s">
        <v>7921</v>
      </c>
      <c r="G5" t="s">
        <v>7934</v>
      </c>
      <c r="H5" t="s">
        <v>3432</v>
      </c>
      <c r="I5" t="s">
        <v>3432</v>
      </c>
    </row>
    <row r="6" spans="1:10">
      <c r="A6" t="s">
        <v>7935</v>
      </c>
      <c r="B6">
        <v>2</v>
      </c>
      <c r="C6">
        <v>3</v>
      </c>
      <c r="D6">
        <v>5</v>
      </c>
      <c r="E6">
        <v>1.4</v>
      </c>
      <c r="F6">
        <v>10</v>
      </c>
      <c r="G6" t="s">
        <v>7936</v>
      </c>
      <c r="H6">
        <v>4</v>
      </c>
      <c r="I6">
        <v>4</v>
      </c>
      <c r="J6" t="s">
        <v>5470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7907</v>
      </c>
      <c r="B1" t="s">
        <v>7912</v>
      </c>
      <c r="C1" t="s">
        <v>7913</v>
      </c>
      <c r="D1" t="s">
        <v>7914</v>
      </c>
      <c r="E1" t="s">
        <v>7915</v>
      </c>
      <c r="F1" t="s">
        <v>7916</v>
      </c>
      <c r="G1" t="s">
        <v>9</v>
      </c>
    </row>
    <row r="2" spans="1:7">
      <c r="A2" t="s">
        <v>7937</v>
      </c>
      <c r="G2" t="s">
        <v>7938</v>
      </c>
    </row>
    <row r="3" spans="1:7">
      <c r="A3" t="s">
        <v>7939</v>
      </c>
      <c r="G3" t="s">
        <v>7938</v>
      </c>
    </row>
    <row r="4" spans="1:7">
      <c r="A4" t="s">
        <v>7314</v>
      </c>
      <c r="G4" t="s">
        <v>7938</v>
      </c>
    </row>
    <row r="5" spans="1:7">
      <c r="A5" t="s">
        <v>7287</v>
      </c>
      <c r="G5" t="s">
        <v>7938</v>
      </c>
    </row>
    <row r="6" spans="1:7">
      <c r="A6" t="s">
        <v>7923</v>
      </c>
      <c r="G6" t="s">
        <v>7938</v>
      </c>
    </row>
    <row r="7" spans="1:7">
      <c r="A7" t="s">
        <v>7289</v>
      </c>
      <c r="G7" t="s">
        <v>7938</v>
      </c>
    </row>
    <row r="8" spans="1:7">
      <c r="A8" t="s">
        <v>7925</v>
      </c>
      <c r="G8" t="s">
        <v>7938</v>
      </c>
    </row>
    <row r="9" spans="1:7">
      <c r="A9" t="s">
        <v>7293</v>
      </c>
      <c r="G9" t="s">
        <v>7938</v>
      </c>
    </row>
    <row r="10" spans="1:7">
      <c r="A10" t="s">
        <v>7294</v>
      </c>
      <c r="G10" t="s">
        <v>7938</v>
      </c>
    </row>
    <row r="11" spans="1:7">
      <c r="A11" t="s">
        <v>7302</v>
      </c>
      <c r="G11" t="s">
        <v>7938</v>
      </c>
    </row>
    <row r="12" spans="1:7">
      <c r="A12" t="s">
        <v>7940</v>
      </c>
      <c r="G12" t="s">
        <v>7938</v>
      </c>
    </row>
    <row r="13" spans="1:7">
      <c r="A13" t="s">
        <v>7311</v>
      </c>
      <c r="G13" t="s">
        <v>7938</v>
      </c>
    </row>
    <row r="14" spans="1:7">
      <c r="A14" t="s">
        <v>7299</v>
      </c>
      <c r="G14" t="s">
        <v>7938</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7941</v>
      </c>
      <c r="B1" t="s">
        <v>5474</v>
      </c>
      <c r="C1" t="s">
        <v>7942</v>
      </c>
      <c r="D1" t="s">
        <v>7943</v>
      </c>
      <c r="E1" t="s">
        <v>7944</v>
      </c>
      <c r="F1" t="s">
        <v>7945</v>
      </c>
      <c r="G1" t="s">
        <v>12</v>
      </c>
    </row>
    <row r="2" spans="1:7">
      <c r="A2">
        <v>1</v>
      </c>
      <c r="B2" t="s">
        <v>7946</v>
      </c>
      <c r="C2">
        <v>2</v>
      </c>
      <c r="D2">
        <v>11</v>
      </c>
      <c r="E2">
        <v>0.5</v>
      </c>
      <c r="F2">
        <v>5</v>
      </c>
      <c r="G2">
        <v>1</v>
      </c>
    </row>
    <row r="3" spans="1:7">
      <c r="A3">
        <v>2</v>
      </c>
      <c r="B3" t="s">
        <v>7946</v>
      </c>
      <c r="C3">
        <v>2</v>
      </c>
      <c r="D3">
        <v>22</v>
      </c>
      <c r="E3">
        <v>1</v>
      </c>
      <c r="F3">
        <v>10</v>
      </c>
      <c r="G3">
        <v>2</v>
      </c>
    </row>
    <row r="4" spans="1:7">
      <c r="A4">
        <v>3</v>
      </c>
      <c r="B4" t="s">
        <v>7947</v>
      </c>
      <c r="C4">
        <v>2</v>
      </c>
      <c r="D4">
        <v>44</v>
      </c>
      <c r="E4">
        <v>2</v>
      </c>
      <c r="F4">
        <v>20</v>
      </c>
      <c r="G4">
        <v>3</v>
      </c>
    </row>
    <row r="5" spans="1:7">
      <c r="A5">
        <v>4</v>
      </c>
      <c r="B5" t="s">
        <v>7948</v>
      </c>
      <c r="C5">
        <v>3</v>
      </c>
      <c r="D5">
        <v>60</v>
      </c>
      <c r="E5">
        <v>6</v>
      </c>
      <c r="F5">
        <v>25</v>
      </c>
      <c r="G5">
        <v>4</v>
      </c>
    </row>
    <row r="6" spans="1:7">
      <c r="A6">
        <v>5</v>
      </c>
      <c r="B6" t="s">
        <v>7949</v>
      </c>
      <c r="C6">
        <v>4</v>
      </c>
      <c r="D6">
        <v>90</v>
      </c>
      <c r="E6">
        <v>18</v>
      </c>
      <c r="F6">
        <v>30</v>
      </c>
      <c r="G6">
        <v>5</v>
      </c>
    </row>
    <row r="7" spans="1:7">
      <c r="A7">
        <v>6</v>
      </c>
      <c r="B7" t="s">
        <v>7950</v>
      </c>
      <c r="C7">
        <v>5</v>
      </c>
      <c r="D7">
        <v>150</v>
      </c>
      <c r="E7">
        <v>54</v>
      </c>
      <c r="F7">
        <v>35</v>
      </c>
      <c r="G7">
        <v>6</v>
      </c>
    </row>
    <row r="8" spans="1:7">
      <c r="A8">
        <v>7</v>
      </c>
      <c r="B8" t="s">
        <v>7951</v>
      </c>
      <c r="C8">
        <v>6</v>
      </c>
      <c r="D8">
        <v>600</v>
      </c>
      <c r="E8">
        <v>162</v>
      </c>
      <c r="F8">
        <v>40</v>
      </c>
      <c r="G8">
        <v>7</v>
      </c>
    </row>
    <row r="9" spans="1:7">
      <c r="A9">
        <v>8</v>
      </c>
      <c r="B9" t="s">
        <v>7952</v>
      </c>
      <c r="C9">
        <v>7</v>
      </c>
      <c r="D9">
        <v>1500</v>
      </c>
      <c r="E9">
        <v>486</v>
      </c>
      <c r="F9">
        <v>45</v>
      </c>
      <c r="G9">
        <v>8</v>
      </c>
    </row>
    <row r="10" spans="1:7">
      <c r="A10">
        <v>9</v>
      </c>
      <c r="B10" t="s">
        <v>7953</v>
      </c>
      <c r="C10">
        <v>8</v>
      </c>
      <c r="D10">
        <v>5000</v>
      </c>
      <c r="E10">
        <v>1458</v>
      </c>
      <c r="F10">
        <v>50</v>
      </c>
      <c r="G10">
        <v>9</v>
      </c>
    </row>
    <row r="11" spans="1:7">
      <c r="A11">
        <v>10</v>
      </c>
      <c r="B11" t="s">
        <v>7954</v>
      </c>
      <c r="C11">
        <v>9</v>
      </c>
      <c r="D11">
        <v>15000</v>
      </c>
      <c r="E11">
        <v>4374</v>
      </c>
      <c r="F11">
        <v>55</v>
      </c>
      <c r="G11">
        <v>10</v>
      </c>
    </row>
    <row r="12" spans="1:7">
      <c r="A12">
        <v>11</v>
      </c>
      <c r="B12" t="s">
        <v>7955</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7956</v>
      </c>
      <c r="B1" t="s">
        <v>7957</v>
      </c>
      <c r="C1" t="s">
        <v>7944</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7958</v>
      </c>
      <c r="B1" t="s">
        <v>7959</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5474</v>
      </c>
      <c r="C1" t="s">
        <v>2</v>
      </c>
      <c r="D1" t="s">
        <v>7960</v>
      </c>
      <c r="E1" t="s">
        <v>7961</v>
      </c>
      <c r="F1" t="s">
        <v>7962</v>
      </c>
      <c r="G1" t="s">
        <v>7963</v>
      </c>
      <c r="H1" t="s">
        <v>7964</v>
      </c>
      <c r="I1" t="s">
        <v>7965</v>
      </c>
      <c r="J1" t="s">
        <v>7966</v>
      </c>
      <c r="K1" t="s">
        <v>7967</v>
      </c>
      <c r="L1" t="s">
        <v>692</v>
      </c>
      <c r="M1" t="s">
        <v>7968</v>
      </c>
      <c r="N1" t="s">
        <v>7969</v>
      </c>
      <c r="O1" t="s">
        <v>7970</v>
      </c>
      <c r="P1" t="s">
        <v>7971</v>
      </c>
      <c r="Q1" t="s">
        <v>7972</v>
      </c>
    </row>
    <row r="2" spans="1:17">
      <c r="A2" t="s">
        <v>7973</v>
      </c>
      <c r="B2" t="s">
        <v>1988</v>
      </c>
      <c r="C2" t="s">
        <v>7974</v>
      </c>
      <c r="D2">
        <v>1</v>
      </c>
      <c r="E2">
        <v>10</v>
      </c>
      <c r="F2">
        <v>1</v>
      </c>
      <c r="G2" t="s">
        <v>5492</v>
      </c>
      <c r="H2">
        <v>5</v>
      </c>
      <c r="I2" t="s">
        <v>7975</v>
      </c>
      <c r="J2">
        <v>40</v>
      </c>
      <c r="K2" t="s">
        <v>7976</v>
      </c>
    </row>
    <row r="3" spans="1:17">
      <c r="A3" t="s">
        <v>7977</v>
      </c>
      <c r="B3" t="s">
        <v>2118</v>
      </c>
      <c r="C3" t="s">
        <v>7978</v>
      </c>
      <c r="D3">
        <v>1</v>
      </c>
      <c r="E3">
        <v>20</v>
      </c>
      <c r="F3">
        <v>1</v>
      </c>
      <c r="G3">
        <v>30</v>
      </c>
      <c r="H3" t="s">
        <v>5493</v>
      </c>
      <c r="J3">
        <v>40</v>
      </c>
      <c r="K3" t="s">
        <v>7979</v>
      </c>
    </row>
    <row r="4" spans="1:17">
      <c r="A4" t="s">
        <v>7980</v>
      </c>
      <c r="B4" t="s">
        <v>2114</v>
      </c>
      <c r="C4" t="s">
        <v>7981</v>
      </c>
      <c r="D4">
        <v>1</v>
      </c>
      <c r="E4">
        <v>42</v>
      </c>
      <c r="F4">
        <v>1</v>
      </c>
      <c r="G4">
        <v>60</v>
      </c>
      <c r="H4" t="s">
        <v>5493</v>
      </c>
      <c r="J4">
        <v>700</v>
      </c>
      <c r="K4" t="s">
        <v>7982</v>
      </c>
    </row>
    <row r="5" spans="1:17">
      <c r="A5" t="s">
        <v>7983</v>
      </c>
      <c r="B5" t="s">
        <v>7984</v>
      </c>
      <c r="C5" t="s">
        <v>7985</v>
      </c>
      <c r="D5">
        <v>1</v>
      </c>
      <c r="E5">
        <v>15</v>
      </c>
      <c r="F5">
        <v>1</v>
      </c>
      <c r="G5" t="s">
        <v>5492</v>
      </c>
      <c r="H5">
        <v>7</v>
      </c>
      <c r="I5" t="s">
        <v>7986</v>
      </c>
      <c r="J5">
        <v>14</v>
      </c>
      <c r="K5" t="s">
        <v>7987</v>
      </c>
    </row>
    <row r="6" spans="1:17">
      <c r="A6" t="s">
        <v>7988</v>
      </c>
      <c r="B6" t="s">
        <v>2121</v>
      </c>
      <c r="C6" t="s">
        <v>7989</v>
      </c>
      <c r="D6">
        <v>1</v>
      </c>
      <c r="E6">
        <v>28</v>
      </c>
      <c r="F6">
        <v>1</v>
      </c>
      <c r="G6" t="s">
        <v>5492</v>
      </c>
      <c r="H6">
        <v>7</v>
      </c>
      <c r="I6" t="s">
        <v>7975</v>
      </c>
    </row>
    <row r="7" spans="1:17">
      <c r="A7" t="s">
        <v>7990</v>
      </c>
      <c r="B7" t="s">
        <v>2196</v>
      </c>
      <c r="C7" t="s">
        <v>7991</v>
      </c>
      <c r="D7">
        <v>1</v>
      </c>
      <c r="E7">
        <v>15</v>
      </c>
      <c r="F7">
        <v>1</v>
      </c>
      <c r="G7" t="s">
        <v>5492</v>
      </c>
      <c r="H7">
        <v>40</v>
      </c>
      <c r="I7" t="s">
        <v>7975</v>
      </c>
      <c r="J7">
        <v>13</v>
      </c>
      <c r="K7" t="s">
        <v>7987</v>
      </c>
    </row>
    <row r="8" spans="1:17">
      <c r="A8" t="s">
        <v>7992</v>
      </c>
      <c r="B8" t="s">
        <v>2193</v>
      </c>
      <c r="C8" t="s">
        <v>7993</v>
      </c>
      <c r="D8">
        <v>1</v>
      </c>
      <c r="E8">
        <v>12</v>
      </c>
      <c r="F8">
        <v>1</v>
      </c>
      <c r="G8" t="s">
        <v>5492</v>
      </c>
      <c r="H8">
        <v>40</v>
      </c>
      <c r="I8" t="s">
        <v>7975</v>
      </c>
      <c r="J8" t="s">
        <v>7994</v>
      </c>
      <c r="K8">
        <v>13</v>
      </c>
      <c r="L8" t="s">
        <v>713</v>
      </c>
    </row>
    <row r="9" spans="1:17">
      <c r="A9" t="s">
        <v>7995</v>
      </c>
      <c r="B9" t="s">
        <v>7996</v>
      </c>
      <c r="C9" t="s">
        <v>7997</v>
      </c>
      <c r="D9">
        <v>2</v>
      </c>
      <c r="E9">
        <v>15</v>
      </c>
      <c r="F9">
        <v>2</v>
      </c>
      <c r="G9">
        <v>2</v>
      </c>
      <c r="H9">
        <v>5</v>
      </c>
      <c r="I9" t="s">
        <v>7975</v>
      </c>
    </row>
    <row r="10" spans="1:17">
      <c r="A10" t="s">
        <v>7998</v>
      </c>
      <c r="B10" t="s">
        <v>7999</v>
      </c>
      <c r="C10" t="s">
        <v>8000</v>
      </c>
      <c r="D10">
        <v>2</v>
      </c>
      <c r="E10">
        <v>18</v>
      </c>
      <c r="F10">
        <v>2</v>
      </c>
      <c r="G10" t="s">
        <v>5492</v>
      </c>
      <c r="H10">
        <v>40</v>
      </c>
      <c r="I10" t="s">
        <v>7975</v>
      </c>
      <c r="J10" t="s">
        <v>8001</v>
      </c>
      <c r="K10">
        <v>13</v>
      </c>
      <c r="L10" t="s">
        <v>709</v>
      </c>
    </row>
    <row r="11" spans="1:17">
      <c r="A11" t="s">
        <v>8002</v>
      </c>
      <c r="B11" t="s">
        <v>8003</v>
      </c>
      <c r="C11" t="s">
        <v>8004</v>
      </c>
      <c r="D11">
        <v>2</v>
      </c>
      <c r="E11">
        <v>18</v>
      </c>
      <c r="F11">
        <v>2</v>
      </c>
      <c r="G11" t="s">
        <v>5492</v>
      </c>
      <c r="H11">
        <v>40</v>
      </c>
      <c r="I11" t="s">
        <v>7975</v>
      </c>
      <c r="J11" t="s">
        <v>8001</v>
      </c>
      <c r="K11">
        <v>13</v>
      </c>
      <c r="L11" t="s">
        <v>717</v>
      </c>
    </row>
    <row r="12" spans="1:17">
      <c r="A12" t="s">
        <v>8005</v>
      </c>
      <c r="B12" t="s">
        <v>8006</v>
      </c>
      <c r="C12" t="s">
        <v>8007</v>
      </c>
      <c r="D12">
        <v>2</v>
      </c>
      <c r="E12">
        <v>18</v>
      </c>
      <c r="F12">
        <v>2</v>
      </c>
      <c r="G12" t="s">
        <v>5492</v>
      </c>
      <c r="H12">
        <v>40</v>
      </c>
      <c r="I12" t="s">
        <v>7975</v>
      </c>
      <c r="J12" t="s">
        <v>8001</v>
      </c>
      <c r="K12">
        <v>13</v>
      </c>
      <c r="L12" t="s">
        <v>721</v>
      </c>
    </row>
    <row r="13" spans="1:17">
      <c r="A13" t="s">
        <v>8008</v>
      </c>
      <c r="B13" t="s">
        <v>8009</v>
      </c>
      <c r="C13" t="s">
        <v>8010</v>
      </c>
      <c r="D13">
        <v>2</v>
      </c>
      <c r="E13">
        <v>18</v>
      </c>
      <c r="F13">
        <v>2</v>
      </c>
      <c r="G13" t="s">
        <v>5492</v>
      </c>
      <c r="H13">
        <v>40</v>
      </c>
      <c r="I13" t="s">
        <v>7975</v>
      </c>
      <c r="J13" t="s">
        <v>8001</v>
      </c>
      <c r="K13">
        <v>13</v>
      </c>
      <c r="L13" t="s">
        <v>725</v>
      </c>
    </row>
    <row r="14" spans="1:17">
      <c r="A14" t="s">
        <v>8011</v>
      </c>
      <c r="B14" t="s">
        <v>8012</v>
      </c>
      <c r="C14" t="s">
        <v>8013</v>
      </c>
      <c r="D14">
        <v>2</v>
      </c>
      <c r="E14">
        <v>18</v>
      </c>
      <c r="F14">
        <v>2</v>
      </c>
      <c r="G14" t="s">
        <v>5492</v>
      </c>
      <c r="H14">
        <v>40</v>
      </c>
      <c r="I14" t="s">
        <v>7975</v>
      </c>
      <c r="J14" t="s">
        <v>8001</v>
      </c>
      <c r="K14">
        <v>13</v>
      </c>
      <c r="L14" t="s">
        <v>5461</v>
      </c>
    </row>
    <row r="15" spans="1:17">
      <c r="A15" t="s">
        <v>8014</v>
      </c>
      <c r="B15" t="s">
        <v>2211</v>
      </c>
      <c r="C15" t="s">
        <v>8015</v>
      </c>
      <c r="D15">
        <v>2</v>
      </c>
      <c r="E15">
        <v>18</v>
      </c>
      <c r="F15">
        <v>2</v>
      </c>
      <c r="G15">
        <v>15</v>
      </c>
      <c r="H15">
        <v>120</v>
      </c>
      <c r="I15" t="s">
        <v>7975</v>
      </c>
    </row>
    <row r="16" spans="1:17">
      <c r="A16" t="s">
        <v>8016</v>
      </c>
      <c r="B16" t="s">
        <v>8017</v>
      </c>
      <c r="C16" t="s">
        <v>8018</v>
      </c>
      <c r="D16">
        <v>2</v>
      </c>
      <c r="E16">
        <v>9</v>
      </c>
      <c r="F16">
        <v>2</v>
      </c>
      <c r="G16">
        <v>5</v>
      </c>
      <c r="H16">
        <v>7</v>
      </c>
      <c r="I16" t="s">
        <v>7975</v>
      </c>
    </row>
    <row r="17" spans="1:17">
      <c r="A17" t="s">
        <v>8019</v>
      </c>
      <c r="B17" t="s">
        <v>8020</v>
      </c>
      <c r="C17" t="s">
        <v>8021</v>
      </c>
      <c r="D17">
        <v>3</v>
      </c>
      <c r="E17">
        <v>4</v>
      </c>
      <c r="F17">
        <v>3</v>
      </c>
      <c r="G17" t="s">
        <v>5492</v>
      </c>
      <c r="H17">
        <v>40</v>
      </c>
      <c r="I17" t="s">
        <v>8022</v>
      </c>
      <c r="J17" t="s">
        <v>5501</v>
      </c>
    </row>
    <row r="18" spans="1:17">
      <c r="A18" t="s">
        <v>8023</v>
      </c>
      <c r="B18" t="s">
        <v>8024</v>
      </c>
      <c r="C18" t="s">
        <v>8025</v>
      </c>
      <c r="D18">
        <v>3</v>
      </c>
      <c r="E18">
        <v>4</v>
      </c>
      <c r="F18">
        <v>3</v>
      </c>
      <c r="G18" t="s">
        <v>5492</v>
      </c>
      <c r="H18">
        <v>40</v>
      </c>
      <c r="I18" t="s">
        <v>8022</v>
      </c>
      <c r="J18" t="s">
        <v>5500</v>
      </c>
    </row>
    <row r="19" spans="1:17">
      <c r="A19" t="s">
        <v>8026</v>
      </c>
      <c r="B19" t="s">
        <v>8027</v>
      </c>
      <c r="C19" t="s">
        <v>8028</v>
      </c>
      <c r="D19">
        <v>3</v>
      </c>
      <c r="E19">
        <v>4</v>
      </c>
      <c r="F19">
        <v>3</v>
      </c>
      <c r="G19" t="s">
        <v>5492</v>
      </c>
      <c r="H19">
        <v>40</v>
      </c>
      <c r="I19" t="s">
        <v>8022</v>
      </c>
      <c r="J19" t="s">
        <v>5500</v>
      </c>
    </row>
    <row r="20" spans="1:17">
      <c r="A20" t="s">
        <v>8029</v>
      </c>
      <c r="B20" t="s">
        <v>8030</v>
      </c>
      <c r="C20" t="s">
        <v>8031</v>
      </c>
      <c r="D20">
        <v>3</v>
      </c>
      <c r="E20">
        <v>4</v>
      </c>
      <c r="F20">
        <v>3</v>
      </c>
      <c r="G20" t="s">
        <v>5492</v>
      </c>
      <c r="H20">
        <v>40</v>
      </c>
      <c r="I20" t="s">
        <v>8022</v>
      </c>
      <c r="J20" t="s">
        <v>5500</v>
      </c>
      <c r="K20" t="s">
        <v>8032</v>
      </c>
    </row>
    <row r="21" spans="1:17">
      <c r="A21" t="s">
        <v>8033</v>
      </c>
      <c r="B21" t="s">
        <v>8034</v>
      </c>
      <c r="C21" t="s">
        <v>8035</v>
      </c>
      <c r="D21">
        <v>3</v>
      </c>
      <c r="E21">
        <v>4</v>
      </c>
      <c r="F21">
        <v>3</v>
      </c>
      <c r="G21" t="s">
        <v>5492</v>
      </c>
      <c r="H21">
        <v>40</v>
      </c>
      <c r="I21" t="s">
        <v>8022</v>
      </c>
      <c r="J21" t="s">
        <v>5500</v>
      </c>
      <c r="K21" t="s">
        <v>8036</v>
      </c>
    </row>
    <row r="22" spans="1:17">
      <c r="A22" t="s">
        <v>8037</v>
      </c>
      <c r="B22" t="s">
        <v>8038</v>
      </c>
      <c r="C22" t="s">
        <v>8039</v>
      </c>
      <c r="D22">
        <v>3</v>
      </c>
      <c r="E22">
        <v>26</v>
      </c>
      <c r="F22">
        <v>3</v>
      </c>
      <c r="G22" t="s">
        <v>5492</v>
      </c>
      <c r="H22">
        <v>40</v>
      </c>
      <c r="I22" t="s">
        <v>7975</v>
      </c>
      <c r="J22" t="s">
        <v>5501</v>
      </c>
      <c r="M22" t="s">
        <v>8040</v>
      </c>
      <c r="N22">
        <v>1</v>
      </c>
      <c r="P22" t="s">
        <v>8040</v>
      </c>
      <c r="Q22" t="s">
        <v>8041</v>
      </c>
    </row>
    <row r="23" spans="1:17">
      <c r="A23" t="s">
        <v>8042</v>
      </c>
      <c r="B23" t="s">
        <v>8043</v>
      </c>
      <c r="C23" t="s">
        <v>8044</v>
      </c>
      <c r="D23">
        <v>3</v>
      </c>
      <c r="E23">
        <v>26</v>
      </c>
      <c r="F23">
        <v>3</v>
      </c>
      <c r="G23" t="s">
        <v>5492</v>
      </c>
      <c r="H23">
        <v>40</v>
      </c>
      <c r="I23" t="s">
        <v>7975</v>
      </c>
      <c r="J23" t="s">
        <v>5500</v>
      </c>
      <c r="M23" t="s">
        <v>8045</v>
      </c>
      <c r="N23">
        <v>0</v>
      </c>
      <c r="P23" t="s">
        <v>8045</v>
      </c>
      <c r="Q23" t="s">
        <v>8045</v>
      </c>
    </row>
    <row r="24" spans="1:17">
      <c r="A24" t="s">
        <v>8046</v>
      </c>
      <c r="B24" t="s">
        <v>8047</v>
      </c>
      <c r="C24" t="s">
        <v>8048</v>
      </c>
      <c r="D24">
        <v>3</v>
      </c>
      <c r="E24">
        <v>26</v>
      </c>
      <c r="F24">
        <v>3</v>
      </c>
      <c r="G24" t="s">
        <v>5492</v>
      </c>
      <c r="H24">
        <v>40</v>
      </c>
      <c r="I24" t="s">
        <v>7975</v>
      </c>
      <c r="J24" t="s">
        <v>5500</v>
      </c>
      <c r="M24" t="s">
        <v>8049</v>
      </c>
      <c r="N24">
        <v>0</v>
      </c>
      <c r="P24" t="s">
        <v>8049</v>
      </c>
      <c r="Q24" t="s">
        <v>8049</v>
      </c>
    </row>
    <row r="25" spans="1:17">
      <c r="A25" t="s">
        <v>8050</v>
      </c>
      <c r="B25" t="s">
        <v>8051</v>
      </c>
      <c r="C25" t="s">
        <v>8052</v>
      </c>
      <c r="D25">
        <v>3</v>
      </c>
      <c r="E25">
        <v>26</v>
      </c>
      <c r="F25">
        <v>3</v>
      </c>
      <c r="G25" t="s">
        <v>5492</v>
      </c>
      <c r="H25">
        <v>40</v>
      </c>
      <c r="I25" t="s">
        <v>7975</v>
      </c>
      <c r="J25" t="s">
        <v>5500</v>
      </c>
      <c r="K25" t="s">
        <v>8032</v>
      </c>
      <c r="M25" t="s">
        <v>8053</v>
      </c>
      <c r="N25">
        <v>0</v>
      </c>
      <c r="O25" t="s">
        <v>7350</v>
      </c>
      <c r="P25" t="s">
        <v>8054</v>
      </c>
      <c r="Q25" t="s">
        <v>8053</v>
      </c>
    </row>
    <row r="26" spans="1:17">
      <c r="A26" t="s">
        <v>8055</v>
      </c>
      <c r="B26" t="s">
        <v>8056</v>
      </c>
      <c r="C26" t="s">
        <v>8057</v>
      </c>
      <c r="D26">
        <v>3</v>
      </c>
      <c r="E26">
        <v>26</v>
      </c>
      <c r="F26">
        <v>3</v>
      </c>
      <c r="G26" t="s">
        <v>5492</v>
      </c>
      <c r="H26">
        <v>40</v>
      </c>
      <c r="I26" t="s">
        <v>7975</v>
      </c>
      <c r="J26" t="s">
        <v>5500</v>
      </c>
      <c r="K26" t="s">
        <v>8036</v>
      </c>
      <c r="M26" t="s">
        <v>8058</v>
      </c>
      <c r="N26">
        <v>0</v>
      </c>
      <c r="O26" t="s">
        <v>359</v>
      </c>
      <c r="P26" t="s">
        <v>8058</v>
      </c>
      <c r="Q26" t="s">
        <v>8058</v>
      </c>
    </row>
    <row r="27" spans="1:17">
      <c r="A27" t="s">
        <v>8059</v>
      </c>
      <c r="B27" t="s">
        <v>2145</v>
      </c>
      <c r="C27" t="s">
        <v>8060</v>
      </c>
      <c r="D27">
        <v>3</v>
      </c>
      <c r="E27">
        <v>80</v>
      </c>
      <c r="F27">
        <v>3</v>
      </c>
      <c r="G27" t="s">
        <v>5492</v>
      </c>
      <c r="H27">
        <v>40</v>
      </c>
      <c r="I27" t="s">
        <v>7975</v>
      </c>
      <c r="J27">
        <v>8</v>
      </c>
      <c r="K27" t="s">
        <v>8061</v>
      </c>
    </row>
    <row r="28" spans="1:17">
      <c r="A28" t="s">
        <v>8062</v>
      </c>
      <c r="B28" t="s">
        <v>8063</v>
      </c>
      <c r="C28" t="s">
        <v>8064</v>
      </c>
      <c r="D28">
        <v>3</v>
      </c>
      <c r="E28">
        <v>18</v>
      </c>
      <c r="F28">
        <v>3</v>
      </c>
      <c r="G28" t="s">
        <v>5492</v>
      </c>
      <c r="H28">
        <v>40</v>
      </c>
      <c r="I28" t="s">
        <v>7975</v>
      </c>
      <c r="J28" t="s">
        <v>8065</v>
      </c>
      <c r="K28">
        <v>13</v>
      </c>
      <c r="L28" t="s">
        <v>693</v>
      </c>
    </row>
    <row r="29" spans="1:17">
      <c r="A29" t="s">
        <v>8066</v>
      </c>
      <c r="B29" t="s">
        <v>8067</v>
      </c>
      <c r="C29" t="s">
        <v>8068</v>
      </c>
      <c r="D29">
        <v>3</v>
      </c>
      <c r="E29">
        <v>18</v>
      </c>
      <c r="F29">
        <v>3</v>
      </c>
      <c r="G29" t="s">
        <v>5492</v>
      </c>
      <c r="H29">
        <v>40</v>
      </c>
      <c r="I29" t="s">
        <v>7975</v>
      </c>
      <c r="J29" t="s">
        <v>8065</v>
      </c>
      <c r="K29">
        <v>13</v>
      </c>
      <c r="L29" t="s">
        <v>698</v>
      </c>
    </row>
    <row r="30" spans="1:17">
      <c r="A30" t="s">
        <v>8069</v>
      </c>
      <c r="B30" t="s">
        <v>8070</v>
      </c>
      <c r="C30" t="s">
        <v>8071</v>
      </c>
      <c r="D30">
        <v>3</v>
      </c>
      <c r="E30">
        <v>18</v>
      </c>
      <c r="F30">
        <v>3</v>
      </c>
      <c r="G30" t="s">
        <v>5492</v>
      </c>
      <c r="H30">
        <v>40</v>
      </c>
      <c r="I30" t="s">
        <v>7975</v>
      </c>
      <c r="J30" t="s">
        <v>8065</v>
      </c>
      <c r="K30">
        <v>13</v>
      </c>
      <c r="L30" t="s">
        <v>5460</v>
      </c>
    </row>
    <row r="31" spans="1:17">
      <c r="A31" t="s">
        <v>8072</v>
      </c>
      <c r="B31" t="s">
        <v>8073</v>
      </c>
      <c r="C31" t="s">
        <v>8074</v>
      </c>
      <c r="D31">
        <v>3</v>
      </c>
      <c r="E31">
        <v>18</v>
      </c>
      <c r="F31">
        <v>3</v>
      </c>
      <c r="G31" t="s">
        <v>5492</v>
      </c>
      <c r="H31">
        <v>40</v>
      </c>
      <c r="I31" t="s">
        <v>7975</v>
      </c>
      <c r="J31" t="s">
        <v>8065</v>
      </c>
      <c r="K31">
        <v>13</v>
      </c>
      <c r="L31" t="s">
        <v>705</v>
      </c>
    </row>
    <row r="32" spans="1:17">
      <c r="A32" t="s">
        <v>8075</v>
      </c>
      <c r="B32" t="s">
        <v>2237</v>
      </c>
      <c r="C32" t="s">
        <v>8076</v>
      </c>
      <c r="D32">
        <v>3</v>
      </c>
      <c r="E32">
        <v>92</v>
      </c>
      <c r="F32">
        <v>3</v>
      </c>
      <c r="G32" t="s">
        <v>5492</v>
      </c>
      <c r="H32">
        <v>20</v>
      </c>
      <c r="I32" t="s">
        <v>7975</v>
      </c>
      <c r="J32" t="s">
        <v>8077</v>
      </c>
      <c r="K32">
        <v>20</v>
      </c>
    </row>
    <row r="33" spans="1:11">
      <c r="A33" t="s">
        <v>8078</v>
      </c>
      <c r="B33" t="s">
        <v>2139</v>
      </c>
      <c r="C33" t="s">
        <v>8079</v>
      </c>
      <c r="D33">
        <v>3</v>
      </c>
      <c r="E33">
        <v>1800</v>
      </c>
      <c r="F33">
        <v>3</v>
      </c>
      <c r="G33">
        <v>180</v>
      </c>
      <c r="H33">
        <v>40</v>
      </c>
      <c r="I33" t="s">
        <v>7986</v>
      </c>
      <c r="J33">
        <v>400</v>
      </c>
      <c r="K33">
        <v>7</v>
      </c>
    </row>
    <row r="34" spans="1:11">
      <c r="A34" t="s">
        <v>8080</v>
      </c>
      <c r="B34" t="s">
        <v>8081</v>
      </c>
      <c r="C34" t="s">
        <v>2259</v>
      </c>
      <c r="D34">
        <v>4</v>
      </c>
      <c r="E34">
        <v>130</v>
      </c>
      <c r="F34">
        <v>4</v>
      </c>
      <c r="G34" t="s">
        <v>5492</v>
      </c>
      <c r="H34">
        <v>20</v>
      </c>
      <c r="I34" t="s">
        <v>8022</v>
      </c>
    </row>
    <row r="35" spans="1:11">
      <c r="A35" t="s">
        <v>8082</v>
      </c>
      <c r="B35" t="s">
        <v>2255</v>
      </c>
      <c r="C35" t="s">
        <v>8083</v>
      </c>
      <c r="D35">
        <v>4</v>
      </c>
      <c r="E35">
        <v>1400</v>
      </c>
      <c r="F35">
        <v>4</v>
      </c>
      <c r="G35">
        <v>60</v>
      </c>
      <c r="H35">
        <v>40</v>
      </c>
      <c r="I35" t="s">
        <v>7975</v>
      </c>
    </row>
    <row r="36" spans="1:11">
      <c r="A36" t="s">
        <v>8084</v>
      </c>
      <c r="B36" t="s">
        <v>2264</v>
      </c>
      <c r="C36" t="s">
        <v>8085</v>
      </c>
      <c r="D36">
        <v>5</v>
      </c>
      <c r="E36">
        <v>88</v>
      </c>
      <c r="F36">
        <v>5</v>
      </c>
      <c r="G36" t="s">
        <v>5492</v>
      </c>
      <c r="H36">
        <v>40</v>
      </c>
      <c r="I36" t="s">
        <v>7975</v>
      </c>
      <c r="J36">
        <v>20</v>
      </c>
      <c r="K36" t="s">
        <v>509</v>
      </c>
    </row>
    <row r="37" spans="1:11">
      <c r="A37" t="s">
        <v>8086</v>
      </c>
      <c r="B37" t="s">
        <v>2036</v>
      </c>
      <c r="C37" t="s">
        <v>8087</v>
      </c>
      <c r="D37">
        <v>5</v>
      </c>
      <c r="E37">
        <v>336</v>
      </c>
      <c r="F37">
        <v>5</v>
      </c>
      <c r="G37">
        <v>3</v>
      </c>
      <c r="H37">
        <v>20</v>
      </c>
      <c r="I37" t="s">
        <v>7975</v>
      </c>
      <c r="J37">
        <v>21</v>
      </c>
      <c r="K37" t="s">
        <v>702</v>
      </c>
    </row>
    <row r="38" spans="1:11">
      <c r="A38" t="s">
        <v>8088</v>
      </c>
      <c r="B38" t="s">
        <v>2285</v>
      </c>
      <c r="C38" t="s">
        <v>8089</v>
      </c>
      <c r="D38">
        <v>5</v>
      </c>
      <c r="E38">
        <v>22</v>
      </c>
      <c r="F38">
        <v>5</v>
      </c>
      <c r="G38">
        <v>1</v>
      </c>
      <c r="H38">
        <v>1</v>
      </c>
      <c r="I38" t="s">
        <v>8022</v>
      </c>
      <c r="J38">
        <v>200</v>
      </c>
      <c r="K38" t="s">
        <v>8090</v>
      </c>
    </row>
    <row r="39" spans="1:11">
      <c r="A39" t="s">
        <v>8091</v>
      </c>
      <c r="B39" t="s">
        <v>2282</v>
      </c>
      <c r="C39" t="s">
        <v>8092</v>
      </c>
      <c r="D39">
        <v>5</v>
      </c>
      <c r="E39">
        <v>960</v>
      </c>
      <c r="F39">
        <v>5</v>
      </c>
      <c r="G39">
        <v>180</v>
      </c>
      <c r="H39">
        <v>240</v>
      </c>
      <c r="I39" t="s">
        <v>7975</v>
      </c>
    </row>
    <row r="40" spans="1:11">
      <c r="A40" t="s">
        <v>8093</v>
      </c>
      <c r="B40" t="s">
        <v>2294</v>
      </c>
      <c r="C40" t="s">
        <v>8094</v>
      </c>
      <c r="D40">
        <v>6</v>
      </c>
      <c r="E40">
        <v>600</v>
      </c>
      <c r="F40">
        <v>6</v>
      </c>
      <c r="G40">
        <v>180</v>
      </c>
      <c r="H40">
        <v>200</v>
      </c>
      <c r="I40" t="s">
        <v>7975</v>
      </c>
    </row>
    <row r="41" spans="1:11">
      <c r="A41" t="s">
        <v>8095</v>
      </c>
      <c r="B41" t="s">
        <v>2045</v>
      </c>
      <c r="C41" t="s">
        <v>8096</v>
      </c>
      <c r="D41">
        <v>6</v>
      </c>
      <c r="E41">
        <v>258</v>
      </c>
      <c r="F41">
        <v>6</v>
      </c>
      <c r="G41" t="s">
        <v>5492</v>
      </c>
      <c r="H41">
        <v>40</v>
      </c>
      <c r="I41" t="s">
        <v>7975</v>
      </c>
      <c r="J41">
        <v>21</v>
      </c>
      <c r="K41">
        <v>14</v>
      </c>
    </row>
    <row r="42" spans="1:11">
      <c r="A42" t="s">
        <v>8097</v>
      </c>
      <c r="B42" t="s">
        <v>2048</v>
      </c>
      <c r="C42" t="s">
        <v>8098</v>
      </c>
      <c r="D42">
        <v>6</v>
      </c>
      <c r="E42">
        <v>320</v>
      </c>
      <c r="F42">
        <v>6</v>
      </c>
      <c r="G42" t="s">
        <v>5492</v>
      </c>
      <c r="H42">
        <v>20</v>
      </c>
      <c r="I42" t="s">
        <v>7975</v>
      </c>
    </row>
    <row r="43" spans="1:11">
      <c r="A43" t="s">
        <v>8099</v>
      </c>
      <c r="B43" t="s">
        <v>2312</v>
      </c>
      <c r="C43" t="s">
        <v>8100</v>
      </c>
      <c r="D43">
        <v>7</v>
      </c>
      <c r="E43">
        <v>800</v>
      </c>
      <c r="F43">
        <v>7</v>
      </c>
      <c r="G43">
        <v>180</v>
      </c>
      <c r="H43">
        <v>200</v>
      </c>
      <c r="I43" t="s">
        <v>7975</v>
      </c>
      <c r="J43">
        <v>35</v>
      </c>
      <c r="K43" t="s">
        <v>8101</v>
      </c>
    </row>
    <row r="44" spans="1:11">
      <c r="A44" t="s">
        <v>8102</v>
      </c>
      <c r="B44" t="s">
        <v>1579</v>
      </c>
      <c r="C44" t="s">
        <v>8103</v>
      </c>
      <c r="D44">
        <v>1</v>
      </c>
      <c r="E44">
        <v>17</v>
      </c>
      <c r="F44">
        <v>1</v>
      </c>
      <c r="G44">
        <v>21</v>
      </c>
      <c r="H44" t="s">
        <v>5493</v>
      </c>
      <c r="J44">
        <v>7</v>
      </c>
      <c r="K44">
        <v>35</v>
      </c>
    </row>
    <row r="45" spans="1:11">
      <c r="A45" t="s">
        <v>8104</v>
      </c>
      <c r="B45" t="s">
        <v>8105</v>
      </c>
      <c r="C45" t="s">
        <v>8106</v>
      </c>
      <c r="D45">
        <v>1</v>
      </c>
      <c r="E45">
        <v>120</v>
      </c>
      <c r="F45">
        <v>1</v>
      </c>
      <c r="G45" t="s">
        <v>5492</v>
      </c>
      <c r="H45">
        <v>120</v>
      </c>
      <c r="I45" t="s">
        <v>7975</v>
      </c>
    </row>
    <row r="46" spans="1:11">
      <c r="A46" t="s">
        <v>8107</v>
      </c>
      <c r="B46" t="s">
        <v>8108</v>
      </c>
      <c r="C46" t="s">
        <v>1960</v>
      </c>
      <c r="D46">
        <v>2</v>
      </c>
      <c r="E46">
        <v>40</v>
      </c>
      <c r="F46">
        <v>2</v>
      </c>
      <c r="G46" t="s">
        <v>5492</v>
      </c>
      <c r="H46">
        <v>20</v>
      </c>
      <c r="I46" t="s">
        <v>7975</v>
      </c>
    </row>
    <row r="47" spans="1:11">
      <c r="A47" t="s">
        <v>8109</v>
      </c>
      <c r="B47" t="s">
        <v>1595</v>
      </c>
      <c r="C47" t="s">
        <v>8110</v>
      </c>
      <c r="D47">
        <v>2</v>
      </c>
      <c r="E47">
        <v>6</v>
      </c>
      <c r="F47">
        <v>2</v>
      </c>
      <c r="G47" t="s">
        <v>5492</v>
      </c>
      <c r="H47">
        <v>2</v>
      </c>
      <c r="I47" t="s">
        <v>8022</v>
      </c>
      <c r="J47" t="s">
        <v>10</v>
      </c>
      <c r="K47">
        <v>7</v>
      </c>
    </row>
    <row r="48" spans="1:11">
      <c r="A48" t="s">
        <v>8111</v>
      </c>
      <c r="B48" t="s">
        <v>8112</v>
      </c>
      <c r="C48" t="s">
        <v>8112</v>
      </c>
      <c r="D48">
        <v>3</v>
      </c>
      <c r="E48">
        <v>160</v>
      </c>
      <c r="F48">
        <v>3</v>
      </c>
      <c r="G48" t="s">
        <v>5492</v>
      </c>
      <c r="H48">
        <v>80</v>
      </c>
      <c r="I48" t="s">
        <v>7975</v>
      </c>
    </row>
    <row r="49" spans="1:12">
      <c r="A49" t="s">
        <v>8113</v>
      </c>
      <c r="B49" t="s">
        <v>1601</v>
      </c>
      <c r="C49" t="s">
        <v>8114</v>
      </c>
      <c r="D49">
        <v>3</v>
      </c>
      <c r="E49">
        <v>40</v>
      </c>
      <c r="F49">
        <v>3</v>
      </c>
      <c r="G49" t="s">
        <v>5492</v>
      </c>
      <c r="H49">
        <v>40</v>
      </c>
      <c r="I49" t="s">
        <v>7975</v>
      </c>
      <c r="J49">
        <v>20</v>
      </c>
      <c r="K49">
        <v>40</v>
      </c>
    </row>
    <row r="50" spans="1:12">
      <c r="A50" t="s">
        <v>8115</v>
      </c>
      <c r="B50" t="s">
        <v>1638</v>
      </c>
      <c r="C50" t="s">
        <v>8116</v>
      </c>
      <c r="D50">
        <v>5</v>
      </c>
      <c r="E50">
        <v>72</v>
      </c>
      <c r="F50">
        <v>5</v>
      </c>
      <c r="G50" t="s">
        <v>5492</v>
      </c>
      <c r="H50">
        <v>40</v>
      </c>
      <c r="I50" t="s">
        <v>7975</v>
      </c>
    </row>
    <row r="51" spans="1:12">
      <c r="A51" t="s">
        <v>8117</v>
      </c>
      <c r="B51" t="s">
        <v>1978</v>
      </c>
      <c r="C51" t="s">
        <v>8118</v>
      </c>
      <c r="D51">
        <v>6</v>
      </c>
      <c r="E51">
        <v>400</v>
      </c>
      <c r="F51">
        <v>6</v>
      </c>
      <c r="G51" t="s">
        <v>5492</v>
      </c>
      <c r="H51">
        <v>40</v>
      </c>
      <c r="I51" t="s">
        <v>8022</v>
      </c>
      <c r="J51" t="s">
        <v>8119</v>
      </c>
      <c r="K51">
        <v>7</v>
      </c>
    </row>
    <row r="52" spans="1:12">
      <c r="A52" t="s">
        <v>8120</v>
      </c>
      <c r="B52" t="s">
        <v>8121</v>
      </c>
      <c r="C52" t="s">
        <v>8122</v>
      </c>
      <c r="D52">
        <v>4</v>
      </c>
      <c r="E52">
        <v>24</v>
      </c>
      <c r="F52">
        <v>4</v>
      </c>
      <c r="G52" t="s">
        <v>5492</v>
      </c>
      <c r="H52">
        <v>24</v>
      </c>
      <c r="I52" t="s">
        <v>7986</v>
      </c>
      <c r="J52" t="s">
        <v>8123</v>
      </c>
      <c r="L52" t="s">
        <v>660</v>
      </c>
    </row>
    <row r="53" spans="1:12">
      <c r="A53" t="s">
        <v>8124</v>
      </c>
      <c r="B53" t="s">
        <v>8125</v>
      </c>
      <c r="C53" t="s">
        <v>8126</v>
      </c>
      <c r="D53">
        <v>4</v>
      </c>
      <c r="E53">
        <v>24</v>
      </c>
      <c r="F53">
        <v>4</v>
      </c>
      <c r="G53" t="s">
        <v>5492</v>
      </c>
      <c r="H53">
        <v>24</v>
      </c>
      <c r="I53" t="s">
        <v>7986</v>
      </c>
      <c r="J53" t="s">
        <v>8123</v>
      </c>
      <c r="L53" t="s">
        <v>8127</v>
      </c>
    </row>
    <row r="54" spans="1:12">
      <c r="A54" t="s">
        <v>8128</v>
      </c>
      <c r="B54" t="s">
        <v>8129</v>
      </c>
      <c r="C54" t="s">
        <v>8130</v>
      </c>
      <c r="D54">
        <v>4</v>
      </c>
      <c r="E54">
        <v>24</v>
      </c>
      <c r="F54">
        <v>4</v>
      </c>
      <c r="G54" t="s">
        <v>5492</v>
      </c>
      <c r="H54">
        <v>24</v>
      </c>
      <c r="I54" t="s">
        <v>7986</v>
      </c>
      <c r="J54" t="s">
        <v>8123</v>
      </c>
      <c r="L54" t="s">
        <v>670</v>
      </c>
    </row>
    <row r="55" spans="1:12">
      <c r="A55" t="s">
        <v>8131</v>
      </c>
      <c r="B55" t="s">
        <v>8132</v>
      </c>
      <c r="C55" t="s">
        <v>8133</v>
      </c>
      <c r="D55">
        <v>4</v>
      </c>
      <c r="E55">
        <v>24</v>
      </c>
      <c r="F55">
        <v>4</v>
      </c>
      <c r="G55" t="s">
        <v>5492</v>
      </c>
      <c r="H55">
        <v>24</v>
      </c>
      <c r="I55" t="s">
        <v>7986</v>
      </c>
      <c r="J55" t="s">
        <v>8123</v>
      </c>
      <c r="L55" t="s">
        <v>674</v>
      </c>
    </row>
    <row r="56" spans="1:12">
      <c r="A56" t="s">
        <v>8134</v>
      </c>
      <c r="B56" t="s">
        <v>8135</v>
      </c>
      <c r="C56" t="s">
        <v>8136</v>
      </c>
      <c r="D56">
        <v>4</v>
      </c>
      <c r="E56">
        <v>24</v>
      </c>
      <c r="F56">
        <v>4</v>
      </c>
      <c r="G56" t="s">
        <v>5492</v>
      </c>
      <c r="H56">
        <v>24</v>
      </c>
      <c r="I56" t="s">
        <v>7986</v>
      </c>
      <c r="J56" t="s">
        <v>8123</v>
      </c>
      <c r="L56" t="s">
        <v>678</v>
      </c>
    </row>
    <row r="57" spans="1:12">
      <c r="A57" t="s">
        <v>8137</v>
      </c>
      <c r="B57" t="s">
        <v>8138</v>
      </c>
      <c r="C57" t="s">
        <v>8139</v>
      </c>
      <c r="D57">
        <v>4</v>
      </c>
      <c r="E57">
        <v>24</v>
      </c>
      <c r="F57">
        <v>4</v>
      </c>
      <c r="G57" t="s">
        <v>5492</v>
      </c>
      <c r="H57">
        <v>24</v>
      </c>
      <c r="I57" t="s">
        <v>7986</v>
      </c>
      <c r="J57" t="s">
        <v>8123</v>
      </c>
      <c r="L57" t="s">
        <v>682</v>
      </c>
    </row>
    <row r="58" spans="1:12">
      <c r="A58" t="s">
        <v>8140</v>
      </c>
      <c r="B58" t="s">
        <v>8141</v>
      </c>
      <c r="C58" t="s">
        <v>8142</v>
      </c>
      <c r="D58">
        <v>4</v>
      </c>
      <c r="E58">
        <v>24</v>
      </c>
      <c r="F58">
        <v>4</v>
      </c>
      <c r="G58" t="s">
        <v>5492</v>
      </c>
      <c r="H58">
        <v>24</v>
      </c>
      <c r="I58" t="s">
        <v>7986</v>
      </c>
      <c r="J58" t="s">
        <v>8123</v>
      </c>
      <c r="L58" t="s">
        <v>686</v>
      </c>
    </row>
    <row r="59" spans="1:12">
      <c r="A59" t="s">
        <v>8143</v>
      </c>
      <c r="B59" t="s">
        <v>8144</v>
      </c>
      <c r="C59" t="s">
        <v>8145</v>
      </c>
      <c r="D59">
        <v>4</v>
      </c>
      <c r="E59">
        <v>24</v>
      </c>
      <c r="F59">
        <v>4</v>
      </c>
      <c r="G59" t="s">
        <v>5492</v>
      </c>
      <c r="H59">
        <v>24</v>
      </c>
      <c r="I59" t="s">
        <v>7986</v>
      </c>
      <c r="J59" t="s">
        <v>8065</v>
      </c>
      <c r="L59" t="s">
        <v>709</v>
      </c>
    </row>
    <row r="60" spans="1:12">
      <c r="A60" t="s">
        <v>8146</v>
      </c>
      <c r="B60" t="s">
        <v>8147</v>
      </c>
      <c r="C60" t="s">
        <v>8148</v>
      </c>
      <c r="D60">
        <v>4</v>
      </c>
      <c r="E60">
        <v>24</v>
      </c>
      <c r="F60">
        <v>4</v>
      </c>
      <c r="G60" t="s">
        <v>5492</v>
      </c>
      <c r="H60">
        <v>24</v>
      </c>
      <c r="I60" t="s">
        <v>7986</v>
      </c>
      <c r="J60" t="s">
        <v>8065</v>
      </c>
      <c r="L60" t="s">
        <v>713</v>
      </c>
    </row>
    <row r="61" spans="1:12">
      <c r="A61" t="s">
        <v>8149</v>
      </c>
      <c r="B61" t="s">
        <v>8150</v>
      </c>
      <c r="C61" t="s">
        <v>8151</v>
      </c>
      <c r="D61">
        <v>4</v>
      </c>
      <c r="E61">
        <v>24</v>
      </c>
      <c r="F61">
        <v>4</v>
      </c>
      <c r="G61" t="s">
        <v>5492</v>
      </c>
      <c r="H61">
        <v>24</v>
      </c>
      <c r="I61" t="s">
        <v>7986</v>
      </c>
      <c r="J61" t="s">
        <v>8065</v>
      </c>
      <c r="L61" t="s">
        <v>717</v>
      </c>
    </row>
    <row r="62" spans="1:12">
      <c r="A62" t="s">
        <v>8152</v>
      </c>
      <c r="B62" t="s">
        <v>8153</v>
      </c>
      <c r="C62" t="s">
        <v>8154</v>
      </c>
      <c r="D62">
        <v>4</v>
      </c>
      <c r="E62">
        <v>24</v>
      </c>
      <c r="F62">
        <v>4</v>
      </c>
      <c r="G62" t="s">
        <v>5492</v>
      </c>
      <c r="H62">
        <v>24</v>
      </c>
      <c r="I62" t="s">
        <v>7986</v>
      </c>
      <c r="J62" t="s">
        <v>8065</v>
      </c>
      <c r="L62" t="s">
        <v>693</v>
      </c>
    </row>
    <row r="63" spans="1:12">
      <c r="A63" t="s">
        <v>8155</v>
      </c>
      <c r="B63" t="s">
        <v>8156</v>
      </c>
      <c r="C63" t="s">
        <v>8157</v>
      </c>
      <c r="D63">
        <v>4</v>
      </c>
      <c r="E63">
        <v>24</v>
      </c>
      <c r="F63">
        <v>4</v>
      </c>
      <c r="G63" t="s">
        <v>5492</v>
      </c>
      <c r="H63">
        <v>24</v>
      </c>
      <c r="I63" t="s">
        <v>7986</v>
      </c>
      <c r="J63" t="s">
        <v>8065</v>
      </c>
      <c r="L63" t="s">
        <v>721</v>
      </c>
    </row>
    <row r="64" spans="1:12">
      <c r="A64" t="s">
        <v>8158</v>
      </c>
      <c r="B64" t="s">
        <v>8159</v>
      </c>
      <c r="C64" t="s">
        <v>8160</v>
      </c>
      <c r="D64">
        <v>4</v>
      </c>
      <c r="E64">
        <v>24</v>
      </c>
      <c r="F64">
        <v>4</v>
      </c>
      <c r="G64" t="s">
        <v>5492</v>
      </c>
      <c r="H64">
        <v>24</v>
      </c>
      <c r="I64" t="s">
        <v>7986</v>
      </c>
      <c r="J64" t="s">
        <v>8065</v>
      </c>
      <c r="L64" t="s">
        <v>698</v>
      </c>
    </row>
    <row r="65" spans="1:12">
      <c r="A65" t="s">
        <v>8161</v>
      </c>
      <c r="B65" t="s">
        <v>8162</v>
      </c>
      <c r="C65" t="s">
        <v>8163</v>
      </c>
      <c r="D65">
        <v>4</v>
      </c>
      <c r="E65">
        <v>24</v>
      </c>
      <c r="F65">
        <v>4</v>
      </c>
      <c r="G65" t="s">
        <v>5492</v>
      </c>
      <c r="H65">
        <v>24</v>
      </c>
      <c r="I65" t="s">
        <v>7986</v>
      </c>
      <c r="J65" t="s">
        <v>8065</v>
      </c>
      <c r="L65" t="s">
        <v>725</v>
      </c>
    </row>
    <row r="66" spans="1:12">
      <c r="A66" t="s">
        <v>8164</v>
      </c>
      <c r="B66" t="s">
        <v>8165</v>
      </c>
      <c r="C66" t="s">
        <v>8166</v>
      </c>
      <c r="D66">
        <v>4</v>
      </c>
      <c r="E66">
        <v>24</v>
      </c>
      <c r="F66">
        <v>4</v>
      </c>
      <c r="G66" t="s">
        <v>5492</v>
      </c>
      <c r="H66">
        <v>24</v>
      </c>
      <c r="I66" t="s">
        <v>7986</v>
      </c>
      <c r="J66" t="s">
        <v>8065</v>
      </c>
      <c r="L66" t="s">
        <v>5460</v>
      </c>
    </row>
    <row r="67" spans="1:12">
      <c r="A67" t="s">
        <v>8167</v>
      </c>
      <c r="B67" t="s">
        <v>8168</v>
      </c>
      <c r="C67" t="s">
        <v>8169</v>
      </c>
      <c r="D67">
        <v>4</v>
      </c>
      <c r="E67">
        <v>24</v>
      </c>
      <c r="F67">
        <v>4</v>
      </c>
      <c r="G67" t="s">
        <v>5492</v>
      </c>
      <c r="H67">
        <v>24</v>
      </c>
      <c r="I67" t="s">
        <v>7986</v>
      </c>
      <c r="J67" t="s">
        <v>8065</v>
      </c>
      <c r="L67" t="s">
        <v>5461</v>
      </c>
    </row>
    <row r="68" spans="1:12">
      <c r="A68" t="s">
        <v>8170</v>
      </c>
      <c r="B68" t="s">
        <v>8171</v>
      </c>
      <c r="C68" t="s">
        <v>8172</v>
      </c>
      <c r="D68">
        <v>4</v>
      </c>
      <c r="E68">
        <v>24</v>
      </c>
      <c r="F68">
        <v>4</v>
      </c>
      <c r="G68" t="s">
        <v>5492</v>
      </c>
      <c r="H68">
        <v>24</v>
      </c>
      <c r="I68" t="s">
        <v>7986</v>
      </c>
      <c r="J68" t="s">
        <v>8065</v>
      </c>
      <c r="L68" t="s">
        <v>705</v>
      </c>
    </row>
    <row r="69" spans="1:12">
      <c r="A69" t="s">
        <v>8173</v>
      </c>
      <c r="B69" t="s">
        <v>8174</v>
      </c>
      <c r="C69" t="s">
        <v>8175</v>
      </c>
      <c r="D69">
        <v>4</v>
      </c>
      <c r="E69">
        <v>20</v>
      </c>
      <c r="F69">
        <v>7</v>
      </c>
      <c r="G69" t="s">
        <v>5492</v>
      </c>
      <c r="H69">
        <v>20</v>
      </c>
      <c r="I69" t="s">
        <v>8022</v>
      </c>
      <c r="J69">
        <v>4</v>
      </c>
      <c r="K69" t="s">
        <v>8176</v>
      </c>
    </row>
    <row r="70" spans="1:12">
      <c r="A70" t="s">
        <v>8177</v>
      </c>
      <c r="B70" t="s">
        <v>1994</v>
      </c>
      <c r="C70" t="s">
        <v>8178</v>
      </c>
      <c r="D70">
        <v>1</v>
      </c>
      <c r="E70">
        <v>10</v>
      </c>
      <c r="F70">
        <v>7</v>
      </c>
      <c r="G70">
        <v>30</v>
      </c>
      <c r="H70">
        <v>40</v>
      </c>
      <c r="I70" t="s">
        <v>7975</v>
      </c>
    </row>
    <row r="71" spans="1:12">
      <c r="A71" t="s">
        <v>8179</v>
      </c>
      <c r="B71" t="s">
        <v>2202</v>
      </c>
      <c r="C71" t="s">
        <v>8180</v>
      </c>
      <c r="D71">
        <v>1</v>
      </c>
      <c r="E71">
        <v>14</v>
      </c>
      <c r="F71">
        <v>7</v>
      </c>
      <c r="G71">
        <v>5</v>
      </c>
      <c r="H71" t="s">
        <v>5493</v>
      </c>
      <c r="J71">
        <v>40</v>
      </c>
      <c r="K71" t="s">
        <v>386</v>
      </c>
    </row>
    <row r="72" spans="1:12">
      <c r="A72" t="s">
        <v>8181</v>
      </c>
      <c r="B72" t="s">
        <v>2015</v>
      </c>
      <c r="C72" t="s">
        <v>8182</v>
      </c>
      <c r="D72">
        <v>3</v>
      </c>
      <c r="E72">
        <v>89</v>
      </c>
      <c r="F72">
        <v>7</v>
      </c>
      <c r="G72" t="s">
        <v>5492</v>
      </c>
      <c r="H72">
        <v>20</v>
      </c>
      <c r="I72" t="s">
        <v>7986</v>
      </c>
      <c r="J72">
        <v>20</v>
      </c>
      <c r="K72" t="s">
        <v>8183</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5474</v>
      </c>
      <c r="C1" t="s">
        <v>8184</v>
      </c>
      <c r="D1" t="s">
        <v>8185</v>
      </c>
      <c r="E1" t="s">
        <v>8186</v>
      </c>
      <c r="F1" t="s">
        <v>8187</v>
      </c>
      <c r="G1" t="s">
        <v>8188</v>
      </c>
    </row>
    <row r="2" spans="1:7">
      <c r="A2" t="s">
        <v>7973</v>
      </c>
      <c r="B2" t="s">
        <v>1988</v>
      </c>
      <c r="C2">
        <v>1</v>
      </c>
      <c r="D2">
        <v>76</v>
      </c>
      <c r="E2">
        <v>3</v>
      </c>
      <c r="F2">
        <v>525</v>
      </c>
      <c r="G2">
        <v>5</v>
      </c>
    </row>
    <row r="3" spans="1:7">
      <c r="A3" t="s">
        <v>7973</v>
      </c>
      <c r="B3" t="s">
        <v>1988</v>
      </c>
      <c r="C3">
        <v>2</v>
      </c>
      <c r="D3">
        <v>218</v>
      </c>
      <c r="E3">
        <v>3</v>
      </c>
      <c r="F3">
        <v>975</v>
      </c>
      <c r="G3">
        <v>5</v>
      </c>
    </row>
    <row r="4" spans="1:7">
      <c r="A4" t="s">
        <v>7973</v>
      </c>
      <c r="B4" t="s">
        <v>1988</v>
      </c>
      <c r="C4">
        <v>3</v>
      </c>
      <c r="D4">
        <v>552</v>
      </c>
      <c r="E4">
        <v>3</v>
      </c>
      <c r="F4">
        <v>1730</v>
      </c>
      <c r="G4">
        <v>5</v>
      </c>
    </row>
    <row r="5" spans="1:7">
      <c r="A5" t="s">
        <v>7973</v>
      </c>
      <c r="B5" t="s">
        <v>1988</v>
      </c>
      <c r="C5">
        <v>4</v>
      </c>
      <c r="D5">
        <v>920</v>
      </c>
      <c r="E5">
        <v>4</v>
      </c>
      <c r="F5">
        <v>2368</v>
      </c>
      <c r="G5">
        <v>5</v>
      </c>
    </row>
    <row r="6" spans="1:7">
      <c r="A6" t="s">
        <v>7973</v>
      </c>
      <c r="B6" t="s">
        <v>1988</v>
      </c>
      <c r="C6">
        <v>5</v>
      </c>
      <c r="D6">
        <v>1590</v>
      </c>
      <c r="E6">
        <v>5</v>
      </c>
      <c r="F6">
        <v>3450</v>
      </c>
      <c r="G6">
        <v>5</v>
      </c>
    </row>
    <row r="7" spans="1:7">
      <c r="A7" t="s">
        <v>7973</v>
      </c>
      <c r="B7" t="s">
        <v>1988</v>
      </c>
      <c r="C7">
        <v>6</v>
      </c>
      <c r="D7">
        <v>3020</v>
      </c>
      <c r="E7">
        <v>6</v>
      </c>
      <c r="F7">
        <v>5860</v>
      </c>
      <c r="G7">
        <v>6</v>
      </c>
    </row>
    <row r="8" spans="1:7">
      <c r="A8" t="s">
        <v>7973</v>
      </c>
      <c r="B8" t="s">
        <v>1988</v>
      </c>
      <c r="C8">
        <v>7</v>
      </c>
      <c r="D8">
        <v>8780</v>
      </c>
      <c r="E8">
        <v>7</v>
      </c>
      <c r="F8">
        <v>14080</v>
      </c>
      <c r="G8">
        <v>7</v>
      </c>
    </row>
    <row r="9" spans="1:7">
      <c r="A9" t="s">
        <v>7977</v>
      </c>
      <c r="B9" t="s">
        <v>2118</v>
      </c>
      <c r="C9">
        <v>1</v>
      </c>
      <c r="D9">
        <v>120</v>
      </c>
      <c r="E9">
        <v>3</v>
      </c>
      <c r="F9">
        <v>645</v>
      </c>
      <c r="G9">
        <v>5</v>
      </c>
    </row>
    <row r="10" spans="1:7">
      <c r="A10" t="s">
        <v>7977</v>
      </c>
      <c r="B10" t="s">
        <v>2118</v>
      </c>
      <c r="C10">
        <v>2</v>
      </c>
      <c r="D10">
        <v>372</v>
      </c>
      <c r="E10">
        <v>3</v>
      </c>
      <c r="F10">
        <v>1275</v>
      </c>
      <c r="G10">
        <v>5</v>
      </c>
    </row>
    <row r="11" spans="1:7">
      <c r="A11" t="s">
        <v>7977</v>
      </c>
      <c r="B11" t="s">
        <v>2118</v>
      </c>
      <c r="C11">
        <v>3</v>
      </c>
      <c r="D11">
        <v>932</v>
      </c>
      <c r="E11">
        <v>3</v>
      </c>
      <c r="F11">
        <v>2322</v>
      </c>
      <c r="G11">
        <v>5</v>
      </c>
    </row>
    <row r="12" spans="1:7">
      <c r="A12" t="s">
        <v>7977</v>
      </c>
      <c r="B12" t="s">
        <v>2118</v>
      </c>
      <c r="C12">
        <v>4</v>
      </c>
      <c r="D12">
        <v>1480</v>
      </c>
      <c r="E12">
        <v>4</v>
      </c>
      <c r="F12">
        <v>3656</v>
      </c>
      <c r="G12">
        <v>5</v>
      </c>
    </row>
    <row r="13" spans="1:7">
      <c r="A13" t="s">
        <v>7977</v>
      </c>
      <c r="B13" t="s">
        <v>2118</v>
      </c>
      <c r="C13">
        <v>5</v>
      </c>
      <c r="D13">
        <v>2370</v>
      </c>
      <c r="E13">
        <v>5</v>
      </c>
      <c r="F13">
        <v>5730</v>
      </c>
      <c r="G13">
        <v>5</v>
      </c>
    </row>
    <row r="14" spans="1:7">
      <c r="A14" t="s">
        <v>7977</v>
      </c>
      <c r="B14" t="s">
        <v>2118</v>
      </c>
      <c r="C14">
        <v>6</v>
      </c>
      <c r="D14">
        <v>4060</v>
      </c>
      <c r="E14">
        <v>6</v>
      </c>
      <c r="F14">
        <v>8660</v>
      </c>
      <c r="G14">
        <v>6</v>
      </c>
    </row>
    <row r="15" spans="1:7">
      <c r="A15" t="s">
        <v>7977</v>
      </c>
      <c r="B15" t="s">
        <v>2118</v>
      </c>
      <c r="C15">
        <v>7</v>
      </c>
      <c r="D15">
        <v>10120</v>
      </c>
      <c r="E15">
        <v>7</v>
      </c>
      <c r="F15">
        <v>17480</v>
      </c>
      <c r="G15">
        <v>7</v>
      </c>
    </row>
    <row r="16" spans="1:7">
      <c r="A16" t="s">
        <v>7980</v>
      </c>
      <c r="B16" t="s">
        <v>2114</v>
      </c>
      <c r="C16">
        <v>1</v>
      </c>
      <c r="D16">
        <v>230</v>
      </c>
      <c r="E16">
        <v>3</v>
      </c>
      <c r="F16">
        <v>945</v>
      </c>
      <c r="G16">
        <v>5</v>
      </c>
    </row>
    <row r="17" spans="1:7">
      <c r="A17" t="s">
        <v>7980</v>
      </c>
      <c r="B17" t="s">
        <v>2114</v>
      </c>
      <c r="C17">
        <v>2</v>
      </c>
      <c r="D17">
        <v>680</v>
      </c>
      <c r="E17">
        <v>3</v>
      </c>
      <c r="F17">
        <v>1975</v>
      </c>
      <c r="G17">
        <v>5</v>
      </c>
    </row>
    <row r="18" spans="1:7">
      <c r="A18" t="s">
        <v>7980</v>
      </c>
      <c r="B18" t="s">
        <v>2114</v>
      </c>
      <c r="C18">
        <v>3</v>
      </c>
      <c r="D18">
        <v>1768</v>
      </c>
      <c r="E18">
        <v>3</v>
      </c>
      <c r="F18">
        <v>3802</v>
      </c>
      <c r="G18">
        <v>5</v>
      </c>
    </row>
    <row r="19" spans="1:7">
      <c r="A19" t="s">
        <v>7980</v>
      </c>
      <c r="B19" t="s">
        <v>2114</v>
      </c>
      <c r="C19">
        <v>4</v>
      </c>
      <c r="D19">
        <v>2712</v>
      </c>
      <c r="E19">
        <v>4</v>
      </c>
      <c r="F19">
        <v>6232</v>
      </c>
      <c r="G19">
        <v>5</v>
      </c>
    </row>
    <row r="20" spans="1:7">
      <c r="A20" t="s">
        <v>7980</v>
      </c>
      <c r="B20" t="s">
        <v>2114</v>
      </c>
      <c r="C20">
        <v>5</v>
      </c>
      <c r="D20">
        <v>4086</v>
      </c>
      <c r="E20">
        <v>5</v>
      </c>
      <c r="F20">
        <v>10746</v>
      </c>
      <c r="G20">
        <v>5</v>
      </c>
    </row>
    <row r="21" spans="1:7">
      <c r="A21" t="s">
        <v>7980</v>
      </c>
      <c r="B21" t="s">
        <v>2114</v>
      </c>
      <c r="C21">
        <v>6</v>
      </c>
      <c r="D21">
        <v>6348</v>
      </c>
      <c r="E21">
        <v>6</v>
      </c>
      <c r="F21">
        <v>14820</v>
      </c>
      <c r="G21">
        <v>6</v>
      </c>
    </row>
    <row r="22" spans="1:7">
      <c r="A22" t="s">
        <v>7980</v>
      </c>
      <c r="B22" t="s">
        <v>2114</v>
      </c>
      <c r="C22">
        <v>7</v>
      </c>
      <c r="D22">
        <v>13068</v>
      </c>
      <c r="E22">
        <v>7</v>
      </c>
      <c r="F22">
        <v>24960</v>
      </c>
      <c r="G22">
        <v>7</v>
      </c>
    </row>
    <row r="23" spans="1:7">
      <c r="A23" t="s">
        <v>7983</v>
      </c>
      <c r="B23" t="s">
        <v>7984</v>
      </c>
      <c r="C23">
        <v>1</v>
      </c>
      <c r="D23">
        <v>98</v>
      </c>
      <c r="E23">
        <v>3</v>
      </c>
      <c r="F23">
        <v>585</v>
      </c>
      <c r="G23">
        <v>5</v>
      </c>
    </row>
    <row r="24" spans="1:7">
      <c r="A24" t="s">
        <v>7983</v>
      </c>
      <c r="B24" t="s">
        <v>7984</v>
      </c>
      <c r="C24">
        <v>2</v>
      </c>
      <c r="D24">
        <v>284</v>
      </c>
      <c r="E24">
        <v>3</v>
      </c>
      <c r="F24">
        <v>1175</v>
      </c>
      <c r="G24">
        <v>5</v>
      </c>
    </row>
    <row r="25" spans="1:7">
      <c r="A25" t="s">
        <v>7983</v>
      </c>
      <c r="B25" t="s">
        <v>7984</v>
      </c>
      <c r="C25">
        <v>3</v>
      </c>
      <c r="D25">
        <v>742</v>
      </c>
      <c r="E25">
        <v>3</v>
      </c>
      <c r="F25">
        <v>2026</v>
      </c>
      <c r="G25">
        <v>5</v>
      </c>
    </row>
    <row r="26" spans="1:7">
      <c r="A26" t="s">
        <v>7983</v>
      </c>
      <c r="B26" t="s">
        <v>7984</v>
      </c>
      <c r="C26">
        <v>4</v>
      </c>
      <c r="D26">
        <v>1200</v>
      </c>
      <c r="E26">
        <v>4</v>
      </c>
      <c r="F26">
        <v>2920</v>
      </c>
      <c r="G26">
        <v>5</v>
      </c>
    </row>
    <row r="27" spans="1:7">
      <c r="A27" t="s">
        <v>7983</v>
      </c>
      <c r="B27" t="s">
        <v>7984</v>
      </c>
      <c r="C27">
        <v>5</v>
      </c>
      <c r="D27">
        <v>1980</v>
      </c>
      <c r="E27">
        <v>5</v>
      </c>
      <c r="F27">
        <v>4590</v>
      </c>
      <c r="G27">
        <v>5</v>
      </c>
    </row>
    <row r="28" spans="1:7">
      <c r="A28" t="s">
        <v>7983</v>
      </c>
      <c r="B28" t="s">
        <v>7984</v>
      </c>
      <c r="C28">
        <v>6</v>
      </c>
      <c r="D28">
        <v>3540</v>
      </c>
      <c r="E28">
        <v>6</v>
      </c>
      <c r="F28">
        <v>7260</v>
      </c>
      <c r="G28">
        <v>6</v>
      </c>
    </row>
    <row r="29" spans="1:7">
      <c r="A29" t="s">
        <v>7983</v>
      </c>
      <c r="B29" t="s">
        <v>7984</v>
      </c>
      <c r="C29">
        <v>7</v>
      </c>
      <c r="D29">
        <v>9450</v>
      </c>
      <c r="E29">
        <v>7</v>
      </c>
      <c r="F29">
        <v>15780</v>
      </c>
      <c r="G29">
        <v>7</v>
      </c>
    </row>
    <row r="30" spans="1:7">
      <c r="A30" t="s">
        <v>7988</v>
      </c>
      <c r="B30" t="s">
        <v>2121</v>
      </c>
      <c r="C30">
        <v>1</v>
      </c>
      <c r="D30">
        <v>164</v>
      </c>
      <c r="E30">
        <v>3</v>
      </c>
      <c r="F30">
        <v>765</v>
      </c>
      <c r="G30">
        <v>5</v>
      </c>
    </row>
    <row r="31" spans="1:7">
      <c r="A31" t="s">
        <v>7988</v>
      </c>
      <c r="B31" t="s">
        <v>2121</v>
      </c>
      <c r="C31">
        <v>2</v>
      </c>
      <c r="D31">
        <v>482</v>
      </c>
      <c r="E31">
        <v>3</v>
      </c>
      <c r="F31">
        <v>1575</v>
      </c>
      <c r="G31">
        <v>5</v>
      </c>
    </row>
    <row r="32" spans="1:7">
      <c r="A32" t="s">
        <v>7988</v>
      </c>
      <c r="B32" t="s">
        <v>2121</v>
      </c>
      <c r="C32">
        <v>3</v>
      </c>
      <c r="D32">
        <v>1236</v>
      </c>
      <c r="E32">
        <v>3</v>
      </c>
      <c r="F32">
        <v>2914</v>
      </c>
      <c r="G32">
        <v>5</v>
      </c>
    </row>
    <row r="33" spans="1:7">
      <c r="A33" t="s">
        <v>7988</v>
      </c>
      <c r="B33" t="s">
        <v>2121</v>
      </c>
      <c r="C33">
        <v>4</v>
      </c>
      <c r="D33">
        <v>1928</v>
      </c>
      <c r="E33">
        <v>4</v>
      </c>
      <c r="F33">
        <v>4576</v>
      </c>
      <c r="G33">
        <v>5</v>
      </c>
    </row>
    <row r="34" spans="1:7">
      <c r="A34" t="s">
        <v>7988</v>
      </c>
      <c r="B34" t="s">
        <v>2121</v>
      </c>
      <c r="C34">
        <v>5</v>
      </c>
      <c r="D34">
        <v>2994</v>
      </c>
      <c r="E34">
        <v>5</v>
      </c>
      <c r="F34">
        <v>7554</v>
      </c>
      <c r="G34">
        <v>5</v>
      </c>
    </row>
    <row r="35" spans="1:7">
      <c r="A35" t="s">
        <v>7988</v>
      </c>
      <c r="B35" t="s">
        <v>2121</v>
      </c>
      <c r="C35">
        <v>6</v>
      </c>
      <c r="D35">
        <v>4892</v>
      </c>
      <c r="E35">
        <v>6</v>
      </c>
      <c r="F35">
        <v>10900</v>
      </c>
      <c r="G35">
        <v>6</v>
      </c>
    </row>
    <row r="36" spans="1:7">
      <c r="A36" t="s">
        <v>7988</v>
      </c>
      <c r="B36" t="s">
        <v>2121</v>
      </c>
      <c r="C36">
        <v>7</v>
      </c>
      <c r="D36">
        <v>11192</v>
      </c>
      <c r="E36">
        <v>7</v>
      </c>
      <c r="F36">
        <v>20200</v>
      </c>
      <c r="G36">
        <v>7</v>
      </c>
    </row>
    <row r="37" spans="1:7">
      <c r="A37" t="s">
        <v>7990</v>
      </c>
      <c r="B37" t="s">
        <v>2196</v>
      </c>
      <c r="C37">
        <v>1</v>
      </c>
      <c r="D37">
        <v>98</v>
      </c>
      <c r="E37">
        <v>3</v>
      </c>
      <c r="F37">
        <v>585</v>
      </c>
      <c r="G37">
        <v>5</v>
      </c>
    </row>
    <row r="38" spans="1:7">
      <c r="A38" t="s">
        <v>7990</v>
      </c>
      <c r="B38" t="s">
        <v>2196</v>
      </c>
      <c r="C38">
        <v>2</v>
      </c>
      <c r="D38">
        <v>284</v>
      </c>
      <c r="E38">
        <v>3</v>
      </c>
      <c r="F38">
        <v>1175</v>
      </c>
      <c r="G38">
        <v>5</v>
      </c>
    </row>
    <row r="39" spans="1:7">
      <c r="A39" t="s">
        <v>7990</v>
      </c>
      <c r="B39" t="s">
        <v>2196</v>
      </c>
      <c r="C39">
        <v>3</v>
      </c>
      <c r="D39">
        <v>742</v>
      </c>
      <c r="E39">
        <v>3</v>
      </c>
      <c r="F39">
        <v>2026</v>
      </c>
      <c r="G39">
        <v>5</v>
      </c>
    </row>
    <row r="40" spans="1:7">
      <c r="A40" t="s">
        <v>7990</v>
      </c>
      <c r="B40" t="s">
        <v>2196</v>
      </c>
      <c r="C40">
        <v>4</v>
      </c>
      <c r="D40">
        <v>1200</v>
      </c>
      <c r="E40">
        <v>4</v>
      </c>
      <c r="F40">
        <v>2920</v>
      </c>
      <c r="G40">
        <v>5</v>
      </c>
    </row>
    <row r="41" spans="1:7">
      <c r="A41" t="s">
        <v>7990</v>
      </c>
      <c r="B41" t="s">
        <v>2196</v>
      </c>
      <c r="C41">
        <v>5</v>
      </c>
      <c r="D41">
        <v>1980</v>
      </c>
      <c r="E41">
        <v>5</v>
      </c>
      <c r="F41">
        <v>4590</v>
      </c>
      <c r="G41">
        <v>5</v>
      </c>
    </row>
    <row r="42" spans="1:7">
      <c r="A42" t="s">
        <v>7990</v>
      </c>
      <c r="B42" t="s">
        <v>2196</v>
      </c>
      <c r="C42">
        <v>6</v>
      </c>
      <c r="D42">
        <v>3540</v>
      </c>
      <c r="E42">
        <v>6</v>
      </c>
      <c r="F42">
        <v>7260</v>
      </c>
      <c r="G42">
        <v>6</v>
      </c>
    </row>
    <row r="43" spans="1:7">
      <c r="A43" t="s">
        <v>7990</v>
      </c>
      <c r="B43" t="s">
        <v>2196</v>
      </c>
      <c r="C43">
        <v>7</v>
      </c>
      <c r="D43">
        <v>9450</v>
      </c>
      <c r="E43">
        <v>7</v>
      </c>
      <c r="F43">
        <v>15780</v>
      </c>
      <c r="G43">
        <v>7</v>
      </c>
    </row>
    <row r="44" spans="1:7">
      <c r="A44" t="s">
        <v>7992</v>
      </c>
      <c r="B44" t="s">
        <v>2193</v>
      </c>
      <c r="C44">
        <v>1</v>
      </c>
      <c r="D44">
        <v>87</v>
      </c>
      <c r="E44">
        <v>3</v>
      </c>
      <c r="F44">
        <v>585</v>
      </c>
      <c r="G44">
        <v>5</v>
      </c>
    </row>
    <row r="45" spans="1:7">
      <c r="A45" t="s">
        <v>7992</v>
      </c>
      <c r="B45" t="s">
        <v>2193</v>
      </c>
      <c r="C45">
        <v>2</v>
      </c>
      <c r="D45">
        <v>240</v>
      </c>
      <c r="E45">
        <v>3</v>
      </c>
      <c r="F45">
        <v>1075</v>
      </c>
      <c r="G45">
        <v>5</v>
      </c>
    </row>
    <row r="46" spans="1:7">
      <c r="A46" t="s">
        <v>7992</v>
      </c>
      <c r="B46" t="s">
        <v>2193</v>
      </c>
      <c r="C46">
        <v>3</v>
      </c>
      <c r="D46">
        <v>628</v>
      </c>
      <c r="E46">
        <v>3</v>
      </c>
      <c r="F46">
        <v>1878</v>
      </c>
      <c r="G46">
        <v>5</v>
      </c>
    </row>
    <row r="47" spans="1:7">
      <c r="A47" t="s">
        <v>7992</v>
      </c>
      <c r="B47" t="s">
        <v>2193</v>
      </c>
      <c r="C47">
        <v>4</v>
      </c>
      <c r="D47">
        <v>1032</v>
      </c>
      <c r="E47">
        <v>4</v>
      </c>
      <c r="F47">
        <v>2552</v>
      </c>
      <c r="G47">
        <v>5</v>
      </c>
    </row>
    <row r="48" spans="1:7">
      <c r="A48" t="s">
        <v>7992</v>
      </c>
      <c r="B48" t="s">
        <v>2193</v>
      </c>
      <c r="C48">
        <v>5</v>
      </c>
      <c r="D48">
        <v>1746</v>
      </c>
      <c r="E48">
        <v>5</v>
      </c>
      <c r="F48">
        <v>3906</v>
      </c>
      <c r="G48">
        <v>5</v>
      </c>
    </row>
    <row r="49" spans="1:7">
      <c r="A49" t="s">
        <v>7992</v>
      </c>
      <c r="B49" t="s">
        <v>2193</v>
      </c>
      <c r="C49">
        <v>6</v>
      </c>
      <c r="D49">
        <v>3228</v>
      </c>
      <c r="E49">
        <v>6</v>
      </c>
      <c r="F49">
        <v>6420</v>
      </c>
      <c r="G49">
        <v>6</v>
      </c>
    </row>
    <row r="50" spans="1:7">
      <c r="A50" t="s">
        <v>7992</v>
      </c>
      <c r="B50" t="s">
        <v>2193</v>
      </c>
      <c r="C50">
        <v>7</v>
      </c>
      <c r="D50">
        <v>9048</v>
      </c>
      <c r="E50">
        <v>7</v>
      </c>
      <c r="F50">
        <v>14760</v>
      </c>
      <c r="G50">
        <v>7</v>
      </c>
    </row>
    <row r="51" spans="1:7">
      <c r="A51" t="s">
        <v>7995</v>
      </c>
      <c r="B51" t="s">
        <v>7996</v>
      </c>
      <c r="C51">
        <v>1</v>
      </c>
      <c r="D51">
        <v>98</v>
      </c>
      <c r="E51">
        <v>3</v>
      </c>
      <c r="F51">
        <v>585</v>
      </c>
      <c r="G51">
        <v>5</v>
      </c>
    </row>
    <row r="52" spans="1:7">
      <c r="A52" t="s">
        <v>7995</v>
      </c>
      <c r="B52" t="s">
        <v>7996</v>
      </c>
      <c r="C52">
        <v>2</v>
      </c>
      <c r="D52">
        <v>284</v>
      </c>
      <c r="E52">
        <v>3</v>
      </c>
      <c r="F52">
        <v>1175</v>
      </c>
      <c r="G52">
        <v>5</v>
      </c>
    </row>
    <row r="53" spans="1:7">
      <c r="A53" t="s">
        <v>7995</v>
      </c>
      <c r="B53" t="s">
        <v>7996</v>
      </c>
      <c r="C53">
        <v>3</v>
      </c>
      <c r="D53">
        <v>742</v>
      </c>
      <c r="E53">
        <v>3</v>
      </c>
      <c r="F53">
        <v>2026</v>
      </c>
      <c r="G53">
        <v>5</v>
      </c>
    </row>
    <row r="54" spans="1:7">
      <c r="A54" t="s">
        <v>7995</v>
      </c>
      <c r="B54" t="s">
        <v>7996</v>
      </c>
      <c r="C54">
        <v>4</v>
      </c>
      <c r="D54">
        <v>1200</v>
      </c>
      <c r="E54">
        <v>4</v>
      </c>
      <c r="F54">
        <v>2920</v>
      </c>
      <c r="G54">
        <v>5</v>
      </c>
    </row>
    <row r="55" spans="1:7">
      <c r="A55" t="s">
        <v>7995</v>
      </c>
      <c r="B55" t="s">
        <v>7996</v>
      </c>
      <c r="C55">
        <v>5</v>
      </c>
      <c r="D55">
        <v>1980</v>
      </c>
      <c r="E55">
        <v>5</v>
      </c>
      <c r="F55">
        <v>4590</v>
      </c>
      <c r="G55">
        <v>5</v>
      </c>
    </row>
    <row r="56" spans="1:7">
      <c r="A56" t="s">
        <v>7995</v>
      </c>
      <c r="B56" t="s">
        <v>7996</v>
      </c>
      <c r="C56">
        <v>6</v>
      </c>
      <c r="D56">
        <v>3540</v>
      </c>
      <c r="E56">
        <v>6</v>
      </c>
      <c r="F56">
        <v>7260</v>
      </c>
      <c r="G56">
        <v>6</v>
      </c>
    </row>
    <row r="57" spans="1:7">
      <c r="A57" t="s">
        <v>7995</v>
      </c>
      <c r="B57" t="s">
        <v>7996</v>
      </c>
      <c r="C57">
        <v>7</v>
      </c>
      <c r="D57">
        <v>9450</v>
      </c>
      <c r="E57">
        <v>7</v>
      </c>
      <c r="F57">
        <v>15780</v>
      </c>
      <c r="G57">
        <v>7</v>
      </c>
    </row>
    <row r="58" spans="1:7">
      <c r="A58" t="s">
        <v>7998</v>
      </c>
      <c r="B58" t="s">
        <v>7999</v>
      </c>
      <c r="C58">
        <v>1</v>
      </c>
      <c r="D58">
        <v>109</v>
      </c>
      <c r="E58">
        <v>3</v>
      </c>
      <c r="F58">
        <v>645</v>
      </c>
      <c r="G58">
        <v>5</v>
      </c>
    </row>
    <row r="59" spans="1:7">
      <c r="A59" t="s">
        <v>7998</v>
      </c>
      <c r="B59" t="s">
        <v>7999</v>
      </c>
      <c r="C59">
        <v>2</v>
      </c>
      <c r="D59">
        <v>328</v>
      </c>
      <c r="E59">
        <v>3</v>
      </c>
      <c r="F59">
        <v>1275</v>
      </c>
      <c r="G59">
        <v>5</v>
      </c>
    </row>
    <row r="60" spans="1:7">
      <c r="A60" t="s">
        <v>7998</v>
      </c>
      <c r="B60" t="s">
        <v>7999</v>
      </c>
      <c r="C60">
        <v>3</v>
      </c>
      <c r="D60">
        <v>856</v>
      </c>
      <c r="E60">
        <v>3</v>
      </c>
      <c r="F60">
        <v>2174</v>
      </c>
      <c r="G60">
        <v>5</v>
      </c>
    </row>
    <row r="61" spans="1:7">
      <c r="A61" t="s">
        <v>7998</v>
      </c>
      <c r="B61" t="s">
        <v>7999</v>
      </c>
      <c r="C61">
        <v>4</v>
      </c>
      <c r="D61">
        <v>1368</v>
      </c>
      <c r="E61">
        <v>4</v>
      </c>
      <c r="F61">
        <v>3288</v>
      </c>
      <c r="G61">
        <v>5</v>
      </c>
    </row>
    <row r="62" spans="1:7">
      <c r="A62" t="s">
        <v>7998</v>
      </c>
      <c r="B62" t="s">
        <v>7999</v>
      </c>
      <c r="C62">
        <v>5</v>
      </c>
      <c r="D62">
        <v>2214</v>
      </c>
      <c r="E62">
        <v>5</v>
      </c>
      <c r="F62">
        <v>5274</v>
      </c>
      <c r="G62">
        <v>5</v>
      </c>
    </row>
    <row r="63" spans="1:7">
      <c r="A63" t="s">
        <v>7998</v>
      </c>
      <c r="B63" t="s">
        <v>7999</v>
      </c>
      <c r="C63">
        <v>6</v>
      </c>
      <c r="D63">
        <v>3852</v>
      </c>
      <c r="E63">
        <v>6</v>
      </c>
      <c r="F63">
        <v>8100</v>
      </c>
      <c r="G63">
        <v>6</v>
      </c>
    </row>
    <row r="64" spans="1:7">
      <c r="A64" t="s">
        <v>7998</v>
      </c>
      <c r="B64" t="s">
        <v>7999</v>
      </c>
      <c r="C64">
        <v>7</v>
      </c>
      <c r="D64">
        <v>9852</v>
      </c>
      <c r="E64">
        <v>7</v>
      </c>
      <c r="F64">
        <v>16800</v>
      </c>
      <c r="G64">
        <v>7</v>
      </c>
    </row>
    <row r="65" spans="1:7">
      <c r="A65" t="s">
        <v>8002</v>
      </c>
      <c r="B65" t="s">
        <v>8003</v>
      </c>
      <c r="C65">
        <v>1</v>
      </c>
      <c r="D65">
        <v>109</v>
      </c>
      <c r="E65">
        <v>3</v>
      </c>
      <c r="F65">
        <v>645</v>
      </c>
      <c r="G65">
        <v>5</v>
      </c>
    </row>
    <row r="66" spans="1:7">
      <c r="A66" t="s">
        <v>8002</v>
      </c>
      <c r="B66" t="s">
        <v>8003</v>
      </c>
      <c r="C66">
        <v>2</v>
      </c>
      <c r="D66">
        <v>328</v>
      </c>
      <c r="E66">
        <v>3</v>
      </c>
      <c r="F66">
        <v>1275</v>
      </c>
      <c r="G66">
        <v>5</v>
      </c>
    </row>
    <row r="67" spans="1:7">
      <c r="A67" t="s">
        <v>8002</v>
      </c>
      <c r="B67" t="s">
        <v>8003</v>
      </c>
      <c r="C67">
        <v>3</v>
      </c>
      <c r="D67">
        <v>856</v>
      </c>
      <c r="E67">
        <v>3</v>
      </c>
      <c r="F67">
        <v>2174</v>
      </c>
      <c r="G67">
        <v>5</v>
      </c>
    </row>
    <row r="68" spans="1:7">
      <c r="A68" t="s">
        <v>8002</v>
      </c>
      <c r="B68" t="s">
        <v>8003</v>
      </c>
      <c r="C68">
        <v>4</v>
      </c>
      <c r="D68">
        <v>1368</v>
      </c>
      <c r="E68">
        <v>4</v>
      </c>
      <c r="F68">
        <v>3288</v>
      </c>
      <c r="G68">
        <v>5</v>
      </c>
    </row>
    <row r="69" spans="1:7">
      <c r="A69" t="s">
        <v>8002</v>
      </c>
      <c r="B69" t="s">
        <v>8003</v>
      </c>
      <c r="C69">
        <v>5</v>
      </c>
      <c r="D69">
        <v>2214</v>
      </c>
      <c r="E69">
        <v>5</v>
      </c>
      <c r="F69">
        <v>5274</v>
      </c>
      <c r="G69">
        <v>5</v>
      </c>
    </row>
    <row r="70" spans="1:7">
      <c r="A70" t="s">
        <v>8002</v>
      </c>
      <c r="B70" t="s">
        <v>8003</v>
      </c>
      <c r="C70">
        <v>6</v>
      </c>
      <c r="D70">
        <v>3852</v>
      </c>
      <c r="E70">
        <v>6</v>
      </c>
      <c r="F70">
        <v>8100</v>
      </c>
      <c r="G70">
        <v>6</v>
      </c>
    </row>
    <row r="71" spans="1:7">
      <c r="A71" t="s">
        <v>8002</v>
      </c>
      <c r="B71" t="s">
        <v>8003</v>
      </c>
      <c r="C71">
        <v>7</v>
      </c>
      <c r="D71">
        <v>9852</v>
      </c>
      <c r="E71">
        <v>7</v>
      </c>
      <c r="F71">
        <v>16800</v>
      </c>
      <c r="G71">
        <v>7</v>
      </c>
    </row>
    <row r="72" spans="1:7">
      <c r="A72" t="s">
        <v>8005</v>
      </c>
      <c r="B72" t="s">
        <v>8006</v>
      </c>
      <c r="C72">
        <v>1</v>
      </c>
      <c r="D72">
        <v>109</v>
      </c>
      <c r="E72">
        <v>3</v>
      </c>
      <c r="F72">
        <v>645</v>
      </c>
      <c r="G72">
        <v>5</v>
      </c>
    </row>
    <row r="73" spans="1:7">
      <c r="A73" t="s">
        <v>8005</v>
      </c>
      <c r="B73" t="s">
        <v>8006</v>
      </c>
      <c r="C73">
        <v>2</v>
      </c>
      <c r="D73">
        <v>328</v>
      </c>
      <c r="E73">
        <v>3</v>
      </c>
      <c r="F73">
        <v>1275</v>
      </c>
      <c r="G73">
        <v>5</v>
      </c>
    </row>
    <row r="74" spans="1:7">
      <c r="A74" t="s">
        <v>8005</v>
      </c>
      <c r="B74" t="s">
        <v>8006</v>
      </c>
      <c r="C74">
        <v>3</v>
      </c>
      <c r="D74">
        <v>856</v>
      </c>
      <c r="E74">
        <v>3</v>
      </c>
      <c r="F74">
        <v>2174</v>
      </c>
      <c r="G74">
        <v>5</v>
      </c>
    </row>
    <row r="75" spans="1:7">
      <c r="A75" t="s">
        <v>8005</v>
      </c>
      <c r="B75" t="s">
        <v>8006</v>
      </c>
      <c r="C75">
        <v>4</v>
      </c>
      <c r="D75">
        <v>1368</v>
      </c>
      <c r="E75">
        <v>4</v>
      </c>
      <c r="F75">
        <v>3288</v>
      </c>
      <c r="G75">
        <v>5</v>
      </c>
    </row>
    <row r="76" spans="1:7">
      <c r="A76" t="s">
        <v>8005</v>
      </c>
      <c r="B76" t="s">
        <v>8006</v>
      </c>
      <c r="C76">
        <v>5</v>
      </c>
      <c r="D76">
        <v>2214</v>
      </c>
      <c r="E76">
        <v>5</v>
      </c>
      <c r="F76">
        <v>5274</v>
      </c>
      <c r="G76">
        <v>5</v>
      </c>
    </row>
    <row r="77" spans="1:7">
      <c r="A77" t="s">
        <v>8005</v>
      </c>
      <c r="B77" t="s">
        <v>8006</v>
      </c>
      <c r="C77">
        <v>6</v>
      </c>
      <c r="D77">
        <v>3852</v>
      </c>
      <c r="E77">
        <v>6</v>
      </c>
      <c r="F77">
        <v>8100</v>
      </c>
      <c r="G77">
        <v>6</v>
      </c>
    </row>
    <row r="78" spans="1:7">
      <c r="A78" t="s">
        <v>8005</v>
      </c>
      <c r="B78" t="s">
        <v>8006</v>
      </c>
      <c r="C78">
        <v>7</v>
      </c>
      <c r="D78">
        <v>9852</v>
      </c>
      <c r="E78">
        <v>7</v>
      </c>
      <c r="F78">
        <v>16800</v>
      </c>
      <c r="G78">
        <v>7</v>
      </c>
    </row>
    <row r="79" spans="1:7">
      <c r="A79" t="s">
        <v>8008</v>
      </c>
      <c r="B79" t="s">
        <v>8009</v>
      </c>
      <c r="C79">
        <v>1</v>
      </c>
      <c r="D79">
        <v>109</v>
      </c>
      <c r="E79">
        <v>3</v>
      </c>
      <c r="F79">
        <v>645</v>
      </c>
      <c r="G79">
        <v>5</v>
      </c>
    </row>
    <row r="80" spans="1:7">
      <c r="A80" t="s">
        <v>8008</v>
      </c>
      <c r="B80" t="s">
        <v>8009</v>
      </c>
      <c r="C80">
        <v>2</v>
      </c>
      <c r="D80">
        <v>328</v>
      </c>
      <c r="E80">
        <v>3</v>
      </c>
      <c r="F80">
        <v>1275</v>
      </c>
      <c r="G80">
        <v>5</v>
      </c>
    </row>
    <row r="81" spans="1:7">
      <c r="A81" t="s">
        <v>8008</v>
      </c>
      <c r="B81" t="s">
        <v>8009</v>
      </c>
      <c r="C81">
        <v>3</v>
      </c>
      <c r="D81">
        <v>856</v>
      </c>
      <c r="E81">
        <v>3</v>
      </c>
      <c r="F81">
        <v>2174</v>
      </c>
      <c r="G81">
        <v>5</v>
      </c>
    </row>
    <row r="82" spans="1:7">
      <c r="A82" t="s">
        <v>8008</v>
      </c>
      <c r="B82" t="s">
        <v>8009</v>
      </c>
      <c r="C82">
        <v>4</v>
      </c>
      <c r="D82">
        <v>1368</v>
      </c>
      <c r="E82">
        <v>4</v>
      </c>
      <c r="F82">
        <v>3288</v>
      </c>
      <c r="G82">
        <v>5</v>
      </c>
    </row>
    <row r="83" spans="1:7">
      <c r="A83" t="s">
        <v>8008</v>
      </c>
      <c r="B83" t="s">
        <v>8009</v>
      </c>
      <c r="C83">
        <v>5</v>
      </c>
      <c r="D83">
        <v>2214</v>
      </c>
      <c r="E83">
        <v>5</v>
      </c>
      <c r="F83">
        <v>5274</v>
      </c>
      <c r="G83">
        <v>5</v>
      </c>
    </row>
    <row r="84" spans="1:7">
      <c r="A84" t="s">
        <v>8008</v>
      </c>
      <c r="B84" t="s">
        <v>8009</v>
      </c>
      <c r="C84">
        <v>6</v>
      </c>
      <c r="D84">
        <v>3852</v>
      </c>
      <c r="E84">
        <v>6</v>
      </c>
      <c r="F84">
        <v>8100</v>
      </c>
      <c r="G84">
        <v>6</v>
      </c>
    </row>
    <row r="85" spans="1:7">
      <c r="A85" t="s">
        <v>8008</v>
      </c>
      <c r="B85" t="s">
        <v>8009</v>
      </c>
      <c r="C85">
        <v>7</v>
      </c>
      <c r="D85">
        <v>9852</v>
      </c>
      <c r="E85">
        <v>7</v>
      </c>
      <c r="F85">
        <v>16800</v>
      </c>
      <c r="G85">
        <v>7</v>
      </c>
    </row>
    <row r="86" spans="1:7">
      <c r="A86" t="s">
        <v>8011</v>
      </c>
      <c r="B86" t="s">
        <v>8012</v>
      </c>
      <c r="C86">
        <v>1</v>
      </c>
      <c r="D86">
        <v>109</v>
      </c>
      <c r="E86">
        <v>3</v>
      </c>
      <c r="F86">
        <v>645</v>
      </c>
      <c r="G86">
        <v>5</v>
      </c>
    </row>
    <row r="87" spans="1:7">
      <c r="A87" t="s">
        <v>8011</v>
      </c>
      <c r="B87" t="s">
        <v>8012</v>
      </c>
      <c r="C87">
        <v>2</v>
      </c>
      <c r="D87">
        <v>328</v>
      </c>
      <c r="E87">
        <v>3</v>
      </c>
      <c r="F87">
        <v>1275</v>
      </c>
      <c r="G87">
        <v>5</v>
      </c>
    </row>
    <row r="88" spans="1:7">
      <c r="A88" t="s">
        <v>8011</v>
      </c>
      <c r="B88" t="s">
        <v>8012</v>
      </c>
      <c r="C88">
        <v>3</v>
      </c>
      <c r="D88">
        <v>856</v>
      </c>
      <c r="E88">
        <v>3</v>
      </c>
      <c r="F88">
        <v>2174</v>
      </c>
      <c r="G88">
        <v>5</v>
      </c>
    </row>
    <row r="89" spans="1:7">
      <c r="A89" t="s">
        <v>8011</v>
      </c>
      <c r="B89" t="s">
        <v>8012</v>
      </c>
      <c r="C89">
        <v>4</v>
      </c>
      <c r="D89">
        <v>1368</v>
      </c>
      <c r="E89">
        <v>4</v>
      </c>
      <c r="F89">
        <v>3288</v>
      </c>
      <c r="G89">
        <v>5</v>
      </c>
    </row>
    <row r="90" spans="1:7">
      <c r="A90" t="s">
        <v>8011</v>
      </c>
      <c r="B90" t="s">
        <v>8012</v>
      </c>
      <c r="C90">
        <v>5</v>
      </c>
      <c r="D90">
        <v>2214</v>
      </c>
      <c r="E90">
        <v>5</v>
      </c>
      <c r="F90">
        <v>5274</v>
      </c>
      <c r="G90">
        <v>5</v>
      </c>
    </row>
    <row r="91" spans="1:7">
      <c r="A91" t="s">
        <v>8011</v>
      </c>
      <c r="B91" t="s">
        <v>8012</v>
      </c>
      <c r="C91">
        <v>6</v>
      </c>
      <c r="D91">
        <v>3852</v>
      </c>
      <c r="E91">
        <v>6</v>
      </c>
      <c r="F91">
        <v>8100</v>
      </c>
      <c r="G91">
        <v>6</v>
      </c>
    </row>
    <row r="92" spans="1:7">
      <c r="A92" t="s">
        <v>8011</v>
      </c>
      <c r="B92" t="s">
        <v>8012</v>
      </c>
      <c r="C92">
        <v>7</v>
      </c>
      <c r="D92">
        <v>9852</v>
      </c>
      <c r="E92">
        <v>7</v>
      </c>
      <c r="F92">
        <v>16800</v>
      </c>
      <c r="G92">
        <v>7</v>
      </c>
    </row>
    <row r="93" spans="1:7">
      <c r="A93" t="s">
        <v>8014</v>
      </c>
      <c r="B93" t="s">
        <v>2211</v>
      </c>
      <c r="C93">
        <v>1</v>
      </c>
      <c r="D93">
        <v>109</v>
      </c>
      <c r="E93">
        <v>3</v>
      </c>
      <c r="F93">
        <v>645</v>
      </c>
      <c r="G93">
        <v>5</v>
      </c>
    </row>
    <row r="94" spans="1:7">
      <c r="A94" t="s">
        <v>8014</v>
      </c>
      <c r="B94" t="s">
        <v>2211</v>
      </c>
      <c r="C94">
        <v>2</v>
      </c>
      <c r="D94">
        <v>328</v>
      </c>
      <c r="E94">
        <v>3</v>
      </c>
      <c r="F94">
        <v>1275</v>
      </c>
      <c r="G94">
        <v>5</v>
      </c>
    </row>
    <row r="95" spans="1:7">
      <c r="A95" t="s">
        <v>8014</v>
      </c>
      <c r="B95" t="s">
        <v>2211</v>
      </c>
      <c r="C95">
        <v>3</v>
      </c>
      <c r="D95">
        <v>856</v>
      </c>
      <c r="E95">
        <v>3</v>
      </c>
      <c r="F95">
        <v>2174</v>
      </c>
      <c r="G95">
        <v>5</v>
      </c>
    </row>
    <row r="96" spans="1:7">
      <c r="A96" t="s">
        <v>8014</v>
      </c>
      <c r="B96" t="s">
        <v>2211</v>
      </c>
      <c r="C96">
        <v>4</v>
      </c>
      <c r="D96">
        <v>1368</v>
      </c>
      <c r="E96">
        <v>4</v>
      </c>
      <c r="F96">
        <v>3288</v>
      </c>
      <c r="G96">
        <v>5</v>
      </c>
    </row>
    <row r="97" spans="1:7">
      <c r="A97" t="s">
        <v>8014</v>
      </c>
      <c r="B97" t="s">
        <v>2211</v>
      </c>
      <c r="C97">
        <v>5</v>
      </c>
      <c r="D97">
        <v>2214</v>
      </c>
      <c r="E97">
        <v>5</v>
      </c>
      <c r="F97">
        <v>5274</v>
      </c>
      <c r="G97">
        <v>5</v>
      </c>
    </row>
    <row r="98" spans="1:7">
      <c r="A98" t="s">
        <v>8014</v>
      </c>
      <c r="B98" t="s">
        <v>2211</v>
      </c>
      <c r="C98">
        <v>6</v>
      </c>
      <c r="D98">
        <v>3852</v>
      </c>
      <c r="E98">
        <v>6</v>
      </c>
      <c r="F98">
        <v>8100</v>
      </c>
      <c r="G98">
        <v>6</v>
      </c>
    </row>
    <row r="99" spans="1:7">
      <c r="A99" t="s">
        <v>8014</v>
      </c>
      <c r="B99" t="s">
        <v>2211</v>
      </c>
      <c r="C99">
        <v>7</v>
      </c>
      <c r="D99">
        <v>9852</v>
      </c>
      <c r="E99">
        <v>7</v>
      </c>
      <c r="F99">
        <v>16800</v>
      </c>
      <c r="G99">
        <v>7</v>
      </c>
    </row>
    <row r="100" spans="1:7">
      <c r="A100" t="s">
        <v>8016</v>
      </c>
      <c r="B100" t="s">
        <v>8017</v>
      </c>
      <c r="C100">
        <v>1</v>
      </c>
      <c r="D100">
        <v>65</v>
      </c>
      <c r="E100">
        <v>3</v>
      </c>
      <c r="F100">
        <v>525</v>
      </c>
      <c r="G100">
        <v>5</v>
      </c>
    </row>
    <row r="101" spans="1:7">
      <c r="A101" t="s">
        <v>8016</v>
      </c>
      <c r="B101" t="s">
        <v>8017</v>
      </c>
      <c r="C101">
        <v>2</v>
      </c>
      <c r="D101">
        <v>196</v>
      </c>
      <c r="E101">
        <v>3</v>
      </c>
      <c r="F101">
        <v>975</v>
      </c>
      <c r="G101">
        <v>5</v>
      </c>
    </row>
    <row r="102" spans="1:7">
      <c r="A102" t="s">
        <v>8016</v>
      </c>
      <c r="B102" t="s">
        <v>8017</v>
      </c>
      <c r="C102">
        <v>3</v>
      </c>
      <c r="D102">
        <v>514</v>
      </c>
      <c r="E102">
        <v>3</v>
      </c>
      <c r="F102">
        <v>1582</v>
      </c>
      <c r="G102">
        <v>5</v>
      </c>
    </row>
    <row r="103" spans="1:7">
      <c r="A103" t="s">
        <v>8016</v>
      </c>
      <c r="B103" t="s">
        <v>8017</v>
      </c>
      <c r="C103">
        <v>4</v>
      </c>
      <c r="D103">
        <v>864</v>
      </c>
      <c r="E103">
        <v>4</v>
      </c>
      <c r="F103">
        <v>2184</v>
      </c>
      <c r="G103">
        <v>5</v>
      </c>
    </row>
    <row r="104" spans="1:7">
      <c r="A104" t="s">
        <v>8016</v>
      </c>
      <c r="B104" t="s">
        <v>8017</v>
      </c>
      <c r="C104">
        <v>5</v>
      </c>
      <c r="D104">
        <v>1512</v>
      </c>
      <c r="E104">
        <v>5</v>
      </c>
      <c r="F104">
        <v>3222</v>
      </c>
      <c r="G104">
        <v>5</v>
      </c>
    </row>
    <row r="105" spans="1:7">
      <c r="A105" t="s">
        <v>8016</v>
      </c>
      <c r="B105" t="s">
        <v>8017</v>
      </c>
      <c r="C105">
        <v>6</v>
      </c>
      <c r="D105">
        <v>2916</v>
      </c>
      <c r="E105">
        <v>6</v>
      </c>
      <c r="F105">
        <v>5580</v>
      </c>
      <c r="G105">
        <v>6</v>
      </c>
    </row>
    <row r="106" spans="1:7">
      <c r="A106" t="s">
        <v>8016</v>
      </c>
      <c r="B106" t="s">
        <v>8017</v>
      </c>
      <c r="C106">
        <v>7</v>
      </c>
      <c r="D106">
        <v>8646</v>
      </c>
      <c r="E106">
        <v>7</v>
      </c>
      <c r="F106">
        <v>13740</v>
      </c>
      <c r="G106">
        <v>7</v>
      </c>
    </row>
    <row r="107" spans="1:7">
      <c r="A107" t="s">
        <v>8019</v>
      </c>
      <c r="B107" t="s">
        <v>8020</v>
      </c>
      <c r="C107">
        <v>1</v>
      </c>
      <c r="D107">
        <v>43</v>
      </c>
      <c r="E107">
        <v>3</v>
      </c>
      <c r="F107">
        <v>465</v>
      </c>
      <c r="G107">
        <v>5</v>
      </c>
    </row>
    <row r="108" spans="1:7">
      <c r="A108" t="s">
        <v>8019</v>
      </c>
      <c r="B108" t="s">
        <v>8020</v>
      </c>
      <c r="C108">
        <v>2</v>
      </c>
      <c r="D108">
        <v>130</v>
      </c>
      <c r="E108">
        <v>3</v>
      </c>
      <c r="F108">
        <v>875</v>
      </c>
      <c r="G108">
        <v>5</v>
      </c>
    </row>
    <row r="109" spans="1:7">
      <c r="A109" t="s">
        <v>8019</v>
      </c>
      <c r="B109" t="s">
        <v>8020</v>
      </c>
      <c r="C109">
        <v>3</v>
      </c>
      <c r="D109">
        <v>324</v>
      </c>
      <c r="E109">
        <v>3</v>
      </c>
      <c r="F109">
        <v>1286</v>
      </c>
      <c r="G109">
        <v>5</v>
      </c>
    </row>
    <row r="110" spans="1:7">
      <c r="A110" t="s">
        <v>8019</v>
      </c>
      <c r="B110" t="s">
        <v>8020</v>
      </c>
      <c r="C110">
        <v>4</v>
      </c>
      <c r="D110">
        <v>584</v>
      </c>
      <c r="E110">
        <v>4</v>
      </c>
      <c r="F110">
        <v>1632</v>
      </c>
      <c r="G110">
        <v>5</v>
      </c>
    </row>
    <row r="111" spans="1:7">
      <c r="A111" t="s">
        <v>8019</v>
      </c>
      <c r="B111" t="s">
        <v>8020</v>
      </c>
      <c r="C111">
        <v>5</v>
      </c>
      <c r="D111">
        <v>1122</v>
      </c>
      <c r="E111">
        <v>5</v>
      </c>
      <c r="F111">
        <v>2082</v>
      </c>
      <c r="G111">
        <v>5</v>
      </c>
    </row>
    <row r="112" spans="1:7">
      <c r="A112" t="s">
        <v>8019</v>
      </c>
      <c r="B112" t="s">
        <v>8020</v>
      </c>
      <c r="C112">
        <v>6</v>
      </c>
      <c r="D112">
        <v>2396</v>
      </c>
      <c r="E112">
        <v>6</v>
      </c>
      <c r="F112">
        <v>4180</v>
      </c>
      <c r="G112">
        <v>6</v>
      </c>
    </row>
    <row r="113" spans="1:7">
      <c r="A113" t="s">
        <v>8019</v>
      </c>
      <c r="B113" t="s">
        <v>8020</v>
      </c>
      <c r="C113">
        <v>7</v>
      </c>
      <c r="D113">
        <v>7976</v>
      </c>
      <c r="E113">
        <v>7</v>
      </c>
      <c r="F113">
        <v>12040</v>
      </c>
      <c r="G113">
        <v>7</v>
      </c>
    </row>
    <row r="114" spans="1:7">
      <c r="A114" t="s">
        <v>8023</v>
      </c>
      <c r="B114" t="s">
        <v>8024</v>
      </c>
      <c r="C114">
        <v>1</v>
      </c>
      <c r="D114">
        <v>43</v>
      </c>
      <c r="E114">
        <v>3</v>
      </c>
      <c r="F114">
        <v>465</v>
      </c>
      <c r="G114">
        <v>5</v>
      </c>
    </row>
    <row r="115" spans="1:7">
      <c r="A115" t="s">
        <v>8023</v>
      </c>
      <c r="B115" t="s">
        <v>8024</v>
      </c>
      <c r="C115">
        <v>2</v>
      </c>
      <c r="D115">
        <v>130</v>
      </c>
      <c r="E115">
        <v>3</v>
      </c>
      <c r="F115">
        <v>875</v>
      </c>
      <c r="G115">
        <v>5</v>
      </c>
    </row>
    <row r="116" spans="1:7">
      <c r="A116" t="s">
        <v>8023</v>
      </c>
      <c r="B116" t="s">
        <v>8024</v>
      </c>
      <c r="C116">
        <v>3</v>
      </c>
      <c r="D116">
        <v>324</v>
      </c>
      <c r="E116">
        <v>3</v>
      </c>
      <c r="F116">
        <v>1286</v>
      </c>
      <c r="G116">
        <v>5</v>
      </c>
    </row>
    <row r="117" spans="1:7">
      <c r="A117" t="s">
        <v>8023</v>
      </c>
      <c r="B117" t="s">
        <v>8024</v>
      </c>
      <c r="C117">
        <v>4</v>
      </c>
      <c r="D117">
        <v>584</v>
      </c>
      <c r="E117">
        <v>4</v>
      </c>
      <c r="F117">
        <v>1632</v>
      </c>
      <c r="G117">
        <v>5</v>
      </c>
    </row>
    <row r="118" spans="1:7">
      <c r="A118" t="s">
        <v>8023</v>
      </c>
      <c r="B118" t="s">
        <v>8024</v>
      </c>
      <c r="C118">
        <v>5</v>
      </c>
      <c r="D118">
        <v>1122</v>
      </c>
      <c r="E118">
        <v>5</v>
      </c>
      <c r="F118">
        <v>2082</v>
      </c>
      <c r="G118">
        <v>5</v>
      </c>
    </row>
    <row r="119" spans="1:7">
      <c r="A119" t="s">
        <v>8023</v>
      </c>
      <c r="B119" t="s">
        <v>8024</v>
      </c>
      <c r="C119">
        <v>6</v>
      </c>
      <c r="D119">
        <v>2396</v>
      </c>
      <c r="E119">
        <v>6</v>
      </c>
      <c r="F119">
        <v>4180</v>
      </c>
      <c r="G119">
        <v>6</v>
      </c>
    </row>
    <row r="120" spans="1:7">
      <c r="A120" t="s">
        <v>8023</v>
      </c>
      <c r="B120" t="s">
        <v>8024</v>
      </c>
      <c r="C120">
        <v>7</v>
      </c>
      <c r="D120">
        <v>7976</v>
      </c>
      <c r="E120">
        <v>7</v>
      </c>
      <c r="F120">
        <v>12040</v>
      </c>
      <c r="G120">
        <v>7</v>
      </c>
    </row>
    <row r="121" spans="1:7">
      <c r="A121" t="s">
        <v>8026</v>
      </c>
      <c r="B121" t="s">
        <v>8027</v>
      </c>
      <c r="C121">
        <v>1</v>
      </c>
      <c r="D121">
        <v>43</v>
      </c>
      <c r="E121">
        <v>3</v>
      </c>
      <c r="F121">
        <v>465</v>
      </c>
      <c r="G121">
        <v>5</v>
      </c>
    </row>
    <row r="122" spans="1:7">
      <c r="A122" t="s">
        <v>8026</v>
      </c>
      <c r="B122" t="s">
        <v>8027</v>
      </c>
      <c r="C122">
        <v>2</v>
      </c>
      <c r="D122">
        <v>130</v>
      </c>
      <c r="E122">
        <v>3</v>
      </c>
      <c r="F122">
        <v>875</v>
      </c>
      <c r="G122">
        <v>5</v>
      </c>
    </row>
    <row r="123" spans="1:7">
      <c r="A123" t="s">
        <v>8026</v>
      </c>
      <c r="B123" t="s">
        <v>8027</v>
      </c>
      <c r="C123">
        <v>3</v>
      </c>
      <c r="D123">
        <v>324</v>
      </c>
      <c r="E123">
        <v>3</v>
      </c>
      <c r="F123">
        <v>1286</v>
      </c>
      <c r="G123">
        <v>5</v>
      </c>
    </row>
    <row r="124" spans="1:7">
      <c r="A124" t="s">
        <v>8026</v>
      </c>
      <c r="B124" t="s">
        <v>8027</v>
      </c>
      <c r="C124">
        <v>4</v>
      </c>
      <c r="D124">
        <v>584</v>
      </c>
      <c r="E124">
        <v>4</v>
      </c>
      <c r="F124">
        <v>1632</v>
      </c>
      <c r="G124">
        <v>5</v>
      </c>
    </row>
    <row r="125" spans="1:7">
      <c r="A125" t="s">
        <v>8026</v>
      </c>
      <c r="B125" t="s">
        <v>8027</v>
      </c>
      <c r="C125">
        <v>5</v>
      </c>
      <c r="D125">
        <v>1122</v>
      </c>
      <c r="E125">
        <v>5</v>
      </c>
      <c r="F125">
        <v>2082</v>
      </c>
      <c r="G125">
        <v>5</v>
      </c>
    </row>
    <row r="126" spans="1:7">
      <c r="A126" t="s">
        <v>8026</v>
      </c>
      <c r="B126" t="s">
        <v>8027</v>
      </c>
      <c r="C126">
        <v>6</v>
      </c>
      <c r="D126">
        <v>2396</v>
      </c>
      <c r="E126">
        <v>6</v>
      </c>
      <c r="F126">
        <v>4180</v>
      </c>
      <c r="G126">
        <v>6</v>
      </c>
    </row>
    <row r="127" spans="1:7">
      <c r="A127" t="s">
        <v>8026</v>
      </c>
      <c r="B127" t="s">
        <v>8027</v>
      </c>
      <c r="C127">
        <v>7</v>
      </c>
      <c r="D127">
        <v>7976</v>
      </c>
      <c r="E127">
        <v>7</v>
      </c>
      <c r="F127">
        <v>12040</v>
      </c>
      <c r="G127">
        <v>7</v>
      </c>
    </row>
    <row r="128" spans="1:7">
      <c r="A128" t="s">
        <v>8029</v>
      </c>
      <c r="B128" t="s">
        <v>8030</v>
      </c>
      <c r="C128">
        <v>1</v>
      </c>
      <c r="D128">
        <v>43</v>
      </c>
      <c r="E128">
        <v>3</v>
      </c>
      <c r="F128">
        <v>465</v>
      </c>
      <c r="G128">
        <v>5</v>
      </c>
    </row>
    <row r="129" spans="1:7">
      <c r="A129" t="s">
        <v>8029</v>
      </c>
      <c r="B129" t="s">
        <v>8030</v>
      </c>
      <c r="C129">
        <v>2</v>
      </c>
      <c r="D129">
        <v>130</v>
      </c>
      <c r="E129">
        <v>3</v>
      </c>
      <c r="F129">
        <v>875</v>
      </c>
      <c r="G129">
        <v>5</v>
      </c>
    </row>
    <row r="130" spans="1:7">
      <c r="A130" t="s">
        <v>8029</v>
      </c>
      <c r="B130" t="s">
        <v>8030</v>
      </c>
      <c r="C130">
        <v>3</v>
      </c>
      <c r="D130">
        <v>324</v>
      </c>
      <c r="E130">
        <v>3</v>
      </c>
      <c r="F130">
        <v>1286</v>
      </c>
      <c r="G130">
        <v>5</v>
      </c>
    </row>
    <row r="131" spans="1:7">
      <c r="A131" t="s">
        <v>8029</v>
      </c>
      <c r="B131" t="s">
        <v>8030</v>
      </c>
      <c r="C131">
        <v>4</v>
      </c>
      <c r="D131">
        <v>584</v>
      </c>
      <c r="E131">
        <v>4</v>
      </c>
      <c r="F131">
        <v>1632</v>
      </c>
      <c r="G131">
        <v>5</v>
      </c>
    </row>
    <row r="132" spans="1:7">
      <c r="A132" t="s">
        <v>8029</v>
      </c>
      <c r="B132" t="s">
        <v>8030</v>
      </c>
      <c r="C132">
        <v>5</v>
      </c>
      <c r="D132">
        <v>1122</v>
      </c>
      <c r="E132">
        <v>5</v>
      </c>
      <c r="F132">
        <v>2082</v>
      </c>
      <c r="G132">
        <v>5</v>
      </c>
    </row>
    <row r="133" spans="1:7">
      <c r="A133" t="s">
        <v>8029</v>
      </c>
      <c r="B133" t="s">
        <v>8030</v>
      </c>
      <c r="C133">
        <v>6</v>
      </c>
      <c r="D133">
        <v>2396</v>
      </c>
      <c r="E133">
        <v>6</v>
      </c>
      <c r="F133">
        <v>4180</v>
      </c>
      <c r="G133">
        <v>6</v>
      </c>
    </row>
    <row r="134" spans="1:7">
      <c r="A134" t="s">
        <v>8029</v>
      </c>
      <c r="B134" t="s">
        <v>8030</v>
      </c>
      <c r="C134">
        <v>7</v>
      </c>
      <c r="D134">
        <v>7976</v>
      </c>
      <c r="E134">
        <v>7</v>
      </c>
      <c r="F134">
        <v>12040</v>
      </c>
      <c r="G134">
        <v>7</v>
      </c>
    </row>
    <row r="135" spans="1:7">
      <c r="A135" t="s">
        <v>8033</v>
      </c>
      <c r="B135" t="s">
        <v>8034</v>
      </c>
      <c r="C135">
        <v>1</v>
      </c>
      <c r="D135">
        <v>43</v>
      </c>
      <c r="E135">
        <v>3</v>
      </c>
      <c r="F135">
        <v>465</v>
      </c>
      <c r="G135">
        <v>5</v>
      </c>
    </row>
    <row r="136" spans="1:7">
      <c r="A136" t="s">
        <v>8033</v>
      </c>
      <c r="B136" t="s">
        <v>8034</v>
      </c>
      <c r="C136">
        <v>2</v>
      </c>
      <c r="D136">
        <v>130</v>
      </c>
      <c r="E136">
        <v>3</v>
      </c>
      <c r="F136">
        <v>875</v>
      </c>
      <c r="G136">
        <v>5</v>
      </c>
    </row>
    <row r="137" spans="1:7">
      <c r="A137" t="s">
        <v>8033</v>
      </c>
      <c r="B137" t="s">
        <v>8034</v>
      </c>
      <c r="C137">
        <v>3</v>
      </c>
      <c r="D137">
        <v>324</v>
      </c>
      <c r="E137">
        <v>3</v>
      </c>
      <c r="F137">
        <v>1286</v>
      </c>
      <c r="G137">
        <v>5</v>
      </c>
    </row>
    <row r="138" spans="1:7">
      <c r="A138" t="s">
        <v>8033</v>
      </c>
      <c r="B138" t="s">
        <v>8034</v>
      </c>
      <c r="C138">
        <v>4</v>
      </c>
      <c r="D138">
        <v>584</v>
      </c>
      <c r="E138">
        <v>4</v>
      </c>
      <c r="F138">
        <v>1632</v>
      </c>
      <c r="G138">
        <v>5</v>
      </c>
    </row>
    <row r="139" spans="1:7">
      <c r="A139" t="s">
        <v>8033</v>
      </c>
      <c r="B139" t="s">
        <v>8034</v>
      </c>
      <c r="C139">
        <v>5</v>
      </c>
      <c r="D139">
        <v>1122</v>
      </c>
      <c r="E139">
        <v>5</v>
      </c>
      <c r="F139">
        <v>2082</v>
      </c>
      <c r="G139">
        <v>5</v>
      </c>
    </row>
    <row r="140" spans="1:7">
      <c r="A140" t="s">
        <v>8033</v>
      </c>
      <c r="B140" t="s">
        <v>8034</v>
      </c>
      <c r="C140">
        <v>6</v>
      </c>
      <c r="D140">
        <v>2396</v>
      </c>
      <c r="E140">
        <v>6</v>
      </c>
      <c r="F140">
        <v>4180</v>
      </c>
      <c r="G140">
        <v>6</v>
      </c>
    </row>
    <row r="141" spans="1:7">
      <c r="A141" t="s">
        <v>8033</v>
      </c>
      <c r="B141" t="s">
        <v>8034</v>
      </c>
      <c r="C141">
        <v>7</v>
      </c>
      <c r="D141">
        <v>7976</v>
      </c>
      <c r="E141">
        <v>7</v>
      </c>
      <c r="F141">
        <v>12040</v>
      </c>
      <c r="G141">
        <v>7</v>
      </c>
    </row>
    <row r="142" spans="1:7">
      <c r="A142" t="s">
        <v>8037</v>
      </c>
      <c r="B142" t="s">
        <v>8038</v>
      </c>
      <c r="C142">
        <v>1</v>
      </c>
      <c r="D142">
        <v>153</v>
      </c>
      <c r="E142">
        <v>3</v>
      </c>
      <c r="F142">
        <v>765</v>
      </c>
      <c r="G142">
        <v>5</v>
      </c>
    </row>
    <row r="143" spans="1:7">
      <c r="A143" t="s">
        <v>8037</v>
      </c>
      <c r="B143" t="s">
        <v>8038</v>
      </c>
      <c r="C143">
        <v>2</v>
      </c>
      <c r="D143">
        <v>460</v>
      </c>
      <c r="E143">
        <v>3</v>
      </c>
      <c r="F143">
        <v>1475</v>
      </c>
      <c r="G143">
        <v>5</v>
      </c>
    </row>
    <row r="144" spans="1:7">
      <c r="A144" t="s">
        <v>8037</v>
      </c>
      <c r="B144" t="s">
        <v>8038</v>
      </c>
      <c r="C144">
        <v>3</v>
      </c>
      <c r="D144">
        <v>1160</v>
      </c>
      <c r="E144">
        <v>3</v>
      </c>
      <c r="F144">
        <v>2766</v>
      </c>
      <c r="G144">
        <v>5</v>
      </c>
    </row>
    <row r="145" spans="1:7">
      <c r="A145" t="s">
        <v>8037</v>
      </c>
      <c r="B145" t="s">
        <v>8038</v>
      </c>
      <c r="C145">
        <v>4</v>
      </c>
      <c r="D145">
        <v>1816</v>
      </c>
      <c r="E145">
        <v>4</v>
      </c>
      <c r="F145">
        <v>4392</v>
      </c>
      <c r="G145">
        <v>5</v>
      </c>
    </row>
    <row r="146" spans="1:7">
      <c r="A146" t="s">
        <v>8037</v>
      </c>
      <c r="B146" t="s">
        <v>8038</v>
      </c>
      <c r="C146">
        <v>5</v>
      </c>
      <c r="D146">
        <v>2838</v>
      </c>
      <c r="E146">
        <v>5</v>
      </c>
      <c r="F146">
        <v>7098</v>
      </c>
      <c r="G146">
        <v>5</v>
      </c>
    </row>
    <row r="147" spans="1:7">
      <c r="A147" t="s">
        <v>8037</v>
      </c>
      <c r="B147" t="s">
        <v>8038</v>
      </c>
      <c r="C147">
        <v>6</v>
      </c>
      <c r="D147">
        <v>4684</v>
      </c>
      <c r="E147">
        <v>6</v>
      </c>
      <c r="F147">
        <v>10340</v>
      </c>
      <c r="G147">
        <v>6</v>
      </c>
    </row>
    <row r="148" spans="1:7">
      <c r="A148" t="s">
        <v>8037</v>
      </c>
      <c r="B148" t="s">
        <v>8038</v>
      </c>
      <c r="C148">
        <v>7</v>
      </c>
      <c r="D148">
        <v>10924</v>
      </c>
      <c r="E148">
        <v>7</v>
      </c>
      <c r="F148">
        <v>19520</v>
      </c>
      <c r="G148">
        <v>7</v>
      </c>
    </row>
    <row r="149" spans="1:7">
      <c r="A149" t="s">
        <v>8042</v>
      </c>
      <c r="B149" t="s">
        <v>8043</v>
      </c>
      <c r="C149">
        <v>1</v>
      </c>
      <c r="D149">
        <v>153</v>
      </c>
      <c r="E149">
        <v>3</v>
      </c>
      <c r="F149">
        <v>765</v>
      </c>
      <c r="G149">
        <v>5</v>
      </c>
    </row>
    <row r="150" spans="1:7">
      <c r="A150" t="s">
        <v>8042</v>
      </c>
      <c r="B150" t="s">
        <v>8043</v>
      </c>
      <c r="C150">
        <v>2</v>
      </c>
      <c r="D150">
        <v>460</v>
      </c>
      <c r="E150">
        <v>3</v>
      </c>
      <c r="F150">
        <v>1475</v>
      </c>
      <c r="G150">
        <v>5</v>
      </c>
    </row>
    <row r="151" spans="1:7">
      <c r="A151" t="s">
        <v>8042</v>
      </c>
      <c r="B151" t="s">
        <v>8043</v>
      </c>
      <c r="C151">
        <v>3</v>
      </c>
      <c r="D151">
        <v>1160</v>
      </c>
      <c r="E151">
        <v>3</v>
      </c>
      <c r="F151">
        <v>2766</v>
      </c>
      <c r="G151">
        <v>5</v>
      </c>
    </row>
    <row r="152" spans="1:7">
      <c r="A152" t="s">
        <v>8042</v>
      </c>
      <c r="B152" t="s">
        <v>8043</v>
      </c>
      <c r="C152">
        <v>4</v>
      </c>
      <c r="D152">
        <v>1816</v>
      </c>
      <c r="E152">
        <v>4</v>
      </c>
      <c r="F152">
        <v>4392</v>
      </c>
      <c r="G152">
        <v>5</v>
      </c>
    </row>
    <row r="153" spans="1:7">
      <c r="A153" t="s">
        <v>8042</v>
      </c>
      <c r="B153" t="s">
        <v>8043</v>
      </c>
      <c r="C153">
        <v>5</v>
      </c>
      <c r="D153">
        <v>2838</v>
      </c>
      <c r="E153">
        <v>5</v>
      </c>
      <c r="F153">
        <v>7098</v>
      </c>
      <c r="G153">
        <v>5</v>
      </c>
    </row>
    <row r="154" spans="1:7">
      <c r="A154" t="s">
        <v>8042</v>
      </c>
      <c r="B154" t="s">
        <v>8043</v>
      </c>
      <c r="C154">
        <v>6</v>
      </c>
      <c r="D154">
        <v>4684</v>
      </c>
      <c r="E154">
        <v>6</v>
      </c>
      <c r="F154">
        <v>10340</v>
      </c>
      <c r="G154">
        <v>6</v>
      </c>
    </row>
    <row r="155" spans="1:7">
      <c r="A155" t="s">
        <v>8042</v>
      </c>
      <c r="B155" t="s">
        <v>8043</v>
      </c>
      <c r="C155">
        <v>7</v>
      </c>
      <c r="D155">
        <v>10924</v>
      </c>
      <c r="E155">
        <v>7</v>
      </c>
      <c r="F155">
        <v>19520</v>
      </c>
      <c r="G155">
        <v>7</v>
      </c>
    </row>
    <row r="156" spans="1:7">
      <c r="A156" t="s">
        <v>8046</v>
      </c>
      <c r="B156" t="s">
        <v>8047</v>
      </c>
      <c r="C156">
        <v>1</v>
      </c>
      <c r="D156">
        <v>153</v>
      </c>
      <c r="E156">
        <v>3</v>
      </c>
      <c r="F156">
        <v>765</v>
      </c>
      <c r="G156">
        <v>5</v>
      </c>
    </row>
    <row r="157" spans="1:7">
      <c r="A157" t="s">
        <v>8046</v>
      </c>
      <c r="B157" t="s">
        <v>8047</v>
      </c>
      <c r="C157">
        <v>2</v>
      </c>
      <c r="D157">
        <v>460</v>
      </c>
      <c r="E157">
        <v>3</v>
      </c>
      <c r="F157">
        <v>1475</v>
      </c>
      <c r="G157">
        <v>5</v>
      </c>
    </row>
    <row r="158" spans="1:7">
      <c r="A158" t="s">
        <v>8046</v>
      </c>
      <c r="B158" t="s">
        <v>8047</v>
      </c>
      <c r="C158">
        <v>3</v>
      </c>
      <c r="D158">
        <v>1160</v>
      </c>
      <c r="E158">
        <v>3</v>
      </c>
      <c r="F158">
        <v>2766</v>
      </c>
      <c r="G158">
        <v>5</v>
      </c>
    </row>
    <row r="159" spans="1:7">
      <c r="A159" t="s">
        <v>8046</v>
      </c>
      <c r="B159" t="s">
        <v>8047</v>
      </c>
      <c r="C159">
        <v>4</v>
      </c>
      <c r="D159">
        <v>1816</v>
      </c>
      <c r="E159">
        <v>4</v>
      </c>
      <c r="F159">
        <v>4392</v>
      </c>
      <c r="G159">
        <v>5</v>
      </c>
    </row>
    <row r="160" spans="1:7">
      <c r="A160" t="s">
        <v>8046</v>
      </c>
      <c r="B160" t="s">
        <v>8047</v>
      </c>
      <c r="C160">
        <v>5</v>
      </c>
      <c r="D160">
        <v>2838</v>
      </c>
      <c r="E160">
        <v>5</v>
      </c>
      <c r="F160">
        <v>7098</v>
      </c>
      <c r="G160">
        <v>5</v>
      </c>
    </row>
    <row r="161" spans="1:7">
      <c r="A161" t="s">
        <v>8046</v>
      </c>
      <c r="B161" t="s">
        <v>8047</v>
      </c>
      <c r="C161">
        <v>6</v>
      </c>
      <c r="D161">
        <v>4684</v>
      </c>
      <c r="E161">
        <v>6</v>
      </c>
      <c r="F161">
        <v>10340</v>
      </c>
      <c r="G161">
        <v>6</v>
      </c>
    </row>
    <row r="162" spans="1:7">
      <c r="A162" t="s">
        <v>8046</v>
      </c>
      <c r="B162" t="s">
        <v>8047</v>
      </c>
      <c r="C162">
        <v>7</v>
      </c>
      <c r="D162">
        <v>10924</v>
      </c>
      <c r="E162">
        <v>7</v>
      </c>
      <c r="F162">
        <v>19520</v>
      </c>
      <c r="G162">
        <v>7</v>
      </c>
    </row>
    <row r="163" spans="1:7">
      <c r="A163" t="s">
        <v>8050</v>
      </c>
      <c r="B163" t="s">
        <v>8051</v>
      </c>
      <c r="C163">
        <v>1</v>
      </c>
      <c r="D163">
        <v>153</v>
      </c>
      <c r="E163">
        <v>3</v>
      </c>
      <c r="F163">
        <v>765</v>
      </c>
      <c r="G163">
        <v>5</v>
      </c>
    </row>
    <row r="164" spans="1:7">
      <c r="A164" t="s">
        <v>8050</v>
      </c>
      <c r="B164" t="s">
        <v>8051</v>
      </c>
      <c r="C164">
        <v>2</v>
      </c>
      <c r="D164">
        <v>460</v>
      </c>
      <c r="E164">
        <v>3</v>
      </c>
      <c r="F164">
        <v>1475</v>
      </c>
      <c r="G164">
        <v>5</v>
      </c>
    </row>
    <row r="165" spans="1:7">
      <c r="A165" t="s">
        <v>8050</v>
      </c>
      <c r="B165" t="s">
        <v>8051</v>
      </c>
      <c r="C165">
        <v>3</v>
      </c>
      <c r="D165">
        <v>1160</v>
      </c>
      <c r="E165">
        <v>3</v>
      </c>
      <c r="F165">
        <v>2766</v>
      </c>
      <c r="G165">
        <v>5</v>
      </c>
    </row>
    <row r="166" spans="1:7">
      <c r="A166" t="s">
        <v>8050</v>
      </c>
      <c r="B166" t="s">
        <v>8051</v>
      </c>
      <c r="C166">
        <v>4</v>
      </c>
      <c r="D166">
        <v>1816</v>
      </c>
      <c r="E166">
        <v>4</v>
      </c>
      <c r="F166">
        <v>4392</v>
      </c>
      <c r="G166">
        <v>5</v>
      </c>
    </row>
    <row r="167" spans="1:7">
      <c r="A167" t="s">
        <v>8050</v>
      </c>
      <c r="B167" t="s">
        <v>8051</v>
      </c>
      <c r="C167">
        <v>5</v>
      </c>
      <c r="D167">
        <v>2838</v>
      </c>
      <c r="E167">
        <v>5</v>
      </c>
      <c r="F167">
        <v>7098</v>
      </c>
      <c r="G167">
        <v>5</v>
      </c>
    </row>
    <row r="168" spans="1:7">
      <c r="A168" t="s">
        <v>8050</v>
      </c>
      <c r="B168" t="s">
        <v>8051</v>
      </c>
      <c r="C168">
        <v>6</v>
      </c>
      <c r="D168">
        <v>4684</v>
      </c>
      <c r="E168">
        <v>6</v>
      </c>
      <c r="F168">
        <v>10340</v>
      </c>
      <c r="G168">
        <v>6</v>
      </c>
    </row>
    <row r="169" spans="1:7">
      <c r="A169" t="s">
        <v>8050</v>
      </c>
      <c r="B169" t="s">
        <v>8051</v>
      </c>
      <c r="C169">
        <v>7</v>
      </c>
      <c r="D169">
        <v>10924</v>
      </c>
      <c r="E169">
        <v>7</v>
      </c>
      <c r="F169">
        <v>19520</v>
      </c>
      <c r="G169">
        <v>7</v>
      </c>
    </row>
    <row r="170" spans="1:7">
      <c r="A170" t="s">
        <v>8055</v>
      </c>
      <c r="B170" t="s">
        <v>8056</v>
      </c>
      <c r="C170">
        <v>1</v>
      </c>
      <c r="D170">
        <v>153</v>
      </c>
      <c r="E170">
        <v>3</v>
      </c>
      <c r="F170">
        <v>765</v>
      </c>
      <c r="G170">
        <v>5</v>
      </c>
    </row>
    <row r="171" spans="1:7">
      <c r="A171" t="s">
        <v>8055</v>
      </c>
      <c r="B171" t="s">
        <v>8056</v>
      </c>
      <c r="C171">
        <v>2</v>
      </c>
      <c r="D171">
        <v>460</v>
      </c>
      <c r="E171">
        <v>3</v>
      </c>
      <c r="F171">
        <v>1475</v>
      </c>
      <c r="G171">
        <v>5</v>
      </c>
    </row>
    <row r="172" spans="1:7">
      <c r="A172" t="s">
        <v>8055</v>
      </c>
      <c r="B172" t="s">
        <v>8056</v>
      </c>
      <c r="C172">
        <v>3</v>
      </c>
      <c r="D172">
        <v>1160</v>
      </c>
      <c r="E172">
        <v>3</v>
      </c>
      <c r="F172">
        <v>2766</v>
      </c>
      <c r="G172">
        <v>5</v>
      </c>
    </row>
    <row r="173" spans="1:7">
      <c r="A173" t="s">
        <v>8055</v>
      </c>
      <c r="B173" t="s">
        <v>8056</v>
      </c>
      <c r="C173">
        <v>4</v>
      </c>
      <c r="D173">
        <v>1816</v>
      </c>
      <c r="E173">
        <v>4</v>
      </c>
      <c r="F173">
        <v>4392</v>
      </c>
      <c r="G173">
        <v>5</v>
      </c>
    </row>
    <row r="174" spans="1:7">
      <c r="A174" t="s">
        <v>8055</v>
      </c>
      <c r="B174" t="s">
        <v>8056</v>
      </c>
      <c r="C174">
        <v>5</v>
      </c>
      <c r="D174">
        <v>2838</v>
      </c>
      <c r="E174">
        <v>5</v>
      </c>
      <c r="F174">
        <v>7098</v>
      </c>
      <c r="G174">
        <v>5</v>
      </c>
    </row>
    <row r="175" spans="1:7">
      <c r="A175" t="s">
        <v>8055</v>
      </c>
      <c r="B175" t="s">
        <v>8056</v>
      </c>
      <c r="C175">
        <v>6</v>
      </c>
      <c r="D175">
        <v>4684</v>
      </c>
      <c r="E175">
        <v>6</v>
      </c>
      <c r="F175">
        <v>10340</v>
      </c>
      <c r="G175">
        <v>6</v>
      </c>
    </row>
    <row r="176" spans="1:7">
      <c r="A176" t="s">
        <v>8055</v>
      </c>
      <c r="B176" t="s">
        <v>8056</v>
      </c>
      <c r="C176">
        <v>7</v>
      </c>
      <c r="D176">
        <v>10924</v>
      </c>
      <c r="E176">
        <v>7</v>
      </c>
      <c r="F176">
        <v>19520</v>
      </c>
      <c r="G176">
        <v>7</v>
      </c>
    </row>
    <row r="177" spans="1:7">
      <c r="A177" t="s">
        <v>8059</v>
      </c>
      <c r="B177" t="s">
        <v>2145</v>
      </c>
      <c r="C177">
        <v>1</v>
      </c>
      <c r="D177">
        <v>417</v>
      </c>
      <c r="E177">
        <v>3</v>
      </c>
      <c r="F177">
        <v>1365</v>
      </c>
      <c r="G177">
        <v>5</v>
      </c>
    </row>
    <row r="178" spans="1:7">
      <c r="A178" t="s">
        <v>8059</v>
      </c>
      <c r="B178" t="s">
        <v>2145</v>
      </c>
      <c r="C178">
        <v>2</v>
      </c>
      <c r="D178">
        <v>1252</v>
      </c>
      <c r="E178">
        <v>3</v>
      </c>
      <c r="F178">
        <v>3075</v>
      </c>
      <c r="G178">
        <v>5</v>
      </c>
    </row>
    <row r="179" spans="1:7">
      <c r="A179" t="s">
        <v>8059</v>
      </c>
      <c r="B179" t="s">
        <v>2145</v>
      </c>
      <c r="C179">
        <v>3</v>
      </c>
      <c r="D179">
        <v>3212</v>
      </c>
      <c r="E179">
        <v>3</v>
      </c>
      <c r="F179">
        <v>6318</v>
      </c>
      <c r="G179">
        <v>5</v>
      </c>
    </row>
    <row r="180" spans="1:7">
      <c r="A180" t="s">
        <v>8059</v>
      </c>
      <c r="B180" t="s">
        <v>2145</v>
      </c>
      <c r="C180">
        <v>4</v>
      </c>
      <c r="D180">
        <v>4840</v>
      </c>
      <c r="E180">
        <v>4</v>
      </c>
      <c r="F180">
        <v>11016</v>
      </c>
      <c r="G180">
        <v>5</v>
      </c>
    </row>
    <row r="181" spans="1:7">
      <c r="A181" t="s">
        <v>8059</v>
      </c>
      <c r="B181" t="s">
        <v>2145</v>
      </c>
      <c r="C181">
        <v>5</v>
      </c>
      <c r="D181">
        <v>7050</v>
      </c>
      <c r="E181">
        <v>5</v>
      </c>
      <c r="F181">
        <v>19410</v>
      </c>
      <c r="G181">
        <v>5</v>
      </c>
    </row>
    <row r="182" spans="1:7">
      <c r="A182" t="s">
        <v>8059</v>
      </c>
      <c r="B182" t="s">
        <v>2145</v>
      </c>
      <c r="C182">
        <v>6</v>
      </c>
      <c r="D182">
        <v>10300</v>
      </c>
      <c r="E182">
        <v>6</v>
      </c>
      <c r="F182">
        <v>25460</v>
      </c>
      <c r="G182">
        <v>6</v>
      </c>
    </row>
    <row r="183" spans="1:7">
      <c r="A183" t="s">
        <v>8059</v>
      </c>
      <c r="B183" t="s">
        <v>2145</v>
      </c>
      <c r="C183">
        <v>7</v>
      </c>
      <c r="D183">
        <v>18160</v>
      </c>
      <c r="E183">
        <v>7</v>
      </c>
      <c r="F183">
        <v>37880</v>
      </c>
      <c r="G183">
        <v>7</v>
      </c>
    </row>
    <row r="184" spans="1:7">
      <c r="A184" t="s">
        <v>8062</v>
      </c>
      <c r="B184" t="s">
        <v>8063</v>
      </c>
      <c r="C184">
        <v>1</v>
      </c>
      <c r="D184">
        <v>109</v>
      </c>
      <c r="E184">
        <v>3</v>
      </c>
      <c r="F184">
        <v>645</v>
      </c>
      <c r="G184">
        <v>5</v>
      </c>
    </row>
    <row r="185" spans="1:7">
      <c r="A185" t="s">
        <v>8062</v>
      </c>
      <c r="B185" t="s">
        <v>8063</v>
      </c>
      <c r="C185">
        <v>2</v>
      </c>
      <c r="D185">
        <v>328</v>
      </c>
      <c r="E185">
        <v>3</v>
      </c>
      <c r="F185">
        <v>1275</v>
      </c>
      <c r="G185">
        <v>5</v>
      </c>
    </row>
    <row r="186" spans="1:7">
      <c r="A186" t="s">
        <v>8062</v>
      </c>
      <c r="B186" t="s">
        <v>8063</v>
      </c>
      <c r="C186">
        <v>3</v>
      </c>
      <c r="D186">
        <v>856</v>
      </c>
      <c r="E186">
        <v>3</v>
      </c>
      <c r="F186">
        <v>2174</v>
      </c>
      <c r="G186">
        <v>5</v>
      </c>
    </row>
    <row r="187" spans="1:7">
      <c r="A187" t="s">
        <v>8062</v>
      </c>
      <c r="B187" t="s">
        <v>8063</v>
      </c>
      <c r="C187">
        <v>4</v>
      </c>
      <c r="D187">
        <v>1368</v>
      </c>
      <c r="E187">
        <v>4</v>
      </c>
      <c r="F187">
        <v>3288</v>
      </c>
      <c r="G187">
        <v>5</v>
      </c>
    </row>
    <row r="188" spans="1:7">
      <c r="A188" t="s">
        <v>8062</v>
      </c>
      <c r="B188" t="s">
        <v>8063</v>
      </c>
      <c r="C188">
        <v>5</v>
      </c>
      <c r="D188">
        <v>2214</v>
      </c>
      <c r="E188">
        <v>5</v>
      </c>
      <c r="F188">
        <v>5274</v>
      </c>
      <c r="G188">
        <v>5</v>
      </c>
    </row>
    <row r="189" spans="1:7">
      <c r="A189" t="s">
        <v>8062</v>
      </c>
      <c r="B189" t="s">
        <v>8063</v>
      </c>
      <c r="C189">
        <v>6</v>
      </c>
      <c r="D189">
        <v>3852</v>
      </c>
      <c r="E189">
        <v>6</v>
      </c>
      <c r="F189">
        <v>8100</v>
      </c>
      <c r="G189">
        <v>6</v>
      </c>
    </row>
    <row r="190" spans="1:7">
      <c r="A190" t="s">
        <v>8062</v>
      </c>
      <c r="B190" t="s">
        <v>8063</v>
      </c>
      <c r="C190">
        <v>7</v>
      </c>
      <c r="D190">
        <v>9852</v>
      </c>
      <c r="E190">
        <v>7</v>
      </c>
      <c r="F190">
        <v>16800</v>
      </c>
      <c r="G190">
        <v>7</v>
      </c>
    </row>
    <row r="191" spans="1:7">
      <c r="A191" t="s">
        <v>8066</v>
      </c>
      <c r="B191" t="s">
        <v>8067</v>
      </c>
      <c r="C191">
        <v>1</v>
      </c>
      <c r="D191">
        <v>109</v>
      </c>
      <c r="E191">
        <v>3</v>
      </c>
      <c r="F191">
        <v>645</v>
      </c>
      <c r="G191">
        <v>5</v>
      </c>
    </row>
    <row r="192" spans="1:7">
      <c r="A192" t="s">
        <v>8066</v>
      </c>
      <c r="B192" t="s">
        <v>8067</v>
      </c>
      <c r="C192">
        <v>2</v>
      </c>
      <c r="D192">
        <v>328</v>
      </c>
      <c r="E192">
        <v>3</v>
      </c>
      <c r="F192">
        <v>1275</v>
      </c>
      <c r="G192">
        <v>5</v>
      </c>
    </row>
    <row r="193" spans="1:7">
      <c r="A193" t="s">
        <v>8066</v>
      </c>
      <c r="B193" t="s">
        <v>8067</v>
      </c>
      <c r="C193">
        <v>3</v>
      </c>
      <c r="D193">
        <v>856</v>
      </c>
      <c r="E193">
        <v>3</v>
      </c>
      <c r="F193">
        <v>2174</v>
      </c>
      <c r="G193">
        <v>5</v>
      </c>
    </row>
    <row r="194" spans="1:7">
      <c r="A194" t="s">
        <v>8066</v>
      </c>
      <c r="B194" t="s">
        <v>8067</v>
      </c>
      <c r="C194">
        <v>4</v>
      </c>
      <c r="D194">
        <v>1368</v>
      </c>
      <c r="E194">
        <v>4</v>
      </c>
      <c r="F194">
        <v>3288</v>
      </c>
      <c r="G194">
        <v>5</v>
      </c>
    </row>
    <row r="195" spans="1:7">
      <c r="A195" t="s">
        <v>8066</v>
      </c>
      <c r="B195" t="s">
        <v>8067</v>
      </c>
      <c r="C195">
        <v>5</v>
      </c>
      <c r="D195">
        <v>2214</v>
      </c>
      <c r="E195">
        <v>5</v>
      </c>
      <c r="F195">
        <v>5274</v>
      </c>
      <c r="G195">
        <v>5</v>
      </c>
    </row>
    <row r="196" spans="1:7">
      <c r="A196" t="s">
        <v>8066</v>
      </c>
      <c r="B196" t="s">
        <v>8067</v>
      </c>
      <c r="C196">
        <v>6</v>
      </c>
      <c r="D196">
        <v>3852</v>
      </c>
      <c r="E196">
        <v>6</v>
      </c>
      <c r="F196">
        <v>8100</v>
      </c>
      <c r="G196">
        <v>6</v>
      </c>
    </row>
    <row r="197" spans="1:7">
      <c r="A197" t="s">
        <v>8066</v>
      </c>
      <c r="B197" t="s">
        <v>8067</v>
      </c>
      <c r="C197">
        <v>7</v>
      </c>
      <c r="D197">
        <v>9852</v>
      </c>
      <c r="E197">
        <v>7</v>
      </c>
      <c r="F197">
        <v>16800</v>
      </c>
      <c r="G197">
        <v>7</v>
      </c>
    </row>
    <row r="198" spans="1:7">
      <c r="A198" t="s">
        <v>8069</v>
      </c>
      <c r="B198" t="s">
        <v>8070</v>
      </c>
      <c r="C198">
        <v>1</v>
      </c>
      <c r="D198">
        <v>109</v>
      </c>
      <c r="E198">
        <v>3</v>
      </c>
      <c r="F198">
        <v>645</v>
      </c>
      <c r="G198">
        <v>5</v>
      </c>
    </row>
    <row r="199" spans="1:7">
      <c r="A199" t="s">
        <v>8069</v>
      </c>
      <c r="B199" t="s">
        <v>8070</v>
      </c>
      <c r="C199">
        <v>2</v>
      </c>
      <c r="D199">
        <v>328</v>
      </c>
      <c r="E199">
        <v>3</v>
      </c>
      <c r="F199">
        <v>1275</v>
      </c>
      <c r="G199">
        <v>5</v>
      </c>
    </row>
    <row r="200" spans="1:7">
      <c r="A200" t="s">
        <v>8069</v>
      </c>
      <c r="B200" t="s">
        <v>8070</v>
      </c>
      <c r="C200">
        <v>3</v>
      </c>
      <c r="D200">
        <v>856</v>
      </c>
      <c r="E200">
        <v>3</v>
      </c>
      <c r="F200">
        <v>2174</v>
      </c>
      <c r="G200">
        <v>5</v>
      </c>
    </row>
    <row r="201" spans="1:7">
      <c r="A201" t="s">
        <v>8069</v>
      </c>
      <c r="B201" t="s">
        <v>8070</v>
      </c>
      <c r="C201">
        <v>4</v>
      </c>
      <c r="D201">
        <v>1368</v>
      </c>
      <c r="E201">
        <v>4</v>
      </c>
      <c r="F201">
        <v>3288</v>
      </c>
      <c r="G201">
        <v>5</v>
      </c>
    </row>
    <row r="202" spans="1:7">
      <c r="A202" t="s">
        <v>8069</v>
      </c>
      <c r="B202" t="s">
        <v>8070</v>
      </c>
      <c r="C202">
        <v>5</v>
      </c>
      <c r="D202">
        <v>2214</v>
      </c>
      <c r="E202">
        <v>5</v>
      </c>
      <c r="F202">
        <v>5274</v>
      </c>
      <c r="G202">
        <v>5</v>
      </c>
    </row>
    <row r="203" spans="1:7">
      <c r="A203" t="s">
        <v>8069</v>
      </c>
      <c r="B203" t="s">
        <v>8070</v>
      </c>
      <c r="C203">
        <v>6</v>
      </c>
      <c r="D203">
        <v>3852</v>
      </c>
      <c r="E203">
        <v>6</v>
      </c>
      <c r="F203">
        <v>8100</v>
      </c>
      <c r="G203">
        <v>6</v>
      </c>
    </row>
    <row r="204" spans="1:7">
      <c r="A204" t="s">
        <v>8069</v>
      </c>
      <c r="B204" t="s">
        <v>8070</v>
      </c>
      <c r="C204">
        <v>7</v>
      </c>
      <c r="D204">
        <v>9852</v>
      </c>
      <c r="E204">
        <v>7</v>
      </c>
      <c r="F204">
        <v>16800</v>
      </c>
      <c r="G204">
        <v>7</v>
      </c>
    </row>
    <row r="205" spans="1:7">
      <c r="A205" t="s">
        <v>8072</v>
      </c>
      <c r="B205" t="s">
        <v>8073</v>
      </c>
      <c r="C205">
        <v>1</v>
      </c>
      <c r="D205">
        <v>109</v>
      </c>
      <c r="E205">
        <v>3</v>
      </c>
      <c r="F205">
        <v>645</v>
      </c>
      <c r="G205">
        <v>5</v>
      </c>
    </row>
    <row r="206" spans="1:7">
      <c r="A206" t="s">
        <v>8072</v>
      </c>
      <c r="B206" t="s">
        <v>8073</v>
      </c>
      <c r="C206">
        <v>2</v>
      </c>
      <c r="D206">
        <v>328</v>
      </c>
      <c r="E206">
        <v>3</v>
      </c>
      <c r="F206">
        <v>1275</v>
      </c>
      <c r="G206">
        <v>5</v>
      </c>
    </row>
    <row r="207" spans="1:7">
      <c r="A207" t="s">
        <v>8072</v>
      </c>
      <c r="B207" t="s">
        <v>8073</v>
      </c>
      <c r="C207">
        <v>3</v>
      </c>
      <c r="D207">
        <v>856</v>
      </c>
      <c r="E207">
        <v>3</v>
      </c>
      <c r="F207">
        <v>2174</v>
      </c>
      <c r="G207">
        <v>5</v>
      </c>
    </row>
    <row r="208" spans="1:7">
      <c r="A208" t="s">
        <v>8072</v>
      </c>
      <c r="B208" t="s">
        <v>8073</v>
      </c>
      <c r="C208">
        <v>4</v>
      </c>
      <c r="D208">
        <v>1368</v>
      </c>
      <c r="E208">
        <v>4</v>
      </c>
      <c r="F208">
        <v>3288</v>
      </c>
      <c r="G208">
        <v>5</v>
      </c>
    </row>
    <row r="209" spans="1:7">
      <c r="A209" t="s">
        <v>8072</v>
      </c>
      <c r="B209" t="s">
        <v>8073</v>
      </c>
      <c r="C209">
        <v>5</v>
      </c>
      <c r="D209">
        <v>2214</v>
      </c>
      <c r="E209">
        <v>5</v>
      </c>
      <c r="F209">
        <v>5274</v>
      </c>
      <c r="G209">
        <v>5</v>
      </c>
    </row>
    <row r="210" spans="1:7">
      <c r="A210" t="s">
        <v>8072</v>
      </c>
      <c r="B210" t="s">
        <v>8073</v>
      </c>
      <c r="C210">
        <v>6</v>
      </c>
      <c r="D210">
        <v>3852</v>
      </c>
      <c r="E210">
        <v>6</v>
      </c>
      <c r="F210">
        <v>8100</v>
      </c>
      <c r="G210">
        <v>6</v>
      </c>
    </row>
    <row r="211" spans="1:7">
      <c r="A211" t="s">
        <v>8072</v>
      </c>
      <c r="B211" t="s">
        <v>8073</v>
      </c>
      <c r="C211">
        <v>7</v>
      </c>
      <c r="D211">
        <v>9852</v>
      </c>
      <c r="E211">
        <v>7</v>
      </c>
      <c r="F211">
        <v>16800</v>
      </c>
      <c r="G211">
        <v>7</v>
      </c>
    </row>
    <row r="212" spans="1:7">
      <c r="A212" t="s">
        <v>8075</v>
      </c>
      <c r="B212" t="s">
        <v>2237</v>
      </c>
      <c r="C212">
        <v>1</v>
      </c>
      <c r="D212">
        <v>472</v>
      </c>
      <c r="E212">
        <v>3</v>
      </c>
      <c r="F212">
        <v>1545</v>
      </c>
      <c r="G212">
        <v>5</v>
      </c>
    </row>
    <row r="213" spans="1:7">
      <c r="A213" t="s">
        <v>8075</v>
      </c>
      <c r="B213" t="s">
        <v>2237</v>
      </c>
      <c r="C213">
        <v>2</v>
      </c>
      <c r="D213">
        <v>1428</v>
      </c>
      <c r="E213">
        <v>3</v>
      </c>
      <c r="F213">
        <v>3475</v>
      </c>
      <c r="G213">
        <v>5</v>
      </c>
    </row>
    <row r="214" spans="1:7">
      <c r="A214" t="s">
        <v>8075</v>
      </c>
      <c r="B214" t="s">
        <v>2237</v>
      </c>
      <c r="C214">
        <v>3</v>
      </c>
      <c r="D214">
        <v>3668</v>
      </c>
      <c r="E214">
        <v>3</v>
      </c>
      <c r="F214">
        <v>7058</v>
      </c>
      <c r="G214">
        <v>5</v>
      </c>
    </row>
    <row r="215" spans="1:7">
      <c r="A215" t="s">
        <v>8075</v>
      </c>
      <c r="B215" t="s">
        <v>2237</v>
      </c>
      <c r="C215">
        <v>4</v>
      </c>
      <c r="D215">
        <v>5512</v>
      </c>
      <c r="E215">
        <v>4</v>
      </c>
      <c r="F215">
        <v>12488</v>
      </c>
      <c r="G215">
        <v>5</v>
      </c>
    </row>
    <row r="216" spans="1:7">
      <c r="A216" t="s">
        <v>8075</v>
      </c>
      <c r="B216" t="s">
        <v>2237</v>
      </c>
      <c r="C216">
        <v>5</v>
      </c>
      <c r="D216">
        <v>7986</v>
      </c>
      <c r="E216">
        <v>5</v>
      </c>
      <c r="F216">
        <v>22146</v>
      </c>
      <c r="G216">
        <v>5</v>
      </c>
    </row>
    <row r="217" spans="1:7">
      <c r="A217" t="s">
        <v>8075</v>
      </c>
      <c r="B217" t="s">
        <v>2237</v>
      </c>
      <c r="C217">
        <v>6</v>
      </c>
      <c r="D217">
        <v>11548</v>
      </c>
      <c r="E217">
        <v>6</v>
      </c>
      <c r="F217">
        <v>28820</v>
      </c>
      <c r="G217">
        <v>6</v>
      </c>
    </row>
    <row r="218" spans="1:7">
      <c r="A218" t="s">
        <v>8075</v>
      </c>
      <c r="B218" t="s">
        <v>2237</v>
      </c>
      <c r="C218">
        <v>7</v>
      </c>
      <c r="D218">
        <v>19768</v>
      </c>
      <c r="E218">
        <v>7</v>
      </c>
      <c r="F218">
        <v>41960</v>
      </c>
      <c r="G218">
        <v>7</v>
      </c>
    </row>
    <row r="219" spans="1:7">
      <c r="A219" t="s">
        <v>8078</v>
      </c>
      <c r="B219" t="s">
        <v>2139</v>
      </c>
      <c r="C219">
        <v>1</v>
      </c>
      <c r="D219">
        <v>8821</v>
      </c>
      <c r="E219">
        <v>3</v>
      </c>
      <c r="F219">
        <v>21765</v>
      </c>
      <c r="G219">
        <v>5</v>
      </c>
    </row>
    <row r="220" spans="1:7">
      <c r="A220" t="s">
        <v>8078</v>
      </c>
      <c r="B220" t="s">
        <v>2139</v>
      </c>
      <c r="C220">
        <v>2</v>
      </c>
      <c r="D220">
        <v>26464</v>
      </c>
      <c r="E220">
        <v>3</v>
      </c>
      <c r="F220">
        <v>54075</v>
      </c>
      <c r="G220">
        <v>5</v>
      </c>
    </row>
    <row r="221" spans="1:7">
      <c r="A221" t="s">
        <v>8078</v>
      </c>
      <c r="B221" t="s">
        <v>2139</v>
      </c>
      <c r="C221">
        <v>3</v>
      </c>
      <c r="D221">
        <v>68572</v>
      </c>
      <c r="E221">
        <v>3</v>
      </c>
      <c r="F221">
        <v>119390</v>
      </c>
      <c r="G221">
        <v>5</v>
      </c>
    </row>
    <row r="222" spans="1:7">
      <c r="A222" t="s">
        <v>8078</v>
      </c>
      <c r="B222" t="s">
        <v>2139</v>
      </c>
      <c r="C222">
        <v>4</v>
      </c>
      <c r="D222">
        <v>101160</v>
      </c>
      <c r="E222">
        <v>4</v>
      </c>
      <c r="F222">
        <v>221880</v>
      </c>
      <c r="G222">
        <v>5</v>
      </c>
    </row>
    <row r="223" spans="1:7">
      <c r="A223" t="s">
        <v>8078</v>
      </c>
      <c r="B223" t="s">
        <v>2139</v>
      </c>
      <c r="C223">
        <v>5</v>
      </c>
      <c r="D223">
        <v>141210</v>
      </c>
      <c r="E223">
        <v>5</v>
      </c>
      <c r="F223">
        <v>411570</v>
      </c>
      <c r="G223">
        <v>5</v>
      </c>
    </row>
    <row r="224" spans="1:7">
      <c r="A224" t="s">
        <v>8078</v>
      </c>
      <c r="B224" t="s">
        <v>2139</v>
      </c>
      <c r="C224">
        <v>6</v>
      </c>
      <c r="D224">
        <v>189180</v>
      </c>
      <c r="E224">
        <v>6</v>
      </c>
      <c r="F224">
        <v>507060</v>
      </c>
      <c r="G224">
        <v>6</v>
      </c>
    </row>
    <row r="225" spans="1:7">
      <c r="A225" t="s">
        <v>8078</v>
      </c>
      <c r="B225" t="s">
        <v>2139</v>
      </c>
      <c r="C225">
        <v>7</v>
      </c>
      <c r="D225">
        <v>248640</v>
      </c>
      <c r="E225">
        <v>7</v>
      </c>
      <c r="F225">
        <v>622680</v>
      </c>
      <c r="G225">
        <v>7</v>
      </c>
    </row>
    <row r="226" spans="1:7">
      <c r="A226" t="s">
        <v>8080</v>
      </c>
      <c r="B226" t="s">
        <v>8081</v>
      </c>
      <c r="C226">
        <v>1</v>
      </c>
      <c r="D226">
        <v>659</v>
      </c>
      <c r="E226">
        <v>3</v>
      </c>
      <c r="F226">
        <v>1965</v>
      </c>
      <c r="G226">
        <v>5</v>
      </c>
    </row>
    <row r="227" spans="1:7">
      <c r="A227" t="s">
        <v>8080</v>
      </c>
      <c r="B227" t="s">
        <v>8081</v>
      </c>
      <c r="C227">
        <v>2</v>
      </c>
      <c r="D227">
        <v>1978</v>
      </c>
      <c r="E227">
        <v>3</v>
      </c>
      <c r="F227">
        <v>4575</v>
      </c>
      <c r="G227">
        <v>5</v>
      </c>
    </row>
    <row r="228" spans="1:7">
      <c r="A228" t="s">
        <v>8080</v>
      </c>
      <c r="B228" t="s">
        <v>8081</v>
      </c>
      <c r="C228">
        <v>3</v>
      </c>
      <c r="D228">
        <v>5112</v>
      </c>
      <c r="E228">
        <v>3</v>
      </c>
      <c r="F228">
        <v>9574</v>
      </c>
      <c r="G228">
        <v>5</v>
      </c>
    </row>
    <row r="229" spans="1:7">
      <c r="A229" t="s">
        <v>8080</v>
      </c>
      <c r="B229" t="s">
        <v>8081</v>
      </c>
      <c r="C229">
        <v>4</v>
      </c>
      <c r="D229">
        <v>7640</v>
      </c>
      <c r="E229">
        <v>4</v>
      </c>
      <c r="F229">
        <v>17088</v>
      </c>
      <c r="G229">
        <v>5</v>
      </c>
    </row>
    <row r="230" spans="1:7">
      <c r="A230" t="s">
        <v>8080</v>
      </c>
      <c r="B230" t="s">
        <v>8081</v>
      </c>
      <c r="C230">
        <v>5</v>
      </c>
      <c r="D230">
        <v>10950</v>
      </c>
      <c r="E230">
        <v>5</v>
      </c>
      <c r="F230">
        <v>30810</v>
      </c>
      <c r="G230">
        <v>5</v>
      </c>
    </row>
    <row r="231" spans="1:7">
      <c r="A231" t="s">
        <v>8080</v>
      </c>
      <c r="B231" t="s">
        <v>8081</v>
      </c>
      <c r="C231">
        <v>6</v>
      </c>
      <c r="D231">
        <v>15500</v>
      </c>
      <c r="E231">
        <v>6</v>
      </c>
      <c r="F231">
        <v>39460</v>
      </c>
      <c r="G231">
        <v>6</v>
      </c>
    </row>
    <row r="232" spans="1:7">
      <c r="A232" t="s">
        <v>8080</v>
      </c>
      <c r="B232" t="s">
        <v>8081</v>
      </c>
      <c r="C232">
        <v>7</v>
      </c>
      <c r="D232">
        <v>24860</v>
      </c>
      <c r="E232">
        <v>7</v>
      </c>
      <c r="F232">
        <v>54880</v>
      </c>
      <c r="G232">
        <v>7</v>
      </c>
    </row>
    <row r="233" spans="1:7">
      <c r="A233" t="s">
        <v>8082</v>
      </c>
      <c r="B233" t="s">
        <v>2255</v>
      </c>
      <c r="C233">
        <v>1</v>
      </c>
      <c r="D233">
        <v>6874</v>
      </c>
      <c r="E233">
        <v>3</v>
      </c>
      <c r="F233">
        <v>17025</v>
      </c>
      <c r="G233">
        <v>5</v>
      </c>
    </row>
    <row r="234" spans="1:7">
      <c r="A234" t="s">
        <v>8082</v>
      </c>
      <c r="B234" t="s">
        <v>2255</v>
      </c>
      <c r="C234">
        <v>2</v>
      </c>
      <c r="D234">
        <v>20612</v>
      </c>
      <c r="E234">
        <v>3</v>
      </c>
      <c r="F234">
        <v>42175</v>
      </c>
      <c r="G234">
        <v>5</v>
      </c>
    </row>
    <row r="235" spans="1:7">
      <c r="A235" t="s">
        <v>8082</v>
      </c>
      <c r="B235" t="s">
        <v>2255</v>
      </c>
      <c r="C235">
        <v>3</v>
      </c>
      <c r="D235">
        <v>53372</v>
      </c>
      <c r="E235">
        <v>3</v>
      </c>
      <c r="F235">
        <v>93194</v>
      </c>
      <c r="G235">
        <v>5</v>
      </c>
    </row>
    <row r="236" spans="1:7">
      <c r="A236" t="s">
        <v>8082</v>
      </c>
      <c r="B236" t="s">
        <v>2255</v>
      </c>
      <c r="C236">
        <v>4</v>
      </c>
      <c r="D236">
        <v>78760</v>
      </c>
      <c r="E236">
        <v>4</v>
      </c>
      <c r="F236">
        <v>172936</v>
      </c>
      <c r="G236">
        <v>5</v>
      </c>
    </row>
    <row r="237" spans="1:7">
      <c r="A237" t="s">
        <v>8082</v>
      </c>
      <c r="B237" t="s">
        <v>2255</v>
      </c>
      <c r="C237">
        <v>5</v>
      </c>
      <c r="D237">
        <v>110010</v>
      </c>
      <c r="E237">
        <v>5</v>
      </c>
      <c r="F237">
        <v>320370</v>
      </c>
      <c r="G237">
        <v>5</v>
      </c>
    </row>
    <row r="238" spans="1:7">
      <c r="A238" t="s">
        <v>8082</v>
      </c>
      <c r="B238" t="s">
        <v>2255</v>
      </c>
      <c r="C238">
        <v>6</v>
      </c>
      <c r="D238">
        <v>147580</v>
      </c>
      <c r="E238">
        <v>6</v>
      </c>
      <c r="F238">
        <v>395060</v>
      </c>
      <c r="G238">
        <v>6</v>
      </c>
    </row>
    <row r="239" spans="1:7">
      <c r="A239" t="s">
        <v>8082</v>
      </c>
      <c r="B239" t="s">
        <v>2255</v>
      </c>
      <c r="C239">
        <v>7</v>
      </c>
      <c r="D239">
        <v>195040</v>
      </c>
      <c r="E239">
        <v>7</v>
      </c>
      <c r="F239">
        <v>486680</v>
      </c>
      <c r="G239">
        <v>7</v>
      </c>
    </row>
    <row r="240" spans="1:7">
      <c r="A240" t="s">
        <v>8084</v>
      </c>
      <c r="B240" t="s">
        <v>2264</v>
      </c>
      <c r="C240">
        <v>1</v>
      </c>
      <c r="D240">
        <v>461</v>
      </c>
      <c r="E240">
        <v>3</v>
      </c>
      <c r="F240">
        <v>1485</v>
      </c>
      <c r="G240">
        <v>5</v>
      </c>
    </row>
    <row r="241" spans="1:7">
      <c r="A241" t="s">
        <v>8084</v>
      </c>
      <c r="B241" t="s">
        <v>2264</v>
      </c>
      <c r="C241">
        <v>2</v>
      </c>
      <c r="D241">
        <v>1362</v>
      </c>
      <c r="E241">
        <v>3</v>
      </c>
      <c r="F241">
        <v>3375</v>
      </c>
      <c r="G241">
        <v>5</v>
      </c>
    </row>
    <row r="242" spans="1:7">
      <c r="A242" t="s">
        <v>8084</v>
      </c>
      <c r="B242" t="s">
        <v>2264</v>
      </c>
      <c r="C242">
        <v>3</v>
      </c>
      <c r="D242">
        <v>3516</v>
      </c>
      <c r="E242">
        <v>3</v>
      </c>
      <c r="F242">
        <v>6910</v>
      </c>
      <c r="G242">
        <v>5</v>
      </c>
    </row>
    <row r="243" spans="1:7">
      <c r="A243" t="s">
        <v>8084</v>
      </c>
      <c r="B243" t="s">
        <v>2264</v>
      </c>
      <c r="C243">
        <v>4</v>
      </c>
      <c r="D243">
        <v>5288</v>
      </c>
      <c r="E243">
        <v>4</v>
      </c>
      <c r="F243">
        <v>11936</v>
      </c>
      <c r="G243">
        <v>5</v>
      </c>
    </row>
    <row r="244" spans="1:7">
      <c r="A244" t="s">
        <v>8084</v>
      </c>
      <c r="B244" t="s">
        <v>2264</v>
      </c>
      <c r="C244">
        <v>5</v>
      </c>
      <c r="D244">
        <v>7674</v>
      </c>
      <c r="E244">
        <v>5</v>
      </c>
      <c r="F244">
        <v>21234</v>
      </c>
      <c r="G244">
        <v>5</v>
      </c>
    </row>
    <row r="245" spans="1:7">
      <c r="A245" t="s">
        <v>8084</v>
      </c>
      <c r="B245" t="s">
        <v>2264</v>
      </c>
      <c r="C245">
        <v>6</v>
      </c>
      <c r="D245">
        <v>11132</v>
      </c>
      <c r="E245">
        <v>6</v>
      </c>
      <c r="F245">
        <v>27700</v>
      </c>
      <c r="G245">
        <v>6</v>
      </c>
    </row>
    <row r="246" spans="1:7">
      <c r="A246" t="s">
        <v>8084</v>
      </c>
      <c r="B246" t="s">
        <v>2264</v>
      </c>
      <c r="C246">
        <v>7</v>
      </c>
      <c r="D246">
        <v>19232</v>
      </c>
      <c r="E246">
        <v>7</v>
      </c>
      <c r="F246">
        <v>40600</v>
      </c>
      <c r="G246">
        <v>7</v>
      </c>
    </row>
    <row r="247" spans="1:7">
      <c r="A247" t="s">
        <v>8086</v>
      </c>
      <c r="B247" t="s">
        <v>2036</v>
      </c>
      <c r="C247">
        <v>1</v>
      </c>
      <c r="D247">
        <v>1671</v>
      </c>
      <c r="E247">
        <v>3</v>
      </c>
      <c r="F247">
        <v>4425</v>
      </c>
      <c r="G247">
        <v>5</v>
      </c>
    </row>
    <row r="248" spans="1:7">
      <c r="A248" t="s">
        <v>8086</v>
      </c>
      <c r="B248" t="s">
        <v>2036</v>
      </c>
      <c r="C248">
        <v>2</v>
      </c>
      <c r="D248">
        <v>4992</v>
      </c>
      <c r="E248">
        <v>3</v>
      </c>
      <c r="F248">
        <v>10675</v>
      </c>
      <c r="G248">
        <v>5</v>
      </c>
    </row>
    <row r="249" spans="1:7">
      <c r="A249" t="s">
        <v>8086</v>
      </c>
      <c r="B249" t="s">
        <v>2036</v>
      </c>
      <c r="C249">
        <v>3</v>
      </c>
      <c r="D249">
        <v>12940</v>
      </c>
      <c r="E249">
        <v>3</v>
      </c>
      <c r="F249">
        <v>23190</v>
      </c>
      <c r="G249">
        <v>5</v>
      </c>
    </row>
    <row r="250" spans="1:7">
      <c r="A250" t="s">
        <v>8086</v>
      </c>
      <c r="B250" t="s">
        <v>2036</v>
      </c>
      <c r="C250">
        <v>4</v>
      </c>
      <c r="D250">
        <v>19176</v>
      </c>
      <c r="E250">
        <v>4</v>
      </c>
      <c r="F250">
        <v>42296</v>
      </c>
      <c r="G250">
        <v>5</v>
      </c>
    </row>
    <row r="251" spans="1:7">
      <c r="A251" t="s">
        <v>8086</v>
      </c>
      <c r="B251" t="s">
        <v>2036</v>
      </c>
      <c r="C251">
        <v>5</v>
      </c>
      <c r="D251">
        <v>27018</v>
      </c>
      <c r="E251">
        <v>5</v>
      </c>
      <c r="F251">
        <v>77778</v>
      </c>
      <c r="G251">
        <v>5</v>
      </c>
    </row>
    <row r="252" spans="1:7">
      <c r="A252" t="s">
        <v>8086</v>
      </c>
      <c r="B252" t="s">
        <v>2036</v>
      </c>
      <c r="C252">
        <v>6</v>
      </c>
      <c r="D252">
        <v>36924</v>
      </c>
      <c r="E252">
        <v>6</v>
      </c>
      <c r="F252">
        <v>97140</v>
      </c>
      <c r="G252">
        <v>6</v>
      </c>
    </row>
    <row r="253" spans="1:7">
      <c r="A253" t="s">
        <v>8086</v>
      </c>
      <c r="B253" t="s">
        <v>2036</v>
      </c>
      <c r="C253">
        <v>7</v>
      </c>
      <c r="D253">
        <v>52464</v>
      </c>
      <c r="E253">
        <v>7</v>
      </c>
      <c r="F253">
        <v>124920</v>
      </c>
      <c r="G253">
        <v>7</v>
      </c>
    </row>
    <row r="254" spans="1:7">
      <c r="A254" t="s">
        <v>8088</v>
      </c>
      <c r="B254" t="s">
        <v>2285</v>
      </c>
      <c r="C254">
        <v>1</v>
      </c>
      <c r="D254">
        <v>131</v>
      </c>
      <c r="E254">
        <v>3</v>
      </c>
      <c r="F254">
        <v>705</v>
      </c>
      <c r="G254">
        <v>5</v>
      </c>
    </row>
    <row r="255" spans="1:7">
      <c r="A255" t="s">
        <v>8088</v>
      </c>
      <c r="B255" t="s">
        <v>2285</v>
      </c>
      <c r="C255">
        <v>2</v>
      </c>
      <c r="D255">
        <v>394</v>
      </c>
      <c r="E255">
        <v>3</v>
      </c>
      <c r="F255">
        <v>1375</v>
      </c>
      <c r="G255">
        <v>5</v>
      </c>
    </row>
    <row r="256" spans="1:7">
      <c r="A256" t="s">
        <v>8088</v>
      </c>
      <c r="B256" t="s">
        <v>2285</v>
      </c>
      <c r="C256">
        <v>3</v>
      </c>
      <c r="D256">
        <v>1008</v>
      </c>
      <c r="E256">
        <v>3</v>
      </c>
      <c r="F256">
        <v>2470</v>
      </c>
      <c r="G256">
        <v>5</v>
      </c>
    </row>
    <row r="257" spans="1:7">
      <c r="A257" t="s">
        <v>8088</v>
      </c>
      <c r="B257" t="s">
        <v>2285</v>
      </c>
      <c r="C257">
        <v>4</v>
      </c>
      <c r="D257">
        <v>1592</v>
      </c>
      <c r="E257">
        <v>4</v>
      </c>
      <c r="F257">
        <v>3840</v>
      </c>
      <c r="G257">
        <v>5</v>
      </c>
    </row>
    <row r="258" spans="1:7">
      <c r="A258" t="s">
        <v>8088</v>
      </c>
      <c r="B258" t="s">
        <v>2285</v>
      </c>
      <c r="C258">
        <v>5</v>
      </c>
      <c r="D258">
        <v>2526</v>
      </c>
      <c r="E258">
        <v>5</v>
      </c>
      <c r="F258">
        <v>6186</v>
      </c>
      <c r="G258">
        <v>5</v>
      </c>
    </row>
    <row r="259" spans="1:7">
      <c r="A259" t="s">
        <v>8088</v>
      </c>
      <c r="B259" t="s">
        <v>2285</v>
      </c>
      <c r="C259">
        <v>6</v>
      </c>
      <c r="D259">
        <v>4268</v>
      </c>
      <c r="E259">
        <v>6</v>
      </c>
      <c r="F259">
        <v>9220</v>
      </c>
      <c r="G259">
        <v>6</v>
      </c>
    </row>
    <row r="260" spans="1:7">
      <c r="A260" t="s">
        <v>8088</v>
      </c>
      <c r="B260" t="s">
        <v>2285</v>
      </c>
      <c r="C260">
        <v>7</v>
      </c>
      <c r="D260">
        <v>10388</v>
      </c>
      <c r="E260">
        <v>7</v>
      </c>
      <c r="F260">
        <v>18160</v>
      </c>
      <c r="G260">
        <v>7</v>
      </c>
    </row>
    <row r="261" spans="1:7">
      <c r="A261" t="s">
        <v>8091</v>
      </c>
      <c r="B261" t="s">
        <v>2282</v>
      </c>
      <c r="C261">
        <v>1</v>
      </c>
      <c r="D261">
        <v>4718</v>
      </c>
      <c r="E261">
        <v>3</v>
      </c>
      <c r="F261">
        <v>11805</v>
      </c>
      <c r="G261">
        <v>5</v>
      </c>
    </row>
    <row r="262" spans="1:7">
      <c r="A262" t="s">
        <v>8091</v>
      </c>
      <c r="B262" t="s">
        <v>2282</v>
      </c>
      <c r="C262">
        <v>2</v>
      </c>
      <c r="D262">
        <v>14144</v>
      </c>
      <c r="E262">
        <v>3</v>
      </c>
      <c r="F262">
        <v>29175</v>
      </c>
      <c r="G262">
        <v>5</v>
      </c>
    </row>
    <row r="263" spans="1:7">
      <c r="A263" t="s">
        <v>8091</v>
      </c>
      <c r="B263" t="s">
        <v>2282</v>
      </c>
      <c r="C263">
        <v>3</v>
      </c>
      <c r="D263">
        <v>36652</v>
      </c>
      <c r="E263">
        <v>3</v>
      </c>
      <c r="F263">
        <v>64186</v>
      </c>
      <c r="G263">
        <v>5</v>
      </c>
    </row>
    <row r="264" spans="1:7">
      <c r="A264" t="s">
        <v>8091</v>
      </c>
      <c r="B264" t="s">
        <v>2282</v>
      </c>
      <c r="C264">
        <v>4</v>
      </c>
      <c r="D264">
        <v>54120</v>
      </c>
      <c r="E264">
        <v>4</v>
      </c>
      <c r="F264">
        <v>118840</v>
      </c>
      <c r="G264">
        <v>5</v>
      </c>
    </row>
    <row r="265" spans="1:7">
      <c r="A265" t="s">
        <v>8091</v>
      </c>
      <c r="B265" t="s">
        <v>2282</v>
      </c>
      <c r="C265">
        <v>5</v>
      </c>
      <c r="D265">
        <v>75690</v>
      </c>
      <c r="E265">
        <v>5</v>
      </c>
      <c r="F265">
        <v>220050</v>
      </c>
      <c r="G265">
        <v>5</v>
      </c>
    </row>
    <row r="266" spans="1:7">
      <c r="A266" t="s">
        <v>8091</v>
      </c>
      <c r="B266" t="s">
        <v>2282</v>
      </c>
      <c r="C266">
        <v>6</v>
      </c>
      <c r="D266">
        <v>101820</v>
      </c>
      <c r="E266">
        <v>6</v>
      </c>
      <c r="F266">
        <v>271860</v>
      </c>
      <c r="G266">
        <v>6</v>
      </c>
    </row>
    <row r="267" spans="1:7">
      <c r="A267" t="s">
        <v>8091</v>
      </c>
      <c r="B267" t="s">
        <v>2282</v>
      </c>
      <c r="C267">
        <v>7</v>
      </c>
      <c r="D267">
        <v>136080</v>
      </c>
      <c r="E267">
        <v>7</v>
      </c>
      <c r="F267">
        <v>337080</v>
      </c>
      <c r="G267">
        <v>7</v>
      </c>
    </row>
    <row r="268" spans="1:7">
      <c r="A268" t="s">
        <v>8093</v>
      </c>
      <c r="B268" t="s">
        <v>2294</v>
      </c>
      <c r="C268">
        <v>1</v>
      </c>
      <c r="D268">
        <v>2958</v>
      </c>
      <c r="E268">
        <v>3</v>
      </c>
      <c r="F268">
        <v>7545</v>
      </c>
      <c r="G268">
        <v>5</v>
      </c>
    </row>
    <row r="269" spans="1:7">
      <c r="A269" t="s">
        <v>8093</v>
      </c>
      <c r="B269" t="s">
        <v>2294</v>
      </c>
      <c r="C269">
        <v>2</v>
      </c>
      <c r="D269">
        <v>8864</v>
      </c>
      <c r="E269">
        <v>3</v>
      </c>
      <c r="F269">
        <v>18475</v>
      </c>
      <c r="G269">
        <v>5</v>
      </c>
    </row>
    <row r="270" spans="1:7">
      <c r="A270" t="s">
        <v>8093</v>
      </c>
      <c r="B270" t="s">
        <v>2294</v>
      </c>
      <c r="C270">
        <v>3</v>
      </c>
      <c r="D270">
        <v>22972</v>
      </c>
      <c r="E270">
        <v>3</v>
      </c>
      <c r="F270">
        <v>40506</v>
      </c>
      <c r="G270">
        <v>5</v>
      </c>
    </row>
    <row r="271" spans="1:7">
      <c r="A271" t="s">
        <v>8093</v>
      </c>
      <c r="B271" t="s">
        <v>2294</v>
      </c>
      <c r="C271">
        <v>4</v>
      </c>
      <c r="D271">
        <v>33960</v>
      </c>
      <c r="E271">
        <v>4</v>
      </c>
      <c r="F271">
        <v>74680</v>
      </c>
      <c r="G271">
        <v>5</v>
      </c>
    </row>
    <row r="272" spans="1:7">
      <c r="A272" t="s">
        <v>8093</v>
      </c>
      <c r="B272" t="s">
        <v>2294</v>
      </c>
      <c r="C272">
        <v>5</v>
      </c>
      <c r="D272">
        <v>47610</v>
      </c>
      <c r="E272">
        <v>5</v>
      </c>
      <c r="F272">
        <v>137970</v>
      </c>
      <c r="G272">
        <v>5</v>
      </c>
    </row>
    <row r="273" spans="1:7">
      <c r="A273" t="s">
        <v>8093</v>
      </c>
      <c r="B273" t="s">
        <v>2294</v>
      </c>
      <c r="C273">
        <v>6</v>
      </c>
      <c r="D273">
        <v>64380</v>
      </c>
      <c r="E273">
        <v>6</v>
      </c>
      <c r="F273">
        <v>171060</v>
      </c>
      <c r="G273">
        <v>6</v>
      </c>
    </row>
    <row r="274" spans="1:7">
      <c r="A274" t="s">
        <v>8093</v>
      </c>
      <c r="B274" t="s">
        <v>2294</v>
      </c>
      <c r="C274">
        <v>7</v>
      </c>
      <c r="D274">
        <v>87840</v>
      </c>
      <c r="E274">
        <v>7</v>
      </c>
      <c r="F274">
        <v>214680</v>
      </c>
      <c r="G274">
        <v>7</v>
      </c>
    </row>
    <row r="275" spans="1:7">
      <c r="A275" t="s">
        <v>8095</v>
      </c>
      <c r="B275" t="s">
        <v>2045</v>
      </c>
      <c r="C275">
        <v>1</v>
      </c>
      <c r="D275">
        <v>1286</v>
      </c>
      <c r="E275">
        <v>3</v>
      </c>
      <c r="F275">
        <v>3465</v>
      </c>
      <c r="G275">
        <v>5</v>
      </c>
    </row>
    <row r="276" spans="1:7">
      <c r="A276" t="s">
        <v>8095</v>
      </c>
      <c r="B276" t="s">
        <v>2045</v>
      </c>
      <c r="C276">
        <v>2</v>
      </c>
      <c r="D276">
        <v>3848</v>
      </c>
      <c r="E276">
        <v>3</v>
      </c>
      <c r="F276">
        <v>8375</v>
      </c>
      <c r="G276">
        <v>5</v>
      </c>
    </row>
    <row r="277" spans="1:7">
      <c r="A277" t="s">
        <v>8095</v>
      </c>
      <c r="B277" t="s">
        <v>2045</v>
      </c>
      <c r="C277">
        <v>3</v>
      </c>
      <c r="D277">
        <v>9976</v>
      </c>
      <c r="E277">
        <v>3</v>
      </c>
      <c r="F277">
        <v>18010</v>
      </c>
      <c r="G277">
        <v>5</v>
      </c>
    </row>
    <row r="278" spans="1:7">
      <c r="A278" t="s">
        <v>8095</v>
      </c>
      <c r="B278" t="s">
        <v>2045</v>
      </c>
      <c r="C278">
        <v>4</v>
      </c>
      <c r="D278">
        <v>14808</v>
      </c>
      <c r="E278">
        <v>4</v>
      </c>
      <c r="F278">
        <v>32728</v>
      </c>
      <c r="G278">
        <v>5</v>
      </c>
    </row>
    <row r="279" spans="1:7">
      <c r="A279" t="s">
        <v>8095</v>
      </c>
      <c r="B279" t="s">
        <v>2045</v>
      </c>
      <c r="C279">
        <v>5</v>
      </c>
      <c r="D279">
        <v>20934</v>
      </c>
      <c r="E279">
        <v>5</v>
      </c>
      <c r="F279">
        <v>59994</v>
      </c>
      <c r="G279">
        <v>5</v>
      </c>
    </row>
    <row r="280" spans="1:7">
      <c r="A280" t="s">
        <v>8095</v>
      </c>
      <c r="B280" t="s">
        <v>2045</v>
      </c>
      <c r="C280">
        <v>6</v>
      </c>
      <c r="D280">
        <v>28812</v>
      </c>
      <c r="E280">
        <v>6</v>
      </c>
      <c r="F280">
        <v>75300</v>
      </c>
      <c r="G280">
        <v>6</v>
      </c>
    </row>
    <row r="281" spans="1:7">
      <c r="A281" t="s">
        <v>8095</v>
      </c>
      <c r="B281" t="s">
        <v>2045</v>
      </c>
      <c r="C281">
        <v>7</v>
      </c>
      <c r="D281">
        <v>42012</v>
      </c>
      <c r="E281">
        <v>7</v>
      </c>
      <c r="F281">
        <v>98400</v>
      </c>
      <c r="G281">
        <v>7</v>
      </c>
    </row>
    <row r="282" spans="1:7">
      <c r="A282" t="s">
        <v>8097</v>
      </c>
      <c r="B282" t="s">
        <v>2048</v>
      </c>
      <c r="C282">
        <v>1</v>
      </c>
      <c r="D282">
        <v>1594</v>
      </c>
      <c r="E282">
        <v>3</v>
      </c>
      <c r="F282">
        <v>4245</v>
      </c>
      <c r="G282">
        <v>5</v>
      </c>
    </row>
    <row r="283" spans="1:7">
      <c r="A283" t="s">
        <v>8097</v>
      </c>
      <c r="B283" t="s">
        <v>2048</v>
      </c>
      <c r="C283">
        <v>2</v>
      </c>
      <c r="D283">
        <v>4772</v>
      </c>
      <c r="E283">
        <v>3</v>
      </c>
      <c r="F283">
        <v>10175</v>
      </c>
      <c r="G283">
        <v>5</v>
      </c>
    </row>
    <row r="284" spans="1:7">
      <c r="A284" t="s">
        <v>8097</v>
      </c>
      <c r="B284" t="s">
        <v>2048</v>
      </c>
      <c r="C284">
        <v>3</v>
      </c>
      <c r="D284">
        <v>12332</v>
      </c>
      <c r="E284">
        <v>3</v>
      </c>
      <c r="F284">
        <v>22154</v>
      </c>
      <c r="G284">
        <v>5</v>
      </c>
    </row>
    <row r="285" spans="1:7">
      <c r="A285" t="s">
        <v>8097</v>
      </c>
      <c r="B285" t="s">
        <v>2048</v>
      </c>
      <c r="C285">
        <v>4</v>
      </c>
      <c r="D285">
        <v>18280</v>
      </c>
      <c r="E285">
        <v>4</v>
      </c>
      <c r="F285">
        <v>40456</v>
      </c>
      <c r="G285">
        <v>5</v>
      </c>
    </row>
    <row r="286" spans="1:7">
      <c r="A286" t="s">
        <v>8097</v>
      </c>
      <c r="B286" t="s">
        <v>2048</v>
      </c>
      <c r="C286">
        <v>5</v>
      </c>
      <c r="D286">
        <v>25770</v>
      </c>
      <c r="E286">
        <v>5</v>
      </c>
      <c r="F286">
        <v>74130</v>
      </c>
      <c r="G286">
        <v>5</v>
      </c>
    </row>
    <row r="287" spans="1:7">
      <c r="A287" t="s">
        <v>8097</v>
      </c>
      <c r="B287" t="s">
        <v>2048</v>
      </c>
      <c r="C287">
        <v>6</v>
      </c>
      <c r="D287">
        <v>35260</v>
      </c>
      <c r="E287">
        <v>6</v>
      </c>
      <c r="F287">
        <v>92660</v>
      </c>
      <c r="G287">
        <v>6</v>
      </c>
    </row>
    <row r="288" spans="1:7">
      <c r="A288" t="s">
        <v>8097</v>
      </c>
      <c r="B288" t="s">
        <v>2048</v>
      </c>
      <c r="C288">
        <v>7</v>
      </c>
      <c r="D288">
        <v>50320</v>
      </c>
      <c r="E288">
        <v>7</v>
      </c>
      <c r="F288">
        <v>119480</v>
      </c>
      <c r="G288">
        <v>7</v>
      </c>
    </row>
    <row r="289" spans="1:7">
      <c r="A289" t="s">
        <v>8099</v>
      </c>
      <c r="B289" t="s">
        <v>2312</v>
      </c>
      <c r="C289">
        <v>1</v>
      </c>
      <c r="D289">
        <v>3937</v>
      </c>
      <c r="E289">
        <v>3</v>
      </c>
      <c r="F289">
        <v>9945</v>
      </c>
      <c r="G289">
        <v>5</v>
      </c>
    </row>
    <row r="290" spans="1:7">
      <c r="A290" t="s">
        <v>8099</v>
      </c>
      <c r="B290" t="s">
        <v>2312</v>
      </c>
      <c r="C290">
        <v>2</v>
      </c>
      <c r="D290">
        <v>11812</v>
      </c>
      <c r="E290">
        <v>3</v>
      </c>
      <c r="F290">
        <v>24475</v>
      </c>
      <c r="G290">
        <v>5</v>
      </c>
    </row>
    <row r="291" spans="1:7">
      <c r="A291" t="s">
        <v>8099</v>
      </c>
      <c r="B291" t="s">
        <v>2312</v>
      </c>
      <c r="C291">
        <v>3</v>
      </c>
      <c r="D291">
        <v>30572</v>
      </c>
      <c r="E291">
        <v>3</v>
      </c>
      <c r="F291">
        <v>53678</v>
      </c>
      <c r="G291">
        <v>5</v>
      </c>
    </row>
    <row r="292" spans="1:7">
      <c r="A292" t="s">
        <v>8099</v>
      </c>
      <c r="B292" t="s">
        <v>2312</v>
      </c>
      <c r="C292">
        <v>4</v>
      </c>
      <c r="D292">
        <v>45160</v>
      </c>
      <c r="E292">
        <v>4</v>
      </c>
      <c r="F292">
        <v>99336</v>
      </c>
      <c r="G292">
        <v>5</v>
      </c>
    </row>
    <row r="293" spans="1:7">
      <c r="A293" t="s">
        <v>8099</v>
      </c>
      <c r="B293" t="s">
        <v>2312</v>
      </c>
      <c r="C293">
        <v>5</v>
      </c>
      <c r="D293">
        <v>63210</v>
      </c>
      <c r="E293">
        <v>5</v>
      </c>
      <c r="F293">
        <v>183570</v>
      </c>
      <c r="G293">
        <v>5</v>
      </c>
    </row>
    <row r="294" spans="1:7">
      <c r="A294" t="s">
        <v>8099</v>
      </c>
      <c r="B294" t="s">
        <v>2312</v>
      </c>
      <c r="C294">
        <v>6</v>
      </c>
      <c r="D294">
        <v>85180</v>
      </c>
      <c r="E294">
        <v>6</v>
      </c>
      <c r="F294">
        <v>227060</v>
      </c>
      <c r="G294">
        <v>6</v>
      </c>
    </row>
    <row r="295" spans="1:7">
      <c r="A295" t="s">
        <v>8099</v>
      </c>
      <c r="B295" t="s">
        <v>2312</v>
      </c>
      <c r="C295">
        <v>7</v>
      </c>
      <c r="D295">
        <v>114640</v>
      </c>
      <c r="E295">
        <v>7</v>
      </c>
      <c r="F295">
        <v>282680</v>
      </c>
      <c r="G295">
        <v>7</v>
      </c>
    </row>
    <row r="296" spans="1:7">
      <c r="A296" t="s">
        <v>8102</v>
      </c>
      <c r="B296" t="s">
        <v>1579</v>
      </c>
      <c r="C296">
        <v>1</v>
      </c>
      <c r="D296">
        <v>109</v>
      </c>
      <c r="E296">
        <v>3</v>
      </c>
      <c r="F296">
        <v>645</v>
      </c>
      <c r="G296">
        <v>5</v>
      </c>
    </row>
    <row r="297" spans="1:7">
      <c r="A297" t="s">
        <v>8102</v>
      </c>
      <c r="B297" t="s">
        <v>1579</v>
      </c>
      <c r="C297">
        <v>2</v>
      </c>
      <c r="D297">
        <v>328</v>
      </c>
      <c r="E297">
        <v>3</v>
      </c>
      <c r="F297">
        <v>1275</v>
      </c>
      <c r="G297">
        <v>5</v>
      </c>
    </row>
    <row r="298" spans="1:7">
      <c r="A298" t="s">
        <v>8102</v>
      </c>
      <c r="B298" t="s">
        <v>1579</v>
      </c>
      <c r="C298">
        <v>3</v>
      </c>
      <c r="D298">
        <v>818</v>
      </c>
      <c r="E298">
        <v>3</v>
      </c>
      <c r="F298">
        <v>2174</v>
      </c>
      <c r="G298">
        <v>5</v>
      </c>
    </row>
    <row r="299" spans="1:7">
      <c r="A299" t="s">
        <v>8102</v>
      </c>
      <c r="B299" t="s">
        <v>1579</v>
      </c>
      <c r="C299">
        <v>4</v>
      </c>
      <c r="D299">
        <v>1312</v>
      </c>
      <c r="E299">
        <v>4</v>
      </c>
      <c r="F299">
        <v>3288</v>
      </c>
      <c r="G299">
        <v>5</v>
      </c>
    </row>
    <row r="300" spans="1:7">
      <c r="A300" t="s">
        <v>8102</v>
      </c>
      <c r="B300" t="s">
        <v>1579</v>
      </c>
      <c r="C300">
        <v>5</v>
      </c>
      <c r="D300">
        <v>2136</v>
      </c>
      <c r="E300">
        <v>5</v>
      </c>
      <c r="F300">
        <v>5046</v>
      </c>
      <c r="G300">
        <v>5</v>
      </c>
    </row>
    <row r="301" spans="1:7">
      <c r="A301" t="s">
        <v>8102</v>
      </c>
      <c r="B301" t="s">
        <v>1579</v>
      </c>
      <c r="C301">
        <v>6</v>
      </c>
      <c r="D301">
        <v>3748</v>
      </c>
      <c r="E301">
        <v>6</v>
      </c>
      <c r="F301">
        <v>7820</v>
      </c>
      <c r="G301">
        <v>6</v>
      </c>
    </row>
    <row r="302" spans="1:7">
      <c r="A302" t="s">
        <v>8102</v>
      </c>
      <c r="B302" t="s">
        <v>1579</v>
      </c>
      <c r="C302">
        <v>7</v>
      </c>
      <c r="D302">
        <v>9718</v>
      </c>
      <c r="E302">
        <v>7</v>
      </c>
      <c r="F302">
        <v>16460</v>
      </c>
      <c r="G302">
        <v>7</v>
      </c>
    </row>
    <row r="303" spans="1:7">
      <c r="A303" t="s">
        <v>8104</v>
      </c>
      <c r="B303" t="s">
        <v>8105</v>
      </c>
      <c r="C303">
        <v>1</v>
      </c>
      <c r="D303">
        <v>615</v>
      </c>
      <c r="E303">
        <v>3</v>
      </c>
      <c r="F303">
        <v>1845</v>
      </c>
      <c r="G303">
        <v>5</v>
      </c>
    </row>
    <row r="304" spans="1:7">
      <c r="A304" t="s">
        <v>8104</v>
      </c>
      <c r="B304" t="s">
        <v>8105</v>
      </c>
      <c r="C304">
        <v>2</v>
      </c>
      <c r="D304">
        <v>1824</v>
      </c>
      <c r="E304">
        <v>3</v>
      </c>
      <c r="F304">
        <v>4275</v>
      </c>
      <c r="G304">
        <v>5</v>
      </c>
    </row>
    <row r="305" spans="1:7">
      <c r="A305" t="s">
        <v>8104</v>
      </c>
      <c r="B305" t="s">
        <v>8105</v>
      </c>
      <c r="C305">
        <v>3</v>
      </c>
      <c r="D305">
        <v>4732</v>
      </c>
      <c r="E305">
        <v>3</v>
      </c>
      <c r="F305">
        <v>8982</v>
      </c>
      <c r="G305">
        <v>5</v>
      </c>
    </row>
    <row r="306" spans="1:7">
      <c r="A306" t="s">
        <v>8104</v>
      </c>
      <c r="B306" t="s">
        <v>8105</v>
      </c>
      <c r="C306">
        <v>4</v>
      </c>
      <c r="D306">
        <v>7080</v>
      </c>
      <c r="E306">
        <v>4</v>
      </c>
      <c r="F306">
        <v>15800</v>
      </c>
      <c r="G306">
        <v>5</v>
      </c>
    </row>
    <row r="307" spans="1:7">
      <c r="A307" t="s">
        <v>8104</v>
      </c>
      <c r="B307" t="s">
        <v>8105</v>
      </c>
      <c r="C307">
        <v>5</v>
      </c>
      <c r="D307">
        <v>10170</v>
      </c>
      <c r="E307">
        <v>5</v>
      </c>
      <c r="F307">
        <v>28530</v>
      </c>
      <c r="G307">
        <v>5</v>
      </c>
    </row>
    <row r="308" spans="1:7">
      <c r="A308" t="s">
        <v>8104</v>
      </c>
      <c r="B308" t="s">
        <v>8105</v>
      </c>
      <c r="C308">
        <v>6</v>
      </c>
      <c r="D308">
        <v>14460</v>
      </c>
      <c r="E308">
        <v>6</v>
      </c>
      <c r="F308">
        <v>36660</v>
      </c>
      <c r="G308">
        <v>6</v>
      </c>
    </row>
    <row r="309" spans="1:7">
      <c r="A309" t="s">
        <v>8104</v>
      </c>
      <c r="B309" t="s">
        <v>8105</v>
      </c>
      <c r="C309">
        <v>7</v>
      </c>
      <c r="D309">
        <v>23520</v>
      </c>
      <c r="E309">
        <v>7</v>
      </c>
      <c r="F309">
        <v>51480</v>
      </c>
      <c r="G309">
        <v>7</v>
      </c>
    </row>
    <row r="310" spans="1:7">
      <c r="A310" t="s">
        <v>8107</v>
      </c>
      <c r="B310" t="s">
        <v>8108</v>
      </c>
      <c r="C310">
        <v>1</v>
      </c>
      <c r="D310">
        <v>219</v>
      </c>
      <c r="E310">
        <v>3</v>
      </c>
      <c r="F310">
        <v>885</v>
      </c>
      <c r="G310">
        <v>5</v>
      </c>
    </row>
    <row r="311" spans="1:7">
      <c r="A311" t="s">
        <v>8107</v>
      </c>
      <c r="B311" t="s">
        <v>8108</v>
      </c>
      <c r="C311">
        <v>2</v>
      </c>
      <c r="D311">
        <v>658</v>
      </c>
      <c r="E311">
        <v>3</v>
      </c>
      <c r="F311">
        <v>1875</v>
      </c>
      <c r="G311">
        <v>5</v>
      </c>
    </row>
    <row r="312" spans="1:7">
      <c r="A312" t="s">
        <v>8107</v>
      </c>
      <c r="B312" t="s">
        <v>8108</v>
      </c>
      <c r="C312">
        <v>3</v>
      </c>
      <c r="D312">
        <v>1692</v>
      </c>
      <c r="E312">
        <v>3</v>
      </c>
      <c r="F312">
        <v>3654</v>
      </c>
      <c r="G312">
        <v>5</v>
      </c>
    </row>
    <row r="313" spans="1:7">
      <c r="A313" t="s">
        <v>8107</v>
      </c>
      <c r="B313" t="s">
        <v>8108</v>
      </c>
      <c r="C313">
        <v>4</v>
      </c>
      <c r="D313">
        <v>2600</v>
      </c>
      <c r="E313">
        <v>4</v>
      </c>
      <c r="F313">
        <v>6048</v>
      </c>
      <c r="G313">
        <v>5</v>
      </c>
    </row>
    <row r="314" spans="1:7">
      <c r="A314" t="s">
        <v>8107</v>
      </c>
      <c r="B314" t="s">
        <v>8108</v>
      </c>
      <c r="C314">
        <v>5</v>
      </c>
      <c r="D314">
        <v>3930</v>
      </c>
      <c r="E314">
        <v>5</v>
      </c>
      <c r="F314">
        <v>10290</v>
      </c>
      <c r="G314">
        <v>5</v>
      </c>
    </row>
    <row r="315" spans="1:7">
      <c r="A315" t="s">
        <v>8107</v>
      </c>
      <c r="B315" t="s">
        <v>8108</v>
      </c>
      <c r="C315">
        <v>6</v>
      </c>
      <c r="D315">
        <v>6140</v>
      </c>
      <c r="E315">
        <v>6</v>
      </c>
      <c r="F315">
        <v>14260</v>
      </c>
      <c r="G315">
        <v>6</v>
      </c>
    </row>
    <row r="316" spans="1:7">
      <c r="A316" t="s">
        <v>8107</v>
      </c>
      <c r="B316" t="s">
        <v>8108</v>
      </c>
      <c r="C316">
        <v>7</v>
      </c>
      <c r="D316">
        <v>12800</v>
      </c>
      <c r="E316">
        <v>7</v>
      </c>
      <c r="F316">
        <v>24280</v>
      </c>
      <c r="G316">
        <v>7</v>
      </c>
    </row>
    <row r="317" spans="1:7">
      <c r="A317" t="s">
        <v>8109</v>
      </c>
      <c r="B317" t="s">
        <v>1595</v>
      </c>
      <c r="C317">
        <v>1</v>
      </c>
      <c r="D317">
        <v>54</v>
      </c>
      <c r="E317">
        <v>3</v>
      </c>
      <c r="F317">
        <v>525</v>
      </c>
      <c r="G317">
        <v>5</v>
      </c>
    </row>
    <row r="318" spans="1:7">
      <c r="A318" t="s">
        <v>8109</v>
      </c>
      <c r="B318" t="s">
        <v>1595</v>
      </c>
      <c r="C318">
        <v>2</v>
      </c>
      <c r="D318">
        <v>152</v>
      </c>
      <c r="E318">
        <v>3</v>
      </c>
      <c r="F318">
        <v>875</v>
      </c>
      <c r="G318">
        <v>5</v>
      </c>
    </row>
    <row r="319" spans="1:7">
      <c r="A319" t="s">
        <v>8109</v>
      </c>
      <c r="B319" t="s">
        <v>1595</v>
      </c>
      <c r="C319">
        <v>3</v>
      </c>
      <c r="D319">
        <v>400</v>
      </c>
      <c r="E319">
        <v>3</v>
      </c>
      <c r="F319">
        <v>1434</v>
      </c>
      <c r="G319">
        <v>5</v>
      </c>
    </row>
    <row r="320" spans="1:7">
      <c r="A320" t="s">
        <v>8109</v>
      </c>
      <c r="B320" t="s">
        <v>1595</v>
      </c>
      <c r="C320">
        <v>4</v>
      </c>
      <c r="D320">
        <v>696</v>
      </c>
      <c r="E320">
        <v>4</v>
      </c>
      <c r="F320">
        <v>1816</v>
      </c>
      <c r="G320">
        <v>5</v>
      </c>
    </row>
    <row r="321" spans="1:7">
      <c r="A321" t="s">
        <v>8109</v>
      </c>
      <c r="B321" t="s">
        <v>1595</v>
      </c>
      <c r="C321">
        <v>5</v>
      </c>
      <c r="D321">
        <v>1278</v>
      </c>
      <c r="E321">
        <v>5</v>
      </c>
      <c r="F321">
        <v>2538</v>
      </c>
      <c r="G321">
        <v>5</v>
      </c>
    </row>
    <row r="322" spans="1:7">
      <c r="A322" t="s">
        <v>8109</v>
      </c>
      <c r="B322" t="s">
        <v>1595</v>
      </c>
      <c r="C322">
        <v>6</v>
      </c>
      <c r="D322">
        <v>2604</v>
      </c>
      <c r="E322">
        <v>6</v>
      </c>
      <c r="F322">
        <v>4740</v>
      </c>
      <c r="G322">
        <v>6</v>
      </c>
    </row>
    <row r="323" spans="1:7">
      <c r="A323" t="s">
        <v>8109</v>
      </c>
      <c r="B323" t="s">
        <v>1595</v>
      </c>
      <c r="C323">
        <v>7</v>
      </c>
      <c r="D323">
        <v>8244</v>
      </c>
      <c r="E323">
        <v>7</v>
      </c>
      <c r="F323">
        <v>12720</v>
      </c>
      <c r="G323">
        <v>7</v>
      </c>
    </row>
    <row r="324" spans="1:7">
      <c r="A324" t="s">
        <v>8111</v>
      </c>
      <c r="B324" t="s">
        <v>8112</v>
      </c>
      <c r="C324">
        <v>1</v>
      </c>
      <c r="D324">
        <v>813</v>
      </c>
      <c r="E324">
        <v>3</v>
      </c>
      <c r="F324">
        <v>2325</v>
      </c>
      <c r="G324">
        <v>5</v>
      </c>
    </row>
    <row r="325" spans="1:7">
      <c r="A325" t="s">
        <v>8111</v>
      </c>
      <c r="B325" t="s">
        <v>8112</v>
      </c>
      <c r="C325">
        <v>2</v>
      </c>
      <c r="D325">
        <v>2418</v>
      </c>
      <c r="E325">
        <v>3</v>
      </c>
      <c r="F325">
        <v>5475</v>
      </c>
      <c r="G325">
        <v>5</v>
      </c>
    </row>
    <row r="326" spans="1:7">
      <c r="A326" t="s">
        <v>8111</v>
      </c>
      <c r="B326" t="s">
        <v>8112</v>
      </c>
      <c r="C326">
        <v>3</v>
      </c>
      <c r="D326">
        <v>6252</v>
      </c>
      <c r="E326">
        <v>3</v>
      </c>
      <c r="F326">
        <v>11646</v>
      </c>
      <c r="G326">
        <v>5</v>
      </c>
    </row>
    <row r="327" spans="1:7">
      <c r="A327" t="s">
        <v>8111</v>
      </c>
      <c r="B327" t="s">
        <v>8112</v>
      </c>
      <c r="C327">
        <v>4</v>
      </c>
      <c r="D327">
        <v>9320</v>
      </c>
      <c r="E327">
        <v>4</v>
      </c>
      <c r="F327">
        <v>20768</v>
      </c>
      <c r="G327">
        <v>5</v>
      </c>
    </row>
    <row r="328" spans="1:7">
      <c r="A328" t="s">
        <v>8111</v>
      </c>
      <c r="B328" t="s">
        <v>8112</v>
      </c>
      <c r="C328">
        <v>5</v>
      </c>
      <c r="D328">
        <v>13290</v>
      </c>
      <c r="E328">
        <v>5</v>
      </c>
      <c r="F328">
        <v>37650</v>
      </c>
      <c r="G328">
        <v>5</v>
      </c>
    </row>
    <row r="329" spans="1:7">
      <c r="A329" t="s">
        <v>8111</v>
      </c>
      <c r="B329" t="s">
        <v>8112</v>
      </c>
      <c r="C329">
        <v>6</v>
      </c>
      <c r="D329">
        <v>18620</v>
      </c>
      <c r="E329">
        <v>6</v>
      </c>
      <c r="F329">
        <v>47860</v>
      </c>
      <c r="G329">
        <v>6</v>
      </c>
    </row>
    <row r="330" spans="1:7">
      <c r="A330" t="s">
        <v>8111</v>
      </c>
      <c r="B330" t="s">
        <v>8112</v>
      </c>
      <c r="C330">
        <v>7</v>
      </c>
      <c r="D330">
        <v>28880</v>
      </c>
      <c r="E330">
        <v>7</v>
      </c>
      <c r="F330">
        <v>65080</v>
      </c>
      <c r="G330">
        <v>7</v>
      </c>
    </row>
    <row r="331" spans="1:7">
      <c r="A331" t="s">
        <v>8113</v>
      </c>
      <c r="B331" t="s">
        <v>1601</v>
      </c>
      <c r="C331">
        <v>1</v>
      </c>
      <c r="D331">
        <v>219</v>
      </c>
      <c r="E331">
        <v>3</v>
      </c>
      <c r="F331">
        <v>885</v>
      </c>
      <c r="G331">
        <v>5</v>
      </c>
    </row>
    <row r="332" spans="1:7">
      <c r="A332" t="s">
        <v>8113</v>
      </c>
      <c r="B332" t="s">
        <v>1601</v>
      </c>
      <c r="C332">
        <v>2</v>
      </c>
      <c r="D332">
        <v>658</v>
      </c>
      <c r="E332">
        <v>3</v>
      </c>
      <c r="F332">
        <v>1875</v>
      </c>
      <c r="G332">
        <v>5</v>
      </c>
    </row>
    <row r="333" spans="1:7">
      <c r="A333" t="s">
        <v>8113</v>
      </c>
      <c r="B333" t="s">
        <v>1601</v>
      </c>
      <c r="C333">
        <v>3</v>
      </c>
      <c r="D333">
        <v>1692</v>
      </c>
      <c r="E333">
        <v>3</v>
      </c>
      <c r="F333">
        <v>3654</v>
      </c>
      <c r="G333">
        <v>5</v>
      </c>
    </row>
    <row r="334" spans="1:7">
      <c r="A334" t="s">
        <v>8113</v>
      </c>
      <c r="B334" t="s">
        <v>1601</v>
      </c>
      <c r="C334">
        <v>4</v>
      </c>
      <c r="D334">
        <v>2600</v>
      </c>
      <c r="E334">
        <v>4</v>
      </c>
      <c r="F334">
        <v>6048</v>
      </c>
      <c r="G334">
        <v>5</v>
      </c>
    </row>
    <row r="335" spans="1:7">
      <c r="A335" t="s">
        <v>8113</v>
      </c>
      <c r="B335" t="s">
        <v>1601</v>
      </c>
      <c r="C335">
        <v>5</v>
      </c>
      <c r="D335">
        <v>3930</v>
      </c>
      <c r="E335">
        <v>5</v>
      </c>
      <c r="F335">
        <v>10290</v>
      </c>
      <c r="G335">
        <v>5</v>
      </c>
    </row>
    <row r="336" spans="1:7">
      <c r="A336" t="s">
        <v>8113</v>
      </c>
      <c r="B336" t="s">
        <v>1601</v>
      </c>
      <c r="C336">
        <v>6</v>
      </c>
      <c r="D336">
        <v>6140</v>
      </c>
      <c r="E336">
        <v>6</v>
      </c>
      <c r="F336">
        <v>14260</v>
      </c>
      <c r="G336">
        <v>6</v>
      </c>
    </row>
    <row r="337" spans="1:7">
      <c r="A337" t="s">
        <v>8113</v>
      </c>
      <c r="B337" t="s">
        <v>1601</v>
      </c>
      <c r="C337">
        <v>7</v>
      </c>
      <c r="D337">
        <v>12800</v>
      </c>
      <c r="E337">
        <v>7</v>
      </c>
      <c r="F337">
        <v>24280</v>
      </c>
      <c r="G337">
        <v>7</v>
      </c>
    </row>
    <row r="338" spans="1:7">
      <c r="A338" t="s">
        <v>8115</v>
      </c>
      <c r="B338" t="s">
        <v>1638</v>
      </c>
      <c r="C338">
        <v>1</v>
      </c>
      <c r="D338">
        <v>373</v>
      </c>
      <c r="E338">
        <v>3</v>
      </c>
      <c r="F338">
        <v>1305</v>
      </c>
      <c r="G338">
        <v>5</v>
      </c>
    </row>
    <row r="339" spans="1:7">
      <c r="A339" t="s">
        <v>8115</v>
      </c>
      <c r="B339" t="s">
        <v>1638</v>
      </c>
      <c r="C339">
        <v>2</v>
      </c>
      <c r="D339">
        <v>1120</v>
      </c>
      <c r="E339">
        <v>3</v>
      </c>
      <c r="F339">
        <v>2875</v>
      </c>
      <c r="G339">
        <v>5</v>
      </c>
    </row>
    <row r="340" spans="1:7">
      <c r="A340" t="s">
        <v>8115</v>
      </c>
      <c r="B340" t="s">
        <v>1638</v>
      </c>
      <c r="C340">
        <v>3</v>
      </c>
      <c r="D340">
        <v>2908</v>
      </c>
      <c r="E340">
        <v>3</v>
      </c>
      <c r="F340">
        <v>5726</v>
      </c>
      <c r="G340">
        <v>5</v>
      </c>
    </row>
    <row r="341" spans="1:7">
      <c r="A341" t="s">
        <v>8115</v>
      </c>
      <c r="B341" t="s">
        <v>1638</v>
      </c>
      <c r="C341">
        <v>4</v>
      </c>
      <c r="D341">
        <v>4392</v>
      </c>
      <c r="E341">
        <v>4</v>
      </c>
      <c r="F341">
        <v>9912</v>
      </c>
      <c r="G341">
        <v>5</v>
      </c>
    </row>
    <row r="342" spans="1:7">
      <c r="A342" t="s">
        <v>8115</v>
      </c>
      <c r="B342" t="s">
        <v>1638</v>
      </c>
      <c r="C342">
        <v>5</v>
      </c>
      <c r="D342">
        <v>6426</v>
      </c>
      <c r="E342">
        <v>5</v>
      </c>
      <c r="F342">
        <v>17586</v>
      </c>
      <c r="G342">
        <v>5</v>
      </c>
    </row>
    <row r="343" spans="1:7">
      <c r="A343" t="s">
        <v>8115</v>
      </c>
      <c r="B343" t="s">
        <v>1638</v>
      </c>
      <c r="C343">
        <v>6</v>
      </c>
      <c r="D343">
        <v>9468</v>
      </c>
      <c r="E343">
        <v>6</v>
      </c>
      <c r="F343">
        <v>23220</v>
      </c>
      <c r="G343">
        <v>6</v>
      </c>
    </row>
    <row r="344" spans="1:7">
      <c r="A344" t="s">
        <v>8115</v>
      </c>
      <c r="B344" t="s">
        <v>1638</v>
      </c>
      <c r="C344">
        <v>7</v>
      </c>
      <c r="D344">
        <v>17088</v>
      </c>
      <c r="E344">
        <v>7</v>
      </c>
      <c r="F344">
        <v>35160</v>
      </c>
      <c r="G344">
        <v>7</v>
      </c>
    </row>
    <row r="345" spans="1:7">
      <c r="A345" t="s">
        <v>8117</v>
      </c>
      <c r="B345" t="s">
        <v>1978</v>
      </c>
      <c r="C345">
        <v>1</v>
      </c>
      <c r="D345">
        <v>1979</v>
      </c>
      <c r="E345">
        <v>3</v>
      </c>
      <c r="F345">
        <v>5205</v>
      </c>
      <c r="G345">
        <v>5</v>
      </c>
    </row>
    <row r="346" spans="1:7">
      <c r="A346" t="s">
        <v>8117</v>
      </c>
      <c r="B346" t="s">
        <v>1978</v>
      </c>
      <c r="C346">
        <v>2</v>
      </c>
      <c r="D346">
        <v>5938</v>
      </c>
      <c r="E346">
        <v>3</v>
      </c>
      <c r="F346">
        <v>12575</v>
      </c>
      <c r="G346">
        <v>5</v>
      </c>
    </row>
    <row r="347" spans="1:7">
      <c r="A347" t="s">
        <v>8117</v>
      </c>
      <c r="B347" t="s">
        <v>1978</v>
      </c>
      <c r="C347">
        <v>3</v>
      </c>
      <c r="D347">
        <v>15372</v>
      </c>
      <c r="E347">
        <v>3</v>
      </c>
      <c r="F347">
        <v>27334</v>
      </c>
      <c r="G347">
        <v>5</v>
      </c>
    </row>
    <row r="348" spans="1:7">
      <c r="A348" t="s">
        <v>8117</v>
      </c>
      <c r="B348" t="s">
        <v>1978</v>
      </c>
      <c r="C348">
        <v>4</v>
      </c>
      <c r="D348">
        <v>22760</v>
      </c>
      <c r="E348">
        <v>4</v>
      </c>
      <c r="F348">
        <v>50208</v>
      </c>
      <c r="G348">
        <v>5</v>
      </c>
    </row>
    <row r="349" spans="1:7">
      <c r="A349" t="s">
        <v>8117</v>
      </c>
      <c r="B349" t="s">
        <v>1978</v>
      </c>
      <c r="C349">
        <v>5</v>
      </c>
      <c r="D349">
        <v>32010</v>
      </c>
      <c r="E349">
        <v>5</v>
      </c>
      <c r="F349">
        <v>92370</v>
      </c>
      <c r="G349">
        <v>5</v>
      </c>
    </row>
    <row r="350" spans="1:7">
      <c r="A350" t="s">
        <v>8117</v>
      </c>
      <c r="B350" t="s">
        <v>1978</v>
      </c>
      <c r="C350">
        <v>6</v>
      </c>
      <c r="D350">
        <v>43580</v>
      </c>
      <c r="E350">
        <v>6</v>
      </c>
      <c r="F350">
        <v>115060</v>
      </c>
      <c r="G350">
        <v>6</v>
      </c>
    </row>
    <row r="351" spans="1:7">
      <c r="A351" t="s">
        <v>8117</v>
      </c>
      <c r="B351" t="s">
        <v>1978</v>
      </c>
      <c r="C351">
        <v>7</v>
      </c>
      <c r="D351">
        <v>61040</v>
      </c>
      <c r="E351">
        <v>7</v>
      </c>
      <c r="F351">
        <v>146680</v>
      </c>
      <c r="G351">
        <v>7</v>
      </c>
    </row>
    <row r="352" spans="1:7">
      <c r="A352" t="s">
        <v>8120</v>
      </c>
      <c r="B352" t="s">
        <v>8121</v>
      </c>
      <c r="C352">
        <v>1</v>
      </c>
      <c r="F352">
        <v>705</v>
      </c>
      <c r="G352" t="s">
        <v>8189</v>
      </c>
    </row>
    <row r="353" spans="1:7">
      <c r="A353" t="s">
        <v>8120</v>
      </c>
      <c r="B353" t="s">
        <v>8121</v>
      </c>
      <c r="C353">
        <v>2</v>
      </c>
      <c r="F353">
        <v>1475</v>
      </c>
      <c r="G353" t="s">
        <v>8189</v>
      </c>
    </row>
    <row r="354" spans="1:7">
      <c r="A354" t="s">
        <v>8120</v>
      </c>
      <c r="B354" t="s">
        <v>8121</v>
      </c>
      <c r="C354">
        <v>3</v>
      </c>
      <c r="F354">
        <v>2618</v>
      </c>
      <c r="G354" t="s">
        <v>8189</v>
      </c>
    </row>
    <row r="355" spans="1:7">
      <c r="A355" t="s">
        <v>8120</v>
      </c>
      <c r="B355" t="s">
        <v>8121</v>
      </c>
      <c r="C355">
        <v>4</v>
      </c>
      <c r="F355">
        <v>4024</v>
      </c>
      <c r="G355" t="s">
        <v>8189</v>
      </c>
    </row>
    <row r="356" spans="1:7">
      <c r="A356" t="s">
        <v>8120</v>
      </c>
      <c r="B356" t="s">
        <v>8121</v>
      </c>
      <c r="C356">
        <v>5</v>
      </c>
      <c r="F356">
        <v>6642</v>
      </c>
      <c r="G356" t="s">
        <v>8189</v>
      </c>
    </row>
    <row r="357" spans="1:7">
      <c r="A357" t="s">
        <v>8120</v>
      </c>
      <c r="B357" t="s">
        <v>8121</v>
      </c>
      <c r="C357">
        <v>6</v>
      </c>
      <c r="F357">
        <v>9780</v>
      </c>
      <c r="G357" t="s">
        <v>8189</v>
      </c>
    </row>
    <row r="358" spans="1:7">
      <c r="A358" t="s">
        <v>8120</v>
      </c>
      <c r="B358" t="s">
        <v>8121</v>
      </c>
      <c r="C358">
        <v>7</v>
      </c>
      <c r="F358">
        <v>18840</v>
      </c>
      <c r="G358" t="s">
        <v>8189</v>
      </c>
    </row>
    <row r="359" spans="1:7">
      <c r="A359" t="s">
        <v>8124</v>
      </c>
      <c r="B359" t="s">
        <v>8125</v>
      </c>
      <c r="C359">
        <v>1</v>
      </c>
      <c r="F359">
        <v>705</v>
      </c>
      <c r="G359" t="s">
        <v>8189</v>
      </c>
    </row>
    <row r="360" spans="1:7">
      <c r="A360" t="s">
        <v>8124</v>
      </c>
      <c r="B360" t="s">
        <v>8125</v>
      </c>
      <c r="C360">
        <v>2</v>
      </c>
      <c r="F360">
        <v>1475</v>
      </c>
      <c r="G360" t="s">
        <v>8189</v>
      </c>
    </row>
    <row r="361" spans="1:7">
      <c r="A361" t="s">
        <v>8124</v>
      </c>
      <c r="B361" t="s">
        <v>8125</v>
      </c>
      <c r="C361">
        <v>3</v>
      </c>
      <c r="F361">
        <v>2618</v>
      </c>
      <c r="G361" t="s">
        <v>8189</v>
      </c>
    </row>
    <row r="362" spans="1:7">
      <c r="A362" t="s">
        <v>8124</v>
      </c>
      <c r="B362" t="s">
        <v>8125</v>
      </c>
      <c r="C362">
        <v>4</v>
      </c>
      <c r="F362">
        <v>4024</v>
      </c>
      <c r="G362" t="s">
        <v>8189</v>
      </c>
    </row>
    <row r="363" spans="1:7">
      <c r="A363" t="s">
        <v>8124</v>
      </c>
      <c r="B363" t="s">
        <v>8125</v>
      </c>
      <c r="C363">
        <v>5</v>
      </c>
      <c r="F363">
        <v>6642</v>
      </c>
      <c r="G363" t="s">
        <v>8189</v>
      </c>
    </row>
    <row r="364" spans="1:7">
      <c r="A364" t="s">
        <v>8124</v>
      </c>
      <c r="B364" t="s">
        <v>8125</v>
      </c>
      <c r="C364">
        <v>6</v>
      </c>
      <c r="F364">
        <v>9780</v>
      </c>
      <c r="G364" t="s">
        <v>8189</v>
      </c>
    </row>
    <row r="365" spans="1:7">
      <c r="A365" t="s">
        <v>8124</v>
      </c>
      <c r="B365" t="s">
        <v>8125</v>
      </c>
      <c r="C365">
        <v>7</v>
      </c>
      <c r="F365">
        <v>18840</v>
      </c>
      <c r="G365" t="s">
        <v>8189</v>
      </c>
    </row>
    <row r="366" spans="1:7">
      <c r="A366" t="s">
        <v>8128</v>
      </c>
      <c r="B366" t="s">
        <v>8129</v>
      </c>
      <c r="C366">
        <v>1</v>
      </c>
      <c r="F366">
        <v>705</v>
      </c>
      <c r="G366" t="s">
        <v>8189</v>
      </c>
    </row>
    <row r="367" spans="1:7">
      <c r="A367" t="s">
        <v>8128</v>
      </c>
      <c r="B367" t="s">
        <v>8129</v>
      </c>
      <c r="C367">
        <v>2</v>
      </c>
      <c r="F367">
        <v>1475</v>
      </c>
      <c r="G367" t="s">
        <v>8189</v>
      </c>
    </row>
    <row r="368" spans="1:7">
      <c r="A368" t="s">
        <v>8128</v>
      </c>
      <c r="B368" t="s">
        <v>8129</v>
      </c>
      <c r="C368">
        <v>3</v>
      </c>
      <c r="F368">
        <v>2618</v>
      </c>
      <c r="G368" t="s">
        <v>8189</v>
      </c>
    </row>
    <row r="369" spans="1:7">
      <c r="A369" t="s">
        <v>8128</v>
      </c>
      <c r="B369" t="s">
        <v>8129</v>
      </c>
      <c r="C369">
        <v>4</v>
      </c>
      <c r="F369">
        <v>4024</v>
      </c>
      <c r="G369" t="s">
        <v>8189</v>
      </c>
    </row>
    <row r="370" spans="1:7">
      <c r="A370" t="s">
        <v>8128</v>
      </c>
      <c r="B370" t="s">
        <v>8129</v>
      </c>
      <c r="C370">
        <v>5</v>
      </c>
      <c r="F370">
        <v>6642</v>
      </c>
      <c r="G370" t="s">
        <v>8189</v>
      </c>
    </row>
    <row r="371" spans="1:7">
      <c r="A371" t="s">
        <v>8128</v>
      </c>
      <c r="B371" t="s">
        <v>8129</v>
      </c>
      <c r="C371">
        <v>6</v>
      </c>
      <c r="F371">
        <v>9780</v>
      </c>
      <c r="G371" t="s">
        <v>8189</v>
      </c>
    </row>
    <row r="372" spans="1:7">
      <c r="A372" t="s">
        <v>8128</v>
      </c>
      <c r="B372" t="s">
        <v>8129</v>
      </c>
      <c r="C372">
        <v>7</v>
      </c>
      <c r="F372">
        <v>18840</v>
      </c>
      <c r="G372" t="s">
        <v>8189</v>
      </c>
    </row>
    <row r="373" spans="1:7">
      <c r="A373" t="s">
        <v>8131</v>
      </c>
      <c r="B373" t="s">
        <v>8132</v>
      </c>
      <c r="C373">
        <v>1</v>
      </c>
      <c r="F373">
        <v>705</v>
      </c>
      <c r="G373" t="s">
        <v>8189</v>
      </c>
    </row>
    <row r="374" spans="1:7">
      <c r="A374" t="s">
        <v>8131</v>
      </c>
      <c r="B374" t="s">
        <v>8132</v>
      </c>
      <c r="C374">
        <v>2</v>
      </c>
      <c r="F374">
        <v>1475</v>
      </c>
      <c r="G374" t="s">
        <v>8189</v>
      </c>
    </row>
    <row r="375" spans="1:7">
      <c r="A375" t="s">
        <v>8131</v>
      </c>
      <c r="B375" t="s">
        <v>8132</v>
      </c>
      <c r="C375">
        <v>3</v>
      </c>
      <c r="F375">
        <v>2618</v>
      </c>
      <c r="G375" t="s">
        <v>8189</v>
      </c>
    </row>
    <row r="376" spans="1:7">
      <c r="A376" t="s">
        <v>8131</v>
      </c>
      <c r="B376" t="s">
        <v>8132</v>
      </c>
      <c r="C376">
        <v>4</v>
      </c>
      <c r="F376">
        <v>4024</v>
      </c>
      <c r="G376" t="s">
        <v>8189</v>
      </c>
    </row>
    <row r="377" spans="1:7">
      <c r="A377" t="s">
        <v>8131</v>
      </c>
      <c r="B377" t="s">
        <v>8132</v>
      </c>
      <c r="C377">
        <v>5</v>
      </c>
      <c r="F377">
        <v>6642</v>
      </c>
      <c r="G377" t="s">
        <v>8189</v>
      </c>
    </row>
    <row r="378" spans="1:7">
      <c r="A378" t="s">
        <v>8131</v>
      </c>
      <c r="B378" t="s">
        <v>8132</v>
      </c>
      <c r="C378">
        <v>6</v>
      </c>
      <c r="F378">
        <v>9780</v>
      </c>
      <c r="G378" t="s">
        <v>8189</v>
      </c>
    </row>
    <row r="379" spans="1:7">
      <c r="A379" t="s">
        <v>8131</v>
      </c>
      <c r="B379" t="s">
        <v>8132</v>
      </c>
      <c r="C379">
        <v>7</v>
      </c>
      <c r="F379">
        <v>18840</v>
      </c>
      <c r="G379" t="s">
        <v>8189</v>
      </c>
    </row>
    <row r="380" spans="1:7">
      <c r="A380" t="s">
        <v>8134</v>
      </c>
      <c r="B380" t="s">
        <v>8135</v>
      </c>
      <c r="C380">
        <v>1</v>
      </c>
      <c r="F380">
        <v>705</v>
      </c>
      <c r="G380" t="s">
        <v>8189</v>
      </c>
    </row>
    <row r="381" spans="1:7">
      <c r="A381" t="s">
        <v>8134</v>
      </c>
      <c r="B381" t="s">
        <v>8135</v>
      </c>
      <c r="C381">
        <v>2</v>
      </c>
      <c r="F381">
        <v>1475</v>
      </c>
      <c r="G381" t="s">
        <v>8189</v>
      </c>
    </row>
    <row r="382" spans="1:7">
      <c r="A382" t="s">
        <v>8134</v>
      </c>
      <c r="B382" t="s">
        <v>8135</v>
      </c>
      <c r="C382">
        <v>3</v>
      </c>
      <c r="F382">
        <v>2618</v>
      </c>
      <c r="G382" t="s">
        <v>8189</v>
      </c>
    </row>
    <row r="383" spans="1:7">
      <c r="A383" t="s">
        <v>8134</v>
      </c>
      <c r="B383" t="s">
        <v>8135</v>
      </c>
      <c r="C383">
        <v>4</v>
      </c>
      <c r="F383">
        <v>4024</v>
      </c>
      <c r="G383" t="s">
        <v>8189</v>
      </c>
    </row>
    <row r="384" spans="1:7">
      <c r="A384" t="s">
        <v>8134</v>
      </c>
      <c r="B384" t="s">
        <v>8135</v>
      </c>
      <c r="C384">
        <v>5</v>
      </c>
      <c r="F384">
        <v>6642</v>
      </c>
      <c r="G384" t="s">
        <v>8189</v>
      </c>
    </row>
    <row r="385" spans="1:7">
      <c r="A385" t="s">
        <v>8134</v>
      </c>
      <c r="B385" t="s">
        <v>8135</v>
      </c>
      <c r="C385">
        <v>6</v>
      </c>
      <c r="F385">
        <v>9780</v>
      </c>
      <c r="G385" t="s">
        <v>8189</v>
      </c>
    </row>
    <row r="386" spans="1:7">
      <c r="A386" t="s">
        <v>8134</v>
      </c>
      <c r="B386" t="s">
        <v>8135</v>
      </c>
      <c r="C386">
        <v>7</v>
      </c>
      <c r="F386">
        <v>18840</v>
      </c>
      <c r="G386" t="s">
        <v>8189</v>
      </c>
    </row>
    <row r="387" spans="1:7">
      <c r="A387" t="s">
        <v>8137</v>
      </c>
      <c r="B387" t="s">
        <v>8138</v>
      </c>
      <c r="C387">
        <v>1</v>
      </c>
      <c r="F387">
        <v>705</v>
      </c>
      <c r="G387" t="s">
        <v>8189</v>
      </c>
    </row>
    <row r="388" spans="1:7">
      <c r="A388" t="s">
        <v>8137</v>
      </c>
      <c r="B388" t="s">
        <v>8138</v>
      </c>
      <c r="C388">
        <v>2</v>
      </c>
      <c r="F388">
        <v>1475</v>
      </c>
      <c r="G388" t="s">
        <v>8189</v>
      </c>
    </row>
    <row r="389" spans="1:7">
      <c r="A389" t="s">
        <v>8137</v>
      </c>
      <c r="B389" t="s">
        <v>8138</v>
      </c>
      <c r="C389">
        <v>3</v>
      </c>
      <c r="F389">
        <v>2618</v>
      </c>
      <c r="G389" t="s">
        <v>8189</v>
      </c>
    </row>
    <row r="390" spans="1:7">
      <c r="A390" t="s">
        <v>8137</v>
      </c>
      <c r="B390" t="s">
        <v>8138</v>
      </c>
      <c r="C390">
        <v>4</v>
      </c>
      <c r="F390">
        <v>4024</v>
      </c>
      <c r="G390" t="s">
        <v>8189</v>
      </c>
    </row>
    <row r="391" spans="1:7">
      <c r="A391" t="s">
        <v>8137</v>
      </c>
      <c r="B391" t="s">
        <v>8138</v>
      </c>
      <c r="C391">
        <v>5</v>
      </c>
      <c r="F391">
        <v>6642</v>
      </c>
      <c r="G391" t="s">
        <v>8189</v>
      </c>
    </row>
    <row r="392" spans="1:7">
      <c r="A392" t="s">
        <v>8137</v>
      </c>
      <c r="B392" t="s">
        <v>8138</v>
      </c>
      <c r="C392">
        <v>6</v>
      </c>
      <c r="F392">
        <v>9780</v>
      </c>
      <c r="G392" t="s">
        <v>8189</v>
      </c>
    </row>
    <row r="393" spans="1:7">
      <c r="A393" t="s">
        <v>8137</v>
      </c>
      <c r="B393" t="s">
        <v>8138</v>
      </c>
      <c r="C393">
        <v>7</v>
      </c>
      <c r="F393">
        <v>18840</v>
      </c>
      <c r="G393" t="s">
        <v>8189</v>
      </c>
    </row>
    <row r="394" spans="1:7">
      <c r="A394" t="s">
        <v>8140</v>
      </c>
      <c r="B394" t="s">
        <v>8141</v>
      </c>
      <c r="C394">
        <v>1</v>
      </c>
      <c r="F394">
        <v>705</v>
      </c>
      <c r="G394" t="s">
        <v>8189</v>
      </c>
    </row>
    <row r="395" spans="1:7">
      <c r="A395" t="s">
        <v>8140</v>
      </c>
      <c r="B395" t="s">
        <v>8141</v>
      </c>
      <c r="C395">
        <v>2</v>
      </c>
      <c r="F395">
        <v>1475</v>
      </c>
      <c r="G395" t="s">
        <v>8189</v>
      </c>
    </row>
    <row r="396" spans="1:7">
      <c r="A396" t="s">
        <v>8140</v>
      </c>
      <c r="B396" t="s">
        <v>8141</v>
      </c>
      <c r="C396">
        <v>3</v>
      </c>
      <c r="F396">
        <v>2618</v>
      </c>
      <c r="G396" t="s">
        <v>8189</v>
      </c>
    </row>
    <row r="397" spans="1:7">
      <c r="A397" t="s">
        <v>8140</v>
      </c>
      <c r="B397" t="s">
        <v>8141</v>
      </c>
      <c r="C397">
        <v>4</v>
      </c>
      <c r="F397">
        <v>4024</v>
      </c>
      <c r="G397" t="s">
        <v>8189</v>
      </c>
    </row>
    <row r="398" spans="1:7">
      <c r="A398" t="s">
        <v>8140</v>
      </c>
      <c r="B398" t="s">
        <v>8141</v>
      </c>
      <c r="C398">
        <v>5</v>
      </c>
      <c r="F398">
        <v>6642</v>
      </c>
      <c r="G398" t="s">
        <v>8189</v>
      </c>
    </row>
    <row r="399" spans="1:7">
      <c r="A399" t="s">
        <v>8140</v>
      </c>
      <c r="B399" t="s">
        <v>8141</v>
      </c>
      <c r="C399">
        <v>6</v>
      </c>
      <c r="F399">
        <v>9780</v>
      </c>
      <c r="G399" t="s">
        <v>8189</v>
      </c>
    </row>
    <row r="400" spans="1:7">
      <c r="A400" t="s">
        <v>8140</v>
      </c>
      <c r="B400" t="s">
        <v>8141</v>
      </c>
      <c r="C400">
        <v>7</v>
      </c>
      <c r="F400">
        <v>18840</v>
      </c>
      <c r="G400" t="s">
        <v>8189</v>
      </c>
    </row>
    <row r="401" spans="1:7">
      <c r="A401" t="s">
        <v>8143</v>
      </c>
      <c r="B401" t="s">
        <v>8144</v>
      </c>
      <c r="C401">
        <v>1</v>
      </c>
      <c r="F401">
        <v>705</v>
      </c>
      <c r="G401">
        <v>5</v>
      </c>
    </row>
    <row r="402" spans="1:7">
      <c r="A402" t="s">
        <v>8143</v>
      </c>
      <c r="B402" t="s">
        <v>8144</v>
      </c>
      <c r="C402">
        <v>2</v>
      </c>
      <c r="F402">
        <v>1408</v>
      </c>
      <c r="G402">
        <v>5</v>
      </c>
    </row>
    <row r="403" spans="1:7">
      <c r="A403" t="s">
        <v>8143</v>
      </c>
      <c r="B403" t="s">
        <v>8144</v>
      </c>
      <c r="C403">
        <v>3</v>
      </c>
      <c r="F403">
        <v>2438</v>
      </c>
      <c r="G403">
        <v>5</v>
      </c>
    </row>
    <row r="404" spans="1:7">
      <c r="A404" t="s">
        <v>8143</v>
      </c>
      <c r="B404" t="s">
        <v>8144</v>
      </c>
      <c r="C404">
        <v>4</v>
      </c>
      <c r="F404">
        <v>3754</v>
      </c>
      <c r="G404">
        <v>5</v>
      </c>
    </row>
    <row r="405" spans="1:7">
      <c r="A405" t="s">
        <v>8143</v>
      </c>
      <c r="B405" t="s">
        <v>8144</v>
      </c>
      <c r="C405">
        <v>5</v>
      </c>
      <c r="F405">
        <v>6282</v>
      </c>
      <c r="G405">
        <v>5</v>
      </c>
    </row>
    <row r="406" spans="1:7">
      <c r="A406" t="s">
        <v>8143</v>
      </c>
      <c r="B406" t="s">
        <v>8144</v>
      </c>
      <c r="C406">
        <v>6</v>
      </c>
      <c r="F406">
        <v>9030</v>
      </c>
      <c r="G406">
        <v>6</v>
      </c>
    </row>
    <row r="407" spans="1:7">
      <c r="A407" t="s">
        <v>8143</v>
      </c>
      <c r="B407" t="s">
        <v>8144</v>
      </c>
      <c r="C407">
        <v>7</v>
      </c>
      <c r="F407">
        <v>15240</v>
      </c>
      <c r="G407">
        <v>7</v>
      </c>
    </row>
    <row r="408" spans="1:7">
      <c r="A408" t="s">
        <v>8146</v>
      </c>
      <c r="B408" t="s">
        <v>8147</v>
      </c>
      <c r="C408">
        <v>1</v>
      </c>
      <c r="F408">
        <v>705</v>
      </c>
      <c r="G408">
        <v>5</v>
      </c>
    </row>
    <row r="409" spans="1:7">
      <c r="A409" t="s">
        <v>8146</v>
      </c>
      <c r="B409" t="s">
        <v>8147</v>
      </c>
      <c r="C409">
        <v>2</v>
      </c>
      <c r="F409">
        <v>1408</v>
      </c>
      <c r="G409">
        <v>5</v>
      </c>
    </row>
    <row r="410" spans="1:7">
      <c r="A410" t="s">
        <v>8146</v>
      </c>
      <c r="B410" t="s">
        <v>8147</v>
      </c>
      <c r="C410">
        <v>3</v>
      </c>
      <c r="F410">
        <v>2438</v>
      </c>
      <c r="G410">
        <v>5</v>
      </c>
    </row>
    <row r="411" spans="1:7">
      <c r="A411" t="s">
        <v>8146</v>
      </c>
      <c r="B411" t="s">
        <v>8147</v>
      </c>
      <c r="C411">
        <v>4</v>
      </c>
      <c r="F411">
        <v>3754</v>
      </c>
      <c r="G411">
        <v>5</v>
      </c>
    </row>
    <row r="412" spans="1:7">
      <c r="A412" t="s">
        <v>8146</v>
      </c>
      <c r="B412" t="s">
        <v>8147</v>
      </c>
      <c r="C412">
        <v>5</v>
      </c>
      <c r="F412">
        <v>6282</v>
      </c>
      <c r="G412">
        <v>5</v>
      </c>
    </row>
    <row r="413" spans="1:7">
      <c r="A413" t="s">
        <v>8146</v>
      </c>
      <c r="B413" t="s">
        <v>8147</v>
      </c>
      <c r="C413">
        <v>6</v>
      </c>
      <c r="F413">
        <v>9030</v>
      </c>
      <c r="G413">
        <v>6</v>
      </c>
    </row>
    <row r="414" spans="1:7">
      <c r="A414" t="s">
        <v>8146</v>
      </c>
      <c r="B414" t="s">
        <v>8147</v>
      </c>
      <c r="C414">
        <v>7</v>
      </c>
      <c r="F414">
        <v>15240</v>
      </c>
      <c r="G414">
        <v>7</v>
      </c>
    </row>
    <row r="415" spans="1:7">
      <c r="A415" t="s">
        <v>8149</v>
      </c>
      <c r="B415" t="s">
        <v>8150</v>
      </c>
      <c r="C415">
        <v>1</v>
      </c>
      <c r="F415">
        <v>705</v>
      </c>
      <c r="G415">
        <v>5</v>
      </c>
    </row>
    <row r="416" spans="1:7">
      <c r="A416" t="s">
        <v>8149</v>
      </c>
      <c r="B416" t="s">
        <v>8150</v>
      </c>
      <c r="C416">
        <v>2</v>
      </c>
      <c r="F416">
        <v>1408</v>
      </c>
      <c r="G416">
        <v>5</v>
      </c>
    </row>
    <row r="417" spans="1:7">
      <c r="A417" t="s">
        <v>8149</v>
      </c>
      <c r="B417" t="s">
        <v>8150</v>
      </c>
      <c r="C417">
        <v>3</v>
      </c>
      <c r="F417">
        <v>2438</v>
      </c>
      <c r="G417">
        <v>5</v>
      </c>
    </row>
    <row r="418" spans="1:7">
      <c r="A418" t="s">
        <v>8149</v>
      </c>
      <c r="B418" t="s">
        <v>8150</v>
      </c>
      <c r="C418">
        <v>4</v>
      </c>
      <c r="F418">
        <v>3754</v>
      </c>
      <c r="G418">
        <v>5</v>
      </c>
    </row>
    <row r="419" spans="1:7">
      <c r="A419" t="s">
        <v>8149</v>
      </c>
      <c r="B419" t="s">
        <v>8150</v>
      </c>
      <c r="C419">
        <v>5</v>
      </c>
      <c r="F419">
        <v>6282</v>
      </c>
      <c r="G419">
        <v>5</v>
      </c>
    </row>
    <row r="420" spans="1:7">
      <c r="A420" t="s">
        <v>8149</v>
      </c>
      <c r="B420" t="s">
        <v>8150</v>
      </c>
      <c r="C420">
        <v>6</v>
      </c>
      <c r="F420">
        <v>9030</v>
      </c>
      <c r="G420">
        <v>6</v>
      </c>
    </row>
    <row r="421" spans="1:7">
      <c r="A421" t="s">
        <v>8149</v>
      </c>
      <c r="B421" t="s">
        <v>8150</v>
      </c>
      <c r="C421">
        <v>7</v>
      </c>
      <c r="F421">
        <v>15240</v>
      </c>
      <c r="G421">
        <v>7</v>
      </c>
    </row>
    <row r="422" spans="1:7">
      <c r="A422" t="s">
        <v>8152</v>
      </c>
      <c r="B422" t="s">
        <v>8153</v>
      </c>
      <c r="C422">
        <v>1</v>
      </c>
      <c r="F422">
        <v>705</v>
      </c>
      <c r="G422">
        <v>5</v>
      </c>
    </row>
    <row r="423" spans="1:7">
      <c r="A423" t="s">
        <v>8152</v>
      </c>
      <c r="B423" t="s">
        <v>8153</v>
      </c>
      <c r="C423">
        <v>2</v>
      </c>
      <c r="F423">
        <v>1408</v>
      </c>
      <c r="G423">
        <v>5</v>
      </c>
    </row>
    <row r="424" spans="1:7">
      <c r="A424" t="s">
        <v>8152</v>
      </c>
      <c r="B424" t="s">
        <v>8153</v>
      </c>
      <c r="C424">
        <v>3</v>
      </c>
      <c r="F424">
        <v>2438</v>
      </c>
      <c r="G424">
        <v>5</v>
      </c>
    </row>
    <row r="425" spans="1:7">
      <c r="A425" t="s">
        <v>8152</v>
      </c>
      <c r="B425" t="s">
        <v>8153</v>
      </c>
      <c r="C425">
        <v>4</v>
      </c>
      <c r="F425">
        <v>3754</v>
      </c>
      <c r="G425">
        <v>5</v>
      </c>
    </row>
    <row r="426" spans="1:7">
      <c r="A426" t="s">
        <v>8152</v>
      </c>
      <c r="B426" t="s">
        <v>8153</v>
      </c>
      <c r="C426">
        <v>5</v>
      </c>
      <c r="F426">
        <v>6282</v>
      </c>
      <c r="G426">
        <v>5</v>
      </c>
    </row>
    <row r="427" spans="1:7">
      <c r="A427" t="s">
        <v>8152</v>
      </c>
      <c r="B427" t="s">
        <v>8153</v>
      </c>
      <c r="C427">
        <v>6</v>
      </c>
      <c r="F427">
        <v>9030</v>
      </c>
      <c r="G427">
        <v>6</v>
      </c>
    </row>
    <row r="428" spans="1:7">
      <c r="A428" t="s">
        <v>8152</v>
      </c>
      <c r="B428" t="s">
        <v>8153</v>
      </c>
      <c r="C428">
        <v>7</v>
      </c>
      <c r="F428">
        <v>15240</v>
      </c>
      <c r="G428">
        <v>7</v>
      </c>
    </row>
    <row r="429" spans="1:7">
      <c r="A429" t="s">
        <v>8155</v>
      </c>
      <c r="B429" t="s">
        <v>8156</v>
      </c>
      <c r="C429">
        <v>1</v>
      </c>
      <c r="F429">
        <v>705</v>
      </c>
      <c r="G429">
        <v>5</v>
      </c>
    </row>
    <row r="430" spans="1:7">
      <c r="A430" t="s">
        <v>8155</v>
      </c>
      <c r="B430" t="s">
        <v>8156</v>
      </c>
      <c r="C430">
        <v>2</v>
      </c>
      <c r="F430">
        <v>1408</v>
      </c>
      <c r="G430">
        <v>5</v>
      </c>
    </row>
    <row r="431" spans="1:7">
      <c r="A431" t="s">
        <v>8155</v>
      </c>
      <c r="B431" t="s">
        <v>8156</v>
      </c>
      <c r="C431">
        <v>3</v>
      </c>
      <c r="F431">
        <v>2438</v>
      </c>
      <c r="G431">
        <v>5</v>
      </c>
    </row>
    <row r="432" spans="1:7">
      <c r="A432" t="s">
        <v>8155</v>
      </c>
      <c r="B432" t="s">
        <v>8156</v>
      </c>
      <c r="C432">
        <v>4</v>
      </c>
      <c r="F432">
        <v>3754</v>
      </c>
      <c r="G432">
        <v>5</v>
      </c>
    </row>
    <row r="433" spans="1:7">
      <c r="A433" t="s">
        <v>8155</v>
      </c>
      <c r="B433" t="s">
        <v>8156</v>
      </c>
      <c r="C433">
        <v>5</v>
      </c>
      <c r="F433">
        <v>6282</v>
      </c>
      <c r="G433">
        <v>5</v>
      </c>
    </row>
    <row r="434" spans="1:7">
      <c r="A434" t="s">
        <v>8155</v>
      </c>
      <c r="B434" t="s">
        <v>8156</v>
      </c>
      <c r="C434">
        <v>6</v>
      </c>
      <c r="F434">
        <v>9030</v>
      </c>
      <c r="G434">
        <v>6</v>
      </c>
    </row>
    <row r="435" spans="1:7">
      <c r="A435" t="s">
        <v>8155</v>
      </c>
      <c r="B435" t="s">
        <v>8156</v>
      </c>
      <c r="C435">
        <v>7</v>
      </c>
      <c r="F435">
        <v>15240</v>
      </c>
      <c r="G435">
        <v>7</v>
      </c>
    </row>
    <row r="436" spans="1:7">
      <c r="A436" t="s">
        <v>8158</v>
      </c>
      <c r="B436" t="s">
        <v>8159</v>
      </c>
      <c r="C436">
        <v>1</v>
      </c>
      <c r="F436">
        <v>705</v>
      </c>
      <c r="G436">
        <v>5</v>
      </c>
    </row>
    <row r="437" spans="1:7">
      <c r="A437" t="s">
        <v>8158</v>
      </c>
      <c r="B437" t="s">
        <v>8159</v>
      </c>
      <c r="C437">
        <v>2</v>
      </c>
      <c r="F437">
        <v>1408</v>
      </c>
      <c r="G437">
        <v>5</v>
      </c>
    </row>
    <row r="438" spans="1:7">
      <c r="A438" t="s">
        <v>8158</v>
      </c>
      <c r="B438" t="s">
        <v>8159</v>
      </c>
      <c r="C438">
        <v>3</v>
      </c>
      <c r="F438">
        <v>2438</v>
      </c>
      <c r="G438">
        <v>5</v>
      </c>
    </row>
    <row r="439" spans="1:7">
      <c r="A439" t="s">
        <v>8158</v>
      </c>
      <c r="B439" t="s">
        <v>8159</v>
      </c>
      <c r="C439">
        <v>4</v>
      </c>
      <c r="F439">
        <v>3754</v>
      </c>
      <c r="G439">
        <v>5</v>
      </c>
    </row>
    <row r="440" spans="1:7">
      <c r="A440" t="s">
        <v>8158</v>
      </c>
      <c r="B440" t="s">
        <v>8159</v>
      </c>
      <c r="C440">
        <v>5</v>
      </c>
      <c r="F440">
        <v>6282</v>
      </c>
      <c r="G440">
        <v>5</v>
      </c>
    </row>
    <row r="441" spans="1:7">
      <c r="A441" t="s">
        <v>8158</v>
      </c>
      <c r="B441" t="s">
        <v>8159</v>
      </c>
      <c r="C441">
        <v>6</v>
      </c>
      <c r="F441">
        <v>9030</v>
      </c>
      <c r="G441">
        <v>6</v>
      </c>
    </row>
    <row r="442" spans="1:7">
      <c r="A442" t="s">
        <v>8158</v>
      </c>
      <c r="B442" t="s">
        <v>8159</v>
      </c>
      <c r="C442">
        <v>7</v>
      </c>
      <c r="F442">
        <v>15240</v>
      </c>
      <c r="G442">
        <v>7</v>
      </c>
    </row>
    <row r="443" spans="1:7">
      <c r="A443" t="s">
        <v>8161</v>
      </c>
      <c r="B443" t="s">
        <v>8162</v>
      </c>
      <c r="C443">
        <v>1</v>
      </c>
      <c r="F443">
        <v>705</v>
      </c>
      <c r="G443">
        <v>5</v>
      </c>
    </row>
    <row r="444" spans="1:7">
      <c r="A444" t="s">
        <v>8161</v>
      </c>
      <c r="B444" t="s">
        <v>8162</v>
      </c>
      <c r="C444">
        <v>2</v>
      </c>
      <c r="F444">
        <v>1408</v>
      </c>
      <c r="G444">
        <v>5</v>
      </c>
    </row>
    <row r="445" spans="1:7">
      <c r="A445" t="s">
        <v>8161</v>
      </c>
      <c r="B445" t="s">
        <v>8162</v>
      </c>
      <c r="C445">
        <v>3</v>
      </c>
      <c r="F445">
        <v>2438</v>
      </c>
      <c r="G445">
        <v>5</v>
      </c>
    </row>
    <row r="446" spans="1:7">
      <c r="A446" t="s">
        <v>8161</v>
      </c>
      <c r="B446" t="s">
        <v>8162</v>
      </c>
      <c r="C446">
        <v>4</v>
      </c>
      <c r="F446">
        <v>3754</v>
      </c>
      <c r="G446">
        <v>5</v>
      </c>
    </row>
    <row r="447" spans="1:7">
      <c r="A447" t="s">
        <v>8161</v>
      </c>
      <c r="B447" t="s">
        <v>8162</v>
      </c>
      <c r="C447">
        <v>5</v>
      </c>
      <c r="F447">
        <v>6282</v>
      </c>
      <c r="G447">
        <v>5</v>
      </c>
    </row>
    <row r="448" spans="1:7">
      <c r="A448" t="s">
        <v>8161</v>
      </c>
      <c r="B448" t="s">
        <v>8162</v>
      </c>
      <c r="C448">
        <v>6</v>
      </c>
      <c r="F448">
        <v>9030</v>
      </c>
      <c r="G448">
        <v>6</v>
      </c>
    </row>
    <row r="449" spans="1:7">
      <c r="A449" t="s">
        <v>8161</v>
      </c>
      <c r="B449" t="s">
        <v>8162</v>
      </c>
      <c r="C449">
        <v>7</v>
      </c>
      <c r="F449">
        <v>15240</v>
      </c>
      <c r="G449">
        <v>7</v>
      </c>
    </row>
    <row r="450" spans="1:7">
      <c r="A450" t="s">
        <v>8164</v>
      </c>
      <c r="B450" t="s">
        <v>8165</v>
      </c>
      <c r="C450">
        <v>1</v>
      </c>
      <c r="F450">
        <v>705</v>
      </c>
      <c r="G450">
        <v>5</v>
      </c>
    </row>
    <row r="451" spans="1:7">
      <c r="A451" t="s">
        <v>8164</v>
      </c>
      <c r="B451" t="s">
        <v>8165</v>
      </c>
      <c r="C451">
        <v>2</v>
      </c>
      <c r="F451">
        <v>1408</v>
      </c>
      <c r="G451">
        <v>5</v>
      </c>
    </row>
    <row r="452" spans="1:7">
      <c r="A452" t="s">
        <v>8164</v>
      </c>
      <c r="B452" t="s">
        <v>8165</v>
      </c>
      <c r="C452">
        <v>3</v>
      </c>
      <c r="F452">
        <v>2438</v>
      </c>
      <c r="G452">
        <v>5</v>
      </c>
    </row>
    <row r="453" spans="1:7">
      <c r="A453" t="s">
        <v>8164</v>
      </c>
      <c r="B453" t="s">
        <v>8165</v>
      </c>
      <c r="C453">
        <v>4</v>
      </c>
      <c r="F453">
        <v>3754</v>
      </c>
      <c r="G453">
        <v>5</v>
      </c>
    </row>
    <row r="454" spans="1:7">
      <c r="A454" t="s">
        <v>8164</v>
      </c>
      <c r="B454" t="s">
        <v>8165</v>
      </c>
      <c r="C454">
        <v>5</v>
      </c>
      <c r="F454">
        <v>6282</v>
      </c>
      <c r="G454">
        <v>5</v>
      </c>
    </row>
    <row r="455" spans="1:7">
      <c r="A455" t="s">
        <v>8164</v>
      </c>
      <c r="B455" t="s">
        <v>8165</v>
      </c>
      <c r="C455">
        <v>6</v>
      </c>
      <c r="F455">
        <v>9030</v>
      </c>
      <c r="G455">
        <v>6</v>
      </c>
    </row>
    <row r="456" spans="1:7">
      <c r="A456" t="s">
        <v>8164</v>
      </c>
      <c r="B456" t="s">
        <v>8165</v>
      </c>
      <c r="C456">
        <v>7</v>
      </c>
      <c r="F456">
        <v>15240</v>
      </c>
      <c r="G456">
        <v>7</v>
      </c>
    </row>
    <row r="457" spans="1:7">
      <c r="A457" t="s">
        <v>8167</v>
      </c>
      <c r="B457" t="s">
        <v>8168</v>
      </c>
      <c r="C457">
        <v>1</v>
      </c>
      <c r="F457">
        <v>705</v>
      </c>
      <c r="G457">
        <v>5</v>
      </c>
    </row>
    <row r="458" spans="1:7">
      <c r="A458" t="s">
        <v>8167</v>
      </c>
      <c r="B458" t="s">
        <v>8168</v>
      </c>
      <c r="C458">
        <v>2</v>
      </c>
      <c r="F458">
        <v>1408</v>
      </c>
      <c r="G458">
        <v>5</v>
      </c>
    </row>
    <row r="459" spans="1:7">
      <c r="A459" t="s">
        <v>8167</v>
      </c>
      <c r="B459" t="s">
        <v>8168</v>
      </c>
      <c r="C459">
        <v>3</v>
      </c>
      <c r="F459">
        <v>2438</v>
      </c>
      <c r="G459">
        <v>5</v>
      </c>
    </row>
    <row r="460" spans="1:7">
      <c r="A460" t="s">
        <v>8167</v>
      </c>
      <c r="B460" t="s">
        <v>8168</v>
      </c>
      <c r="C460">
        <v>4</v>
      </c>
      <c r="F460">
        <v>3754</v>
      </c>
      <c r="G460">
        <v>5</v>
      </c>
    </row>
    <row r="461" spans="1:7">
      <c r="A461" t="s">
        <v>8167</v>
      </c>
      <c r="B461" t="s">
        <v>8168</v>
      </c>
      <c r="C461">
        <v>5</v>
      </c>
      <c r="F461">
        <v>6282</v>
      </c>
      <c r="G461">
        <v>5</v>
      </c>
    </row>
    <row r="462" spans="1:7">
      <c r="A462" t="s">
        <v>8167</v>
      </c>
      <c r="B462" t="s">
        <v>8168</v>
      </c>
      <c r="C462">
        <v>6</v>
      </c>
      <c r="F462">
        <v>9030</v>
      </c>
      <c r="G462">
        <v>6</v>
      </c>
    </row>
    <row r="463" spans="1:7">
      <c r="A463" t="s">
        <v>8167</v>
      </c>
      <c r="B463" t="s">
        <v>8168</v>
      </c>
      <c r="C463">
        <v>7</v>
      </c>
      <c r="F463">
        <v>15240</v>
      </c>
      <c r="G463">
        <v>7</v>
      </c>
    </row>
    <row r="464" spans="1:7">
      <c r="A464" t="s">
        <v>8170</v>
      </c>
      <c r="B464" t="s">
        <v>8171</v>
      </c>
      <c r="C464">
        <v>1</v>
      </c>
      <c r="F464">
        <v>705</v>
      </c>
      <c r="G464">
        <v>5</v>
      </c>
    </row>
    <row r="465" spans="1:7">
      <c r="A465" t="s">
        <v>8170</v>
      </c>
      <c r="B465" t="s">
        <v>8171</v>
      </c>
      <c r="C465">
        <v>2</v>
      </c>
      <c r="F465">
        <v>1408</v>
      </c>
      <c r="G465">
        <v>5</v>
      </c>
    </row>
    <row r="466" spans="1:7">
      <c r="A466" t="s">
        <v>8170</v>
      </c>
      <c r="B466" t="s">
        <v>8171</v>
      </c>
      <c r="C466">
        <v>3</v>
      </c>
      <c r="F466">
        <v>2438</v>
      </c>
      <c r="G466">
        <v>5</v>
      </c>
    </row>
    <row r="467" spans="1:7">
      <c r="A467" t="s">
        <v>8170</v>
      </c>
      <c r="B467" t="s">
        <v>8171</v>
      </c>
      <c r="C467">
        <v>4</v>
      </c>
      <c r="F467">
        <v>3754</v>
      </c>
      <c r="G467">
        <v>5</v>
      </c>
    </row>
    <row r="468" spans="1:7">
      <c r="A468" t="s">
        <v>8170</v>
      </c>
      <c r="B468" t="s">
        <v>8171</v>
      </c>
      <c r="C468">
        <v>5</v>
      </c>
      <c r="F468">
        <v>6282</v>
      </c>
      <c r="G468">
        <v>5</v>
      </c>
    </row>
    <row r="469" spans="1:7">
      <c r="A469" t="s">
        <v>8170</v>
      </c>
      <c r="B469" t="s">
        <v>8171</v>
      </c>
      <c r="C469">
        <v>6</v>
      </c>
      <c r="F469">
        <v>9030</v>
      </c>
      <c r="G469">
        <v>6</v>
      </c>
    </row>
    <row r="470" spans="1:7">
      <c r="A470" t="s">
        <v>8170</v>
      </c>
      <c r="B470" t="s">
        <v>8171</v>
      </c>
      <c r="C470">
        <v>7</v>
      </c>
      <c r="F470">
        <v>15240</v>
      </c>
      <c r="G470">
        <v>7</v>
      </c>
    </row>
    <row r="471" spans="1:7">
      <c r="A471" t="s">
        <v>8173</v>
      </c>
      <c r="B471" t="s">
        <v>8174</v>
      </c>
      <c r="C471">
        <v>1</v>
      </c>
      <c r="D471">
        <v>120</v>
      </c>
      <c r="E471">
        <v>3</v>
      </c>
      <c r="F471">
        <v>501</v>
      </c>
      <c r="G471">
        <v>5</v>
      </c>
    </row>
    <row r="472" spans="1:7">
      <c r="A472" t="s">
        <v>8173</v>
      </c>
      <c r="B472" t="s">
        <v>8174</v>
      </c>
      <c r="C472">
        <v>2</v>
      </c>
      <c r="D472">
        <v>372</v>
      </c>
      <c r="E472">
        <v>3</v>
      </c>
      <c r="F472">
        <v>951</v>
      </c>
      <c r="G472">
        <v>5</v>
      </c>
    </row>
    <row r="473" spans="1:7">
      <c r="A473" t="s">
        <v>8173</v>
      </c>
      <c r="B473" t="s">
        <v>8174</v>
      </c>
      <c r="C473">
        <v>3</v>
      </c>
      <c r="D473">
        <v>932</v>
      </c>
      <c r="E473">
        <v>3</v>
      </c>
      <c r="F473">
        <v>1674</v>
      </c>
      <c r="G473">
        <v>5</v>
      </c>
    </row>
    <row r="474" spans="1:7">
      <c r="A474" t="s">
        <v>8173</v>
      </c>
      <c r="B474" t="s">
        <v>8174</v>
      </c>
      <c r="C474">
        <v>4</v>
      </c>
      <c r="D474">
        <v>1480</v>
      </c>
      <c r="E474">
        <v>4</v>
      </c>
      <c r="F474">
        <v>2648</v>
      </c>
      <c r="G474">
        <v>5</v>
      </c>
    </row>
    <row r="475" spans="1:7">
      <c r="A475" t="s">
        <v>8173</v>
      </c>
      <c r="B475" t="s">
        <v>8174</v>
      </c>
      <c r="C475">
        <v>5</v>
      </c>
      <c r="D475">
        <v>2370</v>
      </c>
      <c r="E475">
        <v>5</v>
      </c>
      <c r="F475">
        <v>4290</v>
      </c>
      <c r="G475">
        <v>5</v>
      </c>
    </row>
    <row r="476" spans="1:7">
      <c r="A476" t="s">
        <v>8173</v>
      </c>
      <c r="B476" t="s">
        <v>8174</v>
      </c>
      <c r="C476">
        <v>6</v>
      </c>
      <c r="D476">
        <v>4060</v>
      </c>
      <c r="E476">
        <v>6</v>
      </c>
      <c r="F476">
        <v>7220</v>
      </c>
      <c r="G476">
        <v>6</v>
      </c>
    </row>
    <row r="477" spans="1:7">
      <c r="A477" t="s">
        <v>8173</v>
      </c>
      <c r="B477" t="s">
        <v>8174</v>
      </c>
      <c r="C477">
        <v>7</v>
      </c>
      <c r="D477">
        <v>10120</v>
      </c>
      <c r="E477">
        <v>7</v>
      </c>
      <c r="F477">
        <v>16040</v>
      </c>
      <c r="G477">
        <v>7</v>
      </c>
    </row>
    <row r="478" spans="1:7">
      <c r="A478" t="s">
        <v>8177</v>
      </c>
      <c r="B478" t="s">
        <v>1994</v>
      </c>
      <c r="C478">
        <v>1</v>
      </c>
      <c r="D478">
        <v>76</v>
      </c>
      <c r="E478">
        <v>3</v>
      </c>
      <c r="F478">
        <v>525</v>
      </c>
      <c r="G478">
        <v>5</v>
      </c>
    </row>
    <row r="479" spans="1:7">
      <c r="A479" t="s">
        <v>8177</v>
      </c>
      <c r="B479" t="s">
        <v>1994</v>
      </c>
      <c r="C479">
        <v>2</v>
      </c>
      <c r="D479">
        <v>218</v>
      </c>
      <c r="E479">
        <v>3</v>
      </c>
      <c r="F479">
        <v>975</v>
      </c>
      <c r="G479">
        <v>5</v>
      </c>
    </row>
    <row r="480" spans="1:7">
      <c r="A480" t="s">
        <v>8177</v>
      </c>
      <c r="B480" t="s">
        <v>1994</v>
      </c>
      <c r="C480">
        <v>3</v>
      </c>
      <c r="D480">
        <v>552</v>
      </c>
      <c r="E480">
        <v>3</v>
      </c>
      <c r="F480">
        <v>1730</v>
      </c>
      <c r="G480">
        <v>5</v>
      </c>
    </row>
    <row r="481" spans="1:7">
      <c r="A481" t="s">
        <v>8177</v>
      </c>
      <c r="B481" t="s">
        <v>1994</v>
      </c>
      <c r="C481">
        <v>4</v>
      </c>
      <c r="D481">
        <v>920</v>
      </c>
      <c r="E481">
        <v>4</v>
      </c>
      <c r="F481">
        <v>2368</v>
      </c>
      <c r="G481">
        <v>5</v>
      </c>
    </row>
    <row r="482" spans="1:7">
      <c r="A482" t="s">
        <v>8177</v>
      </c>
      <c r="B482" t="s">
        <v>1994</v>
      </c>
      <c r="C482">
        <v>5</v>
      </c>
      <c r="D482">
        <v>1590</v>
      </c>
      <c r="E482">
        <v>5</v>
      </c>
      <c r="F482">
        <v>3450</v>
      </c>
      <c r="G482">
        <v>5</v>
      </c>
    </row>
    <row r="483" spans="1:7">
      <c r="A483" t="s">
        <v>8177</v>
      </c>
      <c r="B483" t="s">
        <v>1994</v>
      </c>
      <c r="C483">
        <v>6</v>
      </c>
      <c r="D483">
        <v>3020</v>
      </c>
      <c r="E483">
        <v>6</v>
      </c>
      <c r="F483">
        <v>5860</v>
      </c>
      <c r="G483">
        <v>6</v>
      </c>
    </row>
    <row r="484" spans="1:7">
      <c r="A484" t="s">
        <v>8177</v>
      </c>
      <c r="B484" t="s">
        <v>1994</v>
      </c>
      <c r="C484">
        <v>7</v>
      </c>
      <c r="D484">
        <v>8780</v>
      </c>
      <c r="E484">
        <v>7</v>
      </c>
      <c r="F484">
        <v>14080</v>
      </c>
      <c r="G484">
        <v>7</v>
      </c>
    </row>
    <row r="485" spans="1:7">
      <c r="A485" t="s">
        <v>8179</v>
      </c>
      <c r="B485" t="s">
        <v>2202</v>
      </c>
      <c r="C485">
        <v>1</v>
      </c>
      <c r="D485">
        <v>98</v>
      </c>
      <c r="E485">
        <v>3</v>
      </c>
      <c r="F485">
        <v>477</v>
      </c>
      <c r="G485">
        <v>5</v>
      </c>
    </row>
    <row r="486" spans="1:7">
      <c r="A486" t="s">
        <v>8179</v>
      </c>
      <c r="B486" t="s">
        <v>2202</v>
      </c>
      <c r="C486">
        <v>2</v>
      </c>
      <c r="D486">
        <v>284</v>
      </c>
      <c r="E486">
        <v>3</v>
      </c>
      <c r="F486">
        <v>905</v>
      </c>
      <c r="G486">
        <v>5</v>
      </c>
    </row>
    <row r="487" spans="1:7">
      <c r="A487" t="s">
        <v>8179</v>
      </c>
      <c r="B487" t="s">
        <v>2202</v>
      </c>
      <c r="C487">
        <v>3</v>
      </c>
      <c r="D487">
        <v>704</v>
      </c>
      <c r="E487">
        <v>3</v>
      </c>
      <c r="F487">
        <v>1522</v>
      </c>
      <c r="G487">
        <v>5</v>
      </c>
    </row>
    <row r="488" spans="1:7">
      <c r="A488" t="s">
        <v>8179</v>
      </c>
      <c r="B488" t="s">
        <v>2202</v>
      </c>
      <c r="C488">
        <v>4</v>
      </c>
      <c r="D488">
        <v>1144</v>
      </c>
      <c r="E488">
        <v>4</v>
      </c>
      <c r="F488">
        <v>2200</v>
      </c>
      <c r="G488">
        <v>5</v>
      </c>
    </row>
    <row r="489" spans="1:7">
      <c r="A489" t="s">
        <v>8179</v>
      </c>
      <c r="B489" t="s">
        <v>2202</v>
      </c>
      <c r="C489">
        <v>5</v>
      </c>
      <c r="D489">
        <v>1902</v>
      </c>
      <c r="E489">
        <v>5</v>
      </c>
      <c r="F489">
        <v>3354</v>
      </c>
      <c r="G489">
        <v>5</v>
      </c>
    </row>
    <row r="490" spans="1:7">
      <c r="A490" t="s">
        <v>8179</v>
      </c>
      <c r="B490" t="s">
        <v>2202</v>
      </c>
      <c r="C490">
        <v>6</v>
      </c>
      <c r="D490">
        <v>3436</v>
      </c>
      <c r="E490">
        <v>6</v>
      </c>
      <c r="F490">
        <v>5972</v>
      </c>
      <c r="G490">
        <v>6</v>
      </c>
    </row>
    <row r="491" spans="1:7">
      <c r="A491" t="s">
        <v>8179</v>
      </c>
      <c r="B491" t="s">
        <v>2202</v>
      </c>
      <c r="C491">
        <v>7</v>
      </c>
      <c r="D491">
        <v>9316</v>
      </c>
      <c r="E491">
        <v>7</v>
      </c>
      <c r="F491">
        <v>14432</v>
      </c>
      <c r="G491">
        <v>7</v>
      </c>
    </row>
    <row r="492" spans="1:7">
      <c r="A492" t="s">
        <v>8181</v>
      </c>
      <c r="B492" t="s">
        <v>2015</v>
      </c>
      <c r="C492">
        <v>1</v>
      </c>
      <c r="D492">
        <v>461</v>
      </c>
      <c r="E492">
        <v>3</v>
      </c>
      <c r="F492">
        <v>837</v>
      </c>
      <c r="G492">
        <v>5</v>
      </c>
    </row>
    <row r="493" spans="1:7">
      <c r="A493" t="s">
        <v>8181</v>
      </c>
      <c r="B493" t="s">
        <v>2015</v>
      </c>
      <c r="C493">
        <v>2</v>
      </c>
      <c r="D493">
        <v>1384</v>
      </c>
      <c r="E493">
        <v>3</v>
      </c>
      <c r="F493">
        <v>1917</v>
      </c>
      <c r="G493">
        <v>5</v>
      </c>
    </row>
    <row r="494" spans="1:7">
      <c r="A494" t="s">
        <v>8181</v>
      </c>
      <c r="B494" t="s">
        <v>2015</v>
      </c>
      <c r="C494">
        <v>3</v>
      </c>
      <c r="D494">
        <v>3554</v>
      </c>
      <c r="E494">
        <v>3</v>
      </c>
      <c r="F494">
        <v>4030</v>
      </c>
      <c r="G494">
        <v>5</v>
      </c>
    </row>
    <row r="495" spans="1:7">
      <c r="A495" t="s">
        <v>8181</v>
      </c>
      <c r="B495" t="s">
        <v>2015</v>
      </c>
      <c r="C495">
        <v>4</v>
      </c>
      <c r="D495">
        <v>5344</v>
      </c>
      <c r="E495">
        <v>4</v>
      </c>
      <c r="F495">
        <v>7800</v>
      </c>
      <c r="G495">
        <v>5</v>
      </c>
    </row>
    <row r="496" spans="1:7">
      <c r="A496" t="s">
        <v>8181</v>
      </c>
      <c r="B496" t="s">
        <v>2015</v>
      </c>
      <c r="C496">
        <v>5</v>
      </c>
      <c r="D496">
        <v>7752</v>
      </c>
      <c r="E496">
        <v>5</v>
      </c>
      <c r="F496">
        <v>15054</v>
      </c>
      <c r="G496">
        <v>5</v>
      </c>
    </row>
    <row r="497" spans="1:7">
      <c r="A497" t="s">
        <v>8181</v>
      </c>
      <c r="B497" t="s">
        <v>2015</v>
      </c>
      <c r="C497">
        <v>6</v>
      </c>
      <c r="D497">
        <v>11236</v>
      </c>
      <c r="E497">
        <v>6</v>
      </c>
      <c r="F497">
        <v>21572</v>
      </c>
      <c r="G497">
        <v>6</v>
      </c>
    </row>
    <row r="498" spans="1:7">
      <c r="A498" t="s">
        <v>8181</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8190</v>
      </c>
      <c r="C1" t="s">
        <v>8191</v>
      </c>
    </row>
    <row r="2" spans="1:3">
      <c r="A2" t="s">
        <v>8192</v>
      </c>
      <c r="B2" t="s">
        <v>8193</v>
      </c>
      <c r="C2">
        <v>0.5</v>
      </c>
    </row>
    <row r="3" spans="1:3">
      <c r="A3" t="s">
        <v>8192</v>
      </c>
      <c r="B3" t="s">
        <v>8194</v>
      </c>
      <c r="C3">
        <v>0.75</v>
      </c>
    </row>
    <row r="4" spans="1:3">
      <c r="A4" t="s">
        <v>8192</v>
      </c>
      <c r="B4" t="s">
        <v>8195</v>
      </c>
      <c r="C4">
        <v>1</v>
      </c>
    </row>
    <row r="5" spans="1:3">
      <c r="A5" t="s">
        <v>8192</v>
      </c>
      <c r="B5" t="s">
        <v>8196</v>
      </c>
      <c r="C5">
        <v>1.5</v>
      </c>
    </row>
    <row r="6" spans="1:3">
      <c r="A6" t="s">
        <v>8192</v>
      </c>
      <c r="B6" t="s">
        <v>8197</v>
      </c>
      <c r="C6">
        <v>2</v>
      </c>
    </row>
    <row r="7" spans="1:3">
      <c r="A7" t="s">
        <v>8198</v>
      </c>
      <c r="B7" t="s">
        <v>8199</v>
      </c>
      <c r="C7">
        <v>0</v>
      </c>
    </row>
    <row r="8" spans="1:3">
      <c r="A8" t="s">
        <v>8198</v>
      </c>
      <c r="B8" t="s">
        <v>8200</v>
      </c>
      <c r="C8">
        <v>0.4</v>
      </c>
    </row>
    <row r="9" spans="1:3">
      <c r="A9" t="s">
        <v>8198</v>
      </c>
      <c r="B9" t="s">
        <v>8201</v>
      </c>
      <c r="C9">
        <v>0.7</v>
      </c>
    </row>
    <row r="10" spans="1:3">
      <c r="A10" t="s">
        <v>8198</v>
      </c>
      <c r="B10" t="s">
        <v>8202</v>
      </c>
      <c r="C10">
        <v>1</v>
      </c>
    </row>
    <row r="11" spans="1:3">
      <c r="A11" t="s">
        <v>8198</v>
      </c>
      <c r="B11" t="s">
        <v>8203</v>
      </c>
      <c r="C11">
        <v>1.1000000000000001</v>
      </c>
    </row>
    <row r="12" spans="1:3">
      <c r="A12" t="s">
        <v>8198</v>
      </c>
      <c r="B12" t="s">
        <v>8204</v>
      </c>
      <c r="C12">
        <v>1.25</v>
      </c>
    </row>
    <row r="13" spans="1:3">
      <c r="A13" t="s">
        <v>8198</v>
      </c>
      <c r="B13" t="s">
        <v>8205</v>
      </c>
      <c r="C13">
        <v>1.4</v>
      </c>
    </row>
    <row r="14" spans="1:3">
      <c r="A14" t="s">
        <v>8206</v>
      </c>
      <c r="B14" t="s">
        <v>8207</v>
      </c>
      <c r="C14">
        <v>0.5</v>
      </c>
    </row>
    <row r="15" spans="1:3">
      <c r="A15" t="s">
        <v>8206</v>
      </c>
      <c r="B15" t="s">
        <v>8208</v>
      </c>
      <c r="C15">
        <v>0.8</v>
      </c>
    </row>
    <row r="16" spans="1:3">
      <c r="A16" t="s">
        <v>8206</v>
      </c>
      <c r="B16" t="s">
        <v>8209</v>
      </c>
      <c r="C16">
        <v>1</v>
      </c>
    </row>
    <row r="17" spans="1:3">
      <c r="A17" t="s">
        <v>8206</v>
      </c>
      <c r="B17" t="s">
        <v>8210</v>
      </c>
      <c r="C17">
        <v>1.2</v>
      </c>
    </row>
    <row r="18" spans="1:3">
      <c r="A18" t="s">
        <v>8206</v>
      </c>
      <c r="B18" t="s">
        <v>8211</v>
      </c>
      <c r="C18">
        <v>1.3</v>
      </c>
    </row>
    <row r="19" spans="1:3">
      <c r="A19" t="s">
        <v>8212</v>
      </c>
      <c r="B19" t="s">
        <v>8213</v>
      </c>
      <c r="C19">
        <v>0.05</v>
      </c>
    </row>
    <row r="20" spans="1:3">
      <c r="A20" t="s">
        <v>8212</v>
      </c>
      <c r="B20" t="s">
        <v>8214</v>
      </c>
      <c r="C20">
        <v>0.5</v>
      </c>
    </row>
    <row r="21" spans="1:3">
      <c r="A21" t="s">
        <v>8212</v>
      </c>
      <c r="B21" t="s">
        <v>8215</v>
      </c>
      <c r="C21">
        <v>0.8</v>
      </c>
    </row>
    <row r="22" spans="1:3">
      <c r="A22" t="s">
        <v>8212</v>
      </c>
      <c r="B22" t="s">
        <v>8216</v>
      </c>
      <c r="C22">
        <v>0.5</v>
      </c>
    </row>
    <row r="23" spans="1:3">
      <c r="A23" t="s">
        <v>8212</v>
      </c>
      <c r="B23" t="s">
        <v>8217</v>
      </c>
      <c r="C23">
        <v>0.75</v>
      </c>
    </row>
    <row r="24" spans="1:3">
      <c r="A24" t="s">
        <v>8212</v>
      </c>
      <c r="B24" t="s">
        <v>8218</v>
      </c>
      <c r="C24">
        <v>1</v>
      </c>
    </row>
    <row r="25" spans="1:3">
      <c r="A25" t="s">
        <v>8212</v>
      </c>
      <c r="B25" t="s">
        <v>8219</v>
      </c>
      <c r="C25">
        <v>1.25</v>
      </c>
    </row>
    <row r="26" spans="1:3">
      <c r="A26" t="s">
        <v>8212</v>
      </c>
      <c r="B26" t="s">
        <v>8220</v>
      </c>
      <c r="C26">
        <v>1.5</v>
      </c>
    </row>
    <row r="28" spans="1:3">
      <c r="A28" t="s">
        <v>8221</v>
      </c>
      <c r="B28" t="s">
        <v>8221</v>
      </c>
      <c r="C28" t="s">
        <v>8221</v>
      </c>
    </row>
    <row r="29" spans="1:3">
      <c r="A29" t="s">
        <v>20</v>
      </c>
      <c r="B29" t="s">
        <v>8222</v>
      </c>
      <c r="C29" t="s">
        <v>8223</v>
      </c>
    </row>
    <row r="30" spans="1:3">
      <c r="A30">
        <v>1</v>
      </c>
      <c r="B30" t="s">
        <v>8224</v>
      </c>
      <c r="C30" t="s">
        <v>8225</v>
      </c>
    </row>
    <row r="31" spans="1:3">
      <c r="A31">
        <v>2</v>
      </c>
      <c r="B31" t="s">
        <v>8226</v>
      </c>
      <c r="C31" t="s">
        <v>8227</v>
      </c>
    </row>
    <row r="32" spans="1:3">
      <c r="A32">
        <v>3</v>
      </c>
      <c r="B32" t="s">
        <v>8228</v>
      </c>
      <c r="C32" t="s">
        <v>8229</v>
      </c>
    </row>
    <row r="33" spans="1:3">
      <c r="A33">
        <v>4</v>
      </c>
      <c r="B33" t="s">
        <v>5559</v>
      </c>
      <c r="C33" t="s">
        <v>8230</v>
      </c>
    </row>
    <row r="34" spans="1:3">
      <c r="A34">
        <v>5</v>
      </c>
      <c r="B34" t="s">
        <v>8231</v>
      </c>
      <c r="C34" t="s">
        <v>8232</v>
      </c>
    </row>
    <row r="35" spans="1:3">
      <c r="A35">
        <v>6</v>
      </c>
      <c r="B35" t="s">
        <v>8233</v>
      </c>
      <c r="C35" t="s">
        <v>8234</v>
      </c>
    </row>
    <row r="36" spans="1:3">
      <c r="A36">
        <v>7</v>
      </c>
      <c r="B36" t="s">
        <v>8235</v>
      </c>
      <c r="C36" t="s">
        <v>8236</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8237</v>
      </c>
      <c r="B1" t="s">
        <v>7255</v>
      </c>
      <c r="C1" t="s">
        <v>7363</v>
      </c>
      <c r="D1" t="s">
        <v>8238</v>
      </c>
      <c r="E1" t="s">
        <v>7286</v>
      </c>
      <c r="F1" t="s">
        <v>7285</v>
      </c>
      <c r="G1" t="s">
        <v>7258</v>
      </c>
      <c r="H1" t="s">
        <v>7362</v>
      </c>
      <c r="I1" t="s">
        <v>5455</v>
      </c>
    </row>
    <row r="2" spans="1:9">
      <c r="A2" t="s">
        <v>7260</v>
      </c>
      <c r="B2">
        <v>1</v>
      </c>
      <c r="C2">
        <v>1</v>
      </c>
      <c r="D2">
        <v>1</v>
      </c>
      <c r="E2">
        <v>1</v>
      </c>
      <c r="F2">
        <v>1</v>
      </c>
      <c r="G2">
        <v>16</v>
      </c>
      <c r="H2">
        <v>1</v>
      </c>
    </row>
    <row r="3" spans="1:9">
      <c r="A3" t="s">
        <v>7228</v>
      </c>
      <c r="B3">
        <v>1</v>
      </c>
      <c r="C3">
        <v>2</v>
      </c>
      <c r="D3">
        <v>2</v>
      </c>
      <c r="E3">
        <v>1</v>
      </c>
      <c r="F3">
        <v>1</v>
      </c>
      <c r="G3">
        <v>32</v>
      </c>
      <c r="H3">
        <v>1</v>
      </c>
    </row>
    <row r="4" spans="1:9">
      <c r="A4" t="s">
        <v>7261</v>
      </c>
      <c r="B4">
        <v>1</v>
      </c>
      <c r="C4">
        <v>3</v>
      </c>
      <c r="D4">
        <v>3</v>
      </c>
      <c r="E4">
        <v>1</v>
      </c>
      <c r="F4">
        <v>1</v>
      </c>
      <c r="G4">
        <v>48</v>
      </c>
      <c r="H4">
        <v>1</v>
      </c>
    </row>
    <row r="5" spans="1:9">
      <c r="A5" t="s">
        <v>7232</v>
      </c>
      <c r="B5">
        <v>2</v>
      </c>
      <c r="C5">
        <v>3</v>
      </c>
      <c r="D5">
        <v>3</v>
      </c>
      <c r="E5">
        <v>1</v>
      </c>
      <c r="F5">
        <v>1</v>
      </c>
      <c r="G5">
        <v>14</v>
      </c>
      <c r="H5">
        <v>2</v>
      </c>
    </row>
    <row r="6" spans="1:9">
      <c r="A6" t="s">
        <v>7262</v>
      </c>
      <c r="B6">
        <v>2</v>
      </c>
      <c r="C6">
        <v>4</v>
      </c>
      <c r="D6">
        <v>4</v>
      </c>
      <c r="E6">
        <v>1</v>
      </c>
      <c r="F6">
        <v>1</v>
      </c>
      <c r="G6">
        <v>28</v>
      </c>
      <c r="H6">
        <v>2</v>
      </c>
    </row>
    <row r="7" spans="1:9">
      <c r="A7" t="s">
        <v>7263</v>
      </c>
      <c r="B7">
        <v>2</v>
      </c>
      <c r="C7">
        <v>5</v>
      </c>
      <c r="D7">
        <v>5</v>
      </c>
      <c r="E7">
        <v>1</v>
      </c>
      <c r="F7">
        <v>1</v>
      </c>
      <c r="G7">
        <v>48</v>
      </c>
      <c r="H7">
        <v>2</v>
      </c>
    </row>
    <row r="8" spans="1:9">
      <c r="A8" t="s">
        <v>7244</v>
      </c>
      <c r="B8">
        <v>3</v>
      </c>
      <c r="C8">
        <v>4</v>
      </c>
      <c r="D8">
        <v>4</v>
      </c>
      <c r="E8">
        <v>1</v>
      </c>
      <c r="F8">
        <v>1</v>
      </c>
      <c r="G8">
        <v>300</v>
      </c>
      <c r="H8">
        <v>10</v>
      </c>
      <c r="I8" t="s">
        <v>7292</v>
      </c>
    </row>
    <row r="9" spans="1:9">
      <c r="A9" t="s">
        <v>7234</v>
      </c>
      <c r="B9">
        <v>3</v>
      </c>
      <c r="C9">
        <v>5</v>
      </c>
      <c r="D9">
        <v>4</v>
      </c>
      <c r="E9">
        <v>2</v>
      </c>
      <c r="F9">
        <v>1</v>
      </c>
      <c r="G9">
        <v>1050</v>
      </c>
      <c r="H9">
        <v>10</v>
      </c>
      <c r="I9" t="s">
        <v>7292</v>
      </c>
    </row>
    <row r="10" spans="1:9">
      <c r="A10" t="s">
        <v>7264</v>
      </c>
      <c r="B10">
        <v>3</v>
      </c>
      <c r="C10">
        <v>6</v>
      </c>
      <c r="D10">
        <v>5</v>
      </c>
      <c r="E10">
        <v>1</v>
      </c>
      <c r="F10">
        <v>1</v>
      </c>
      <c r="G10">
        <v>480</v>
      </c>
      <c r="H10">
        <v>15</v>
      </c>
      <c r="I10" t="s">
        <v>7292</v>
      </c>
    </row>
    <row r="11" spans="1:9">
      <c r="A11" t="s">
        <v>7265</v>
      </c>
      <c r="B11">
        <v>3</v>
      </c>
      <c r="C11">
        <v>7</v>
      </c>
      <c r="D11">
        <v>5</v>
      </c>
      <c r="E11">
        <v>5</v>
      </c>
      <c r="F11">
        <v>3</v>
      </c>
      <c r="G11">
        <v>1500</v>
      </c>
      <c r="H11">
        <v>10</v>
      </c>
      <c r="I11" t="s">
        <v>7292</v>
      </c>
    </row>
    <row r="12" spans="1:9">
      <c r="A12" t="s">
        <v>7266</v>
      </c>
      <c r="B12">
        <v>3</v>
      </c>
      <c r="C12">
        <v>8</v>
      </c>
      <c r="D12">
        <v>6</v>
      </c>
      <c r="E12">
        <v>2</v>
      </c>
      <c r="F12">
        <v>1</v>
      </c>
      <c r="G12">
        <v>1680</v>
      </c>
      <c r="H12">
        <v>15</v>
      </c>
      <c r="I12" t="s">
        <v>7292</v>
      </c>
    </row>
    <row r="13" spans="1:9">
      <c r="A13" t="s">
        <v>7267</v>
      </c>
      <c r="B13">
        <v>3</v>
      </c>
      <c r="C13">
        <v>9</v>
      </c>
      <c r="D13">
        <v>6</v>
      </c>
      <c r="E13">
        <v>6</v>
      </c>
      <c r="F13">
        <v>4</v>
      </c>
      <c r="G13">
        <v>2400</v>
      </c>
      <c r="H13">
        <v>15</v>
      </c>
      <c r="I13" t="s">
        <v>7292</v>
      </c>
    </row>
    <row r="14" spans="1:9">
      <c r="A14" t="s">
        <v>7268</v>
      </c>
      <c r="B14">
        <v>4</v>
      </c>
      <c r="C14">
        <v>4</v>
      </c>
      <c r="D14">
        <v>4</v>
      </c>
      <c r="E14">
        <v>2</v>
      </c>
      <c r="F14">
        <v>2</v>
      </c>
      <c r="G14">
        <v>130</v>
      </c>
      <c r="H14">
        <v>3</v>
      </c>
    </row>
    <row r="15" spans="1:9">
      <c r="A15" t="s">
        <v>7236</v>
      </c>
      <c r="B15">
        <v>4</v>
      </c>
      <c r="C15">
        <v>5</v>
      </c>
      <c r="D15">
        <v>5</v>
      </c>
      <c r="E15">
        <v>2</v>
      </c>
      <c r="F15">
        <v>2</v>
      </c>
      <c r="G15">
        <v>172</v>
      </c>
      <c r="H15">
        <v>4</v>
      </c>
    </row>
    <row r="16" spans="1:9">
      <c r="A16" t="s">
        <v>7269</v>
      </c>
      <c r="B16">
        <v>4</v>
      </c>
      <c r="C16">
        <v>6</v>
      </c>
      <c r="D16">
        <v>6</v>
      </c>
      <c r="E16">
        <v>1</v>
      </c>
      <c r="F16">
        <v>1</v>
      </c>
      <c r="G16">
        <v>607</v>
      </c>
      <c r="H16">
        <v>7</v>
      </c>
      <c r="I16" t="s">
        <v>7290</v>
      </c>
    </row>
    <row r="17" spans="1:9">
      <c r="A17" t="s">
        <v>7270</v>
      </c>
      <c r="B17">
        <v>4</v>
      </c>
      <c r="C17">
        <v>7</v>
      </c>
      <c r="D17">
        <v>7</v>
      </c>
      <c r="E17">
        <v>2</v>
      </c>
      <c r="F17">
        <v>1</v>
      </c>
      <c r="G17">
        <v>2107</v>
      </c>
      <c r="H17">
        <v>7</v>
      </c>
      <c r="I17" t="s">
        <v>7290</v>
      </c>
    </row>
    <row r="18" spans="1:9">
      <c r="A18" t="s">
        <v>7271</v>
      </c>
      <c r="B18">
        <v>4</v>
      </c>
      <c r="C18">
        <v>8</v>
      </c>
      <c r="D18">
        <v>8</v>
      </c>
      <c r="E18">
        <v>1</v>
      </c>
      <c r="F18">
        <v>1</v>
      </c>
      <c r="G18">
        <v>907</v>
      </c>
      <c r="H18">
        <v>10</v>
      </c>
      <c r="I18" t="s">
        <v>7290</v>
      </c>
    </row>
    <row r="19" spans="1:9">
      <c r="A19" t="s">
        <v>7272</v>
      </c>
      <c r="B19">
        <v>4</v>
      </c>
      <c r="C19">
        <v>9</v>
      </c>
      <c r="D19">
        <v>8</v>
      </c>
      <c r="E19">
        <v>2</v>
      </c>
      <c r="F19">
        <v>1</v>
      </c>
      <c r="G19">
        <v>3157</v>
      </c>
      <c r="H19">
        <v>10</v>
      </c>
      <c r="I19" t="s">
        <v>7290</v>
      </c>
    </row>
    <row r="20" spans="1:9">
      <c r="A20" t="s">
        <v>7273</v>
      </c>
      <c r="B20">
        <v>4</v>
      </c>
      <c r="C20">
        <v>10</v>
      </c>
      <c r="D20">
        <v>8</v>
      </c>
      <c r="E20">
        <v>5</v>
      </c>
      <c r="F20">
        <v>3</v>
      </c>
      <c r="G20">
        <v>3007</v>
      </c>
      <c r="H20">
        <v>7</v>
      </c>
      <c r="I20" t="s">
        <v>7290</v>
      </c>
    </row>
    <row r="21" spans="1:9">
      <c r="A21" t="s">
        <v>7245</v>
      </c>
      <c r="B21">
        <v>4</v>
      </c>
      <c r="C21">
        <v>12</v>
      </c>
      <c r="D21">
        <v>10</v>
      </c>
      <c r="E21">
        <v>6</v>
      </c>
      <c r="F21">
        <v>4</v>
      </c>
      <c r="G21">
        <v>4507</v>
      </c>
      <c r="H21">
        <v>10</v>
      </c>
      <c r="I21" t="s">
        <v>7290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8239</v>
      </c>
      <c r="B1" t="s">
        <v>7255</v>
      </c>
      <c r="C1" t="s">
        <v>7223</v>
      </c>
      <c r="D1" t="s">
        <v>7224</v>
      </c>
      <c r="E1" t="s">
        <v>7286</v>
      </c>
      <c r="F1" t="s">
        <v>7285</v>
      </c>
    </row>
    <row r="2" spans="1:6">
      <c r="A2" t="s">
        <v>8240</v>
      </c>
      <c r="B2">
        <v>5</v>
      </c>
      <c r="C2">
        <v>3</v>
      </c>
      <c r="D2">
        <v>2</v>
      </c>
      <c r="E2">
        <v>6</v>
      </c>
      <c r="F2">
        <v>6</v>
      </c>
    </row>
    <row r="3" spans="1:6">
      <c r="A3" t="s">
        <v>8241</v>
      </c>
      <c r="B3">
        <v>5</v>
      </c>
      <c r="C3">
        <v>5</v>
      </c>
      <c r="D3">
        <v>4</v>
      </c>
      <c r="E3">
        <v>6</v>
      </c>
      <c r="F3">
        <v>6</v>
      </c>
    </row>
    <row r="4" spans="1:6">
      <c r="A4" t="s">
        <v>8242</v>
      </c>
      <c r="B4">
        <v>5</v>
      </c>
      <c r="C4">
        <v>7</v>
      </c>
      <c r="D4">
        <v>6</v>
      </c>
      <c r="E4">
        <v>6</v>
      </c>
      <c r="F4">
        <v>6</v>
      </c>
    </row>
    <row r="5" spans="1:6">
      <c r="A5" t="s">
        <v>8243</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7221</v>
      </c>
      <c r="B1" t="s">
        <v>7914</v>
      </c>
      <c r="C1" t="s">
        <v>8244</v>
      </c>
      <c r="D1" t="s">
        <v>7286</v>
      </c>
      <c r="E1" t="s">
        <v>7285</v>
      </c>
      <c r="F1" t="s">
        <v>8245</v>
      </c>
    </row>
    <row r="2" spans="1:6">
      <c r="A2" t="s">
        <v>7243</v>
      </c>
      <c r="D2">
        <v>1</v>
      </c>
      <c r="E2">
        <v>1</v>
      </c>
      <c r="F2">
        <v>6</v>
      </c>
    </row>
    <row r="3" spans="1:6">
      <c r="A3" t="s">
        <v>7229</v>
      </c>
      <c r="B3">
        <v>1</v>
      </c>
      <c r="D3">
        <v>3</v>
      </c>
      <c r="E3">
        <v>2</v>
      </c>
      <c r="F3">
        <v>65</v>
      </c>
    </row>
    <row r="4" spans="1:6">
      <c r="A4" t="s">
        <v>7241</v>
      </c>
      <c r="B4">
        <v>2</v>
      </c>
      <c r="D4">
        <v>5</v>
      </c>
      <c r="E4">
        <v>3</v>
      </c>
      <c r="F4">
        <v>71</v>
      </c>
    </row>
    <row r="5" spans="1:6">
      <c r="A5" t="s">
        <v>7246</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7222</v>
      </c>
      <c r="B1" t="s">
        <v>7914</v>
      </c>
      <c r="C1" t="s">
        <v>8244</v>
      </c>
      <c r="D1" t="s">
        <v>7286</v>
      </c>
      <c r="E1" t="s">
        <v>7285</v>
      </c>
      <c r="F1" t="s">
        <v>8246</v>
      </c>
    </row>
    <row r="2" spans="1:6">
      <c r="A2" t="s">
        <v>8247</v>
      </c>
      <c r="C2">
        <v>2</v>
      </c>
      <c r="D2">
        <v>1</v>
      </c>
      <c r="E2">
        <v>1</v>
      </c>
      <c r="F2">
        <v>0</v>
      </c>
    </row>
    <row r="3" spans="1:6">
      <c r="A3" t="s">
        <v>8248</v>
      </c>
      <c r="C3">
        <v>0</v>
      </c>
      <c r="D3">
        <v>1</v>
      </c>
      <c r="E3">
        <v>1</v>
      </c>
      <c r="F3">
        <v>0</v>
      </c>
    </row>
    <row r="4" spans="1:6">
      <c r="A4" t="s">
        <v>7230</v>
      </c>
      <c r="C4">
        <v>-1</v>
      </c>
      <c r="D4">
        <v>3</v>
      </c>
      <c r="E4">
        <v>2</v>
      </c>
      <c r="F4">
        <v>2</v>
      </c>
    </row>
    <row r="5" spans="1:6">
      <c r="A5" t="s">
        <v>7242</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8249</v>
      </c>
      <c r="B1" t="s">
        <v>6</v>
      </c>
      <c r="C1" t="s">
        <v>8250</v>
      </c>
      <c r="D1" t="s">
        <v>8251</v>
      </c>
      <c r="E1" t="s">
        <v>8252</v>
      </c>
      <c r="F1" t="s">
        <v>8253</v>
      </c>
      <c r="G1" t="s">
        <v>8254</v>
      </c>
      <c r="H1" t="s">
        <v>8255</v>
      </c>
      <c r="I1" t="s">
        <v>8256</v>
      </c>
      <c r="J1" t="s">
        <v>8257</v>
      </c>
    </row>
    <row r="2" spans="1:10">
      <c r="A2" t="s">
        <v>8258</v>
      </c>
      <c r="B2" t="s">
        <v>8259</v>
      </c>
      <c r="C2">
        <v>12</v>
      </c>
      <c r="D2">
        <v>0.36691200000000002</v>
      </c>
      <c r="E2">
        <v>3.6690999999999998</v>
      </c>
      <c r="F2">
        <v>18.345600000000001</v>
      </c>
      <c r="G2">
        <v>36.691200000000002</v>
      </c>
      <c r="H2">
        <v>183.45599999999999</v>
      </c>
      <c r="I2">
        <v>366.91199999999998</v>
      </c>
    </row>
    <row r="3" spans="1:10">
      <c r="A3" t="s">
        <v>8258</v>
      </c>
      <c r="B3" t="s">
        <v>8259</v>
      </c>
      <c r="C3">
        <v>13</v>
      </c>
      <c r="D3">
        <v>0.37455600000000011</v>
      </c>
      <c r="E3">
        <v>3.7456</v>
      </c>
      <c r="F3">
        <v>18.727799999999998</v>
      </c>
      <c r="G3">
        <v>37.455599999999997</v>
      </c>
      <c r="H3">
        <v>187.27799999999999</v>
      </c>
      <c r="I3">
        <v>374.55599999999998</v>
      </c>
    </row>
    <row r="4" spans="1:10">
      <c r="A4" t="s">
        <v>8258</v>
      </c>
      <c r="B4" t="s">
        <v>8259</v>
      </c>
      <c r="C4">
        <v>14</v>
      </c>
      <c r="D4">
        <v>0.38219999999999998</v>
      </c>
      <c r="E4">
        <v>3.8220000000000001</v>
      </c>
      <c r="F4">
        <v>19.11</v>
      </c>
      <c r="G4">
        <v>38.22</v>
      </c>
      <c r="H4">
        <v>191.1</v>
      </c>
      <c r="I4">
        <v>382.2</v>
      </c>
    </row>
    <row r="5" spans="1:10">
      <c r="A5" t="s">
        <v>8258</v>
      </c>
      <c r="B5" t="s">
        <v>8259</v>
      </c>
      <c r="C5">
        <v>15</v>
      </c>
      <c r="D5">
        <v>0.38984400000000002</v>
      </c>
      <c r="E5">
        <v>3.8984000000000001</v>
      </c>
      <c r="F5">
        <v>19.4922</v>
      </c>
      <c r="G5">
        <v>38.984400000000001</v>
      </c>
      <c r="H5">
        <v>194.922</v>
      </c>
      <c r="I5">
        <v>389.84399999999999</v>
      </c>
    </row>
    <row r="6" spans="1:10">
      <c r="A6" t="s">
        <v>8258</v>
      </c>
      <c r="B6" t="s">
        <v>8259</v>
      </c>
      <c r="C6">
        <v>16</v>
      </c>
      <c r="D6">
        <v>0.39748800000000012</v>
      </c>
      <c r="E6">
        <v>3.9748999999999999</v>
      </c>
      <c r="F6">
        <v>19.874400000000001</v>
      </c>
      <c r="G6">
        <v>39.748800000000003</v>
      </c>
      <c r="H6">
        <v>198.744</v>
      </c>
      <c r="I6">
        <v>397.488</v>
      </c>
    </row>
    <row r="7" spans="1:10">
      <c r="A7" t="s">
        <v>8258</v>
      </c>
      <c r="B7" t="s">
        <v>8259</v>
      </c>
      <c r="C7">
        <v>17</v>
      </c>
      <c r="D7">
        <v>0.40513199999999999</v>
      </c>
      <c r="E7">
        <v>4.0513000000000003</v>
      </c>
      <c r="F7">
        <v>20.256599999999999</v>
      </c>
      <c r="G7">
        <v>40.513199999999998</v>
      </c>
      <c r="H7">
        <v>202.566</v>
      </c>
      <c r="I7">
        <v>405.13200000000001</v>
      </c>
    </row>
    <row r="8" spans="1:10">
      <c r="A8" t="s">
        <v>8258</v>
      </c>
      <c r="B8" t="s">
        <v>8259</v>
      </c>
      <c r="C8">
        <v>18</v>
      </c>
      <c r="D8">
        <v>0.41277600000000009</v>
      </c>
      <c r="E8">
        <v>4.1277999999999997</v>
      </c>
      <c r="F8">
        <v>20.6388</v>
      </c>
      <c r="G8">
        <v>41.2776</v>
      </c>
      <c r="H8">
        <v>206.38800000000001</v>
      </c>
      <c r="I8">
        <v>412.77600000000001</v>
      </c>
    </row>
    <row r="9" spans="1:10">
      <c r="A9" t="s">
        <v>8258</v>
      </c>
      <c r="B9" t="s">
        <v>8259</v>
      </c>
      <c r="C9">
        <v>19</v>
      </c>
      <c r="D9">
        <v>0.42042000000000013</v>
      </c>
      <c r="E9">
        <v>4.2042000000000002</v>
      </c>
      <c r="F9">
        <v>21.021000000000001</v>
      </c>
      <c r="G9">
        <v>42.042000000000002</v>
      </c>
      <c r="H9">
        <v>210.21</v>
      </c>
      <c r="I9">
        <v>420.42</v>
      </c>
    </row>
    <row r="10" spans="1:10">
      <c r="A10" t="s">
        <v>8258</v>
      </c>
      <c r="B10" t="s">
        <v>8259</v>
      </c>
      <c r="C10">
        <v>20</v>
      </c>
      <c r="D10">
        <v>0.42806400000000011</v>
      </c>
      <c r="E10">
        <v>4.2805999999999997</v>
      </c>
      <c r="F10">
        <v>21.403199999999998</v>
      </c>
      <c r="G10">
        <v>42.806399999999996</v>
      </c>
      <c r="H10">
        <v>214.03200000000001</v>
      </c>
      <c r="I10">
        <v>428.06400000000002</v>
      </c>
    </row>
    <row r="11" spans="1:10">
      <c r="A11" t="s">
        <v>8258</v>
      </c>
      <c r="B11" t="s">
        <v>8259</v>
      </c>
      <c r="C11">
        <v>21</v>
      </c>
      <c r="D11">
        <v>0.43570799999999998</v>
      </c>
      <c r="E11">
        <v>4.3571</v>
      </c>
      <c r="F11">
        <v>21.785399999999999</v>
      </c>
      <c r="G11">
        <v>43.570799999999998</v>
      </c>
      <c r="H11">
        <v>217.85400000000001</v>
      </c>
      <c r="I11">
        <v>435.70800000000003</v>
      </c>
    </row>
    <row r="12" spans="1:10">
      <c r="A12" t="s">
        <v>8258</v>
      </c>
      <c r="B12" t="s">
        <v>8259</v>
      </c>
      <c r="C12">
        <v>22</v>
      </c>
      <c r="D12">
        <v>0.44335200000000002</v>
      </c>
      <c r="E12">
        <v>4.4335000000000004</v>
      </c>
      <c r="F12">
        <v>22.1676</v>
      </c>
      <c r="G12">
        <v>44.3352</v>
      </c>
      <c r="H12">
        <v>221.67599999999999</v>
      </c>
      <c r="I12">
        <v>443.35199999999998</v>
      </c>
    </row>
    <row r="13" spans="1:10">
      <c r="A13" t="s">
        <v>8258</v>
      </c>
      <c r="B13" t="s">
        <v>8259</v>
      </c>
      <c r="C13">
        <v>23</v>
      </c>
      <c r="D13">
        <v>0.45099600000000001</v>
      </c>
      <c r="E13">
        <v>4.51</v>
      </c>
      <c r="F13">
        <v>22.549800000000001</v>
      </c>
      <c r="G13">
        <v>45.099600000000002</v>
      </c>
      <c r="H13">
        <v>225.49799999999999</v>
      </c>
      <c r="I13">
        <v>450.99599999999998</v>
      </c>
    </row>
    <row r="14" spans="1:10">
      <c r="A14" t="s">
        <v>8258</v>
      </c>
      <c r="B14" t="s">
        <v>8260</v>
      </c>
      <c r="C14">
        <v>12</v>
      </c>
      <c r="D14">
        <v>0.40885500000000002</v>
      </c>
      <c r="E14">
        <v>4.0885999999999996</v>
      </c>
      <c r="F14">
        <v>20.442799999999998</v>
      </c>
      <c r="G14">
        <v>40.8855</v>
      </c>
      <c r="H14">
        <v>204.42750000000001</v>
      </c>
      <c r="I14">
        <v>408.85500000000002</v>
      </c>
      <c r="J14" t="s">
        <v>8261</v>
      </c>
    </row>
    <row r="15" spans="1:10">
      <c r="A15" t="s">
        <v>8258</v>
      </c>
      <c r="B15" t="s">
        <v>8260</v>
      </c>
      <c r="C15">
        <v>13</v>
      </c>
      <c r="D15">
        <v>0.41517749999999998</v>
      </c>
      <c r="E15">
        <v>4.1517999999999997</v>
      </c>
      <c r="F15">
        <v>20.758900000000001</v>
      </c>
      <c r="G15">
        <v>41.517800000000001</v>
      </c>
      <c r="H15">
        <v>207.58879999999999</v>
      </c>
      <c r="I15">
        <v>415.17750000000001</v>
      </c>
      <c r="J15" t="s">
        <v>8261</v>
      </c>
    </row>
    <row r="16" spans="1:10">
      <c r="A16" t="s">
        <v>8258</v>
      </c>
      <c r="B16" t="s">
        <v>8260</v>
      </c>
      <c r="C16">
        <v>14</v>
      </c>
      <c r="D16">
        <v>0.42149999999999999</v>
      </c>
      <c r="E16">
        <v>4.2149999999999999</v>
      </c>
      <c r="F16">
        <v>21.074999999999999</v>
      </c>
      <c r="G16">
        <v>42.15</v>
      </c>
      <c r="H16">
        <v>210.75</v>
      </c>
      <c r="I16">
        <v>421.5</v>
      </c>
      <c r="J16" t="s">
        <v>8261</v>
      </c>
    </row>
    <row r="17" spans="1:10">
      <c r="A17" t="s">
        <v>8258</v>
      </c>
      <c r="B17" t="s">
        <v>8260</v>
      </c>
      <c r="C17">
        <v>15</v>
      </c>
      <c r="D17">
        <v>0.42782249999999999</v>
      </c>
      <c r="E17">
        <v>4.2782</v>
      </c>
      <c r="F17">
        <v>21.391100000000002</v>
      </c>
      <c r="G17">
        <v>42.782200000000003</v>
      </c>
      <c r="H17">
        <v>213.91120000000001</v>
      </c>
      <c r="I17">
        <v>427.82249999999999</v>
      </c>
      <c r="J17" t="s">
        <v>8261</v>
      </c>
    </row>
    <row r="18" spans="1:10">
      <c r="A18" t="s">
        <v>8258</v>
      </c>
      <c r="B18" t="s">
        <v>8260</v>
      </c>
      <c r="C18">
        <v>16</v>
      </c>
      <c r="D18">
        <v>0.43414500000000011</v>
      </c>
      <c r="E18">
        <v>4.3414999999999999</v>
      </c>
      <c r="F18">
        <v>21.7073</v>
      </c>
      <c r="G18">
        <v>43.414499999999997</v>
      </c>
      <c r="H18">
        <v>217.07249999999999</v>
      </c>
      <c r="I18">
        <v>434.14499999999998</v>
      </c>
      <c r="J18" t="s">
        <v>8261</v>
      </c>
    </row>
    <row r="19" spans="1:10">
      <c r="A19" t="s">
        <v>8258</v>
      </c>
      <c r="B19" t="s">
        <v>8260</v>
      </c>
      <c r="C19">
        <v>17</v>
      </c>
      <c r="D19">
        <v>0.44046750000000001</v>
      </c>
      <c r="E19">
        <v>4.4047000000000001</v>
      </c>
      <c r="F19">
        <v>22.023399999999999</v>
      </c>
      <c r="G19">
        <v>44.046799999999998</v>
      </c>
      <c r="H19">
        <v>220.2338</v>
      </c>
      <c r="I19">
        <v>440.46749999999997</v>
      </c>
      <c r="J19" t="s">
        <v>8261</v>
      </c>
    </row>
    <row r="20" spans="1:10">
      <c r="A20" t="s">
        <v>8258</v>
      </c>
      <c r="B20" t="s">
        <v>8260</v>
      </c>
      <c r="C20">
        <v>18</v>
      </c>
      <c r="D20">
        <v>0.44679000000000008</v>
      </c>
      <c r="E20">
        <v>4.4679000000000002</v>
      </c>
      <c r="F20">
        <v>22.339500000000001</v>
      </c>
      <c r="G20">
        <v>44.679000000000002</v>
      </c>
      <c r="H20">
        <v>223.39500000000001</v>
      </c>
      <c r="I20">
        <v>446.79</v>
      </c>
      <c r="J20" t="s">
        <v>8261</v>
      </c>
    </row>
    <row r="21" spans="1:10">
      <c r="A21" t="s">
        <v>8258</v>
      </c>
      <c r="B21" t="s">
        <v>8260</v>
      </c>
      <c r="C21">
        <v>19</v>
      </c>
      <c r="D21">
        <v>0.45311249999999997</v>
      </c>
      <c r="E21">
        <v>4.5311000000000003</v>
      </c>
      <c r="F21">
        <v>22.6556</v>
      </c>
      <c r="G21">
        <v>45.311300000000003</v>
      </c>
      <c r="H21">
        <v>226.55629999999999</v>
      </c>
      <c r="I21">
        <v>453.11250000000001</v>
      </c>
      <c r="J21" t="s">
        <v>8261</v>
      </c>
    </row>
    <row r="22" spans="1:10">
      <c r="A22" t="s">
        <v>8258</v>
      </c>
      <c r="B22" t="s">
        <v>8260</v>
      </c>
      <c r="C22">
        <v>20</v>
      </c>
      <c r="D22">
        <v>0.45943500000000009</v>
      </c>
      <c r="E22">
        <v>4.5944000000000003</v>
      </c>
      <c r="F22">
        <v>22.971800000000002</v>
      </c>
      <c r="G22">
        <v>45.9435</v>
      </c>
      <c r="H22">
        <v>229.7175</v>
      </c>
      <c r="I22">
        <v>459.435</v>
      </c>
      <c r="J22" t="s">
        <v>8261</v>
      </c>
    </row>
    <row r="23" spans="1:10">
      <c r="A23" t="s">
        <v>8258</v>
      </c>
      <c r="B23" t="s">
        <v>8260</v>
      </c>
      <c r="C23">
        <v>21</v>
      </c>
      <c r="D23">
        <v>0.46575749999999999</v>
      </c>
      <c r="E23">
        <v>4.6576000000000004</v>
      </c>
      <c r="F23">
        <v>23.2879</v>
      </c>
      <c r="G23">
        <v>46.575800000000001</v>
      </c>
      <c r="H23">
        <v>232.87880000000001</v>
      </c>
      <c r="I23">
        <v>465.75749999999999</v>
      </c>
      <c r="J23" t="s">
        <v>8261</v>
      </c>
    </row>
    <row r="24" spans="1:10">
      <c r="A24" t="s">
        <v>8258</v>
      </c>
      <c r="B24" t="s">
        <v>8260</v>
      </c>
      <c r="C24">
        <v>22</v>
      </c>
      <c r="D24">
        <v>0.47208000000000011</v>
      </c>
      <c r="E24">
        <v>4.7207999999999997</v>
      </c>
      <c r="F24">
        <v>23.603999999999999</v>
      </c>
      <c r="G24">
        <v>47.207999999999998</v>
      </c>
      <c r="H24">
        <v>236.04</v>
      </c>
      <c r="I24">
        <v>472.08</v>
      </c>
      <c r="J24" t="s">
        <v>8261</v>
      </c>
    </row>
    <row r="25" spans="1:10">
      <c r="A25" t="s">
        <v>8258</v>
      </c>
      <c r="B25" t="s">
        <v>8260</v>
      </c>
      <c r="C25">
        <v>23</v>
      </c>
      <c r="D25">
        <v>0.47840250000000012</v>
      </c>
      <c r="E25">
        <v>4.7839999999999998</v>
      </c>
      <c r="F25">
        <v>23.920100000000001</v>
      </c>
      <c r="G25">
        <v>47.840299999999999</v>
      </c>
      <c r="H25">
        <v>239.2013</v>
      </c>
      <c r="I25">
        <v>478.40249999999997</v>
      </c>
      <c r="J25" t="s">
        <v>8261</v>
      </c>
    </row>
    <row r="26" spans="1:10">
      <c r="A26" t="s">
        <v>8262</v>
      </c>
      <c r="B26" t="s">
        <v>8263</v>
      </c>
      <c r="C26">
        <v>16</v>
      </c>
      <c r="D26">
        <v>0.68066666666666675</v>
      </c>
      <c r="E26">
        <v>6.8067000000000002</v>
      </c>
      <c r="F26">
        <v>34.033299999999997</v>
      </c>
      <c r="G26">
        <v>68.066699999999997</v>
      </c>
      <c r="H26">
        <v>340.33330000000001</v>
      </c>
      <c r="I26">
        <v>680.66669999999999</v>
      </c>
    </row>
    <row r="27" spans="1:10">
      <c r="A27" t="s">
        <v>8262</v>
      </c>
      <c r="B27" t="s">
        <v>8263</v>
      </c>
      <c r="C27">
        <v>17</v>
      </c>
      <c r="D27">
        <v>0.70108666666666675</v>
      </c>
      <c r="E27">
        <v>7.0109000000000004</v>
      </c>
      <c r="F27">
        <v>35.054299999999998</v>
      </c>
      <c r="G27">
        <v>70.108699999999999</v>
      </c>
      <c r="H27">
        <v>350.54329999999999</v>
      </c>
      <c r="I27">
        <v>701.08669999999995</v>
      </c>
    </row>
    <row r="28" spans="1:10">
      <c r="A28" t="s">
        <v>8262</v>
      </c>
      <c r="B28" t="s">
        <v>8263</v>
      </c>
      <c r="C28">
        <v>18</v>
      </c>
      <c r="D28">
        <v>0.72150666666666674</v>
      </c>
      <c r="E28">
        <v>7.2150999999999996</v>
      </c>
      <c r="F28">
        <v>36.075299999999999</v>
      </c>
      <c r="G28">
        <v>72.150700000000001</v>
      </c>
      <c r="H28">
        <v>360.75330000000002</v>
      </c>
      <c r="I28">
        <v>721.50670000000002</v>
      </c>
    </row>
    <row r="29" spans="1:10">
      <c r="A29" t="s">
        <v>8262</v>
      </c>
      <c r="B29" t="s">
        <v>8263</v>
      </c>
      <c r="C29">
        <v>19</v>
      </c>
      <c r="D29">
        <v>0.74192666666666685</v>
      </c>
      <c r="E29">
        <v>7.4192999999999998</v>
      </c>
      <c r="F29">
        <v>37.096299999999999</v>
      </c>
      <c r="G29">
        <v>74.192700000000002</v>
      </c>
      <c r="H29">
        <v>370.9633</v>
      </c>
      <c r="I29">
        <v>741.92669999999998</v>
      </c>
    </row>
    <row r="30" spans="1:10">
      <c r="A30" t="s">
        <v>8264</v>
      </c>
      <c r="B30" t="s">
        <v>8265</v>
      </c>
      <c r="C30">
        <v>5</v>
      </c>
      <c r="D30">
        <v>0.40360320000000011</v>
      </c>
      <c r="E30">
        <v>7.8140000000000001</v>
      </c>
      <c r="F30">
        <v>39.07</v>
      </c>
      <c r="G30">
        <v>78.14</v>
      </c>
      <c r="H30">
        <v>390.7</v>
      </c>
      <c r="I30">
        <v>781.4</v>
      </c>
    </row>
    <row r="31" spans="1:10">
      <c r="A31" t="s">
        <v>8264</v>
      </c>
      <c r="B31" t="s">
        <v>8265</v>
      </c>
      <c r="C31">
        <v>6</v>
      </c>
      <c r="D31">
        <v>0.44510400000000011</v>
      </c>
      <c r="E31">
        <v>8.2515999999999998</v>
      </c>
      <c r="F31">
        <v>41.257899999999999</v>
      </c>
      <c r="G31">
        <v>82.515799999999999</v>
      </c>
      <c r="H31">
        <v>412.57920000000001</v>
      </c>
      <c r="I31">
        <v>825.15840000000003</v>
      </c>
    </row>
    <row r="32" spans="1:10">
      <c r="A32" t="s">
        <v>8264</v>
      </c>
      <c r="B32" t="s">
        <v>8265</v>
      </c>
      <c r="C32">
        <v>7</v>
      </c>
      <c r="D32">
        <v>0.71878400000000009</v>
      </c>
      <c r="E32">
        <v>8.6891999999999996</v>
      </c>
      <c r="F32">
        <v>43.445799999999998</v>
      </c>
      <c r="G32">
        <v>86.8917</v>
      </c>
      <c r="H32">
        <v>434.45839999999998</v>
      </c>
      <c r="I32">
        <v>868.91679999999997</v>
      </c>
    </row>
    <row r="33" spans="1:9">
      <c r="A33" t="s">
        <v>8264</v>
      </c>
      <c r="B33" t="s">
        <v>8265</v>
      </c>
      <c r="C33">
        <v>8</v>
      </c>
      <c r="D33">
        <v>0.82515840000000007</v>
      </c>
      <c r="E33">
        <v>9.1267999999999994</v>
      </c>
      <c r="F33">
        <v>45.633800000000001</v>
      </c>
      <c r="G33">
        <v>91.267499999999998</v>
      </c>
      <c r="H33">
        <v>456.33760000000001</v>
      </c>
      <c r="I33">
        <v>912.67520000000002</v>
      </c>
    </row>
    <row r="34" spans="1:9">
      <c r="A34" t="s">
        <v>8264</v>
      </c>
      <c r="B34" t="s">
        <v>8265</v>
      </c>
      <c r="C34">
        <v>9</v>
      </c>
      <c r="D34">
        <v>0.86891680000000004</v>
      </c>
      <c r="E34">
        <v>9.5642999999999994</v>
      </c>
      <c r="F34">
        <v>47.8217</v>
      </c>
      <c r="G34">
        <v>95.6434</v>
      </c>
      <c r="H34">
        <v>478.21679999999998</v>
      </c>
      <c r="I34">
        <v>956.43359999999996</v>
      </c>
    </row>
    <row r="35" spans="1:9">
      <c r="A35" t="s">
        <v>8264</v>
      </c>
      <c r="B35" t="s">
        <v>8265</v>
      </c>
      <c r="C35">
        <v>10</v>
      </c>
      <c r="D35">
        <v>0.91267519999999991</v>
      </c>
      <c r="E35">
        <v>10.001899999999999</v>
      </c>
      <c r="F35">
        <v>50.009599999999999</v>
      </c>
      <c r="G35">
        <v>100.0192</v>
      </c>
      <c r="H35">
        <v>500.096</v>
      </c>
      <c r="I35">
        <v>1000.192</v>
      </c>
    </row>
    <row r="36" spans="1:9">
      <c r="A36" t="s">
        <v>8264</v>
      </c>
      <c r="B36" t="s">
        <v>8265</v>
      </c>
      <c r="C36">
        <v>11</v>
      </c>
      <c r="D36">
        <v>0.95643359999999999</v>
      </c>
    </row>
    <row r="37" spans="1:9">
      <c r="A37" t="s">
        <v>8264</v>
      </c>
      <c r="B37" t="s">
        <v>8265</v>
      </c>
      <c r="C37">
        <v>12</v>
      </c>
      <c r="D37">
        <v>1.000192</v>
      </c>
    </row>
    <row r="38" spans="1:9">
      <c r="A38" t="s">
        <v>8266</v>
      </c>
      <c r="B38" t="s">
        <v>8267</v>
      </c>
      <c r="C38">
        <v>16</v>
      </c>
      <c r="D38">
        <v>6.8838400000000002</v>
      </c>
    </row>
    <row r="39" spans="1:9">
      <c r="A39" t="s">
        <v>8266</v>
      </c>
      <c r="B39" t="s">
        <v>8267</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7907</v>
      </c>
      <c r="B1" t="s">
        <v>8268</v>
      </c>
      <c r="C1" t="s">
        <v>8269</v>
      </c>
    </row>
    <row r="2" spans="1:10">
      <c r="A2" t="s">
        <v>8270</v>
      </c>
      <c r="B2">
        <v>32</v>
      </c>
      <c r="C2">
        <v>25.6</v>
      </c>
    </row>
    <row r="3" spans="1:10">
      <c r="A3" t="s">
        <v>8271</v>
      </c>
      <c r="B3">
        <v>12</v>
      </c>
      <c r="C3">
        <v>9.6</v>
      </c>
    </row>
    <row r="4" spans="1:10">
      <c r="A4" t="s">
        <v>8272</v>
      </c>
      <c r="B4">
        <v>85</v>
      </c>
      <c r="C4">
        <v>68</v>
      </c>
    </row>
    <row r="5" spans="1:10">
      <c r="A5" t="s">
        <v>8273</v>
      </c>
      <c r="B5">
        <v>15</v>
      </c>
      <c r="C5">
        <v>12</v>
      </c>
    </row>
    <row r="7" spans="1:10">
      <c r="A7" t="s">
        <v>8274</v>
      </c>
      <c r="B7" t="s">
        <v>8275</v>
      </c>
      <c r="C7" t="s">
        <v>8276</v>
      </c>
    </row>
    <row r="8" spans="1:10">
      <c r="A8" t="s">
        <v>8277</v>
      </c>
      <c r="B8">
        <v>1</v>
      </c>
    </row>
    <row r="9" spans="1:10">
      <c r="A9" t="s">
        <v>8278</v>
      </c>
      <c r="B9">
        <v>1.5</v>
      </c>
    </row>
    <row r="10" spans="1:10">
      <c r="A10" t="s">
        <v>8279</v>
      </c>
      <c r="B10">
        <v>20</v>
      </c>
      <c r="C10" t="s">
        <v>8280</v>
      </c>
    </row>
    <row r="11" spans="1:10">
      <c r="A11" t="s">
        <v>8281</v>
      </c>
      <c r="B11">
        <v>38</v>
      </c>
      <c r="C11" t="s">
        <v>8282</v>
      </c>
    </row>
    <row r="13" spans="1:10">
      <c r="A13" t="s">
        <v>8283</v>
      </c>
      <c r="B13" t="s">
        <v>8284</v>
      </c>
      <c r="C13" t="s">
        <v>8285</v>
      </c>
      <c r="D13" t="s">
        <v>8286</v>
      </c>
      <c r="E13" t="s">
        <v>8287</v>
      </c>
      <c r="F13" t="s">
        <v>8288</v>
      </c>
      <c r="G13" t="s">
        <v>8289</v>
      </c>
      <c r="H13" t="s">
        <v>8290</v>
      </c>
      <c r="I13" t="s">
        <v>8291</v>
      </c>
      <c r="J13" t="s">
        <v>8292</v>
      </c>
    </row>
    <row r="14" spans="1:10">
      <c r="A14" t="s">
        <v>8293</v>
      </c>
      <c r="B14">
        <v>5.0000000000000001E-3</v>
      </c>
      <c r="C14">
        <v>4.0000000000000001E-3</v>
      </c>
      <c r="F14">
        <v>8.9999999999999993E-3</v>
      </c>
      <c r="G14">
        <v>10000</v>
      </c>
      <c r="H14">
        <v>3.8E-3</v>
      </c>
      <c r="I14">
        <v>0.37840000000000001</v>
      </c>
      <c r="J14">
        <v>0.38219999999999998</v>
      </c>
    </row>
    <row r="15" spans="1:10">
      <c r="A15" t="s">
        <v>8260</v>
      </c>
      <c r="B15">
        <v>5.0000000000000001E-3</v>
      </c>
      <c r="C15">
        <v>4.0000000000000001E-3</v>
      </c>
      <c r="D15">
        <v>2E-3</v>
      </c>
      <c r="F15">
        <v>1.0999999999999999E-2</v>
      </c>
      <c r="G15">
        <v>4000</v>
      </c>
      <c r="H15">
        <v>9.4999999999999998E-3</v>
      </c>
      <c r="I15">
        <v>0.41199999999999998</v>
      </c>
      <c r="J15">
        <v>0.42149999999999999</v>
      </c>
    </row>
    <row r="16" spans="1:10">
      <c r="A16" t="s">
        <v>8263</v>
      </c>
      <c r="B16">
        <v>5.0000000000000001E-3</v>
      </c>
      <c r="C16">
        <v>5.0000000000000001E-3</v>
      </c>
      <c r="D16">
        <v>2E-3</v>
      </c>
      <c r="E16">
        <v>0.01</v>
      </c>
      <c r="F16">
        <v>2.1999999999999999E-2</v>
      </c>
      <c r="G16">
        <v>3000</v>
      </c>
      <c r="H16">
        <v>1.2666999999999999E-2</v>
      </c>
      <c r="I16">
        <v>0.66800000000000004</v>
      </c>
      <c r="J16">
        <v>0.68066700000000002</v>
      </c>
    </row>
    <row r="17" spans="1:10">
      <c r="A17" t="s">
        <v>8265</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5474</v>
      </c>
      <c r="B1" t="s">
        <v>5455</v>
      </c>
      <c r="C1" t="s">
        <v>7907</v>
      </c>
      <c r="D1" t="s">
        <v>8294</v>
      </c>
      <c r="E1" t="s">
        <v>8295</v>
      </c>
      <c r="F1" t="s">
        <v>7350</v>
      </c>
      <c r="G1" t="s">
        <v>8296</v>
      </c>
      <c r="H1" t="s">
        <v>8297</v>
      </c>
      <c r="I1" t="s">
        <v>8298</v>
      </c>
      <c r="J1" t="s">
        <v>8299</v>
      </c>
      <c r="K1" t="s">
        <v>7225</v>
      </c>
      <c r="L1" t="s">
        <v>7286</v>
      </c>
      <c r="M1" t="s">
        <v>7285</v>
      </c>
      <c r="N1" t="s">
        <v>8300</v>
      </c>
    </row>
    <row r="2" spans="1:14">
      <c r="A2" t="s">
        <v>8301</v>
      </c>
      <c r="B2" t="s">
        <v>8302</v>
      </c>
      <c r="C2" t="s">
        <v>5524</v>
      </c>
      <c r="D2">
        <v>7</v>
      </c>
      <c r="E2" t="s">
        <v>8303</v>
      </c>
      <c r="F2">
        <v>0</v>
      </c>
      <c r="G2" t="s">
        <v>8304</v>
      </c>
      <c r="H2" t="s">
        <v>8305</v>
      </c>
      <c r="I2">
        <v>6</v>
      </c>
      <c r="J2">
        <v>9</v>
      </c>
      <c r="K2">
        <v>1E-3</v>
      </c>
      <c r="L2">
        <v>1</v>
      </c>
      <c r="M2">
        <v>1</v>
      </c>
      <c r="N2">
        <v>1</v>
      </c>
    </row>
    <row r="3" spans="1:14">
      <c r="A3" t="s">
        <v>8306</v>
      </c>
      <c r="B3" t="s">
        <v>5580</v>
      </c>
      <c r="C3" t="s">
        <v>5524</v>
      </c>
      <c r="D3">
        <v>5</v>
      </c>
      <c r="E3" t="s">
        <v>8307</v>
      </c>
      <c r="F3">
        <v>1</v>
      </c>
      <c r="G3" t="s">
        <v>8308</v>
      </c>
      <c r="H3" t="s">
        <v>8305</v>
      </c>
      <c r="I3">
        <v>6</v>
      </c>
      <c r="J3">
        <v>9</v>
      </c>
      <c r="K3">
        <v>50</v>
      </c>
      <c r="L3">
        <v>3</v>
      </c>
      <c r="M3">
        <v>4</v>
      </c>
      <c r="N3">
        <v>1</v>
      </c>
    </row>
    <row r="4" spans="1:14">
      <c r="A4" t="s">
        <v>8309</v>
      </c>
      <c r="B4" t="s">
        <v>5580</v>
      </c>
      <c r="C4" t="s">
        <v>5524</v>
      </c>
      <c r="D4">
        <v>7</v>
      </c>
      <c r="E4" t="s">
        <v>8310</v>
      </c>
      <c r="F4">
        <v>2</v>
      </c>
      <c r="G4" t="s">
        <v>8311</v>
      </c>
      <c r="H4" t="s">
        <v>8312</v>
      </c>
      <c r="I4">
        <v>6</v>
      </c>
      <c r="J4">
        <v>9</v>
      </c>
      <c r="K4">
        <v>60</v>
      </c>
      <c r="L4">
        <v>3</v>
      </c>
      <c r="M4">
        <v>4</v>
      </c>
      <c r="N4">
        <v>1</v>
      </c>
    </row>
    <row r="5" spans="1:14">
      <c r="A5" t="s">
        <v>8313</v>
      </c>
      <c r="B5" t="s">
        <v>5580</v>
      </c>
      <c r="C5" t="s">
        <v>5524</v>
      </c>
      <c r="D5">
        <v>10</v>
      </c>
      <c r="E5" t="s">
        <v>8310</v>
      </c>
      <c r="F5">
        <v>3</v>
      </c>
      <c r="G5" t="s">
        <v>8314</v>
      </c>
      <c r="H5" t="s">
        <v>8315</v>
      </c>
      <c r="I5">
        <v>7</v>
      </c>
      <c r="J5">
        <v>9</v>
      </c>
      <c r="K5">
        <v>100</v>
      </c>
      <c r="L5">
        <v>3</v>
      </c>
      <c r="M5">
        <v>4</v>
      </c>
      <c r="N5">
        <v>1</v>
      </c>
    </row>
    <row r="6" spans="1:14">
      <c r="A6" t="s">
        <v>8316</v>
      </c>
      <c r="B6" t="s">
        <v>5580</v>
      </c>
      <c r="C6" t="s">
        <v>5524</v>
      </c>
      <c r="D6">
        <v>7</v>
      </c>
      <c r="E6" t="s">
        <v>8317</v>
      </c>
      <c r="F6">
        <v>1</v>
      </c>
      <c r="G6" t="s">
        <v>8311</v>
      </c>
      <c r="H6" t="s">
        <v>8318</v>
      </c>
      <c r="I6">
        <v>7</v>
      </c>
      <c r="J6">
        <v>9</v>
      </c>
      <c r="K6">
        <v>55</v>
      </c>
      <c r="L6">
        <v>2</v>
      </c>
      <c r="M6">
        <v>3</v>
      </c>
      <c r="N6">
        <v>1</v>
      </c>
    </row>
    <row r="7" spans="1:14">
      <c r="A7" t="s">
        <v>8319</v>
      </c>
      <c r="B7" t="s">
        <v>5466</v>
      </c>
      <c r="C7" t="s">
        <v>5524</v>
      </c>
      <c r="D7">
        <v>9</v>
      </c>
      <c r="E7" t="s">
        <v>8310</v>
      </c>
      <c r="F7">
        <v>2</v>
      </c>
      <c r="G7" t="s">
        <v>8320</v>
      </c>
      <c r="H7" t="s">
        <v>8318</v>
      </c>
      <c r="I7">
        <v>6</v>
      </c>
      <c r="J7">
        <v>9</v>
      </c>
      <c r="K7">
        <v>1</v>
      </c>
      <c r="L7">
        <v>5</v>
      </c>
      <c r="M7">
        <v>6</v>
      </c>
      <c r="N7">
        <v>1</v>
      </c>
    </row>
    <row r="8" spans="1:14">
      <c r="A8" t="s">
        <v>8313</v>
      </c>
      <c r="B8" t="s">
        <v>5466</v>
      </c>
      <c r="C8" t="s">
        <v>5524</v>
      </c>
      <c r="D8">
        <v>12</v>
      </c>
      <c r="E8" t="s">
        <v>8310</v>
      </c>
      <c r="F8">
        <v>3</v>
      </c>
      <c r="G8" t="s">
        <v>8321</v>
      </c>
      <c r="H8" t="s">
        <v>8322</v>
      </c>
      <c r="I8">
        <v>7</v>
      </c>
      <c r="J8">
        <v>9</v>
      </c>
      <c r="K8">
        <v>2</v>
      </c>
      <c r="L8">
        <v>6</v>
      </c>
      <c r="M8">
        <v>6</v>
      </c>
      <c r="N8">
        <v>4</v>
      </c>
    </row>
    <row r="9" spans="1:14">
      <c r="A9" t="s">
        <v>8323</v>
      </c>
      <c r="B9" t="s">
        <v>5466</v>
      </c>
      <c r="C9" t="s">
        <v>8324</v>
      </c>
      <c r="D9">
        <v>15</v>
      </c>
      <c r="E9" t="s">
        <v>8325</v>
      </c>
      <c r="F9">
        <v>3</v>
      </c>
      <c r="G9" t="s">
        <v>8326</v>
      </c>
      <c r="H9" t="s">
        <v>8327</v>
      </c>
      <c r="I9">
        <v>9</v>
      </c>
      <c r="J9">
        <v>9</v>
      </c>
      <c r="K9">
        <v>1500</v>
      </c>
      <c r="L9">
        <v>6</v>
      </c>
      <c r="M9">
        <v>6</v>
      </c>
      <c r="N9">
        <v>6</v>
      </c>
    </row>
    <row r="10" spans="1:14">
      <c r="A10" t="s">
        <v>8306</v>
      </c>
      <c r="B10" t="s">
        <v>8328</v>
      </c>
      <c r="C10" t="s">
        <v>5524</v>
      </c>
      <c r="D10">
        <v>9</v>
      </c>
      <c r="E10" t="s">
        <v>8307</v>
      </c>
      <c r="F10">
        <v>2</v>
      </c>
      <c r="G10" t="s">
        <v>8329</v>
      </c>
      <c r="H10" t="s">
        <v>8312</v>
      </c>
      <c r="I10">
        <v>6</v>
      </c>
      <c r="J10">
        <v>9</v>
      </c>
      <c r="K10">
        <v>60</v>
      </c>
      <c r="L10">
        <v>6</v>
      </c>
      <c r="M10">
        <v>6</v>
      </c>
      <c r="N10">
        <v>1</v>
      </c>
    </row>
    <row r="11" spans="1:14">
      <c r="A11" t="s">
        <v>8309</v>
      </c>
      <c r="B11" t="s">
        <v>8328</v>
      </c>
      <c r="C11" t="s">
        <v>5524</v>
      </c>
      <c r="D11">
        <v>11</v>
      </c>
      <c r="E11" t="s">
        <v>8310</v>
      </c>
      <c r="F11">
        <v>2</v>
      </c>
      <c r="G11" t="s">
        <v>8330</v>
      </c>
      <c r="H11" t="s">
        <v>8331</v>
      </c>
      <c r="I11">
        <v>6</v>
      </c>
      <c r="J11">
        <v>9</v>
      </c>
      <c r="K11">
        <v>80</v>
      </c>
      <c r="L11">
        <v>6</v>
      </c>
      <c r="M11">
        <v>6</v>
      </c>
      <c r="N11">
        <v>1</v>
      </c>
    </row>
    <row r="12" spans="1:14">
      <c r="A12" t="s">
        <v>8313</v>
      </c>
      <c r="B12" t="s">
        <v>8328</v>
      </c>
      <c r="C12" t="s">
        <v>5524</v>
      </c>
      <c r="D12">
        <v>12</v>
      </c>
      <c r="E12" t="s">
        <v>8310</v>
      </c>
      <c r="F12">
        <v>3</v>
      </c>
      <c r="G12" t="s">
        <v>8314</v>
      </c>
      <c r="H12" t="s">
        <v>8332</v>
      </c>
      <c r="I12">
        <v>7</v>
      </c>
      <c r="J12">
        <v>9</v>
      </c>
      <c r="K12">
        <v>125</v>
      </c>
      <c r="L12">
        <v>6</v>
      </c>
      <c r="M12">
        <v>6</v>
      </c>
      <c r="N12">
        <v>2</v>
      </c>
    </row>
    <row r="13" spans="1:14">
      <c r="A13" t="s">
        <v>8333</v>
      </c>
      <c r="B13" t="s">
        <v>8328</v>
      </c>
      <c r="C13" t="s">
        <v>5524</v>
      </c>
      <c r="D13">
        <v>13</v>
      </c>
      <c r="E13" t="s">
        <v>8310</v>
      </c>
      <c r="F13">
        <v>3</v>
      </c>
      <c r="G13" t="s">
        <v>8334</v>
      </c>
      <c r="H13" t="s">
        <v>8322</v>
      </c>
      <c r="I13">
        <v>6</v>
      </c>
      <c r="J13">
        <v>9</v>
      </c>
      <c r="K13">
        <v>1000</v>
      </c>
      <c r="L13">
        <v>6</v>
      </c>
      <c r="M13">
        <v>6</v>
      </c>
      <c r="N13">
        <v>6</v>
      </c>
    </row>
    <row r="14" spans="1:14">
      <c r="A14" t="s">
        <v>8306</v>
      </c>
      <c r="B14" t="s">
        <v>5564</v>
      </c>
      <c r="C14" t="s">
        <v>5524</v>
      </c>
      <c r="D14">
        <v>9</v>
      </c>
      <c r="E14" t="s">
        <v>8307</v>
      </c>
      <c r="F14">
        <v>2</v>
      </c>
      <c r="G14" t="s">
        <v>8335</v>
      </c>
      <c r="H14" t="s">
        <v>8318</v>
      </c>
      <c r="I14">
        <v>6</v>
      </c>
      <c r="J14">
        <v>9</v>
      </c>
      <c r="K14">
        <v>85</v>
      </c>
      <c r="L14">
        <v>5</v>
      </c>
      <c r="M14">
        <v>3</v>
      </c>
      <c r="N14">
        <v>1</v>
      </c>
    </row>
    <row r="15" spans="1:14">
      <c r="A15" t="s">
        <v>8309</v>
      </c>
      <c r="B15" t="s">
        <v>5564</v>
      </c>
      <c r="C15" t="s">
        <v>5524</v>
      </c>
      <c r="D15">
        <v>11</v>
      </c>
      <c r="E15" t="s">
        <v>8310</v>
      </c>
      <c r="F15">
        <v>2</v>
      </c>
      <c r="G15" t="s">
        <v>8336</v>
      </c>
      <c r="H15" t="s">
        <v>8337</v>
      </c>
      <c r="I15">
        <v>6</v>
      </c>
      <c r="J15">
        <v>9</v>
      </c>
      <c r="K15">
        <v>130</v>
      </c>
      <c r="L15">
        <v>5</v>
      </c>
      <c r="M15">
        <v>3</v>
      </c>
      <c r="N15">
        <v>1</v>
      </c>
    </row>
    <row r="16" spans="1:14">
      <c r="A16" t="s">
        <v>8313</v>
      </c>
      <c r="B16" t="s">
        <v>5564</v>
      </c>
      <c r="C16" t="s">
        <v>5524</v>
      </c>
      <c r="D16">
        <v>12</v>
      </c>
      <c r="E16" t="s">
        <v>8310</v>
      </c>
      <c r="F16">
        <v>2</v>
      </c>
      <c r="G16" t="s">
        <v>8338</v>
      </c>
      <c r="H16" t="s">
        <v>8339</v>
      </c>
      <c r="I16">
        <v>6</v>
      </c>
      <c r="J16">
        <v>9</v>
      </c>
      <c r="K16">
        <v>180</v>
      </c>
      <c r="L16">
        <v>5</v>
      </c>
      <c r="M16">
        <v>3</v>
      </c>
      <c r="N16">
        <v>1</v>
      </c>
    </row>
    <row r="17" spans="1:14">
      <c r="A17" t="s">
        <v>8340</v>
      </c>
      <c r="B17" t="s">
        <v>5564</v>
      </c>
      <c r="C17" t="s">
        <v>8341</v>
      </c>
      <c r="D17">
        <v>12</v>
      </c>
      <c r="E17" t="s">
        <v>8310</v>
      </c>
      <c r="F17">
        <v>2</v>
      </c>
      <c r="G17" t="s">
        <v>8342</v>
      </c>
      <c r="H17" t="s">
        <v>8343</v>
      </c>
      <c r="I17">
        <v>6</v>
      </c>
      <c r="J17">
        <v>9</v>
      </c>
      <c r="K17">
        <v>200</v>
      </c>
      <c r="L17">
        <v>7</v>
      </c>
      <c r="M17">
        <v>5</v>
      </c>
      <c r="N17">
        <v>3</v>
      </c>
    </row>
    <row r="18" spans="1:14">
      <c r="A18" t="s">
        <v>8344</v>
      </c>
      <c r="B18" t="s">
        <v>5564</v>
      </c>
      <c r="C18" t="s">
        <v>8341</v>
      </c>
      <c r="D18">
        <v>13</v>
      </c>
      <c r="E18" t="s">
        <v>8325</v>
      </c>
      <c r="F18">
        <v>2</v>
      </c>
      <c r="G18" t="s">
        <v>8345</v>
      </c>
      <c r="H18" t="s">
        <v>8346</v>
      </c>
      <c r="I18">
        <v>6</v>
      </c>
      <c r="J18">
        <v>9</v>
      </c>
      <c r="K18">
        <v>250</v>
      </c>
      <c r="L18">
        <v>7</v>
      </c>
      <c r="M18">
        <v>5</v>
      </c>
      <c r="N18">
        <v>3</v>
      </c>
    </row>
    <row r="19" spans="1:14">
      <c r="A19" t="s">
        <v>8347</v>
      </c>
      <c r="B19" t="s">
        <v>5564</v>
      </c>
      <c r="C19" t="s">
        <v>8348</v>
      </c>
      <c r="D19">
        <v>12</v>
      </c>
      <c r="E19" t="s">
        <v>8325</v>
      </c>
      <c r="F19">
        <v>3</v>
      </c>
      <c r="G19" t="s">
        <v>8349</v>
      </c>
      <c r="H19" t="s">
        <v>8332</v>
      </c>
      <c r="I19">
        <v>7</v>
      </c>
      <c r="J19">
        <v>9</v>
      </c>
      <c r="K19">
        <v>1500</v>
      </c>
      <c r="L19">
        <v>7</v>
      </c>
      <c r="M19">
        <v>7</v>
      </c>
      <c r="N19">
        <v>6</v>
      </c>
    </row>
    <row r="20" spans="1:14">
      <c r="A20" t="s">
        <v>8306</v>
      </c>
      <c r="B20" t="s">
        <v>5619</v>
      </c>
      <c r="C20" t="s">
        <v>5524</v>
      </c>
      <c r="D20">
        <v>12</v>
      </c>
      <c r="E20" t="s">
        <v>8310</v>
      </c>
      <c r="F20">
        <v>2</v>
      </c>
      <c r="G20" t="s">
        <v>8350</v>
      </c>
      <c r="H20" t="s">
        <v>8305</v>
      </c>
      <c r="I20">
        <v>7</v>
      </c>
      <c r="J20">
        <v>9</v>
      </c>
      <c r="K20">
        <v>60</v>
      </c>
      <c r="L20">
        <v>5</v>
      </c>
      <c r="M20">
        <v>5</v>
      </c>
      <c r="N20">
        <v>4</v>
      </c>
    </row>
    <row r="21" spans="1:14">
      <c r="A21" t="s">
        <v>8309</v>
      </c>
      <c r="B21" t="s">
        <v>5619</v>
      </c>
      <c r="C21" t="s">
        <v>5524</v>
      </c>
      <c r="D21">
        <v>14</v>
      </c>
      <c r="E21" t="s">
        <v>8351</v>
      </c>
      <c r="F21">
        <v>2</v>
      </c>
      <c r="G21" t="s">
        <v>8352</v>
      </c>
      <c r="H21" t="s">
        <v>8343</v>
      </c>
      <c r="I21">
        <v>7</v>
      </c>
      <c r="J21">
        <v>9</v>
      </c>
      <c r="K21">
        <v>80</v>
      </c>
      <c r="L21">
        <v>5</v>
      </c>
      <c r="M21">
        <v>5</v>
      </c>
      <c r="N21">
        <v>4</v>
      </c>
    </row>
    <row r="22" spans="1:14">
      <c r="A22" t="s">
        <v>8313</v>
      </c>
      <c r="B22" t="s">
        <v>5619</v>
      </c>
      <c r="C22" t="s">
        <v>5524</v>
      </c>
      <c r="D22">
        <v>16</v>
      </c>
      <c r="E22" t="s">
        <v>8351</v>
      </c>
      <c r="F22">
        <v>3</v>
      </c>
      <c r="G22" t="s">
        <v>8353</v>
      </c>
      <c r="H22" t="s">
        <v>8315</v>
      </c>
      <c r="I22">
        <v>8</v>
      </c>
      <c r="J22">
        <v>9</v>
      </c>
      <c r="K22">
        <v>125</v>
      </c>
      <c r="L22">
        <v>5</v>
      </c>
      <c r="M22">
        <v>5</v>
      </c>
      <c r="N22">
        <v>4</v>
      </c>
    </row>
    <row r="23" spans="1:14">
      <c r="A23" t="s">
        <v>8354</v>
      </c>
      <c r="B23" t="s">
        <v>5619</v>
      </c>
      <c r="C23" t="s">
        <v>8355</v>
      </c>
      <c r="D23">
        <v>20</v>
      </c>
      <c r="E23" t="s">
        <v>8356</v>
      </c>
      <c r="F23">
        <v>3</v>
      </c>
      <c r="G23" t="s">
        <v>8357</v>
      </c>
      <c r="H23" t="s">
        <v>8312</v>
      </c>
      <c r="I23">
        <v>9</v>
      </c>
      <c r="J23">
        <v>9</v>
      </c>
      <c r="K23">
        <v>250</v>
      </c>
      <c r="L23">
        <v>7</v>
      </c>
      <c r="M23">
        <v>7</v>
      </c>
      <c r="N23">
        <v>5</v>
      </c>
    </row>
    <row r="24" spans="1:14">
      <c r="A24" t="s">
        <v>8340</v>
      </c>
      <c r="B24" t="s">
        <v>5587</v>
      </c>
      <c r="C24" t="s">
        <v>8341</v>
      </c>
      <c r="D24">
        <v>12</v>
      </c>
      <c r="E24" t="s">
        <v>8310</v>
      </c>
      <c r="F24">
        <v>3</v>
      </c>
      <c r="G24" t="s">
        <v>8342</v>
      </c>
      <c r="H24" t="s">
        <v>8343</v>
      </c>
      <c r="I24">
        <v>6</v>
      </c>
      <c r="J24">
        <v>9</v>
      </c>
      <c r="K24">
        <v>200</v>
      </c>
      <c r="L24">
        <v>5</v>
      </c>
      <c r="M24">
        <v>4</v>
      </c>
      <c r="N24">
        <v>3</v>
      </c>
    </row>
    <row r="25" spans="1:14">
      <c r="A25" t="s">
        <v>8344</v>
      </c>
      <c r="B25" t="s">
        <v>5587</v>
      </c>
      <c r="C25" t="s">
        <v>8341</v>
      </c>
      <c r="D25">
        <v>13</v>
      </c>
      <c r="E25" t="s">
        <v>8325</v>
      </c>
      <c r="F25">
        <v>4</v>
      </c>
      <c r="G25" t="s">
        <v>8345</v>
      </c>
      <c r="H25" t="s">
        <v>8346</v>
      </c>
      <c r="I25">
        <v>6</v>
      </c>
      <c r="J25">
        <v>9</v>
      </c>
      <c r="K25">
        <v>250</v>
      </c>
      <c r="L25">
        <v>5</v>
      </c>
      <c r="M25">
        <v>4</v>
      </c>
      <c r="N25">
        <v>3</v>
      </c>
    </row>
    <row r="26" spans="1:14">
      <c r="A26" t="s">
        <v>8358</v>
      </c>
      <c r="B26" t="s">
        <v>5587</v>
      </c>
      <c r="C26" t="s">
        <v>8359</v>
      </c>
      <c r="D26">
        <v>13</v>
      </c>
      <c r="E26" t="s">
        <v>8325</v>
      </c>
      <c r="F26">
        <v>5</v>
      </c>
      <c r="G26" t="s">
        <v>8360</v>
      </c>
      <c r="H26" t="s">
        <v>8322</v>
      </c>
      <c r="I26">
        <v>5</v>
      </c>
      <c r="J26">
        <v>10</v>
      </c>
      <c r="K26">
        <v>10000</v>
      </c>
      <c r="L26">
        <v>7</v>
      </c>
      <c r="M26">
        <v>7</v>
      </c>
      <c r="N26">
        <v>5</v>
      </c>
    </row>
    <row r="27" spans="1:14">
      <c r="A27" t="s">
        <v>8306</v>
      </c>
      <c r="B27" t="s">
        <v>7598</v>
      </c>
      <c r="C27" t="s">
        <v>5524</v>
      </c>
      <c r="D27">
        <v>11</v>
      </c>
      <c r="E27" t="s">
        <v>8307</v>
      </c>
      <c r="F27">
        <v>2</v>
      </c>
      <c r="G27" t="s">
        <v>8329</v>
      </c>
      <c r="H27" t="s">
        <v>8318</v>
      </c>
      <c r="I27">
        <v>6</v>
      </c>
      <c r="J27">
        <v>9</v>
      </c>
      <c r="K27">
        <v>70</v>
      </c>
      <c r="L27">
        <v>7</v>
      </c>
      <c r="M27">
        <v>6</v>
      </c>
      <c r="N27">
        <v>1</v>
      </c>
    </row>
    <row r="28" spans="1:14">
      <c r="A28" t="s">
        <v>8309</v>
      </c>
      <c r="B28" t="s">
        <v>7598</v>
      </c>
      <c r="C28" t="s">
        <v>5524</v>
      </c>
      <c r="D28">
        <v>13</v>
      </c>
      <c r="E28" t="s">
        <v>8310</v>
      </c>
      <c r="F28">
        <v>2</v>
      </c>
      <c r="G28" t="s">
        <v>8330</v>
      </c>
      <c r="H28" t="s">
        <v>8361</v>
      </c>
      <c r="I28">
        <v>6</v>
      </c>
      <c r="J28">
        <v>9</v>
      </c>
      <c r="K28">
        <v>90</v>
      </c>
      <c r="L28">
        <v>7</v>
      </c>
      <c r="M28">
        <v>6</v>
      </c>
      <c r="N28">
        <v>1</v>
      </c>
    </row>
    <row r="29" spans="1:14">
      <c r="A29" t="s">
        <v>8313</v>
      </c>
      <c r="B29" t="s">
        <v>7598</v>
      </c>
      <c r="C29" t="s">
        <v>5524</v>
      </c>
      <c r="D29">
        <v>15</v>
      </c>
      <c r="E29" t="s">
        <v>8310</v>
      </c>
      <c r="F29">
        <v>3</v>
      </c>
      <c r="G29" t="s">
        <v>8314</v>
      </c>
      <c r="H29" t="s">
        <v>8362</v>
      </c>
      <c r="I29">
        <v>7</v>
      </c>
      <c r="J29">
        <v>9</v>
      </c>
      <c r="K29">
        <v>135</v>
      </c>
      <c r="L29">
        <v>7</v>
      </c>
      <c r="M29">
        <v>6</v>
      </c>
      <c r="N29">
        <v>2</v>
      </c>
    </row>
    <row r="30" spans="1:14">
      <c r="A30" t="s">
        <v>8306</v>
      </c>
      <c r="B30" t="s">
        <v>7597</v>
      </c>
      <c r="C30" t="s">
        <v>5524</v>
      </c>
      <c r="D30">
        <v>10</v>
      </c>
      <c r="E30" t="s">
        <v>8363</v>
      </c>
      <c r="F30">
        <v>2</v>
      </c>
      <c r="G30" t="s">
        <v>8364</v>
      </c>
      <c r="H30" t="s">
        <v>8312</v>
      </c>
      <c r="I30">
        <v>6</v>
      </c>
      <c r="J30">
        <v>9</v>
      </c>
      <c r="K30">
        <v>60</v>
      </c>
      <c r="L30">
        <v>6</v>
      </c>
      <c r="M30">
        <v>6</v>
      </c>
      <c r="N30">
        <v>1</v>
      </c>
    </row>
    <row r="31" spans="1:14">
      <c r="A31" t="s">
        <v>8340</v>
      </c>
      <c r="B31" t="s">
        <v>7597</v>
      </c>
      <c r="C31" t="s">
        <v>8341</v>
      </c>
      <c r="D31">
        <v>12</v>
      </c>
      <c r="E31" t="s">
        <v>8310</v>
      </c>
      <c r="F31">
        <v>3</v>
      </c>
      <c r="G31" t="s">
        <v>8342</v>
      </c>
      <c r="H31" t="s">
        <v>8343</v>
      </c>
      <c r="I31">
        <v>6</v>
      </c>
      <c r="J31">
        <v>9</v>
      </c>
      <c r="K31">
        <v>200</v>
      </c>
      <c r="L31">
        <v>6</v>
      </c>
      <c r="M31">
        <v>6</v>
      </c>
      <c r="N31">
        <v>3</v>
      </c>
    </row>
    <row r="32" spans="1:14">
      <c r="A32" t="s">
        <v>8365</v>
      </c>
      <c r="B32" t="s">
        <v>5612</v>
      </c>
      <c r="C32" t="s">
        <v>8366</v>
      </c>
      <c r="D32">
        <v>33</v>
      </c>
      <c r="E32" t="s">
        <v>8367</v>
      </c>
      <c r="F32">
        <v>0</v>
      </c>
      <c r="G32" t="s">
        <v>8368</v>
      </c>
      <c r="H32" t="s">
        <v>8369</v>
      </c>
      <c r="I32">
        <v>15</v>
      </c>
      <c r="J32">
        <v>10</v>
      </c>
      <c r="K32">
        <v>1E-3</v>
      </c>
      <c r="L32">
        <v>1</v>
      </c>
      <c r="M32">
        <v>1</v>
      </c>
      <c r="N32">
        <v>1</v>
      </c>
    </row>
    <row r="33" spans="1:14">
      <c r="A33" t="s">
        <v>8370</v>
      </c>
      <c r="B33" t="s">
        <v>5612</v>
      </c>
      <c r="C33" t="s">
        <v>8366</v>
      </c>
      <c r="D33">
        <v>28</v>
      </c>
      <c r="E33" t="s">
        <v>8371</v>
      </c>
      <c r="F33">
        <v>0</v>
      </c>
      <c r="G33" t="s">
        <v>8304</v>
      </c>
      <c r="H33" t="s">
        <v>8318</v>
      </c>
      <c r="I33">
        <v>13</v>
      </c>
      <c r="J33">
        <v>10</v>
      </c>
      <c r="K33">
        <v>100</v>
      </c>
      <c r="L33">
        <v>6</v>
      </c>
      <c r="M33">
        <v>7</v>
      </c>
      <c r="N33">
        <v>5</v>
      </c>
    </row>
    <row r="34" spans="1:14">
      <c r="A34" t="s">
        <v>8306</v>
      </c>
      <c r="B34" t="s">
        <v>1174</v>
      </c>
      <c r="C34" t="s">
        <v>8372</v>
      </c>
      <c r="D34">
        <v>10</v>
      </c>
      <c r="E34" t="s">
        <v>8363</v>
      </c>
      <c r="F34">
        <v>2</v>
      </c>
      <c r="G34" t="s">
        <v>8373</v>
      </c>
      <c r="H34" t="s">
        <v>8305</v>
      </c>
      <c r="I34">
        <v>6</v>
      </c>
      <c r="J34">
        <v>9</v>
      </c>
      <c r="K34">
        <v>60</v>
      </c>
      <c r="L34">
        <v>6</v>
      </c>
      <c r="M34">
        <v>6</v>
      </c>
      <c r="N34">
        <v>1</v>
      </c>
    </row>
    <row r="35" spans="1:14">
      <c r="A35" t="s">
        <v>8309</v>
      </c>
      <c r="B35" t="s">
        <v>1174</v>
      </c>
      <c r="C35" t="s">
        <v>8372</v>
      </c>
      <c r="D35">
        <v>12</v>
      </c>
      <c r="E35" t="s">
        <v>8351</v>
      </c>
      <c r="F35">
        <v>2</v>
      </c>
      <c r="G35" t="s">
        <v>8374</v>
      </c>
      <c r="H35" t="s">
        <v>8343</v>
      </c>
      <c r="I35">
        <v>6</v>
      </c>
      <c r="J35">
        <v>9</v>
      </c>
      <c r="K35">
        <v>80</v>
      </c>
      <c r="L35">
        <v>6</v>
      </c>
      <c r="M35">
        <v>6</v>
      </c>
      <c r="N35">
        <v>4</v>
      </c>
    </row>
    <row r="36" spans="1:14">
      <c r="A36" t="s">
        <v>8313</v>
      </c>
      <c r="B36" t="s">
        <v>1174</v>
      </c>
      <c r="C36" t="s">
        <v>8372</v>
      </c>
      <c r="D36">
        <v>13</v>
      </c>
      <c r="E36" t="s">
        <v>8351</v>
      </c>
      <c r="F36">
        <v>3</v>
      </c>
      <c r="G36" t="s">
        <v>8314</v>
      </c>
      <c r="H36" t="s">
        <v>8315</v>
      </c>
      <c r="I36">
        <v>7</v>
      </c>
      <c r="J36">
        <v>9</v>
      </c>
      <c r="K36">
        <v>125</v>
      </c>
      <c r="L36">
        <v>6</v>
      </c>
      <c r="M36">
        <v>6</v>
      </c>
      <c r="N36">
        <v>5</v>
      </c>
    </row>
    <row r="37" spans="1:14">
      <c r="A37" t="s">
        <v>8375</v>
      </c>
      <c r="B37" t="s">
        <v>1174</v>
      </c>
      <c r="C37" t="s">
        <v>8376</v>
      </c>
      <c r="D37">
        <v>13</v>
      </c>
      <c r="E37" t="s">
        <v>8325</v>
      </c>
      <c r="F37">
        <v>4</v>
      </c>
      <c r="G37" t="s">
        <v>8345</v>
      </c>
      <c r="H37" t="s">
        <v>8346</v>
      </c>
      <c r="I37">
        <v>6</v>
      </c>
      <c r="J37">
        <v>9</v>
      </c>
      <c r="K37">
        <v>250</v>
      </c>
      <c r="L37">
        <v>6</v>
      </c>
      <c r="M37">
        <v>6</v>
      </c>
      <c r="N37">
        <v>5</v>
      </c>
    </row>
    <row r="38" spans="1:14">
      <c r="A38" t="s">
        <v>8306</v>
      </c>
      <c r="B38" t="s">
        <v>5606</v>
      </c>
      <c r="C38" t="s">
        <v>5524</v>
      </c>
      <c r="D38">
        <v>4</v>
      </c>
      <c r="E38" t="s">
        <v>8377</v>
      </c>
      <c r="F38">
        <v>2</v>
      </c>
      <c r="G38" t="s">
        <v>8329</v>
      </c>
      <c r="H38" t="s">
        <v>8369</v>
      </c>
      <c r="I38">
        <v>5</v>
      </c>
      <c r="J38">
        <v>9</v>
      </c>
      <c r="K38">
        <v>60</v>
      </c>
      <c r="L38">
        <v>7</v>
      </c>
      <c r="M38">
        <v>7</v>
      </c>
      <c r="N38">
        <v>1</v>
      </c>
    </row>
    <row r="39" spans="1:14">
      <c r="A39" t="s">
        <v>8309</v>
      </c>
      <c r="B39" t="s">
        <v>5606</v>
      </c>
      <c r="C39" t="s">
        <v>5524</v>
      </c>
      <c r="D39">
        <v>6</v>
      </c>
      <c r="E39" t="s">
        <v>8307</v>
      </c>
      <c r="F39">
        <v>2</v>
      </c>
      <c r="G39" t="s">
        <v>8330</v>
      </c>
      <c r="H39" t="s">
        <v>8378</v>
      </c>
      <c r="I39">
        <v>5</v>
      </c>
      <c r="J39">
        <v>9</v>
      </c>
      <c r="K39">
        <v>80</v>
      </c>
      <c r="L39">
        <v>7</v>
      </c>
      <c r="M39">
        <v>7</v>
      </c>
      <c r="N39">
        <v>1</v>
      </c>
    </row>
    <row r="40" spans="1:14">
      <c r="A40" t="s">
        <v>8313</v>
      </c>
      <c r="B40" t="s">
        <v>5606</v>
      </c>
      <c r="C40" t="s">
        <v>5524</v>
      </c>
      <c r="D40">
        <v>7</v>
      </c>
      <c r="E40" t="s">
        <v>8307</v>
      </c>
      <c r="F40">
        <v>3</v>
      </c>
      <c r="G40" t="s">
        <v>8314</v>
      </c>
      <c r="H40" t="s">
        <v>8379</v>
      </c>
      <c r="I40">
        <v>6</v>
      </c>
      <c r="J40">
        <v>9</v>
      </c>
      <c r="K40">
        <v>125</v>
      </c>
      <c r="L40">
        <v>7</v>
      </c>
      <c r="M40">
        <v>7</v>
      </c>
      <c r="N40">
        <v>1</v>
      </c>
    </row>
    <row r="41" spans="1:14">
      <c r="A41" t="s">
        <v>8358</v>
      </c>
      <c r="B41" t="s">
        <v>5606</v>
      </c>
      <c r="C41" t="s">
        <v>8380</v>
      </c>
      <c r="D41">
        <v>10</v>
      </c>
      <c r="E41" t="s">
        <v>8310</v>
      </c>
      <c r="F41">
        <v>5</v>
      </c>
      <c r="G41" t="s">
        <v>8360</v>
      </c>
      <c r="H41" t="s">
        <v>8318</v>
      </c>
      <c r="I41">
        <v>4</v>
      </c>
      <c r="J41">
        <v>10</v>
      </c>
      <c r="K41">
        <v>10000</v>
      </c>
      <c r="L41">
        <v>7</v>
      </c>
      <c r="M41">
        <v>7</v>
      </c>
      <c r="N41">
        <v>5</v>
      </c>
    </row>
    <row r="42" spans="1:14">
      <c r="A42" t="s">
        <v>8381</v>
      </c>
      <c r="B42" t="s">
        <v>8382</v>
      </c>
      <c r="C42" t="s">
        <v>8383</v>
      </c>
      <c r="D42">
        <v>21</v>
      </c>
      <c r="E42" t="s">
        <v>8384</v>
      </c>
      <c r="F42">
        <v>3</v>
      </c>
      <c r="G42" t="s">
        <v>8385</v>
      </c>
      <c r="H42" t="s">
        <v>8318</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5474</v>
      </c>
      <c r="B1" t="s">
        <v>8386</v>
      </c>
      <c r="C1" t="s">
        <v>8387</v>
      </c>
      <c r="D1" t="s">
        <v>8388</v>
      </c>
      <c r="E1" t="s">
        <v>8389</v>
      </c>
      <c r="F1" t="s">
        <v>7225</v>
      </c>
      <c r="G1" t="s">
        <v>7286</v>
      </c>
      <c r="H1" t="s">
        <v>7285</v>
      </c>
      <c r="I1" t="s">
        <v>8300</v>
      </c>
      <c r="J1" t="s">
        <v>7224</v>
      </c>
      <c r="K1" t="s">
        <v>8390</v>
      </c>
    </row>
    <row r="2" spans="1:11">
      <c r="A2" t="s">
        <v>8391</v>
      </c>
      <c r="B2" t="s">
        <v>8392</v>
      </c>
      <c r="C2" t="s">
        <v>8393</v>
      </c>
      <c r="D2" t="s">
        <v>8394</v>
      </c>
      <c r="E2" t="s">
        <v>8394</v>
      </c>
      <c r="F2" t="s">
        <v>8395</v>
      </c>
      <c r="J2" t="s">
        <v>3868</v>
      </c>
    </row>
    <row r="3" spans="1:11">
      <c r="A3" t="s">
        <v>8396</v>
      </c>
      <c r="B3" t="s">
        <v>8397</v>
      </c>
      <c r="C3" t="s">
        <v>8393</v>
      </c>
      <c r="D3" t="s">
        <v>8398</v>
      </c>
      <c r="E3" t="s">
        <v>8398</v>
      </c>
      <c r="F3" t="s">
        <v>8399</v>
      </c>
      <c r="G3">
        <v>1</v>
      </c>
      <c r="H3">
        <v>5</v>
      </c>
      <c r="J3" t="s">
        <v>3868</v>
      </c>
    </row>
    <row r="4" spans="1:11">
      <c r="A4" t="s">
        <v>8400</v>
      </c>
      <c r="B4" t="s">
        <v>8397</v>
      </c>
      <c r="C4" t="s">
        <v>8393</v>
      </c>
      <c r="D4" t="s">
        <v>8393</v>
      </c>
      <c r="E4" t="s">
        <v>8393</v>
      </c>
      <c r="F4" t="s">
        <v>8401</v>
      </c>
      <c r="G4">
        <v>4</v>
      </c>
      <c r="H4">
        <v>4</v>
      </c>
      <c r="J4" t="s">
        <v>3868</v>
      </c>
    </row>
    <row r="5" spans="1:11">
      <c r="A5" t="s">
        <v>8402</v>
      </c>
      <c r="B5" t="s">
        <v>8403</v>
      </c>
      <c r="C5" t="s">
        <v>8393</v>
      </c>
      <c r="D5" t="s">
        <v>8393</v>
      </c>
      <c r="E5" t="s">
        <v>8393</v>
      </c>
      <c r="F5" t="s">
        <v>8404</v>
      </c>
      <c r="G5">
        <v>1</v>
      </c>
      <c r="H5">
        <v>4</v>
      </c>
      <c r="J5" t="s">
        <v>3868</v>
      </c>
    </row>
    <row r="6" spans="1:11">
      <c r="A6" t="s">
        <v>8405</v>
      </c>
      <c r="B6" t="s">
        <v>8403</v>
      </c>
      <c r="C6" t="s">
        <v>8406</v>
      </c>
      <c r="D6" t="s">
        <v>8393</v>
      </c>
      <c r="E6" t="s">
        <v>8393</v>
      </c>
      <c r="F6" t="s">
        <v>8407</v>
      </c>
      <c r="G6">
        <v>7</v>
      </c>
      <c r="H6">
        <v>7</v>
      </c>
      <c r="I6">
        <v>2</v>
      </c>
      <c r="J6" t="s">
        <v>3868</v>
      </c>
      <c r="K6" t="s">
        <v>8408</v>
      </c>
    </row>
    <row r="7" spans="1:11">
      <c r="A7" t="s">
        <v>8409</v>
      </c>
      <c r="B7" t="s">
        <v>8403</v>
      </c>
      <c r="C7" t="s">
        <v>8410</v>
      </c>
      <c r="D7" t="s">
        <v>8393</v>
      </c>
      <c r="E7" t="s">
        <v>8393</v>
      </c>
      <c r="F7" t="s">
        <v>8411</v>
      </c>
      <c r="G7">
        <v>4</v>
      </c>
      <c r="H7">
        <v>3</v>
      </c>
      <c r="J7" t="s">
        <v>3868</v>
      </c>
    </row>
    <row r="8" spans="1:11">
      <c r="A8" t="s">
        <v>8412</v>
      </c>
      <c r="B8" t="s">
        <v>8403</v>
      </c>
      <c r="C8" t="s">
        <v>8413</v>
      </c>
      <c r="D8" t="s">
        <v>8393</v>
      </c>
      <c r="E8" t="s">
        <v>8393</v>
      </c>
      <c r="F8" t="s">
        <v>8414</v>
      </c>
      <c r="G8">
        <v>3</v>
      </c>
      <c r="H8">
        <v>1</v>
      </c>
      <c r="J8" t="s">
        <v>3868</v>
      </c>
    </row>
    <row r="9" spans="1:11">
      <c r="A9" t="s">
        <v>8415</v>
      </c>
      <c r="B9" t="s">
        <v>8403</v>
      </c>
      <c r="C9" t="s">
        <v>8416</v>
      </c>
      <c r="D9" t="s">
        <v>8393</v>
      </c>
      <c r="E9" t="s">
        <v>8393</v>
      </c>
      <c r="F9" t="s">
        <v>8417</v>
      </c>
      <c r="G9">
        <v>4</v>
      </c>
      <c r="H9">
        <v>3</v>
      </c>
      <c r="J9" t="s">
        <v>3868</v>
      </c>
    </row>
    <row r="10" spans="1:11">
      <c r="A10" t="s">
        <v>8418</v>
      </c>
      <c r="B10" t="s">
        <v>8403</v>
      </c>
      <c r="C10" t="s">
        <v>8419</v>
      </c>
      <c r="D10" t="s">
        <v>8393</v>
      </c>
      <c r="E10" t="s">
        <v>8393</v>
      </c>
      <c r="F10" t="s">
        <v>8420</v>
      </c>
      <c r="G10">
        <v>5</v>
      </c>
      <c r="H10">
        <v>4</v>
      </c>
      <c r="J10" t="s">
        <v>3868</v>
      </c>
    </row>
    <row r="11" spans="1:11">
      <c r="A11" t="s">
        <v>8421</v>
      </c>
      <c r="B11" t="s">
        <v>8403</v>
      </c>
      <c r="C11" t="s">
        <v>8422</v>
      </c>
      <c r="D11" t="s">
        <v>8393</v>
      </c>
      <c r="E11" t="s">
        <v>8393</v>
      </c>
      <c r="F11" t="s">
        <v>8423</v>
      </c>
      <c r="G11">
        <v>5</v>
      </c>
      <c r="H11">
        <v>4</v>
      </c>
      <c r="J11" t="s">
        <v>3868</v>
      </c>
    </row>
    <row r="12" spans="1:11">
      <c r="A12" t="s">
        <v>8424</v>
      </c>
      <c r="B12" t="s">
        <v>8403</v>
      </c>
      <c r="C12" t="s">
        <v>8413</v>
      </c>
      <c r="D12" t="s">
        <v>8393</v>
      </c>
      <c r="E12" t="s">
        <v>8393</v>
      </c>
      <c r="F12" t="s">
        <v>8425</v>
      </c>
      <c r="G12">
        <v>6</v>
      </c>
      <c r="H12">
        <v>5</v>
      </c>
      <c r="J12" t="s">
        <v>3868</v>
      </c>
      <c r="K12" t="s">
        <v>8426</v>
      </c>
    </row>
    <row r="13" spans="1:11">
      <c r="A13" t="s">
        <v>8427</v>
      </c>
      <c r="B13" t="s">
        <v>8403</v>
      </c>
      <c r="C13" t="s">
        <v>8428</v>
      </c>
      <c r="D13" t="s">
        <v>8393</v>
      </c>
      <c r="E13" t="s">
        <v>8393</v>
      </c>
      <c r="F13" t="s">
        <v>8429</v>
      </c>
      <c r="G13">
        <v>7</v>
      </c>
      <c r="H13">
        <v>6</v>
      </c>
      <c r="J13" t="s">
        <v>3868</v>
      </c>
    </row>
    <row r="14" spans="1:11">
      <c r="A14" t="s">
        <v>8430</v>
      </c>
      <c r="B14" t="s">
        <v>8403</v>
      </c>
      <c r="C14" t="s">
        <v>8422</v>
      </c>
      <c r="D14" t="s">
        <v>8393</v>
      </c>
      <c r="E14" t="s">
        <v>8393</v>
      </c>
      <c r="F14" t="s">
        <v>8425</v>
      </c>
      <c r="G14">
        <v>5</v>
      </c>
      <c r="H14">
        <v>5</v>
      </c>
      <c r="J14" t="s">
        <v>3868</v>
      </c>
    </row>
    <row r="15" spans="1:11">
      <c r="A15" t="s">
        <v>8431</v>
      </c>
      <c r="B15" t="s">
        <v>8397</v>
      </c>
      <c r="C15" t="s">
        <v>8432</v>
      </c>
      <c r="D15" t="s">
        <v>8393</v>
      </c>
      <c r="E15" t="s">
        <v>8393</v>
      </c>
      <c r="F15" t="s">
        <v>8420</v>
      </c>
      <c r="G15">
        <v>5</v>
      </c>
      <c r="H15">
        <v>5</v>
      </c>
      <c r="J15" t="s">
        <v>3868</v>
      </c>
      <c r="K15" t="s">
        <v>8433</v>
      </c>
    </row>
    <row r="16" spans="1:11">
      <c r="A16" t="s">
        <v>8434</v>
      </c>
      <c r="B16" t="s">
        <v>8403</v>
      </c>
      <c r="C16" t="s">
        <v>8432</v>
      </c>
      <c r="D16" t="s">
        <v>8393</v>
      </c>
      <c r="E16" t="s">
        <v>8393</v>
      </c>
      <c r="F16" t="s">
        <v>8435</v>
      </c>
      <c r="G16">
        <v>5</v>
      </c>
      <c r="H16">
        <v>5</v>
      </c>
      <c r="J16" t="s">
        <v>3874</v>
      </c>
      <c r="K16" t="s">
        <v>8436</v>
      </c>
    </row>
    <row r="17" spans="1:11">
      <c r="A17" t="s">
        <v>8437</v>
      </c>
      <c r="B17" t="s">
        <v>8416</v>
      </c>
      <c r="C17" t="s">
        <v>8438</v>
      </c>
      <c r="D17" t="s">
        <v>8438</v>
      </c>
      <c r="E17" t="s">
        <v>8439</v>
      </c>
      <c r="F17" t="s">
        <v>8440</v>
      </c>
      <c r="G17">
        <v>4</v>
      </c>
      <c r="H17">
        <v>3</v>
      </c>
      <c r="J17" t="s">
        <v>3874</v>
      </c>
    </row>
    <row r="18" spans="1:11">
      <c r="A18" t="s">
        <v>8441</v>
      </c>
      <c r="B18" t="s">
        <v>8413</v>
      </c>
      <c r="C18" t="s">
        <v>8416</v>
      </c>
      <c r="D18" t="s">
        <v>8416</v>
      </c>
      <c r="E18" t="s">
        <v>8442</v>
      </c>
      <c r="F18" t="s">
        <v>8443</v>
      </c>
      <c r="G18">
        <v>4</v>
      </c>
      <c r="H18">
        <v>4</v>
      </c>
      <c r="J18" t="s">
        <v>3868</v>
      </c>
      <c r="K18" t="s">
        <v>8444</v>
      </c>
    </row>
    <row r="19" spans="1:11">
      <c r="A19" t="s">
        <v>8445</v>
      </c>
      <c r="B19" t="s">
        <v>8393</v>
      </c>
      <c r="C19" t="s">
        <v>8410</v>
      </c>
      <c r="D19" t="s">
        <v>8410</v>
      </c>
      <c r="E19" t="s">
        <v>8446</v>
      </c>
      <c r="F19" t="s">
        <v>8440</v>
      </c>
      <c r="G19">
        <v>4</v>
      </c>
      <c r="H19">
        <v>3</v>
      </c>
      <c r="J19" t="s">
        <v>3868</v>
      </c>
      <c r="K19" t="s">
        <v>8447</v>
      </c>
    </row>
    <row r="20" spans="1:11">
      <c r="A20" t="s">
        <v>8448</v>
      </c>
      <c r="B20" t="s">
        <v>8432</v>
      </c>
      <c r="C20" t="s">
        <v>8410</v>
      </c>
      <c r="D20" t="s">
        <v>8410</v>
      </c>
      <c r="E20" t="s">
        <v>8446</v>
      </c>
      <c r="F20" t="s">
        <v>8449</v>
      </c>
      <c r="G20">
        <v>5</v>
      </c>
      <c r="H20">
        <v>4</v>
      </c>
      <c r="J20" t="s">
        <v>3868</v>
      </c>
      <c r="K20" t="s">
        <v>8450</v>
      </c>
    </row>
    <row r="21" spans="1:11">
      <c r="A21" t="s">
        <v>8451</v>
      </c>
      <c r="B21" t="s">
        <v>8413</v>
      </c>
      <c r="C21" t="s">
        <v>8452</v>
      </c>
      <c r="D21" t="s">
        <v>8452</v>
      </c>
      <c r="E21" t="s">
        <v>8393</v>
      </c>
      <c r="F21" t="s">
        <v>8440</v>
      </c>
      <c r="G21">
        <v>3</v>
      </c>
      <c r="H21">
        <v>2</v>
      </c>
      <c r="J21" t="s">
        <v>3874</v>
      </c>
      <c r="K21" t="s">
        <v>8453</v>
      </c>
    </row>
    <row r="22" spans="1:11">
      <c r="A22" t="s">
        <v>8454</v>
      </c>
      <c r="B22" t="s">
        <v>8432</v>
      </c>
      <c r="C22" t="s">
        <v>8428</v>
      </c>
      <c r="D22" t="s">
        <v>8428</v>
      </c>
      <c r="E22" t="s">
        <v>8393</v>
      </c>
      <c r="F22" t="s">
        <v>8455</v>
      </c>
      <c r="G22">
        <v>3</v>
      </c>
      <c r="H22">
        <v>3</v>
      </c>
      <c r="J22" t="s">
        <v>3868</v>
      </c>
    </row>
    <row r="23" spans="1:11">
      <c r="A23" t="s">
        <v>8456</v>
      </c>
      <c r="B23" t="s">
        <v>8393</v>
      </c>
      <c r="C23" t="s">
        <v>8432</v>
      </c>
      <c r="D23" t="s">
        <v>8432</v>
      </c>
      <c r="E23" t="s">
        <v>8457</v>
      </c>
      <c r="F23" t="s">
        <v>8458</v>
      </c>
      <c r="G23">
        <v>6</v>
      </c>
      <c r="H23">
        <v>5</v>
      </c>
      <c r="J23" t="s">
        <v>3868</v>
      </c>
      <c r="K23" t="s">
        <v>8459</v>
      </c>
    </row>
    <row r="24" spans="1:11">
      <c r="A24" t="s">
        <v>8460</v>
      </c>
      <c r="B24" t="s">
        <v>8461</v>
      </c>
      <c r="C24" t="s">
        <v>8393</v>
      </c>
      <c r="D24" t="s">
        <v>8393</v>
      </c>
      <c r="E24" t="s">
        <v>8393</v>
      </c>
      <c r="F24" t="s">
        <v>8423</v>
      </c>
      <c r="G24">
        <v>7</v>
      </c>
      <c r="H24">
        <v>7</v>
      </c>
      <c r="I24">
        <v>6</v>
      </c>
      <c r="J24" t="s">
        <v>8462</v>
      </c>
      <c r="K24" t="s">
        <v>8463</v>
      </c>
    </row>
    <row r="25" spans="1:11">
      <c r="A25" t="s">
        <v>8464</v>
      </c>
      <c r="B25" t="s">
        <v>8465</v>
      </c>
      <c r="C25" t="s">
        <v>8410</v>
      </c>
      <c r="D25" t="s">
        <v>8393</v>
      </c>
      <c r="E25" t="s">
        <v>8393</v>
      </c>
      <c r="F25" t="s">
        <v>8466</v>
      </c>
      <c r="G25">
        <v>7</v>
      </c>
      <c r="H25">
        <v>7</v>
      </c>
      <c r="I25">
        <v>4</v>
      </c>
      <c r="J25" t="s">
        <v>3868</v>
      </c>
      <c r="K25" t="s">
        <v>8467</v>
      </c>
    </row>
    <row r="26" spans="1:11">
      <c r="A26" t="s">
        <v>8468</v>
      </c>
      <c r="B26" t="s">
        <v>8465</v>
      </c>
      <c r="C26" t="s">
        <v>8419</v>
      </c>
      <c r="D26" t="s">
        <v>8457</v>
      </c>
      <c r="E26" t="s">
        <v>8457</v>
      </c>
      <c r="F26" t="s">
        <v>8469</v>
      </c>
      <c r="G26">
        <v>6</v>
      </c>
      <c r="H26">
        <v>7</v>
      </c>
      <c r="I26">
        <v>5</v>
      </c>
      <c r="J26" t="s">
        <v>3868</v>
      </c>
      <c r="K26" t="s">
        <v>8470</v>
      </c>
    </row>
    <row r="27" spans="1:11">
      <c r="A27" t="s">
        <v>8471</v>
      </c>
      <c r="B27" t="s">
        <v>8472</v>
      </c>
      <c r="C27" t="s">
        <v>8413</v>
      </c>
      <c r="D27" t="s">
        <v>8393</v>
      </c>
      <c r="E27" t="s">
        <v>8393</v>
      </c>
      <c r="F27" t="s">
        <v>8414</v>
      </c>
      <c r="G27">
        <v>7</v>
      </c>
      <c r="H27">
        <v>7</v>
      </c>
      <c r="I27">
        <v>1</v>
      </c>
      <c r="J27" t="s">
        <v>3868</v>
      </c>
      <c r="K27" t="s">
        <v>8473</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5474</v>
      </c>
      <c r="B1" t="s">
        <v>5455</v>
      </c>
      <c r="C1" t="s">
        <v>8474</v>
      </c>
      <c r="D1" t="s">
        <v>8295</v>
      </c>
      <c r="E1" t="s">
        <v>7350</v>
      </c>
      <c r="F1" t="s">
        <v>8296</v>
      </c>
      <c r="G1" t="s">
        <v>8297</v>
      </c>
      <c r="H1" t="s">
        <v>7225</v>
      </c>
      <c r="I1" t="s">
        <v>7286</v>
      </c>
      <c r="J1" t="s">
        <v>7285</v>
      </c>
      <c r="K1" t="s">
        <v>8300</v>
      </c>
      <c r="L1" t="s">
        <v>8475</v>
      </c>
    </row>
    <row r="2" spans="1:12">
      <c r="A2" t="s">
        <v>8476</v>
      </c>
      <c r="B2" t="s">
        <v>8302</v>
      </c>
      <c r="C2" t="s">
        <v>8477</v>
      </c>
      <c r="D2" t="s">
        <v>8317</v>
      </c>
      <c r="E2">
        <v>2</v>
      </c>
      <c r="F2" t="s">
        <v>8478</v>
      </c>
      <c r="G2" t="s">
        <v>8479</v>
      </c>
      <c r="H2">
        <v>1E-3</v>
      </c>
      <c r="I2">
        <v>1</v>
      </c>
      <c r="J2">
        <v>1</v>
      </c>
      <c r="K2">
        <v>1</v>
      </c>
    </row>
    <row r="3" spans="1:12">
      <c r="A3" t="s">
        <v>8480</v>
      </c>
      <c r="B3" t="s">
        <v>8328</v>
      </c>
      <c r="C3" t="s">
        <v>8481</v>
      </c>
      <c r="D3" t="s">
        <v>8317</v>
      </c>
      <c r="E3">
        <v>3</v>
      </c>
      <c r="F3" t="s">
        <v>8482</v>
      </c>
      <c r="G3" t="s">
        <v>8479</v>
      </c>
      <c r="H3">
        <v>100</v>
      </c>
      <c r="I3">
        <v>6</v>
      </c>
      <c r="J3">
        <v>7</v>
      </c>
      <c r="K3">
        <v>4</v>
      </c>
    </row>
    <row r="4" spans="1:12">
      <c r="A4" t="s">
        <v>8483</v>
      </c>
      <c r="B4" t="s">
        <v>8328</v>
      </c>
      <c r="C4" t="s">
        <v>8484</v>
      </c>
      <c r="D4" t="s">
        <v>8485</v>
      </c>
      <c r="E4">
        <v>4</v>
      </c>
      <c r="F4" t="s">
        <v>8486</v>
      </c>
      <c r="G4" t="s">
        <v>8369</v>
      </c>
      <c r="H4">
        <v>120</v>
      </c>
      <c r="I4">
        <v>6</v>
      </c>
      <c r="J4">
        <v>7</v>
      </c>
      <c r="K4">
        <v>2</v>
      </c>
    </row>
    <row r="5" spans="1:12">
      <c r="A5" t="s">
        <v>8487</v>
      </c>
      <c r="B5" t="s">
        <v>8328</v>
      </c>
      <c r="C5" t="s">
        <v>8488</v>
      </c>
      <c r="D5" t="s">
        <v>8489</v>
      </c>
      <c r="E5">
        <v>5</v>
      </c>
      <c r="F5" t="s">
        <v>8490</v>
      </c>
      <c r="G5" t="s">
        <v>8305</v>
      </c>
      <c r="H5">
        <v>200</v>
      </c>
      <c r="I5">
        <v>6</v>
      </c>
      <c r="J5">
        <v>7</v>
      </c>
      <c r="K5">
        <v>3</v>
      </c>
    </row>
    <row r="6" spans="1:12">
      <c r="A6" t="s">
        <v>8491</v>
      </c>
      <c r="B6" t="s">
        <v>8328</v>
      </c>
      <c r="C6" t="s">
        <v>8492</v>
      </c>
      <c r="D6" t="s">
        <v>8493</v>
      </c>
      <c r="E6">
        <v>6</v>
      </c>
      <c r="F6" t="s">
        <v>8494</v>
      </c>
      <c r="G6" t="s">
        <v>8312</v>
      </c>
      <c r="H6">
        <v>800</v>
      </c>
      <c r="I6">
        <v>6</v>
      </c>
      <c r="J6">
        <v>7</v>
      </c>
      <c r="K6">
        <v>4</v>
      </c>
    </row>
    <row r="7" spans="1:12">
      <c r="A7" t="s">
        <v>8495</v>
      </c>
      <c r="B7" t="s">
        <v>8328</v>
      </c>
      <c r="C7" t="s">
        <v>8496</v>
      </c>
      <c r="D7" t="s">
        <v>8303</v>
      </c>
      <c r="E7">
        <v>4</v>
      </c>
      <c r="F7" t="s">
        <v>8497</v>
      </c>
      <c r="G7" t="s">
        <v>8479</v>
      </c>
      <c r="H7">
        <v>900</v>
      </c>
      <c r="I7">
        <v>6</v>
      </c>
      <c r="J7">
        <v>7</v>
      </c>
      <c r="K7">
        <v>6</v>
      </c>
      <c r="L7" t="s">
        <v>8498</v>
      </c>
    </row>
    <row r="8" spans="1:12">
      <c r="A8" t="s">
        <v>8480</v>
      </c>
      <c r="B8" t="s">
        <v>5580</v>
      </c>
      <c r="C8" t="s">
        <v>8499</v>
      </c>
      <c r="D8" t="s">
        <v>8317</v>
      </c>
      <c r="E8">
        <v>2</v>
      </c>
      <c r="F8" t="s">
        <v>8500</v>
      </c>
      <c r="G8" t="s">
        <v>8479</v>
      </c>
      <c r="H8">
        <v>75</v>
      </c>
      <c r="I8">
        <v>5</v>
      </c>
      <c r="J8">
        <v>5</v>
      </c>
      <c r="K8">
        <v>3</v>
      </c>
    </row>
    <row r="9" spans="1:12">
      <c r="A9" t="s">
        <v>8483</v>
      </c>
      <c r="B9" t="s">
        <v>5580</v>
      </c>
      <c r="C9" t="s">
        <v>8501</v>
      </c>
      <c r="D9" t="s">
        <v>8485</v>
      </c>
      <c r="E9">
        <v>2</v>
      </c>
      <c r="F9" t="s">
        <v>8502</v>
      </c>
      <c r="G9" t="s">
        <v>8369</v>
      </c>
      <c r="H9">
        <v>90</v>
      </c>
      <c r="I9">
        <v>4</v>
      </c>
      <c r="J9">
        <v>4</v>
      </c>
      <c r="K9">
        <v>1</v>
      </c>
    </row>
    <row r="10" spans="1:12">
      <c r="A10" t="s">
        <v>8487</v>
      </c>
      <c r="B10" t="s">
        <v>5580</v>
      </c>
      <c r="C10" t="s">
        <v>8503</v>
      </c>
      <c r="D10" t="s">
        <v>8489</v>
      </c>
      <c r="E10">
        <v>4</v>
      </c>
      <c r="F10" t="s">
        <v>8504</v>
      </c>
      <c r="G10" t="s">
        <v>8305</v>
      </c>
      <c r="H10">
        <v>150</v>
      </c>
      <c r="I10">
        <v>4</v>
      </c>
      <c r="J10">
        <v>4</v>
      </c>
      <c r="K10">
        <v>2</v>
      </c>
    </row>
    <row r="11" spans="1:12">
      <c r="A11" t="s">
        <v>8491</v>
      </c>
      <c r="B11" t="s">
        <v>5580</v>
      </c>
      <c r="C11" t="s">
        <v>8505</v>
      </c>
      <c r="D11" t="s">
        <v>8493</v>
      </c>
      <c r="E11">
        <v>5</v>
      </c>
      <c r="F11" t="s">
        <v>8506</v>
      </c>
      <c r="G11" t="s">
        <v>8312</v>
      </c>
      <c r="H11">
        <v>600</v>
      </c>
      <c r="I11">
        <v>4</v>
      </c>
      <c r="J11">
        <v>4</v>
      </c>
      <c r="K11">
        <v>3</v>
      </c>
    </row>
    <row r="12" spans="1:12">
      <c r="A12" t="s">
        <v>8495</v>
      </c>
      <c r="B12" t="s">
        <v>5580</v>
      </c>
      <c r="C12" t="s">
        <v>8507</v>
      </c>
      <c r="D12" t="s">
        <v>8303</v>
      </c>
      <c r="E12">
        <v>3</v>
      </c>
      <c r="F12" t="s">
        <v>8508</v>
      </c>
      <c r="G12" t="s">
        <v>8479</v>
      </c>
      <c r="H12">
        <v>675</v>
      </c>
      <c r="I12">
        <v>4</v>
      </c>
      <c r="J12">
        <v>4</v>
      </c>
      <c r="K12">
        <v>5</v>
      </c>
      <c r="L12" t="s">
        <v>8498</v>
      </c>
    </row>
    <row r="13" spans="1:12">
      <c r="A13" t="s">
        <v>8480</v>
      </c>
      <c r="B13" t="s">
        <v>5619</v>
      </c>
      <c r="C13" t="s">
        <v>8509</v>
      </c>
      <c r="D13" t="s">
        <v>8317</v>
      </c>
      <c r="E13">
        <v>4</v>
      </c>
      <c r="F13" t="s">
        <v>8482</v>
      </c>
      <c r="G13" t="s">
        <v>8479</v>
      </c>
      <c r="H13">
        <v>100</v>
      </c>
      <c r="I13">
        <v>6</v>
      </c>
      <c r="J13">
        <v>6</v>
      </c>
      <c r="K13">
        <v>4</v>
      </c>
    </row>
    <row r="14" spans="1:12">
      <c r="A14" t="s">
        <v>8483</v>
      </c>
      <c r="B14" t="s">
        <v>5619</v>
      </c>
      <c r="C14" t="s">
        <v>8510</v>
      </c>
      <c r="D14" t="s">
        <v>8485</v>
      </c>
      <c r="E14">
        <v>5</v>
      </c>
      <c r="F14" t="s">
        <v>8486</v>
      </c>
      <c r="G14" t="s">
        <v>8369</v>
      </c>
      <c r="H14">
        <v>120</v>
      </c>
      <c r="I14">
        <v>5</v>
      </c>
      <c r="J14">
        <v>5</v>
      </c>
      <c r="K14">
        <v>2</v>
      </c>
    </row>
    <row r="15" spans="1:12">
      <c r="A15" t="s">
        <v>8487</v>
      </c>
      <c r="B15" t="s">
        <v>5619</v>
      </c>
      <c r="C15" t="s">
        <v>8511</v>
      </c>
      <c r="D15" t="s">
        <v>8489</v>
      </c>
      <c r="E15">
        <v>6</v>
      </c>
      <c r="F15" t="s">
        <v>8490</v>
      </c>
      <c r="G15" t="s">
        <v>8305</v>
      </c>
      <c r="H15">
        <v>200</v>
      </c>
      <c r="I15">
        <v>5</v>
      </c>
      <c r="J15">
        <v>5</v>
      </c>
      <c r="K15">
        <v>3</v>
      </c>
    </row>
    <row r="16" spans="1:12">
      <c r="A16" t="s">
        <v>8491</v>
      </c>
      <c r="B16" t="s">
        <v>5619</v>
      </c>
      <c r="C16" t="s">
        <v>8512</v>
      </c>
      <c r="D16" t="s">
        <v>8493</v>
      </c>
      <c r="E16">
        <v>7</v>
      </c>
      <c r="F16" t="s">
        <v>8494</v>
      </c>
      <c r="G16" t="s">
        <v>8312</v>
      </c>
      <c r="H16">
        <v>800</v>
      </c>
      <c r="I16">
        <v>5</v>
      </c>
      <c r="J16">
        <v>5</v>
      </c>
      <c r="K16">
        <v>4</v>
      </c>
    </row>
    <row r="17" spans="1:12">
      <c r="A17" t="s">
        <v>8513</v>
      </c>
      <c r="B17" t="s">
        <v>5619</v>
      </c>
      <c r="C17" t="s">
        <v>8514</v>
      </c>
      <c r="D17" t="s">
        <v>8515</v>
      </c>
      <c r="E17">
        <v>7</v>
      </c>
      <c r="F17" t="s">
        <v>8494</v>
      </c>
      <c r="G17" t="s">
        <v>8318</v>
      </c>
      <c r="H17">
        <v>1500</v>
      </c>
      <c r="I17">
        <v>5</v>
      </c>
      <c r="J17">
        <v>5</v>
      </c>
      <c r="K17">
        <v>5</v>
      </c>
    </row>
    <row r="18" spans="1:12">
      <c r="A18" t="s">
        <v>8495</v>
      </c>
      <c r="B18" t="s">
        <v>5619</v>
      </c>
      <c r="C18" t="s">
        <v>8516</v>
      </c>
      <c r="D18" t="s">
        <v>8303</v>
      </c>
      <c r="E18">
        <v>5</v>
      </c>
      <c r="F18" t="s">
        <v>8497</v>
      </c>
      <c r="G18" t="s">
        <v>8479</v>
      </c>
      <c r="H18">
        <v>900</v>
      </c>
      <c r="I18">
        <v>7</v>
      </c>
      <c r="J18">
        <v>7</v>
      </c>
      <c r="K18">
        <v>7</v>
      </c>
      <c r="L18" t="s">
        <v>8498</v>
      </c>
    </row>
    <row r="19" spans="1:12">
      <c r="A19" t="s">
        <v>8480</v>
      </c>
      <c r="B19" t="s">
        <v>5564</v>
      </c>
      <c r="C19" t="s">
        <v>8481</v>
      </c>
      <c r="D19" t="s">
        <v>8317</v>
      </c>
      <c r="E19">
        <v>2</v>
      </c>
      <c r="F19" t="s">
        <v>8517</v>
      </c>
      <c r="G19" t="s">
        <v>8479</v>
      </c>
      <c r="H19">
        <v>125</v>
      </c>
      <c r="I19">
        <v>6</v>
      </c>
      <c r="J19">
        <v>6</v>
      </c>
      <c r="K19">
        <v>4</v>
      </c>
    </row>
    <row r="20" spans="1:12">
      <c r="A20" t="s">
        <v>8483</v>
      </c>
      <c r="B20" t="s">
        <v>5564</v>
      </c>
      <c r="C20" t="s">
        <v>8484</v>
      </c>
      <c r="D20" t="s">
        <v>8485</v>
      </c>
      <c r="E20">
        <v>3</v>
      </c>
      <c r="F20" t="s">
        <v>8518</v>
      </c>
      <c r="G20" t="s">
        <v>8369</v>
      </c>
      <c r="H20">
        <v>150</v>
      </c>
      <c r="I20">
        <v>6</v>
      </c>
      <c r="J20">
        <v>6</v>
      </c>
      <c r="K20">
        <v>2</v>
      </c>
    </row>
    <row r="21" spans="1:12">
      <c r="A21" t="s">
        <v>8487</v>
      </c>
      <c r="B21" t="s">
        <v>5564</v>
      </c>
      <c r="C21" t="s">
        <v>8488</v>
      </c>
      <c r="D21" t="s">
        <v>8489</v>
      </c>
      <c r="E21">
        <v>4</v>
      </c>
      <c r="F21" t="s">
        <v>8519</v>
      </c>
      <c r="G21" t="s">
        <v>8305</v>
      </c>
      <c r="H21">
        <v>250</v>
      </c>
      <c r="I21">
        <v>6</v>
      </c>
      <c r="J21">
        <v>6</v>
      </c>
      <c r="K21">
        <v>3</v>
      </c>
    </row>
    <row r="22" spans="1:12">
      <c r="A22" t="s">
        <v>8491</v>
      </c>
      <c r="B22" t="s">
        <v>5564</v>
      </c>
      <c r="C22" t="s">
        <v>8492</v>
      </c>
      <c r="D22" t="s">
        <v>8493</v>
      </c>
      <c r="E22">
        <v>5</v>
      </c>
      <c r="F22" t="s">
        <v>8520</v>
      </c>
      <c r="G22" t="s">
        <v>8312</v>
      </c>
      <c r="H22">
        <v>1000</v>
      </c>
      <c r="I22">
        <v>6</v>
      </c>
      <c r="J22">
        <v>6</v>
      </c>
      <c r="K22">
        <v>4</v>
      </c>
    </row>
    <row r="23" spans="1:12">
      <c r="A23" t="s">
        <v>8495</v>
      </c>
      <c r="B23" t="s">
        <v>5564</v>
      </c>
      <c r="C23" t="s">
        <v>8496</v>
      </c>
      <c r="D23" t="s">
        <v>8303</v>
      </c>
      <c r="E23">
        <v>3</v>
      </c>
      <c r="F23" t="s">
        <v>8521</v>
      </c>
      <c r="G23" t="s">
        <v>8479</v>
      </c>
      <c r="H23">
        <v>1125</v>
      </c>
      <c r="I23">
        <v>6</v>
      </c>
      <c r="J23">
        <v>6</v>
      </c>
      <c r="K23">
        <v>6</v>
      </c>
      <c r="L23" t="s">
        <v>8498</v>
      </c>
    </row>
    <row r="24" spans="1:12">
      <c r="A24" t="s">
        <v>8480</v>
      </c>
      <c r="B24" t="s">
        <v>1174</v>
      </c>
      <c r="C24" t="s">
        <v>8481</v>
      </c>
      <c r="D24" t="s">
        <v>8310</v>
      </c>
      <c r="E24">
        <v>3</v>
      </c>
      <c r="F24" t="s">
        <v>8500</v>
      </c>
      <c r="G24" t="s">
        <v>8479</v>
      </c>
      <c r="H24">
        <v>120</v>
      </c>
      <c r="I24">
        <v>7</v>
      </c>
      <c r="J24">
        <v>7</v>
      </c>
      <c r="K24">
        <v>4</v>
      </c>
    </row>
    <row r="25" spans="1:12">
      <c r="A25" t="s">
        <v>8483</v>
      </c>
      <c r="B25" t="s">
        <v>1174</v>
      </c>
      <c r="C25" t="s">
        <v>8484</v>
      </c>
      <c r="D25" t="s">
        <v>8325</v>
      </c>
      <c r="E25">
        <v>4</v>
      </c>
      <c r="F25" t="s">
        <v>8522</v>
      </c>
      <c r="G25" t="s">
        <v>8369</v>
      </c>
      <c r="H25">
        <v>145</v>
      </c>
      <c r="I25">
        <v>7</v>
      </c>
      <c r="J25">
        <v>7</v>
      </c>
      <c r="K25">
        <v>2</v>
      </c>
    </row>
    <row r="26" spans="1:12">
      <c r="A26" t="s">
        <v>8487</v>
      </c>
      <c r="B26" t="s">
        <v>1174</v>
      </c>
      <c r="C26" t="s">
        <v>8488</v>
      </c>
      <c r="D26" t="s">
        <v>8356</v>
      </c>
      <c r="E26">
        <v>5</v>
      </c>
      <c r="F26" t="s">
        <v>8504</v>
      </c>
      <c r="G26" t="s">
        <v>8305</v>
      </c>
      <c r="H26">
        <v>245</v>
      </c>
      <c r="I26">
        <v>7</v>
      </c>
      <c r="J26">
        <v>7</v>
      </c>
      <c r="K26">
        <v>3</v>
      </c>
    </row>
    <row r="27" spans="1:12">
      <c r="A27" t="s">
        <v>8491</v>
      </c>
      <c r="B27" t="s">
        <v>1174</v>
      </c>
      <c r="C27" t="s">
        <v>8492</v>
      </c>
      <c r="D27" t="s">
        <v>8384</v>
      </c>
      <c r="E27">
        <v>6</v>
      </c>
      <c r="F27" t="s">
        <v>8506</v>
      </c>
      <c r="G27" t="s">
        <v>8312</v>
      </c>
      <c r="H27">
        <v>995</v>
      </c>
      <c r="I27">
        <v>7</v>
      </c>
      <c r="J27">
        <v>7</v>
      </c>
      <c r="K27">
        <v>4</v>
      </c>
    </row>
    <row r="28" spans="1:12">
      <c r="A28" t="s">
        <v>8495</v>
      </c>
      <c r="B28" t="s">
        <v>1174</v>
      </c>
      <c r="C28" t="s">
        <v>8496</v>
      </c>
      <c r="D28" t="s">
        <v>8307</v>
      </c>
      <c r="E28">
        <v>4</v>
      </c>
      <c r="F28" t="s">
        <v>8508</v>
      </c>
      <c r="G28" t="s">
        <v>8479</v>
      </c>
      <c r="H28">
        <v>1120</v>
      </c>
      <c r="I28">
        <v>7</v>
      </c>
      <c r="J28">
        <v>7</v>
      </c>
      <c r="K28">
        <v>6</v>
      </c>
      <c r="L28" t="s">
        <v>8498</v>
      </c>
    </row>
    <row r="29" spans="1:12">
      <c r="A29" t="s">
        <v>8480</v>
      </c>
      <c r="B29" t="s">
        <v>5606</v>
      </c>
      <c r="C29" t="s">
        <v>8523</v>
      </c>
      <c r="D29" t="s">
        <v>8524</v>
      </c>
      <c r="E29">
        <v>2</v>
      </c>
      <c r="F29" t="s">
        <v>8482</v>
      </c>
      <c r="G29" t="s">
        <v>8479</v>
      </c>
      <c r="H29">
        <v>125</v>
      </c>
      <c r="I29">
        <v>7</v>
      </c>
      <c r="J29">
        <v>7</v>
      </c>
      <c r="K29">
        <v>4</v>
      </c>
    </row>
    <row r="30" spans="1:12">
      <c r="A30" t="s">
        <v>8483</v>
      </c>
      <c r="B30" t="s">
        <v>5606</v>
      </c>
      <c r="C30" t="s">
        <v>8525</v>
      </c>
      <c r="D30" t="s">
        <v>8303</v>
      </c>
      <c r="E30">
        <v>2</v>
      </c>
      <c r="F30" t="s">
        <v>8486</v>
      </c>
      <c r="G30" t="s">
        <v>8369</v>
      </c>
      <c r="H30">
        <v>150</v>
      </c>
      <c r="I30">
        <v>7</v>
      </c>
      <c r="J30">
        <v>7</v>
      </c>
      <c r="K30">
        <v>2</v>
      </c>
    </row>
    <row r="31" spans="1:12">
      <c r="A31" t="s">
        <v>8487</v>
      </c>
      <c r="B31" t="s">
        <v>5606</v>
      </c>
      <c r="C31" t="s">
        <v>8526</v>
      </c>
      <c r="D31" t="s">
        <v>8317</v>
      </c>
      <c r="E31">
        <v>3</v>
      </c>
      <c r="F31" t="s">
        <v>8490</v>
      </c>
      <c r="G31" t="s">
        <v>8305</v>
      </c>
      <c r="H31">
        <v>250</v>
      </c>
      <c r="I31">
        <v>7</v>
      </c>
      <c r="J31">
        <v>7</v>
      </c>
      <c r="K31">
        <v>3</v>
      </c>
    </row>
    <row r="32" spans="1:12">
      <c r="A32" t="s">
        <v>8491</v>
      </c>
      <c r="B32" t="s">
        <v>5606</v>
      </c>
      <c r="C32" t="s">
        <v>8527</v>
      </c>
      <c r="D32" t="s">
        <v>8485</v>
      </c>
      <c r="E32">
        <v>4</v>
      </c>
      <c r="F32" t="s">
        <v>8494</v>
      </c>
      <c r="G32" t="s">
        <v>8312</v>
      </c>
      <c r="H32">
        <v>1000</v>
      </c>
      <c r="I32">
        <v>7</v>
      </c>
      <c r="J32">
        <v>7</v>
      </c>
      <c r="K32">
        <v>4</v>
      </c>
    </row>
    <row r="33" spans="1:12">
      <c r="A33" t="s">
        <v>8495</v>
      </c>
      <c r="B33" t="s">
        <v>5606</v>
      </c>
      <c r="C33" t="s">
        <v>8528</v>
      </c>
      <c r="D33" t="s">
        <v>8524</v>
      </c>
      <c r="E33">
        <v>2</v>
      </c>
      <c r="F33" t="s">
        <v>8497</v>
      </c>
      <c r="G33" t="s">
        <v>8479</v>
      </c>
      <c r="H33">
        <v>1125</v>
      </c>
      <c r="I33">
        <v>7</v>
      </c>
      <c r="J33">
        <v>7</v>
      </c>
      <c r="K33">
        <v>6</v>
      </c>
      <c r="L33" t="s">
        <v>8498</v>
      </c>
    </row>
    <row r="34" spans="1:12">
      <c r="A34" t="s">
        <v>8480</v>
      </c>
      <c r="B34" t="s">
        <v>5587</v>
      </c>
      <c r="C34" t="s">
        <v>8529</v>
      </c>
      <c r="D34" t="s">
        <v>8317</v>
      </c>
      <c r="E34">
        <v>3</v>
      </c>
      <c r="F34" t="s">
        <v>8530</v>
      </c>
      <c r="G34" t="s">
        <v>8369</v>
      </c>
      <c r="H34">
        <v>160</v>
      </c>
      <c r="I34">
        <v>6</v>
      </c>
      <c r="J34">
        <v>5</v>
      </c>
      <c r="K34">
        <v>4</v>
      </c>
    </row>
    <row r="35" spans="1:12">
      <c r="A35" t="s">
        <v>8483</v>
      </c>
      <c r="B35" t="s">
        <v>5587</v>
      </c>
      <c r="C35" t="s">
        <v>8531</v>
      </c>
      <c r="D35" t="s">
        <v>8485</v>
      </c>
      <c r="E35">
        <v>4</v>
      </c>
      <c r="F35" t="s">
        <v>8532</v>
      </c>
      <c r="G35" t="s">
        <v>8305</v>
      </c>
      <c r="H35">
        <v>180</v>
      </c>
      <c r="I35">
        <v>6</v>
      </c>
      <c r="J35">
        <v>5</v>
      </c>
      <c r="K35">
        <v>2</v>
      </c>
    </row>
    <row r="36" spans="1:12">
      <c r="A36" t="s">
        <v>8487</v>
      </c>
      <c r="B36" t="s">
        <v>5587</v>
      </c>
      <c r="C36" t="s">
        <v>8533</v>
      </c>
      <c r="D36" t="s">
        <v>8489</v>
      </c>
      <c r="E36">
        <v>5</v>
      </c>
      <c r="F36" t="s">
        <v>8534</v>
      </c>
      <c r="G36" t="s">
        <v>8312</v>
      </c>
      <c r="H36">
        <v>300</v>
      </c>
      <c r="I36">
        <v>6</v>
      </c>
      <c r="J36">
        <v>5</v>
      </c>
      <c r="K36">
        <v>3</v>
      </c>
    </row>
    <row r="37" spans="1:12">
      <c r="A37" t="s">
        <v>8491</v>
      </c>
      <c r="B37" t="s">
        <v>5587</v>
      </c>
      <c r="C37" t="s">
        <v>8535</v>
      </c>
      <c r="D37" t="s">
        <v>8493</v>
      </c>
      <c r="E37">
        <v>6</v>
      </c>
      <c r="F37" t="s">
        <v>8536</v>
      </c>
      <c r="G37" t="s">
        <v>8318</v>
      </c>
      <c r="H37">
        <v>1200</v>
      </c>
      <c r="I37">
        <v>6</v>
      </c>
      <c r="J37">
        <v>5</v>
      </c>
      <c r="K37">
        <v>4</v>
      </c>
    </row>
    <row r="38" spans="1:12">
      <c r="A38" t="s">
        <v>8495</v>
      </c>
      <c r="B38" t="s">
        <v>5587</v>
      </c>
      <c r="C38" t="s">
        <v>8537</v>
      </c>
      <c r="D38" t="s">
        <v>8303</v>
      </c>
      <c r="E38">
        <v>4</v>
      </c>
      <c r="F38" t="s">
        <v>8538</v>
      </c>
      <c r="G38" t="s">
        <v>8369</v>
      </c>
      <c r="H38">
        <v>1350</v>
      </c>
      <c r="I38">
        <v>6</v>
      </c>
      <c r="J38">
        <v>6</v>
      </c>
      <c r="K38">
        <v>6</v>
      </c>
      <c r="L38" t="s">
        <v>8498</v>
      </c>
    </row>
    <row r="39" spans="1:12">
      <c r="A39" t="s">
        <v>8539</v>
      </c>
      <c r="B39" t="s">
        <v>8382</v>
      </c>
      <c r="C39" t="s">
        <v>8540</v>
      </c>
      <c r="D39" t="s">
        <v>8303</v>
      </c>
      <c r="E39">
        <v>2</v>
      </c>
      <c r="F39" t="s">
        <v>8532</v>
      </c>
      <c r="G39" t="s">
        <v>8369</v>
      </c>
      <c r="H39">
        <v>300</v>
      </c>
      <c r="I39">
        <v>7</v>
      </c>
      <c r="J39">
        <v>4</v>
      </c>
      <c r="K39">
        <v>5</v>
      </c>
      <c r="L39" t="s">
        <v>8541</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5474</v>
      </c>
      <c r="B1" t="s">
        <v>8386</v>
      </c>
      <c r="C1" t="s">
        <v>8387</v>
      </c>
      <c r="D1" t="s">
        <v>8388</v>
      </c>
      <c r="E1" t="s">
        <v>8389</v>
      </c>
      <c r="F1" t="s">
        <v>7225</v>
      </c>
      <c r="G1" t="s">
        <v>7286</v>
      </c>
      <c r="H1" t="s">
        <v>7285</v>
      </c>
      <c r="I1" t="s">
        <v>8300</v>
      </c>
      <c r="J1" t="s">
        <v>7224</v>
      </c>
      <c r="K1" t="s">
        <v>8390</v>
      </c>
    </row>
    <row r="2" spans="1:11">
      <c r="A2" t="s">
        <v>8542</v>
      </c>
      <c r="B2" t="s">
        <v>8392</v>
      </c>
      <c r="C2" t="s">
        <v>8393</v>
      </c>
      <c r="D2" t="s">
        <v>8543</v>
      </c>
      <c r="E2" t="s">
        <v>8543</v>
      </c>
      <c r="F2" t="s">
        <v>8544</v>
      </c>
      <c r="J2" t="s">
        <v>3868</v>
      </c>
    </row>
    <row r="3" spans="1:11">
      <c r="A3" t="s">
        <v>8545</v>
      </c>
      <c r="B3" t="s">
        <v>8392</v>
      </c>
      <c r="C3" t="s">
        <v>8393</v>
      </c>
      <c r="D3" t="s">
        <v>8546</v>
      </c>
      <c r="E3" t="s">
        <v>8546</v>
      </c>
      <c r="F3" t="s">
        <v>8404</v>
      </c>
      <c r="G3">
        <v>6</v>
      </c>
      <c r="H3">
        <v>6</v>
      </c>
      <c r="J3" t="s">
        <v>3868</v>
      </c>
    </row>
    <row r="4" spans="1:11">
      <c r="A4" t="s">
        <v>8547</v>
      </c>
      <c r="B4" t="s">
        <v>8397</v>
      </c>
      <c r="C4" t="s">
        <v>8393</v>
      </c>
      <c r="D4" t="s">
        <v>8393</v>
      </c>
      <c r="E4" t="s">
        <v>8393</v>
      </c>
      <c r="F4" t="s">
        <v>8548</v>
      </c>
      <c r="G4">
        <v>6</v>
      </c>
      <c r="H4">
        <v>6</v>
      </c>
      <c r="J4" t="s">
        <v>3868</v>
      </c>
    </row>
    <row r="5" spans="1:11">
      <c r="A5" t="s">
        <v>8549</v>
      </c>
      <c r="B5" t="s">
        <v>8403</v>
      </c>
      <c r="C5" t="s">
        <v>8393</v>
      </c>
      <c r="D5" t="s">
        <v>8393</v>
      </c>
      <c r="E5" t="s">
        <v>8393</v>
      </c>
      <c r="F5" t="s">
        <v>8550</v>
      </c>
      <c r="G5">
        <v>6</v>
      </c>
      <c r="H5">
        <v>6</v>
      </c>
      <c r="J5" t="s">
        <v>3868</v>
      </c>
    </row>
    <row r="6" spans="1:11">
      <c r="A6" t="s">
        <v>8551</v>
      </c>
      <c r="B6" t="s">
        <v>8552</v>
      </c>
      <c r="C6" t="s">
        <v>8406</v>
      </c>
      <c r="D6" t="s">
        <v>8393</v>
      </c>
      <c r="E6" t="s">
        <v>8393</v>
      </c>
      <c r="F6" t="s">
        <v>8553</v>
      </c>
      <c r="G6">
        <v>7</v>
      </c>
      <c r="H6">
        <v>7</v>
      </c>
      <c r="I6">
        <v>3</v>
      </c>
      <c r="J6" t="s">
        <v>3868</v>
      </c>
      <c r="K6" t="s">
        <v>8408</v>
      </c>
    </row>
    <row r="7" spans="1:11">
      <c r="A7" t="s">
        <v>8554</v>
      </c>
      <c r="B7" t="s">
        <v>8403</v>
      </c>
      <c r="C7" t="s">
        <v>8410</v>
      </c>
      <c r="D7" t="s">
        <v>8393</v>
      </c>
      <c r="E7" t="s">
        <v>8393</v>
      </c>
      <c r="F7" t="s">
        <v>8555</v>
      </c>
      <c r="G7">
        <v>6</v>
      </c>
      <c r="H7">
        <v>6</v>
      </c>
      <c r="J7" t="s">
        <v>3868</v>
      </c>
    </row>
    <row r="8" spans="1:11">
      <c r="A8" t="s">
        <v>8556</v>
      </c>
      <c r="B8" t="s">
        <v>8552</v>
      </c>
      <c r="C8" t="s">
        <v>8413</v>
      </c>
      <c r="D8" t="s">
        <v>8393</v>
      </c>
      <c r="E8" t="s">
        <v>8393</v>
      </c>
      <c r="F8" t="s">
        <v>8557</v>
      </c>
      <c r="G8">
        <v>3</v>
      </c>
      <c r="H8">
        <v>2</v>
      </c>
      <c r="J8" t="s">
        <v>3868</v>
      </c>
    </row>
    <row r="9" spans="1:11">
      <c r="A9" t="s">
        <v>8558</v>
      </c>
      <c r="B9" t="s">
        <v>8552</v>
      </c>
      <c r="C9" t="s">
        <v>8416</v>
      </c>
      <c r="D9" t="s">
        <v>8393</v>
      </c>
      <c r="E9" t="s">
        <v>8393</v>
      </c>
      <c r="F9" t="s">
        <v>8466</v>
      </c>
      <c r="G9">
        <v>4</v>
      </c>
      <c r="H9">
        <v>2</v>
      </c>
      <c r="J9" t="s">
        <v>3868</v>
      </c>
    </row>
    <row r="10" spans="1:11">
      <c r="A10" t="s">
        <v>8559</v>
      </c>
      <c r="B10" t="s">
        <v>8552</v>
      </c>
      <c r="C10" t="s">
        <v>8419</v>
      </c>
      <c r="D10" t="s">
        <v>8393</v>
      </c>
      <c r="E10" t="s">
        <v>8393</v>
      </c>
      <c r="F10" t="s">
        <v>8435</v>
      </c>
      <c r="G10">
        <v>5</v>
      </c>
      <c r="H10">
        <v>4</v>
      </c>
      <c r="J10" t="s">
        <v>3868</v>
      </c>
    </row>
    <row r="11" spans="1:11">
      <c r="A11" t="s">
        <v>8560</v>
      </c>
      <c r="B11" t="s">
        <v>8552</v>
      </c>
      <c r="C11" t="s">
        <v>8422</v>
      </c>
      <c r="D11" t="s">
        <v>8393</v>
      </c>
      <c r="E11" t="s">
        <v>8393</v>
      </c>
      <c r="F11" t="s">
        <v>8561</v>
      </c>
      <c r="G11">
        <v>6</v>
      </c>
      <c r="H11">
        <v>5</v>
      </c>
      <c r="J11" t="s">
        <v>3868</v>
      </c>
    </row>
    <row r="12" spans="1:11">
      <c r="A12" t="s">
        <v>8562</v>
      </c>
      <c r="B12" t="s">
        <v>8552</v>
      </c>
      <c r="C12" t="s">
        <v>8413</v>
      </c>
      <c r="D12" t="s">
        <v>8393</v>
      </c>
      <c r="E12" t="s">
        <v>8393</v>
      </c>
      <c r="F12" t="s">
        <v>8563</v>
      </c>
      <c r="G12">
        <v>6</v>
      </c>
      <c r="H12">
        <v>5</v>
      </c>
      <c r="J12" t="s">
        <v>3868</v>
      </c>
      <c r="K12" t="s">
        <v>8426</v>
      </c>
    </row>
    <row r="13" spans="1:11">
      <c r="A13" t="s">
        <v>8564</v>
      </c>
      <c r="B13" t="s">
        <v>8552</v>
      </c>
      <c r="C13" t="s">
        <v>8428</v>
      </c>
      <c r="D13" t="s">
        <v>8393</v>
      </c>
      <c r="E13" t="s">
        <v>8393</v>
      </c>
      <c r="F13" t="s">
        <v>8565</v>
      </c>
      <c r="G13">
        <v>7</v>
      </c>
      <c r="H13">
        <v>6</v>
      </c>
      <c r="J13" t="s">
        <v>3868</v>
      </c>
    </row>
    <row r="14" spans="1:11">
      <c r="A14" t="s">
        <v>8566</v>
      </c>
      <c r="B14" t="s">
        <v>8552</v>
      </c>
      <c r="C14" t="s">
        <v>8406</v>
      </c>
      <c r="D14" t="s">
        <v>8393</v>
      </c>
      <c r="E14" t="s">
        <v>8393</v>
      </c>
      <c r="F14" t="s">
        <v>8563</v>
      </c>
      <c r="G14">
        <v>6</v>
      </c>
      <c r="H14">
        <v>6</v>
      </c>
      <c r="J14" t="s">
        <v>3868</v>
      </c>
    </row>
    <row r="15" spans="1:11">
      <c r="A15" t="s">
        <v>8567</v>
      </c>
      <c r="B15" t="s">
        <v>8403</v>
      </c>
      <c r="C15" t="s">
        <v>8432</v>
      </c>
      <c r="D15" t="s">
        <v>8393</v>
      </c>
      <c r="E15" t="s">
        <v>8393</v>
      </c>
      <c r="F15" t="s">
        <v>8435</v>
      </c>
      <c r="G15">
        <v>4</v>
      </c>
      <c r="H15">
        <v>4</v>
      </c>
      <c r="J15" t="s">
        <v>3868</v>
      </c>
      <c r="K15" t="s">
        <v>8433</v>
      </c>
    </row>
    <row r="16" spans="1:11">
      <c r="A16" t="s">
        <v>8568</v>
      </c>
      <c r="B16" t="s">
        <v>8403</v>
      </c>
      <c r="C16" t="s">
        <v>8432</v>
      </c>
      <c r="D16" t="s">
        <v>8393</v>
      </c>
      <c r="E16" t="s">
        <v>8393</v>
      </c>
      <c r="F16" t="s">
        <v>8569</v>
      </c>
      <c r="G16">
        <v>5</v>
      </c>
      <c r="H16">
        <v>5</v>
      </c>
      <c r="J16" t="s">
        <v>3874</v>
      </c>
      <c r="K16" t="s">
        <v>8436</v>
      </c>
    </row>
    <row r="17" spans="1:11">
      <c r="A17" t="s">
        <v>8570</v>
      </c>
      <c r="B17" t="s">
        <v>8416</v>
      </c>
      <c r="C17" t="s">
        <v>8571</v>
      </c>
      <c r="D17" t="s">
        <v>8571</v>
      </c>
      <c r="E17" t="s">
        <v>8442</v>
      </c>
      <c r="F17" t="s">
        <v>8572</v>
      </c>
      <c r="G17">
        <v>5</v>
      </c>
      <c r="H17">
        <v>4</v>
      </c>
      <c r="J17" t="s">
        <v>3880</v>
      </c>
    </row>
    <row r="18" spans="1:11">
      <c r="A18" t="s">
        <v>8573</v>
      </c>
      <c r="B18" t="s">
        <v>8413</v>
      </c>
      <c r="C18" t="s">
        <v>8419</v>
      </c>
      <c r="D18" t="s">
        <v>8419</v>
      </c>
      <c r="E18" t="s">
        <v>8442</v>
      </c>
      <c r="F18" t="s">
        <v>8574</v>
      </c>
      <c r="G18">
        <v>5</v>
      </c>
      <c r="H18">
        <v>5</v>
      </c>
      <c r="J18" t="s">
        <v>3868</v>
      </c>
      <c r="K18" t="s">
        <v>8575</v>
      </c>
    </row>
    <row r="19" spans="1:11">
      <c r="A19" t="s">
        <v>8576</v>
      </c>
      <c r="B19" t="s">
        <v>8393</v>
      </c>
      <c r="C19" t="s">
        <v>8413</v>
      </c>
      <c r="D19" t="s">
        <v>8413</v>
      </c>
      <c r="E19" t="s">
        <v>8446</v>
      </c>
      <c r="F19" t="s">
        <v>8572</v>
      </c>
      <c r="G19">
        <v>5</v>
      </c>
      <c r="H19">
        <v>4</v>
      </c>
      <c r="J19" t="s">
        <v>3868</v>
      </c>
      <c r="K19" t="s">
        <v>8577</v>
      </c>
    </row>
    <row r="20" spans="1:11">
      <c r="A20" t="s">
        <v>8578</v>
      </c>
      <c r="B20" t="s">
        <v>8432</v>
      </c>
      <c r="C20" t="s">
        <v>8410</v>
      </c>
      <c r="D20" t="s">
        <v>8410</v>
      </c>
      <c r="E20" t="s">
        <v>8446</v>
      </c>
      <c r="F20" t="s">
        <v>8579</v>
      </c>
      <c r="G20">
        <v>6</v>
      </c>
      <c r="H20">
        <v>5</v>
      </c>
      <c r="J20" t="s">
        <v>3868</v>
      </c>
      <c r="K20" t="s">
        <v>8450</v>
      </c>
    </row>
    <row r="21" spans="1:11">
      <c r="A21" t="s">
        <v>8580</v>
      </c>
      <c r="B21" t="s">
        <v>8413</v>
      </c>
      <c r="C21" t="s">
        <v>8571</v>
      </c>
      <c r="D21" t="s">
        <v>8571</v>
      </c>
      <c r="E21" t="s">
        <v>8393</v>
      </c>
      <c r="F21" t="s">
        <v>8572</v>
      </c>
      <c r="G21">
        <v>4</v>
      </c>
      <c r="H21">
        <v>3</v>
      </c>
      <c r="J21" t="s">
        <v>3880</v>
      </c>
      <c r="K21" t="s">
        <v>8453</v>
      </c>
    </row>
    <row r="22" spans="1:11">
      <c r="A22" t="s">
        <v>8581</v>
      </c>
      <c r="B22" t="s">
        <v>8432</v>
      </c>
      <c r="C22" t="s">
        <v>8582</v>
      </c>
      <c r="D22" t="s">
        <v>8582</v>
      </c>
      <c r="E22" t="s">
        <v>8393</v>
      </c>
      <c r="F22" t="s">
        <v>8583</v>
      </c>
      <c r="G22">
        <v>4</v>
      </c>
      <c r="H22">
        <v>4</v>
      </c>
      <c r="J22" t="s">
        <v>3868</v>
      </c>
    </row>
    <row r="23" spans="1:11">
      <c r="A23" t="s">
        <v>8584</v>
      </c>
      <c r="B23" t="s">
        <v>8393</v>
      </c>
      <c r="C23" t="s">
        <v>8432</v>
      </c>
      <c r="D23" t="s">
        <v>8432</v>
      </c>
      <c r="E23" t="s">
        <v>8457</v>
      </c>
      <c r="F23" t="s">
        <v>8585</v>
      </c>
      <c r="G23">
        <v>6</v>
      </c>
      <c r="H23">
        <v>6</v>
      </c>
      <c r="J23" t="s">
        <v>3868</v>
      </c>
      <c r="K23" t="s">
        <v>8459</v>
      </c>
    </row>
    <row r="24" spans="1:11">
      <c r="A24" t="s">
        <v>8586</v>
      </c>
      <c r="B24" t="s">
        <v>8392</v>
      </c>
      <c r="C24" t="s">
        <v>8393</v>
      </c>
      <c r="D24" t="s">
        <v>8446</v>
      </c>
      <c r="E24" t="s">
        <v>8446</v>
      </c>
      <c r="F24" t="s">
        <v>8544</v>
      </c>
      <c r="J24" t="s">
        <v>8393</v>
      </c>
      <c r="K24" t="s">
        <v>8587</v>
      </c>
    </row>
    <row r="25" spans="1:11">
      <c r="A25" t="s">
        <v>8588</v>
      </c>
      <c r="B25" t="s">
        <v>8397</v>
      </c>
      <c r="C25" t="s">
        <v>8393</v>
      </c>
      <c r="D25" t="s">
        <v>8393</v>
      </c>
      <c r="E25" t="s">
        <v>8393</v>
      </c>
      <c r="F25" t="s">
        <v>8589</v>
      </c>
      <c r="G25">
        <v>5</v>
      </c>
      <c r="H25">
        <v>4</v>
      </c>
      <c r="J25" t="s">
        <v>8393</v>
      </c>
      <c r="K25" t="s">
        <v>8590</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5474</v>
      </c>
      <c r="B1" t="s">
        <v>8591</v>
      </c>
      <c r="C1" t="s">
        <v>8592</v>
      </c>
      <c r="D1" t="s">
        <v>8593</v>
      </c>
      <c r="E1" t="s">
        <v>8594</v>
      </c>
      <c r="F1" t="s">
        <v>8595</v>
      </c>
      <c r="G1" t="s">
        <v>8596</v>
      </c>
      <c r="H1" t="s">
        <v>8597</v>
      </c>
      <c r="I1" t="s">
        <v>8598</v>
      </c>
      <c r="J1" t="s">
        <v>7225</v>
      </c>
    </row>
    <row r="2" spans="1:10">
      <c r="A2" t="s">
        <v>8599</v>
      </c>
      <c r="B2">
        <v>1</v>
      </c>
      <c r="C2" t="s">
        <v>8600</v>
      </c>
      <c r="D2">
        <v>12</v>
      </c>
      <c r="E2">
        <v>6</v>
      </c>
      <c r="F2">
        <v>0</v>
      </c>
      <c r="G2">
        <v>-6</v>
      </c>
      <c r="H2">
        <v>-12</v>
      </c>
      <c r="J2" t="s">
        <v>8601</v>
      </c>
    </row>
    <row r="3" spans="1:10">
      <c r="A3" t="s">
        <v>8602</v>
      </c>
      <c r="B3">
        <v>2</v>
      </c>
      <c r="C3" t="s">
        <v>8603</v>
      </c>
      <c r="D3">
        <v>12</v>
      </c>
      <c r="E3">
        <v>6</v>
      </c>
      <c r="F3">
        <v>1</v>
      </c>
      <c r="G3">
        <v>-5</v>
      </c>
      <c r="H3">
        <v>-10</v>
      </c>
      <c r="I3">
        <v>-15</v>
      </c>
      <c r="J3" t="s">
        <v>8604</v>
      </c>
    </row>
    <row r="4" spans="1:10">
      <c r="A4" t="s">
        <v>8605</v>
      </c>
      <c r="B4">
        <v>1</v>
      </c>
      <c r="C4" t="s">
        <v>8606</v>
      </c>
      <c r="D4">
        <v>12</v>
      </c>
      <c r="E4">
        <v>5</v>
      </c>
      <c r="F4">
        <v>-2</v>
      </c>
      <c r="G4">
        <v>-8</v>
      </c>
      <c r="H4">
        <v>-14</v>
      </c>
      <c r="J4" t="s">
        <v>8607</v>
      </c>
    </row>
    <row r="5" spans="1:10">
      <c r="A5" t="s">
        <v>8608</v>
      </c>
      <c r="B5">
        <v>1</v>
      </c>
      <c r="C5" t="s">
        <v>8609</v>
      </c>
      <c r="D5">
        <v>12</v>
      </c>
      <c r="E5">
        <v>6</v>
      </c>
      <c r="F5">
        <v>0</v>
      </c>
      <c r="G5">
        <v>-5</v>
      </c>
      <c r="H5">
        <v>-10</v>
      </c>
      <c r="J5" t="s">
        <v>8610</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8611</v>
      </c>
      <c r="B1" t="s">
        <v>8612</v>
      </c>
      <c r="C1" t="s">
        <v>7350</v>
      </c>
      <c r="D1" t="s">
        <v>8613</v>
      </c>
      <c r="E1" t="s">
        <v>7225</v>
      </c>
    </row>
    <row r="2" spans="1:5">
      <c r="A2" t="s">
        <v>8614</v>
      </c>
      <c r="B2" t="s">
        <v>8615</v>
      </c>
      <c r="C2" t="s">
        <v>8616</v>
      </c>
      <c r="D2" t="s">
        <v>8617</v>
      </c>
      <c r="E2" t="s">
        <v>8420</v>
      </c>
    </row>
    <row r="3" spans="1:5">
      <c r="A3" t="s">
        <v>8618</v>
      </c>
      <c r="B3" t="s">
        <v>8619</v>
      </c>
      <c r="C3" t="s">
        <v>8393</v>
      </c>
      <c r="E3" t="s">
        <v>8557</v>
      </c>
    </row>
    <row r="4" spans="1:5">
      <c r="A4" t="s">
        <v>8620</v>
      </c>
      <c r="B4" t="s">
        <v>8621</v>
      </c>
      <c r="C4" t="s">
        <v>8393</v>
      </c>
      <c r="D4" t="s">
        <v>8622</v>
      </c>
      <c r="E4" t="s">
        <v>8553</v>
      </c>
    </row>
    <row r="5" spans="1:5">
      <c r="A5" t="s">
        <v>8054</v>
      </c>
      <c r="B5" t="s">
        <v>8623</v>
      </c>
      <c r="C5" t="s">
        <v>8624</v>
      </c>
      <c r="E5" t="s">
        <v>8625</v>
      </c>
    </row>
    <row r="6" spans="1:5">
      <c r="A6" t="s">
        <v>8626</v>
      </c>
      <c r="B6" t="s">
        <v>8627</v>
      </c>
      <c r="C6" t="s">
        <v>8628</v>
      </c>
      <c r="E6" t="s">
        <v>8423</v>
      </c>
    </row>
    <row r="7" spans="1:5">
      <c r="A7" t="s">
        <v>8629</v>
      </c>
      <c r="B7" t="s">
        <v>8630</v>
      </c>
      <c r="C7" t="s">
        <v>3883</v>
      </c>
      <c r="D7" t="s">
        <v>8631</v>
      </c>
      <c r="E7" t="s">
        <v>8632</v>
      </c>
    </row>
    <row r="8" spans="1:5">
      <c r="A8" t="s">
        <v>1988</v>
      </c>
      <c r="B8" t="s">
        <v>8633</v>
      </c>
      <c r="C8" t="s">
        <v>8634</v>
      </c>
      <c r="D8" t="s">
        <v>8635</v>
      </c>
      <c r="E8" t="s">
        <v>8435</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7225</v>
      </c>
    </row>
    <row r="2" spans="1:2">
      <c r="A2">
        <v>1</v>
      </c>
      <c r="B2" t="s">
        <v>8636</v>
      </c>
    </row>
    <row r="3" spans="1:2">
      <c r="A3">
        <v>2</v>
      </c>
      <c r="B3" t="s">
        <v>8637</v>
      </c>
    </row>
    <row r="4" spans="1:2">
      <c r="A4">
        <v>3</v>
      </c>
      <c r="B4" t="s">
        <v>8638</v>
      </c>
    </row>
    <row r="5" spans="1:2">
      <c r="A5">
        <v>4</v>
      </c>
      <c r="B5" t="s">
        <v>8639</v>
      </c>
    </row>
    <row r="6" spans="1:2">
      <c r="A6">
        <v>5</v>
      </c>
      <c r="B6" t="s">
        <v>8640</v>
      </c>
    </row>
    <row r="7" spans="1:2">
      <c r="A7">
        <v>6</v>
      </c>
      <c r="B7" t="s">
        <v>8641</v>
      </c>
    </row>
    <row r="8" spans="1:2">
      <c r="A8">
        <v>7</v>
      </c>
      <c r="B8" t="s">
        <v>8642</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5474</v>
      </c>
      <c r="B1" t="s">
        <v>5455</v>
      </c>
      <c r="C1" t="s">
        <v>8643</v>
      </c>
      <c r="D1" t="s">
        <v>7907</v>
      </c>
      <c r="E1" t="s">
        <v>8644</v>
      </c>
      <c r="F1" t="s">
        <v>8645</v>
      </c>
      <c r="G1" t="s">
        <v>8646</v>
      </c>
      <c r="H1" t="s">
        <v>8647</v>
      </c>
      <c r="I1" t="s">
        <v>8648</v>
      </c>
      <c r="J1" t="s">
        <v>7350</v>
      </c>
      <c r="K1" t="s">
        <v>8369</v>
      </c>
      <c r="L1" t="s">
        <v>8379</v>
      </c>
      <c r="M1" t="s">
        <v>8315</v>
      </c>
      <c r="N1" t="s">
        <v>8600</v>
      </c>
      <c r="O1" t="s">
        <v>8649</v>
      </c>
      <c r="P1" t="s">
        <v>8650</v>
      </c>
      <c r="Q1" t="s">
        <v>5479</v>
      </c>
      <c r="R1" t="s">
        <v>8651</v>
      </c>
      <c r="S1" t="s">
        <v>8652</v>
      </c>
      <c r="T1" t="s">
        <v>8653</v>
      </c>
      <c r="U1" t="s">
        <v>8654</v>
      </c>
      <c r="V1" t="s">
        <v>7225</v>
      </c>
      <c r="W1" t="s">
        <v>8655</v>
      </c>
      <c r="X1" t="s">
        <v>8656</v>
      </c>
      <c r="Y1" s="28" t="s">
        <v>7344</v>
      </c>
      <c r="Z1" s="28" t="s">
        <v>5553</v>
      </c>
      <c r="AA1" t="s">
        <v>7345</v>
      </c>
      <c r="AB1" t="s">
        <v>7346</v>
      </c>
      <c r="AC1" t="s">
        <v>7347</v>
      </c>
      <c r="AD1" t="s">
        <v>7348</v>
      </c>
      <c r="AE1" t="s">
        <v>7349</v>
      </c>
      <c r="AF1" t="s">
        <v>7351</v>
      </c>
      <c r="AG1" t="s">
        <v>7352</v>
      </c>
      <c r="AH1" t="s">
        <v>7353</v>
      </c>
      <c r="AI1" t="s">
        <v>7354</v>
      </c>
      <c r="AJ1" t="s">
        <v>7358</v>
      </c>
      <c r="AK1" t="s">
        <v>7359</v>
      </c>
    </row>
    <row r="2" spans="1:37">
      <c r="A2" t="s">
        <v>8301</v>
      </c>
      <c r="B2" t="s">
        <v>8302</v>
      </c>
      <c r="D2" t="s">
        <v>5524</v>
      </c>
      <c r="F2">
        <v>7</v>
      </c>
      <c r="G2" t="s">
        <v>8303</v>
      </c>
      <c r="J2">
        <v>0</v>
      </c>
      <c r="K2" t="s">
        <v>8419</v>
      </c>
      <c r="L2" t="s">
        <v>8393</v>
      </c>
      <c r="M2" t="s">
        <v>8543</v>
      </c>
      <c r="N2" t="s">
        <v>7426</v>
      </c>
      <c r="O2" t="s">
        <v>7426</v>
      </c>
      <c r="P2" t="s">
        <v>7426</v>
      </c>
      <c r="Q2" t="s">
        <v>8305</v>
      </c>
      <c r="R2">
        <v>6</v>
      </c>
      <c r="S2">
        <v>9</v>
      </c>
      <c r="V2" t="s">
        <v>8469</v>
      </c>
      <c r="Y2" s="28" t="s">
        <v>1420</v>
      </c>
      <c r="Z2" s="28" t="s">
        <v>8657</v>
      </c>
      <c r="AA2" s="56">
        <v>3</v>
      </c>
      <c r="AB2" s="56" t="s">
        <v>5497</v>
      </c>
      <c r="AC2" s="56" t="s">
        <v>5486</v>
      </c>
      <c r="AD2" s="56">
        <v>3</v>
      </c>
      <c r="AE2" s="56">
        <v>5</v>
      </c>
      <c r="AF2" s="56">
        <v>4</v>
      </c>
      <c r="AG2" s="56">
        <v>4</v>
      </c>
      <c r="AH2" s="56">
        <v>7</v>
      </c>
      <c r="AI2" s="56">
        <v>10</v>
      </c>
      <c r="AJ2" s="56">
        <v>5</v>
      </c>
      <c r="AK2" s="56">
        <v>6</v>
      </c>
    </row>
    <row r="3" spans="1:37">
      <c r="A3" t="s">
        <v>8658</v>
      </c>
      <c r="B3" t="s">
        <v>5580</v>
      </c>
      <c r="D3" t="s">
        <v>5524</v>
      </c>
      <c r="F3">
        <v>5</v>
      </c>
      <c r="G3" t="s">
        <v>8303</v>
      </c>
      <c r="I3" t="s">
        <v>8410</v>
      </c>
      <c r="J3">
        <v>1</v>
      </c>
      <c r="K3" t="s">
        <v>8659</v>
      </c>
      <c r="L3" t="s">
        <v>8413</v>
      </c>
      <c r="M3" t="s">
        <v>8660</v>
      </c>
      <c r="N3" t="s">
        <v>8661</v>
      </c>
      <c r="O3" t="s">
        <v>7426</v>
      </c>
      <c r="P3" t="s">
        <v>7426</v>
      </c>
      <c r="Q3" t="s">
        <v>8305</v>
      </c>
      <c r="R3">
        <v>6</v>
      </c>
      <c r="S3">
        <v>9</v>
      </c>
      <c r="U3">
        <v>1</v>
      </c>
      <c r="V3" t="s">
        <v>8662</v>
      </c>
      <c r="Y3" s="28" t="s">
        <v>1420</v>
      </c>
      <c r="Z3" s="28" t="s">
        <v>8657</v>
      </c>
      <c r="AA3" s="56">
        <v>3</v>
      </c>
      <c r="AB3" s="56" t="s">
        <v>5497</v>
      </c>
      <c r="AC3" s="56" t="s">
        <v>5486</v>
      </c>
      <c r="AD3" s="56">
        <v>3</v>
      </c>
      <c r="AE3" s="56">
        <v>5</v>
      </c>
      <c r="AF3" s="56">
        <v>4</v>
      </c>
      <c r="AG3" s="56">
        <v>4</v>
      </c>
      <c r="AH3" s="56">
        <v>5</v>
      </c>
      <c r="AI3" s="56">
        <v>7</v>
      </c>
      <c r="AJ3" s="56">
        <v>5</v>
      </c>
      <c r="AK3" s="56">
        <v>6</v>
      </c>
    </row>
    <row r="4" spans="1:37">
      <c r="A4" t="s">
        <v>8663</v>
      </c>
      <c r="B4" t="s">
        <v>5580</v>
      </c>
      <c r="D4" t="s">
        <v>5524</v>
      </c>
      <c r="F4">
        <v>7</v>
      </c>
      <c r="G4" t="s">
        <v>8317</v>
      </c>
      <c r="I4" t="s">
        <v>8410</v>
      </c>
      <c r="J4">
        <v>2</v>
      </c>
      <c r="K4" t="s">
        <v>8406</v>
      </c>
      <c r="L4" t="s">
        <v>8413</v>
      </c>
      <c r="M4" t="s">
        <v>8664</v>
      </c>
      <c r="N4" t="s">
        <v>8665</v>
      </c>
      <c r="O4" t="s">
        <v>7426</v>
      </c>
      <c r="P4" t="s">
        <v>7426</v>
      </c>
      <c r="Q4" t="s">
        <v>8312</v>
      </c>
      <c r="R4">
        <v>6</v>
      </c>
      <c r="S4">
        <v>9</v>
      </c>
      <c r="U4">
        <v>1</v>
      </c>
      <c r="V4" t="s">
        <v>8666</v>
      </c>
      <c r="Y4" s="28" t="s">
        <v>1420</v>
      </c>
      <c r="Z4" s="28" t="s">
        <v>8657</v>
      </c>
      <c r="AA4" s="56">
        <v>3</v>
      </c>
      <c r="AB4" s="56" t="s">
        <v>5497</v>
      </c>
      <c r="AC4" s="56" t="s">
        <v>5486</v>
      </c>
      <c r="AD4" s="56">
        <v>3</v>
      </c>
      <c r="AE4" s="56">
        <v>5</v>
      </c>
      <c r="AF4" s="56">
        <v>4</v>
      </c>
      <c r="AG4" s="56">
        <v>4</v>
      </c>
      <c r="AH4" s="56">
        <v>7</v>
      </c>
      <c r="AI4" s="56">
        <v>10</v>
      </c>
      <c r="AJ4" s="56">
        <v>5</v>
      </c>
      <c r="AK4" s="56">
        <v>6</v>
      </c>
    </row>
    <row r="5" spans="1:37">
      <c r="A5" t="s">
        <v>8667</v>
      </c>
      <c r="B5" t="s">
        <v>5580</v>
      </c>
      <c r="D5" t="s">
        <v>5524</v>
      </c>
      <c r="F5">
        <v>10</v>
      </c>
      <c r="G5" t="s">
        <v>8317</v>
      </c>
      <c r="I5" t="s">
        <v>8410</v>
      </c>
      <c r="J5">
        <v>3</v>
      </c>
      <c r="K5" t="s">
        <v>8422</v>
      </c>
      <c r="L5" t="s">
        <v>8413</v>
      </c>
      <c r="M5" t="s">
        <v>8664</v>
      </c>
      <c r="N5" t="s">
        <v>8668</v>
      </c>
      <c r="O5" t="s">
        <v>8669</v>
      </c>
      <c r="P5" t="s">
        <v>7426</v>
      </c>
      <c r="Q5" t="s">
        <v>8315</v>
      </c>
      <c r="R5">
        <v>7</v>
      </c>
      <c r="S5">
        <v>9</v>
      </c>
      <c r="U5">
        <v>1</v>
      </c>
      <c r="V5" t="s">
        <v>8425</v>
      </c>
      <c r="Y5" s="28" t="s">
        <v>1420</v>
      </c>
      <c r="Z5" s="28" t="s">
        <v>8657</v>
      </c>
      <c r="AA5" s="56">
        <v>3</v>
      </c>
      <c r="AB5" s="56" t="s">
        <v>5497</v>
      </c>
      <c r="AC5" s="56" t="s">
        <v>5486</v>
      </c>
      <c r="AD5" s="56">
        <v>3</v>
      </c>
      <c r="AE5" s="56">
        <v>5</v>
      </c>
      <c r="AF5" s="56">
        <v>4</v>
      </c>
      <c r="AG5" s="56">
        <v>4</v>
      </c>
      <c r="AH5" s="56">
        <v>10</v>
      </c>
      <c r="AI5" s="56">
        <v>14</v>
      </c>
      <c r="AJ5" s="56">
        <v>5</v>
      </c>
      <c r="AK5" s="56">
        <v>6</v>
      </c>
    </row>
    <row r="6" spans="1:37">
      <c r="A6" t="s">
        <v>8670</v>
      </c>
      <c r="B6" t="s">
        <v>5580</v>
      </c>
      <c r="D6" t="s">
        <v>5524</v>
      </c>
      <c r="F6">
        <v>7</v>
      </c>
      <c r="G6" t="s">
        <v>8317</v>
      </c>
      <c r="J6">
        <v>1</v>
      </c>
      <c r="K6" t="s">
        <v>8406</v>
      </c>
      <c r="L6" t="s">
        <v>8413</v>
      </c>
      <c r="M6" t="s">
        <v>8664</v>
      </c>
      <c r="N6" t="s">
        <v>8665</v>
      </c>
      <c r="O6" t="s">
        <v>7426</v>
      </c>
      <c r="P6" t="s">
        <v>7426</v>
      </c>
      <c r="Q6" t="s">
        <v>8318</v>
      </c>
      <c r="R6">
        <v>7</v>
      </c>
      <c r="S6">
        <v>9</v>
      </c>
      <c r="U6">
        <v>1</v>
      </c>
      <c r="V6" t="s">
        <v>8671</v>
      </c>
      <c r="Y6" s="28" t="s">
        <v>1420</v>
      </c>
      <c r="Z6" s="28" t="s">
        <v>8657</v>
      </c>
      <c r="AA6" s="56">
        <v>3</v>
      </c>
      <c r="AB6" s="56" t="s">
        <v>5497</v>
      </c>
      <c r="AC6" s="56" t="s">
        <v>5486</v>
      </c>
      <c r="AD6" s="56">
        <v>3</v>
      </c>
      <c r="AE6" s="56">
        <v>5</v>
      </c>
      <c r="AF6" s="56">
        <v>4</v>
      </c>
      <c r="AG6" s="56">
        <v>4</v>
      </c>
      <c r="AH6" s="56">
        <v>7</v>
      </c>
      <c r="AI6" s="56">
        <v>10</v>
      </c>
      <c r="AJ6" s="56">
        <v>5</v>
      </c>
      <c r="AK6" s="56">
        <v>6</v>
      </c>
    </row>
    <row r="7" spans="1:37">
      <c r="A7" t="s">
        <v>8672</v>
      </c>
      <c r="B7" t="s">
        <v>5466</v>
      </c>
      <c r="D7" t="s">
        <v>5524</v>
      </c>
      <c r="F7">
        <v>9</v>
      </c>
      <c r="G7" t="s">
        <v>8317</v>
      </c>
      <c r="I7" t="s">
        <v>8410</v>
      </c>
      <c r="J7">
        <v>2</v>
      </c>
      <c r="K7" t="s">
        <v>8428</v>
      </c>
      <c r="L7" t="s">
        <v>8413</v>
      </c>
      <c r="M7" t="s">
        <v>8664</v>
      </c>
      <c r="N7" t="s">
        <v>8673</v>
      </c>
      <c r="O7" t="s">
        <v>7426</v>
      </c>
      <c r="P7" t="s">
        <v>7426</v>
      </c>
      <c r="Q7" t="s">
        <v>8318</v>
      </c>
      <c r="R7">
        <v>6</v>
      </c>
      <c r="S7">
        <v>9</v>
      </c>
      <c r="U7">
        <v>1</v>
      </c>
      <c r="V7" t="s">
        <v>8417</v>
      </c>
      <c r="Y7" s="28" t="s">
        <v>1420</v>
      </c>
      <c r="Z7" s="28" t="s">
        <v>8657</v>
      </c>
      <c r="AA7" s="56">
        <v>3</v>
      </c>
      <c r="AB7" s="56" t="s">
        <v>5497</v>
      </c>
      <c r="AC7" s="56" t="s">
        <v>5486</v>
      </c>
      <c r="AD7" s="56">
        <v>3</v>
      </c>
      <c r="AE7" s="56">
        <v>5</v>
      </c>
      <c r="AF7" s="56">
        <v>4</v>
      </c>
      <c r="AG7" s="56">
        <v>4</v>
      </c>
      <c r="AH7" s="56">
        <v>9</v>
      </c>
      <c r="AI7" s="56">
        <v>12</v>
      </c>
      <c r="AJ7" s="56">
        <v>5</v>
      </c>
      <c r="AK7" s="56">
        <v>6</v>
      </c>
    </row>
    <row r="8" spans="1:37">
      <c r="A8" t="s">
        <v>8674</v>
      </c>
      <c r="B8" t="s">
        <v>5466</v>
      </c>
      <c r="D8" t="s">
        <v>5524</v>
      </c>
      <c r="F8">
        <v>12</v>
      </c>
      <c r="G8" t="s">
        <v>8317</v>
      </c>
      <c r="I8" t="s">
        <v>8410</v>
      </c>
      <c r="J8">
        <v>3</v>
      </c>
      <c r="K8" t="s">
        <v>8406</v>
      </c>
      <c r="L8" t="s">
        <v>8413</v>
      </c>
      <c r="M8" t="s">
        <v>8664</v>
      </c>
      <c r="N8" t="s">
        <v>8675</v>
      </c>
      <c r="O8" t="s">
        <v>7426</v>
      </c>
      <c r="P8" t="s">
        <v>7426</v>
      </c>
      <c r="Q8" t="s">
        <v>8322</v>
      </c>
      <c r="R8">
        <v>7</v>
      </c>
      <c r="S8">
        <v>9</v>
      </c>
      <c r="U8">
        <v>4</v>
      </c>
      <c r="V8" t="s">
        <v>8557</v>
      </c>
      <c r="Y8" s="28" t="s">
        <v>1420</v>
      </c>
      <c r="Z8" s="28" t="s">
        <v>8657</v>
      </c>
      <c r="AA8" s="56">
        <v>3</v>
      </c>
      <c r="AB8" s="56" t="s">
        <v>5497</v>
      </c>
      <c r="AC8" s="56" t="s">
        <v>5486</v>
      </c>
      <c r="AD8" s="56">
        <v>3</v>
      </c>
      <c r="AE8" s="56">
        <v>5</v>
      </c>
      <c r="AF8" s="56">
        <v>4</v>
      </c>
      <c r="AG8" s="56">
        <v>4</v>
      </c>
      <c r="AH8" s="56">
        <v>12</v>
      </c>
      <c r="AI8" s="56">
        <v>16</v>
      </c>
      <c r="AJ8" s="56">
        <v>5</v>
      </c>
      <c r="AK8" s="56">
        <v>6</v>
      </c>
    </row>
    <row r="9" spans="1:37">
      <c r="A9" t="s">
        <v>8676</v>
      </c>
      <c r="B9" t="s">
        <v>5466</v>
      </c>
      <c r="D9" t="s">
        <v>8324</v>
      </c>
      <c r="F9">
        <v>15</v>
      </c>
      <c r="G9" t="s">
        <v>8485</v>
      </c>
      <c r="I9" t="s">
        <v>8410</v>
      </c>
      <c r="J9">
        <v>3</v>
      </c>
      <c r="K9" t="s">
        <v>8406</v>
      </c>
      <c r="L9" t="s">
        <v>8413</v>
      </c>
      <c r="M9" t="s">
        <v>8546</v>
      </c>
      <c r="N9" t="s">
        <v>8665</v>
      </c>
      <c r="O9" t="s">
        <v>7426</v>
      </c>
      <c r="P9" t="s">
        <v>7426</v>
      </c>
      <c r="Q9" t="s">
        <v>8327</v>
      </c>
      <c r="R9">
        <v>9</v>
      </c>
      <c r="S9">
        <v>9</v>
      </c>
      <c r="U9">
        <v>6</v>
      </c>
      <c r="V9" t="s">
        <v>8469</v>
      </c>
      <c r="Y9" s="28" t="s">
        <v>1420</v>
      </c>
      <c r="Z9" s="28" t="s">
        <v>8657</v>
      </c>
      <c r="AA9" s="56">
        <v>3</v>
      </c>
      <c r="AB9" s="56" t="s">
        <v>5497</v>
      </c>
      <c r="AC9" s="56" t="s">
        <v>5486</v>
      </c>
      <c r="AD9" s="56">
        <v>3</v>
      </c>
      <c r="AE9" s="56">
        <v>5</v>
      </c>
      <c r="AF9" s="56">
        <v>4</v>
      </c>
      <c r="AG9" s="56">
        <v>4</v>
      </c>
      <c r="AH9" s="56">
        <v>15</v>
      </c>
      <c r="AI9" s="56">
        <v>20</v>
      </c>
      <c r="AJ9" s="56">
        <v>5</v>
      </c>
      <c r="AK9" s="56">
        <v>6</v>
      </c>
    </row>
    <row r="10" spans="1:37">
      <c r="A10" t="s">
        <v>8677</v>
      </c>
      <c r="B10" t="s">
        <v>8328</v>
      </c>
      <c r="D10" t="s">
        <v>5524</v>
      </c>
      <c r="F10">
        <v>9</v>
      </c>
      <c r="G10" t="s">
        <v>8303</v>
      </c>
      <c r="I10" t="s">
        <v>8410</v>
      </c>
      <c r="J10">
        <v>2</v>
      </c>
      <c r="K10" t="s">
        <v>8428</v>
      </c>
      <c r="L10" t="s">
        <v>8413</v>
      </c>
      <c r="M10" t="s">
        <v>8678</v>
      </c>
      <c r="N10" t="s">
        <v>8661</v>
      </c>
      <c r="O10" t="s">
        <v>7426</v>
      </c>
      <c r="P10" t="s">
        <v>7426</v>
      </c>
      <c r="Q10" t="s">
        <v>8312</v>
      </c>
      <c r="R10">
        <v>6</v>
      </c>
      <c r="S10">
        <v>9</v>
      </c>
      <c r="U10">
        <v>1</v>
      </c>
      <c r="V10" t="s">
        <v>8666</v>
      </c>
      <c r="Y10" s="28" t="s">
        <v>1420</v>
      </c>
      <c r="Z10" s="28" t="s">
        <v>8657</v>
      </c>
      <c r="AA10" s="56">
        <v>3</v>
      </c>
      <c r="AB10" s="56" t="s">
        <v>5497</v>
      </c>
      <c r="AC10" s="56" t="s">
        <v>5486</v>
      </c>
      <c r="AD10" s="56">
        <v>3</v>
      </c>
      <c r="AE10" s="56">
        <v>5</v>
      </c>
      <c r="AF10" s="56">
        <v>4</v>
      </c>
      <c r="AG10" s="56">
        <v>4</v>
      </c>
      <c r="AH10" s="56">
        <v>9</v>
      </c>
      <c r="AI10" s="56">
        <v>12</v>
      </c>
      <c r="AJ10" s="56">
        <v>5</v>
      </c>
      <c r="AK10" s="56">
        <v>6</v>
      </c>
    </row>
    <row r="11" spans="1:37">
      <c r="A11" t="s">
        <v>8679</v>
      </c>
      <c r="B11" t="s">
        <v>8328</v>
      </c>
      <c r="D11" t="s">
        <v>5524</v>
      </c>
      <c r="F11">
        <v>11</v>
      </c>
      <c r="G11" t="s">
        <v>8317</v>
      </c>
      <c r="I11" t="s">
        <v>8410</v>
      </c>
      <c r="J11">
        <v>2</v>
      </c>
      <c r="K11" t="s">
        <v>8406</v>
      </c>
      <c r="L11" t="s">
        <v>8413</v>
      </c>
      <c r="M11" t="s">
        <v>8664</v>
      </c>
      <c r="N11" t="s">
        <v>8665</v>
      </c>
      <c r="O11" t="s">
        <v>7426</v>
      </c>
      <c r="P11" t="s">
        <v>7426</v>
      </c>
      <c r="Q11" t="s">
        <v>8331</v>
      </c>
      <c r="R11">
        <v>6</v>
      </c>
      <c r="S11">
        <v>9</v>
      </c>
      <c r="U11">
        <v>1</v>
      </c>
      <c r="V11" t="s">
        <v>8680</v>
      </c>
      <c r="Y11" s="28" t="s">
        <v>1420</v>
      </c>
      <c r="Z11" s="28" t="s">
        <v>8657</v>
      </c>
      <c r="AA11" s="56">
        <v>3</v>
      </c>
      <c r="AB11" s="56" t="s">
        <v>5497</v>
      </c>
      <c r="AC11" s="56" t="s">
        <v>5486</v>
      </c>
      <c r="AD11" s="56">
        <v>3</v>
      </c>
      <c r="AE11" s="56">
        <v>5</v>
      </c>
      <c r="AF11" s="56">
        <v>4</v>
      </c>
      <c r="AG11" s="56">
        <v>4</v>
      </c>
      <c r="AH11" s="56">
        <v>11</v>
      </c>
      <c r="AI11" s="56">
        <v>15</v>
      </c>
      <c r="AJ11" s="56">
        <v>5</v>
      </c>
      <c r="AK11" s="56">
        <v>6</v>
      </c>
    </row>
    <row r="12" spans="1:37">
      <c r="A12" t="s">
        <v>8681</v>
      </c>
      <c r="B12" t="s">
        <v>8328</v>
      </c>
      <c r="D12" t="s">
        <v>5524</v>
      </c>
      <c r="F12">
        <v>12</v>
      </c>
      <c r="G12" t="s">
        <v>8317</v>
      </c>
      <c r="I12" t="s">
        <v>8410</v>
      </c>
      <c r="J12">
        <v>3</v>
      </c>
      <c r="K12" t="s">
        <v>8422</v>
      </c>
      <c r="L12" t="s">
        <v>8413</v>
      </c>
      <c r="M12" t="s">
        <v>8664</v>
      </c>
      <c r="N12" t="s">
        <v>8668</v>
      </c>
      <c r="O12" t="s">
        <v>8669</v>
      </c>
      <c r="P12" t="s">
        <v>7426</v>
      </c>
      <c r="Q12" t="s">
        <v>8332</v>
      </c>
      <c r="R12">
        <v>7</v>
      </c>
      <c r="S12">
        <v>9</v>
      </c>
      <c r="U12">
        <v>2</v>
      </c>
      <c r="V12" t="s">
        <v>8682</v>
      </c>
      <c r="Y12" s="28" t="s">
        <v>1420</v>
      </c>
      <c r="Z12" s="28" t="s">
        <v>8657</v>
      </c>
      <c r="AA12" s="56">
        <v>3</v>
      </c>
      <c r="AB12" s="56" t="s">
        <v>5497</v>
      </c>
      <c r="AC12" s="56" t="s">
        <v>5486</v>
      </c>
      <c r="AD12" s="56">
        <v>3</v>
      </c>
      <c r="AE12" s="56">
        <v>5</v>
      </c>
      <c r="AF12" s="56">
        <v>4</v>
      </c>
      <c r="AG12" s="56">
        <v>4</v>
      </c>
      <c r="AH12" s="56">
        <v>12</v>
      </c>
      <c r="AI12" s="56">
        <v>16</v>
      </c>
      <c r="AJ12" s="56">
        <v>5</v>
      </c>
      <c r="AK12" s="56">
        <v>6</v>
      </c>
    </row>
    <row r="13" spans="1:37">
      <c r="A13" t="s">
        <v>8333</v>
      </c>
      <c r="B13" t="s">
        <v>8328</v>
      </c>
      <c r="D13" t="s">
        <v>5524</v>
      </c>
      <c r="F13">
        <v>13</v>
      </c>
      <c r="G13" t="s">
        <v>8317</v>
      </c>
      <c r="I13" t="s">
        <v>8410</v>
      </c>
      <c r="J13">
        <v>3</v>
      </c>
      <c r="K13" t="s">
        <v>8428</v>
      </c>
      <c r="L13" t="s">
        <v>8413</v>
      </c>
      <c r="M13" t="s">
        <v>8664</v>
      </c>
      <c r="N13" t="s">
        <v>8668</v>
      </c>
      <c r="O13" t="s">
        <v>8669</v>
      </c>
      <c r="P13" t="s">
        <v>7426</v>
      </c>
      <c r="Q13" t="s">
        <v>8322</v>
      </c>
      <c r="R13">
        <v>6</v>
      </c>
      <c r="S13">
        <v>9</v>
      </c>
      <c r="U13">
        <v>6</v>
      </c>
      <c r="V13" t="s">
        <v>8429</v>
      </c>
      <c r="Y13" s="28" t="s">
        <v>1420</v>
      </c>
      <c r="Z13" s="28" t="s">
        <v>8657</v>
      </c>
      <c r="AA13" s="56">
        <v>3</v>
      </c>
      <c r="AB13" s="56" t="s">
        <v>5497</v>
      </c>
      <c r="AC13" s="56" t="s">
        <v>5486</v>
      </c>
      <c r="AD13" s="56">
        <v>3</v>
      </c>
      <c r="AE13" s="56">
        <v>5</v>
      </c>
      <c r="AF13" s="56">
        <v>4</v>
      </c>
      <c r="AG13" s="56">
        <v>4</v>
      </c>
      <c r="AH13" s="56">
        <v>13</v>
      </c>
      <c r="AI13" s="56">
        <v>18</v>
      </c>
      <c r="AJ13" s="56">
        <v>5</v>
      </c>
      <c r="AK13" s="56">
        <v>6</v>
      </c>
    </row>
    <row r="14" spans="1:37">
      <c r="A14" t="s">
        <v>8683</v>
      </c>
      <c r="B14" t="s">
        <v>5564</v>
      </c>
      <c r="D14" t="s">
        <v>5524</v>
      </c>
      <c r="F14">
        <v>9</v>
      </c>
      <c r="G14" t="s">
        <v>8303</v>
      </c>
      <c r="I14" t="s">
        <v>8410</v>
      </c>
      <c r="J14">
        <v>2</v>
      </c>
      <c r="K14" t="s">
        <v>8659</v>
      </c>
      <c r="L14" t="s">
        <v>8416</v>
      </c>
      <c r="M14" t="s">
        <v>8684</v>
      </c>
      <c r="N14" t="s">
        <v>8665</v>
      </c>
      <c r="O14" t="s">
        <v>7426</v>
      </c>
      <c r="P14" t="s">
        <v>7426</v>
      </c>
      <c r="Q14" t="s">
        <v>8318</v>
      </c>
      <c r="R14">
        <v>6</v>
      </c>
      <c r="S14">
        <v>9</v>
      </c>
      <c r="U14">
        <v>1</v>
      </c>
      <c r="V14" t="s">
        <v>8601</v>
      </c>
      <c r="Y14" s="28" t="s">
        <v>1420</v>
      </c>
      <c r="Z14" s="28" t="s">
        <v>8657</v>
      </c>
      <c r="AA14" s="56">
        <v>3</v>
      </c>
      <c r="AB14" s="56" t="s">
        <v>5497</v>
      </c>
      <c r="AC14" s="56" t="s">
        <v>5486</v>
      </c>
      <c r="AD14" s="56">
        <v>3</v>
      </c>
      <c r="AE14" s="56">
        <v>5</v>
      </c>
      <c r="AF14" s="56">
        <v>4</v>
      </c>
      <c r="AG14" s="56">
        <v>4</v>
      </c>
      <c r="AH14" s="56">
        <v>9</v>
      </c>
      <c r="AI14" s="56">
        <v>12</v>
      </c>
      <c r="AJ14" s="56">
        <v>5</v>
      </c>
      <c r="AK14" s="56">
        <v>6</v>
      </c>
    </row>
    <row r="15" spans="1:37">
      <c r="A15" t="s">
        <v>8685</v>
      </c>
      <c r="B15" t="s">
        <v>5564</v>
      </c>
      <c r="D15" t="s">
        <v>5524</v>
      </c>
      <c r="F15">
        <v>11</v>
      </c>
      <c r="G15" t="s">
        <v>8317</v>
      </c>
      <c r="I15" t="s">
        <v>8410</v>
      </c>
      <c r="J15">
        <v>2</v>
      </c>
      <c r="K15" t="s">
        <v>8428</v>
      </c>
      <c r="L15" t="s">
        <v>8416</v>
      </c>
      <c r="M15" t="s">
        <v>8664</v>
      </c>
      <c r="N15" t="s">
        <v>8668</v>
      </c>
      <c r="O15" t="s">
        <v>7426</v>
      </c>
      <c r="P15" t="s">
        <v>7426</v>
      </c>
      <c r="Q15" t="s">
        <v>8337</v>
      </c>
      <c r="R15">
        <v>6</v>
      </c>
      <c r="S15">
        <v>9</v>
      </c>
      <c r="U15">
        <v>1</v>
      </c>
      <c r="V15" t="s">
        <v>8686</v>
      </c>
      <c r="Y15" s="28" t="s">
        <v>1420</v>
      </c>
      <c r="Z15" s="28" t="s">
        <v>8657</v>
      </c>
      <c r="AA15" s="56">
        <v>3</v>
      </c>
      <c r="AB15" s="56" t="s">
        <v>5497</v>
      </c>
      <c r="AC15" s="56" t="s">
        <v>5486</v>
      </c>
      <c r="AD15" s="56">
        <v>3</v>
      </c>
      <c r="AE15" s="56">
        <v>5</v>
      </c>
      <c r="AF15" s="56">
        <v>4</v>
      </c>
      <c r="AG15" s="56">
        <v>4</v>
      </c>
      <c r="AH15" s="56">
        <v>11</v>
      </c>
      <c r="AI15" s="56">
        <v>15</v>
      </c>
      <c r="AJ15" s="56">
        <v>5</v>
      </c>
      <c r="AK15" s="56">
        <v>6</v>
      </c>
    </row>
    <row r="16" spans="1:37">
      <c r="A16" t="s">
        <v>8687</v>
      </c>
      <c r="B16" t="s">
        <v>5564</v>
      </c>
      <c r="D16" t="s">
        <v>5524</v>
      </c>
      <c r="F16">
        <v>12</v>
      </c>
      <c r="G16" t="s">
        <v>8317</v>
      </c>
      <c r="I16" t="s">
        <v>8410</v>
      </c>
      <c r="J16">
        <v>2</v>
      </c>
      <c r="K16" t="s">
        <v>8422</v>
      </c>
      <c r="L16" t="s">
        <v>8413</v>
      </c>
      <c r="M16" t="s">
        <v>8688</v>
      </c>
      <c r="N16" t="s">
        <v>8689</v>
      </c>
      <c r="O16" t="s">
        <v>7426</v>
      </c>
      <c r="P16" t="s">
        <v>7426</v>
      </c>
      <c r="Q16" t="s">
        <v>8339</v>
      </c>
      <c r="R16">
        <v>6</v>
      </c>
      <c r="S16">
        <v>9</v>
      </c>
      <c r="U16">
        <v>1</v>
      </c>
      <c r="V16" t="s">
        <v>8690</v>
      </c>
      <c r="Y16" s="28" t="s">
        <v>1420</v>
      </c>
      <c r="Z16" s="28" t="s">
        <v>8657</v>
      </c>
      <c r="AA16" s="56">
        <v>3</v>
      </c>
      <c r="AB16" s="56" t="s">
        <v>5497</v>
      </c>
      <c r="AC16" s="56" t="s">
        <v>5486</v>
      </c>
      <c r="AD16" s="56">
        <v>3</v>
      </c>
      <c r="AE16" s="56">
        <v>5</v>
      </c>
      <c r="AF16" s="56">
        <v>4</v>
      </c>
      <c r="AG16" s="56">
        <v>4</v>
      </c>
      <c r="AH16" s="56">
        <v>12</v>
      </c>
      <c r="AI16" s="56">
        <v>16</v>
      </c>
      <c r="AJ16" s="56">
        <v>5</v>
      </c>
      <c r="AK16" s="56">
        <v>6</v>
      </c>
    </row>
    <row r="17" spans="1:37">
      <c r="A17" t="s">
        <v>8691</v>
      </c>
      <c r="B17" t="s">
        <v>5564</v>
      </c>
      <c r="D17" t="s">
        <v>8341</v>
      </c>
      <c r="F17">
        <v>12</v>
      </c>
      <c r="G17" t="s">
        <v>8317</v>
      </c>
      <c r="I17" t="s">
        <v>8410</v>
      </c>
      <c r="J17">
        <v>2</v>
      </c>
      <c r="K17" t="s">
        <v>8692</v>
      </c>
      <c r="L17" t="s">
        <v>8416</v>
      </c>
      <c r="M17" t="s">
        <v>8684</v>
      </c>
      <c r="N17" t="s">
        <v>8665</v>
      </c>
      <c r="O17" t="s">
        <v>7426</v>
      </c>
      <c r="P17" t="s">
        <v>7426</v>
      </c>
      <c r="Q17" t="s">
        <v>8343</v>
      </c>
      <c r="R17">
        <v>6</v>
      </c>
      <c r="S17">
        <v>9</v>
      </c>
      <c r="U17">
        <v>3</v>
      </c>
      <c r="V17" t="s">
        <v>8638</v>
      </c>
      <c r="Y17" s="28" t="s">
        <v>1420</v>
      </c>
      <c r="Z17" s="28" t="s">
        <v>8657</v>
      </c>
      <c r="AA17" s="56">
        <v>3</v>
      </c>
      <c r="AB17" s="56" t="s">
        <v>5497</v>
      </c>
      <c r="AC17" s="56" t="s">
        <v>5486</v>
      </c>
      <c r="AD17" s="56">
        <v>3</v>
      </c>
      <c r="AE17" s="56">
        <v>5</v>
      </c>
      <c r="AF17" s="56">
        <v>4</v>
      </c>
      <c r="AG17" s="56">
        <v>4</v>
      </c>
      <c r="AH17" s="56">
        <v>12</v>
      </c>
      <c r="AI17" s="56">
        <v>16</v>
      </c>
      <c r="AJ17" s="56">
        <v>5</v>
      </c>
      <c r="AK17" s="56">
        <v>6</v>
      </c>
    </row>
    <row r="18" spans="1:37">
      <c r="A18" t="s">
        <v>8693</v>
      </c>
      <c r="B18" t="s">
        <v>5564</v>
      </c>
      <c r="D18" t="s">
        <v>8341</v>
      </c>
      <c r="F18">
        <v>13</v>
      </c>
      <c r="G18" t="s">
        <v>8485</v>
      </c>
      <c r="I18" t="s">
        <v>8410</v>
      </c>
      <c r="J18">
        <v>2</v>
      </c>
      <c r="K18" t="s">
        <v>8406</v>
      </c>
      <c r="L18" t="s">
        <v>8413</v>
      </c>
      <c r="M18" t="s">
        <v>8688</v>
      </c>
      <c r="N18" t="s">
        <v>8689</v>
      </c>
      <c r="O18" t="s">
        <v>7426</v>
      </c>
      <c r="P18" t="s">
        <v>7426</v>
      </c>
      <c r="Q18" t="s">
        <v>8346</v>
      </c>
      <c r="R18">
        <v>6</v>
      </c>
      <c r="S18">
        <v>9</v>
      </c>
      <c r="U18">
        <v>3</v>
      </c>
      <c r="V18" t="s">
        <v>8694</v>
      </c>
      <c r="Y18" s="28" t="s">
        <v>1420</v>
      </c>
      <c r="Z18" s="28" t="s">
        <v>8657</v>
      </c>
      <c r="AA18" s="56">
        <v>3</v>
      </c>
      <c r="AB18" s="56" t="s">
        <v>5497</v>
      </c>
      <c r="AC18" s="56" t="s">
        <v>5486</v>
      </c>
      <c r="AD18" s="56">
        <v>3</v>
      </c>
      <c r="AE18" s="56">
        <v>5</v>
      </c>
      <c r="AF18" s="56">
        <v>4</v>
      </c>
      <c r="AG18" s="56">
        <v>4</v>
      </c>
      <c r="AH18" s="56">
        <v>13</v>
      </c>
      <c r="AI18" s="56">
        <v>18</v>
      </c>
      <c r="AJ18" s="56">
        <v>5</v>
      </c>
      <c r="AK18" s="56">
        <v>6</v>
      </c>
    </row>
    <row r="19" spans="1:37">
      <c r="A19" t="s">
        <v>8347</v>
      </c>
      <c r="B19" t="s">
        <v>5564</v>
      </c>
      <c r="D19" t="s">
        <v>8348</v>
      </c>
      <c r="F19">
        <v>12</v>
      </c>
      <c r="G19" t="s">
        <v>8485</v>
      </c>
      <c r="I19" t="s">
        <v>8410</v>
      </c>
      <c r="J19">
        <v>3</v>
      </c>
      <c r="K19" t="s">
        <v>8406</v>
      </c>
      <c r="L19" t="s">
        <v>8416</v>
      </c>
      <c r="M19" t="s">
        <v>8688</v>
      </c>
      <c r="N19" t="s">
        <v>8689</v>
      </c>
      <c r="O19" t="s">
        <v>8695</v>
      </c>
      <c r="P19" t="s">
        <v>7426</v>
      </c>
      <c r="Q19" t="s">
        <v>8332</v>
      </c>
      <c r="R19">
        <v>7</v>
      </c>
      <c r="S19">
        <v>9</v>
      </c>
      <c r="U19">
        <v>6</v>
      </c>
      <c r="V19" t="s">
        <v>8696</v>
      </c>
      <c r="Y19" s="28" t="s">
        <v>1420</v>
      </c>
      <c r="Z19" s="28" t="s">
        <v>8657</v>
      </c>
      <c r="AA19" s="56">
        <v>3</v>
      </c>
      <c r="AB19" s="56" t="s">
        <v>5497</v>
      </c>
      <c r="AC19" s="56" t="s">
        <v>5486</v>
      </c>
      <c r="AD19" s="56">
        <v>3</v>
      </c>
      <c r="AE19" s="56">
        <v>5</v>
      </c>
      <c r="AF19" s="56">
        <v>4</v>
      </c>
      <c r="AG19" s="56">
        <v>4</v>
      </c>
      <c r="AH19" s="56">
        <v>12</v>
      </c>
      <c r="AI19" s="56">
        <v>16</v>
      </c>
      <c r="AJ19" s="56">
        <v>5</v>
      </c>
      <c r="AK19" s="56">
        <v>6</v>
      </c>
    </row>
    <row r="20" spans="1:37">
      <c r="A20" t="s">
        <v>8697</v>
      </c>
      <c r="B20" t="s">
        <v>5619</v>
      </c>
      <c r="D20" t="s">
        <v>5524</v>
      </c>
      <c r="F20">
        <v>12</v>
      </c>
      <c r="G20" t="s">
        <v>8317</v>
      </c>
      <c r="I20" t="s">
        <v>8410</v>
      </c>
      <c r="J20">
        <v>2</v>
      </c>
      <c r="K20" t="s">
        <v>8406</v>
      </c>
      <c r="L20" t="s">
        <v>8410</v>
      </c>
      <c r="M20" t="s">
        <v>8698</v>
      </c>
      <c r="N20" t="s">
        <v>8699</v>
      </c>
      <c r="O20" t="s">
        <v>7426</v>
      </c>
      <c r="P20" t="s">
        <v>7426</v>
      </c>
      <c r="Q20" t="s">
        <v>8305</v>
      </c>
      <c r="R20">
        <v>7</v>
      </c>
      <c r="S20">
        <v>9</v>
      </c>
      <c r="U20">
        <v>4</v>
      </c>
      <c r="V20" t="s">
        <v>8666</v>
      </c>
      <c r="Y20" s="28" t="s">
        <v>1420</v>
      </c>
      <c r="Z20" s="28" t="s">
        <v>8657</v>
      </c>
      <c r="AA20" s="56">
        <v>3</v>
      </c>
      <c r="AB20" s="56" t="s">
        <v>5497</v>
      </c>
      <c r="AC20" s="56" t="s">
        <v>5486</v>
      </c>
      <c r="AD20" s="56">
        <v>3</v>
      </c>
      <c r="AE20" s="56">
        <v>5</v>
      </c>
      <c r="AF20" s="56">
        <v>4</v>
      </c>
      <c r="AG20" s="56">
        <v>4</v>
      </c>
      <c r="AH20" s="56">
        <v>12</v>
      </c>
      <c r="AI20" s="56">
        <v>16</v>
      </c>
      <c r="AJ20" s="56">
        <v>5</v>
      </c>
      <c r="AK20" s="56">
        <v>6</v>
      </c>
    </row>
    <row r="21" spans="1:37">
      <c r="A21" t="s">
        <v>8700</v>
      </c>
      <c r="B21" t="s">
        <v>5619</v>
      </c>
      <c r="D21" t="s">
        <v>5524</v>
      </c>
      <c r="F21">
        <v>14</v>
      </c>
      <c r="G21" t="s">
        <v>8317</v>
      </c>
      <c r="I21" t="s">
        <v>8413</v>
      </c>
      <c r="J21">
        <v>2</v>
      </c>
      <c r="K21" t="s">
        <v>8422</v>
      </c>
      <c r="L21" t="s">
        <v>8410</v>
      </c>
      <c r="M21" t="s">
        <v>8684</v>
      </c>
      <c r="N21" t="s">
        <v>8673</v>
      </c>
      <c r="O21" t="s">
        <v>7426</v>
      </c>
      <c r="P21" t="s">
        <v>7426</v>
      </c>
      <c r="Q21" t="s">
        <v>8343</v>
      </c>
      <c r="R21">
        <v>7</v>
      </c>
      <c r="S21">
        <v>9</v>
      </c>
      <c r="U21">
        <v>4</v>
      </c>
      <c r="V21" t="s">
        <v>8680</v>
      </c>
      <c r="Y21" s="28" t="s">
        <v>1420</v>
      </c>
      <c r="Z21" s="28" t="s">
        <v>8657</v>
      </c>
      <c r="AA21" s="56">
        <v>3</v>
      </c>
      <c r="AB21" s="56" t="s">
        <v>5497</v>
      </c>
      <c r="AC21" s="56" t="s">
        <v>5486</v>
      </c>
      <c r="AD21" s="56">
        <v>3</v>
      </c>
      <c r="AE21" s="56">
        <v>5</v>
      </c>
      <c r="AF21" s="56">
        <v>4</v>
      </c>
      <c r="AG21" s="56">
        <v>4</v>
      </c>
      <c r="AH21" s="56">
        <v>14</v>
      </c>
      <c r="AI21" s="56">
        <v>19</v>
      </c>
      <c r="AJ21" s="56">
        <v>5</v>
      </c>
      <c r="AK21" s="56">
        <v>6</v>
      </c>
    </row>
    <row r="22" spans="1:37">
      <c r="A22" t="s">
        <v>8701</v>
      </c>
      <c r="B22" t="s">
        <v>5619</v>
      </c>
      <c r="D22" t="s">
        <v>5524</v>
      </c>
      <c r="F22">
        <v>16</v>
      </c>
      <c r="G22" t="s">
        <v>8317</v>
      </c>
      <c r="I22" t="s">
        <v>8413</v>
      </c>
      <c r="J22">
        <v>3</v>
      </c>
      <c r="K22" t="s">
        <v>8419</v>
      </c>
      <c r="L22" t="s">
        <v>8410</v>
      </c>
      <c r="M22" t="s">
        <v>8684</v>
      </c>
      <c r="N22" t="s">
        <v>8675</v>
      </c>
      <c r="O22" t="s">
        <v>8702</v>
      </c>
      <c r="P22" t="s">
        <v>7426</v>
      </c>
      <c r="Q22" t="s">
        <v>8315</v>
      </c>
      <c r="R22">
        <v>8</v>
      </c>
      <c r="S22">
        <v>9</v>
      </c>
      <c r="U22">
        <v>4</v>
      </c>
      <c r="V22" t="s">
        <v>8682</v>
      </c>
      <c r="Y22" s="28" t="s">
        <v>1420</v>
      </c>
      <c r="Z22" s="28" t="s">
        <v>8657</v>
      </c>
      <c r="AA22" s="56">
        <v>3</v>
      </c>
      <c r="AB22" s="56" t="s">
        <v>5497</v>
      </c>
      <c r="AC22" s="56" t="s">
        <v>5486</v>
      </c>
      <c r="AD22" s="56">
        <v>3</v>
      </c>
      <c r="AE22" s="56">
        <v>5</v>
      </c>
      <c r="AF22" s="56">
        <v>4</v>
      </c>
      <c r="AG22" s="56">
        <v>4</v>
      </c>
      <c r="AH22" s="56">
        <v>16</v>
      </c>
      <c r="AI22" s="56">
        <v>22</v>
      </c>
      <c r="AJ22" s="56">
        <v>5</v>
      </c>
      <c r="AK22" s="56">
        <v>6</v>
      </c>
    </row>
    <row r="23" spans="1:37">
      <c r="A23" t="s">
        <v>8354</v>
      </c>
      <c r="B23" t="s">
        <v>5619</v>
      </c>
      <c r="D23" t="s">
        <v>8355</v>
      </c>
      <c r="F23">
        <v>20</v>
      </c>
      <c r="G23" t="s">
        <v>8489</v>
      </c>
      <c r="I23" t="s">
        <v>8410</v>
      </c>
      <c r="J23">
        <v>3</v>
      </c>
      <c r="K23" t="s">
        <v>8406</v>
      </c>
      <c r="L23" t="s">
        <v>8393</v>
      </c>
      <c r="M23" t="s">
        <v>8703</v>
      </c>
      <c r="N23" t="s">
        <v>8669</v>
      </c>
      <c r="O23" t="s">
        <v>7426</v>
      </c>
      <c r="P23" t="s">
        <v>7426</v>
      </c>
      <c r="Q23" t="s">
        <v>8312</v>
      </c>
      <c r="R23">
        <v>9</v>
      </c>
      <c r="S23">
        <v>9</v>
      </c>
      <c r="U23">
        <v>5</v>
      </c>
      <c r="V23" t="s">
        <v>8694</v>
      </c>
      <c r="Y23" s="28" t="s">
        <v>1420</v>
      </c>
      <c r="Z23" s="28" t="s">
        <v>8657</v>
      </c>
      <c r="AA23" s="56">
        <v>3</v>
      </c>
      <c r="AB23" s="56" t="s">
        <v>5497</v>
      </c>
      <c r="AC23" s="56" t="s">
        <v>5486</v>
      </c>
      <c r="AD23" s="56">
        <v>3</v>
      </c>
      <c r="AE23" s="56">
        <v>5</v>
      </c>
      <c r="AF23" s="56">
        <v>4</v>
      </c>
      <c r="AG23" s="56">
        <v>4</v>
      </c>
      <c r="AH23" s="56">
        <v>20</v>
      </c>
      <c r="AI23" s="56">
        <v>27</v>
      </c>
      <c r="AJ23" s="56">
        <v>5</v>
      </c>
      <c r="AK23" s="56">
        <v>6</v>
      </c>
    </row>
    <row r="24" spans="1:37">
      <c r="A24" t="s">
        <v>8704</v>
      </c>
      <c r="B24" t="s">
        <v>5587</v>
      </c>
      <c r="D24" t="s">
        <v>8341</v>
      </c>
      <c r="F24">
        <v>12</v>
      </c>
      <c r="G24" t="s">
        <v>8317</v>
      </c>
      <c r="I24" t="s">
        <v>8410</v>
      </c>
      <c r="J24">
        <v>3</v>
      </c>
      <c r="K24" t="s">
        <v>8692</v>
      </c>
      <c r="L24" t="s">
        <v>8416</v>
      </c>
      <c r="M24" t="s">
        <v>8684</v>
      </c>
      <c r="N24" t="s">
        <v>8665</v>
      </c>
      <c r="O24" t="s">
        <v>7426</v>
      </c>
      <c r="P24" t="s">
        <v>7426</v>
      </c>
      <c r="Q24" t="s">
        <v>8343</v>
      </c>
      <c r="R24">
        <v>6</v>
      </c>
      <c r="S24">
        <v>9</v>
      </c>
      <c r="U24">
        <v>3</v>
      </c>
      <c r="V24" t="s">
        <v>8638</v>
      </c>
      <c r="Y24" s="28" t="s">
        <v>1420</v>
      </c>
      <c r="Z24" s="28" t="s">
        <v>8657</v>
      </c>
      <c r="AA24" s="56">
        <v>3</v>
      </c>
      <c r="AB24" s="56" t="s">
        <v>5497</v>
      </c>
      <c r="AC24" s="56" t="s">
        <v>5486</v>
      </c>
      <c r="AD24" s="56">
        <v>3</v>
      </c>
      <c r="AE24" s="56">
        <v>5</v>
      </c>
      <c r="AF24" s="56">
        <v>4</v>
      </c>
      <c r="AG24" s="56">
        <v>4</v>
      </c>
      <c r="AH24" s="56">
        <v>12</v>
      </c>
      <c r="AI24" s="56">
        <v>16</v>
      </c>
      <c r="AJ24" s="56">
        <v>5</v>
      </c>
      <c r="AK24" s="56">
        <v>6</v>
      </c>
    </row>
    <row r="25" spans="1:37">
      <c r="A25" t="s">
        <v>8705</v>
      </c>
      <c r="B25" t="s">
        <v>5587</v>
      </c>
      <c r="D25" t="s">
        <v>8341</v>
      </c>
      <c r="F25">
        <v>13</v>
      </c>
      <c r="G25" t="s">
        <v>8485</v>
      </c>
      <c r="I25" t="s">
        <v>8410</v>
      </c>
      <c r="J25">
        <v>4</v>
      </c>
      <c r="K25" t="s">
        <v>8406</v>
      </c>
      <c r="L25" t="s">
        <v>8413</v>
      </c>
      <c r="M25" t="s">
        <v>8688</v>
      </c>
      <c r="N25" t="s">
        <v>8689</v>
      </c>
      <c r="O25" t="s">
        <v>7426</v>
      </c>
      <c r="P25" t="s">
        <v>7426</v>
      </c>
      <c r="Q25" t="s">
        <v>8346</v>
      </c>
      <c r="R25">
        <v>6</v>
      </c>
      <c r="S25">
        <v>9</v>
      </c>
      <c r="U25">
        <v>3</v>
      </c>
      <c r="V25" t="s">
        <v>8694</v>
      </c>
      <c r="Y25" s="28" t="s">
        <v>1420</v>
      </c>
      <c r="Z25" s="28" t="s">
        <v>8657</v>
      </c>
      <c r="AA25" s="56">
        <v>3</v>
      </c>
      <c r="AB25" s="56" t="s">
        <v>5497</v>
      </c>
      <c r="AC25" s="56" t="s">
        <v>5486</v>
      </c>
      <c r="AD25" s="56">
        <v>3</v>
      </c>
      <c r="AE25" s="56">
        <v>5</v>
      </c>
      <c r="AF25" s="56">
        <v>4</v>
      </c>
      <c r="AG25" s="56">
        <v>4</v>
      </c>
      <c r="AH25" s="56">
        <v>13</v>
      </c>
      <c r="AI25" s="56">
        <v>18</v>
      </c>
      <c r="AJ25" s="56">
        <v>5</v>
      </c>
      <c r="AK25" s="56">
        <v>6</v>
      </c>
    </row>
    <row r="26" spans="1:37">
      <c r="A26" t="s">
        <v>8706</v>
      </c>
      <c r="B26" t="s">
        <v>5587</v>
      </c>
      <c r="D26" t="s">
        <v>8359</v>
      </c>
      <c r="F26">
        <v>13</v>
      </c>
      <c r="G26" t="s">
        <v>8485</v>
      </c>
      <c r="I26" t="s">
        <v>8410</v>
      </c>
      <c r="J26">
        <v>5</v>
      </c>
      <c r="K26" t="s">
        <v>8406</v>
      </c>
      <c r="L26" t="s">
        <v>8413</v>
      </c>
      <c r="M26" t="s">
        <v>8688</v>
      </c>
      <c r="N26" t="s">
        <v>8689</v>
      </c>
      <c r="O26" t="s">
        <v>8661</v>
      </c>
      <c r="P26" t="s">
        <v>7426</v>
      </c>
      <c r="Q26" t="s">
        <v>8322</v>
      </c>
      <c r="R26">
        <v>5</v>
      </c>
      <c r="S26">
        <v>10</v>
      </c>
      <c r="U26">
        <v>5</v>
      </c>
      <c r="V26" t="s">
        <v>8565</v>
      </c>
      <c r="Y26" s="28" t="s">
        <v>1420</v>
      </c>
      <c r="Z26" s="28" t="s">
        <v>8657</v>
      </c>
      <c r="AA26" s="56">
        <v>3</v>
      </c>
      <c r="AB26" s="56" t="s">
        <v>5497</v>
      </c>
      <c r="AC26" s="56" t="s">
        <v>5486</v>
      </c>
      <c r="AD26" s="56">
        <v>3</v>
      </c>
      <c r="AE26" s="56">
        <v>5</v>
      </c>
      <c r="AF26" s="56">
        <v>4</v>
      </c>
      <c r="AG26" s="56">
        <v>4</v>
      </c>
      <c r="AH26" s="56">
        <v>13</v>
      </c>
      <c r="AI26" s="56">
        <v>18</v>
      </c>
      <c r="AJ26" s="56">
        <v>5</v>
      </c>
      <c r="AK26" s="56">
        <v>6</v>
      </c>
    </row>
    <row r="27" spans="1:37">
      <c r="A27" t="s">
        <v>8707</v>
      </c>
      <c r="B27" t="s">
        <v>7598</v>
      </c>
      <c r="D27" t="s">
        <v>5524</v>
      </c>
      <c r="F27">
        <v>11</v>
      </c>
      <c r="G27" t="s">
        <v>8303</v>
      </c>
      <c r="I27" t="s">
        <v>8410</v>
      </c>
      <c r="J27">
        <v>2</v>
      </c>
      <c r="K27" t="s">
        <v>8428</v>
      </c>
      <c r="L27" t="s">
        <v>8413</v>
      </c>
      <c r="M27" t="s">
        <v>8678</v>
      </c>
      <c r="N27" t="s">
        <v>8661</v>
      </c>
      <c r="O27" t="s">
        <v>7426</v>
      </c>
      <c r="P27" t="s">
        <v>7426</v>
      </c>
      <c r="Q27" t="s">
        <v>8318</v>
      </c>
      <c r="R27">
        <v>6</v>
      </c>
      <c r="S27">
        <v>9</v>
      </c>
      <c r="U27">
        <v>1</v>
      </c>
      <c r="V27" t="s">
        <v>8637</v>
      </c>
      <c r="Y27" s="28" t="s">
        <v>1420</v>
      </c>
      <c r="Z27" s="28" t="s">
        <v>8657</v>
      </c>
      <c r="AA27" s="56">
        <v>3</v>
      </c>
      <c r="AB27" s="56" t="s">
        <v>5497</v>
      </c>
      <c r="AC27" s="56" t="s">
        <v>5486</v>
      </c>
      <c r="AD27" s="56">
        <v>3</v>
      </c>
      <c r="AE27" s="56">
        <v>5</v>
      </c>
      <c r="AF27" s="56">
        <v>4</v>
      </c>
      <c r="AG27" s="56">
        <v>4</v>
      </c>
      <c r="AH27" s="56">
        <v>11</v>
      </c>
      <c r="AI27" s="56">
        <v>15</v>
      </c>
      <c r="AJ27" s="56">
        <v>5</v>
      </c>
      <c r="AK27" s="56">
        <v>6</v>
      </c>
    </row>
    <row r="28" spans="1:37">
      <c r="A28" t="s">
        <v>8708</v>
      </c>
      <c r="B28" t="s">
        <v>7598</v>
      </c>
      <c r="D28" t="s">
        <v>5524</v>
      </c>
      <c r="F28">
        <v>13</v>
      </c>
      <c r="G28" t="s">
        <v>8317</v>
      </c>
      <c r="I28" t="s">
        <v>8410</v>
      </c>
      <c r="J28">
        <v>2</v>
      </c>
      <c r="K28" t="s">
        <v>8406</v>
      </c>
      <c r="L28" t="s">
        <v>8413</v>
      </c>
      <c r="M28" t="s">
        <v>8664</v>
      </c>
      <c r="N28" t="s">
        <v>8665</v>
      </c>
      <c r="O28" t="s">
        <v>7426</v>
      </c>
      <c r="P28" t="s">
        <v>7426</v>
      </c>
      <c r="Q28" t="s">
        <v>8361</v>
      </c>
      <c r="R28">
        <v>6</v>
      </c>
      <c r="S28">
        <v>9</v>
      </c>
      <c r="U28">
        <v>1</v>
      </c>
      <c r="V28" t="s">
        <v>8709</v>
      </c>
      <c r="Y28" s="28" t="s">
        <v>1420</v>
      </c>
      <c r="Z28" s="28" t="s">
        <v>8657</v>
      </c>
      <c r="AA28" s="56">
        <v>3</v>
      </c>
      <c r="AB28" s="56" t="s">
        <v>5497</v>
      </c>
      <c r="AC28" s="56" t="s">
        <v>5486</v>
      </c>
      <c r="AD28" s="56">
        <v>3</v>
      </c>
      <c r="AE28" s="56">
        <v>5</v>
      </c>
      <c r="AF28" s="56">
        <v>4</v>
      </c>
      <c r="AG28" s="56">
        <v>4</v>
      </c>
      <c r="AH28" s="56">
        <v>13</v>
      </c>
      <c r="AI28" s="56">
        <v>18</v>
      </c>
      <c r="AJ28" s="56">
        <v>5</v>
      </c>
      <c r="AK28" s="56">
        <v>6</v>
      </c>
    </row>
    <row r="29" spans="1:37">
      <c r="A29" t="s">
        <v>8710</v>
      </c>
      <c r="B29" t="s">
        <v>7598</v>
      </c>
      <c r="D29" t="s">
        <v>5524</v>
      </c>
      <c r="F29">
        <v>15</v>
      </c>
      <c r="G29" t="s">
        <v>8317</v>
      </c>
      <c r="I29" t="s">
        <v>8410</v>
      </c>
      <c r="J29">
        <v>3</v>
      </c>
      <c r="K29" t="s">
        <v>8422</v>
      </c>
      <c r="L29" t="s">
        <v>8413</v>
      </c>
      <c r="M29" t="s">
        <v>8664</v>
      </c>
      <c r="N29" t="s">
        <v>8668</v>
      </c>
      <c r="O29" t="s">
        <v>8669</v>
      </c>
      <c r="P29" t="s">
        <v>7426</v>
      </c>
      <c r="Q29" t="s">
        <v>8362</v>
      </c>
      <c r="R29">
        <v>7</v>
      </c>
      <c r="S29">
        <v>9</v>
      </c>
      <c r="U29">
        <v>2</v>
      </c>
      <c r="V29" t="s">
        <v>8711</v>
      </c>
      <c r="Y29" s="28" t="s">
        <v>1420</v>
      </c>
      <c r="Z29" s="28" t="s">
        <v>8657</v>
      </c>
      <c r="AA29" s="56">
        <v>3</v>
      </c>
      <c r="AB29" s="56" t="s">
        <v>5497</v>
      </c>
      <c r="AC29" s="56" t="s">
        <v>5486</v>
      </c>
      <c r="AD29" s="56">
        <v>3</v>
      </c>
      <c r="AE29" s="56">
        <v>5</v>
      </c>
      <c r="AF29" s="56">
        <v>4</v>
      </c>
      <c r="AG29" s="56">
        <v>4</v>
      </c>
      <c r="AH29" s="56">
        <v>15</v>
      </c>
      <c r="AI29" s="56">
        <v>20</v>
      </c>
      <c r="AJ29" s="56">
        <v>5</v>
      </c>
      <c r="AK29" s="56">
        <v>6</v>
      </c>
    </row>
    <row r="30" spans="1:37">
      <c r="A30" t="s">
        <v>8712</v>
      </c>
      <c r="B30" t="s">
        <v>7597</v>
      </c>
      <c r="D30" t="s">
        <v>5524</v>
      </c>
      <c r="F30">
        <v>10</v>
      </c>
      <c r="G30" t="s">
        <v>8303</v>
      </c>
      <c r="I30" t="s">
        <v>8413</v>
      </c>
      <c r="J30">
        <v>2</v>
      </c>
      <c r="K30" t="s">
        <v>8428</v>
      </c>
      <c r="L30" t="s">
        <v>8410</v>
      </c>
      <c r="M30" t="s">
        <v>8543</v>
      </c>
      <c r="N30" t="s">
        <v>8695</v>
      </c>
      <c r="O30" t="s">
        <v>7426</v>
      </c>
      <c r="P30" t="s">
        <v>7426</v>
      </c>
      <c r="Q30" t="s">
        <v>8312</v>
      </c>
      <c r="R30">
        <v>6</v>
      </c>
      <c r="S30">
        <v>9</v>
      </c>
      <c r="U30">
        <v>1</v>
      </c>
      <c r="V30" t="s">
        <v>8666</v>
      </c>
      <c r="Y30" s="28" t="s">
        <v>1420</v>
      </c>
      <c r="Z30" s="28" t="s">
        <v>8657</v>
      </c>
      <c r="AA30" s="56">
        <v>3</v>
      </c>
      <c r="AB30" s="56" t="s">
        <v>5497</v>
      </c>
      <c r="AC30" s="56" t="s">
        <v>5486</v>
      </c>
      <c r="AD30" s="56">
        <v>3</v>
      </c>
      <c r="AE30" s="56">
        <v>5</v>
      </c>
      <c r="AF30" s="56">
        <v>4</v>
      </c>
      <c r="AG30" s="56">
        <v>4</v>
      </c>
      <c r="AH30" s="56">
        <v>10</v>
      </c>
      <c r="AI30" s="56">
        <v>14</v>
      </c>
      <c r="AJ30" s="56">
        <v>5</v>
      </c>
      <c r="AK30" s="56">
        <v>6</v>
      </c>
    </row>
    <row r="31" spans="1:37">
      <c r="A31" t="s">
        <v>8713</v>
      </c>
      <c r="B31" t="s">
        <v>7597</v>
      </c>
      <c r="D31" t="s">
        <v>8341</v>
      </c>
      <c r="F31">
        <v>12</v>
      </c>
      <c r="G31" t="s">
        <v>8317</v>
      </c>
      <c r="I31" t="s">
        <v>8410</v>
      </c>
      <c r="J31">
        <v>3</v>
      </c>
      <c r="K31" t="s">
        <v>8692</v>
      </c>
      <c r="L31" t="s">
        <v>8416</v>
      </c>
      <c r="M31" t="s">
        <v>8684</v>
      </c>
      <c r="N31" t="s">
        <v>8665</v>
      </c>
      <c r="O31" t="s">
        <v>7426</v>
      </c>
      <c r="P31" t="s">
        <v>7426</v>
      </c>
      <c r="Q31" t="s">
        <v>8343</v>
      </c>
      <c r="R31">
        <v>6</v>
      </c>
      <c r="S31">
        <v>9</v>
      </c>
      <c r="U31">
        <v>3</v>
      </c>
      <c r="V31" t="s">
        <v>8638</v>
      </c>
      <c r="Y31" s="28" t="s">
        <v>1420</v>
      </c>
      <c r="Z31" s="28" t="s">
        <v>8657</v>
      </c>
      <c r="AA31" s="56">
        <v>3</v>
      </c>
      <c r="AB31" s="56" t="s">
        <v>5497</v>
      </c>
      <c r="AC31" s="56" t="s">
        <v>5486</v>
      </c>
      <c r="AD31" s="56">
        <v>3</v>
      </c>
      <c r="AE31" s="56">
        <v>5</v>
      </c>
      <c r="AF31" s="56">
        <v>4</v>
      </c>
      <c r="AG31" s="56">
        <v>4</v>
      </c>
      <c r="AH31" s="56">
        <v>12</v>
      </c>
      <c r="AI31" s="56">
        <v>16</v>
      </c>
      <c r="AJ31" s="56">
        <v>5</v>
      </c>
      <c r="AK31" s="56">
        <v>6</v>
      </c>
    </row>
    <row r="32" spans="1:37">
      <c r="A32" t="s">
        <v>8365</v>
      </c>
      <c r="B32" t="s">
        <v>5612</v>
      </c>
      <c r="D32" t="s">
        <v>8366</v>
      </c>
      <c r="F32">
        <v>33</v>
      </c>
      <c r="G32" t="s">
        <v>8714</v>
      </c>
      <c r="I32" t="s">
        <v>8410</v>
      </c>
      <c r="J32">
        <v>0</v>
      </c>
      <c r="K32" t="s">
        <v>8393</v>
      </c>
      <c r="L32" t="s">
        <v>8715</v>
      </c>
      <c r="M32" t="s">
        <v>8661</v>
      </c>
      <c r="N32" t="s">
        <v>7426</v>
      </c>
      <c r="O32" t="s">
        <v>7426</v>
      </c>
      <c r="P32" t="s">
        <v>7426</v>
      </c>
      <c r="Q32" t="s">
        <v>8369</v>
      </c>
      <c r="R32">
        <v>15</v>
      </c>
      <c r="S32">
        <v>10</v>
      </c>
      <c r="V32" t="s">
        <v>8469</v>
      </c>
      <c r="Y32" s="28" t="s">
        <v>1420</v>
      </c>
      <c r="Z32" s="28" t="s">
        <v>8657</v>
      </c>
      <c r="AA32" s="56">
        <v>3</v>
      </c>
      <c r="AB32" s="56" t="s">
        <v>5497</v>
      </c>
      <c r="AC32" s="56" t="s">
        <v>5486</v>
      </c>
      <c r="AD32" s="56">
        <v>3</v>
      </c>
      <c r="AE32" s="56">
        <v>5</v>
      </c>
      <c r="AF32" s="56">
        <v>4</v>
      </c>
      <c r="AG32" s="56">
        <v>4</v>
      </c>
      <c r="AH32" s="56">
        <v>33</v>
      </c>
      <c r="AI32" s="56">
        <v>44</v>
      </c>
      <c r="AJ32" s="56">
        <v>5</v>
      </c>
      <c r="AK32" s="56">
        <v>6</v>
      </c>
    </row>
    <row r="33" spans="1:37">
      <c r="A33" t="s">
        <v>8370</v>
      </c>
      <c r="B33" t="s">
        <v>5612</v>
      </c>
      <c r="D33" t="s">
        <v>8366</v>
      </c>
      <c r="F33">
        <v>28</v>
      </c>
      <c r="G33" t="s">
        <v>8716</v>
      </c>
      <c r="I33" t="s">
        <v>8410</v>
      </c>
      <c r="J33">
        <v>0</v>
      </c>
      <c r="K33" t="s">
        <v>8419</v>
      </c>
      <c r="L33" t="s">
        <v>8393</v>
      </c>
      <c r="M33" t="s">
        <v>8543</v>
      </c>
      <c r="N33" t="s">
        <v>7426</v>
      </c>
      <c r="O33" t="s">
        <v>7426</v>
      </c>
      <c r="P33" t="s">
        <v>7426</v>
      </c>
      <c r="Q33" t="s">
        <v>8318</v>
      </c>
      <c r="R33">
        <v>13</v>
      </c>
      <c r="S33">
        <v>10</v>
      </c>
      <c r="U33">
        <v>5</v>
      </c>
      <c r="V33" t="s">
        <v>8425</v>
      </c>
      <c r="Y33" s="28" t="s">
        <v>1420</v>
      </c>
      <c r="Z33" s="28" t="s">
        <v>8657</v>
      </c>
      <c r="AA33" s="56">
        <v>3</v>
      </c>
      <c r="AB33" s="56" t="s">
        <v>5497</v>
      </c>
      <c r="AC33" s="56" t="s">
        <v>5486</v>
      </c>
      <c r="AD33" s="56">
        <v>3</v>
      </c>
      <c r="AE33" s="56">
        <v>5</v>
      </c>
      <c r="AF33" s="56">
        <v>4</v>
      </c>
      <c r="AG33" s="56">
        <v>4</v>
      </c>
      <c r="AH33" s="56">
        <v>28</v>
      </c>
      <c r="AI33" s="56">
        <v>38</v>
      </c>
      <c r="AJ33" s="56">
        <v>5</v>
      </c>
      <c r="AK33" s="56">
        <v>6</v>
      </c>
    </row>
    <row r="34" spans="1:37">
      <c r="A34" t="s">
        <v>8717</v>
      </c>
      <c r="B34" t="s">
        <v>1174</v>
      </c>
      <c r="D34" t="s">
        <v>8372</v>
      </c>
      <c r="F34">
        <v>10</v>
      </c>
      <c r="G34" t="s">
        <v>8303</v>
      </c>
      <c r="I34" t="s">
        <v>8413</v>
      </c>
      <c r="J34">
        <v>2</v>
      </c>
      <c r="K34" t="s">
        <v>8659</v>
      </c>
      <c r="L34" t="s">
        <v>8416</v>
      </c>
      <c r="M34" t="s">
        <v>8678</v>
      </c>
      <c r="N34" t="s">
        <v>8661</v>
      </c>
      <c r="O34" t="s">
        <v>7426</v>
      </c>
      <c r="P34" t="s">
        <v>7426</v>
      </c>
      <c r="Q34" t="s">
        <v>8305</v>
      </c>
      <c r="R34">
        <v>6</v>
      </c>
      <c r="S34">
        <v>9</v>
      </c>
      <c r="U34">
        <v>1</v>
      </c>
      <c r="V34" t="s">
        <v>8666</v>
      </c>
      <c r="Y34" s="28" t="s">
        <v>1420</v>
      </c>
      <c r="Z34" s="28" t="s">
        <v>8657</v>
      </c>
      <c r="AA34" s="56">
        <v>3</v>
      </c>
      <c r="AB34" s="56" t="s">
        <v>5497</v>
      </c>
      <c r="AC34" s="56" t="s">
        <v>5486</v>
      </c>
      <c r="AD34" s="56">
        <v>3</v>
      </c>
      <c r="AE34" s="56">
        <v>5</v>
      </c>
      <c r="AF34" s="56">
        <v>4</v>
      </c>
      <c r="AG34" s="56">
        <v>4</v>
      </c>
      <c r="AH34" s="56">
        <v>10</v>
      </c>
      <c r="AI34" s="56">
        <v>14</v>
      </c>
      <c r="AJ34" s="56">
        <v>5</v>
      </c>
      <c r="AK34" s="56">
        <v>6</v>
      </c>
    </row>
    <row r="35" spans="1:37">
      <c r="A35" t="s">
        <v>8718</v>
      </c>
      <c r="B35" t="s">
        <v>1174</v>
      </c>
      <c r="D35" t="s">
        <v>8372</v>
      </c>
      <c r="F35">
        <v>12</v>
      </c>
      <c r="G35" t="s">
        <v>8317</v>
      </c>
      <c r="I35" t="s">
        <v>8413</v>
      </c>
      <c r="J35">
        <v>2</v>
      </c>
      <c r="K35" t="s">
        <v>8428</v>
      </c>
      <c r="L35" t="s">
        <v>8416</v>
      </c>
      <c r="M35" t="s">
        <v>8664</v>
      </c>
      <c r="N35" t="s">
        <v>8665</v>
      </c>
      <c r="O35" t="s">
        <v>7426</v>
      </c>
      <c r="P35" t="s">
        <v>7426</v>
      </c>
      <c r="Q35" t="s">
        <v>8343</v>
      </c>
      <c r="R35">
        <v>6</v>
      </c>
      <c r="S35">
        <v>9</v>
      </c>
      <c r="U35">
        <v>4</v>
      </c>
      <c r="V35" t="s">
        <v>8680</v>
      </c>
      <c r="Y35" s="28" t="s">
        <v>1420</v>
      </c>
      <c r="Z35" s="28" t="s">
        <v>8657</v>
      </c>
      <c r="AA35" s="56">
        <v>3</v>
      </c>
      <c r="AB35" s="56" t="s">
        <v>5497</v>
      </c>
      <c r="AC35" s="56" t="s">
        <v>5486</v>
      </c>
      <c r="AD35" s="56">
        <v>3</v>
      </c>
      <c r="AE35" s="56">
        <v>5</v>
      </c>
      <c r="AF35" s="56">
        <v>4</v>
      </c>
      <c r="AG35" s="56">
        <v>4</v>
      </c>
      <c r="AH35" s="56">
        <v>12</v>
      </c>
      <c r="AI35" s="56">
        <v>16</v>
      </c>
      <c r="AJ35" s="56">
        <v>5</v>
      </c>
      <c r="AK35" s="56">
        <v>6</v>
      </c>
    </row>
    <row r="36" spans="1:37">
      <c r="A36" t="s">
        <v>8719</v>
      </c>
      <c r="B36" t="s">
        <v>1174</v>
      </c>
      <c r="D36" t="s">
        <v>8372</v>
      </c>
      <c r="F36">
        <v>13</v>
      </c>
      <c r="G36" t="s">
        <v>8317</v>
      </c>
      <c r="I36" t="s">
        <v>8413</v>
      </c>
      <c r="J36">
        <v>3</v>
      </c>
      <c r="K36" t="s">
        <v>8422</v>
      </c>
      <c r="L36" t="s">
        <v>8413</v>
      </c>
      <c r="M36" t="s">
        <v>8664</v>
      </c>
      <c r="N36" t="s">
        <v>8668</v>
      </c>
      <c r="O36" t="s">
        <v>8669</v>
      </c>
      <c r="P36" t="s">
        <v>7426</v>
      </c>
      <c r="Q36" t="s">
        <v>8315</v>
      </c>
      <c r="R36">
        <v>7</v>
      </c>
      <c r="S36">
        <v>9</v>
      </c>
      <c r="U36">
        <v>5</v>
      </c>
      <c r="V36" t="s">
        <v>8682</v>
      </c>
      <c r="Y36" s="28" t="s">
        <v>1420</v>
      </c>
      <c r="Z36" s="28" t="s">
        <v>8657</v>
      </c>
      <c r="AA36" s="56">
        <v>3</v>
      </c>
      <c r="AB36" s="56" t="s">
        <v>5497</v>
      </c>
      <c r="AC36" s="56" t="s">
        <v>5486</v>
      </c>
      <c r="AD36" s="56">
        <v>3</v>
      </c>
      <c r="AE36" s="56">
        <v>5</v>
      </c>
      <c r="AF36" s="56">
        <v>4</v>
      </c>
      <c r="AG36" s="56">
        <v>4</v>
      </c>
      <c r="AH36" s="56">
        <v>13</v>
      </c>
      <c r="AI36" s="56">
        <v>18</v>
      </c>
      <c r="AJ36" s="56">
        <v>5</v>
      </c>
      <c r="AK36" s="56">
        <v>6</v>
      </c>
    </row>
    <row r="37" spans="1:37">
      <c r="A37" t="s">
        <v>8375</v>
      </c>
      <c r="B37" t="s">
        <v>1174</v>
      </c>
      <c r="D37" t="s">
        <v>8376</v>
      </c>
      <c r="F37">
        <v>13</v>
      </c>
      <c r="G37" t="s">
        <v>8485</v>
      </c>
      <c r="I37" t="s">
        <v>8410</v>
      </c>
      <c r="J37">
        <v>4</v>
      </c>
      <c r="K37" t="s">
        <v>8406</v>
      </c>
      <c r="L37" t="s">
        <v>8413</v>
      </c>
      <c r="M37" t="s">
        <v>8688</v>
      </c>
      <c r="N37" t="s">
        <v>8689</v>
      </c>
      <c r="O37" t="s">
        <v>7426</v>
      </c>
      <c r="P37" t="s">
        <v>7426</v>
      </c>
      <c r="Q37" t="s">
        <v>8346</v>
      </c>
      <c r="R37">
        <v>6</v>
      </c>
      <c r="S37">
        <v>9</v>
      </c>
      <c r="U37">
        <v>5</v>
      </c>
      <c r="V37" t="s">
        <v>8694</v>
      </c>
      <c r="Y37" s="28" t="s">
        <v>1420</v>
      </c>
      <c r="Z37" s="28" t="s">
        <v>8657</v>
      </c>
      <c r="AA37" s="56">
        <v>3</v>
      </c>
      <c r="AB37" s="56" t="s">
        <v>5497</v>
      </c>
      <c r="AC37" s="56" t="s">
        <v>5486</v>
      </c>
      <c r="AD37" s="56">
        <v>3</v>
      </c>
      <c r="AE37" s="56">
        <v>5</v>
      </c>
      <c r="AF37" s="56">
        <v>4</v>
      </c>
      <c r="AG37" s="56">
        <v>4</v>
      </c>
      <c r="AH37" s="56">
        <v>13</v>
      </c>
      <c r="AI37" s="56">
        <v>18</v>
      </c>
      <c r="AJ37" s="56">
        <v>5</v>
      </c>
      <c r="AK37" s="56">
        <v>6</v>
      </c>
    </row>
    <row r="38" spans="1:37">
      <c r="A38" t="s">
        <v>8720</v>
      </c>
      <c r="B38" t="s">
        <v>5606</v>
      </c>
      <c r="D38" t="s">
        <v>5524</v>
      </c>
      <c r="F38">
        <v>4</v>
      </c>
      <c r="G38" t="s">
        <v>8524</v>
      </c>
      <c r="I38" t="s">
        <v>8410</v>
      </c>
      <c r="J38">
        <v>2</v>
      </c>
      <c r="K38" t="s">
        <v>8428</v>
      </c>
      <c r="L38" t="s">
        <v>8413</v>
      </c>
      <c r="M38" t="s">
        <v>8678</v>
      </c>
      <c r="N38" t="s">
        <v>8661</v>
      </c>
      <c r="O38" t="s">
        <v>7426</v>
      </c>
      <c r="P38" t="s">
        <v>7426</v>
      </c>
      <c r="Q38" t="s">
        <v>8369</v>
      </c>
      <c r="R38">
        <v>5</v>
      </c>
      <c r="S38">
        <v>9</v>
      </c>
      <c r="U38">
        <v>1</v>
      </c>
      <c r="V38" t="s">
        <v>8666</v>
      </c>
      <c r="Y38" s="28" t="s">
        <v>1420</v>
      </c>
      <c r="Z38" s="28" t="s">
        <v>8657</v>
      </c>
      <c r="AA38" s="56">
        <v>3</v>
      </c>
      <c r="AB38" s="56" t="s">
        <v>5497</v>
      </c>
      <c r="AC38" s="56" t="s">
        <v>5486</v>
      </c>
      <c r="AD38" s="56">
        <v>3</v>
      </c>
      <c r="AE38" s="56">
        <v>5</v>
      </c>
      <c r="AF38" s="56">
        <v>4</v>
      </c>
      <c r="AG38" s="56">
        <v>4</v>
      </c>
      <c r="AH38" s="56">
        <v>4</v>
      </c>
      <c r="AI38" s="56">
        <v>6</v>
      </c>
      <c r="AJ38" s="56">
        <v>5</v>
      </c>
      <c r="AK38" s="56">
        <v>6</v>
      </c>
    </row>
    <row r="39" spans="1:37">
      <c r="A39" t="s">
        <v>8721</v>
      </c>
      <c r="B39" t="s">
        <v>5606</v>
      </c>
      <c r="D39" t="s">
        <v>5524</v>
      </c>
      <c r="F39">
        <v>6</v>
      </c>
      <c r="G39" t="s">
        <v>8303</v>
      </c>
      <c r="I39" t="s">
        <v>8410</v>
      </c>
      <c r="J39">
        <v>2</v>
      </c>
      <c r="K39" t="s">
        <v>8406</v>
      </c>
      <c r="L39" t="s">
        <v>8413</v>
      </c>
      <c r="M39" t="s">
        <v>8664</v>
      </c>
      <c r="N39" t="s">
        <v>8665</v>
      </c>
      <c r="O39" t="s">
        <v>7426</v>
      </c>
      <c r="P39" t="s">
        <v>7426</v>
      </c>
      <c r="Q39" t="s">
        <v>8378</v>
      </c>
      <c r="R39">
        <v>5</v>
      </c>
      <c r="S39">
        <v>9</v>
      </c>
      <c r="U39">
        <v>1</v>
      </c>
      <c r="V39" t="s">
        <v>8680</v>
      </c>
      <c r="Y39" s="28" t="s">
        <v>1420</v>
      </c>
      <c r="Z39" s="28" t="s">
        <v>8657</v>
      </c>
      <c r="AA39" s="56">
        <v>3</v>
      </c>
      <c r="AB39" s="56" t="s">
        <v>5497</v>
      </c>
      <c r="AC39" s="56" t="s">
        <v>5486</v>
      </c>
      <c r="AD39" s="56">
        <v>3</v>
      </c>
      <c r="AE39" s="56">
        <v>5</v>
      </c>
      <c r="AF39" s="56">
        <v>4</v>
      </c>
      <c r="AG39" s="56">
        <v>4</v>
      </c>
      <c r="AH39" s="56">
        <v>6</v>
      </c>
      <c r="AI39" s="56">
        <v>8</v>
      </c>
      <c r="AJ39" s="56">
        <v>5</v>
      </c>
      <c r="AK39" s="56">
        <v>6</v>
      </c>
    </row>
    <row r="40" spans="1:37">
      <c r="A40" t="s">
        <v>8722</v>
      </c>
      <c r="B40" t="s">
        <v>5606</v>
      </c>
      <c r="D40" t="s">
        <v>5524</v>
      </c>
      <c r="F40">
        <v>7</v>
      </c>
      <c r="G40" t="s">
        <v>8303</v>
      </c>
      <c r="I40" t="s">
        <v>8410</v>
      </c>
      <c r="J40">
        <v>3</v>
      </c>
      <c r="K40" t="s">
        <v>8422</v>
      </c>
      <c r="L40" t="s">
        <v>8413</v>
      </c>
      <c r="M40" t="s">
        <v>8664</v>
      </c>
      <c r="N40" t="s">
        <v>8668</v>
      </c>
      <c r="O40" t="s">
        <v>8669</v>
      </c>
      <c r="P40" t="s">
        <v>7426</v>
      </c>
      <c r="Q40" t="s">
        <v>8379</v>
      </c>
      <c r="R40">
        <v>6</v>
      </c>
      <c r="S40">
        <v>9</v>
      </c>
      <c r="U40">
        <v>1</v>
      </c>
      <c r="V40" t="s">
        <v>8682</v>
      </c>
      <c r="Y40" s="28" t="s">
        <v>1420</v>
      </c>
      <c r="Z40" s="28" t="s">
        <v>8657</v>
      </c>
      <c r="AA40" s="56">
        <v>3</v>
      </c>
      <c r="AB40" s="56" t="s">
        <v>5497</v>
      </c>
      <c r="AC40" s="56" t="s">
        <v>5486</v>
      </c>
      <c r="AD40" s="56">
        <v>3</v>
      </c>
      <c r="AE40" s="56">
        <v>5</v>
      </c>
      <c r="AF40" s="56">
        <v>4</v>
      </c>
      <c r="AG40" s="56">
        <v>4</v>
      </c>
      <c r="AH40" s="56">
        <v>7</v>
      </c>
      <c r="AI40" s="56">
        <v>10</v>
      </c>
      <c r="AJ40" s="56">
        <v>5</v>
      </c>
      <c r="AK40" s="56">
        <v>6</v>
      </c>
    </row>
    <row r="41" spans="1:37">
      <c r="A41" t="s">
        <v>8723</v>
      </c>
      <c r="B41" t="s">
        <v>5606</v>
      </c>
      <c r="D41" t="s">
        <v>8380</v>
      </c>
      <c r="F41">
        <v>10</v>
      </c>
      <c r="G41" t="s">
        <v>8317</v>
      </c>
      <c r="I41" t="s">
        <v>8410</v>
      </c>
      <c r="J41">
        <v>5</v>
      </c>
      <c r="K41" t="s">
        <v>8406</v>
      </c>
      <c r="L41" t="s">
        <v>8413</v>
      </c>
      <c r="M41" t="s">
        <v>8688</v>
      </c>
      <c r="N41" t="s">
        <v>8689</v>
      </c>
      <c r="O41" t="s">
        <v>8661</v>
      </c>
      <c r="P41" t="s">
        <v>7426</v>
      </c>
      <c r="Q41" t="s">
        <v>8318</v>
      </c>
      <c r="R41">
        <v>4</v>
      </c>
      <c r="S41">
        <v>10</v>
      </c>
      <c r="U41">
        <v>5</v>
      </c>
      <c r="V41" t="s">
        <v>8565</v>
      </c>
      <c r="Y41" s="28" t="s">
        <v>1420</v>
      </c>
      <c r="Z41" s="28" t="s">
        <v>8657</v>
      </c>
      <c r="AA41" s="56">
        <v>3</v>
      </c>
      <c r="AB41" s="56" t="s">
        <v>5497</v>
      </c>
      <c r="AC41" s="56" t="s">
        <v>5486</v>
      </c>
      <c r="AD41" s="56">
        <v>3</v>
      </c>
      <c r="AE41" s="56">
        <v>5</v>
      </c>
      <c r="AF41" s="56">
        <v>4</v>
      </c>
      <c r="AG41" s="56">
        <v>4</v>
      </c>
      <c r="AH41" s="56">
        <v>10</v>
      </c>
      <c r="AI41" s="56">
        <v>14</v>
      </c>
      <c r="AJ41" s="56">
        <v>5</v>
      </c>
      <c r="AK41" s="56">
        <v>6</v>
      </c>
    </row>
    <row r="42" spans="1:37">
      <c r="A42" t="s">
        <v>8381</v>
      </c>
      <c r="B42" t="s">
        <v>8382</v>
      </c>
      <c r="D42" t="s">
        <v>8383</v>
      </c>
      <c r="F42">
        <v>21</v>
      </c>
      <c r="G42" t="s">
        <v>8493</v>
      </c>
      <c r="I42" t="s">
        <v>8410</v>
      </c>
      <c r="J42">
        <v>3</v>
      </c>
      <c r="K42" t="s">
        <v>8406</v>
      </c>
      <c r="L42" t="s">
        <v>8410</v>
      </c>
      <c r="M42" t="s">
        <v>8660</v>
      </c>
      <c r="N42" t="s">
        <v>8695</v>
      </c>
      <c r="O42" t="s">
        <v>7426</v>
      </c>
      <c r="P42" t="s">
        <v>7426</v>
      </c>
      <c r="Q42" t="s">
        <v>8318</v>
      </c>
      <c r="R42">
        <v>8</v>
      </c>
      <c r="S42">
        <v>9</v>
      </c>
      <c r="U42" t="s">
        <v>3432</v>
      </c>
      <c r="V42">
        <v>1000000</v>
      </c>
      <c r="Y42" s="28" t="s">
        <v>1420</v>
      </c>
      <c r="Z42" s="28" t="s">
        <v>8657</v>
      </c>
      <c r="AA42" s="56">
        <v>3</v>
      </c>
      <c r="AB42" s="56" t="s">
        <v>5497</v>
      </c>
      <c r="AC42" s="56" t="s">
        <v>5486</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5474</v>
      </c>
      <c r="B1" t="s">
        <v>5455</v>
      </c>
      <c r="C1" t="s">
        <v>8643</v>
      </c>
      <c r="D1" t="s">
        <v>8724</v>
      </c>
      <c r="E1" t="s">
        <v>8725</v>
      </c>
      <c r="F1" t="s">
        <v>8726</v>
      </c>
      <c r="G1" t="s">
        <v>8727</v>
      </c>
      <c r="H1" t="s">
        <v>8728</v>
      </c>
      <c r="I1" t="s">
        <v>8729</v>
      </c>
      <c r="J1" t="s">
        <v>8730</v>
      </c>
      <c r="K1" t="s">
        <v>8731</v>
      </c>
      <c r="L1" t="s">
        <v>8732</v>
      </c>
      <c r="M1" t="s">
        <v>8733</v>
      </c>
      <c r="N1" t="s">
        <v>8734</v>
      </c>
      <c r="O1" t="s">
        <v>8735</v>
      </c>
      <c r="P1" t="s">
        <v>8736</v>
      </c>
      <c r="Q1" t="s">
        <v>8737</v>
      </c>
      <c r="R1" t="s">
        <v>8738</v>
      </c>
      <c r="S1" t="s">
        <v>8644</v>
      </c>
      <c r="T1" t="s">
        <v>8645</v>
      </c>
      <c r="U1" t="s">
        <v>8646</v>
      </c>
      <c r="V1" t="s">
        <v>8647</v>
      </c>
      <c r="W1" t="s">
        <v>8648</v>
      </c>
      <c r="X1" t="s">
        <v>7350</v>
      </c>
      <c r="Y1" t="s">
        <v>8369</v>
      </c>
      <c r="Z1" t="s">
        <v>8379</v>
      </c>
      <c r="AA1" t="s">
        <v>8315</v>
      </c>
      <c r="AB1" t="s">
        <v>8600</v>
      </c>
      <c r="AC1" t="s">
        <v>8649</v>
      </c>
      <c r="AD1" t="s">
        <v>8650</v>
      </c>
      <c r="AE1" t="s">
        <v>5479</v>
      </c>
      <c r="AF1" t="s">
        <v>8651</v>
      </c>
      <c r="AG1" t="s">
        <v>8652</v>
      </c>
      <c r="AH1" t="s">
        <v>8653</v>
      </c>
      <c r="AI1" t="s">
        <v>8654</v>
      </c>
      <c r="AJ1" t="s">
        <v>7225</v>
      </c>
      <c r="AK1" t="s">
        <v>8655</v>
      </c>
      <c r="AL1" t="s">
        <v>7907</v>
      </c>
      <c r="AM1" t="s">
        <v>8656</v>
      </c>
      <c r="AN1" t="s">
        <v>8475</v>
      </c>
      <c r="AO1" t="s">
        <v>7344</v>
      </c>
      <c r="AP1" t="s">
        <v>5553</v>
      </c>
      <c r="AQ1" t="s">
        <v>7345</v>
      </c>
      <c r="AR1" t="s">
        <v>7346</v>
      </c>
      <c r="AS1" t="s">
        <v>7347</v>
      </c>
      <c r="AT1" t="s">
        <v>7348</v>
      </c>
      <c r="AU1" t="s">
        <v>7349</v>
      </c>
      <c r="AV1" t="s">
        <v>7351</v>
      </c>
      <c r="AW1" t="s">
        <v>7352</v>
      </c>
      <c r="AX1" t="s">
        <v>7353</v>
      </c>
      <c r="AY1" t="s">
        <v>7354</v>
      </c>
      <c r="AZ1" t="s">
        <v>7358</v>
      </c>
      <c r="BA1" t="s">
        <v>7359</v>
      </c>
    </row>
    <row r="2" spans="1:53">
      <c r="A2" t="s">
        <v>8476</v>
      </c>
      <c r="B2" t="s">
        <v>8302</v>
      </c>
      <c r="C2" t="s">
        <v>8739</v>
      </c>
      <c r="D2">
        <v>9</v>
      </c>
      <c r="E2">
        <v>13</v>
      </c>
      <c r="F2">
        <v>4</v>
      </c>
      <c r="T2">
        <v>9</v>
      </c>
      <c r="U2" t="s">
        <v>8317</v>
      </c>
      <c r="X2">
        <v>2</v>
      </c>
      <c r="Y2" t="s">
        <v>8659</v>
      </c>
      <c r="Z2" t="s">
        <v>8571</v>
      </c>
      <c r="AA2" t="s">
        <v>8661</v>
      </c>
      <c r="AB2" t="s">
        <v>8740</v>
      </c>
      <c r="AC2" t="s">
        <v>7426</v>
      </c>
      <c r="AD2" t="s">
        <v>7426</v>
      </c>
      <c r="AE2" t="s">
        <v>8479</v>
      </c>
      <c r="AF2" t="s">
        <v>8741</v>
      </c>
      <c r="AG2">
        <v>4</v>
      </c>
      <c r="AJ2" t="s">
        <v>8469</v>
      </c>
      <c r="AO2" s="56" t="s">
        <v>1420</v>
      </c>
      <c r="AP2" s="56" t="s">
        <v>8657</v>
      </c>
      <c r="AQ2" s="56">
        <v>3</v>
      </c>
      <c r="AR2" s="56" t="s">
        <v>5497</v>
      </c>
      <c r="AS2" s="56" t="s">
        <v>5486</v>
      </c>
      <c r="AT2" s="56">
        <v>3</v>
      </c>
      <c r="AU2" s="56">
        <v>5</v>
      </c>
      <c r="AV2" s="56">
        <v>4</v>
      </c>
      <c r="AW2" s="56">
        <v>4</v>
      </c>
      <c r="AX2" s="56">
        <v>9</v>
      </c>
      <c r="AY2" s="56">
        <v>7</v>
      </c>
      <c r="AZ2" s="56">
        <v>5</v>
      </c>
      <c r="BA2" s="56">
        <v>6</v>
      </c>
    </row>
    <row r="3" spans="1:53">
      <c r="A3" t="s">
        <v>8742</v>
      </c>
      <c r="B3" t="s">
        <v>8328</v>
      </c>
      <c r="C3" t="s">
        <v>8739</v>
      </c>
      <c r="D3">
        <v>9</v>
      </c>
      <c r="E3">
        <v>14</v>
      </c>
      <c r="F3">
        <v>4</v>
      </c>
      <c r="G3">
        <v>5</v>
      </c>
      <c r="H3">
        <v>30</v>
      </c>
      <c r="I3">
        <v>2</v>
      </c>
      <c r="J3">
        <v>3</v>
      </c>
      <c r="K3">
        <v>60</v>
      </c>
      <c r="L3">
        <v>1</v>
      </c>
      <c r="T3">
        <v>9</v>
      </c>
      <c r="U3" t="s">
        <v>8317</v>
      </c>
      <c r="X3">
        <v>3</v>
      </c>
      <c r="Y3" t="s">
        <v>8743</v>
      </c>
      <c r="Z3" t="s">
        <v>8452</v>
      </c>
      <c r="AA3" t="s">
        <v>8744</v>
      </c>
      <c r="AB3" t="s">
        <v>8745</v>
      </c>
      <c r="AC3" t="s">
        <v>7426</v>
      </c>
      <c r="AD3" t="s">
        <v>7426</v>
      </c>
      <c r="AE3" t="s">
        <v>8479</v>
      </c>
      <c r="AF3" t="s">
        <v>8746</v>
      </c>
      <c r="AG3">
        <v>4</v>
      </c>
      <c r="AI3">
        <v>4</v>
      </c>
      <c r="AJ3" t="s">
        <v>8425</v>
      </c>
      <c r="AO3" s="56" t="s">
        <v>1420</v>
      </c>
      <c r="AP3" s="56" t="s">
        <v>8657</v>
      </c>
      <c r="AQ3" s="56">
        <v>3</v>
      </c>
      <c r="AR3" s="56" t="s">
        <v>5497</v>
      </c>
      <c r="AS3" s="56" t="s">
        <v>5486</v>
      </c>
      <c r="AT3" s="56">
        <v>3</v>
      </c>
      <c r="AU3" s="56">
        <v>5</v>
      </c>
      <c r="AV3" s="56">
        <v>4</v>
      </c>
      <c r="AW3" s="56">
        <v>4</v>
      </c>
      <c r="AX3">
        <v>5</v>
      </c>
      <c r="AY3" s="56">
        <v>4</v>
      </c>
      <c r="AZ3" s="56">
        <v>5</v>
      </c>
      <c r="BA3" s="56">
        <v>6</v>
      </c>
    </row>
    <row r="4" spans="1:53">
      <c r="A4" t="s">
        <v>8747</v>
      </c>
      <c r="B4" t="s">
        <v>8328</v>
      </c>
      <c r="C4" t="s">
        <v>8739</v>
      </c>
      <c r="D4">
        <v>12</v>
      </c>
      <c r="E4">
        <v>14</v>
      </c>
      <c r="F4">
        <v>4</v>
      </c>
      <c r="G4">
        <v>7</v>
      </c>
      <c r="H4">
        <v>30</v>
      </c>
      <c r="I4">
        <v>2</v>
      </c>
      <c r="J4">
        <v>4</v>
      </c>
      <c r="K4">
        <v>60</v>
      </c>
      <c r="L4">
        <v>1</v>
      </c>
      <c r="T4">
        <v>12</v>
      </c>
      <c r="U4" t="s">
        <v>8485</v>
      </c>
      <c r="X4">
        <v>4</v>
      </c>
      <c r="Y4" t="s">
        <v>8582</v>
      </c>
      <c r="Z4" t="s">
        <v>8413</v>
      </c>
      <c r="AA4" t="s">
        <v>8703</v>
      </c>
      <c r="AB4" t="s">
        <v>8702</v>
      </c>
      <c r="AC4" t="s">
        <v>7426</v>
      </c>
      <c r="AD4" t="s">
        <v>7426</v>
      </c>
      <c r="AE4" t="s">
        <v>8369</v>
      </c>
      <c r="AF4" t="s">
        <v>8746</v>
      </c>
      <c r="AG4">
        <v>4</v>
      </c>
      <c r="AI4">
        <v>2</v>
      </c>
      <c r="AJ4" t="s">
        <v>8748</v>
      </c>
      <c r="AO4" s="56" t="s">
        <v>1420</v>
      </c>
      <c r="AP4" s="56" t="s">
        <v>8657</v>
      </c>
      <c r="AQ4" s="56">
        <v>3</v>
      </c>
      <c r="AR4" s="56" t="s">
        <v>5497</v>
      </c>
      <c r="AS4" s="56" t="s">
        <v>5486</v>
      </c>
      <c r="AT4" s="56">
        <v>3</v>
      </c>
      <c r="AU4" s="56">
        <v>5</v>
      </c>
      <c r="AV4" s="56">
        <v>4</v>
      </c>
      <c r="AW4" s="56">
        <v>4</v>
      </c>
      <c r="AX4">
        <v>7</v>
      </c>
      <c r="AY4" s="56">
        <v>6</v>
      </c>
      <c r="AZ4" s="56">
        <v>5</v>
      </c>
      <c r="BA4" s="56">
        <v>6</v>
      </c>
    </row>
    <row r="5" spans="1:53">
      <c r="A5" t="s">
        <v>8749</v>
      </c>
      <c r="B5" t="s">
        <v>8328</v>
      </c>
      <c r="C5" t="s">
        <v>8739</v>
      </c>
      <c r="D5">
        <v>25</v>
      </c>
      <c r="E5">
        <v>14</v>
      </c>
      <c r="F5">
        <v>4</v>
      </c>
      <c r="G5">
        <v>12</v>
      </c>
      <c r="H5">
        <v>30</v>
      </c>
      <c r="I5">
        <v>2</v>
      </c>
      <c r="J5">
        <v>7</v>
      </c>
      <c r="K5">
        <v>60</v>
      </c>
      <c r="L5">
        <v>1</v>
      </c>
      <c r="T5">
        <v>25</v>
      </c>
      <c r="U5" t="s">
        <v>8489</v>
      </c>
      <c r="X5">
        <v>5</v>
      </c>
      <c r="Y5" t="s">
        <v>8692</v>
      </c>
      <c r="Z5" t="s">
        <v>8406</v>
      </c>
      <c r="AA5" t="s">
        <v>8684</v>
      </c>
      <c r="AB5" t="s">
        <v>8661</v>
      </c>
      <c r="AC5" t="s">
        <v>7426</v>
      </c>
      <c r="AD5" t="s">
        <v>7426</v>
      </c>
      <c r="AE5" t="s">
        <v>8305</v>
      </c>
      <c r="AF5" t="s">
        <v>8746</v>
      </c>
      <c r="AG5">
        <v>4</v>
      </c>
      <c r="AI5">
        <v>3</v>
      </c>
      <c r="AJ5" t="s">
        <v>8638</v>
      </c>
      <c r="AO5" s="56" t="s">
        <v>1420</v>
      </c>
      <c r="AP5" s="56" t="s">
        <v>8657</v>
      </c>
      <c r="AQ5" s="56">
        <v>3</v>
      </c>
      <c r="AR5" s="56" t="s">
        <v>5497</v>
      </c>
      <c r="AS5" s="56" t="s">
        <v>5486</v>
      </c>
      <c r="AT5" s="56">
        <v>3</v>
      </c>
      <c r="AU5" s="56">
        <v>5</v>
      </c>
      <c r="AV5" s="56">
        <v>4</v>
      </c>
      <c r="AW5" s="56">
        <v>4</v>
      </c>
      <c r="AX5">
        <v>12</v>
      </c>
      <c r="AY5" s="56">
        <v>9</v>
      </c>
      <c r="AZ5" s="56">
        <v>5</v>
      </c>
      <c r="BA5" s="56">
        <v>6</v>
      </c>
    </row>
    <row r="6" spans="1:53">
      <c r="A6" t="s">
        <v>8750</v>
      </c>
      <c r="B6" t="s">
        <v>8328</v>
      </c>
      <c r="C6" t="s">
        <v>8739</v>
      </c>
      <c r="D6">
        <v>37</v>
      </c>
      <c r="E6">
        <v>14</v>
      </c>
      <c r="F6">
        <v>4</v>
      </c>
      <c r="G6">
        <v>20</v>
      </c>
      <c r="H6">
        <v>30</v>
      </c>
      <c r="I6">
        <v>2</v>
      </c>
      <c r="J6">
        <v>14</v>
      </c>
      <c r="K6">
        <v>60</v>
      </c>
      <c r="L6">
        <v>1</v>
      </c>
      <c r="T6">
        <v>37</v>
      </c>
      <c r="U6" t="s">
        <v>8493</v>
      </c>
      <c r="X6">
        <v>6</v>
      </c>
      <c r="Y6" t="s">
        <v>8659</v>
      </c>
      <c r="Z6" t="s">
        <v>8422</v>
      </c>
      <c r="AA6" t="s">
        <v>8715</v>
      </c>
      <c r="AB6" t="s">
        <v>8675</v>
      </c>
      <c r="AC6" t="s">
        <v>7426</v>
      </c>
      <c r="AD6" t="s">
        <v>7426</v>
      </c>
      <c r="AE6" t="s">
        <v>8312</v>
      </c>
      <c r="AF6" t="s">
        <v>8746</v>
      </c>
      <c r="AG6">
        <v>4</v>
      </c>
      <c r="AI6">
        <v>4</v>
      </c>
      <c r="AJ6" t="s">
        <v>8751</v>
      </c>
      <c r="AO6" s="56" t="s">
        <v>1420</v>
      </c>
      <c r="AP6" s="56" t="s">
        <v>8657</v>
      </c>
      <c r="AQ6" s="56">
        <v>3</v>
      </c>
      <c r="AR6" s="56" t="s">
        <v>5497</v>
      </c>
      <c r="AS6" s="56" t="s">
        <v>5486</v>
      </c>
      <c r="AT6" s="56">
        <v>3</v>
      </c>
      <c r="AU6" s="56">
        <v>5</v>
      </c>
      <c r="AV6" s="56">
        <v>4</v>
      </c>
      <c r="AW6" s="56">
        <v>4</v>
      </c>
      <c r="AX6">
        <v>20</v>
      </c>
      <c r="AY6" s="56">
        <v>15</v>
      </c>
      <c r="AZ6" s="56">
        <v>5</v>
      </c>
      <c r="BA6" s="56">
        <v>6</v>
      </c>
    </row>
    <row r="7" spans="1:53">
      <c r="A7" t="s">
        <v>8752</v>
      </c>
      <c r="B7" t="s">
        <v>8328</v>
      </c>
      <c r="C7" t="s">
        <v>8753</v>
      </c>
      <c r="M7">
        <v>11</v>
      </c>
      <c r="N7">
        <v>6</v>
      </c>
      <c r="O7">
        <v>10</v>
      </c>
      <c r="P7">
        <v>1</v>
      </c>
      <c r="Q7">
        <v>16</v>
      </c>
      <c r="R7">
        <v>6</v>
      </c>
      <c r="U7" t="s">
        <v>8303</v>
      </c>
      <c r="X7">
        <v>4</v>
      </c>
      <c r="Y7" t="s">
        <v>8428</v>
      </c>
      <c r="Z7" t="s">
        <v>8393</v>
      </c>
      <c r="AA7" t="s">
        <v>8689</v>
      </c>
      <c r="AB7" t="s">
        <v>8754</v>
      </c>
      <c r="AC7" t="s">
        <v>7426</v>
      </c>
      <c r="AD7" t="s">
        <v>7426</v>
      </c>
      <c r="AE7" t="s">
        <v>8479</v>
      </c>
      <c r="AI7">
        <v>6</v>
      </c>
      <c r="AJ7" t="s">
        <v>8755</v>
      </c>
      <c r="AN7" t="s">
        <v>8756</v>
      </c>
      <c r="AO7" s="56" t="s">
        <v>1420</v>
      </c>
      <c r="AP7" s="56" t="s">
        <v>8657</v>
      </c>
      <c r="AQ7" s="56">
        <v>3</v>
      </c>
      <c r="AR7" s="56" t="s">
        <v>5497</v>
      </c>
      <c r="AS7" s="56" t="s">
        <v>5486</v>
      </c>
      <c r="AT7" s="56">
        <v>3</v>
      </c>
      <c r="AU7" s="56">
        <v>5</v>
      </c>
      <c r="AV7" s="56">
        <v>4</v>
      </c>
      <c r="AW7" s="56">
        <v>4</v>
      </c>
      <c r="AX7" s="56">
        <v>11</v>
      </c>
      <c r="AY7" s="56">
        <v>9</v>
      </c>
      <c r="AZ7" s="56">
        <v>5</v>
      </c>
      <c r="BA7" s="56">
        <v>6</v>
      </c>
    </row>
    <row r="8" spans="1:53">
      <c r="A8" t="s">
        <v>8757</v>
      </c>
      <c r="B8" t="s">
        <v>5580</v>
      </c>
      <c r="C8" t="s">
        <v>8739</v>
      </c>
      <c r="D8">
        <v>7</v>
      </c>
      <c r="E8">
        <v>14</v>
      </c>
      <c r="F8">
        <v>4</v>
      </c>
      <c r="G8">
        <v>3</v>
      </c>
      <c r="H8">
        <v>30</v>
      </c>
      <c r="I8">
        <v>2</v>
      </c>
      <c r="J8">
        <v>1</v>
      </c>
      <c r="K8">
        <v>60</v>
      </c>
      <c r="L8">
        <v>1</v>
      </c>
      <c r="T8">
        <v>7</v>
      </c>
      <c r="U8" t="s">
        <v>8317</v>
      </c>
      <c r="X8">
        <v>2</v>
      </c>
      <c r="Y8" t="s">
        <v>8582</v>
      </c>
      <c r="Z8" t="s">
        <v>8571</v>
      </c>
      <c r="AA8" t="s">
        <v>8661</v>
      </c>
      <c r="AB8" t="s">
        <v>8740</v>
      </c>
      <c r="AC8" t="s">
        <v>7426</v>
      </c>
      <c r="AD8" t="s">
        <v>7426</v>
      </c>
      <c r="AE8" t="s">
        <v>8479</v>
      </c>
      <c r="AF8" t="s">
        <v>8746</v>
      </c>
      <c r="AG8">
        <v>4</v>
      </c>
      <c r="AI8">
        <v>3</v>
      </c>
      <c r="AJ8" t="s">
        <v>8758</v>
      </c>
      <c r="AO8" s="56" t="s">
        <v>1420</v>
      </c>
      <c r="AP8" s="56" t="s">
        <v>8657</v>
      </c>
      <c r="AQ8" s="56">
        <v>3</v>
      </c>
      <c r="AR8" s="56" t="s">
        <v>5497</v>
      </c>
      <c r="AS8" s="56" t="s">
        <v>5486</v>
      </c>
      <c r="AT8" s="56">
        <v>3</v>
      </c>
      <c r="AU8" s="56">
        <v>5</v>
      </c>
      <c r="AV8" s="56">
        <v>4</v>
      </c>
      <c r="AW8" s="56">
        <v>4</v>
      </c>
      <c r="AX8">
        <v>3</v>
      </c>
      <c r="AY8" s="56">
        <v>3</v>
      </c>
      <c r="AZ8" s="56">
        <v>5</v>
      </c>
      <c r="BA8" s="56">
        <v>6</v>
      </c>
    </row>
    <row r="9" spans="1:53">
      <c r="A9" t="s">
        <v>8759</v>
      </c>
      <c r="B9" t="s">
        <v>5580</v>
      </c>
      <c r="C9" t="s">
        <v>8739</v>
      </c>
      <c r="D9">
        <v>10</v>
      </c>
      <c r="E9">
        <v>14</v>
      </c>
      <c r="F9">
        <v>4</v>
      </c>
      <c r="G9">
        <v>5</v>
      </c>
      <c r="H9">
        <v>30</v>
      </c>
      <c r="I9">
        <v>2</v>
      </c>
      <c r="J9">
        <v>2</v>
      </c>
      <c r="K9">
        <v>60</v>
      </c>
      <c r="L9">
        <v>1</v>
      </c>
      <c r="T9">
        <v>10</v>
      </c>
      <c r="U9" t="s">
        <v>8485</v>
      </c>
      <c r="X9">
        <v>2</v>
      </c>
      <c r="Y9" t="s">
        <v>8692</v>
      </c>
      <c r="Z9" t="s">
        <v>8416</v>
      </c>
      <c r="AA9" t="s">
        <v>8543</v>
      </c>
      <c r="AB9" t="s">
        <v>8760</v>
      </c>
      <c r="AC9" t="s">
        <v>7426</v>
      </c>
      <c r="AD9" t="s">
        <v>7426</v>
      </c>
      <c r="AE9" t="s">
        <v>8369</v>
      </c>
      <c r="AF9" t="s">
        <v>8746</v>
      </c>
      <c r="AG9">
        <v>4</v>
      </c>
      <c r="AI9">
        <v>1</v>
      </c>
      <c r="AJ9" t="s">
        <v>8709</v>
      </c>
      <c r="AO9" s="56" t="s">
        <v>1420</v>
      </c>
      <c r="AP9" s="56" t="s">
        <v>8657</v>
      </c>
      <c r="AQ9" s="56">
        <v>3</v>
      </c>
      <c r="AR9" s="56" t="s">
        <v>5497</v>
      </c>
      <c r="AS9" s="56" t="s">
        <v>5486</v>
      </c>
      <c r="AT9" s="56">
        <v>3</v>
      </c>
      <c r="AU9" s="56">
        <v>5</v>
      </c>
      <c r="AV9" s="56">
        <v>4</v>
      </c>
      <c r="AW9" s="56">
        <v>4</v>
      </c>
      <c r="AX9">
        <v>5</v>
      </c>
      <c r="AY9" s="56">
        <v>4</v>
      </c>
      <c r="AZ9" s="56">
        <v>5</v>
      </c>
      <c r="BA9" s="56">
        <v>6</v>
      </c>
    </row>
    <row r="10" spans="1:53">
      <c r="A10" t="s">
        <v>8761</v>
      </c>
      <c r="B10" t="s">
        <v>5580</v>
      </c>
      <c r="C10" t="s">
        <v>8739</v>
      </c>
      <c r="D10">
        <v>23</v>
      </c>
      <c r="E10">
        <v>14</v>
      </c>
      <c r="F10">
        <v>4</v>
      </c>
      <c r="G10">
        <v>10</v>
      </c>
      <c r="H10">
        <v>30</v>
      </c>
      <c r="I10">
        <v>2</v>
      </c>
      <c r="J10">
        <v>5</v>
      </c>
      <c r="K10">
        <v>60</v>
      </c>
      <c r="L10">
        <v>1</v>
      </c>
      <c r="T10">
        <v>23</v>
      </c>
      <c r="U10" t="s">
        <v>8489</v>
      </c>
      <c r="X10">
        <v>4</v>
      </c>
      <c r="Y10" t="s">
        <v>8659</v>
      </c>
      <c r="Z10" t="s">
        <v>8422</v>
      </c>
      <c r="AA10" t="s">
        <v>8762</v>
      </c>
      <c r="AB10" t="s">
        <v>8699</v>
      </c>
      <c r="AC10" t="s">
        <v>7426</v>
      </c>
      <c r="AD10" t="s">
        <v>7426</v>
      </c>
      <c r="AE10" t="s">
        <v>8305</v>
      </c>
      <c r="AF10" t="s">
        <v>8746</v>
      </c>
      <c r="AG10">
        <v>4</v>
      </c>
      <c r="AI10">
        <v>2</v>
      </c>
      <c r="AJ10" t="s">
        <v>8763</v>
      </c>
      <c r="AO10" s="56" t="s">
        <v>1420</v>
      </c>
      <c r="AP10" s="56" t="s">
        <v>8657</v>
      </c>
      <c r="AQ10" s="56">
        <v>3</v>
      </c>
      <c r="AR10" s="56" t="s">
        <v>5497</v>
      </c>
      <c r="AS10" s="56" t="s">
        <v>5486</v>
      </c>
      <c r="AT10" s="56">
        <v>3</v>
      </c>
      <c r="AU10" s="56">
        <v>5</v>
      </c>
      <c r="AV10" s="56">
        <v>4</v>
      </c>
      <c r="AW10" s="56">
        <v>4</v>
      </c>
      <c r="AX10">
        <v>10</v>
      </c>
      <c r="AY10" s="56">
        <v>8</v>
      </c>
      <c r="AZ10" s="56">
        <v>5</v>
      </c>
      <c r="BA10" s="56">
        <v>6</v>
      </c>
    </row>
    <row r="11" spans="1:53">
      <c r="A11" t="s">
        <v>8764</v>
      </c>
      <c r="B11" t="s">
        <v>5580</v>
      </c>
      <c r="C11" t="s">
        <v>8739</v>
      </c>
      <c r="D11">
        <v>35</v>
      </c>
      <c r="E11">
        <v>14</v>
      </c>
      <c r="F11">
        <v>4</v>
      </c>
      <c r="G11">
        <v>18</v>
      </c>
      <c r="H11">
        <v>30</v>
      </c>
      <c r="I11">
        <v>2</v>
      </c>
      <c r="J11">
        <v>12</v>
      </c>
      <c r="K11">
        <v>60</v>
      </c>
      <c r="L11">
        <v>1</v>
      </c>
      <c r="T11">
        <v>35</v>
      </c>
      <c r="U11" t="s">
        <v>8493</v>
      </c>
      <c r="X11">
        <v>5</v>
      </c>
      <c r="Y11" t="s">
        <v>8428</v>
      </c>
      <c r="Z11" t="s">
        <v>8419</v>
      </c>
      <c r="AA11" t="s">
        <v>8688</v>
      </c>
      <c r="AB11" t="s">
        <v>8665</v>
      </c>
      <c r="AC11" t="s">
        <v>7426</v>
      </c>
      <c r="AD11" t="s">
        <v>7426</v>
      </c>
      <c r="AE11" t="s">
        <v>8312</v>
      </c>
      <c r="AF11" t="s">
        <v>8746</v>
      </c>
      <c r="AG11">
        <v>4</v>
      </c>
      <c r="AI11">
        <v>3</v>
      </c>
      <c r="AJ11" t="s">
        <v>8765</v>
      </c>
      <c r="AO11" s="56" t="s">
        <v>1420</v>
      </c>
      <c r="AP11" s="56" t="s">
        <v>8657</v>
      </c>
      <c r="AQ11" s="56">
        <v>3</v>
      </c>
      <c r="AR11" s="56" t="s">
        <v>5497</v>
      </c>
      <c r="AS11" s="56" t="s">
        <v>5486</v>
      </c>
      <c r="AT11" s="56">
        <v>3</v>
      </c>
      <c r="AU11" s="56">
        <v>5</v>
      </c>
      <c r="AV11" s="56">
        <v>4</v>
      </c>
      <c r="AW11" s="56">
        <v>4</v>
      </c>
      <c r="AX11">
        <v>18</v>
      </c>
      <c r="AY11" s="56">
        <v>14</v>
      </c>
      <c r="AZ11" s="56">
        <v>5</v>
      </c>
      <c r="BA11" s="56">
        <v>6</v>
      </c>
    </row>
    <row r="12" spans="1:53">
      <c r="A12" t="s">
        <v>8766</v>
      </c>
      <c r="B12" t="s">
        <v>5580</v>
      </c>
      <c r="C12" t="s">
        <v>8753</v>
      </c>
      <c r="M12">
        <v>9</v>
      </c>
      <c r="N12">
        <v>6</v>
      </c>
      <c r="O12">
        <v>10</v>
      </c>
      <c r="P12">
        <v>1</v>
      </c>
      <c r="Q12">
        <v>16</v>
      </c>
      <c r="R12">
        <v>6</v>
      </c>
      <c r="U12" t="s">
        <v>8303</v>
      </c>
      <c r="X12">
        <v>3</v>
      </c>
      <c r="Y12" t="s">
        <v>8406</v>
      </c>
      <c r="Z12" t="s">
        <v>8438</v>
      </c>
      <c r="AA12" t="s">
        <v>8767</v>
      </c>
      <c r="AB12" t="s">
        <v>8768</v>
      </c>
      <c r="AC12" t="s">
        <v>7426</v>
      </c>
      <c r="AD12" t="s">
        <v>7426</v>
      </c>
      <c r="AE12" t="s">
        <v>8479</v>
      </c>
      <c r="AI12">
        <v>5</v>
      </c>
      <c r="AJ12" t="s">
        <v>8769</v>
      </c>
      <c r="AN12" t="s">
        <v>8756</v>
      </c>
      <c r="AO12" s="56" t="s">
        <v>1420</v>
      </c>
      <c r="AP12" s="56" t="s">
        <v>8657</v>
      </c>
      <c r="AQ12" s="56">
        <v>3</v>
      </c>
      <c r="AR12" s="56" t="s">
        <v>5497</v>
      </c>
      <c r="AS12" s="56" t="s">
        <v>5486</v>
      </c>
      <c r="AT12" s="56">
        <v>3</v>
      </c>
      <c r="AU12" s="56">
        <v>5</v>
      </c>
      <c r="AV12" s="56">
        <v>4</v>
      </c>
      <c r="AW12" s="56">
        <v>4</v>
      </c>
      <c r="AX12" s="56">
        <v>9</v>
      </c>
      <c r="AY12" s="56">
        <v>7</v>
      </c>
      <c r="AZ12" s="56">
        <v>5</v>
      </c>
      <c r="BA12" s="56">
        <v>6</v>
      </c>
    </row>
    <row r="13" spans="1:53">
      <c r="A13" t="s">
        <v>8770</v>
      </c>
      <c r="B13" t="s">
        <v>5619</v>
      </c>
      <c r="C13" t="s">
        <v>8739</v>
      </c>
      <c r="D13">
        <v>13</v>
      </c>
      <c r="E13">
        <v>14</v>
      </c>
      <c r="F13">
        <v>4</v>
      </c>
      <c r="G13">
        <v>9</v>
      </c>
      <c r="H13">
        <v>30</v>
      </c>
      <c r="I13">
        <v>2</v>
      </c>
      <c r="J13">
        <v>7</v>
      </c>
      <c r="K13">
        <v>60</v>
      </c>
      <c r="L13">
        <v>1</v>
      </c>
      <c r="T13">
        <v>13</v>
      </c>
      <c r="U13" t="s">
        <v>8317</v>
      </c>
      <c r="X13">
        <v>4</v>
      </c>
      <c r="Y13" t="s">
        <v>8743</v>
      </c>
      <c r="Z13" t="s">
        <v>8452</v>
      </c>
      <c r="AA13" t="s">
        <v>8744</v>
      </c>
      <c r="AB13" t="s">
        <v>8745</v>
      </c>
      <c r="AC13" t="s">
        <v>7426</v>
      </c>
      <c r="AD13" t="s">
        <v>7426</v>
      </c>
      <c r="AE13" t="s">
        <v>8479</v>
      </c>
      <c r="AF13" t="s">
        <v>8746</v>
      </c>
      <c r="AG13">
        <v>4</v>
      </c>
      <c r="AI13">
        <v>4</v>
      </c>
      <c r="AJ13" t="s">
        <v>8425</v>
      </c>
      <c r="AO13" s="56" t="s">
        <v>1420</v>
      </c>
      <c r="AP13" s="56" t="s">
        <v>8657</v>
      </c>
      <c r="AQ13" s="56">
        <v>3</v>
      </c>
      <c r="AR13" s="56" t="s">
        <v>5497</v>
      </c>
      <c r="AS13" s="56" t="s">
        <v>5486</v>
      </c>
      <c r="AT13" s="56">
        <v>3</v>
      </c>
      <c r="AU13" s="56">
        <v>5</v>
      </c>
      <c r="AV13" s="56">
        <v>4</v>
      </c>
      <c r="AW13" s="56">
        <v>4</v>
      </c>
      <c r="AX13">
        <v>9</v>
      </c>
      <c r="AY13" s="56">
        <v>7</v>
      </c>
      <c r="AZ13" s="56">
        <v>5</v>
      </c>
      <c r="BA13" s="56">
        <v>6</v>
      </c>
    </row>
    <row r="14" spans="1:53">
      <c r="A14" t="s">
        <v>8771</v>
      </c>
      <c r="B14" t="s">
        <v>5619</v>
      </c>
      <c r="C14" t="s">
        <v>8739</v>
      </c>
      <c r="D14">
        <v>16</v>
      </c>
      <c r="E14">
        <v>14</v>
      </c>
      <c r="F14">
        <v>4</v>
      </c>
      <c r="G14">
        <v>11</v>
      </c>
      <c r="H14">
        <v>30</v>
      </c>
      <c r="I14">
        <v>2</v>
      </c>
      <c r="J14">
        <v>8</v>
      </c>
      <c r="K14">
        <v>60</v>
      </c>
      <c r="L14">
        <v>1</v>
      </c>
      <c r="T14">
        <v>16</v>
      </c>
      <c r="U14" t="s">
        <v>8485</v>
      </c>
      <c r="X14">
        <v>5</v>
      </c>
      <c r="Y14" t="s">
        <v>8582</v>
      </c>
      <c r="Z14" t="s">
        <v>8413</v>
      </c>
      <c r="AA14" t="s">
        <v>8703</v>
      </c>
      <c r="AB14" t="s">
        <v>8702</v>
      </c>
      <c r="AC14" t="s">
        <v>7426</v>
      </c>
      <c r="AD14" t="s">
        <v>7426</v>
      </c>
      <c r="AE14" t="s">
        <v>8369</v>
      </c>
      <c r="AF14" t="s">
        <v>8746</v>
      </c>
      <c r="AG14">
        <v>4</v>
      </c>
      <c r="AI14">
        <v>2</v>
      </c>
      <c r="AJ14" t="s">
        <v>8748</v>
      </c>
      <c r="AO14" s="56" t="s">
        <v>1420</v>
      </c>
      <c r="AP14" s="56" t="s">
        <v>8657</v>
      </c>
      <c r="AQ14" s="56">
        <v>3</v>
      </c>
      <c r="AR14" s="56" t="s">
        <v>5497</v>
      </c>
      <c r="AS14" s="56" t="s">
        <v>5486</v>
      </c>
      <c r="AT14" s="56">
        <v>3</v>
      </c>
      <c r="AU14" s="56">
        <v>5</v>
      </c>
      <c r="AV14" s="56">
        <v>4</v>
      </c>
      <c r="AW14" s="56">
        <v>4</v>
      </c>
      <c r="AX14">
        <v>11</v>
      </c>
      <c r="AY14" s="56">
        <v>9</v>
      </c>
      <c r="AZ14" s="56">
        <v>5</v>
      </c>
      <c r="BA14" s="56">
        <v>6</v>
      </c>
    </row>
    <row r="15" spans="1:53">
      <c r="A15" t="s">
        <v>8772</v>
      </c>
      <c r="B15" t="s">
        <v>5619</v>
      </c>
      <c r="C15" t="s">
        <v>8739</v>
      </c>
      <c r="D15">
        <v>29</v>
      </c>
      <c r="E15">
        <v>14</v>
      </c>
      <c r="F15">
        <v>4</v>
      </c>
      <c r="G15">
        <v>16</v>
      </c>
      <c r="H15">
        <v>30</v>
      </c>
      <c r="I15">
        <v>2</v>
      </c>
      <c r="J15">
        <v>11</v>
      </c>
      <c r="K15">
        <v>60</v>
      </c>
      <c r="L15">
        <v>1</v>
      </c>
      <c r="T15">
        <v>29</v>
      </c>
      <c r="U15" t="s">
        <v>8489</v>
      </c>
      <c r="X15">
        <v>6</v>
      </c>
      <c r="Y15" t="s">
        <v>8692</v>
      </c>
      <c r="Z15" t="s">
        <v>8406</v>
      </c>
      <c r="AA15" t="s">
        <v>8684</v>
      </c>
      <c r="AB15" t="s">
        <v>8661</v>
      </c>
      <c r="AC15" t="s">
        <v>7426</v>
      </c>
      <c r="AD15" t="s">
        <v>7426</v>
      </c>
      <c r="AE15" t="s">
        <v>8305</v>
      </c>
      <c r="AF15" t="s">
        <v>8746</v>
      </c>
      <c r="AG15">
        <v>4</v>
      </c>
      <c r="AI15">
        <v>3</v>
      </c>
      <c r="AJ15" t="s">
        <v>8638</v>
      </c>
      <c r="AO15" s="56" t="s">
        <v>1420</v>
      </c>
      <c r="AP15" s="56" t="s">
        <v>8657</v>
      </c>
      <c r="AQ15" s="56">
        <v>3</v>
      </c>
      <c r="AR15" s="56" t="s">
        <v>5497</v>
      </c>
      <c r="AS15" s="56" t="s">
        <v>5486</v>
      </c>
      <c r="AT15" s="56">
        <v>3</v>
      </c>
      <c r="AU15" s="56">
        <v>5</v>
      </c>
      <c r="AV15" s="56">
        <v>4</v>
      </c>
      <c r="AW15" s="56">
        <v>4</v>
      </c>
      <c r="AX15">
        <v>16</v>
      </c>
      <c r="AY15" s="56">
        <v>12</v>
      </c>
      <c r="AZ15" s="56">
        <v>5</v>
      </c>
      <c r="BA15" s="56">
        <v>6</v>
      </c>
    </row>
    <row r="16" spans="1:53">
      <c r="A16" t="s">
        <v>8773</v>
      </c>
      <c r="B16" t="s">
        <v>5619</v>
      </c>
      <c r="C16" t="s">
        <v>8739</v>
      </c>
      <c r="D16">
        <v>41</v>
      </c>
      <c r="E16">
        <v>14</v>
      </c>
      <c r="F16">
        <v>4</v>
      </c>
      <c r="G16">
        <v>24</v>
      </c>
      <c r="H16">
        <v>30</v>
      </c>
      <c r="I16">
        <v>2</v>
      </c>
      <c r="J16">
        <v>18</v>
      </c>
      <c r="K16">
        <v>60</v>
      </c>
      <c r="L16">
        <v>1</v>
      </c>
      <c r="T16">
        <v>41</v>
      </c>
      <c r="U16" t="s">
        <v>8493</v>
      </c>
      <c r="X16">
        <v>7</v>
      </c>
      <c r="Y16" t="s">
        <v>8659</v>
      </c>
      <c r="Z16" t="s">
        <v>8422</v>
      </c>
      <c r="AA16" t="s">
        <v>8715</v>
      </c>
      <c r="AB16" t="s">
        <v>8675</v>
      </c>
      <c r="AC16" t="s">
        <v>7426</v>
      </c>
      <c r="AD16" t="s">
        <v>7426</v>
      </c>
      <c r="AE16" t="s">
        <v>8312</v>
      </c>
      <c r="AF16" t="s">
        <v>8746</v>
      </c>
      <c r="AG16">
        <v>4</v>
      </c>
      <c r="AI16">
        <v>4</v>
      </c>
      <c r="AJ16" t="s">
        <v>8751</v>
      </c>
      <c r="AO16" s="56" t="s">
        <v>1420</v>
      </c>
      <c r="AP16" s="56" t="s">
        <v>8657</v>
      </c>
      <c r="AQ16" s="56">
        <v>3</v>
      </c>
      <c r="AR16" s="56" t="s">
        <v>5497</v>
      </c>
      <c r="AS16" s="56" t="s">
        <v>5486</v>
      </c>
      <c r="AT16" s="56">
        <v>3</v>
      </c>
      <c r="AU16" s="56">
        <v>5</v>
      </c>
      <c r="AV16" s="56">
        <v>4</v>
      </c>
      <c r="AW16" s="56">
        <v>4</v>
      </c>
      <c r="AX16">
        <v>24</v>
      </c>
      <c r="AY16" s="56">
        <v>18</v>
      </c>
      <c r="AZ16" s="56">
        <v>5</v>
      </c>
      <c r="BA16" s="56">
        <v>6</v>
      </c>
    </row>
    <row r="17" spans="1:53">
      <c r="A17" t="s">
        <v>8513</v>
      </c>
      <c r="B17" t="s">
        <v>5619</v>
      </c>
      <c r="C17" t="s">
        <v>8739</v>
      </c>
      <c r="D17">
        <v>46</v>
      </c>
      <c r="E17">
        <v>15</v>
      </c>
      <c r="F17">
        <v>4</v>
      </c>
      <c r="G17">
        <v>29</v>
      </c>
      <c r="H17">
        <v>30</v>
      </c>
      <c r="I17">
        <v>2</v>
      </c>
      <c r="J17">
        <v>23</v>
      </c>
      <c r="K17">
        <v>60</v>
      </c>
      <c r="L17">
        <v>1</v>
      </c>
      <c r="T17">
        <v>46</v>
      </c>
      <c r="U17" t="s">
        <v>8515</v>
      </c>
      <c r="X17">
        <v>7</v>
      </c>
      <c r="Y17" t="s">
        <v>8659</v>
      </c>
      <c r="Z17" t="s">
        <v>8422</v>
      </c>
      <c r="AA17" t="s">
        <v>8715</v>
      </c>
      <c r="AB17" t="s">
        <v>8675</v>
      </c>
      <c r="AC17" t="s">
        <v>7426</v>
      </c>
      <c r="AD17" t="s">
        <v>7426</v>
      </c>
      <c r="AE17" t="s">
        <v>8318</v>
      </c>
      <c r="AF17" t="s">
        <v>8774</v>
      </c>
      <c r="AG17">
        <v>4</v>
      </c>
      <c r="AI17">
        <v>5</v>
      </c>
      <c r="AJ17" t="s">
        <v>8696</v>
      </c>
      <c r="AO17" s="56" t="s">
        <v>1420</v>
      </c>
      <c r="AP17" s="56" t="s">
        <v>8657</v>
      </c>
      <c r="AQ17" s="56">
        <v>3</v>
      </c>
      <c r="AR17" s="56" t="s">
        <v>5497</v>
      </c>
      <c r="AS17" s="56" t="s">
        <v>5486</v>
      </c>
      <c r="AT17" s="56">
        <v>3</v>
      </c>
      <c r="AU17" s="56">
        <v>5</v>
      </c>
      <c r="AV17" s="56">
        <v>4</v>
      </c>
      <c r="AW17" s="56">
        <v>4</v>
      </c>
      <c r="AX17">
        <v>29</v>
      </c>
      <c r="AY17" s="56">
        <v>22</v>
      </c>
      <c r="AZ17" s="56">
        <v>5</v>
      </c>
      <c r="BA17" s="56">
        <v>6</v>
      </c>
    </row>
    <row r="18" spans="1:53">
      <c r="A18" t="s">
        <v>8775</v>
      </c>
      <c r="B18" t="s">
        <v>5619</v>
      </c>
      <c r="C18" t="s">
        <v>8753</v>
      </c>
      <c r="M18">
        <v>15</v>
      </c>
      <c r="N18">
        <v>6</v>
      </c>
      <c r="O18">
        <v>10</v>
      </c>
      <c r="P18">
        <v>1</v>
      </c>
      <c r="Q18">
        <v>16</v>
      </c>
      <c r="R18">
        <v>6</v>
      </c>
      <c r="U18" t="s">
        <v>8303</v>
      </c>
      <c r="X18">
        <v>5</v>
      </c>
      <c r="Y18" t="s">
        <v>8428</v>
      </c>
      <c r="Z18" t="s">
        <v>8393</v>
      </c>
      <c r="AA18" t="s">
        <v>8689</v>
      </c>
      <c r="AB18" t="s">
        <v>8754</v>
      </c>
      <c r="AC18" t="s">
        <v>7426</v>
      </c>
      <c r="AD18" t="s">
        <v>7426</v>
      </c>
      <c r="AE18" t="s">
        <v>8479</v>
      </c>
      <c r="AI18">
        <v>7</v>
      </c>
      <c r="AJ18" t="s">
        <v>8755</v>
      </c>
      <c r="AN18" t="s">
        <v>8756</v>
      </c>
      <c r="AO18" s="56" t="s">
        <v>1420</v>
      </c>
      <c r="AP18" s="56" t="s">
        <v>8657</v>
      </c>
      <c r="AQ18" s="56">
        <v>3</v>
      </c>
      <c r="AR18" s="56" t="s">
        <v>5497</v>
      </c>
      <c r="AS18" s="56" t="s">
        <v>5486</v>
      </c>
      <c r="AT18" s="56">
        <v>3</v>
      </c>
      <c r="AU18" s="56">
        <v>5</v>
      </c>
      <c r="AV18" s="56">
        <v>4</v>
      </c>
      <c r="AW18" s="56">
        <v>4</v>
      </c>
      <c r="AX18" s="56">
        <v>15</v>
      </c>
      <c r="AY18" s="56">
        <v>12</v>
      </c>
      <c r="AZ18" s="56">
        <v>5</v>
      </c>
      <c r="BA18" s="56">
        <v>6</v>
      </c>
    </row>
    <row r="19" spans="1:53">
      <c r="A19" t="s">
        <v>8776</v>
      </c>
      <c r="B19" t="s">
        <v>5564</v>
      </c>
      <c r="C19" t="s">
        <v>8739</v>
      </c>
      <c r="D19">
        <v>9</v>
      </c>
      <c r="E19">
        <v>14</v>
      </c>
      <c r="F19">
        <v>4</v>
      </c>
      <c r="G19">
        <v>5</v>
      </c>
      <c r="H19">
        <v>30</v>
      </c>
      <c r="I19">
        <v>2</v>
      </c>
      <c r="J19">
        <v>3</v>
      </c>
      <c r="K19">
        <v>60</v>
      </c>
      <c r="L19">
        <v>1</v>
      </c>
      <c r="T19">
        <v>9</v>
      </c>
      <c r="U19" t="s">
        <v>8317</v>
      </c>
      <c r="X19">
        <v>2</v>
      </c>
      <c r="Y19" t="s">
        <v>8777</v>
      </c>
      <c r="Z19" t="s">
        <v>8438</v>
      </c>
      <c r="AA19" t="s">
        <v>8665</v>
      </c>
      <c r="AB19" t="s">
        <v>8778</v>
      </c>
      <c r="AC19" t="s">
        <v>7426</v>
      </c>
      <c r="AD19" t="s">
        <v>7426</v>
      </c>
      <c r="AE19" t="s">
        <v>8479</v>
      </c>
      <c r="AF19" t="s">
        <v>8746</v>
      </c>
      <c r="AG19">
        <v>4</v>
      </c>
      <c r="AI19">
        <v>4</v>
      </c>
      <c r="AJ19" t="s">
        <v>8682</v>
      </c>
      <c r="AO19" s="56" t="s">
        <v>1420</v>
      </c>
      <c r="AP19" s="56" t="s">
        <v>8657</v>
      </c>
      <c r="AQ19" s="56">
        <v>3</v>
      </c>
      <c r="AR19" s="56" t="s">
        <v>5497</v>
      </c>
      <c r="AS19" s="56" t="s">
        <v>5486</v>
      </c>
      <c r="AT19" s="56">
        <v>3</v>
      </c>
      <c r="AU19" s="56">
        <v>5</v>
      </c>
      <c r="AV19" s="56">
        <v>4</v>
      </c>
      <c r="AW19" s="56">
        <v>4</v>
      </c>
      <c r="AX19">
        <v>5</v>
      </c>
      <c r="AY19" s="56">
        <v>4</v>
      </c>
      <c r="AZ19" s="56">
        <v>5</v>
      </c>
      <c r="BA19" s="56">
        <v>6</v>
      </c>
    </row>
    <row r="20" spans="1:53">
      <c r="A20" t="s">
        <v>8779</v>
      </c>
      <c r="B20" t="s">
        <v>5564</v>
      </c>
      <c r="C20" t="s">
        <v>8739</v>
      </c>
      <c r="D20">
        <v>12</v>
      </c>
      <c r="E20">
        <v>14</v>
      </c>
      <c r="F20">
        <v>4</v>
      </c>
      <c r="G20">
        <v>7</v>
      </c>
      <c r="H20">
        <v>30</v>
      </c>
      <c r="I20">
        <v>2</v>
      </c>
      <c r="J20">
        <v>4</v>
      </c>
      <c r="K20">
        <v>60</v>
      </c>
      <c r="L20">
        <v>1</v>
      </c>
      <c r="T20">
        <v>12</v>
      </c>
      <c r="U20" t="s">
        <v>8485</v>
      </c>
      <c r="X20">
        <v>3</v>
      </c>
      <c r="Y20" t="s">
        <v>8780</v>
      </c>
      <c r="Z20" t="s">
        <v>8419</v>
      </c>
      <c r="AA20" t="s">
        <v>8698</v>
      </c>
      <c r="AB20" t="s">
        <v>8695</v>
      </c>
      <c r="AC20" t="s">
        <v>7426</v>
      </c>
      <c r="AD20" t="s">
        <v>7426</v>
      </c>
      <c r="AE20" t="s">
        <v>8369</v>
      </c>
      <c r="AF20" t="s">
        <v>8746</v>
      </c>
      <c r="AG20">
        <v>4</v>
      </c>
      <c r="AI20">
        <v>2</v>
      </c>
      <c r="AJ20" t="s">
        <v>8763</v>
      </c>
      <c r="AO20" s="56" t="s">
        <v>1420</v>
      </c>
      <c r="AP20" s="56" t="s">
        <v>8657</v>
      </c>
      <c r="AQ20" s="56">
        <v>3</v>
      </c>
      <c r="AR20" s="56" t="s">
        <v>5497</v>
      </c>
      <c r="AS20" s="56" t="s">
        <v>5486</v>
      </c>
      <c r="AT20" s="56">
        <v>3</v>
      </c>
      <c r="AU20" s="56">
        <v>5</v>
      </c>
      <c r="AV20" s="56">
        <v>4</v>
      </c>
      <c r="AW20" s="56">
        <v>4</v>
      </c>
      <c r="AX20">
        <v>7</v>
      </c>
      <c r="AY20" s="56">
        <v>6</v>
      </c>
      <c r="AZ20" s="56">
        <v>5</v>
      </c>
      <c r="BA20" s="56">
        <v>6</v>
      </c>
    </row>
    <row r="21" spans="1:53">
      <c r="A21" t="s">
        <v>8781</v>
      </c>
      <c r="B21" t="s">
        <v>5564</v>
      </c>
      <c r="C21" t="s">
        <v>8739</v>
      </c>
      <c r="D21">
        <v>25</v>
      </c>
      <c r="E21">
        <v>14</v>
      </c>
      <c r="F21">
        <v>4</v>
      </c>
      <c r="G21">
        <v>12</v>
      </c>
      <c r="H21">
        <v>30</v>
      </c>
      <c r="I21">
        <v>2</v>
      </c>
      <c r="J21">
        <v>7</v>
      </c>
      <c r="K21">
        <v>60</v>
      </c>
      <c r="L21">
        <v>1</v>
      </c>
      <c r="T21">
        <v>25</v>
      </c>
      <c r="U21" t="s">
        <v>8489</v>
      </c>
      <c r="X21">
        <v>4</v>
      </c>
      <c r="Y21" t="s">
        <v>8743</v>
      </c>
      <c r="Z21" t="s">
        <v>8428</v>
      </c>
      <c r="AA21" t="s">
        <v>8546</v>
      </c>
      <c r="AB21" t="s">
        <v>8673</v>
      </c>
      <c r="AC21" t="s">
        <v>7426</v>
      </c>
      <c r="AD21" t="s">
        <v>7426</v>
      </c>
      <c r="AE21" t="s">
        <v>8305</v>
      </c>
      <c r="AF21" t="s">
        <v>8746</v>
      </c>
      <c r="AG21">
        <v>4</v>
      </c>
      <c r="AI21">
        <v>3</v>
      </c>
      <c r="AJ21" t="s">
        <v>8694</v>
      </c>
      <c r="AO21" s="56" t="s">
        <v>1420</v>
      </c>
      <c r="AP21" s="56" t="s">
        <v>8657</v>
      </c>
      <c r="AQ21" s="56">
        <v>3</v>
      </c>
      <c r="AR21" s="56" t="s">
        <v>5497</v>
      </c>
      <c r="AS21" s="56" t="s">
        <v>5486</v>
      </c>
      <c r="AT21" s="56">
        <v>3</v>
      </c>
      <c r="AU21" s="56">
        <v>5</v>
      </c>
      <c r="AV21" s="56">
        <v>4</v>
      </c>
      <c r="AW21" s="56">
        <v>4</v>
      </c>
      <c r="AX21">
        <v>12</v>
      </c>
      <c r="AY21" s="56">
        <v>9</v>
      </c>
      <c r="AZ21" s="56">
        <v>5</v>
      </c>
      <c r="BA21" s="56">
        <v>6</v>
      </c>
    </row>
    <row r="22" spans="1:53">
      <c r="A22" t="s">
        <v>8782</v>
      </c>
      <c r="B22" t="s">
        <v>5564</v>
      </c>
      <c r="C22" t="s">
        <v>8739</v>
      </c>
      <c r="D22">
        <v>37</v>
      </c>
      <c r="E22">
        <v>14</v>
      </c>
      <c r="F22">
        <v>4</v>
      </c>
      <c r="G22">
        <v>20</v>
      </c>
      <c r="H22">
        <v>30</v>
      </c>
      <c r="I22">
        <v>2</v>
      </c>
      <c r="J22">
        <v>14</v>
      </c>
      <c r="K22">
        <v>60</v>
      </c>
      <c r="L22">
        <v>1</v>
      </c>
      <c r="T22">
        <v>37</v>
      </c>
      <c r="U22" t="s">
        <v>8493</v>
      </c>
      <c r="X22">
        <v>5</v>
      </c>
      <c r="Y22" t="s">
        <v>8582</v>
      </c>
      <c r="Z22" t="s">
        <v>8406</v>
      </c>
      <c r="AA22" t="s">
        <v>8452</v>
      </c>
      <c r="AB22" t="s">
        <v>8783</v>
      </c>
      <c r="AC22" t="s">
        <v>7426</v>
      </c>
      <c r="AD22" t="s">
        <v>7426</v>
      </c>
      <c r="AE22" t="s">
        <v>8312</v>
      </c>
      <c r="AF22" t="s">
        <v>8746</v>
      </c>
      <c r="AG22">
        <v>4</v>
      </c>
      <c r="AI22">
        <v>4</v>
      </c>
      <c r="AJ22" t="s">
        <v>8429</v>
      </c>
      <c r="AO22" s="56" t="s">
        <v>1420</v>
      </c>
      <c r="AP22" s="56" t="s">
        <v>8657</v>
      </c>
      <c r="AQ22" s="56">
        <v>3</v>
      </c>
      <c r="AR22" s="56" t="s">
        <v>5497</v>
      </c>
      <c r="AS22" s="56" t="s">
        <v>5486</v>
      </c>
      <c r="AT22" s="56">
        <v>3</v>
      </c>
      <c r="AU22" s="56">
        <v>5</v>
      </c>
      <c r="AV22" s="56">
        <v>4</v>
      </c>
      <c r="AW22" s="56">
        <v>4</v>
      </c>
      <c r="AX22">
        <v>20</v>
      </c>
      <c r="AY22" s="56">
        <v>15</v>
      </c>
      <c r="AZ22" s="56">
        <v>5</v>
      </c>
      <c r="BA22" s="56">
        <v>6</v>
      </c>
    </row>
    <row r="23" spans="1:53">
      <c r="A23" t="s">
        <v>8784</v>
      </c>
      <c r="B23" t="s">
        <v>5564</v>
      </c>
      <c r="C23" t="s">
        <v>8753</v>
      </c>
      <c r="M23">
        <v>11</v>
      </c>
      <c r="N23">
        <v>6</v>
      </c>
      <c r="O23">
        <v>10</v>
      </c>
      <c r="P23">
        <v>1</v>
      </c>
      <c r="Q23">
        <v>16</v>
      </c>
      <c r="R23">
        <v>6</v>
      </c>
      <c r="U23" t="s">
        <v>8303</v>
      </c>
      <c r="X23">
        <v>3</v>
      </c>
      <c r="Y23" t="s">
        <v>8692</v>
      </c>
      <c r="Z23" t="s">
        <v>8413</v>
      </c>
      <c r="AA23" t="s">
        <v>8543</v>
      </c>
      <c r="AB23" t="s">
        <v>8760</v>
      </c>
      <c r="AC23" t="s">
        <v>7426</v>
      </c>
      <c r="AD23" t="s">
        <v>7426</v>
      </c>
      <c r="AE23" t="s">
        <v>8479</v>
      </c>
      <c r="AI23">
        <v>6</v>
      </c>
      <c r="AJ23" t="s">
        <v>8785</v>
      </c>
      <c r="AN23" t="s">
        <v>8756</v>
      </c>
      <c r="AO23" s="56" t="s">
        <v>1420</v>
      </c>
      <c r="AP23" s="56" t="s">
        <v>8657</v>
      </c>
      <c r="AQ23" s="56">
        <v>3</v>
      </c>
      <c r="AR23" s="56" t="s">
        <v>5497</v>
      </c>
      <c r="AS23" s="56" t="s">
        <v>5486</v>
      </c>
      <c r="AT23" s="56">
        <v>3</v>
      </c>
      <c r="AU23" s="56">
        <v>5</v>
      </c>
      <c r="AV23" s="56">
        <v>4</v>
      </c>
      <c r="AW23" s="56">
        <v>4</v>
      </c>
      <c r="AX23" s="56">
        <v>11</v>
      </c>
      <c r="AY23" s="56">
        <v>9</v>
      </c>
      <c r="AZ23" s="56">
        <v>5</v>
      </c>
      <c r="BA23" s="56">
        <v>6</v>
      </c>
    </row>
    <row r="24" spans="1:53">
      <c r="A24" t="s">
        <v>8786</v>
      </c>
      <c r="B24" t="s">
        <v>1174</v>
      </c>
      <c r="C24" t="s">
        <v>8739</v>
      </c>
      <c r="D24">
        <v>9</v>
      </c>
      <c r="E24">
        <v>14</v>
      </c>
      <c r="F24">
        <v>4</v>
      </c>
      <c r="G24">
        <v>5</v>
      </c>
      <c r="H24">
        <v>30</v>
      </c>
      <c r="I24">
        <v>2</v>
      </c>
      <c r="J24">
        <v>3</v>
      </c>
      <c r="K24">
        <v>60</v>
      </c>
      <c r="L24">
        <v>1</v>
      </c>
      <c r="T24">
        <v>9</v>
      </c>
      <c r="U24" t="s">
        <v>8317</v>
      </c>
      <c r="W24" t="s">
        <v>8410</v>
      </c>
      <c r="X24">
        <v>3</v>
      </c>
      <c r="Y24" t="s">
        <v>8582</v>
      </c>
      <c r="Z24" t="s">
        <v>8571</v>
      </c>
      <c r="AA24" t="s">
        <v>8661</v>
      </c>
      <c r="AB24" t="s">
        <v>8740</v>
      </c>
      <c r="AC24" t="s">
        <v>7426</v>
      </c>
      <c r="AD24" t="s">
        <v>7426</v>
      </c>
      <c r="AE24" t="s">
        <v>8479</v>
      </c>
      <c r="AF24" t="s">
        <v>8746</v>
      </c>
      <c r="AG24">
        <v>4</v>
      </c>
      <c r="AI24">
        <v>4</v>
      </c>
      <c r="AJ24" t="s">
        <v>8748</v>
      </c>
      <c r="AO24" s="56" t="s">
        <v>1420</v>
      </c>
      <c r="AP24" s="56" t="s">
        <v>8657</v>
      </c>
      <c r="AQ24" s="56">
        <v>3</v>
      </c>
      <c r="AR24" s="56" t="s">
        <v>5497</v>
      </c>
      <c r="AS24" s="56" t="s">
        <v>5486</v>
      </c>
      <c r="AT24" s="56">
        <v>3</v>
      </c>
      <c r="AU24" s="56">
        <v>5</v>
      </c>
      <c r="AV24" s="56">
        <v>4</v>
      </c>
      <c r="AW24" s="56">
        <v>4</v>
      </c>
      <c r="AX24">
        <v>5</v>
      </c>
      <c r="AY24" s="56">
        <v>4</v>
      </c>
      <c r="AZ24" s="56">
        <v>5</v>
      </c>
      <c r="BA24" s="56">
        <v>6</v>
      </c>
    </row>
    <row r="25" spans="1:53">
      <c r="A25" t="s">
        <v>8787</v>
      </c>
      <c r="B25" t="s">
        <v>1174</v>
      </c>
      <c r="C25" t="s">
        <v>8739</v>
      </c>
      <c r="D25">
        <v>12</v>
      </c>
      <c r="E25">
        <v>14</v>
      </c>
      <c r="F25">
        <v>4</v>
      </c>
      <c r="G25">
        <v>7</v>
      </c>
      <c r="H25">
        <v>30</v>
      </c>
      <c r="I25">
        <v>2</v>
      </c>
      <c r="J25">
        <v>4</v>
      </c>
      <c r="K25">
        <v>60</v>
      </c>
      <c r="L25">
        <v>1</v>
      </c>
      <c r="T25">
        <v>12</v>
      </c>
      <c r="U25" t="s">
        <v>8485</v>
      </c>
      <c r="W25" t="s">
        <v>8410</v>
      </c>
      <c r="X25">
        <v>4</v>
      </c>
      <c r="Y25" t="s">
        <v>8692</v>
      </c>
      <c r="Z25" t="s">
        <v>8410</v>
      </c>
      <c r="AA25" t="s">
        <v>8543</v>
      </c>
      <c r="AB25" t="s">
        <v>8760</v>
      </c>
      <c r="AC25" t="s">
        <v>7426</v>
      </c>
      <c r="AD25" t="s">
        <v>7426</v>
      </c>
      <c r="AE25" t="s">
        <v>8369</v>
      </c>
      <c r="AF25" t="s">
        <v>8746</v>
      </c>
      <c r="AG25">
        <v>4</v>
      </c>
      <c r="AI25">
        <v>2</v>
      </c>
      <c r="AJ25" t="s">
        <v>8788</v>
      </c>
      <c r="AO25" s="56" t="s">
        <v>1420</v>
      </c>
      <c r="AP25" s="56" t="s">
        <v>8657</v>
      </c>
      <c r="AQ25" s="56">
        <v>3</v>
      </c>
      <c r="AR25" s="56" t="s">
        <v>5497</v>
      </c>
      <c r="AS25" s="56" t="s">
        <v>5486</v>
      </c>
      <c r="AT25" s="56">
        <v>3</v>
      </c>
      <c r="AU25" s="56">
        <v>5</v>
      </c>
      <c r="AV25" s="56">
        <v>4</v>
      </c>
      <c r="AW25" s="56">
        <v>4</v>
      </c>
      <c r="AX25">
        <v>7</v>
      </c>
      <c r="AY25" s="56">
        <v>6</v>
      </c>
      <c r="AZ25" s="56">
        <v>5</v>
      </c>
      <c r="BA25" s="56">
        <v>6</v>
      </c>
    </row>
    <row r="26" spans="1:53">
      <c r="A26" t="s">
        <v>8789</v>
      </c>
      <c r="B26" t="s">
        <v>1174</v>
      </c>
      <c r="C26" t="s">
        <v>8739</v>
      </c>
      <c r="D26">
        <v>25</v>
      </c>
      <c r="E26">
        <v>14</v>
      </c>
      <c r="F26">
        <v>4</v>
      </c>
      <c r="G26">
        <v>12</v>
      </c>
      <c r="H26">
        <v>30</v>
      </c>
      <c r="I26">
        <v>2</v>
      </c>
      <c r="J26">
        <v>7</v>
      </c>
      <c r="K26">
        <v>60</v>
      </c>
      <c r="L26">
        <v>1</v>
      </c>
      <c r="T26">
        <v>25</v>
      </c>
      <c r="U26" t="s">
        <v>8489</v>
      </c>
      <c r="W26" t="s">
        <v>8410</v>
      </c>
      <c r="X26">
        <v>5</v>
      </c>
      <c r="Y26" t="s">
        <v>8659</v>
      </c>
      <c r="Z26" t="s">
        <v>8422</v>
      </c>
      <c r="AA26" t="s">
        <v>8762</v>
      </c>
      <c r="AB26" t="s">
        <v>8699</v>
      </c>
      <c r="AC26" t="s">
        <v>7426</v>
      </c>
      <c r="AD26" t="s">
        <v>7426</v>
      </c>
      <c r="AE26" t="s">
        <v>8305</v>
      </c>
      <c r="AF26" t="s">
        <v>8746</v>
      </c>
      <c r="AG26">
        <v>4</v>
      </c>
      <c r="AI26">
        <v>3</v>
      </c>
      <c r="AJ26" t="s">
        <v>8790</v>
      </c>
      <c r="AO26" s="56" t="s">
        <v>1420</v>
      </c>
      <c r="AP26" s="56" t="s">
        <v>8657</v>
      </c>
      <c r="AQ26" s="56">
        <v>3</v>
      </c>
      <c r="AR26" s="56" t="s">
        <v>5497</v>
      </c>
      <c r="AS26" s="56" t="s">
        <v>5486</v>
      </c>
      <c r="AT26" s="56">
        <v>3</v>
      </c>
      <c r="AU26" s="56">
        <v>5</v>
      </c>
      <c r="AV26" s="56">
        <v>4</v>
      </c>
      <c r="AW26" s="56">
        <v>4</v>
      </c>
      <c r="AX26">
        <v>12</v>
      </c>
      <c r="AY26" s="56">
        <v>9</v>
      </c>
      <c r="AZ26" s="56">
        <v>5</v>
      </c>
      <c r="BA26" s="56">
        <v>6</v>
      </c>
    </row>
    <row r="27" spans="1:53">
      <c r="A27" t="s">
        <v>8791</v>
      </c>
      <c r="B27" t="s">
        <v>1174</v>
      </c>
      <c r="C27" t="s">
        <v>8739</v>
      </c>
      <c r="D27">
        <v>37</v>
      </c>
      <c r="E27">
        <v>14</v>
      </c>
      <c r="F27">
        <v>4</v>
      </c>
      <c r="G27">
        <v>20</v>
      </c>
      <c r="H27">
        <v>30</v>
      </c>
      <c r="I27">
        <v>2</v>
      </c>
      <c r="J27">
        <v>14</v>
      </c>
      <c r="K27">
        <v>60</v>
      </c>
      <c r="L27">
        <v>1</v>
      </c>
      <c r="T27">
        <v>37</v>
      </c>
      <c r="U27" t="s">
        <v>8493</v>
      </c>
      <c r="W27" t="s">
        <v>8410</v>
      </c>
      <c r="X27">
        <v>6</v>
      </c>
      <c r="Y27" t="s">
        <v>8428</v>
      </c>
      <c r="Z27" t="s">
        <v>8419</v>
      </c>
      <c r="AA27" t="s">
        <v>8688</v>
      </c>
      <c r="AB27" t="s">
        <v>8665</v>
      </c>
      <c r="AC27" t="s">
        <v>7426</v>
      </c>
      <c r="AD27" t="s">
        <v>7426</v>
      </c>
      <c r="AE27" t="s">
        <v>8312</v>
      </c>
      <c r="AF27" t="s">
        <v>8746</v>
      </c>
      <c r="AG27">
        <v>4</v>
      </c>
      <c r="AI27">
        <v>4</v>
      </c>
      <c r="AJ27" t="s">
        <v>8792</v>
      </c>
      <c r="AO27" s="56" t="s">
        <v>1420</v>
      </c>
      <c r="AP27" s="56" t="s">
        <v>8657</v>
      </c>
      <c r="AQ27" s="56">
        <v>3</v>
      </c>
      <c r="AR27" s="56" t="s">
        <v>5497</v>
      </c>
      <c r="AS27" s="56" t="s">
        <v>5486</v>
      </c>
      <c r="AT27" s="56">
        <v>3</v>
      </c>
      <c r="AU27" s="56">
        <v>5</v>
      </c>
      <c r="AV27" s="56">
        <v>4</v>
      </c>
      <c r="AW27" s="56">
        <v>4</v>
      </c>
      <c r="AX27">
        <v>20</v>
      </c>
      <c r="AY27" s="56">
        <v>15</v>
      </c>
      <c r="AZ27" s="56">
        <v>5</v>
      </c>
      <c r="BA27" s="56">
        <v>6</v>
      </c>
    </row>
    <row r="28" spans="1:53">
      <c r="A28" t="s">
        <v>8793</v>
      </c>
      <c r="B28" t="s">
        <v>1174</v>
      </c>
      <c r="C28" t="s">
        <v>8753</v>
      </c>
      <c r="M28">
        <v>11</v>
      </c>
      <c r="N28">
        <v>6</v>
      </c>
      <c r="O28">
        <v>10</v>
      </c>
      <c r="P28">
        <v>1</v>
      </c>
      <c r="Q28">
        <v>16</v>
      </c>
      <c r="R28">
        <v>6</v>
      </c>
      <c r="U28" t="s">
        <v>8303</v>
      </c>
      <c r="W28" t="s">
        <v>8410</v>
      </c>
      <c r="X28">
        <v>4</v>
      </c>
      <c r="Y28" t="s">
        <v>8406</v>
      </c>
      <c r="Z28" t="s">
        <v>8438</v>
      </c>
      <c r="AA28" t="s">
        <v>8767</v>
      </c>
      <c r="AB28" t="s">
        <v>8768</v>
      </c>
      <c r="AC28" t="s">
        <v>7426</v>
      </c>
      <c r="AD28" t="s">
        <v>7426</v>
      </c>
      <c r="AE28" t="s">
        <v>8479</v>
      </c>
      <c r="AI28">
        <v>6</v>
      </c>
      <c r="AJ28" t="s">
        <v>8794</v>
      </c>
      <c r="AN28" t="s">
        <v>8756</v>
      </c>
      <c r="AO28" s="56" t="s">
        <v>1420</v>
      </c>
      <c r="AP28" s="56" t="s">
        <v>8657</v>
      </c>
      <c r="AQ28" s="56">
        <v>3</v>
      </c>
      <c r="AR28" s="56" t="s">
        <v>5497</v>
      </c>
      <c r="AS28" s="56" t="s">
        <v>5486</v>
      </c>
      <c r="AT28" s="56">
        <v>3</v>
      </c>
      <c r="AU28" s="56">
        <v>5</v>
      </c>
      <c r="AV28" s="56">
        <v>4</v>
      </c>
      <c r="AW28" s="56">
        <v>4</v>
      </c>
      <c r="AX28" s="56">
        <v>11</v>
      </c>
      <c r="AY28" s="56">
        <v>9</v>
      </c>
      <c r="AZ28" s="56">
        <v>5</v>
      </c>
      <c r="BA28" s="56">
        <v>6</v>
      </c>
    </row>
    <row r="29" spans="1:53">
      <c r="A29" t="s">
        <v>8795</v>
      </c>
      <c r="B29" t="s">
        <v>5606</v>
      </c>
      <c r="C29" t="s">
        <v>8739</v>
      </c>
      <c r="D29">
        <v>5</v>
      </c>
      <c r="E29">
        <v>14</v>
      </c>
      <c r="F29">
        <v>4</v>
      </c>
      <c r="G29">
        <v>1</v>
      </c>
      <c r="H29">
        <v>30</v>
      </c>
      <c r="I29">
        <v>2</v>
      </c>
      <c r="J29">
        <v>1</v>
      </c>
      <c r="K29">
        <v>60</v>
      </c>
      <c r="L29">
        <v>1</v>
      </c>
      <c r="T29">
        <v>5</v>
      </c>
      <c r="U29" t="s">
        <v>8524</v>
      </c>
      <c r="X29">
        <v>2</v>
      </c>
      <c r="Y29" t="s">
        <v>8743</v>
      </c>
      <c r="Z29" t="s">
        <v>8452</v>
      </c>
      <c r="AA29" t="s">
        <v>8744</v>
      </c>
      <c r="AB29" t="s">
        <v>8745</v>
      </c>
      <c r="AC29" t="s">
        <v>7426</v>
      </c>
      <c r="AD29" t="s">
        <v>7426</v>
      </c>
      <c r="AE29" t="s">
        <v>8479</v>
      </c>
      <c r="AF29" t="s">
        <v>8746</v>
      </c>
      <c r="AG29">
        <v>4</v>
      </c>
      <c r="AI29">
        <v>4</v>
      </c>
      <c r="AJ29" t="s">
        <v>8682</v>
      </c>
      <c r="AO29" s="56" t="s">
        <v>1420</v>
      </c>
      <c r="AP29" s="56" t="s">
        <v>8657</v>
      </c>
      <c r="AQ29" s="56">
        <v>3</v>
      </c>
      <c r="AR29" s="56" t="s">
        <v>5497</v>
      </c>
      <c r="AS29" s="56" t="s">
        <v>5486</v>
      </c>
      <c r="AT29" s="56">
        <v>3</v>
      </c>
      <c r="AU29" s="56">
        <v>5</v>
      </c>
      <c r="AV29" s="56">
        <v>4</v>
      </c>
      <c r="AW29" s="56">
        <v>4</v>
      </c>
      <c r="AX29">
        <v>1</v>
      </c>
      <c r="AY29" s="56">
        <v>1</v>
      </c>
      <c r="AZ29" s="56">
        <v>5</v>
      </c>
      <c r="BA29" s="56">
        <v>6</v>
      </c>
    </row>
    <row r="30" spans="1:53">
      <c r="A30" t="s">
        <v>8796</v>
      </c>
      <c r="B30" t="s">
        <v>5606</v>
      </c>
      <c r="C30" t="s">
        <v>8739</v>
      </c>
      <c r="D30">
        <v>8</v>
      </c>
      <c r="E30">
        <v>14</v>
      </c>
      <c r="F30">
        <v>4</v>
      </c>
      <c r="G30">
        <v>3</v>
      </c>
      <c r="H30">
        <v>30</v>
      </c>
      <c r="I30">
        <v>2</v>
      </c>
      <c r="J30">
        <v>1</v>
      </c>
      <c r="K30">
        <v>60</v>
      </c>
      <c r="L30">
        <v>1</v>
      </c>
      <c r="T30">
        <v>8</v>
      </c>
      <c r="U30" t="s">
        <v>8303</v>
      </c>
      <c r="X30">
        <v>2</v>
      </c>
      <c r="Y30" t="s">
        <v>8582</v>
      </c>
      <c r="Z30" t="s">
        <v>8413</v>
      </c>
      <c r="AA30" t="s">
        <v>8703</v>
      </c>
      <c r="AB30" t="s">
        <v>8702</v>
      </c>
      <c r="AC30" t="s">
        <v>7426</v>
      </c>
      <c r="AD30" t="s">
        <v>7426</v>
      </c>
      <c r="AE30" t="s">
        <v>8369</v>
      </c>
      <c r="AF30" t="s">
        <v>8746</v>
      </c>
      <c r="AG30">
        <v>4</v>
      </c>
      <c r="AI30">
        <v>2</v>
      </c>
      <c r="AJ30" t="s">
        <v>8763</v>
      </c>
      <c r="AO30" s="56" t="s">
        <v>1420</v>
      </c>
      <c r="AP30" s="56" t="s">
        <v>8657</v>
      </c>
      <c r="AQ30" s="56">
        <v>3</v>
      </c>
      <c r="AR30" s="56" t="s">
        <v>5497</v>
      </c>
      <c r="AS30" s="56" t="s">
        <v>5486</v>
      </c>
      <c r="AT30" s="56">
        <v>3</v>
      </c>
      <c r="AU30" s="56">
        <v>5</v>
      </c>
      <c r="AV30" s="56">
        <v>4</v>
      </c>
      <c r="AW30" s="56">
        <v>4</v>
      </c>
      <c r="AX30">
        <v>3</v>
      </c>
      <c r="AY30" s="56">
        <v>3</v>
      </c>
      <c r="AZ30" s="56">
        <v>5</v>
      </c>
      <c r="BA30" s="56">
        <v>6</v>
      </c>
    </row>
    <row r="31" spans="1:53">
      <c r="A31" t="s">
        <v>8797</v>
      </c>
      <c r="B31" t="s">
        <v>5606</v>
      </c>
      <c r="C31" t="s">
        <v>8739</v>
      </c>
      <c r="D31">
        <v>21</v>
      </c>
      <c r="E31">
        <v>14</v>
      </c>
      <c r="F31">
        <v>4</v>
      </c>
      <c r="G31">
        <v>8</v>
      </c>
      <c r="H31">
        <v>30</v>
      </c>
      <c r="I31">
        <v>2</v>
      </c>
      <c r="J31">
        <v>3</v>
      </c>
      <c r="K31">
        <v>60</v>
      </c>
      <c r="L31">
        <v>1</v>
      </c>
      <c r="T31">
        <v>21</v>
      </c>
      <c r="U31" t="s">
        <v>8317</v>
      </c>
      <c r="X31">
        <v>3</v>
      </c>
      <c r="Y31" t="s">
        <v>8692</v>
      </c>
      <c r="Z31" t="s">
        <v>8406</v>
      </c>
      <c r="AA31" t="s">
        <v>8684</v>
      </c>
      <c r="AB31" t="s">
        <v>8661</v>
      </c>
      <c r="AC31" t="s">
        <v>7426</v>
      </c>
      <c r="AD31" t="s">
        <v>7426</v>
      </c>
      <c r="AE31" t="s">
        <v>8305</v>
      </c>
      <c r="AF31" t="s">
        <v>8746</v>
      </c>
      <c r="AG31">
        <v>4</v>
      </c>
      <c r="AI31">
        <v>3</v>
      </c>
      <c r="AJ31" t="s">
        <v>8694</v>
      </c>
      <c r="AO31" s="56" t="s">
        <v>1420</v>
      </c>
      <c r="AP31" s="56" t="s">
        <v>8657</v>
      </c>
      <c r="AQ31" s="56">
        <v>3</v>
      </c>
      <c r="AR31" s="56" t="s">
        <v>5497</v>
      </c>
      <c r="AS31" s="56" t="s">
        <v>5486</v>
      </c>
      <c r="AT31" s="56">
        <v>3</v>
      </c>
      <c r="AU31" s="56">
        <v>5</v>
      </c>
      <c r="AV31" s="56">
        <v>4</v>
      </c>
      <c r="AW31" s="56">
        <v>4</v>
      </c>
      <c r="AX31">
        <v>8</v>
      </c>
      <c r="AY31" s="56">
        <v>6</v>
      </c>
      <c r="AZ31" s="56">
        <v>5</v>
      </c>
      <c r="BA31" s="56">
        <v>6</v>
      </c>
    </row>
    <row r="32" spans="1:53">
      <c r="A32" t="s">
        <v>8798</v>
      </c>
      <c r="B32" t="s">
        <v>5606</v>
      </c>
      <c r="C32" t="s">
        <v>8739</v>
      </c>
      <c r="D32">
        <v>33</v>
      </c>
      <c r="E32">
        <v>14</v>
      </c>
      <c r="F32">
        <v>4</v>
      </c>
      <c r="G32">
        <v>16</v>
      </c>
      <c r="H32">
        <v>30</v>
      </c>
      <c r="I32">
        <v>2</v>
      </c>
      <c r="J32">
        <v>10</v>
      </c>
      <c r="K32">
        <v>60</v>
      </c>
      <c r="L32">
        <v>1</v>
      </c>
      <c r="T32">
        <v>33</v>
      </c>
      <c r="U32" t="s">
        <v>8485</v>
      </c>
      <c r="X32">
        <v>4</v>
      </c>
      <c r="Y32" t="s">
        <v>8659</v>
      </c>
      <c r="Z32" t="s">
        <v>8422</v>
      </c>
      <c r="AA32" t="s">
        <v>8715</v>
      </c>
      <c r="AB32" t="s">
        <v>8675</v>
      </c>
      <c r="AC32" t="s">
        <v>7426</v>
      </c>
      <c r="AD32" t="s">
        <v>7426</v>
      </c>
      <c r="AE32" t="s">
        <v>8312</v>
      </c>
      <c r="AF32" t="s">
        <v>8746</v>
      </c>
      <c r="AG32">
        <v>4</v>
      </c>
      <c r="AI32">
        <v>4</v>
      </c>
      <c r="AJ32" t="s">
        <v>8429</v>
      </c>
      <c r="AO32" s="56" t="s">
        <v>1420</v>
      </c>
      <c r="AP32" s="56" t="s">
        <v>8657</v>
      </c>
      <c r="AQ32" s="56">
        <v>3</v>
      </c>
      <c r="AR32" s="56" t="s">
        <v>5497</v>
      </c>
      <c r="AS32" s="56" t="s">
        <v>5486</v>
      </c>
      <c r="AT32" s="56">
        <v>3</v>
      </c>
      <c r="AU32" s="56">
        <v>5</v>
      </c>
      <c r="AV32" s="56">
        <v>4</v>
      </c>
      <c r="AW32" s="56">
        <v>4</v>
      </c>
      <c r="AX32">
        <v>16</v>
      </c>
      <c r="AY32" s="56">
        <v>12</v>
      </c>
      <c r="AZ32" s="56">
        <v>5</v>
      </c>
      <c r="BA32" s="56">
        <v>6</v>
      </c>
    </row>
    <row r="33" spans="1:53">
      <c r="A33" t="s">
        <v>8799</v>
      </c>
      <c r="B33" t="s">
        <v>5606</v>
      </c>
      <c r="C33" t="s">
        <v>8753</v>
      </c>
      <c r="M33">
        <v>8</v>
      </c>
      <c r="N33">
        <v>6</v>
      </c>
      <c r="O33">
        <v>10</v>
      </c>
      <c r="P33">
        <v>1</v>
      </c>
      <c r="Q33">
        <v>16</v>
      </c>
      <c r="R33">
        <v>6</v>
      </c>
      <c r="U33" t="s">
        <v>8524</v>
      </c>
      <c r="X33">
        <v>2</v>
      </c>
      <c r="Y33" t="s">
        <v>8428</v>
      </c>
      <c r="Z33" t="s">
        <v>8393</v>
      </c>
      <c r="AA33" t="s">
        <v>8689</v>
      </c>
      <c r="AB33" t="s">
        <v>8754</v>
      </c>
      <c r="AC33" t="s">
        <v>7426</v>
      </c>
      <c r="AD33" t="s">
        <v>7426</v>
      </c>
      <c r="AE33" t="s">
        <v>8479</v>
      </c>
      <c r="AI33">
        <v>6</v>
      </c>
      <c r="AJ33" t="s">
        <v>8785</v>
      </c>
      <c r="AN33" t="s">
        <v>8756</v>
      </c>
      <c r="AO33" s="56" t="s">
        <v>1420</v>
      </c>
      <c r="AP33" s="56" t="s">
        <v>8657</v>
      </c>
      <c r="AQ33" s="56">
        <v>3</v>
      </c>
      <c r="AR33" s="56" t="s">
        <v>5497</v>
      </c>
      <c r="AS33" s="56" t="s">
        <v>5486</v>
      </c>
      <c r="AT33" s="56">
        <v>3</v>
      </c>
      <c r="AU33" s="56">
        <v>5</v>
      </c>
      <c r="AV33" s="56">
        <v>4</v>
      </c>
      <c r="AW33" s="56">
        <v>4</v>
      </c>
      <c r="AX33" s="56">
        <v>8</v>
      </c>
      <c r="AY33" s="56">
        <v>6</v>
      </c>
      <c r="AZ33" s="56">
        <v>5</v>
      </c>
      <c r="BA33" s="56">
        <v>6</v>
      </c>
    </row>
    <row r="34" spans="1:53">
      <c r="A34" t="s">
        <v>8800</v>
      </c>
      <c r="B34" t="s">
        <v>5587</v>
      </c>
      <c r="C34" t="s">
        <v>8739</v>
      </c>
      <c r="D34">
        <v>10</v>
      </c>
      <c r="E34">
        <v>14</v>
      </c>
      <c r="F34">
        <v>4</v>
      </c>
      <c r="G34">
        <v>6</v>
      </c>
      <c r="H34">
        <v>30</v>
      </c>
      <c r="I34">
        <v>2</v>
      </c>
      <c r="J34">
        <v>4</v>
      </c>
      <c r="K34">
        <v>60</v>
      </c>
      <c r="L34">
        <v>1</v>
      </c>
      <c r="T34">
        <v>10</v>
      </c>
      <c r="U34" t="s">
        <v>8317</v>
      </c>
      <c r="X34">
        <v>3</v>
      </c>
      <c r="Y34" t="s">
        <v>8780</v>
      </c>
      <c r="Z34" t="s">
        <v>8432</v>
      </c>
      <c r="AA34" t="s">
        <v>8673</v>
      </c>
      <c r="AB34" t="s">
        <v>8801</v>
      </c>
      <c r="AC34" t="s">
        <v>7426</v>
      </c>
      <c r="AD34" t="s">
        <v>7426</v>
      </c>
      <c r="AE34" t="s">
        <v>8369</v>
      </c>
      <c r="AF34" t="s">
        <v>8746</v>
      </c>
      <c r="AG34">
        <v>4</v>
      </c>
      <c r="AI34">
        <v>4</v>
      </c>
      <c r="AJ34" t="s">
        <v>8802</v>
      </c>
      <c r="AO34" s="56" t="s">
        <v>1420</v>
      </c>
      <c r="AP34" s="56" t="s">
        <v>8657</v>
      </c>
      <c r="AQ34" s="56">
        <v>3</v>
      </c>
      <c r="AR34" s="56" t="s">
        <v>5497</v>
      </c>
      <c r="AS34" s="56" t="s">
        <v>5486</v>
      </c>
      <c r="AT34" s="56">
        <v>3</v>
      </c>
      <c r="AU34" s="56">
        <v>5</v>
      </c>
      <c r="AV34" s="56">
        <v>4</v>
      </c>
      <c r="AW34" s="56">
        <v>4</v>
      </c>
      <c r="AX34">
        <v>6</v>
      </c>
      <c r="AY34" s="56">
        <v>5</v>
      </c>
      <c r="AZ34" s="56">
        <v>5</v>
      </c>
      <c r="BA34" s="56">
        <v>6</v>
      </c>
    </row>
    <row r="35" spans="1:53">
      <c r="A35" t="s">
        <v>8803</v>
      </c>
      <c r="B35" t="s">
        <v>5587</v>
      </c>
      <c r="C35" t="s">
        <v>8739</v>
      </c>
      <c r="D35">
        <v>13</v>
      </c>
      <c r="E35">
        <v>14</v>
      </c>
      <c r="F35">
        <v>4</v>
      </c>
      <c r="G35">
        <v>8</v>
      </c>
      <c r="H35">
        <v>30</v>
      </c>
      <c r="I35">
        <v>2</v>
      </c>
      <c r="J35">
        <v>5</v>
      </c>
      <c r="K35">
        <v>60</v>
      </c>
      <c r="L35">
        <v>1</v>
      </c>
      <c r="T35">
        <v>13</v>
      </c>
      <c r="U35" t="s">
        <v>8485</v>
      </c>
      <c r="X35">
        <v>4</v>
      </c>
      <c r="Y35" t="s">
        <v>8743</v>
      </c>
      <c r="Z35" t="s">
        <v>8416</v>
      </c>
      <c r="AA35" t="s">
        <v>8660</v>
      </c>
      <c r="AB35" t="s">
        <v>8669</v>
      </c>
      <c r="AC35" t="s">
        <v>7426</v>
      </c>
      <c r="AD35" t="s">
        <v>7426</v>
      </c>
      <c r="AE35" t="s">
        <v>8305</v>
      </c>
      <c r="AF35" t="s">
        <v>8746</v>
      </c>
      <c r="AG35">
        <v>4</v>
      </c>
      <c r="AI35">
        <v>2</v>
      </c>
      <c r="AJ35" t="s">
        <v>8690</v>
      </c>
      <c r="AO35" s="56" t="s">
        <v>1420</v>
      </c>
      <c r="AP35" s="56" t="s">
        <v>8657</v>
      </c>
      <c r="AQ35" s="56">
        <v>3</v>
      </c>
      <c r="AR35" s="56" t="s">
        <v>5497</v>
      </c>
      <c r="AS35" s="56" t="s">
        <v>5486</v>
      </c>
      <c r="AT35" s="56">
        <v>3</v>
      </c>
      <c r="AU35" s="56">
        <v>5</v>
      </c>
      <c r="AV35" s="56">
        <v>4</v>
      </c>
      <c r="AW35" s="56">
        <v>4</v>
      </c>
      <c r="AX35">
        <v>8</v>
      </c>
      <c r="AY35" s="56">
        <v>6</v>
      </c>
      <c r="AZ35" s="56">
        <v>5</v>
      </c>
      <c r="BA35" s="56">
        <v>6</v>
      </c>
    </row>
    <row r="36" spans="1:53">
      <c r="A36" t="s">
        <v>8804</v>
      </c>
      <c r="B36" t="s">
        <v>5587</v>
      </c>
      <c r="C36" t="s">
        <v>8739</v>
      </c>
      <c r="D36">
        <v>26</v>
      </c>
      <c r="E36">
        <v>14</v>
      </c>
      <c r="F36">
        <v>4</v>
      </c>
      <c r="G36">
        <v>13</v>
      </c>
      <c r="H36">
        <v>30</v>
      </c>
      <c r="I36">
        <v>2</v>
      </c>
      <c r="J36">
        <v>8</v>
      </c>
      <c r="K36">
        <v>60</v>
      </c>
      <c r="L36">
        <v>1</v>
      </c>
      <c r="T36">
        <v>26</v>
      </c>
      <c r="U36" t="s">
        <v>8489</v>
      </c>
      <c r="X36">
        <v>5</v>
      </c>
      <c r="Y36" t="s">
        <v>8582</v>
      </c>
      <c r="Z36" t="s">
        <v>8428</v>
      </c>
      <c r="AA36" t="s">
        <v>8664</v>
      </c>
      <c r="AB36" t="s">
        <v>8744</v>
      </c>
      <c r="AC36" t="s">
        <v>7426</v>
      </c>
      <c r="AD36" t="s">
        <v>7426</v>
      </c>
      <c r="AE36" t="s">
        <v>8312</v>
      </c>
      <c r="AF36" t="s">
        <v>8746</v>
      </c>
      <c r="AG36">
        <v>4</v>
      </c>
      <c r="AI36">
        <v>3</v>
      </c>
      <c r="AJ36" t="s">
        <v>8805</v>
      </c>
      <c r="AO36" s="56" t="s">
        <v>1420</v>
      </c>
      <c r="AP36" s="56" t="s">
        <v>8657</v>
      </c>
      <c r="AQ36" s="56">
        <v>3</v>
      </c>
      <c r="AR36" s="56" t="s">
        <v>5497</v>
      </c>
      <c r="AS36" s="56" t="s">
        <v>5486</v>
      </c>
      <c r="AT36" s="56">
        <v>3</v>
      </c>
      <c r="AU36" s="56">
        <v>5</v>
      </c>
      <c r="AV36" s="56">
        <v>4</v>
      </c>
      <c r="AW36" s="56">
        <v>4</v>
      </c>
      <c r="AX36">
        <v>13</v>
      </c>
      <c r="AY36" s="56">
        <v>10</v>
      </c>
      <c r="AZ36" s="56">
        <v>5</v>
      </c>
      <c r="BA36" s="56">
        <v>6</v>
      </c>
    </row>
    <row r="37" spans="1:53">
      <c r="A37" t="s">
        <v>8806</v>
      </c>
      <c r="B37" t="s">
        <v>5587</v>
      </c>
      <c r="C37" t="s">
        <v>8739</v>
      </c>
      <c r="D37">
        <v>38</v>
      </c>
      <c r="E37">
        <v>14</v>
      </c>
      <c r="F37">
        <v>4</v>
      </c>
      <c r="G37">
        <v>21</v>
      </c>
      <c r="H37">
        <v>30</v>
      </c>
      <c r="I37">
        <v>2</v>
      </c>
      <c r="J37">
        <v>15</v>
      </c>
      <c r="K37">
        <v>60</v>
      </c>
      <c r="L37">
        <v>1</v>
      </c>
      <c r="T37">
        <v>38</v>
      </c>
      <c r="U37" t="s">
        <v>8493</v>
      </c>
      <c r="X37">
        <v>6</v>
      </c>
      <c r="Y37" t="s">
        <v>8692</v>
      </c>
      <c r="Z37" t="s">
        <v>8406</v>
      </c>
      <c r="AA37" t="s">
        <v>8571</v>
      </c>
      <c r="AB37" t="s">
        <v>8668</v>
      </c>
      <c r="AC37" t="s">
        <v>7426</v>
      </c>
      <c r="AD37" t="s">
        <v>7426</v>
      </c>
      <c r="AE37" t="s">
        <v>8318</v>
      </c>
      <c r="AF37" t="s">
        <v>8746</v>
      </c>
      <c r="AG37">
        <v>4</v>
      </c>
      <c r="AI37">
        <v>4</v>
      </c>
      <c r="AJ37" t="s">
        <v>8807</v>
      </c>
      <c r="AO37" s="56" t="s">
        <v>1420</v>
      </c>
      <c r="AP37" s="56" t="s">
        <v>8657</v>
      </c>
      <c r="AQ37" s="56">
        <v>3</v>
      </c>
      <c r="AR37" s="56" t="s">
        <v>5497</v>
      </c>
      <c r="AS37" s="56" t="s">
        <v>5486</v>
      </c>
      <c r="AT37" s="56">
        <v>3</v>
      </c>
      <c r="AU37" s="56">
        <v>5</v>
      </c>
      <c r="AV37" s="56">
        <v>4</v>
      </c>
      <c r="AW37" s="56">
        <v>4</v>
      </c>
      <c r="AX37">
        <v>21</v>
      </c>
      <c r="AY37" s="56">
        <v>16</v>
      </c>
      <c r="AZ37" s="56">
        <v>5</v>
      </c>
      <c r="BA37" s="56">
        <v>6</v>
      </c>
    </row>
    <row r="38" spans="1:53">
      <c r="A38" t="s">
        <v>8808</v>
      </c>
      <c r="B38" t="s">
        <v>5587</v>
      </c>
      <c r="C38" t="s">
        <v>8753</v>
      </c>
      <c r="M38">
        <v>12</v>
      </c>
      <c r="N38">
        <v>6</v>
      </c>
      <c r="O38">
        <v>10</v>
      </c>
      <c r="P38">
        <v>1</v>
      </c>
      <c r="Q38">
        <v>16</v>
      </c>
      <c r="R38">
        <v>6</v>
      </c>
      <c r="U38" t="s">
        <v>8303</v>
      </c>
      <c r="X38">
        <v>4</v>
      </c>
      <c r="Y38" t="s">
        <v>8659</v>
      </c>
      <c r="Z38" t="s">
        <v>8410</v>
      </c>
      <c r="AA38" t="s">
        <v>8809</v>
      </c>
      <c r="AB38" t="s">
        <v>8810</v>
      </c>
      <c r="AC38" t="s">
        <v>7426</v>
      </c>
      <c r="AD38" t="s">
        <v>7426</v>
      </c>
      <c r="AE38" t="s">
        <v>8369</v>
      </c>
      <c r="AI38">
        <v>6</v>
      </c>
      <c r="AJ38" t="s">
        <v>8811</v>
      </c>
      <c r="AN38" t="s">
        <v>8756</v>
      </c>
      <c r="AO38" s="56" t="s">
        <v>1420</v>
      </c>
      <c r="AP38" s="56" t="s">
        <v>8657</v>
      </c>
      <c r="AQ38" s="56">
        <v>3</v>
      </c>
      <c r="AR38" s="56" t="s">
        <v>5497</v>
      </c>
      <c r="AS38" s="56" t="s">
        <v>5486</v>
      </c>
      <c r="AT38" s="56">
        <v>3</v>
      </c>
      <c r="AU38" s="56">
        <v>5</v>
      </c>
      <c r="AV38" s="56">
        <v>4</v>
      </c>
      <c r="AW38" s="56">
        <v>4</v>
      </c>
      <c r="AX38" s="56">
        <v>12</v>
      </c>
      <c r="AY38" s="56">
        <v>9</v>
      </c>
      <c r="AZ38" s="56">
        <v>5</v>
      </c>
      <c r="BA38" s="56">
        <v>6</v>
      </c>
    </row>
    <row r="39" spans="1:53">
      <c r="A39" t="s">
        <v>8539</v>
      </c>
      <c r="B39" t="s">
        <v>8302</v>
      </c>
      <c r="C39" t="s">
        <v>8739</v>
      </c>
      <c r="D39">
        <v>13</v>
      </c>
      <c r="E39">
        <v>14</v>
      </c>
      <c r="F39">
        <v>4</v>
      </c>
      <c r="T39">
        <v>13</v>
      </c>
      <c r="U39" t="s">
        <v>8303</v>
      </c>
      <c r="X39">
        <v>2</v>
      </c>
      <c r="Y39" t="s">
        <v>8743</v>
      </c>
      <c r="Z39" t="s">
        <v>8416</v>
      </c>
      <c r="AA39" t="s">
        <v>8660</v>
      </c>
      <c r="AB39" t="s">
        <v>8669</v>
      </c>
      <c r="AC39" t="s">
        <v>7426</v>
      </c>
      <c r="AD39" t="s">
        <v>7426</v>
      </c>
      <c r="AE39" t="s">
        <v>8369</v>
      </c>
      <c r="AF39" t="s">
        <v>8746</v>
      </c>
      <c r="AG39">
        <v>4</v>
      </c>
      <c r="AJ39" t="s">
        <v>8805</v>
      </c>
      <c r="AN39" t="s">
        <v>8541</v>
      </c>
      <c r="AO39" s="56" t="s">
        <v>1420</v>
      </c>
      <c r="AP39" s="56" t="s">
        <v>8657</v>
      </c>
      <c r="AQ39" s="56">
        <v>3</v>
      </c>
      <c r="AR39" s="56" t="s">
        <v>5497</v>
      </c>
      <c r="AS39" s="56" t="s">
        <v>5486</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5474</v>
      </c>
      <c r="B1" t="s">
        <v>5455</v>
      </c>
      <c r="C1" t="s">
        <v>8812</v>
      </c>
      <c r="D1" t="s">
        <v>8813</v>
      </c>
      <c r="E1" t="s">
        <v>8250</v>
      </c>
      <c r="F1" t="s">
        <v>8814</v>
      </c>
      <c r="G1" t="s">
        <v>8815</v>
      </c>
      <c r="H1" t="s">
        <v>8816</v>
      </c>
      <c r="I1" t="s">
        <v>8817</v>
      </c>
      <c r="J1" t="s">
        <v>8818</v>
      </c>
      <c r="K1" t="s">
        <v>8475</v>
      </c>
    </row>
    <row r="2" spans="1:11">
      <c r="A2" t="s">
        <v>8819</v>
      </c>
      <c r="B2" t="s">
        <v>8820</v>
      </c>
      <c r="C2" t="s">
        <v>8258</v>
      </c>
      <c r="D2" t="s">
        <v>8271</v>
      </c>
      <c r="E2">
        <v>19</v>
      </c>
      <c r="F2" t="s">
        <v>8259</v>
      </c>
      <c r="G2">
        <f>IF(F2="","",IF(COUNTIFS('Munition-Feuerwaffen'!$B$2:$B$35,F2,'Munition-Feuerwaffen'!$C$2:$C$35,E2)=0,"",SUMPRODUCT(('Munition-Feuerwaffen'!$B$2:$B$35=F2)*('Munition-Feuerwaffen'!$C$2:$C$35=E2)*'Munition-Feuerwaffen'!$D$2:$D$35)))</f>
        <v>0.42042000000000013</v>
      </c>
      <c r="H2" t="s">
        <v>8260</v>
      </c>
      <c r="I2">
        <f>IF(H2="","",IF(COUNTIFS('Munition-Feuerwaffen'!$B$2:$B$35,H2,'Munition-Feuerwaffen'!$C$2:$C$35,E2)=0,"",SUMPRODUCT(('Munition-Feuerwaffen'!$B$2:$B$35=H2)*('Munition-Feuerwaffen'!$C$2:$C$35=E2)*'Munition-Feuerwaffen'!$D$2:$D$35)))</f>
        <v>0.45311249999999997</v>
      </c>
      <c r="J2" t="s">
        <v>8261</v>
      </c>
    </row>
    <row r="3" spans="1:11">
      <c r="A3" t="s">
        <v>8821</v>
      </c>
      <c r="B3" t="s">
        <v>8820</v>
      </c>
      <c r="C3" t="s">
        <v>8258</v>
      </c>
      <c r="D3" t="s">
        <v>8271</v>
      </c>
      <c r="E3">
        <v>17</v>
      </c>
      <c r="F3" t="s">
        <v>8259</v>
      </c>
      <c r="G3">
        <f>IF(F3="","",IF(COUNTIFS('Munition-Feuerwaffen'!$B$2:$B$35,F3,'Munition-Feuerwaffen'!$C$2:$C$35,E3)=0,"",SUMPRODUCT(('Munition-Feuerwaffen'!$B$2:$B$35=F3)*('Munition-Feuerwaffen'!$C$2:$C$35=E3)*'Munition-Feuerwaffen'!$D$2:$D$35)))</f>
        <v>0.40513199999999999</v>
      </c>
      <c r="H3" t="s">
        <v>8260</v>
      </c>
      <c r="I3">
        <f>IF(H3="","",IF(COUNTIFS('Munition-Feuerwaffen'!$B$2:$B$35,H3,'Munition-Feuerwaffen'!$C$2:$C$35,E3)=0,"",SUMPRODUCT(('Munition-Feuerwaffen'!$B$2:$B$35=H3)*('Munition-Feuerwaffen'!$C$2:$C$35=E3)*'Munition-Feuerwaffen'!$D$2:$D$35)))</f>
        <v>0.44046750000000001</v>
      </c>
      <c r="J3" t="s">
        <v>8261</v>
      </c>
    </row>
    <row r="4" spans="1:11">
      <c r="A4" t="s">
        <v>8822</v>
      </c>
      <c r="B4" t="s">
        <v>8820</v>
      </c>
      <c r="C4" t="s">
        <v>8258</v>
      </c>
      <c r="D4" t="s">
        <v>8271</v>
      </c>
      <c r="E4">
        <v>18</v>
      </c>
      <c r="F4" t="s">
        <v>8259</v>
      </c>
      <c r="G4">
        <f>IF(F4="","",IF(COUNTIFS('Munition-Feuerwaffen'!$B$2:$B$35,F4,'Munition-Feuerwaffen'!$C$2:$C$35,E4)=0,"",SUMPRODUCT(('Munition-Feuerwaffen'!$B$2:$B$35=F4)*('Munition-Feuerwaffen'!$C$2:$C$35=E4)*'Munition-Feuerwaffen'!$D$2:$D$35)))</f>
        <v>0.41277600000000009</v>
      </c>
      <c r="H4" t="s">
        <v>8260</v>
      </c>
      <c r="I4">
        <f>IF(H4="","",IF(COUNTIFS('Munition-Feuerwaffen'!$B$2:$B$35,H4,'Munition-Feuerwaffen'!$C$2:$C$35,E4)=0,"",SUMPRODUCT(('Munition-Feuerwaffen'!$B$2:$B$35=H4)*('Munition-Feuerwaffen'!$C$2:$C$35=E4)*'Munition-Feuerwaffen'!$D$2:$D$35)))</f>
        <v>0.44679000000000008</v>
      </c>
      <c r="J4" t="s">
        <v>8261</v>
      </c>
    </row>
    <row r="5" spans="1:11">
      <c r="A5" t="s">
        <v>8823</v>
      </c>
      <c r="B5" t="s">
        <v>8820</v>
      </c>
      <c r="C5" t="s">
        <v>8258</v>
      </c>
      <c r="D5" t="s">
        <v>8271</v>
      </c>
      <c r="E5">
        <v>14</v>
      </c>
      <c r="F5" t="s">
        <v>8259</v>
      </c>
      <c r="G5">
        <f>IF(F5="","",IF(COUNTIFS('Munition-Feuerwaffen'!$B$2:$B$35,F5,'Munition-Feuerwaffen'!$C$2:$C$35,E5)=0,"",SUMPRODUCT(('Munition-Feuerwaffen'!$B$2:$B$35=F5)*('Munition-Feuerwaffen'!$C$2:$C$35=E5)*'Munition-Feuerwaffen'!$D$2:$D$35)))</f>
        <v>0.38219999999999998</v>
      </c>
      <c r="H5" t="s">
        <v>8260</v>
      </c>
      <c r="I5">
        <f>IF(H5="","",IF(COUNTIFS('Munition-Feuerwaffen'!$B$2:$B$35,H5,'Munition-Feuerwaffen'!$C$2:$C$35,E5)=0,"",SUMPRODUCT(('Munition-Feuerwaffen'!$B$2:$B$35=H5)*('Munition-Feuerwaffen'!$C$2:$C$35=E5)*'Munition-Feuerwaffen'!$D$2:$D$35)))</f>
        <v>0.42149999999999999</v>
      </c>
      <c r="J5" t="s">
        <v>8261</v>
      </c>
    </row>
    <row r="6" spans="1:11">
      <c r="A6" t="s">
        <v>8824</v>
      </c>
      <c r="B6" t="s">
        <v>8820</v>
      </c>
      <c r="C6" t="s">
        <v>8258</v>
      </c>
      <c r="D6" t="s">
        <v>8271</v>
      </c>
      <c r="E6">
        <v>14</v>
      </c>
      <c r="F6" t="s">
        <v>8259</v>
      </c>
      <c r="G6">
        <f>IF(F6="","",IF(COUNTIFS('Munition-Feuerwaffen'!$B$2:$B$35,F6,'Munition-Feuerwaffen'!$C$2:$C$35,E6)=0,"",SUMPRODUCT(('Munition-Feuerwaffen'!$B$2:$B$35=F6)*('Munition-Feuerwaffen'!$C$2:$C$35=E6)*'Munition-Feuerwaffen'!$D$2:$D$35)))</f>
        <v>0.38219999999999998</v>
      </c>
      <c r="H6" t="s">
        <v>8260</v>
      </c>
      <c r="I6">
        <f>IF(H6="","",IF(COUNTIFS('Munition-Feuerwaffen'!$B$2:$B$35,H6,'Munition-Feuerwaffen'!$C$2:$C$35,E6)=0,"",SUMPRODUCT(('Munition-Feuerwaffen'!$B$2:$B$35=H6)*('Munition-Feuerwaffen'!$C$2:$C$35=E6)*'Munition-Feuerwaffen'!$D$2:$D$35)))</f>
        <v>0.42149999999999999</v>
      </c>
      <c r="J6" t="s">
        <v>8261</v>
      </c>
    </row>
    <row r="7" spans="1:11">
      <c r="A7" t="s">
        <v>8825</v>
      </c>
      <c r="B7" t="s">
        <v>8820</v>
      </c>
      <c r="C7" t="s">
        <v>8258</v>
      </c>
      <c r="D7" t="s">
        <v>8271</v>
      </c>
      <c r="E7">
        <v>14</v>
      </c>
      <c r="F7" t="s">
        <v>8259</v>
      </c>
      <c r="G7">
        <f>IF(F7="","",IF(COUNTIFS('Munition-Feuerwaffen'!$B$2:$B$35,F7,'Munition-Feuerwaffen'!$C$2:$C$35,E7)=0,"",SUMPRODUCT(('Munition-Feuerwaffen'!$B$2:$B$35=F7)*('Munition-Feuerwaffen'!$C$2:$C$35=E7)*'Munition-Feuerwaffen'!$D$2:$D$35)))</f>
        <v>0.38219999999999998</v>
      </c>
      <c r="H7" t="s">
        <v>8260</v>
      </c>
      <c r="I7">
        <f>IF(H7="","",IF(COUNTIFS('Munition-Feuerwaffen'!$B$2:$B$35,H7,'Munition-Feuerwaffen'!$C$2:$C$35,E7)=0,"",SUMPRODUCT(('Munition-Feuerwaffen'!$B$2:$B$35=H7)*('Munition-Feuerwaffen'!$C$2:$C$35=E7)*'Munition-Feuerwaffen'!$D$2:$D$35)))</f>
        <v>0.42149999999999999</v>
      </c>
      <c r="J7" t="s">
        <v>8261</v>
      </c>
    </row>
    <row r="8" spans="1:11">
      <c r="A8" t="s">
        <v>8826</v>
      </c>
      <c r="B8" t="s">
        <v>1174</v>
      </c>
      <c r="C8" t="s">
        <v>8262</v>
      </c>
      <c r="D8" t="s">
        <v>8827</v>
      </c>
      <c r="E8">
        <v>18</v>
      </c>
      <c r="F8" t="s">
        <v>8263</v>
      </c>
      <c r="G8">
        <f>IF(F8="","",IF(COUNTIFS('Munition-Feuerwaffen'!$B$2:$B$35,F8,'Munition-Feuerwaffen'!$C$2:$C$35,E8)=0,"",SUMPRODUCT(('Munition-Feuerwaffen'!$B$2:$B$35=F8)*('Munition-Feuerwaffen'!$C$2:$C$35=E8)*'Munition-Feuerwaffen'!$D$2:$D$35)))</f>
        <v>0.72150666666666674</v>
      </c>
    </row>
    <row r="9" spans="1:11">
      <c r="A9" t="s">
        <v>8828</v>
      </c>
      <c r="B9" t="s">
        <v>1174</v>
      </c>
      <c r="C9" t="s">
        <v>8829</v>
      </c>
      <c r="D9" t="s">
        <v>8830</v>
      </c>
      <c r="E9">
        <v>12</v>
      </c>
      <c r="F9" t="s">
        <v>8265</v>
      </c>
      <c r="G9" t="str">
        <f>IF(F9="","",IF(COUNTIFS('Munition-Feuerwaffen'!$B$2:$B$35,F9,'Munition-Feuerwaffen'!$C$2:$C$35,E9)=0,"",SUMPRODUCT(('Munition-Feuerwaffen'!$B$2:$B$35=F9)*('Munition-Feuerwaffen'!$C$2:$C$35=E9)*'Munition-Feuerwaffen'!$D$2:$D$35)))</f>
        <v/>
      </c>
    </row>
    <row r="10" spans="1:11">
      <c r="A10" t="s">
        <v>8831</v>
      </c>
      <c r="B10" t="s">
        <v>1174</v>
      </c>
      <c r="C10" t="s">
        <v>8258</v>
      </c>
      <c r="D10" t="s">
        <v>8271</v>
      </c>
      <c r="E10">
        <v>18</v>
      </c>
      <c r="F10" t="s">
        <v>8259</v>
      </c>
      <c r="G10">
        <f>IF(F10="","",IF(COUNTIFS('Munition-Feuerwaffen'!$B$2:$B$35,F10,'Munition-Feuerwaffen'!$C$2:$C$35,E10)=0,"",SUMPRODUCT(('Munition-Feuerwaffen'!$B$2:$B$35=F10)*('Munition-Feuerwaffen'!$C$2:$C$35=E10)*'Munition-Feuerwaffen'!$D$2:$D$35)))</f>
        <v>0.41277600000000009</v>
      </c>
      <c r="H10" t="s">
        <v>8260</v>
      </c>
      <c r="I10">
        <f>IF(H10="","",IF(COUNTIFS('Munition-Feuerwaffen'!$B$2:$B$35,H10,'Munition-Feuerwaffen'!$C$2:$C$35,E10)=0,"",SUMPRODUCT(('Munition-Feuerwaffen'!$B$2:$B$35=H10)*('Munition-Feuerwaffen'!$C$2:$C$35=E10)*'Munition-Feuerwaffen'!$D$2:$D$35)))</f>
        <v>0.44679000000000008</v>
      </c>
      <c r="J10" t="s">
        <v>8261</v>
      </c>
    </row>
    <row r="11" spans="1:11">
      <c r="A11" t="s">
        <v>8832</v>
      </c>
      <c r="B11" t="s">
        <v>1174</v>
      </c>
      <c r="C11" t="s">
        <v>8262</v>
      </c>
      <c r="D11" t="s">
        <v>8827</v>
      </c>
      <c r="E11">
        <v>18</v>
      </c>
      <c r="F11" t="s">
        <v>8263</v>
      </c>
      <c r="G11">
        <f>IF(F11="","",IF(COUNTIFS('Munition-Feuerwaffen'!$B$2:$B$35,F11,'Munition-Feuerwaffen'!$C$2:$C$35,E11)=0,"",SUMPRODUCT(('Munition-Feuerwaffen'!$B$2:$B$35=F11)*('Munition-Feuerwaffen'!$C$2:$C$35=E11)*'Munition-Feuerwaffen'!$D$2:$D$35)))</f>
        <v>0.72150666666666674</v>
      </c>
    </row>
    <row r="12" spans="1:11">
      <c r="A12" t="s">
        <v>8833</v>
      </c>
      <c r="B12" t="s">
        <v>1174</v>
      </c>
      <c r="C12" t="s">
        <v>8829</v>
      </c>
      <c r="D12" t="s">
        <v>8830</v>
      </c>
      <c r="E12">
        <v>9</v>
      </c>
      <c r="F12" t="s">
        <v>8265</v>
      </c>
      <c r="G12">
        <f>IF(F12="","",IF(COUNTIFS('Munition-Feuerwaffen'!$B$2:$B$35,F12,'Munition-Feuerwaffen'!$C$2:$C$35,E12)=0,"",SUMPRODUCT(('Munition-Feuerwaffen'!$B$2:$B$35=F12)*('Munition-Feuerwaffen'!$C$2:$C$35=E12)*'Munition-Feuerwaffen'!$D$2:$D$35)))</f>
        <v>0.86891680000000004</v>
      </c>
    </row>
    <row r="13" spans="1:11">
      <c r="A13" t="s">
        <v>8834</v>
      </c>
      <c r="B13" t="s">
        <v>1174</v>
      </c>
      <c r="C13" t="s">
        <v>8829</v>
      </c>
      <c r="D13" t="s">
        <v>8830</v>
      </c>
      <c r="E13">
        <v>10</v>
      </c>
      <c r="F13" t="s">
        <v>8265</v>
      </c>
      <c r="G13">
        <f>IF(F13="","",IF(COUNTIFS('Munition-Feuerwaffen'!$B$2:$B$35,F13,'Munition-Feuerwaffen'!$C$2:$C$35,E13)=0,"",SUMPRODUCT(('Munition-Feuerwaffen'!$B$2:$B$35=F13)*('Munition-Feuerwaffen'!$C$2:$C$35=E13)*'Munition-Feuerwaffen'!$D$2:$D$35)))</f>
        <v>0.91267519999999991</v>
      </c>
    </row>
    <row r="14" spans="1:11">
      <c r="A14" t="s">
        <v>8835</v>
      </c>
      <c r="B14" t="s">
        <v>1174</v>
      </c>
      <c r="C14" t="s">
        <v>8258</v>
      </c>
      <c r="D14" t="s">
        <v>8271</v>
      </c>
      <c r="E14">
        <v>15</v>
      </c>
      <c r="F14" t="s">
        <v>8259</v>
      </c>
      <c r="G14">
        <f>IF(F14="","",IF(COUNTIFS('Munition-Feuerwaffen'!$B$2:$B$35,F14,'Munition-Feuerwaffen'!$C$2:$C$35,E14)=0,"",SUMPRODUCT(('Munition-Feuerwaffen'!$B$2:$B$35=F14)*('Munition-Feuerwaffen'!$C$2:$C$35=E14)*'Munition-Feuerwaffen'!$D$2:$D$35)))</f>
        <v>0.38984400000000002</v>
      </c>
      <c r="H14" t="s">
        <v>8260</v>
      </c>
      <c r="I14">
        <f>IF(H14="","",IF(COUNTIFS('Munition-Feuerwaffen'!$B$2:$B$35,H14,'Munition-Feuerwaffen'!$C$2:$C$35,E14)=0,"",SUMPRODUCT(('Munition-Feuerwaffen'!$B$2:$B$35=H14)*('Munition-Feuerwaffen'!$C$2:$C$35=E14)*'Munition-Feuerwaffen'!$D$2:$D$35)))</f>
        <v>0.42782249999999999</v>
      </c>
      <c r="J14" t="s">
        <v>8261</v>
      </c>
    </row>
    <row r="15" spans="1:11">
      <c r="A15" t="s">
        <v>8836</v>
      </c>
      <c r="B15" t="s">
        <v>1174</v>
      </c>
      <c r="C15" t="s">
        <v>8829</v>
      </c>
      <c r="D15" t="s">
        <v>8830</v>
      </c>
      <c r="E15">
        <v>7</v>
      </c>
      <c r="F15" t="s">
        <v>8265</v>
      </c>
      <c r="G15">
        <f>IF(F15="","",IF(COUNTIFS('Munition-Feuerwaffen'!$B$2:$B$35,F15,'Munition-Feuerwaffen'!$C$2:$C$35,E15)=0,"",SUMPRODUCT(('Munition-Feuerwaffen'!$B$2:$B$35=F15)*('Munition-Feuerwaffen'!$C$2:$C$35=E15)*'Munition-Feuerwaffen'!$D$2:$D$35)))</f>
        <v>0.71878400000000009</v>
      </c>
    </row>
    <row r="16" spans="1:11">
      <c r="A16" t="s">
        <v>8837</v>
      </c>
      <c r="B16" t="s">
        <v>1176</v>
      </c>
      <c r="C16" t="s">
        <v>8258</v>
      </c>
      <c r="D16" t="s">
        <v>8271</v>
      </c>
      <c r="E16">
        <v>17</v>
      </c>
      <c r="F16" t="s">
        <v>8259</v>
      </c>
      <c r="G16">
        <f>IF(F16="","",IF(COUNTIFS('Munition-Feuerwaffen'!$B$2:$B$35,F16,'Munition-Feuerwaffen'!$C$2:$C$35,E16)=0,"",SUMPRODUCT(('Munition-Feuerwaffen'!$B$2:$B$35=F16)*('Munition-Feuerwaffen'!$C$2:$C$35=E16)*'Munition-Feuerwaffen'!$D$2:$D$35)))</f>
        <v>0.40513199999999999</v>
      </c>
      <c r="H16" t="s">
        <v>8260</v>
      </c>
      <c r="I16">
        <f>IF(H16="","",IF(COUNTIFS('Munition-Feuerwaffen'!$B$2:$B$35,H16,'Munition-Feuerwaffen'!$C$2:$C$35,E16)=0,"",SUMPRODUCT(('Munition-Feuerwaffen'!$B$2:$B$35=H16)*('Munition-Feuerwaffen'!$C$2:$C$35=E16)*'Munition-Feuerwaffen'!$D$2:$D$35)))</f>
        <v>0.44046750000000001</v>
      </c>
      <c r="J16" t="s">
        <v>8261</v>
      </c>
    </row>
    <row r="17" spans="1:10">
      <c r="A17" t="s">
        <v>8838</v>
      </c>
      <c r="B17" t="s">
        <v>1176</v>
      </c>
      <c r="C17" t="s">
        <v>8829</v>
      </c>
      <c r="D17" t="s">
        <v>8830</v>
      </c>
      <c r="E17">
        <v>11</v>
      </c>
      <c r="F17" t="s">
        <v>8265</v>
      </c>
      <c r="G17" t="str">
        <f>IF(F17="","",IF(COUNTIFS('Munition-Feuerwaffen'!$B$2:$B$35,F17,'Munition-Feuerwaffen'!$C$2:$C$35,E17)=0,"",SUMPRODUCT(('Munition-Feuerwaffen'!$B$2:$B$35=F17)*('Munition-Feuerwaffen'!$C$2:$C$35=E17)*'Munition-Feuerwaffen'!$D$2:$D$35)))</f>
        <v/>
      </c>
    </row>
    <row r="18" spans="1:10">
      <c r="A18" t="s">
        <v>8839</v>
      </c>
      <c r="B18" t="s">
        <v>1176</v>
      </c>
      <c r="C18" t="s">
        <v>8258</v>
      </c>
      <c r="D18" t="s">
        <v>8271</v>
      </c>
      <c r="E18">
        <v>17</v>
      </c>
      <c r="F18" t="s">
        <v>8259</v>
      </c>
      <c r="G18">
        <f>IF(F18="","",IF(COUNTIFS('Munition-Feuerwaffen'!$B$2:$B$35,F18,'Munition-Feuerwaffen'!$C$2:$C$35,E18)=0,"",SUMPRODUCT(('Munition-Feuerwaffen'!$B$2:$B$35=F18)*('Munition-Feuerwaffen'!$C$2:$C$35=E18)*'Munition-Feuerwaffen'!$D$2:$D$35)))</f>
        <v>0.40513199999999999</v>
      </c>
      <c r="H18" t="s">
        <v>8260</v>
      </c>
      <c r="I18">
        <f>IF(H18="","",IF(COUNTIFS('Munition-Feuerwaffen'!$B$2:$B$35,H18,'Munition-Feuerwaffen'!$C$2:$C$35,E18)=0,"",SUMPRODUCT(('Munition-Feuerwaffen'!$B$2:$B$35=H18)*('Munition-Feuerwaffen'!$C$2:$C$35=E18)*'Munition-Feuerwaffen'!$D$2:$D$35)))</f>
        <v>0.44046750000000001</v>
      </c>
      <c r="J18" t="s">
        <v>8261</v>
      </c>
    </row>
    <row r="19" spans="1:10">
      <c r="A19" t="s">
        <v>8840</v>
      </c>
      <c r="B19" t="s">
        <v>1176</v>
      </c>
      <c r="C19" t="s">
        <v>8829</v>
      </c>
      <c r="D19" t="s">
        <v>8830</v>
      </c>
      <c r="E19">
        <v>11</v>
      </c>
      <c r="F19" t="s">
        <v>8265</v>
      </c>
      <c r="G19" t="str">
        <f>IF(F19="","",IF(COUNTIFS('Munition-Feuerwaffen'!$B$2:$B$35,F19,'Munition-Feuerwaffen'!$C$2:$C$35,E19)=0,"",SUMPRODUCT(('Munition-Feuerwaffen'!$B$2:$B$35=F19)*('Munition-Feuerwaffen'!$C$2:$C$35=E19)*'Munition-Feuerwaffen'!$D$2:$D$35)))</f>
        <v/>
      </c>
    </row>
    <row r="20" spans="1:10">
      <c r="A20" t="s">
        <v>8841</v>
      </c>
      <c r="B20" t="s">
        <v>1176</v>
      </c>
      <c r="C20" t="s">
        <v>8829</v>
      </c>
      <c r="D20" t="s">
        <v>8830</v>
      </c>
      <c r="E20">
        <v>11</v>
      </c>
      <c r="F20" t="s">
        <v>8265</v>
      </c>
      <c r="G20" t="str">
        <f>IF(F20="","",IF(COUNTIFS('Munition-Feuerwaffen'!$B$2:$B$35,F20,'Munition-Feuerwaffen'!$C$2:$C$35,E20)=0,"",SUMPRODUCT(('Munition-Feuerwaffen'!$B$2:$B$35=F20)*('Munition-Feuerwaffen'!$C$2:$C$35=E20)*'Munition-Feuerwaffen'!$D$2:$D$35)))</f>
        <v/>
      </c>
    </row>
    <row r="21" spans="1:10">
      <c r="A21" t="s">
        <v>8842</v>
      </c>
      <c r="B21" t="s">
        <v>1176</v>
      </c>
      <c r="C21" t="s">
        <v>8258</v>
      </c>
      <c r="D21" t="s">
        <v>8271</v>
      </c>
      <c r="E21">
        <v>17</v>
      </c>
      <c r="F21" t="s">
        <v>8259</v>
      </c>
      <c r="G21">
        <f>IF(F21="","",IF(COUNTIFS('Munition-Feuerwaffen'!$B$2:$B$35,F21,'Munition-Feuerwaffen'!$C$2:$C$35,E21)=0,"",SUMPRODUCT(('Munition-Feuerwaffen'!$B$2:$B$35=F21)*('Munition-Feuerwaffen'!$C$2:$C$35=E21)*'Munition-Feuerwaffen'!$D$2:$D$35)))</f>
        <v>0.40513199999999999</v>
      </c>
      <c r="H21" t="s">
        <v>8260</v>
      </c>
      <c r="I21">
        <f>IF(H21="","",IF(COUNTIFS('Munition-Feuerwaffen'!$B$2:$B$35,H21,'Munition-Feuerwaffen'!$C$2:$C$35,E21)=0,"",SUMPRODUCT(('Munition-Feuerwaffen'!$B$2:$B$35=H21)*('Munition-Feuerwaffen'!$C$2:$C$35=E21)*'Munition-Feuerwaffen'!$D$2:$D$35)))</f>
        <v>0.44046750000000001</v>
      </c>
      <c r="J21" t="s">
        <v>8261</v>
      </c>
    </row>
    <row r="22" spans="1:10">
      <c r="A22" t="s">
        <v>8629</v>
      </c>
      <c r="B22" t="s">
        <v>1176</v>
      </c>
      <c r="C22" t="s">
        <v>8829</v>
      </c>
      <c r="D22" t="s">
        <v>8830</v>
      </c>
      <c r="E22">
        <v>8</v>
      </c>
      <c r="F22" t="s">
        <v>8265</v>
      </c>
      <c r="G22">
        <f>IF(F22="","",IF(COUNTIFS('Munition-Feuerwaffen'!$B$2:$B$35,F22,'Munition-Feuerwaffen'!$C$2:$C$35,E22)=0,"",SUMPRODUCT(('Munition-Feuerwaffen'!$B$2:$B$35=F22)*('Munition-Feuerwaffen'!$C$2:$C$35=E22)*'Munition-Feuerwaffen'!$D$2:$D$35)))</f>
        <v>0.82515840000000007</v>
      </c>
    </row>
    <row r="23" spans="1:10">
      <c r="A23" t="s">
        <v>8843</v>
      </c>
      <c r="B23" t="s">
        <v>1176</v>
      </c>
      <c r="C23" t="s">
        <v>8258</v>
      </c>
      <c r="D23" t="s">
        <v>8271</v>
      </c>
      <c r="E23">
        <v>14</v>
      </c>
      <c r="F23" t="s">
        <v>8259</v>
      </c>
      <c r="G23">
        <f>IF(F23="","",IF(COUNTIFS('Munition-Feuerwaffen'!$B$2:$B$35,F23,'Munition-Feuerwaffen'!$C$2:$C$35,E23)=0,"",SUMPRODUCT(('Munition-Feuerwaffen'!$B$2:$B$35=F23)*('Munition-Feuerwaffen'!$C$2:$C$35=E23)*'Munition-Feuerwaffen'!$D$2:$D$35)))</f>
        <v>0.38219999999999998</v>
      </c>
      <c r="H23" t="s">
        <v>8260</v>
      </c>
      <c r="I23">
        <f>IF(H23="","",IF(COUNTIFS('Munition-Feuerwaffen'!$B$2:$B$35,H23,'Munition-Feuerwaffen'!$C$2:$C$35,E23)=0,"",SUMPRODUCT(('Munition-Feuerwaffen'!$B$2:$B$35=H23)*('Munition-Feuerwaffen'!$C$2:$C$35=E23)*'Munition-Feuerwaffen'!$D$2:$D$35)))</f>
        <v>0.42149999999999999</v>
      </c>
      <c r="J23" t="s">
        <v>8261</v>
      </c>
    </row>
    <row r="24" spans="1:10">
      <c r="A24" t="s">
        <v>8844</v>
      </c>
      <c r="B24" t="s">
        <v>1176</v>
      </c>
      <c r="C24" t="s">
        <v>8829</v>
      </c>
      <c r="D24" t="s">
        <v>8830</v>
      </c>
      <c r="E24">
        <v>8</v>
      </c>
      <c r="F24" t="s">
        <v>8265</v>
      </c>
      <c r="G24">
        <f>IF(F24="","",IF(COUNTIFS('Munition-Feuerwaffen'!$B$2:$B$35,F24,'Munition-Feuerwaffen'!$C$2:$C$35,E24)=0,"",SUMPRODUCT(('Munition-Feuerwaffen'!$B$2:$B$35=F24)*('Munition-Feuerwaffen'!$C$2:$C$35=E24)*'Munition-Feuerwaffen'!$D$2:$D$35)))</f>
        <v>0.82515840000000007</v>
      </c>
    </row>
    <row r="25" spans="1:10">
      <c r="A25" t="s">
        <v>8845</v>
      </c>
      <c r="B25" t="s">
        <v>1176</v>
      </c>
      <c r="C25" t="s">
        <v>8258</v>
      </c>
      <c r="D25" t="s">
        <v>8271</v>
      </c>
      <c r="E25">
        <v>14</v>
      </c>
      <c r="F25" t="s">
        <v>8259</v>
      </c>
      <c r="G25">
        <f>IF(F25="","",IF(COUNTIFS('Munition-Feuerwaffen'!$B$2:$B$35,F25,'Munition-Feuerwaffen'!$C$2:$C$35,E25)=0,"",SUMPRODUCT(('Munition-Feuerwaffen'!$B$2:$B$35=F25)*('Munition-Feuerwaffen'!$C$2:$C$35=E25)*'Munition-Feuerwaffen'!$D$2:$D$35)))</f>
        <v>0.38219999999999998</v>
      </c>
      <c r="H25" t="s">
        <v>8260</v>
      </c>
      <c r="I25">
        <f>IF(H25="","",IF(COUNTIFS('Munition-Feuerwaffen'!$B$2:$B$35,H25,'Munition-Feuerwaffen'!$C$2:$C$35,E25)=0,"",SUMPRODUCT(('Munition-Feuerwaffen'!$B$2:$B$35=H25)*('Munition-Feuerwaffen'!$C$2:$C$35=E25)*'Munition-Feuerwaffen'!$D$2:$D$35)))</f>
        <v>0.42149999999999999</v>
      </c>
      <c r="J25" t="s">
        <v>8261</v>
      </c>
    </row>
    <row r="26" spans="1:10">
      <c r="A26" t="s">
        <v>8846</v>
      </c>
      <c r="B26" t="s">
        <v>1180</v>
      </c>
      <c r="C26" t="s">
        <v>8847</v>
      </c>
      <c r="D26" t="s">
        <v>8830</v>
      </c>
      <c r="E26">
        <v>10</v>
      </c>
      <c r="F26" t="s">
        <v>8265</v>
      </c>
      <c r="G26">
        <f>IF(F26="","",IF(COUNTIFS('Munition-Feuerwaffen'!$B$2:$B$35,F26,'Munition-Feuerwaffen'!$C$2:$C$35,E26)=0,"",SUMPRODUCT(('Munition-Feuerwaffen'!$B$2:$B$35=F26)*('Munition-Feuerwaffen'!$C$2:$C$35=E26)*'Munition-Feuerwaffen'!$D$2:$D$35)))</f>
        <v>0.91267519999999991</v>
      </c>
    </row>
    <row r="27" spans="1:10">
      <c r="A27" t="s">
        <v>8848</v>
      </c>
      <c r="B27" t="s">
        <v>1180</v>
      </c>
      <c r="C27" t="s">
        <v>8258</v>
      </c>
      <c r="D27" t="s">
        <v>8271</v>
      </c>
      <c r="E27">
        <v>19</v>
      </c>
      <c r="F27" t="s">
        <v>8259</v>
      </c>
      <c r="G27">
        <f>IF(F27="","",IF(COUNTIFS('Munition-Feuerwaffen'!$B$2:$B$35,F27,'Munition-Feuerwaffen'!$C$2:$C$35,E27)=0,"",SUMPRODUCT(('Munition-Feuerwaffen'!$B$2:$B$35=F27)*('Munition-Feuerwaffen'!$C$2:$C$35=E27)*'Munition-Feuerwaffen'!$D$2:$D$35)))</f>
        <v>0.42042000000000013</v>
      </c>
      <c r="H27" t="s">
        <v>8260</v>
      </c>
      <c r="I27">
        <f>IF(H27="","",IF(COUNTIFS('Munition-Feuerwaffen'!$B$2:$B$35,H27,'Munition-Feuerwaffen'!$C$2:$C$35,E27)=0,"",SUMPRODUCT(('Munition-Feuerwaffen'!$B$2:$B$35=H27)*('Munition-Feuerwaffen'!$C$2:$C$35=E27)*'Munition-Feuerwaffen'!$D$2:$D$35)))</f>
        <v>0.45311249999999997</v>
      </c>
      <c r="J27" t="s">
        <v>8261</v>
      </c>
    </row>
    <row r="28" spans="1:10">
      <c r="A28" t="s">
        <v>8849</v>
      </c>
      <c r="B28" t="s">
        <v>1180</v>
      </c>
      <c r="C28" t="s">
        <v>8829</v>
      </c>
      <c r="D28" t="s">
        <v>8830</v>
      </c>
      <c r="E28">
        <v>10</v>
      </c>
      <c r="F28" t="s">
        <v>8265</v>
      </c>
      <c r="G28">
        <f>IF(F28="","",IF(COUNTIFS('Munition-Feuerwaffen'!$B$2:$B$35,F28,'Munition-Feuerwaffen'!$C$2:$C$35,E28)=0,"",SUMPRODUCT(('Munition-Feuerwaffen'!$B$2:$B$35=F28)*('Munition-Feuerwaffen'!$C$2:$C$35=E28)*'Munition-Feuerwaffen'!$D$2:$D$35)))</f>
        <v>0.91267519999999991</v>
      </c>
    </row>
    <row r="29" spans="1:10">
      <c r="A29" t="s">
        <v>8850</v>
      </c>
      <c r="B29" t="s">
        <v>1180</v>
      </c>
      <c r="C29" t="s">
        <v>8258</v>
      </c>
      <c r="D29" t="s">
        <v>8271</v>
      </c>
      <c r="E29">
        <v>15</v>
      </c>
      <c r="F29" t="s">
        <v>8259</v>
      </c>
      <c r="G29">
        <f>IF(F29="","",IF(COUNTIFS('Munition-Feuerwaffen'!$B$2:$B$35,F29,'Munition-Feuerwaffen'!$C$2:$C$35,E29)=0,"",SUMPRODUCT(('Munition-Feuerwaffen'!$B$2:$B$35=F29)*('Munition-Feuerwaffen'!$C$2:$C$35=E29)*'Munition-Feuerwaffen'!$D$2:$D$35)))</f>
        <v>0.38984400000000002</v>
      </c>
      <c r="H29" t="s">
        <v>8260</v>
      </c>
      <c r="I29">
        <f>IF(H29="","",IF(COUNTIFS('Munition-Feuerwaffen'!$B$2:$B$35,H29,'Munition-Feuerwaffen'!$C$2:$C$35,E29)=0,"",SUMPRODUCT(('Munition-Feuerwaffen'!$B$2:$B$35=H29)*('Munition-Feuerwaffen'!$C$2:$C$35=E29)*'Munition-Feuerwaffen'!$D$2:$D$35)))</f>
        <v>0.42782249999999999</v>
      </c>
      <c r="J29" t="s">
        <v>8261</v>
      </c>
    </row>
    <row r="30" spans="1:10">
      <c r="A30" t="s">
        <v>8851</v>
      </c>
      <c r="B30" t="s">
        <v>1180</v>
      </c>
      <c r="C30" t="s">
        <v>8262</v>
      </c>
      <c r="D30" t="s">
        <v>8827</v>
      </c>
      <c r="E30">
        <v>16</v>
      </c>
      <c r="F30" t="s">
        <v>8263</v>
      </c>
      <c r="G30">
        <f>IF(F30="","",IF(COUNTIFS('Munition-Feuerwaffen'!$B$2:$B$35,F30,'Munition-Feuerwaffen'!$C$2:$C$35,E30)=0,"",SUMPRODUCT(('Munition-Feuerwaffen'!$B$2:$B$35=F30)*('Munition-Feuerwaffen'!$C$2:$C$35=E30)*'Munition-Feuerwaffen'!$D$2:$D$35)))</f>
        <v>0.68066666666666675</v>
      </c>
    </row>
    <row r="31" spans="1:10">
      <c r="A31" t="s">
        <v>8852</v>
      </c>
      <c r="B31" t="s">
        <v>1180</v>
      </c>
      <c r="C31" t="s">
        <v>8262</v>
      </c>
      <c r="D31" t="s">
        <v>8827</v>
      </c>
      <c r="E31">
        <v>16</v>
      </c>
      <c r="F31" t="s">
        <v>8263</v>
      </c>
      <c r="G31">
        <f>IF(F31="","",IF(COUNTIFS('Munition-Feuerwaffen'!$B$2:$B$35,F31,'Munition-Feuerwaffen'!$C$2:$C$35,E31)=0,"",SUMPRODUCT(('Munition-Feuerwaffen'!$B$2:$B$35=F31)*('Munition-Feuerwaffen'!$C$2:$C$35=E31)*'Munition-Feuerwaffen'!$D$2:$D$35)))</f>
        <v>0.68066666666666675</v>
      </c>
    </row>
    <row r="32" spans="1:10">
      <c r="A32" t="s">
        <v>8853</v>
      </c>
      <c r="B32" t="s">
        <v>1180</v>
      </c>
      <c r="C32" t="s">
        <v>8258</v>
      </c>
      <c r="D32" t="s">
        <v>8271</v>
      </c>
      <c r="E32">
        <v>16</v>
      </c>
      <c r="F32" t="s">
        <v>8259</v>
      </c>
      <c r="G32">
        <f>IF(F32="","",IF(COUNTIFS('Munition-Feuerwaffen'!$B$2:$B$35,F32,'Munition-Feuerwaffen'!$C$2:$C$35,E32)=0,"",SUMPRODUCT(('Munition-Feuerwaffen'!$B$2:$B$35=F32)*('Munition-Feuerwaffen'!$C$2:$C$35=E32)*'Munition-Feuerwaffen'!$D$2:$D$35)))</f>
        <v>0.39748800000000012</v>
      </c>
      <c r="H32" t="s">
        <v>8260</v>
      </c>
      <c r="I32">
        <f>IF(H32="","",IF(COUNTIFS('Munition-Feuerwaffen'!$B$2:$B$35,H32,'Munition-Feuerwaffen'!$C$2:$C$35,E32)=0,"",SUMPRODUCT(('Munition-Feuerwaffen'!$B$2:$B$35=H32)*('Munition-Feuerwaffen'!$C$2:$C$35=E32)*'Munition-Feuerwaffen'!$D$2:$D$35)))</f>
        <v>0.43414500000000011</v>
      </c>
      <c r="J32" t="s">
        <v>8261</v>
      </c>
    </row>
    <row r="33" spans="1:11">
      <c r="A33" t="s">
        <v>8854</v>
      </c>
      <c r="B33" t="s">
        <v>1180</v>
      </c>
      <c r="C33" t="s">
        <v>8258</v>
      </c>
      <c r="D33" t="s">
        <v>8271</v>
      </c>
      <c r="E33">
        <v>16</v>
      </c>
      <c r="F33" t="s">
        <v>8259</v>
      </c>
      <c r="G33">
        <f>IF(F33="","",IF(COUNTIFS('Munition-Feuerwaffen'!$B$2:$B$35,F33,'Munition-Feuerwaffen'!$C$2:$C$35,E33)=0,"",SUMPRODUCT(('Munition-Feuerwaffen'!$B$2:$B$35=F33)*('Munition-Feuerwaffen'!$C$2:$C$35=E33)*'Munition-Feuerwaffen'!$D$2:$D$35)))</f>
        <v>0.39748800000000012</v>
      </c>
      <c r="H33" t="s">
        <v>8260</v>
      </c>
      <c r="I33">
        <f>IF(H33="","",IF(COUNTIFS('Munition-Feuerwaffen'!$B$2:$B$35,H33,'Munition-Feuerwaffen'!$C$2:$C$35,E33)=0,"",SUMPRODUCT(('Munition-Feuerwaffen'!$B$2:$B$35=H33)*('Munition-Feuerwaffen'!$C$2:$C$35=E33)*'Munition-Feuerwaffen'!$D$2:$D$35)))</f>
        <v>0.43414500000000011</v>
      </c>
      <c r="J33" t="s">
        <v>8261</v>
      </c>
    </row>
    <row r="34" spans="1:11">
      <c r="A34" t="s">
        <v>8855</v>
      </c>
      <c r="B34" t="s">
        <v>1180</v>
      </c>
      <c r="C34" t="s">
        <v>8829</v>
      </c>
      <c r="D34" t="s">
        <v>8830</v>
      </c>
      <c r="E34">
        <v>10</v>
      </c>
      <c r="F34" t="s">
        <v>8265</v>
      </c>
      <c r="G34">
        <f>IF(F34="","",IF(COUNTIFS('Munition-Feuerwaffen'!$B$2:$B$35,F34,'Munition-Feuerwaffen'!$C$2:$C$35,E34)=0,"",SUMPRODUCT(('Munition-Feuerwaffen'!$B$2:$B$35=F34)*('Munition-Feuerwaffen'!$C$2:$C$35=E34)*'Munition-Feuerwaffen'!$D$2:$D$35)))</f>
        <v>0.91267519999999991</v>
      </c>
    </row>
    <row r="35" spans="1:11">
      <c r="A35" t="s">
        <v>8856</v>
      </c>
      <c r="B35" t="s">
        <v>1180</v>
      </c>
      <c r="C35" t="s">
        <v>8258</v>
      </c>
      <c r="D35" t="s">
        <v>8271</v>
      </c>
      <c r="E35">
        <v>18</v>
      </c>
      <c r="F35" t="s">
        <v>8259</v>
      </c>
      <c r="G35">
        <f>IF(F35="","",IF(COUNTIFS('Munition-Feuerwaffen'!$B$2:$B$35,F35,'Munition-Feuerwaffen'!$C$2:$C$35,E35)=0,"",SUMPRODUCT(('Munition-Feuerwaffen'!$B$2:$B$35=F35)*('Munition-Feuerwaffen'!$C$2:$C$35=E35)*'Munition-Feuerwaffen'!$D$2:$D$35)))</f>
        <v>0.41277600000000009</v>
      </c>
      <c r="H35" t="s">
        <v>8260</v>
      </c>
      <c r="I35">
        <f>IF(H35="","",IF(COUNTIFS('Munition-Feuerwaffen'!$B$2:$B$35,H35,'Munition-Feuerwaffen'!$C$2:$C$35,E35)=0,"",SUMPRODUCT(('Munition-Feuerwaffen'!$B$2:$B$35=H35)*('Munition-Feuerwaffen'!$C$2:$C$35=E35)*'Munition-Feuerwaffen'!$D$2:$D$35)))</f>
        <v>0.44679000000000008</v>
      </c>
      <c r="J35" t="s">
        <v>8261</v>
      </c>
    </row>
    <row r="36" spans="1:11">
      <c r="A36" t="s">
        <v>8857</v>
      </c>
      <c r="B36" t="s">
        <v>1180</v>
      </c>
      <c r="C36" t="s">
        <v>8847</v>
      </c>
      <c r="D36" t="s">
        <v>8830</v>
      </c>
      <c r="E36">
        <v>11</v>
      </c>
      <c r="F36" t="s">
        <v>8265</v>
      </c>
      <c r="G36" t="str">
        <f>IF(F36="","",IF(COUNTIFS('Munition-Feuerwaffen'!$B$2:$B$35,F36,'Munition-Feuerwaffen'!$C$2:$C$35,E36)=0,"",SUMPRODUCT(('Munition-Feuerwaffen'!$B$2:$B$35=F36)*('Munition-Feuerwaffen'!$C$2:$C$35=E36)*'Munition-Feuerwaffen'!$D$2:$D$35)))</f>
        <v/>
      </c>
    </row>
    <row r="37" spans="1:11">
      <c r="A37" t="s">
        <v>8858</v>
      </c>
      <c r="B37" t="s">
        <v>1180</v>
      </c>
      <c r="C37" t="s">
        <v>8829</v>
      </c>
      <c r="D37" t="s">
        <v>8830</v>
      </c>
      <c r="E37">
        <v>10</v>
      </c>
      <c r="F37" t="s">
        <v>8265</v>
      </c>
      <c r="G37">
        <f>IF(F37="","",IF(COUNTIFS('Munition-Feuerwaffen'!$B$2:$B$35,F37,'Munition-Feuerwaffen'!$C$2:$C$35,E37)=0,"",SUMPRODUCT(('Munition-Feuerwaffen'!$B$2:$B$35=F37)*('Munition-Feuerwaffen'!$C$2:$C$35=E37)*'Munition-Feuerwaffen'!$D$2:$D$35)))</f>
        <v>0.91267519999999991</v>
      </c>
    </row>
    <row r="38" spans="1:11">
      <c r="A38" t="s">
        <v>8859</v>
      </c>
      <c r="B38" t="s">
        <v>1180</v>
      </c>
      <c r="C38" t="s">
        <v>8258</v>
      </c>
      <c r="D38" t="s">
        <v>8271</v>
      </c>
      <c r="E38">
        <v>20</v>
      </c>
      <c r="F38" t="s">
        <v>8259</v>
      </c>
      <c r="G38">
        <f>IF(F38="","",IF(COUNTIFS('Munition-Feuerwaffen'!$B$2:$B$35,F38,'Munition-Feuerwaffen'!$C$2:$C$35,E38)=0,"",SUMPRODUCT(('Munition-Feuerwaffen'!$B$2:$B$35=F38)*('Munition-Feuerwaffen'!$C$2:$C$35=E38)*'Munition-Feuerwaffen'!$D$2:$D$35)))</f>
        <v>0.42806400000000011</v>
      </c>
      <c r="H38" t="s">
        <v>8260</v>
      </c>
      <c r="I38">
        <f>IF(H38="","",IF(COUNTIFS('Munition-Feuerwaffen'!$B$2:$B$35,H38,'Munition-Feuerwaffen'!$C$2:$C$35,E38)=0,"",SUMPRODUCT(('Munition-Feuerwaffen'!$B$2:$B$35=H38)*('Munition-Feuerwaffen'!$C$2:$C$35=E38)*'Munition-Feuerwaffen'!$D$2:$D$35)))</f>
        <v>0.45943500000000009</v>
      </c>
      <c r="J38" t="s">
        <v>8261</v>
      </c>
    </row>
    <row r="39" spans="1:11">
      <c r="A39" t="s">
        <v>8860</v>
      </c>
      <c r="B39" t="s">
        <v>1180</v>
      </c>
      <c r="C39" t="s">
        <v>8829</v>
      </c>
      <c r="D39" t="s">
        <v>8830</v>
      </c>
      <c r="E39">
        <v>9</v>
      </c>
      <c r="F39" t="s">
        <v>8265</v>
      </c>
      <c r="G39">
        <f>IF(F39="","",IF(COUNTIFS('Munition-Feuerwaffen'!$B$2:$B$35,F39,'Munition-Feuerwaffen'!$C$2:$C$35,E39)=0,"",SUMPRODUCT(('Munition-Feuerwaffen'!$B$2:$B$35=F39)*('Munition-Feuerwaffen'!$C$2:$C$35=E39)*'Munition-Feuerwaffen'!$D$2:$D$35)))</f>
        <v>0.86891680000000004</v>
      </c>
    </row>
    <row r="40" spans="1:11">
      <c r="A40" t="s">
        <v>8861</v>
      </c>
      <c r="B40" t="s">
        <v>1180</v>
      </c>
      <c r="C40" t="s">
        <v>8258</v>
      </c>
      <c r="D40" t="s">
        <v>8271</v>
      </c>
      <c r="E40">
        <v>16</v>
      </c>
      <c r="F40" t="s">
        <v>8259</v>
      </c>
      <c r="G40">
        <f>IF(F40="","",IF(COUNTIFS('Munition-Feuerwaffen'!$B$2:$B$35,F40,'Munition-Feuerwaffen'!$C$2:$C$35,E40)=0,"",SUMPRODUCT(('Munition-Feuerwaffen'!$B$2:$B$35=F40)*('Munition-Feuerwaffen'!$C$2:$C$35=E40)*'Munition-Feuerwaffen'!$D$2:$D$35)))</f>
        <v>0.39748800000000012</v>
      </c>
      <c r="H40" t="s">
        <v>8260</v>
      </c>
      <c r="I40">
        <f>IF(H40="","",IF(COUNTIFS('Munition-Feuerwaffen'!$B$2:$B$35,H40,'Munition-Feuerwaffen'!$C$2:$C$35,E40)=0,"",SUMPRODUCT(('Munition-Feuerwaffen'!$B$2:$B$35=H40)*('Munition-Feuerwaffen'!$C$2:$C$35=E40)*'Munition-Feuerwaffen'!$D$2:$D$35)))</f>
        <v>0.43414500000000011</v>
      </c>
      <c r="J40" t="s">
        <v>8261</v>
      </c>
    </row>
    <row r="41" spans="1:11">
      <c r="A41" t="s">
        <v>8862</v>
      </c>
      <c r="B41" t="s">
        <v>1180</v>
      </c>
      <c r="C41" t="s">
        <v>8258</v>
      </c>
      <c r="D41" t="s">
        <v>8267</v>
      </c>
      <c r="E41">
        <v>16</v>
      </c>
      <c r="G41" t="str">
        <f>IF(F41="","",IF(COUNTIFS('Munition-Feuerwaffen'!$B$2:$B$35,F41,'Munition-Feuerwaffen'!$C$2:$C$35,E41)=0,"",SUMPRODUCT(('Munition-Feuerwaffen'!$B$2:$B$35=F41)*('Munition-Feuerwaffen'!$C$2:$C$35=E41)*'Munition-Feuerwaffen'!$D$2:$D$35)))</f>
        <v/>
      </c>
      <c r="K41" t="s">
        <v>8863</v>
      </c>
    </row>
    <row r="42" spans="1:11">
      <c r="A42" t="s">
        <v>8864</v>
      </c>
      <c r="B42" t="s">
        <v>1180</v>
      </c>
      <c r="C42" t="s">
        <v>8847</v>
      </c>
      <c r="D42" t="s">
        <v>8830</v>
      </c>
      <c r="E42">
        <v>10</v>
      </c>
      <c r="F42" t="s">
        <v>8265</v>
      </c>
      <c r="G42">
        <f>IF(F42="","",IF(COUNTIFS('Munition-Feuerwaffen'!$B$2:$B$35,F42,'Munition-Feuerwaffen'!$C$2:$C$35,E42)=0,"",SUMPRODUCT(('Munition-Feuerwaffen'!$B$2:$B$35=F42)*('Munition-Feuerwaffen'!$C$2:$C$35=E42)*'Munition-Feuerwaffen'!$D$2:$D$35)))</f>
        <v>0.91267519999999991</v>
      </c>
    </row>
    <row r="43" spans="1:11">
      <c r="A43" t="s">
        <v>8865</v>
      </c>
      <c r="B43" t="s">
        <v>1180</v>
      </c>
      <c r="C43" t="s">
        <v>8258</v>
      </c>
      <c r="D43" t="s">
        <v>8271</v>
      </c>
      <c r="E43">
        <v>16</v>
      </c>
      <c r="F43" t="s">
        <v>8259</v>
      </c>
      <c r="G43">
        <f>IF(F43="","",IF(COUNTIFS('Munition-Feuerwaffen'!$B$2:$B$35,F43,'Munition-Feuerwaffen'!$C$2:$C$35,E43)=0,"",SUMPRODUCT(('Munition-Feuerwaffen'!$B$2:$B$35=F43)*('Munition-Feuerwaffen'!$C$2:$C$35=E43)*'Munition-Feuerwaffen'!$D$2:$D$35)))</f>
        <v>0.39748800000000012</v>
      </c>
      <c r="H43" t="s">
        <v>8260</v>
      </c>
      <c r="I43">
        <f>IF(H43="","",IF(COUNTIFS('Munition-Feuerwaffen'!$B$2:$B$35,H43,'Munition-Feuerwaffen'!$C$2:$C$35,E43)=0,"",SUMPRODUCT(('Munition-Feuerwaffen'!$B$2:$B$35=H43)*('Munition-Feuerwaffen'!$C$2:$C$35=E43)*'Munition-Feuerwaffen'!$D$2:$D$35)))</f>
        <v>0.43414500000000011</v>
      </c>
      <c r="J43" t="s">
        <v>8261</v>
      </c>
    </row>
    <row r="44" spans="1:11">
      <c r="A44" t="s">
        <v>8866</v>
      </c>
      <c r="B44" t="s">
        <v>1180</v>
      </c>
      <c r="C44" t="s">
        <v>8258</v>
      </c>
      <c r="D44" t="s">
        <v>8271</v>
      </c>
      <c r="E44">
        <v>17</v>
      </c>
      <c r="F44" t="s">
        <v>8259</v>
      </c>
      <c r="G44">
        <f>IF(F44="","",IF(COUNTIFS('Munition-Feuerwaffen'!$B$2:$B$35,F44,'Munition-Feuerwaffen'!$C$2:$C$35,E44)=0,"",SUMPRODUCT(('Munition-Feuerwaffen'!$B$2:$B$35=F44)*('Munition-Feuerwaffen'!$C$2:$C$35=E44)*'Munition-Feuerwaffen'!$D$2:$D$35)))</f>
        <v>0.40513199999999999</v>
      </c>
      <c r="H44" t="s">
        <v>8260</v>
      </c>
      <c r="I44">
        <f>IF(H44="","",IF(COUNTIFS('Munition-Feuerwaffen'!$B$2:$B$35,H44,'Munition-Feuerwaffen'!$C$2:$C$35,E44)=0,"",SUMPRODUCT(('Munition-Feuerwaffen'!$B$2:$B$35=H44)*('Munition-Feuerwaffen'!$C$2:$C$35=E44)*'Munition-Feuerwaffen'!$D$2:$D$35)))</f>
        <v>0.44046750000000001</v>
      </c>
      <c r="J44" t="s">
        <v>8261</v>
      </c>
    </row>
    <row r="45" spans="1:11">
      <c r="A45" t="s">
        <v>8867</v>
      </c>
      <c r="B45" t="s">
        <v>1180</v>
      </c>
      <c r="C45" t="s">
        <v>8829</v>
      </c>
      <c r="D45" t="s">
        <v>8830</v>
      </c>
      <c r="E45">
        <v>7</v>
      </c>
      <c r="F45" t="s">
        <v>8265</v>
      </c>
      <c r="G45">
        <f>IF(F45="","",IF(COUNTIFS('Munition-Feuerwaffen'!$B$2:$B$35,F45,'Munition-Feuerwaffen'!$C$2:$C$35,E45)=0,"",SUMPRODUCT(('Munition-Feuerwaffen'!$B$2:$B$35=F45)*('Munition-Feuerwaffen'!$C$2:$C$35=E45)*'Munition-Feuerwaffen'!$D$2:$D$35)))</f>
        <v>0.71878400000000009</v>
      </c>
    </row>
    <row r="46" spans="1:11">
      <c r="A46" t="s">
        <v>8868</v>
      </c>
      <c r="B46" t="s">
        <v>1180</v>
      </c>
      <c r="C46" t="s">
        <v>8258</v>
      </c>
      <c r="D46" t="s">
        <v>8271</v>
      </c>
      <c r="E46">
        <v>13</v>
      </c>
      <c r="F46" t="s">
        <v>8259</v>
      </c>
      <c r="G46">
        <f>IF(F46="","",IF(COUNTIFS('Munition-Feuerwaffen'!$B$2:$B$35,F46,'Munition-Feuerwaffen'!$C$2:$C$35,E46)=0,"",SUMPRODUCT(('Munition-Feuerwaffen'!$B$2:$B$35=F46)*('Munition-Feuerwaffen'!$C$2:$C$35=E46)*'Munition-Feuerwaffen'!$D$2:$D$35)))</f>
        <v>0.37455600000000011</v>
      </c>
      <c r="H46" t="s">
        <v>8260</v>
      </c>
      <c r="I46">
        <f>IF(H46="","",IF(COUNTIFS('Munition-Feuerwaffen'!$B$2:$B$35,H46,'Munition-Feuerwaffen'!$C$2:$C$35,E46)=0,"",SUMPRODUCT(('Munition-Feuerwaffen'!$B$2:$B$35=H46)*('Munition-Feuerwaffen'!$C$2:$C$35=E46)*'Munition-Feuerwaffen'!$D$2:$D$35)))</f>
        <v>0.41517749999999998</v>
      </c>
      <c r="J46" t="s">
        <v>8261</v>
      </c>
    </row>
    <row r="47" spans="1:11">
      <c r="A47" t="s">
        <v>8869</v>
      </c>
      <c r="B47" t="s">
        <v>1180</v>
      </c>
      <c r="C47" t="s">
        <v>8258</v>
      </c>
      <c r="D47" t="s">
        <v>8271</v>
      </c>
      <c r="E47">
        <v>16</v>
      </c>
      <c r="F47" t="s">
        <v>8259</v>
      </c>
      <c r="G47">
        <f>IF(F47="","",IF(COUNTIFS('Munition-Feuerwaffen'!$B$2:$B$35,F47,'Munition-Feuerwaffen'!$C$2:$C$35,E47)=0,"",SUMPRODUCT(('Munition-Feuerwaffen'!$B$2:$B$35=F47)*('Munition-Feuerwaffen'!$C$2:$C$35=E47)*'Munition-Feuerwaffen'!$D$2:$D$35)))</f>
        <v>0.39748800000000012</v>
      </c>
      <c r="H47" t="s">
        <v>8260</v>
      </c>
      <c r="I47">
        <f>IF(H47="","",IF(COUNTIFS('Munition-Feuerwaffen'!$B$2:$B$35,H47,'Munition-Feuerwaffen'!$C$2:$C$35,E47)=0,"",SUMPRODUCT(('Munition-Feuerwaffen'!$B$2:$B$35=H47)*('Munition-Feuerwaffen'!$C$2:$C$35=E47)*'Munition-Feuerwaffen'!$D$2:$D$35)))</f>
        <v>0.43414500000000011</v>
      </c>
      <c r="J47" t="s">
        <v>8261</v>
      </c>
    </row>
    <row r="48" spans="1:11">
      <c r="A48" t="s">
        <v>8870</v>
      </c>
      <c r="B48" t="s">
        <v>1180</v>
      </c>
      <c r="C48" t="s">
        <v>8258</v>
      </c>
      <c r="D48" t="s">
        <v>8271</v>
      </c>
      <c r="E48">
        <v>12</v>
      </c>
      <c r="F48" t="s">
        <v>8259</v>
      </c>
      <c r="G48">
        <f>IF(F48="","",IF(COUNTIFS('Munition-Feuerwaffen'!$B$2:$B$35,F48,'Munition-Feuerwaffen'!$C$2:$C$35,E48)=0,"",SUMPRODUCT(('Munition-Feuerwaffen'!$B$2:$B$35=F48)*('Munition-Feuerwaffen'!$C$2:$C$35=E48)*'Munition-Feuerwaffen'!$D$2:$D$35)))</f>
        <v>0.36691200000000002</v>
      </c>
      <c r="H48" t="s">
        <v>8260</v>
      </c>
      <c r="I48">
        <f>IF(H48="","",IF(COUNTIFS('Munition-Feuerwaffen'!$B$2:$B$35,H48,'Munition-Feuerwaffen'!$C$2:$C$35,E48)=0,"",SUMPRODUCT(('Munition-Feuerwaffen'!$B$2:$B$35=H48)*('Munition-Feuerwaffen'!$C$2:$C$35=E48)*'Munition-Feuerwaffen'!$D$2:$D$35)))</f>
        <v>0.40885500000000002</v>
      </c>
      <c r="J48" t="s">
        <v>8261</v>
      </c>
    </row>
    <row r="49" spans="1:11">
      <c r="A49" t="s">
        <v>8871</v>
      </c>
      <c r="B49" t="s">
        <v>1180</v>
      </c>
      <c r="C49" t="s">
        <v>8829</v>
      </c>
      <c r="D49" t="s">
        <v>8830</v>
      </c>
      <c r="E49">
        <v>6</v>
      </c>
      <c r="F49" t="s">
        <v>8265</v>
      </c>
      <c r="G49">
        <f>IF(F49="","",IF(COUNTIFS('Munition-Feuerwaffen'!$B$2:$B$35,F49,'Munition-Feuerwaffen'!$C$2:$C$35,E49)=0,"",SUMPRODUCT(('Munition-Feuerwaffen'!$B$2:$B$35=F49)*('Munition-Feuerwaffen'!$C$2:$C$35=E49)*'Munition-Feuerwaffen'!$D$2:$D$35)))</f>
        <v>0.44510400000000011</v>
      </c>
      <c r="K49" t="s">
        <v>8872</v>
      </c>
    </row>
    <row r="50" spans="1:11">
      <c r="A50" t="s">
        <v>8873</v>
      </c>
      <c r="B50" t="s">
        <v>1180</v>
      </c>
      <c r="C50" t="s">
        <v>8829</v>
      </c>
      <c r="D50" t="s">
        <v>8830</v>
      </c>
      <c r="E50">
        <v>5</v>
      </c>
      <c r="F50" t="s">
        <v>8265</v>
      </c>
      <c r="G50">
        <f>IF(F50="","",IF(COUNTIFS('Munition-Feuerwaffen'!$B$2:$B$35,F50,'Munition-Feuerwaffen'!$C$2:$C$35,E50)=0,"",SUMPRODUCT(('Munition-Feuerwaffen'!$B$2:$B$35=F50)*('Munition-Feuerwaffen'!$C$2:$C$35=E50)*'Munition-Feuerwaffen'!$D$2:$D$35)))</f>
        <v>0.40360320000000011</v>
      </c>
      <c r="K50" t="s">
        <v>8874</v>
      </c>
    </row>
    <row r="51" spans="1:11">
      <c r="A51" t="s">
        <v>8875</v>
      </c>
      <c r="B51" t="s">
        <v>1180</v>
      </c>
      <c r="C51" t="s">
        <v>8258</v>
      </c>
      <c r="D51" t="s">
        <v>8271</v>
      </c>
      <c r="E51">
        <v>12</v>
      </c>
      <c r="F51" t="s">
        <v>8259</v>
      </c>
      <c r="G51">
        <f>IF(F51="","",IF(COUNTIFS('Munition-Feuerwaffen'!$B$2:$B$35,F51,'Munition-Feuerwaffen'!$C$2:$C$35,E51)=0,"",SUMPRODUCT(('Munition-Feuerwaffen'!$B$2:$B$35=F51)*('Munition-Feuerwaffen'!$C$2:$C$35=E51)*'Munition-Feuerwaffen'!$D$2:$D$35)))</f>
        <v>0.36691200000000002</v>
      </c>
      <c r="H51" t="s">
        <v>8260</v>
      </c>
      <c r="I51">
        <f>IF(H51="","",IF(COUNTIFS('Munition-Feuerwaffen'!$B$2:$B$35,H51,'Munition-Feuerwaffen'!$C$2:$C$35,E51)=0,"",SUMPRODUCT(('Munition-Feuerwaffen'!$B$2:$B$35=H51)*('Munition-Feuerwaffen'!$C$2:$C$35=E51)*'Munition-Feuerwaffen'!$D$2:$D$35)))</f>
        <v>0.40885500000000002</v>
      </c>
      <c r="J51" t="s">
        <v>8261</v>
      </c>
    </row>
    <row r="52" spans="1:11">
      <c r="A52" t="s">
        <v>8876</v>
      </c>
      <c r="B52" t="s">
        <v>1180</v>
      </c>
      <c r="C52" t="s">
        <v>8258</v>
      </c>
      <c r="D52" t="s">
        <v>8271</v>
      </c>
      <c r="E52">
        <v>13</v>
      </c>
      <c r="F52" t="s">
        <v>8259</v>
      </c>
      <c r="G52">
        <f>IF(F52="","",IF(COUNTIFS('Munition-Feuerwaffen'!$B$2:$B$35,F52,'Munition-Feuerwaffen'!$C$2:$C$35,E52)=0,"",SUMPRODUCT(('Munition-Feuerwaffen'!$B$2:$B$35=F52)*('Munition-Feuerwaffen'!$C$2:$C$35=E52)*'Munition-Feuerwaffen'!$D$2:$D$35)))</f>
        <v>0.37455600000000011</v>
      </c>
      <c r="H52" t="s">
        <v>8260</v>
      </c>
      <c r="I52">
        <f>IF(H52="","",IF(COUNTIFS('Munition-Feuerwaffen'!$B$2:$B$35,H52,'Munition-Feuerwaffen'!$C$2:$C$35,E52)=0,"",SUMPRODUCT(('Munition-Feuerwaffen'!$B$2:$B$35=H52)*('Munition-Feuerwaffen'!$C$2:$C$35=E52)*'Munition-Feuerwaffen'!$D$2:$D$35)))</f>
        <v>0.41517749999999998</v>
      </c>
      <c r="J52" t="s">
        <v>8261</v>
      </c>
    </row>
    <row r="53" spans="1:11">
      <c r="A53" t="s">
        <v>8877</v>
      </c>
      <c r="B53" t="s">
        <v>1180</v>
      </c>
      <c r="C53" t="s">
        <v>8258</v>
      </c>
      <c r="D53" t="s">
        <v>8271</v>
      </c>
      <c r="E53">
        <v>13</v>
      </c>
      <c r="F53" t="s">
        <v>8259</v>
      </c>
      <c r="G53">
        <f>IF(F53="","",IF(COUNTIFS('Munition-Feuerwaffen'!$B$2:$B$35,F53,'Munition-Feuerwaffen'!$C$2:$C$35,E53)=0,"",SUMPRODUCT(('Munition-Feuerwaffen'!$B$2:$B$35=F53)*('Munition-Feuerwaffen'!$C$2:$C$35=E53)*'Munition-Feuerwaffen'!$D$2:$D$35)))</f>
        <v>0.37455600000000011</v>
      </c>
      <c r="H53" t="s">
        <v>8260</v>
      </c>
      <c r="I53">
        <f>IF(H53="","",IF(COUNTIFS('Munition-Feuerwaffen'!$B$2:$B$35,H53,'Munition-Feuerwaffen'!$C$2:$C$35,E53)=0,"",SUMPRODUCT(('Munition-Feuerwaffen'!$B$2:$B$35=H53)*('Munition-Feuerwaffen'!$C$2:$C$35=E53)*'Munition-Feuerwaffen'!$D$2:$D$35)))</f>
        <v>0.41517749999999998</v>
      </c>
      <c r="J53" t="s">
        <v>8261</v>
      </c>
    </row>
    <row r="54" spans="1:11">
      <c r="A54" t="s">
        <v>8878</v>
      </c>
      <c r="B54" t="s">
        <v>1180</v>
      </c>
      <c r="C54" t="s">
        <v>8258</v>
      </c>
      <c r="D54" t="s">
        <v>8271</v>
      </c>
      <c r="E54">
        <v>13</v>
      </c>
      <c r="F54" t="s">
        <v>8259</v>
      </c>
      <c r="G54">
        <f>IF(F54="","",IF(COUNTIFS('Munition-Feuerwaffen'!$B$2:$B$35,F54,'Munition-Feuerwaffen'!$C$2:$C$35,E54)=0,"",SUMPRODUCT(('Munition-Feuerwaffen'!$B$2:$B$35=F54)*('Munition-Feuerwaffen'!$C$2:$C$35=E54)*'Munition-Feuerwaffen'!$D$2:$D$35)))</f>
        <v>0.37455600000000011</v>
      </c>
      <c r="H54" t="s">
        <v>8260</v>
      </c>
      <c r="I54">
        <f>IF(H54="","",IF(COUNTIFS('Munition-Feuerwaffen'!$B$2:$B$35,H54,'Munition-Feuerwaffen'!$C$2:$C$35,E54)=0,"",SUMPRODUCT(('Munition-Feuerwaffen'!$B$2:$B$35=H54)*('Munition-Feuerwaffen'!$C$2:$C$35=E54)*'Munition-Feuerwaffen'!$D$2:$D$35)))</f>
        <v>0.41517749999999998</v>
      </c>
      <c r="J54" t="s">
        <v>8261</v>
      </c>
    </row>
    <row r="55" spans="1:11">
      <c r="A55" t="s">
        <v>8879</v>
      </c>
      <c r="B55" t="s">
        <v>1180</v>
      </c>
      <c r="C55" t="s">
        <v>8829</v>
      </c>
      <c r="D55" t="s">
        <v>8830</v>
      </c>
      <c r="E55">
        <v>7</v>
      </c>
      <c r="F55" t="s">
        <v>8265</v>
      </c>
      <c r="G55">
        <f>IF(F55="","",IF(COUNTIFS('Munition-Feuerwaffen'!$B$2:$B$35,F55,'Munition-Feuerwaffen'!$C$2:$C$35,E55)=0,"",SUMPRODUCT(('Munition-Feuerwaffen'!$B$2:$B$35=F55)*('Munition-Feuerwaffen'!$C$2:$C$35=E55)*'Munition-Feuerwaffen'!$D$2:$D$35)))</f>
        <v>0.71878400000000009</v>
      </c>
    </row>
    <row r="56" spans="1:11">
      <c r="A56" t="s">
        <v>8880</v>
      </c>
      <c r="B56" t="s">
        <v>1200</v>
      </c>
      <c r="C56" t="s">
        <v>8258</v>
      </c>
      <c r="D56" t="s">
        <v>8271</v>
      </c>
      <c r="E56">
        <v>21</v>
      </c>
      <c r="F56" t="s">
        <v>8259</v>
      </c>
      <c r="G56">
        <f>IF(F56="","",IF(COUNTIFS('Munition-Feuerwaffen'!$B$2:$B$35,F56,'Munition-Feuerwaffen'!$C$2:$C$35,E56)=0,"",SUMPRODUCT(('Munition-Feuerwaffen'!$B$2:$B$35=F56)*('Munition-Feuerwaffen'!$C$2:$C$35=E56)*'Munition-Feuerwaffen'!$D$2:$D$35)))</f>
        <v>0.43570799999999998</v>
      </c>
      <c r="H56" t="s">
        <v>8260</v>
      </c>
      <c r="I56">
        <f>IF(H56="","",IF(COUNTIFS('Munition-Feuerwaffen'!$B$2:$B$35,H56,'Munition-Feuerwaffen'!$C$2:$C$35,E56)=0,"",SUMPRODUCT(('Munition-Feuerwaffen'!$B$2:$B$35=H56)*('Munition-Feuerwaffen'!$C$2:$C$35=E56)*'Munition-Feuerwaffen'!$D$2:$D$35)))</f>
        <v>0.46575749999999999</v>
      </c>
      <c r="J56" t="s">
        <v>8261</v>
      </c>
    </row>
    <row r="57" spans="1:11">
      <c r="A57" t="s">
        <v>8881</v>
      </c>
      <c r="B57" t="s">
        <v>1200</v>
      </c>
      <c r="C57" t="s">
        <v>8258</v>
      </c>
      <c r="D57" t="s">
        <v>8271</v>
      </c>
      <c r="E57">
        <v>22</v>
      </c>
      <c r="F57" t="s">
        <v>8259</v>
      </c>
      <c r="G57">
        <f>IF(F57="","",IF(COUNTIFS('Munition-Feuerwaffen'!$B$2:$B$35,F57,'Munition-Feuerwaffen'!$C$2:$C$35,E57)=0,"",SUMPRODUCT(('Munition-Feuerwaffen'!$B$2:$B$35=F57)*('Munition-Feuerwaffen'!$C$2:$C$35=E57)*'Munition-Feuerwaffen'!$D$2:$D$35)))</f>
        <v>0.44335200000000002</v>
      </c>
      <c r="H57" t="s">
        <v>8260</v>
      </c>
      <c r="I57">
        <f>IF(H57="","",IF(COUNTIFS('Munition-Feuerwaffen'!$B$2:$B$35,H57,'Munition-Feuerwaffen'!$C$2:$C$35,E57)=0,"",SUMPRODUCT(('Munition-Feuerwaffen'!$B$2:$B$35=H57)*('Munition-Feuerwaffen'!$C$2:$C$35=E57)*'Munition-Feuerwaffen'!$D$2:$D$35)))</f>
        <v>0.47208000000000011</v>
      </c>
      <c r="J57" t="s">
        <v>8261</v>
      </c>
    </row>
    <row r="58" spans="1:11">
      <c r="A58" t="s">
        <v>8882</v>
      </c>
      <c r="B58" t="s">
        <v>1200</v>
      </c>
      <c r="C58" t="s">
        <v>8258</v>
      </c>
      <c r="D58" t="s">
        <v>8271</v>
      </c>
      <c r="E58">
        <v>20</v>
      </c>
      <c r="F58" t="s">
        <v>8259</v>
      </c>
      <c r="G58">
        <f>IF(F58="","",IF(COUNTIFS('Munition-Feuerwaffen'!$B$2:$B$35,F58,'Munition-Feuerwaffen'!$C$2:$C$35,E58)=0,"",SUMPRODUCT(('Munition-Feuerwaffen'!$B$2:$B$35=F58)*('Munition-Feuerwaffen'!$C$2:$C$35=E58)*'Munition-Feuerwaffen'!$D$2:$D$35)))</f>
        <v>0.42806400000000011</v>
      </c>
      <c r="H58" t="s">
        <v>8260</v>
      </c>
      <c r="I58">
        <f>IF(H58="","",IF(COUNTIFS('Munition-Feuerwaffen'!$B$2:$B$35,H58,'Munition-Feuerwaffen'!$C$2:$C$35,E58)=0,"",SUMPRODUCT(('Munition-Feuerwaffen'!$B$2:$B$35=H58)*('Munition-Feuerwaffen'!$C$2:$C$35=E58)*'Munition-Feuerwaffen'!$D$2:$D$35)))</f>
        <v>0.45943500000000009</v>
      </c>
      <c r="J58" t="s">
        <v>8261</v>
      </c>
    </row>
    <row r="59" spans="1:11">
      <c r="A59" t="s">
        <v>8883</v>
      </c>
      <c r="B59" t="s">
        <v>1200</v>
      </c>
      <c r="C59" t="s">
        <v>8258</v>
      </c>
      <c r="D59" t="s">
        <v>8271</v>
      </c>
      <c r="E59">
        <v>19</v>
      </c>
      <c r="F59" t="s">
        <v>8259</v>
      </c>
      <c r="G59">
        <f>IF(F59="","",IF(COUNTIFS('Munition-Feuerwaffen'!$B$2:$B$35,F59,'Munition-Feuerwaffen'!$C$2:$C$35,E59)=0,"",SUMPRODUCT(('Munition-Feuerwaffen'!$B$2:$B$35=F59)*('Munition-Feuerwaffen'!$C$2:$C$35=E59)*'Munition-Feuerwaffen'!$D$2:$D$35)))</f>
        <v>0.42042000000000013</v>
      </c>
      <c r="H59" t="s">
        <v>8260</v>
      </c>
      <c r="I59">
        <f>IF(H59="","",IF(COUNTIFS('Munition-Feuerwaffen'!$B$2:$B$35,H59,'Munition-Feuerwaffen'!$C$2:$C$35,E59)=0,"",SUMPRODUCT(('Munition-Feuerwaffen'!$B$2:$B$35=H59)*('Munition-Feuerwaffen'!$C$2:$C$35=E59)*'Munition-Feuerwaffen'!$D$2:$D$35)))</f>
        <v>0.45311249999999997</v>
      </c>
      <c r="J59" t="s">
        <v>8261</v>
      </c>
    </row>
    <row r="60" spans="1:11">
      <c r="A60" t="s">
        <v>8884</v>
      </c>
      <c r="B60" t="s">
        <v>1200</v>
      </c>
      <c r="C60" t="s">
        <v>8258</v>
      </c>
      <c r="D60" t="s">
        <v>8271</v>
      </c>
      <c r="E60">
        <v>19</v>
      </c>
      <c r="F60" t="s">
        <v>8259</v>
      </c>
      <c r="G60">
        <f>IF(F60="","",IF(COUNTIFS('Munition-Feuerwaffen'!$B$2:$B$35,F60,'Munition-Feuerwaffen'!$C$2:$C$35,E60)=0,"",SUMPRODUCT(('Munition-Feuerwaffen'!$B$2:$B$35=F60)*('Munition-Feuerwaffen'!$C$2:$C$35=E60)*'Munition-Feuerwaffen'!$D$2:$D$35)))</f>
        <v>0.42042000000000013</v>
      </c>
      <c r="H60" t="s">
        <v>8260</v>
      </c>
      <c r="I60">
        <f>IF(H60="","",IF(COUNTIFS('Munition-Feuerwaffen'!$B$2:$B$35,H60,'Munition-Feuerwaffen'!$C$2:$C$35,E60)=0,"",SUMPRODUCT(('Munition-Feuerwaffen'!$B$2:$B$35=H60)*('Munition-Feuerwaffen'!$C$2:$C$35=E60)*'Munition-Feuerwaffen'!$D$2:$D$35)))</f>
        <v>0.45311249999999997</v>
      </c>
      <c r="J60" t="s">
        <v>8261</v>
      </c>
    </row>
    <row r="61" spans="1:11">
      <c r="A61" t="s">
        <v>8885</v>
      </c>
      <c r="B61" t="s">
        <v>1200</v>
      </c>
      <c r="C61" t="s">
        <v>8258</v>
      </c>
      <c r="D61" t="s">
        <v>8271</v>
      </c>
      <c r="E61">
        <v>23</v>
      </c>
      <c r="F61" t="s">
        <v>8259</v>
      </c>
      <c r="G61">
        <f>IF(F61="","",IF(COUNTIFS('Munition-Feuerwaffen'!$B$2:$B$35,F61,'Munition-Feuerwaffen'!$C$2:$C$35,E61)=0,"",SUMPRODUCT(('Munition-Feuerwaffen'!$B$2:$B$35=F61)*('Munition-Feuerwaffen'!$C$2:$C$35=E61)*'Munition-Feuerwaffen'!$D$2:$D$35)))</f>
        <v>0.45099600000000001</v>
      </c>
      <c r="H61" t="s">
        <v>8260</v>
      </c>
      <c r="I61">
        <f>IF(H61="","",IF(COUNTIFS('Munition-Feuerwaffen'!$B$2:$B$35,H61,'Munition-Feuerwaffen'!$C$2:$C$35,E61)=0,"",SUMPRODUCT(('Munition-Feuerwaffen'!$B$2:$B$35=H61)*('Munition-Feuerwaffen'!$C$2:$C$35=E61)*'Munition-Feuerwaffen'!$D$2:$D$35)))</f>
        <v>0.47840250000000012</v>
      </c>
      <c r="J61" t="s">
        <v>8261</v>
      </c>
    </row>
    <row r="62" spans="1:11">
      <c r="A62" t="s">
        <v>8886</v>
      </c>
      <c r="B62" t="s">
        <v>1200</v>
      </c>
      <c r="C62" t="s">
        <v>8262</v>
      </c>
      <c r="D62" t="s">
        <v>8827</v>
      </c>
      <c r="E62">
        <v>19</v>
      </c>
      <c r="F62" t="s">
        <v>8263</v>
      </c>
      <c r="G62">
        <f>IF(F62="","",IF(COUNTIFS('Munition-Feuerwaffen'!$B$2:$B$35,F62,'Munition-Feuerwaffen'!$C$2:$C$35,E62)=0,"",SUMPRODUCT(('Munition-Feuerwaffen'!$B$2:$B$35=F62)*('Munition-Feuerwaffen'!$C$2:$C$35=E62)*'Munition-Feuerwaffen'!$D$2:$D$35)))</f>
        <v>0.74192666666666685</v>
      </c>
    </row>
    <row r="63" spans="1:11">
      <c r="A63" t="s">
        <v>8887</v>
      </c>
      <c r="B63" t="s">
        <v>1200</v>
      </c>
      <c r="C63" t="s">
        <v>8258</v>
      </c>
      <c r="D63" t="s">
        <v>8271</v>
      </c>
      <c r="E63">
        <v>19</v>
      </c>
      <c r="F63" t="s">
        <v>8259</v>
      </c>
      <c r="G63">
        <f>IF(F63="","",IF(COUNTIFS('Munition-Feuerwaffen'!$B$2:$B$35,F63,'Munition-Feuerwaffen'!$C$2:$C$35,E63)=0,"",SUMPRODUCT(('Munition-Feuerwaffen'!$B$2:$B$35=F63)*('Munition-Feuerwaffen'!$C$2:$C$35=E63)*'Munition-Feuerwaffen'!$D$2:$D$35)))</f>
        <v>0.42042000000000013</v>
      </c>
      <c r="H63" t="s">
        <v>8260</v>
      </c>
      <c r="I63">
        <f>IF(H63="","",IF(COUNTIFS('Munition-Feuerwaffen'!$B$2:$B$35,H63,'Munition-Feuerwaffen'!$C$2:$C$35,E63)=0,"",SUMPRODUCT(('Munition-Feuerwaffen'!$B$2:$B$35=H63)*('Munition-Feuerwaffen'!$C$2:$C$35=E63)*'Munition-Feuerwaffen'!$D$2:$D$35)))</f>
        <v>0.45311249999999997</v>
      </c>
      <c r="J63" t="s">
        <v>8261</v>
      </c>
    </row>
    <row r="64" spans="1:11">
      <c r="A64" t="s">
        <v>8888</v>
      </c>
      <c r="B64" t="s">
        <v>1200</v>
      </c>
      <c r="C64" t="s">
        <v>8258</v>
      </c>
      <c r="D64" t="s">
        <v>8271</v>
      </c>
      <c r="E64">
        <v>16</v>
      </c>
      <c r="F64" t="s">
        <v>8259</v>
      </c>
      <c r="G64">
        <f>IF(F64="","",IF(COUNTIFS('Munition-Feuerwaffen'!$B$2:$B$35,F64,'Munition-Feuerwaffen'!$C$2:$C$35,E64)=0,"",SUMPRODUCT(('Munition-Feuerwaffen'!$B$2:$B$35=F64)*('Munition-Feuerwaffen'!$C$2:$C$35=E64)*'Munition-Feuerwaffen'!$D$2:$D$35)))</f>
        <v>0.39748800000000012</v>
      </c>
      <c r="H64" t="s">
        <v>8260</v>
      </c>
      <c r="I64">
        <f>IF(H64="","",IF(COUNTIFS('Munition-Feuerwaffen'!$B$2:$B$35,H64,'Munition-Feuerwaffen'!$C$2:$C$35,E64)=0,"",SUMPRODUCT(('Munition-Feuerwaffen'!$B$2:$B$35=H64)*('Munition-Feuerwaffen'!$C$2:$C$35=E64)*'Munition-Feuerwaffen'!$D$2:$D$35)))</f>
        <v>0.43414500000000011</v>
      </c>
      <c r="J64" t="s">
        <v>8261</v>
      </c>
    </row>
    <row r="65" spans="1:11">
      <c r="A65" t="s">
        <v>8889</v>
      </c>
      <c r="B65" t="s">
        <v>1200</v>
      </c>
      <c r="C65" t="s">
        <v>8258</v>
      </c>
      <c r="D65" t="s">
        <v>8271</v>
      </c>
      <c r="E65">
        <v>16</v>
      </c>
      <c r="F65" t="s">
        <v>8259</v>
      </c>
      <c r="G65">
        <f>IF(F65="","",IF(COUNTIFS('Munition-Feuerwaffen'!$B$2:$B$35,F65,'Munition-Feuerwaffen'!$C$2:$C$35,E65)=0,"",SUMPRODUCT(('Munition-Feuerwaffen'!$B$2:$B$35=F65)*('Munition-Feuerwaffen'!$C$2:$C$35=E65)*'Munition-Feuerwaffen'!$D$2:$D$35)))</f>
        <v>0.39748800000000012</v>
      </c>
      <c r="H65" t="s">
        <v>8260</v>
      </c>
      <c r="I65">
        <f>IF(H65="","",IF(COUNTIFS('Munition-Feuerwaffen'!$B$2:$B$35,H65,'Munition-Feuerwaffen'!$C$2:$C$35,E65)=0,"",SUMPRODUCT(('Munition-Feuerwaffen'!$B$2:$B$35=H65)*('Munition-Feuerwaffen'!$C$2:$C$35=E65)*'Munition-Feuerwaffen'!$D$2:$D$35)))</f>
        <v>0.43414500000000011</v>
      </c>
      <c r="J65" t="s">
        <v>8261</v>
      </c>
    </row>
    <row r="66" spans="1:11">
      <c r="A66" t="s">
        <v>8890</v>
      </c>
      <c r="B66" t="s">
        <v>1200</v>
      </c>
      <c r="C66" t="s">
        <v>8829</v>
      </c>
      <c r="D66" t="s">
        <v>8830</v>
      </c>
      <c r="E66">
        <v>10</v>
      </c>
      <c r="F66" t="s">
        <v>8265</v>
      </c>
      <c r="G66">
        <f>IF(F66="","",IF(COUNTIFS('Munition-Feuerwaffen'!$B$2:$B$35,F66,'Munition-Feuerwaffen'!$C$2:$C$35,E66)=0,"",SUMPRODUCT(('Munition-Feuerwaffen'!$B$2:$B$35=F66)*('Munition-Feuerwaffen'!$C$2:$C$35=E66)*'Munition-Feuerwaffen'!$D$2:$D$35)))</f>
        <v>0.91267519999999991</v>
      </c>
    </row>
    <row r="67" spans="1:11">
      <c r="A67" t="s">
        <v>8891</v>
      </c>
      <c r="B67" t="s">
        <v>1200</v>
      </c>
      <c r="C67" t="s">
        <v>8258</v>
      </c>
      <c r="D67" t="s">
        <v>8271</v>
      </c>
      <c r="E67">
        <v>17</v>
      </c>
      <c r="F67" t="s">
        <v>8259</v>
      </c>
      <c r="G67">
        <f>IF(F67="","",IF(COUNTIFS('Munition-Feuerwaffen'!$B$2:$B$35,F67,'Munition-Feuerwaffen'!$C$2:$C$35,E67)=0,"",SUMPRODUCT(('Munition-Feuerwaffen'!$B$2:$B$35=F67)*('Munition-Feuerwaffen'!$C$2:$C$35=E67)*'Munition-Feuerwaffen'!$D$2:$D$35)))</f>
        <v>0.40513199999999999</v>
      </c>
      <c r="H67" t="s">
        <v>8260</v>
      </c>
      <c r="I67">
        <f>IF(H67="","",IF(COUNTIFS('Munition-Feuerwaffen'!$B$2:$B$35,H67,'Munition-Feuerwaffen'!$C$2:$C$35,E67)=0,"",SUMPRODUCT(('Munition-Feuerwaffen'!$B$2:$B$35=H67)*('Munition-Feuerwaffen'!$C$2:$C$35=E67)*'Munition-Feuerwaffen'!$D$2:$D$35)))</f>
        <v>0.44046750000000001</v>
      </c>
      <c r="J67" t="s">
        <v>8261</v>
      </c>
    </row>
    <row r="68" spans="1:11">
      <c r="A68" t="s">
        <v>8892</v>
      </c>
      <c r="B68" t="s">
        <v>1200</v>
      </c>
      <c r="C68" t="s">
        <v>8258</v>
      </c>
      <c r="D68" t="s">
        <v>8271</v>
      </c>
      <c r="E68">
        <v>17</v>
      </c>
      <c r="F68" t="s">
        <v>8259</v>
      </c>
      <c r="G68">
        <f>IF(F68="","",IF(COUNTIFS('Munition-Feuerwaffen'!$B$2:$B$35,F68,'Munition-Feuerwaffen'!$C$2:$C$35,E68)=0,"",SUMPRODUCT(('Munition-Feuerwaffen'!$B$2:$B$35=F68)*('Munition-Feuerwaffen'!$C$2:$C$35=E68)*'Munition-Feuerwaffen'!$D$2:$D$35)))</f>
        <v>0.40513199999999999</v>
      </c>
      <c r="H68" t="s">
        <v>8260</v>
      </c>
      <c r="I68">
        <f>IF(H68="","",IF(COUNTIFS('Munition-Feuerwaffen'!$B$2:$B$35,H68,'Munition-Feuerwaffen'!$C$2:$C$35,E68)=0,"",SUMPRODUCT(('Munition-Feuerwaffen'!$B$2:$B$35=H68)*('Munition-Feuerwaffen'!$C$2:$C$35=E68)*'Munition-Feuerwaffen'!$D$2:$D$35)))</f>
        <v>0.44046750000000001</v>
      </c>
      <c r="J68" t="s">
        <v>8261</v>
      </c>
    </row>
    <row r="69" spans="1:11">
      <c r="A69" t="s">
        <v>8893</v>
      </c>
      <c r="B69" t="s">
        <v>1204</v>
      </c>
      <c r="C69" t="s">
        <v>8829</v>
      </c>
      <c r="D69" t="s">
        <v>8830</v>
      </c>
      <c r="E69">
        <v>11</v>
      </c>
      <c r="F69" t="s">
        <v>8265</v>
      </c>
      <c r="G69" t="str">
        <f>IF(F69="","",IF(COUNTIFS('Munition-Feuerwaffen'!$B$2:$B$35,F69,'Munition-Feuerwaffen'!$C$2:$C$35,E69)=0,"",SUMPRODUCT(('Munition-Feuerwaffen'!$B$2:$B$35=F69)*('Munition-Feuerwaffen'!$C$2:$C$35=E69)*'Munition-Feuerwaffen'!$D$2:$D$35)))</f>
        <v/>
      </c>
    </row>
    <row r="70" spans="1:11">
      <c r="A70" t="s">
        <v>8894</v>
      </c>
      <c r="B70" t="s">
        <v>1204</v>
      </c>
      <c r="C70" t="s">
        <v>8258</v>
      </c>
      <c r="D70" t="s">
        <v>8271</v>
      </c>
      <c r="E70">
        <v>18</v>
      </c>
      <c r="F70" t="s">
        <v>8259</v>
      </c>
      <c r="G70">
        <f>IF(F70="","",IF(COUNTIFS('Munition-Feuerwaffen'!$B$2:$B$35,F70,'Munition-Feuerwaffen'!$C$2:$C$35,E70)=0,"",SUMPRODUCT(('Munition-Feuerwaffen'!$B$2:$B$35=F70)*('Munition-Feuerwaffen'!$C$2:$C$35=E70)*'Munition-Feuerwaffen'!$D$2:$D$35)))</f>
        <v>0.41277600000000009</v>
      </c>
      <c r="H70" t="s">
        <v>8260</v>
      </c>
      <c r="I70">
        <f>IF(H70="","",IF(COUNTIFS('Munition-Feuerwaffen'!$B$2:$B$35,H70,'Munition-Feuerwaffen'!$C$2:$C$35,E70)=0,"",SUMPRODUCT(('Munition-Feuerwaffen'!$B$2:$B$35=H70)*('Munition-Feuerwaffen'!$C$2:$C$35=E70)*'Munition-Feuerwaffen'!$D$2:$D$35)))</f>
        <v>0.44679000000000008</v>
      </c>
      <c r="J70" t="s">
        <v>8261</v>
      </c>
    </row>
    <row r="71" spans="1:11">
      <c r="A71" t="s">
        <v>8895</v>
      </c>
      <c r="B71" t="s">
        <v>1204</v>
      </c>
      <c r="C71" t="s">
        <v>8847</v>
      </c>
      <c r="D71" t="s">
        <v>8830</v>
      </c>
      <c r="E71">
        <v>12</v>
      </c>
      <c r="F71" t="s">
        <v>8265</v>
      </c>
      <c r="G71" t="str">
        <f>IF(F71="","",IF(COUNTIFS('Munition-Feuerwaffen'!$B$2:$B$35,F71,'Munition-Feuerwaffen'!$C$2:$C$35,E71)=0,"",SUMPRODUCT(('Munition-Feuerwaffen'!$B$2:$B$35=F71)*('Munition-Feuerwaffen'!$C$2:$C$35=E71)*'Munition-Feuerwaffen'!$D$2:$D$35)))</f>
        <v/>
      </c>
    </row>
    <row r="72" spans="1:11">
      <c r="A72" t="s">
        <v>8896</v>
      </c>
      <c r="B72" t="s">
        <v>1204</v>
      </c>
      <c r="C72" t="s">
        <v>8262</v>
      </c>
      <c r="D72" t="s">
        <v>8827</v>
      </c>
      <c r="E72">
        <v>17</v>
      </c>
      <c r="F72" t="s">
        <v>8263</v>
      </c>
      <c r="G72">
        <f>IF(F72="","",IF(COUNTIFS('Munition-Feuerwaffen'!$B$2:$B$35,F72,'Munition-Feuerwaffen'!$C$2:$C$35,E72)=0,"",SUMPRODUCT(('Munition-Feuerwaffen'!$B$2:$B$35=F72)*('Munition-Feuerwaffen'!$C$2:$C$35=E72)*'Munition-Feuerwaffen'!$D$2:$D$35)))</f>
        <v>0.70108666666666675</v>
      </c>
    </row>
    <row r="73" spans="1:11">
      <c r="A73" t="s">
        <v>8897</v>
      </c>
      <c r="B73" t="s">
        <v>1204</v>
      </c>
      <c r="C73" t="s">
        <v>8258</v>
      </c>
      <c r="D73" t="s">
        <v>8271</v>
      </c>
      <c r="E73">
        <v>17</v>
      </c>
      <c r="F73" t="s">
        <v>8259</v>
      </c>
      <c r="G73">
        <f>IF(F73="","",IF(COUNTIFS('Munition-Feuerwaffen'!$B$2:$B$35,F73,'Munition-Feuerwaffen'!$C$2:$C$35,E73)=0,"",SUMPRODUCT(('Munition-Feuerwaffen'!$B$2:$B$35=F73)*('Munition-Feuerwaffen'!$C$2:$C$35=E73)*'Munition-Feuerwaffen'!$D$2:$D$35)))</f>
        <v>0.40513199999999999</v>
      </c>
      <c r="H73" t="s">
        <v>8260</v>
      </c>
      <c r="I73">
        <f>IF(H73="","",IF(COUNTIFS('Munition-Feuerwaffen'!$B$2:$B$35,H73,'Munition-Feuerwaffen'!$C$2:$C$35,E73)=0,"",SUMPRODUCT(('Munition-Feuerwaffen'!$B$2:$B$35=H73)*('Munition-Feuerwaffen'!$C$2:$C$35=E73)*'Munition-Feuerwaffen'!$D$2:$D$35)))</f>
        <v>0.44046750000000001</v>
      </c>
      <c r="J73" t="s">
        <v>8261</v>
      </c>
    </row>
    <row r="74" spans="1:11">
      <c r="A74" t="s">
        <v>8898</v>
      </c>
      <c r="B74" t="s">
        <v>1204</v>
      </c>
      <c r="C74" t="s">
        <v>8258</v>
      </c>
      <c r="D74" t="s">
        <v>8271</v>
      </c>
      <c r="E74">
        <v>17</v>
      </c>
      <c r="F74" t="s">
        <v>8259</v>
      </c>
      <c r="G74">
        <f>IF(F74="","",IF(COUNTIFS('Munition-Feuerwaffen'!$B$2:$B$35,F74,'Munition-Feuerwaffen'!$C$2:$C$35,E74)=0,"",SUMPRODUCT(('Munition-Feuerwaffen'!$B$2:$B$35=F74)*('Munition-Feuerwaffen'!$C$2:$C$35=E74)*'Munition-Feuerwaffen'!$D$2:$D$35)))</f>
        <v>0.40513199999999999</v>
      </c>
      <c r="H74" t="s">
        <v>8260</v>
      </c>
      <c r="I74">
        <f>IF(H74="","",IF(COUNTIFS('Munition-Feuerwaffen'!$B$2:$B$35,H74,'Munition-Feuerwaffen'!$C$2:$C$35,E74)=0,"",SUMPRODUCT(('Munition-Feuerwaffen'!$B$2:$B$35=H74)*('Munition-Feuerwaffen'!$C$2:$C$35=E74)*'Munition-Feuerwaffen'!$D$2:$D$35)))</f>
        <v>0.44046750000000001</v>
      </c>
      <c r="J74" t="s">
        <v>8261</v>
      </c>
    </row>
    <row r="75" spans="1:11">
      <c r="A75" t="s">
        <v>8899</v>
      </c>
      <c r="B75" t="s">
        <v>1204</v>
      </c>
      <c r="C75" t="s">
        <v>8258</v>
      </c>
      <c r="D75" t="s">
        <v>8271</v>
      </c>
      <c r="E75">
        <v>17</v>
      </c>
      <c r="F75" t="s">
        <v>8259</v>
      </c>
      <c r="G75">
        <f>IF(F75="","",IF(COUNTIFS('Munition-Feuerwaffen'!$B$2:$B$35,F75,'Munition-Feuerwaffen'!$C$2:$C$35,E75)=0,"",SUMPRODUCT(('Munition-Feuerwaffen'!$B$2:$B$35=F75)*('Munition-Feuerwaffen'!$C$2:$C$35=E75)*'Munition-Feuerwaffen'!$D$2:$D$35)))</f>
        <v>0.40513199999999999</v>
      </c>
      <c r="H75" t="s">
        <v>8260</v>
      </c>
      <c r="I75">
        <f>IF(H75="","",IF(COUNTIFS('Munition-Feuerwaffen'!$B$2:$B$35,H75,'Munition-Feuerwaffen'!$C$2:$C$35,E75)=0,"",SUMPRODUCT(('Munition-Feuerwaffen'!$B$2:$B$35=H75)*('Munition-Feuerwaffen'!$C$2:$C$35=E75)*'Munition-Feuerwaffen'!$D$2:$D$35)))</f>
        <v>0.44046750000000001</v>
      </c>
      <c r="J75" t="s">
        <v>8261</v>
      </c>
    </row>
    <row r="76" spans="1:11">
      <c r="A76" t="s">
        <v>8900</v>
      </c>
      <c r="B76" t="s">
        <v>1204</v>
      </c>
      <c r="C76" t="s">
        <v>8258</v>
      </c>
      <c r="D76" t="s">
        <v>8271</v>
      </c>
      <c r="E76">
        <v>19</v>
      </c>
      <c r="F76" t="s">
        <v>8259</v>
      </c>
      <c r="G76">
        <f>IF(F76="","",IF(COUNTIFS('Munition-Feuerwaffen'!$B$2:$B$35,F76,'Munition-Feuerwaffen'!$C$2:$C$35,E76)=0,"",SUMPRODUCT(('Munition-Feuerwaffen'!$B$2:$B$35=F76)*('Munition-Feuerwaffen'!$C$2:$C$35=E76)*'Munition-Feuerwaffen'!$D$2:$D$35)))</f>
        <v>0.42042000000000013</v>
      </c>
      <c r="H76" t="s">
        <v>8260</v>
      </c>
      <c r="I76">
        <f>IF(H76="","",IF(COUNTIFS('Munition-Feuerwaffen'!$B$2:$B$35,H76,'Munition-Feuerwaffen'!$C$2:$C$35,E76)=0,"",SUMPRODUCT(('Munition-Feuerwaffen'!$B$2:$B$35=H76)*('Munition-Feuerwaffen'!$C$2:$C$35=E76)*'Munition-Feuerwaffen'!$D$2:$D$35)))</f>
        <v>0.45311249999999997</v>
      </c>
      <c r="J76" t="s">
        <v>8261</v>
      </c>
    </row>
    <row r="77" spans="1:11">
      <c r="A77" t="s">
        <v>8901</v>
      </c>
      <c r="B77" t="s">
        <v>1204</v>
      </c>
      <c r="C77" t="s">
        <v>8262</v>
      </c>
      <c r="D77" t="s">
        <v>8827</v>
      </c>
      <c r="E77">
        <v>17</v>
      </c>
      <c r="F77" t="s">
        <v>8263</v>
      </c>
      <c r="G77">
        <f>IF(F77="","",IF(COUNTIFS('Munition-Feuerwaffen'!$B$2:$B$35,F77,'Munition-Feuerwaffen'!$C$2:$C$35,E77)=0,"",SUMPRODUCT(('Munition-Feuerwaffen'!$B$2:$B$35=F77)*('Munition-Feuerwaffen'!$C$2:$C$35=E77)*'Munition-Feuerwaffen'!$D$2:$D$35)))</f>
        <v>0.70108666666666675</v>
      </c>
    </row>
    <row r="78" spans="1:11">
      <c r="A78" t="s">
        <v>8902</v>
      </c>
      <c r="B78" t="s">
        <v>1204</v>
      </c>
      <c r="C78" t="s">
        <v>8258</v>
      </c>
      <c r="D78" t="s">
        <v>8271</v>
      </c>
      <c r="E78">
        <v>16</v>
      </c>
      <c r="F78" t="s">
        <v>8259</v>
      </c>
      <c r="G78">
        <f>IF(F78="","",IF(COUNTIFS('Munition-Feuerwaffen'!$B$2:$B$35,F78,'Munition-Feuerwaffen'!$C$2:$C$35,E78)=0,"",SUMPRODUCT(('Munition-Feuerwaffen'!$B$2:$B$35=F78)*('Munition-Feuerwaffen'!$C$2:$C$35=E78)*'Munition-Feuerwaffen'!$D$2:$D$35)))</f>
        <v>0.39748800000000012</v>
      </c>
      <c r="H78" t="s">
        <v>8260</v>
      </c>
      <c r="I78">
        <f>IF(H78="","",IF(COUNTIFS('Munition-Feuerwaffen'!$B$2:$B$35,H78,'Munition-Feuerwaffen'!$C$2:$C$35,E78)=0,"",SUMPRODUCT(('Munition-Feuerwaffen'!$B$2:$B$35=H78)*('Munition-Feuerwaffen'!$C$2:$C$35=E78)*'Munition-Feuerwaffen'!$D$2:$D$35)))</f>
        <v>0.43414500000000011</v>
      </c>
      <c r="J78" t="s">
        <v>8261</v>
      </c>
    </row>
    <row r="79" spans="1:11">
      <c r="A79" t="s">
        <v>8903</v>
      </c>
      <c r="B79" t="s">
        <v>1204</v>
      </c>
      <c r="C79" t="s">
        <v>8258</v>
      </c>
      <c r="D79" t="s">
        <v>8267</v>
      </c>
      <c r="E79">
        <v>17</v>
      </c>
      <c r="G79" t="str">
        <f>IF(F79="","",IF(COUNTIFS('Munition-Feuerwaffen'!$B$2:$B$35,F79,'Munition-Feuerwaffen'!$C$2:$C$35,E79)=0,"",SUMPRODUCT(('Munition-Feuerwaffen'!$B$2:$B$35=F79)*('Munition-Feuerwaffen'!$C$2:$C$35=E79)*'Munition-Feuerwaffen'!$D$2:$D$35)))</f>
        <v/>
      </c>
      <c r="K79" t="s">
        <v>8863</v>
      </c>
    </row>
    <row r="80" spans="1:11">
      <c r="A80" t="s">
        <v>8904</v>
      </c>
      <c r="B80" t="s">
        <v>1204</v>
      </c>
      <c r="C80" t="s">
        <v>8258</v>
      </c>
      <c r="D80" t="s">
        <v>8271</v>
      </c>
      <c r="E80">
        <v>20</v>
      </c>
      <c r="F80" t="s">
        <v>8259</v>
      </c>
      <c r="G80">
        <f>IF(F80="","",IF(COUNTIFS('Munition-Feuerwaffen'!$B$2:$B$35,F80,'Munition-Feuerwaffen'!$C$2:$C$35,E80)=0,"",SUMPRODUCT(('Munition-Feuerwaffen'!$B$2:$B$35=F80)*('Munition-Feuerwaffen'!$C$2:$C$35=E80)*'Munition-Feuerwaffen'!$D$2:$D$35)))</f>
        <v>0.42806400000000011</v>
      </c>
      <c r="H80" t="s">
        <v>8260</v>
      </c>
      <c r="I80">
        <f>IF(H80="","",IF(COUNTIFS('Munition-Feuerwaffen'!$B$2:$B$35,H80,'Munition-Feuerwaffen'!$C$2:$C$35,E80)=0,"",SUMPRODUCT(('Munition-Feuerwaffen'!$B$2:$B$35=H80)*('Munition-Feuerwaffen'!$C$2:$C$35=E80)*'Munition-Feuerwaffen'!$D$2:$D$35)))</f>
        <v>0.45943500000000009</v>
      </c>
      <c r="J80" t="s">
        <v>8261</v>
      </c>
    </row>
    <row r="81" spans="1:10">
      <c r="A81" t="s">
        <v>8905</v>
      </c>
      <c r="B81" t="s">
        <v>1204</v>
      </c>
      <c r="C81" t="s">
        <v>8847</v>
      </c>
      <c r="D81" t="s">
        <v>8830</v>
      </c>
      <c r="E81">
        <v>11</v>
      </c>
      <c r="F81" t="s">
        <v>8265</v>
      </c>
      <c r="G81" t="str">
        <f>IF(F81="","",IF(COUNTIFS('Munition-Feuerwaffen'!$B$2:$B$35,F81,'Munition-Feuerwaffen'!$C$2:$C$35,E81)=0,"",SUMPRODUCT(('Munition-Feuerwaffen'!$B$2:$B$35=F81)*('Munition-Feuerwaffen'!$C$2:$C$35=E81)*'Munition-Feuerwaffen'!$D$2:$D$35)))</f>
        <v/>
      </c>
    </row>
    <row r="82" spans="1:10">
      <c r="A82" t="s">
        <v>8906</v>
      </c>
      <c r="B82" t="s">
        <v>1204</v>
      </c>
      <c r="C82" t="s">
        <v>8258</v>
      </c>
      <c r="D82" t="s">
        <v>8271</v>
      </c>
      <c r="E82">
        <v>17</v>
      </c>
      <c r="F82" t="s">
        <v>8259</v>
      </c>
      <c r="G82">
        <f>IF(F82="","",IF(COUNTIFS('Munition-Feuerwaffen'!$B$2:$B$35,F82,'Munition-Feuerwaffen'!$C$2:$C$35,E82)=0,"",SUMPRODUCT(('Munition-Feuerwaffen'!$B$2:$B$35=F82)*('Munition-Feuerwaffen'!$C$2:$C$35=E82)*'Munition-Feuerwaffen'!$D$2:$D$35)))</f>
        <v>0.40513199999999999</v>
      </c>
      <c r="H82" t="s">
        <v>8260</v>
      </c>
      <c r="I82">
        <f>IF(H82="","",IF(COUNTIFS('Munition-Feuerwaffen'!$B$2:$B$35,H82,'Munition-Feuerwaffen'!$C$2:$C$35,E82)=0,"",SUMPRODUCT(('Munition-Feuerwaffen'!$B$2:$B$35=H82)*('Munition-Feuerwaffen'!$C$2:$C$35=E82)*'Munition-Feuerwaffen'!$D$2:$D$35)))</f>
        <v>0.44046750000000001</v>
      </c>
      <c r="J82" t="s">
        <v>8261</v>
      </c>
    </row>
    <row r="83" spans="1:10">
      <c r="A83" t="s">
        <v>8907</v>
      </c>
      <c r="B83" t="s">
        <v>1204</v>
      </c>
      <c r="C83" t="s">
        <v>8258</v>
      </c>
      <c r="D83" t="s">
        <v>8271</v>
      </c>
      <c r="E83">
        <v>13</v>
      </c>
      <c r="F83" t="s">
        <v>8259</v>
      </c>
      <c r="G83">
        <f>IF(F83="","",IF(COUNTIFS('Munition-Feuerwaffen'!$B$2:$B$35,F83,'Munition-Feuerwaffen'!$C$2:$C$35,E83)=0,"",SUMPRODUCT(('Munition-Feuerwaffen'!$B$2:$B$35=F83)*('Munition-Feuerwaffen'!$C$2:$C$35=E83)*'Munition-Feuerwaffen'!$D$2:$D$35)))</f>
        <v>0.37455600000000011</v>
      </c>
      <c r="H83" t="s">
        <v>8260</v>
      </c>
      <c r="I83">
        <f>IF(H83="","",IF(COUNTIFS('Munition-Feuerwaffen'!$B$2:$B$35,H83,'Munition-Feuerwaffen'!$C$2:$C$35,E83)=0,"",SUMPRODUCT(('Munition-Feuerwaffen'!$B$2:$B$35=H83)*('Munition-Feuerwaffen'!$C$2:$C$35=E83)*'Munition-Feuerwaffen'!$D$2:$D$35)))</f>
        <v>0.41517749999999998</v>
      </c>
      <c r="J83" t="s">
        <v>8261</v>
      </c>
    </row>
    <row r="84" spans="1:10">
      <c r="A84" t="s">
        <v>5560</v>
      </c>
      <c r="B84" t="s">
        <v>1204</v>
      </c>
      <c r="C84" t="s">
        <v>8829</v>
      </c>
      <c r="D84" t="s">
        <v>8830</v>
      </c>
      <c r="E84">
        <v>8</v>
      </c>
      <c r="F84" t="s">
        <v>8265</v>
      </c>
      <c r="G84">
        <f>IF(F84="","",IF(COUNTIFS('Munition-Feuerwaffen'!$B$2:$B$35,F84,'Munition-Feuerwaffen'!$C$2:$C$35,E84)=0,"",SUMPRODUCT(('Munition-Feuerwaffen'!$B$2:$B$35=F84)*('Munition-Feuerwaffen'!$C$2:$C$35=E84)*'Munition-Feuerwaffen'!$D$2:$D$35)))</f>
        <v>0.82515840000000007</v>
      </c>
    </row>
    <row r="85" spans="1:10">
      <c r="A85" t="s">
        <v>8908</v>
      </c>
      <c r="B85" t="s">
        <v>1204</v>
      </c>
      <c r="C85" t="s">
        <v>8258</v>
      </c>
      <c r="D85" t="s">
        <v>8271</v>
      </c>
      <c r="E85">
        <v>17</v>
      </c>
      <c r="F85" t="s">
        <v>8259</v>
      </c>
      <c r="G85">
        <f>IF(F85="","",IF(COUNTIFS('Munition-Feuerwaffen'!$B$2:$B$35,F85,'Munition-Feuerwaffen'!$C$2:$C$35,E85)=0,"",SUMPRODUCT(('Munition-Feuerwaffen'!$B$2:$B$35=F85)*('Munition-Feuerwaffen'!$C$2:$C$35=E85)*'Munition-Feuerwaffen'!$D$2:$D$35)))</f>
        <v>0.40513199999999999</v>
      </c>
      <c r="H85" t="s">
        <v>8260</v>
      </c>
      <c r="I85">
        <f>IF(H85="","",IF(COUNTIFS('Munition-Feuerwaffen'!$B$2:$B$35,H85,'Munition-Feuerwaffen'!$C$2:$C$35,E85)=0,"",SUMPRODUCT(('Munition-Feuerwaffen'!$B$2:$B$35=H85)*('Munition-Feuerwaffen'!$C$2:$C$35=E85)*'Munition-Feuerwaffen'!$D$2:$D$35)))</f>
        <v>0.44046750000000001</v>
      </c>
      <c r="J85" t="s">
        <v>8261</v>
      </c>
    </row>
    <row r="86" spans="1:10">
      <c r="A86" t="s">
        <v>8909</v>
      </c>
      <c r="B86" t="s">
        <v>1204</v>
      </c>
      <c r="C86" t="s">
        <v>8829</v>
      </c>
      <c r="D86" t="s">
        <v>8830</v>
      </c>
      <c r="E86">
        <v>7</v>
      </c>
      <c r="F86" t="s">
        <v>8265</v>
      </c>
      <c r="G86">
        <f>IF(F86="","",IF(COUNTIFS('Munition-Feuerwaffen'!$B$2:$B$35,F86,'Munition-Feuerwaffen'!$C$2:$C$35,E86)=0,"",SUMPRODUCT(('Munition-Feuerwaffen'!$B$2:$B$35=F86)*('Munition-Feuerwaffen'!$C$2:$C$35=E86)*'Munition-Feuerwaffen'!$D$2:$D$35)))</f>
        <v>0.71878400000000009</v>
      </c>
    </row>
    <row r="87" spans="1:10">
      <c r="A87" t="s">
        <v>8910</v>
      </c>
      <c r="B87" t="s">
        <v>1204</v>
      </c>
      <c r="C87" t="s">
        <v>8258</v>
      </c>
      <c r="D87" t="s">
        <v>8271</v>
      </c>
      <c r="E87">
        <v>14</v>
      </c>
      <c r="F87" t="s">
        <v>8259</v>
      </c>
      <c r="G87">
        <f>IF(F87="","",IF(COUNTIFS('Munition-Feuerwaffen'!$B$2:$B$35,F87,'Munition-Feuerwaffen'!$C$2:$C$35,E87)=0,"",SUMPRODUCT(('Munition-Feuerwaffen'!$B$2:$B$35=F87)*('Munition-Feuerwaffen'!$C$2:$C$35=E87)*'Munition-Feuerwaffen'!$D$2:$D$35)))</f>
        <v>0.38219999999999998</v>
      </c>
      <c r="H87" t="s">
        <v>8260</v>
      </c>
      <c r="I87">
        <f>IF(H87="","",IF(COUNTIFS('Munition-Feuerwaffen'!$B$2:$B$35,H87,'Munition-Feuerwaffen'!$C$2:$C$35,E87)=0,"",SUMPRODUCT(('Munition-Feuerwaffen'!$B$2:$B$35=H87)*('Munition-Feuerwaffen'!$C$2:$C$35=E87)*'Munition-Feuerwaffen'!$D$2:$D$35)))</f>
        <v>0.42149999999999999</v>
      </c>
      <c r="J87" t="s">
        <v>8261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5474</v>
      </c>
      <c r="B1" t="s">
        <v>1</v>
      </c>
      <c r="C1" t="s">
        <v>8646</v>
      </c>
      <c r="D1" t="s">
        <v>8648</v>
      </c>
      <c r="E1" t="s">
        <v>7350</v>
      </c>
      <c r="F1" t="s">
        <v>8911</v>
      </c>
      <c r="G1" t="s">
        <v>7225</v>
      </c>
      <c r="H1" t="s">
        <v>12</v>
      </c>
      <c r="I1" t="s">
        <v>7224</v>
      </c>
      <c r="J1" t="s">
        <v>8475</v>
      </c>
    </row>
    <row r="2" spans="1:10">
      <c r="A2" t="s">
        <v>8391</v>
      </c>
      <c r="B2" t="s">
        <v>8912</v>
      </c>
      <c r="C2" t="s">
        <v>8303</v>
      </c>
      <c r="E2" t="s">
        <v>8393</v>
      </c>
      <c r="F2" t="s">
        <v>8394</v>
      </c>
      <c r="G2" t="s">
        <v>8395</v>
      </c>
      <c r="I2" t="s">
        <v>3868</v>
      </c>
    </row>
    <row r="3" spans="1:10">
      <c r="A3" t="s">
        <v>8396</v>
      </c>
      <c r="B3" t="s">
        <v>8912</v>
      </c>
      <c r="C3" t="s">
        <v>8317</v>
      </c>
      <c r="E3" t="s">
        <v>8393</v>
      </c>
      <c r="F3" t="s">
        <v>8398</v>
      </c>
      <c r="G3" t="s">
        <v>8399</v>
      </c>
      <c r="I3" t="s">
        <v>3868</v>
      </c>
    </row>
    <row r="4" spans="1:10">
      <c r="A4" t="s">
        <v>8400</v>
      </c>
      <c r="B4" t="s">
        <v>8912</v>
      </c>
      <c r="C4" t="s">
        <v>8317</v>
      </c>
      <c r="E4" t="s">
        <v>8393</v>
      </c>
      <c r="F4" t="s">
        <v>8393</v>
      </c>
      <c r="G4" t="s">
        <v>8401</v>
      </c>
      <c r="I4" t="s">
        <v>3868</v>
      </c>
    </row>
    <row r="5" spans="1:10">
      <c r="A5" t="s">
        <v>8402</v>
      </c>
      <c r="B5" t="s">
        <v>8912</v>
      </c>
      <c r="C5" t="s">
        <v>8485</v>
      </c>
      <c r="E5" t="s">
        <v>8393</v>
      </c>
      <c r="F5" t="s">
        <v>8393</v>
      </c>
      <c r="G5" t="s">
        <v>8404</v>
      </c>
      <c r="I5" t="s">
        <v>3868</v>
      </c>
    </row>
    <row r="6" spans="1:10">
      <c r="A6" t="s">
        <v>8405</v>
      </c>
      <c r="B6" t="s">
        <v>8912</v>
      </c>
      <c r="C6" t="s">
        <v>8485</v>
      </c>
      <c r="E6" t="s">
        <v>8406</v>
      </c>
      <c r="F6" t="s">
        <v>8393</v>
      </c>
      <c r="G6" t="s">
        <v>8407</v>
      </c>
      <c r="H6">
        <v>2</v>
      </c>
      <c r="I6" t="s">
        <v>3868</v>
      </c>
      <c r="J6" t="s">
        <v>8408</v>
      </c>
    </row>
    <row r="7" spans="1:10">
      <c r="A7" t="s">
        <v>8409</v>
      </c>
      <c r="B7" t="s">
        <v>8912</v>
      </c>
      <c r="C7" t="s">
        <v>8485</v>
      </c>
      <c r="E7" t="s">
        <v>8410</v>
      </c>
      <c r="F7" t="s">
        <v>8393</v>
      </c>
      <c r="G7" t="s">
        <v>8411</v>
      </c>
      <c r="I7" t="s">
        <v>3868</v>
      </c>
    </row>
    <row r="8" spans="1:10">
      <c r="A8" t="s">
        <v>8412</v>
      </c>
      <c r="B8" t="s">
        <v>8912</v>
      </c>
      <c r="C8" t="s">
        <v>8485</v>
      </c>
      <c r="E8" t="s">
        <v>8413</v>
      </c>
      <c r="F8" t="s">
        <v>8393</v>
      </c>
      <c r="G8" t="s">
        <v>8414</v>
      </c>
      <c r="I8" t="s">
        <v>3868</v>
      </c>
    </row>
    <row r="9" spans="1:10">
      <c r="A9" t="s">
        <v>8415</v>
      </c>
      <c r="B9" t="s">
        <v>8912</v>
      </c>
      <c r="C9" t="s">
        <v>8485</v>
      </c>
      <c r="E9" t="s">
        <v>8416</v>
      </c>
      <c r="F9" t="s">
        <v>8393</v>
      </c>
      <c r="G9" t="s">
        <v>8417</v>
      </c>
      <c r="I9" t="s">
        <v>3868</v>
      </c>
    </row>
    <row r="10" spans="1:10">
      <c r="A10" t="s">
        <v>8418</v>
      </c>
      <c r="B10" t="s">
        <v>8912</v>
      </c>
      <c r="C10" t="s">
        <v>8485</v>
      </c>
      <c r="E10" t="s">
        <v>8419</v>
      </c>
      <c r="F10" t="s">
        <v>8393</v>
      </c>
      <c r="G10" t="s">
        <v>8420</v>
      </c>
      <c r="I10" t="s">
        <v>3868</v>
      </c>
    </row>
    <row r="11" spans="1:10">
      <c r="A11" t="s">
        <v>8421</v>
      </c>
      <c r="B11" t="s">
        <v>8912</v>
      </c>
      <c r="C11" t="s">
        <v>8485</v>
      </c>
      <c r="E11" t="s">
        <v>8422</v>
      </c>
      <c r="F11" t="s">
        <v>8393</v>
      </c>
      <c r="G11" t="s">
        <v>8423</v>
      </c>
      <c r="I11" t="s">
        <v>3868</v>
      </c>
    </row>
    <row r="12" spans="1:10">
      <c r="A12" t="s">
        <v>8424</v>
      </c>
      <c r="B12" t="s">
        <v>8912</v>
      </c>
      <c r="C12" t="s">
        <v>8485</v>
      </c>
      <c r="E12" t="s">
        <v>8413</v>
      </c>
      <c r="F12" t="s">
        <v>8393</v>
      </c>
      <c r="G12" t="s">
        <v>8425</v>
      </c>
      <c r="I12" t="s">
        <v>3868</v>
      </c>
      <c r="J12" t="s">
        <v>8426</v>
      </c>
    </row>
    <row r="13" spans="1:10">
      <c r="A13" t="s">
        <v>8427</v>
      </c>
      <c r="B13" t="s">
        <v>8912</v>
      </c>
      <c r="C13" t="s">
        <v>8485</v>
      </c>
      <c r="E13" t="s">
        <v>8428</v>
      </c>
      <c r="F13" t="s">
        <v>8393</v>
      </c>
      <c r="G13" t="s">
        <v>8429</v>
      </c>
      <c r="I13" t="s">
        <v>3868</v>
      </c>
    </row>
    <row r="14" spans="1:10">
      <c r="A14" t="s">
        <v>8430</v>
      </c>
      <c r="B14" t="s">
        <v>8912</v>
      </c>
      <c r="C14" t="s">
        <v>8485</v>
      </c>
      <c r="E14" t="s">
        <v>8422</v>
      </c>
      <c r="F14" t="s">
        <v>8393</v>
      </c>
      <c r="G14" t="s">
        <v>8425</v>
      </c>
      <c r="I14" t="s">
        <v>3868</v>
      </c>
    </row>
    <row r="15" spans="1:10">
      <c r="A15" t="s">
        <v>8431</v>
      </c>
      <c r="B15" t="s">
        <v>8912</v>
      </c>
      <c r="C15" t="s">
        <v>8317</v>
      </c>
      <c r="E15" t="s">
        <v>8432</v>
      </c>
      <c r="F15" t="s">
        <v>8393</v>
      </c>
      <c r="G15" t="s">
        <v>8420</v>
      </c>
      <c r="I15" t="s">
        <v>3868</v>
      </c>
      <c r="J15" t="s">
        <v>8433</v>
      </c>
    </row>
    <row r="16" spans="1:10">
      <c r="A16" t="s">
        <v>8434</v>
      </c>
      <c r="B16" t="s">
        <v>8912</v>
      </c>
      <c r="C16" t="s">
        <v>8485</v>
      </c>
      <c r="E16" t="s">
        <v>8432</v>
      </c>
      <c r="F16" t="s">
        <v>8393</v>
      </c>
      <c r="G16" t="s">
        <v>8435</v>
      </c>
      <c r="I16" t="s">
        <v>3874</v>
      </c>
      <c r="J16" t="s">
        <v>8436</v>
      </c>
    </row>
    <row r="17" spans="1:10">
      <c r="A17" t="s">
        <v>8437</v>
      </c>
      <c r="B17" t="s">
        <v>8913</v>
      </c>
      <c r="D17" t="s">
        <v>8416</v>
      </c>
      <c r="E17" t="s">
        <v>8438</v>
      </c>
      <c r="F17" t="s">
        <v>8439</v>
      </c>
      <c r="G17" t="s">
        <v>8440</v>
      </c>
      <c r="I17" t="s">
        <v>3874</v>
      </c>
    </row>
    <row r="18" spans="1:10">
      <c r="A18" t="s">
        <v>8441</v>
      </c>
      <c r="B18" t="s">
        <v>8913</v>
      </c>
      <c r="D18" t="s">
        <v>8413</v>
      </c>
      <c r="E18" t="s">
        <v>8416</v>
      </c>
      <c r="F18" t="s">
        <v>8442</v>
      </c>
      <c r="G18" t="s">
        <v>8443</v>
      </c>
      <c r="I18" t="s">
        <v>3868</v>
      </c>
      <c r="J18" t="s">
        <v>8444</v>
      </c>
    </row>
    <row r="19" spans="1:10">
      <c r="A19" t="s">
        <v>8445</v>
      </c>
      <c r="B19" t="s">
        <v>8913</v>
      </c>
      <c r="D19" t="s">
        <v>8393</v>
      </c>
      <c r="E19" t="s">
        <v>8410</v>
      </c>
      <c r="F19" t="s">
        <v>8446</v>
      </c>
      <c r="G19" t="s">
        <v>8440</v>
      </c>
      <c r="I19" t="s">
        <v>3868</v>
      </c>
      <c r="J19" t="s">
        <v>8447</v>
      </c>
    </row>
    <row r="20" spans="1:10">
      <c r="A20" t="s">
        <v>8448</v>
      </c>
      <c r="B20" t="s">
        <v>8913</v>
      </c>
      <c r="D20" t="s">
        <v>8432</v>
      </c>
      <c r="E20" t="s">
        <v>8410</v>
      </c>
      <c r="F20" t="s">
        <v>8446</v>
      </c>
      <c r="G20" t="s">
        <v>8449</v>
      </c>
      <c r="I20" t="s">
        <v>3868</v>
      </c>
      <c r="J20" t="s">
        <v>8450</v>
      </c>
    </row>
    <row r="21" spans="1:10">
      <c r="A21" t="s">
        <v>8451</v>
      </c>
      <c r="B21" t="s">
        <v>8913</v>
      </c>
      <c r="D21" t="s">
        <v>8413</v>
      </c>
      <c r="E21" t="s">
        <v>8452</v>
      </c>
      <c r="F21" t="s">
        <v>8393</v>
      </c>
      <c r="G21" t="s">
        <v>8440</v>
      </c>
      <c r="I21" t="s">
        <v>3874</v>
      </c>
      <c r="J21" t="s">
        <v>8453</v>
      </c>
    </row>
    <row r="22" spans="1:10">
      <c r="A22" t="s">
        <v>8454</v>
      </c>
      <c r="B22" t="s">
        <v>8913</v>
      </c>
      <c r="D22" t="s">
        <v>8432</v>
      </c>
      <c r="E22" t="s">
        <v>8428</v>
      </c>
      <c r="F22" t="s">
        <v>8393</v>
      </c>
      <c r="G22" t="s">
        <v>8455</v>
      </c>
      <c r="I22" t="s">
        <v>3868</v>
      </c>
    </row>
    <row r="23" spans="1:10">
      <c r="A23" t="s">
        <v>8456</v>
      </c>
      <c r="B23" t="s">
        <v>8913</v>
      </c>
      <c r="D23" t="s">
        <v>8393</v>
      </c>
      <c r="E23" t="s">
        <v>8432</v>
      </c>
      <c r="F23" t="s">
        <v>8457</v>
      </c>
      <c r="G23" t="s">
        <v>8458</v>
      </c>
      <c r="I23" t="s">
        <v>3868</v>
      </c>
      <c r="J23" t="s">
        <v>8459</v>
      </c>
    </row>
    <row r="24" spans="1:10">
      <c r="A24" t="s">
        <v>8460</v>
      </c>
      <c r="B24" t="s">
        <v>8914</v>
      </c>
      <c r="C24" t="s">
        <v>8515</v>
      </c>
      <c r="E24" t="s">
        <v>8393</v>
      </c>
      <c r="F24" t="s">
        <v>8393</v>
      </c>
      <c r="G24" t="s">
        <v>8423</v>
      </c>
      <c r="H24">
        <v>6</v>
      </c>
      <c r="I24" t="s">
        <v>8462</v>
      </c>
      <c r="J24" t="s">
        <v>8463</v>
      </c>
    </row>
    <row r="25" spans="1:10">
      <c r="A25" t="s">
        <v>8464</v>
      </c>
      <c r="B25" t="s">
        <v>8914</v>
      </c>
      <c r="C25" t="s">
        <v>8485</v>
      </c>
      <c r="D25" t="s">
        <v>8410</v>
      </c>
      <c r="E25" t="s">
        <v>8410</v>
      </c>
      <c r="F25" t="s">
        <v>8393</v>
      </c>
      <c r="G25" t="s">
        <v>8466</v>
      </c>
      <c r="H25">
        <v>4</v>
      </c>
      <c r="I25" t="s">
        <v>3868</v>
      </c>
      <c r="J25" t="s">
        <v>8467</v>
      </c>
    </row>
    <row r="26" spans="1:10">
      <c r="A26" t="s">
        <v>8468</v>
      </c>
      <c r="B26" t="s">
        <v>8914</v>
      </c>
      <c r="C26" t="s">
        <v>8485</v>
      </c>
      <c r="D26" t="s">
        <v>8410</v>
      </c>
      <c r="E26" t="s">
        <v>8419</v>
      </c>
      <c r="F26" t="s">
        <v>8457</v>
      </c>
      <c r="G26" t="s">
        <v>8469</v>
      </c>
      <c r="H26">
        <v>5</v>
      </c>
      <c r="I26" t="s">
        <v>3868</v>
      </c>
      <c r="J26" t="s">
        <v>8470</v>
      </c>
    </row>
    <row r="27" spans="1:10">
      <c r="A27" t="s">
        <v>8471</v>
      </c>
      <c r="B27" t="s">
        <v>8914</v>
      </c>
      <c r="C27" t="s">
        <v>8317</v>
      </c>
      <c r="D27" t="s">
        <v>8410</v>
      </c>
      <c r="E27" t="s">
        <v>8413</v>
      </c>
      <c r="F27" t="s">
        <v>8393</v>
      </c>
      <c r="G27" t="s">
        <v>8414</v>
      </c>
      <c r="H27">
        <v>1</v>
      </c>
      <c r="I27" t="s">
        <v>3868</v>
      </c>
      <c r="J27" t="s">
        <v>8473</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5474</v>
      </c>
      <c r="B1" t="s">
        <v>1</v>
      </c>
      <c r="C1" t="s">
        <v>8646</v>
      </c>
      <c r="D1" t="s">
        <v>8648</v>
      </c>
      <c r="E1" t="s">
        <v>7350</v>
      </c>
      <c r="F1" t="s">
        <v>8911</v>
      </c>
      <c r="G1" t="s">
        <v>7225</v>
      </c>
      <c r="H1" t="s">
        <v>12</v>
      </c>
      <c r="I1" t="s">
        <v>7224</v>
      </c>
      <c r="J1" t="s">
        <v>8475</v>
      </c>
    </row>
    <row r="2" spans="1:10">
      <c r="A2" t="s">
        <v>8542</v>
      </c>
      <c r="B2" t="s">
        <v>8912</v>
      </c>
      <c r="C2" t="s">
        <v>8303</v>
      </c>
      <c r="E2" t="s">
        <v>8393</v>
      </c>
      <c r="F2" t="s">
        <v>8543</v>
      </c>
      <c r="G2" t="s">
        <v>8544</v>
      </c>
      <c r="I2" t="s">
        <v>3868</v>
      </c>
    </row>
    <row r="3" spans="1:10">
      <c r="A3" t="s">
        <v>8545</v>
      </c>
      <c r="B3" t="s">
        <v>8912</v>
      </c>
      <c r="C3" t="s">
        <v>8303</v>
      </c>
      <c r="E3" t="s">
        <v>8393</v>
      </c>
      <c r="F3" t="s">
        <v>8546</v>
      </c>
      <c r="G3" t="s">
        <v>8404</v>
      </c>
      <c r="I3" t="s">
        <v>3868</v>
      </c>
    </row>
    <row r="4" spans="1:10">
      <c r="A4" t="s">
        <v>8547</v>
      </c>
      <c r="B4" t="s">
        <v>8912</v>
      </c>
      <c r="C4" t="s">
        <v>8317</v>
      </c>
      <c r="E4" t="s">
        <v>8393</v>
      </c>
      <c r="F4" t="s">
        <v>8393</v>
      </c>
      <c r="G4" t="s">
        <v>8548</v>
      </c>
      <c r="I4" t="s">
        <v>3868</v>
      </c>
    </row>
    <row r="5" spans="1:10">
      <c r="A5" t="s">
        <v>8549</v>
      </c>
      <c r="B5" t="s">
        <v>8912</v>
      </c>
      <c r="C5" t="s">
        <v>8485</v>
      </c>
      <c r="E5" t="s">
        <v>8393</v>
      </c>
      <c r="F5" t="s">
        <v>8393</v>
      </c>
      <c r="G5" t="s">
        <v>8550</v>
      </c>
      <c r="I5" t="s">
        <v>3868</v>
      </c>
    </row>
    <row r="6" spans="1:10">
      <c r="A6" t="s">
        <v>8551</v>
      </c>
      <c r="B6" t="s">
        <v>8912</v>
      </c>
      <c r="C6" t="s">
        <v>8489</v>
      </c>
      <c r="E6" t="s">
        <v>8406</v>
      </c>
      <c r="F6" t="s">
        <v>8393</v>
      </c>
      <c r="G6" t="s">
        <v>8553</v>
      </c>
      <c r="H6">
        <v>3</v>
      </c>
      <c r="I6" t="s">
        <v>3868</v>
      </c>
      <c r="J6" t="s">
        <v>8408</v>
      </c>
    </row>
    <row r="7" spans="1:10">
      <c r="A7" t="s">
        <v>8554</v>
      </c>
      <c r="B7" t="s">
        <v>8912</v>
      </c>
      <c r="C7" t="s">
        <v>8485</v>
      </c>
      <c r="E7" t="s">
        <v>8410</v>
      </c>
      <c r="F7" t="s">
        <v>8393</v>
      </c>
      <c r="G7" t="s">
        <v>8555</v>
      </c>
      <c r="I7" t="s">
        <v>3868</v>
      </c>
    </row>
    <row r="8" spans="1:10">
      <c r="A8" t="s">
        <v>8556</v>
      </c>
      <c r="B8" t="s">
        <v>8912</v>
      </c>
      <c r="C8" t="s">
        <v>8489</v>
      </c>
      <c r="E8" t="s">
        <v>8413</v>
      </c>
      <c r="F8" t="s">
        <v>8393</v>
      </c>
      <c r="G8" t="s">
        <v>8557</v>
      </c>
      <c r="I8" t="s">
        <v>3868</v>
      </c>
    </row>
    <row r="9" spans="1:10">
      <c r="A9" t="s">
        <v>8558</v>
      </c>
      <c r="B9" t="s">
        <v>8912</v>
      </c>
      <c r="C9" t="s">
        <v>8489</v>
      </c>
      <c r="E9" t="s">
        <v>8416</v>
      </c>
      <c r="F9" t="s">
        <v>8393</v>
      </c>
      <c r="G9" t="s">
        <v>8466</v>
      </c>
      <c r="I9" t="s">
        <v>3868</v>
      </c>
    </row>
    <row r="10" spans="1:10">
      <c r="A10" t="s">
        <v>8559</v>
      </c>
      <c r="B10" t="s">
        <v>8912</v>
      </c>
      <c r="C10" t="s">
        <v>8489</v>
      </c>
      <c r="E10" t="s">
        <v>8419</v>
      </c>
      <c r="F10" t="s">
        <v>8393</v>
      </c>
      <c r="G10" t="s">
        <v>8435</v>
      </c>
      <c r="I10" t="s">
        <v>3868</v>
      </c>
    </row>
    <row r="11" spans="1:10">
      <c r="A11" t="s">
        <v>8560</v>
      </c>
      <c r="B11" t="s">
        <v>8912</v>
      </c>
      <c r="C11" t="s">
        <v>8489</v>
      </c>
      <c r="E11" t="s">
        <v>8422</v>
      </c>
      <c r="F11" t="s">
        <v>8393</v>
      </c>
      <c r="G11" t="s">
        <v>8561</v>
      </c>
      <c r="I11" t="s">
        <v>3868</v>
      </c>
    </row>
    <row r="12" spans="1:10">
      <c r="A12" t="s">
        <v>8562</v>
      </c>
      <c r="B12" t="s">
        <v>8912</v>
      </c>
      <c r="C12" t="s">
        <v>8489</v>
      </c>
      <c r="E12" t="s">
        <v>8413</v>
      </c>
      <c r="F12" t="s">
        <v>8393</v>
      </c>
      <c r="G12" t="s">
        <v>8563</v>
      </c>
      <c r="I12" t="s">
        <v>3868</v>
      </c>
      <c r="J12" t="s">
        <v>8426</v>
      </c>
    </row>
    <row r="13" spans="1:10">
      <c r="A13" t="s">
        <v>8564</v>
      </c>
      <c r="B13" t="s">
        <v>8912</v>
      </c>
      <c r="C13" t="s">
        <v>8489</v>
      </c>
      <c r="E13" t="s">
        <v>8428</v>
      </c>
      <c r="F13" t="s">
        <v>8393</v>
      </c>
      <c r="G13" t="s">
        <v>8565</v>
      </c>
      <c r="I13" t="s">
        <v>3868</v>
      </c>
    </row>
    <row r="14" spans="1:10">
      <c r="A14" t="s">
        <v>8566</v>
      </c>
      <c r="B14" t="s">
        <v>8912</v>
      </c>
      <c r="C14" t="s">
        <v>8489</v>
      </c>
      <c r="E14" t="s">
        <v>8406</v>
      </c>
      <c r="F14" t="s">
        <v>8393</v>
      </c>
      <c r="G14" t="s">
        <v>8563</v>
      </c>
      <c r="I14" t="s">
        <v>3868</v>
      </c>
    </row>
    <row r="15" spans="1:10">
      <c r="A15" t="s">
        <v>8567</v>
      </c>
      <c r="B15" t="s">
        <v>8912</v>
      </c>
      <c r="C15" t="s">
        <v>8485</v>
      </c>
      <c r="E15" t="s">
        <v>8432</v>
      </c>
      <c r="F15" t="s">
        <v>8393</v>
      </c>
      <c r="G15" t="s">
        <v>8435</v>
      </c>
      <c r="I15" t="s">
        <v>3868</v>
      </c>
      <c r="J15" t="s">
        <v>8433</v>
      </c>
    </row>
    <row r="16" spans="1:10">
      <c r="A16" t="s">
        <v>8568</v>
      </c>
      <c r="B16" t="s">
        <v>8912</v>
      </c>
      <c r="C16" t="s">
        <v>8485</v>
      </c>
      <c r="E16" t="s">
        <v>8432</v>
      </c>
      <c r="F16" t="s">
        <v>8393</v>
      </c>
      <c r="G16" t="s">
        <v>8569</v>
      </c>
      <c r="I16" t="s">
        <v>3874</v>
      </c>
      <c r="J16" t="s">
        <v>8436</v>
      </c>
    </row>
    <row r="17" spans="1:10">
      <c r="A17" t="s">
        <v>8570</v>
      </c>
      <c r="B17" t="s">
        <v>8913</v>
      </c>
      <c r="D17" t="s">
        <v>8416</v>
      </c>
      <c r="E17" t="s">
        <v>8571</v>
      </c>
      <c r="F17" t="s">
        <v>8442</v>
      </c>
      <c r="G17" t="s">
        <v>8572</v>
      </c>
      <c r="I17" t="s">
        <v>3880</v>
      </c>
    </row>
    <row r="18" spans="1:10">
      <c r="A18" t="s">
        <v>8573</v>
      </c>
      <c r="B18" t="s">
        <v>8913</v>
      </c>
      <c r="D18" t="s">
        <v>8413</v>
      </c>
      <c r="E18" t="s">
        <v>8419</v>
      </c>
      <c r="F18" t="s">
        <v>8442</v>
      </c>
      <c r="G18" t="s">
        <v>8574</v>
      </c>
      <c r="I18" t="s">
        <v>3868</v>
      </c>
      <c r="J18" t="s">
        <v>8575</v>
      </c>
    </row>
    <row r="19" spans="1:10">
      <c r="A19" t="s">
        <v>8576</v>
      </c>
      <c r="B19" t="s">
        <v>8913</v>
      </c>
      <c r="D19" t="s">
        <v>8393</v>
      </c>
      <c r="E19" t="s">
        <v>8413</v>
      </c>
      <c r="F19" t="s">
        <v>8446</v>
      </c>
      <c r="G19" t="s">
        <v>8572</v>
      </c>
      <c r="I19" t="s">
        <v>3868</v>
      </c>
      <c r="J19" t="s">
        <v>8577</v>
      </c>
    </row>
    <row r="20" spans="1:10">
      <c r="A20" t="s">
        <v>8578</v>
      </c>
      <c r="B20" t="s">
        <v>8913</v>
      </c>
      <c r="D20" t="s">
        <v>8432</v>
      </c>
      <c r="E20" t="s">
        <v>8410</v>
      </c>
      <c r="F20" t="s">
        <v>8446</v>
      </c>
      <c r="G20" t="s">
        <v>8579</v>
      </c>
      <c r="I20" t="s">
        <v>3868</v>
      </c>
      <c r="J20" t="s">
        <v>8450</v>
      </c>
    </row>
    <row r="21" spans="1:10">
      <c r="A21" t="s">
        <v>8580</v>
      </c>
      <c r="B21" t="s">
        <v>8913</v>
      </c>
      <c r="D21" t="s">
        <v>8413</v>
      </c>
      <c r="E21" t="s">
        <v>8571</v>
      </c>
      <c r="F21" t="s">
        <v>8393</v>
      </c>
      <c r="G21" t="s">
        <v>8572</v>
      </c>
      <c r="I21" t="s">
        <v>3880</v>
      </c>
      <c r="J21" t="s">
        <v>8453</v>
      </c>
    </row>
    <row r="22" spans="1:10">
      <c r="A22" t="s">
        <v>8581</v>
      </c>
      <c r="B22" t="s">
        <v>8913</v>
      </c>
      <c r="D22" t="s">
        <v>8432</v>
      </c>
      <c r="E22" t="s">
        <v>8582</v>
      </c>
      <c r="F22" t="s">
        <v>8393</v>
      </c>
      <c r="G22" t="s">
        <v>8583</v>
      </c>
      <c r="I22" t="s">
        <v>3868</v>
      </c>
    </row>
    <row r="23" spans="1:10">
      <c r="A23" t="s">
        <v>8584</v>
      </c>
      <c r="B23" t="s">
        <v>8913</v>
      </c>
      <c r="D23" t="s">
        <v>8393</v>
      </c>
      <c r="E23" t="s">
        <v>8432</v>
      </c>
      <c r="F23" t="s">
        <v>8457</v>
      </c>
      <c r="G23" t="s">
        <v>8585</v>
      </c>
      <c r="I23" t="s">
        <v>3868</v>
      </c>
      <c r="J23" t="s">
        <v>8459</v>
      </c>
    </row>
    <row r="24" spans="1:10">
      <c r="A24" t="s">
        <v>8586</v>
      </c>
      <c r="B24" t="s">
        <v>8915</v>
      </c>
      <c r="C24" t="s">
        <v>8303</v>
      </c>
      <c r="E24" t="s">
        <v>8393</v>
      </c>
      <c r="F24" t="s">
        <v>8446</v>
      </c>
      <c r="G24" t="s">
        <v>8544</v>
      </c>
      <c r="I24" t="s">
        <v>8393</v>
      </c>
      <c r="J24" t="s">
        <v>8587</v>
      </c>
    </row>
    <row r="25" spans="1:10">
      <c r="A25" t="s">
        <v>8588</v>
      </c>
      <c r="B25" t="s">
        <v>8915</v>
      </c>
      <c r="C25" t="s">
        <v>8317</v>
      </c>
      <c r="E25" t="s">
        <v>8393</v>
      </c>
      <c r="F25" t="s">
        <v>8393</v>
      </c>
      <c r="G25" t="s">
        <v>8589</v>
      </c>
      <c r="I25" t="s">
        <v>8393</v>
      </c>
      <c r="J25" t="s">
        <v>8590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5474</v>
      </c>
      <c r="B1" s="46" t="s">
        <v>5455</v>
      </c>
      <c r="C1" s="46" t="s">
        <v>8643</v>
      </c>
      <c r="D1" s="46" t="s">
        <v>8916</v>
      </c>
      <c r="E1" s="46" t="s">
        <v>8812</v>
      </c>
      <c r="F1" s="46" t="s">
        <v>8917</v>
      </c>
      <c r="G1" s="46" t="s">
        <v>8918</v>
      </c>
      <c r="H1" s="46" t="s">
        <v>8919</v>
      </c>
      <c r="I1" s="46" t="s">
        <v>7221</v>
      </c>
      <c r="J1" s="46" t="s">
        <v>7222</v>
      </c>
      <c r="K1" s="46" t="s">
        <v>8644</v>
      </c>
      <c r="L1" s="46" t="s">
        <v>8645</v>
      </c>
      <c r="M1" s="46" t="s">
        <v>8646</v>
      </c>
      <c r="N1" s="46" t="s">
        <v>8647</v>
      </c>
      <c r="O1" s="46" t="s">
        <v>8648</v>
      </c>
      <c r="P1" s="46" t="s">
        <v>7350</v>
      </c>
      <c r="Q1" s="46" t="s">
        <v>8250</v>
      </c>
      <c r="R1" s="46" t="s">
        <v>8369</v>
      </c>
      <c r="S1" s="46" t="s">
        <v>8379</v>
      </c>
      <c r="T1" s="46" t="s">
        <v>8315</v>
      </c>
      <c r="U1" s="46" t="s">
        <v>8600</v>
      </c>
      <c r="V1" s="46" t="s">
        <v>8649</v>
      </c>
      <c r="W1" s="46" t="s">
        <v>8650</v>
      </c>
      <c r="X1" s="46" t="s">
        <v>5479</v>
      </c>
      <c r="Y1" s="46" t="s">
        <v>8651</v>
      </c>
      <c r="Z1" s="46" t="s">
        <v>8652</v>
      </c>
      <c r="AA1" s="46" t="s">
        <v>8653</v>
      </c>
      <c r="AB1" s="46" t="s">
        <v>8654</v>
      </c>
      <c r="AC1" s="46" t="s">
        <v>7225</v>
      </c>
      <c r="AD1" s="46" t="s">
        <v>8655</v>
      </c>
      <c r="AE1" s="46" t="s">
        <v>8656</v>
      </c>
      <c r="AF1" s="46" t="s">
        <v>8920</v>
      </c>
      <c r="AG1" s="47" t="s">
        <v>1398</v>
      </c>
      <c r="AH1" s="28" t="s">
        <v>7344</v>
      </c>
      <c r="AI1" s="28" t="s">
        <v>5553</v>
      </c>
      <c r="AJ1" t="s">
        <v>7345</v>
      </c>
      <c r="AK1" t="s">
        <v>7346</v>
      </c>
      <c r="AL1" t="s">
        <v>7347</v>
      </c>
      <c r="AM1" t="s">
        <v>7348</v>
      </c>
      <c r="AN1" t="s">
        <v>7349</v>
      </c>
      <c r="AO1" t="s">
        <v>7351</v>
      </c>
      <c r="AP1" t="s">
        <v>7352</v>
      </c>
      <c r="AQ1" t="s">
        <v>7353</v>
      </c>
      <c r="AR1" t="s">
        <v>7354</v>
      </c>
      <c r="AS1" t="s">
        <v>7358</v>
      </c>
      <c r="AT1" t="s">
        <v>7359</v>
      </c>
    </row>
    <row r="2" spans="1:46">
      <c r="A2" s="49" t="s">
        <v>8819</v>
      </c>
      <c r="B2" s="49" t="s">
        <v>8820</v>
      </c>
      <c r="C2" s="49" t="s">
        <v>8921</v>
      </c>
      <c r="D2" s="49" t="s">
        <v>8819</v>
      </c>
      <c r="E2" s="49" t="s">
        <v>8258</v>
      </c>
      <c r="F2" s="49" t="s">
        <v>8922</v>
      </c>
      <c r="G2" s="49" t="s">
        <v>8923</v>
      </c>
      <c r="H2" s="49" t="s">
        <v>8271</v>
      </c>
      <c r="I2" s="49" t="s">
        <v>7341</v>
      </c>
      <c r="J2" s="49" t="s">
        <v>7320</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8657</v>
      </c>
      <c r="AJ2" s="56">
        <v>3</v>
      </c>
      <c r="AK2" s="56" t="s">
        <v>5497</v>
      </c>
      <c r="AL2" s="56" t="s">
        <v>5486</v>
      </c>
      <c r="AM2" s="56">
        <v>3</v>
      </c>
      <c r="AN2" s="56">
        <v>5</v>
      </c>
      <c r="AO2" s="56">
        <v>4</v>
      </c>
      <c r="AP2" s="56">
        <v>4</v>
      </c>
      <c r="AQ2" s="56">
        <v>14</v>
      </c>
      <c r="AR2" s="56">
        <v>14</v>
      </c>
      <c r="AS2" s="56">
        <v>5</v>
      </c>
      <c r="AT2" s="56">
        <v>6</v>
      </c>
    </row>
    <row r="3" spans="1:46">
      <c r="A3" s="49" t="s">
        <v>8821</v>
      </c>
      <c r="B3" s="49" t="s">
        <v>8820</v>
      </c>
      <c r="C3" s="49" t="s">
        <v>8921</v>
      </c>
      <c r="D3" s="49" t="s">
        <v>8912</v>
      </c>
      <c r="E3" s="49" t="s">
        <v>8258</v>
      </c>
      <c r="F3" s="49" t="s">
        <v>8922</v>
      </c>
      <c r="G3" s="49" t="s">
        <v>8923</v>
      </c>
      <c r="H3" s="49" t="s">
        <v>8271</v>
      </c>
      <c r="I3" s="49" t="s">
        <v>7341</v>
      </c>
      <c r="J3" s="49" t="s">
        <v>7320</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8657</v>
      </c>
      <c r="AJ3" s="56">
        <v>3</v>
      </c>
      <c r="AK3" s="56" t="s">
        <v>5497</v>
      </c>
      <c r="AL3" s="56" t="s">
        <v>5486</v>
      </c>
      <c r="AM3" s="56">
        <v>3</v>
      </c>
      <c r="AN3" s="56">
        <v>5</v>
      </c>
      <c r="AO3" s="56">
        <v>4</v>
      </c>
      <c r="AP3" s="56">
        <v>4</v>
      </c>
      <c r="AQ3" s="56">
        <v>10</v>
      </c>
      <c r="AR3" s="56">
        <v>10</v>
      </c>
      <c r="AS3" s="56">
        <v>5</v>
      </c>
      <c r="AT3" s="56">
        <v>6</v>
      </c>
    </row>
    <row r="4" spans="1:46">
      <c r="A4" s="49" t="s">
        <v>8822</v>
      </c>
      <c r="B4" s="49" t="s">
        <v>8820</v>
      </c>
      <c r="C4" s="49" t="s">
        <v>8921</v>
      </c>
      <c r="D4" s="49" t="s">
        <v>8924</v>
      </c>
      <c r="E4" s="49" t="s">
        <v>8258</v>
      </c>
      <c r="F4" s="49" t="s">
        <v>8922</v>
      </c>
      <c r="G4" s="49" t="s">
        <v>8923</v>
      </c>
      <c r="H4" s="49" t="s">
        <v>8271</v>
      </c>
      <c r="I4" s="49" t="s">
        <v>7341</v>
      </c>
      <c r="J4" s="49" t="s">
        <v>7320</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8657</v>
      </c>
      <c r="AJ4" s="56">
        <v>3</v>
      </c>
      <c r="AK4" s="56" t="s">
        <v>5497</v>
      </c>
      <c r="AL4" s="56" t="s">
        <v>5486</v>
      </c>
      <c r="AM4" s="56">
        <v>3</v>
      </c>
      <c r="AN4" s="56">
        <v>5</v>
      </c>
      <c r="AO4" s="56">
        <v>4</v>
      </c>
      <c r="AP4" s="56">
        <v>4</v>
      </c>
      <c r="AQ4" s="56">
        <v>12</v>
      </c>
      <c r="AR4" s="56">
        <v>12</v>
      </c>
      <c r="AS4" s="56">
        <v>5</v>
      </c>
      <c r="AT4" s="56">
        <v>6</v>
      </c>
    </row>
    <row r="5" spans="1:46">
      <c r="A5" s="49" t="s">
        <v>8823</v>
      </c>
      <c r="B5" s="49" t="s">
        <v>8820</v>
      </c>
      <c r="C5" s="49" t="s">
        <v>8824</v>
      </c>
      <c r="D5" s="49" t="s">
        <v>8925</v>
      </c>
      <c r="E5" s="49" t="s">
        <v>8258</v>
      </c>
      <c r="F5" s="49" t="s">
        <v>8922</v>
      </c>
      <c r="G5" s="49" t="s">
        <v>8923</v>
      </c>
      <c r="H5" s="49" t="s">
        <v>8271</v>
      </c>
      <c r="I5" s="49" t="s">
        <v>7341</v>
      </c>
      <c r="J5" s="49" t="s">
        <v>7320</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8926</v>
      </c>
      <c r="AJ5" s="56">
        <v>1.5</v>
      </c>
      <c r="AK5" s="56" t="s">
        <v>5497</v>
      </c>
      <c r="AL5" s="56" t="s">
        <v>7946</v>
      </c>
      <c r="AM5" s="56">
        <v>3</v>
      </c>
      <c r="AN5" s="56">
        <v>5</v>
      </c>
      <c r="AO5" s="56">
        <v>-2</v>
      </c>
      <c r="AP5" s="56">
        <v>-7</v>
      </c>
      <c r="AQ5" s="56">
        <v>7</v>
      </c>
      <c r="AR5" s="56" t="s">
        <v>7946</v>
      </c>
      <c r="AS5" s="56">
        <v>2</v>
      </c>
      <c r="AT5" s="56">
        <v>10</v>
      </c>
    </row>
    <row r="6" spans="1:46">
      <c r="A6" s="49" t="s">
        <v>8824</v>
      </c>
      <c r="B6" s="49" t="s">
        <v>8820</v>
      </c>
      <c r="C6" s="49" t="s">
        <v>8824</v>
      </c>
      <c r="D6" s="49" t="s">
        <v>8927</v>
      </c>
      <c r="E6" s="49" t="s">
        <v>8258</v>
      </c>
      <c r="F6" s="49" t="s">
        <v>8922</v>
      </c>
      <c r="G6" s="49" t="s">
        <v>8923</v>
      </c>
      <c r="H6" s="49" t="s">
        <v>8271</v>
      </c>
      <c r="I6" s="49" t="s">
        <v>7341</v>
      </c>
      <c r="J6" s="49" t="s">
        <v>7320</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8926</v>
      </c>
      <c r="AJ6" s="56">
        <v>1.5</v>
      </c>
      <c r="AK6" s="56" t="s">
        <v>5497</v>
      </c>
      <c r="AL6" s="56" t="s">
        <v>7946</v>
      </c>
      <c r="AM6" s="56">
        <v>3</v>
      </c>
      <c r="AN6" s="56">
        <v>5</v>
      </c>
      <c r="AO6" s="56">
        <v>-2</v>
      </c>
      <c r="AP6" s="56">
        <v>-7</v>
      </c>
      <c r="AQ6" s="56">
        <v>7</v>
      </c>
      <c r="AR6" s="56" t="s">
        <v>7946</v>
      </c>
      <c r="AS6" s="56">
        <v>2</v>
      </c>
      <c r="AT6" s="56">
        <v>10</v>
      </c>
    </row>
    <row r="7" spans="1:46">
      <c r="A7" s="49" t="s">
        <v>8825</v>
      </c>
      <c r="B7" s="49" t="s">
        <v>8820</v>
      </c>
      <c r="C7" s="49" t="s">
        <v>8824</v>
      </c>
      <c r="D7" s="49" t="s">
        <v>8925</v>
      </c>
      <c r="E7" s="49" t="s">
        <v>8258</v>
      </c>
      <c r="F7" s="49" t="s">
        <v>8928</v>
      </c>
      <c r="G7" s="49" t="s">
        <v>8923</v>
      </c>
      <c r="H7" s="49" t="s">
        <v>8271</v>
      </c>
      <c r="I7" s="49" t="s">
        <v>7341</v>
      </c>
      <c r="J7" s="49" t="s">
        <v>7320</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8926</v>
      </c>
      <c r="AJ7" s="56">
        <v>1.5</v>
      </c>
      <c r="AK7" s="56" t="s">
        <v>5497</v>
      </c>
      <c r="AL7" s="56" t="s">
        <v>7946</v>
      </c>
      <c r="AM7" s="56">
        <v>3</v>
      </c>
      <c r="AN7" s="56">
        <v>5</v>
      </c>
      <c r="AO7" s="56">
        <v>-2</v>
      </c>
      <c r="AP7" s="56">
        <v>-7</v>
      </c>
      <c r="AQ7" s="56">
        <v>7</v>
      </c>
      <c r="AR7" s="56" t="s">
        <v>7946</v>
      </c>
      <c r="AS7" s="56">
        <v>2</v>
      </c>
      <c r="AT7" s="56">
        <v>10</v>
      </c>
    </row>
    <row r="8" spans="1:46">
      <c r="A8" s="49" t="s">
        <v>8826</v>
      </c>
      <c r="B8" s="49" t="s">
        <v>1174</v>
      </c>
      <c r="C8" s="49" t="s">
        <v>8921</v>
      </c>
      <c r="D8" s="49" t="s">
        <v>8929</v>
      </c>
      <c r="E8" s="49" t="s">
        <v>8262</v>
      </c>
      <c r="F8" s="49" t="s">
        <v>8930</v>
      </c>
      <c r="G8" s="49" t="s">
        <v>8923</v>
      </c>
      <c r="H8" s="49" t="s">
        <v>8827</v>
      </c>
      <c r="I8" s="49" t="s">
        <v>7341</v>
      </c>
      <c r="J8" s="49" t="s">
        <v>7320</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8657</v>
      </c>
      <c r="AJ8" s="56">
        <v>3</v>
      </c>
      <c r="AK8" s="56" t="s">
        <v>5497</v>
      </c>
      <c r="AL8" s="56" t="s">
        <v>5486</v>
      </c>
      <c r="AM8" s="56">
        <v>3</v>
      </c>
      <c r="AN8" s="56">
        <v>5</v>
      </c>
      <c r="AO8" s="56">
        <v>4</v>
      </c>
      <c r="AP8" s="56">
        <v>4</v>
      </c>
      <c r="AQ8" s="56">
        <v>10</v>
      </c>
      <c r="AR8" s="56">
        <v>10</v>
      </c>
      <c r="AS8" s="56">
        <v>5</v>
      </c>
      <c r="AT8" s="56">
        <v>6</v>
      </c>
    </row>
    <row r="9" spans="1:46">
      <c r="A9" s="49" t="s">
        <v>8828</v>
      </c>
      <c r="B9" s="49" t="s">
        <v>1174</v>
      </c>
      <c r="C9" s="49" t="s">
        <v>8921</v>
      </c>
      <c r="D9" s="49" t="s">
        <v>8929</v>
      </c>
      <c r="E9" s="49" t="s">
        <v>8829</v>
      </c>
      <c r="F9" s="49" t="s">
        <v>8931</v>
      </c>
      <c r="G9" s="49" t="s">
        <v>8932</v>
      </c>
      <c r="H9" s="49" t="s">
        <v>8830</v>
      </c>
      <c r="I9" s="49" t="s">
        <v>7341</v>
      </c>
      <c r="J9" s="49" t="s">
        <v>7320</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8657</v>
      </c>
      <c r="AJ9" s="56">
        <v>3</v>
      </c>
      <c r="AK9" s="56" t="s">
        <v>5497</v>
      </c>
      <c r="AL9" s="56" t="s">
        <v>5486</v>
      </c>
      <c r="AM9" s="56">
        <v>3</v>
      </c>
      <c r="AN9" s="56">
        <v>5</v>
      </c>
      <c r="AO9" s="56">
        <v>4</v>
      </c>
      <c r="AP9" s="56">
        <v>4</v>
      </c>
      <c r="AQ9" s="56">
        <v>10</v>
      </c>
      <c r="AR9" s="56">
        <v>10</v>
      </c>
      <c r="AS9" s="56">
        <v>5</v>
      </c>
      <c r="AT9" s="56">
        <v>6</v>
      </c>
    </row>
    <row r="10" spans="1:46">
      <c r="A10" s="49" t="s">
        <v>8831</v>
      </c>
      <c r="B10" s="49" t="s">
        <v>1174</v>
      </c>
      <c r="C10" s="49" t="s">
        <v>8921</v>
      </c>
      <c r="D10" s="49" t="s">
        <v>8912</v>
      </c>
      <c r="E10" s="49" t="s">
        <v>8258</v>
      </c>
      <c r="F10" s="49" t="s">
        <v>8928</v>
      </c>
      <c r="G10" s="49" t="s">
        <v>8923</v>
      </c>
      <c r="H10" s="49" t="s">
        <v>8271</v>
      </c>
      <c r="I10" s="49" t="s">
        <v>7341</v>
      </c>
      <c r="J10" s="49" t="s">
        <v>7320</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8657</v>
      </c>
      <c r="AJ10" s="56">
        <v>3</v>
      </c>
      <c r="AK10" s="56" t="s">
        <v>5497</v>
      </c>
      <c r="AL10" s="56" t="s">
        <v>5486</v>
      </c>
      <c r="AM10" s="56">
        <v>3</v>
      </c>
      <c r="AN10" s="56">
        <v>5</v>
      </c>
      <c r="AO10" s="56">
        <v>4</v>
      </c>
      <c r="AP10" s="56">
        <v>4</v>
      </c>
      <c r="AQ10" s="56">
        <v>11</v>
      </c>
      <c r="AR10" s="56">
        <v>11</v>
      </c>
      <c r="AS10" s="56">
        <v>5</v>
      </c>
      <c r="AT10" s="56">
        <v>6</v>
      </c>
    </row>
    <row r="11" spans="1:46">
      <c r="A11" s="49" t="s">
        <v>8832</v>
      </c>
      <c r="B11" s="49" t="s">
        <v>1174</v>
      </c>
      <c r="C11" s="49" t="s">
        <v>8921</v>
      </c>
      <c r="D11" s="49" t="s">
        <v>8912</v>
      </c>
      <c r="E11" s="49" t="s">
        <v>8262</v>
      </c>
      <c r="F11" s="49" t="s">
        <v>8930</v>
      </c>
      <c r="G11" s="49" t="s">
        <v>8923</v>
      </c>
      <c r="H11" s="49" t="s">
        <v>8827</v>
      </c>
      <c r="I11" s="49" t="s">
        <v>7341</v>
      </c>
      <c r="J11" s="49" t="s">
        <v>7320</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8657</v>
      </c>
      <c r="AJ11" s="56">
        <v>3</v>
      </c>
      <c r="AK11" s="56" t="s">
        <v>5497</v>
      </c>
      <c r="AL11" s="56" t="s">
        <v>5486</v>
      </c>
      <c r="AM11" s="56">
        <v>3</v>
      </c>
      <c r="AN11" s="56">
        <v>5</v>
      </c>
      <c r="AO11" s="56">
        <v>4</v>
      </c>
      <c r="AP11" s="56">
        <v>4</v>
      </c>
      <c r="AQ11" s="56">
        <v>11</v>
      </c>
      <c r="AR11" s="56">
        <v>11</v>
      </c>
      <c r="AS11" s="56">
        <v>5</v>
      </c>
      <c r="AT11" s="56">
        <v>6</v>
      </c>
    </row>
    <row r="12" spans="1:46">
      <c r="A12" s="49" t="s">
        <v>8833</v>
      </c>
      <c r="B12" s="49" t="s">
        <v>1174</v>
      </c>
      <c r="C12" s="49" t="s">
        <v>8824</v>
      </c>
      <c r="D12" s="49" t="s">
        <v>8927</v>
      </c>
      <c r="E12" s="49" t="s">
        <v>8829</v>
      </c>
      <c r="F12" s="49" t="s">
        <v>8931</v>
      </c>
      <c r="G12" s="49" t="s">
        <v>8932</v>
      </c>
      <c r="H12" s="49" t="s">
        <v>8830</v>
      </c>
      <c r="I12" s="49" t="s">
        <v>7341</v>
      </c>
      <c r="J12" s="49" t="s">
        <v>7320</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8926</v>
      </c>
      <c r="AJ12" s="56">
        <v>1.5</v>
      </c>
      <c r="AK12" s="56" t="s">
        <v>5497</v>
      </c>
      <c r="AL12" s="56" t="s">
        <v>7946</v>
      </c>
      <c r="AM12" s="56">
        <v>3</v>
      </c>
      <c r="AN12" s="56">
        <v>5</v>
      </c>
      <c r="AO12" s="56">
        <v>-2</v>
      </c>
      <c r="AP12" s="56">
        <v>-7</v>
      </c>
      <c r="AQ12" s="56">
        <v>8</v>
      </c>
      <c r="AR12" s="56" t="s">
        <v>7946</v>
      </c>
      <c r="AS12" s="56">
        <v>2</v>
      </c>
      <c r="AT12" s="56">
        <v>10</v>
      </c>
    </row>
    <row r="13" spans="1:46">
      <c r="A13" s="49" t="s">
        <v>8834</v>
      </c>
      <c r="B13" s="49" t="s">
        <v>1174</v>
      </c>
      <c r="C13" s="49" t="s">
        <v>8824</v>
      </c>
      <c r="D13" s="49" t="s">
        <v>8933</v>
      </c>
      <c r="E13" s="49" t="s">
        <v>8829</v>
      </c>
      <c r="F13" s="49" t="s">
        <v>8931</v>
      </c>
      <c r="G13" s="49" t="s">
        <v>8932</v>
      </c>
      <c r="H13" s="49" t="s">
        <v>8830</v>
      </c>
      <c r="I13" s="49" t="s">
        <v>7341</v>
      </c>
      <c r="J13" s="49" t="s">
        <v>7320</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8926</v>
      </c>
      <c r="AJ13" s="56">
        <v>1.5</v>
      </c>
      <c r="AK13" s="56" t="s">
        <v>5497</v>
      </c>
      <c r="AL13" s="56" t="s">
        <v>7946</v>
      </c>
      <c r="AM13" s="56">
        <v>3</v>
      </c>
      <c r="AN13" s="56">
        <v>5</v>
      </c>
      <c r="AO13" s="56">
        <v>-2</v>
      </c>
      <c r="AP13" s="56">
        <v>-7</v>
      </c>
      <c r="AQ13" s="56">
        <v>10</v>
      </c>
      <c r="AR13" s="56" t="s">
        <v>7946</v>
      </c>
      <c r="AS13" s="56">
        <v>2</v>
      </c>
      <c r="AT13" s="56">
        <v>10</v>
      </c>
    </row>
    <row r="14" spans="1:46">
      <c r="A14" s="49" t="s">
        <v>8835</v>
      </c>
      <c r="B14" s="49" t="s">
        <v>1174</v>
      </c>
      <c r="C14" s="49" t="s">
        <v>8824</v>
      </c>
      <c r="D14" s="49" t="s">
        <v>8927</v>
      </c>
      <c r="E14" s="49" t="s">
        <v>8258</v>
      </c>
      <c r="F14" s="49" t="s">
        <v>8928</v>
      </c>
      <c r="G14" s="49" t="s">
        <v>8923</v>
      </c>
      <c r="H14" s="49" t="s">
        <v>8271</v>
      </c>
      <c r="I14" s="49" t="s">
        <v>7341</v>
      </c>
      <c r="J14" s="49" t="s">
        <v>7320</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8926</v>
      </c>
      <c r="AJ14" s="56">
        <v>1.5</v>
      </c>
      <c r="AK14" s="56" t="s">
        <v>5497</v>
      </c>
      <c r="AL14" s="56" t="s">
        <v>7946</v>
      </c>
      <c r="AM14" s="56">
        <v>3</v>
      </c>
      <c r="AN14" s="56">
        <v>5</v>
      </c>
      <c r="AO14" s="56">
        <v>-2</v>
      </c>
      <c r="AP14" s="56">
        <v>-7</v>
      </c>
      <c r="AQ14" s="56">
        <v>8</v>
      </c>
      <c r="AR14" s="56" t="s">
        <v>7946</v>
      </c>
      <c r="AS14" s="56">
        <v>2</v>
      </c>
      <c r="AT14" s="56">
        <v>10</v>
      </c>
    </row>
    <row r="15" spans="1:46">
      <c r="A15" s="49" t="s">
        <v>8836</v>
      </c>
      <c r="B15" s="49" t="s">
        <v>1174</v>
      </c>
      <c r="C15" s="49" t="s">
        <v>8824</v>
      </c>
      <c r="D15" s="49" t="s">
        <v>8934</v>
      </c>
      <c r="E15" s="49" t="s">
        <v>8829</v>
      </c>
      <c r="F15" s="49" t="s">
        <v>8931</v>
      </c>
      <c r="G15" s="49" t="s">
        <v>8932</v>
      </c>
      <c r="H15" s="49" t="s">
        <v>8830</v>
      </c>
      <c r="I15" s="49" t="s">
        <v>7341</v>
      </c>
      <c r="J15" s="49" t="s">
        <v>7320</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8926</v>
      </c>
      <c r="AJ15" s="56">
        <v>1.5</v>
      </c>
      <c r="AK15" s="56" t="s">
        <v>5497</v>
      </c>
      <c r="AL15" s="56" t="s">
        <v>7946</v>
      </c>
      <c r="AM15" s="56">
        <v>3</v>
      </c>
      <c r="AN15" s="56">
        <v>5</v>
      </c>
      <c r="AO15" s="56">
        <v>-2</v>
      </c>
      <c r="AP15" s="56">
        <v>-7</v>
      </c>
      <c r="AQ15" s="56">
        <v>6</v>
      </c>
      <c r="AR15" s="56" t="s">
        <v>7946</v>
      </c>
      <c r="AS15" s="56">
        <v>2</v>
      </c>
      <c r="AT15" s="56">
        <v>10</v>
      </c>
    </row>
    <row r="16" spans="1:46">
      <c r="A16" s="49" t="s">
        <v>8837</v>
      </c>
      <c r="B16" s="49" t="s">
        <v>1176</v>
      </c>
      <c r="C16" s="49" t="s">
        <v>8921</v>
      </c>
      <c r="D16" s="49" t="s">
        <v>8912</v>
      </c>
      <c r="E16" s="49" t="s">
        <v>8258</v>
      </c>
      <c r="F16" s="49" t="s">
        <v>8928</v>
      </c>
      <c r="G16" s="49" t="s">
        <v>8923</v>
      </c>
      <c r="H16" s="49" t="s">
        <v>8271</v>
      </c>
      <c r="I16" s="49" t="s">
        <v>7341</v>
      </c>
      <c r="J16" s="49" t="s">
        <v>7320</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8657</v>
      </c>
      <c r="AJ16" s="56">
        <v>3</v>
      </c>
      <c r="AK16" s="56" t="s">
        <v>5497</v>
      </c>
      <c r="AL16" s="56" t="s">
        <v>5486</v>
      </c>
      <c r="AM16" s="56">
        <v>3</v>
      </c>
      <c r="AN16" s="56">
        <v>5</v>
      </c>
      <c r="AO16" s="56">
        <v>4</v>
      </c>
      <c r="AP16" s="56">
        <v>4</v>
      </c>
      <c r="AQ16" s="56">
        <v>10</v>
      </c>
      <c r="AR16" s="56">
        <v>10</v>
      </c>
      <c r="AS16" s="56">
        <v>5</v>
      </c>
      <c r="AT16" s="56">
        <v>6</v>
      </c>
    </row>
    <row r="17" spans="1:46">
      <c r="A17" s="49" t="s">
        <v>8838</v>
      </c>
      <c r="B17" s="49" t="s">
        <v>1176</v>
      </c>
      <c r="C17" s="49" t="s">
        <v>8921</v>
      </c>
      <c r="D17" s="49" t="s">
        <v>8929</v>
      </c>
      <c r="E17" s="49" t="s">
        <v>8829</v>
      </c>
      <c r="F17" s="49" t="s">
        <v>8931</v>
      </c>
      <c r="G17" s="49" t="s">
        <v>8932</v>
      </c>
      <c r="H17" s="49" t="s">
        <v>8830</v>
      </c>
      <c r="I17" s="49" t="s">
        <v>7341</v>
      </c>
      <c r="J17" s="49" t="s">
        <v>7320</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8657</v>
      </c>
      <c r="AJ17" s="56">
        <v>3</v>
      </c>
      <c r="AK17" s="56" t="s">
        <v>5497</v>
      </c>
      <c r="AL17" s="56" t="s">
        <v>5486</v>
      </c>
      <c r="AM17" s="56">
        <v>3</v>
      </c>
      <c r="AN17" s="56">
        <v>5</v>
      </c>
      <c r="AO17" s="56">
        <v>4</v>
      </c>
      <c r="AP17" s="56">
        <v>4</v>
      </c>
      <c r="AQ17" s="56">
        <v>9</v>
      </c>
      <c r="AR17" s="56">
        <v>9</v>
      </c>
      <c r="AS17" s="56">
        <v>5</v>
      </c>
      <c r="AT17" s="56">
        <v>6</v>
      </c>
    </row>
    <row r="18" spans="1:46">
      <c r="A18" s="49" t="s">
        <v>8839</v>
      </c>
      <c r="B18" s="49" t="s">
        <v>1176</v>
      </c>
      <c r="C18" s="49" t="s">
        <v>8921</v>
      </c>
      <c r="D18" s="49" t="s">
        <v>8935</v>
      </c>
      <c r="E18" s="49" t="s">
        <v>8258</v>
      </c>
      <c r="F18" s="49" t="s">
        <v>8936</v>
      </c>
      <c r="G18" s="49" t="s">
        <v>8932</v>
      </c>
      <c r="H18" s="49" t="s">
        <v>8271</v>
      </c>
      <c r="I18" s="49" t="s">
        <v>7341</v>
      </c>
      <c r="J18" s="49" t="s">
        <v>7320</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8657</v>
      </c>
      <c r="AJ18" s="56">
        <v>3</v>
      </c>
      <c r="AK18" s="56" t="s">
        <v>5497</v>
      </c>
      <c r="AL18" s="56" t="s">
        <v>5486</v>
      </c>
      <c r="AM18" s="56">
        <v>3</v>
      </c>
      <c r="AN18" s="56">
        <v>5</v>
      </c>
      <c r="AO18" s="56">
        <v>4</v>
      </c>
      <c r="AP18" s="56">
        <v>4</v>
      </c>
      <c r="AQ18" s="56">
        <v>10</v>
      </c>
      <c r="AR18" s="56">
        <v>10</v>
      </c>
      <c r="AS18" s="56">
        <v>5</v>
      </c>
      <c r="AT18" s="56">
        <v>6</v>
      </c>
    </row>
    <row r="19" spans="1:46">
      <c r="A19" s="49" t="s">
        <v>8840</v>
      </c>
      <c r="B19" s="49" t="s">
        <v>1176</v>
      </c>
      <c r="C19" s="49" t="s">
        <v>8921</v>
      </c>
      <c r="D19" s="49" t="s">
        <v>8937</v>
      </c>
      <c r="E19" s="49" t="s">
        <v>8829</v>
      </c>
      <c r="F19" s="49" t="s">
        <v>8931</v>
      </c>
      <c r="G19" s="49" t="s">
        <v>8932</v>
      </c>
      <c r="H19" s="49" t="s">
        <v>8830</v>
      </c>
      <c r="I19" s="49" t="s">
        <v>7341</v>
      </c>
      <c r="J19" s="49" t="s">
        <v>7320</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8657</v>
      </c>
      <c r="AJ19" s="56">
        <v>3</v>
      </c>
      <c r="AK19" s="56" t="s">
        <v>5497</v>
      </c>
      <c r="AL19" s="56" t="s">
        <v>5486</v>
      </c>
      <c r="AM19" s="56">
        <v>3</v>
      </c>
      <c r="AN19" s="56">
        <v>5</v>
      </c>
      <c r="AO19" s="56">
        <v>4</v>
      </c>
      <c r="AP19" s="56">
        <v>4</v>
      </c>
      <c r="AQ19" s="56">
        <v>10</v>
      </c>
      <c r="AR19" s="56">
        <v>10</v>
      </c>
      <c r="AS19" s="56">
        <v>5</v>
      </c>
      <c r="AT19" s="56">
        <v>6</v>
      </c>
    </row>
    <row r="20" spans="1:46">
      <c r="A20" s="49" t="s">
        <v>8841</v>
      </c>
      <c r="B20" s="49" t="s">
        <v>1176</v>
      </c>
      <c r="C20" s="49" t="s">
        <v>8921</v>
      </c>
      <c r="D20" s="49" t="s">
        <v>8935</v>
      </c>
      <c r="E20" s="49" t="s">
        <v>8829</v>
      </c>
      <c r="F20" s="49" t="s">
        <v>8931</v>
      </c>
      <c r="G20" s="49" t="s">
        <v>8932</v>
      </c>
      <c r="H20" s="49" t="s">
        <v>8830</v>
      </c>
      <c r="I20" s="49" t="s">
        <v>7341</v>
      </c>
      <c r="J20" s="49" t="s">
        <v>7320</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8657</v>
      </c>
      <c r="AJ20" s="56">
        <v>3</v>
      </c>
      <c r="AK20" s="56" t="s">
        <v>5497</v>
      </c>
      <c r="AL20" s="56" t="s">
        <v>5486</v>
      </c>
      <c r="AM20" s="56">
        <v>3</v>
      </c>
      <c r="AN20" s="56">
        <v>5</v>
      </c>
      <c r="AO20" s="56">
        <v>4</v>
      </c>
      <c r="AP20" s="56">
        <v>4</v>
      </c>
      <c r="AQ20" s="56">
        <v>10</v>
      </c>
      <c r="AR20" s="56">
        <v>10</v>
      </c>
      <c r="AS20" s="56">
        <v>5</v>
      </c>
      <c r="AT20" s="56">
        <v>6</v>
      </c>
    </row>
    <row r="21" spans="1:46">
      <c r="A21" s="49" t="s">
        <v>8842</v>
      </c>
      <c r="B21" s="49" t="s">
        <v>1176</v>
      </c>
      <c r="C21" s="49" t="s">
        <v>8921</v>
      </c>
      <c r="D21" s="49" t="s">
        <v>8938</v>
      </c>
      <c r="E21" s="49" t="s">
        <v>8258</v>
      </c>
      <c r="F21" s="49" t="s">
        <v>8936</v>
      </c>
      <c r="G21" s="49" t="s">
        <v>8932</v>
      </c>
      <c r="H21" s="49" t="s">
        <v>8271</v>
      </c>
      <c r="I21" s="49" t="s">
        <v>7341</v>
      </c>
      <c r="J21" s="49" t="s">
        <v>7320</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8657</v>
      </c>
      <c r="AJ21" s="56">
        <v>3</v>
      </c>
      <c r="AK21" s="56" t="s">
        <v>5497</v>
      </c>
      <c r="AL21" s="56" t="s">
        <v>5486</v>
      </c>
      <c r="AM21" s="56">
        <v>3</v>
      </c>
      <c r="AN21" s="56">
        <v>5</v>
      </c>
      <c r="AO21" s="56">
        <v>4</v>
      </c>
      <c r="AP21" s="56">
        <v>4</v>
      </c>
      <c r="AQ21" s="56">
        <v>9</v>
      </c>
      <c r="AR21" s="56">
        <v>9</v>
      </c>
      <c r="AS21" s="56">
        <v>5</v>
      </c>
      <c r="AT21" s="56">
        <v>6</v>
      </c>
    </row>
    <row r="22" spans="1:46">
      <c r="A22" s="49" t="s">
        <v>8629</v>
      </c>
      <c r="B22" s="49" t="s">
        <v>1176</v>
      </c>
      <c r="C22" s="49" t="s">
        <v>8824</v>
      </c>
      <c r="D22" s="49" t="s">
        <v>8927</v>
      </c>
      <c r="E22" s="49" t="s">
        <v>8829</v>
      </c>
      <c r="F22" s="49" t="s">
        <v>8931</v>
      </c>
      <c r="G22" s="49" t="s">
        <v>8932</v>
      </c>
      <c r="H22" s="49" t="s">
        <v>8830</v>
      </c>
      <c r="I22" s="49" t="s">
        <v>7341</v>
      </c>
      <c r="J22" s="49" t="s">
        <v>7320</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8926</v>
      </c>
      <c r="AJ22" s="56">
        <v>1.5</v>
      </c>
      <c r="AK22" s="56" t="s">
        <v>5497</v>
      </c>
      <c r="AL22" s="56" t="s">
        <v>7946</v>
      </c>
      <c r="AM22" s="56">
        <v>3</v>
      </c>
      <c r="AN22" s="56">
        <v>5</v>
      </c>
      <c r="AO22" s="56">
        <v>-2</v>
      </c>
      <c r="AP22" s="56">
        <v>-7</v>
      </c>
      <c r="AQ22" s="56">
        <v>7</v>
      </c>
      <c r="AR22" s="56" t="s">
        <v>7946</v>
      </c>
      <c r="AS22" s="56">
        <v>2</v>
      </c>
      <c r="AT22" s="56">
        <v>10</v>
      </c>
    </row>
    <row r="23" spans="1:46">
      <c r="A23" s="49" t="s">
        <v>8843</v>
      </c>
      <c r="B23" s="49" t="s">
        <v>1176</v>
      </c>
      <c r="C23" s="49" t="s">
        <v>8824</v>
      </c>
      <c r="D23" s="49" t="s">
        <v>8925</v>
      </c>
      <c r="E23" s="49" t="s">
        <v>8258</v>
      </c>
      <c r="F23" s="49" t="s">
        <v>8939</v>
      </c>
      <c r="G23" s="49" t="s">
        <v>8932</v>
      </c>
      <c r="H23" s="49" t="s">
        <v>8271</v>
      </c>
      <c r="I23" s="49" t="s">
        <v>7341</v>
      </c>
      <c r="J23" s="49" t="s">
        <v>7320</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8926</v>
      </c>
      <c r="AJ23" s="56">
        <v>1.5</v>
      </c>
      <c r="AK23" s="56" t="s">
        <v>5497</v>
      </c>
      <c r="AL23" s="56" t="s">
        <v>7946</v>
      </c>
      <c r="AM23" s="56">
        <v>3</v>
      </c>
      <c r="AN23" s="56">
        <v>5</v>
      </c>
      <c r="AO23" s="56">
        <v>-2</v>
      </c>
      <c r="AP23" s="56">
        <v>-7</v>
      </c>
      <c r="AQ23" s="56">
        <v>7</v>
      </c>
      <c r="AR23" s="56" t="s">
        <v>7946</v>
      </c>
      <c r="AS23" s="56">
        <v>2</v>
      </c>
      <c r="AT23" s="56">
        <v>10</v>
      </c>
    </row>
    <row r="24" spans="1:46">
      <c r="A24" s="49" t="s">
        <v>8844</v>
      </c>
      <c r="B24" s="49" t="s">
        <v>1176</v>
      </c>
      <c r="C24" s="49" t="s">
        <v>8824</v>
      </c>
      <c r="D24" s="49" t="s">
        <v>8925</v>
      </c>
      <c r="E24" s="49" t="s">
        <v>8829</v>
      </c>
      <c r="F24" s="49" t="s">
        <v>8931</v>
      </c>
      <c r="G24" s="49" t="s">
        <v>8932</v>
      </c>
      <c r="H24" s="49" t="s">
        <v>8830</v>
      </c>
      <c r="I24" s="49" t="s">
        <v>7341</v>
      </c>
      <c r="J24" s="49" t="s">
        <v>7320</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8926</v>
      </c>
      <c r="AJ24" s="56">
        <v>1.5</v>
      </c>
      <c r="AK24" s="56" t="s">
        <v>5497</v>
      </c>
      <c r="AL24" s="56" t="s">
        <v>7946</v>
      </c>
      <c r="AM24" s="56">
        <v>3</v>
      </c>
      <c r="AN24" s="56">
        <v>5</v>
      </c>
      <c r="AO24" s="56">
        <v>-2</v>
      </c>
      <c r="AP24" s="56">
        <v>-7</v>
      </c>
      <c r="AQ24" s="56">
        <v>7</v>
      </c>
      <c r="AR24" s="56" t="s">
        <v>7946</v>
      </c>
      <c r="AS24" s="56">
        <v>2</v>
      </c>
      <c r="AT24" s="56">
        <v>10</v>
      </c>
    </row>
    <row r="25" spans="1:46">
      <c r="A25" s="49" t="s">
        <v>8845</v>
      </c>
      <c r="B25" s="49" t="s">
        <v>1176</v>
      </c>
      <c r="C25" s="49" t="s">
        <v>8824</v>
      </c>
      <c r="D25" s="49" t="s">
        <v>8927</v>
      </c>
      <c r="E25" s="49" t="s">
        <v>8258</v>
      </c>
      <c r="F25" s="49" t="s">
        <v>8928</v>
      </c>
      <c r="G25" s="49" t="s">
        <v>8923</v>
      </c>
      <c r="H25" s="49" t="s">
        <v>8271</v>
      </c>
      <c r="I25" s="49" t="s">
        <v>7341</v>
      </c>
      <c r="J25" s="49" t="s">
        <v>7320</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8926</v>
      </c>
      <c r="AJ25" s="56">
        <v>1.5</v>
      </c>
      <c r="AK25" s="56" t="s">
        <v>5497</v>
      </c>
      <c r="AL25" s="56" t="s">
        <v>7946</v>
      </c>
      <c r="AM25" s="56">
        <v>3</v>
      </c>
      <c r="AN25" s="56">
        <v>5</v>
      </c>
      <c r="AO25" s="56">
        <v>-2</v>
      </c>
      <c r="AP25" s="56">
        <v>-7</v>
      </c>
      <c r="AQ25" s="56">
        <v>7</v>
      </c>
      <c r="AR25" s="56" t="s">
        <v>7946</v>
      </c>
      <c r="AS25" s="56">
        <v>2</v>
      </c>
      <c r="AT25" s="56">
        <v>10</v>
      </c>
    </row>
    <row r="26" spans="1:46">
      <c r="A26" s="49" t="s">
        <v>8846</v>
      </c>
      <c r="B26" s="49" t="s">
        <v>1180</v>
      </c>
      <c r="C26" s="49" t="s">
        <v>8921</v>
      </c>
      <c r="D26" s="49" t="s">
        <v>8912</v>
      </c>
      <c r="E26" s="49" t="s">
        <v>8847</v>
      </c>
      <c r="F26" s="49" t="s">
        <v>8931</v>
      </c>
      <c r="G26" s="49" t="s">
        <v>8932</v>
      </c>
      <c r="H26" s="49" t="s">
        <v>8830</v>
      </c>
      <c r="I26" s="49" t="s">
        <v>7341</v>
      </c>
      <c r="J26" s="49" t="s">
        <v>7320</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8657</v>
      </c>
      <c r="AJ26" s="56">
        <v>3</v>
      </c>
      <c r="AK26" s="56" t="s">
        <v>5497</v>
      </c>
      <c r="AL26" s="56" t="s">
        <v>5486</v>
      </c>
      <c r="AM26" s="56">
        <v>3</v>
      </c>
      <c r="AN26" s="56">
        <v>5</v>
      </c>
      <c r="AO26" s="56">
        <v>4</v>
      </c>
      <c r="AP26" s="56">
        <v>4</v>
      </c>
      <c r="AQ26" s="56">
        <v>7</v>
      </c>
      <c r="AR26" s="56">
        <v>7</v>
      </c>
      <c r="AS26" s="56">
        <v>5</v>
      </c>
      <c r="AT26" s="56">
        <v>6</v>
      </c>
    </row>
    <row r="27" spans="1:46">
      <c r="A27" s="49" t="s">
        <v>8848</v>
      </c>
      <c r="B27" s="49" t="s">
        <v>1180</v>
      </c>
      <c r="C27" s="49" t="s">
        <v>8921</v>
      </c>
      <c r="D27" s="49" t="s">
        <v>8940</v>
      </c>
      <c r="E27" s="49" t="s">
        <v>8258</v>
      </c>
      <c r="F27" s="49" t="s">
        <v>8928</v>
      </c>
      <c r="G27" s="49" t="s">
        <v>8923</v>
      </c>
      <c r="H27" s="49" t="s">
        <v>8271</v>
      </c>
      <c r="I27" s="49" t="s">
        <v>7341</v>
      </c>
      <c r="J27" s="49" t="s">
        <v>7320</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8657</v>
      </c>
      <c r="AJ27" s="56">
        <v>3</v>
      </c>
      <c r="AK27" s="56" t="s">
        <v>5497</v>
      </c>
      <c r="AL27" s="56" t="s">
        <v>5486</v>
      </c>
      <c r="AM27" s="56">
        <v>3</v>
      </c>
      <c r="AN27" s="56">
        <v>5</v>
      </c>
      <c r="AO27" s="56">
        <v>4</v>
      </c>
      <c r="AP27" s="56">
        <v>4</v>
      </c>
      <c r="AQ27" s="56">
        <v>9</v>
      </c>
      <c r="AR27" s="56">
        <v>9</v>
      </c>
      <c r="AS27" s="56">
        <v>5</v>
      </c>
      <c r="AT27" s="56">
        <v>6</v>
      </c>
    </row>
    <row r="28" spans="1:46">
      <c r="A28" s="49" t="s">
        <v>8849</v>
      </c>
      <c r="B28" s="49" t="s">
        <v>1180</v>
      </c>
      <c r="C28" s="49" t="s">
        <v>8921</v>
      </c>
      <c r="D28" s="49" t="s">
        <v>8937</v>
      </c>
      <c r="E28" s="49" t="s">
        <v>8829</v>
      </c>
      <c r="F28" s="49" t="s">
        <v>8931</v>
      </c>
      <c r="G28" s="49" t="s">
        <v>8932</v>
      </c>
      <c r="H28" s="49" t="s">
        <v>8830</v>
      </c>
      <c r="I28" s="49" t="s">
        <v>7341</v>
      </c>
      <c r="J28" s="49" t="s">
        <v>7320</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8657</v>
      </c>
      <c r="AJ28" s="56">
        <v>3</v>
      </c>
      <c r="AK28" s="56" t="s">
        <v>5497</v>
      </c>
      <c r="AL28" s="56" t="s">
        <v>5486</v>
      </c>
      <c r="AM28" s="56">
        <v>3</v>
      </c>
      <c r="AN28" s="56">
        <v>5</v>
      </c>
      <c r="AO28" s="56">
        <v>4</v>
      </c>
      <c r="AP28" s="56">
        <v>4</v>
      </c>
      <c r="AQ28" s="56">
        <v>7</v>
      </c>
      <c r="AR28" s="56">
        <v>7</v>
      </c>
      <c r="AS28" s="56">
        <v>5</v>
      </c>
      <c r="AT28" s="56">
        <v>6</v>
      </c>
    </row>
    <row r="29" spans="1:46">
      <c r="A29" s="49" t="s">
        <v>8850</v>
      </c>
      <c r="B29" s="49" t="s">
        <v>1180</v>
      </c>
      <c r="C29" s="49" t="s">
        <v>8921</v>
      </c>
      <c r="D29" s="49" t="s">
        <v>8941</v>
      </c>
      <c r="E29" s="49" t="s">
        <v>8258</v>
      </c>
      <c r="F29" s="49" t="s">
        <v>8928</v>
      </c>
      <c r="G29" s="49" t="s">
        <v>8923</v>
      </c>
      <c r="H29" s="49" t="s">
        <v>8271</v>
      </c>
      <c r="I29" s="49" t="s">
        <v>7341</v>
      </c>
      <c r="J29" s="49" t="s">
        <v>7320</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8657</v>
      </c>
      <c r="AJ29" s="56">
        <v>3</v>
      </c>
      <c r="AK29" s="56" t="s">
        <v>5497</v>
      </c>
      <c r="AL29" s="56" t="s">
        <v>5486</v>
      </c>
      <c r="AM29" s="56">
        <v>3</v>
      </c>
      <c r="AN29" s="56">
        <v>5</v>
      </c>
      <c r="AO29" s="56">
        <v>4</v>
      </c>
      <c r="AP29" s="56">
        <v>4</v>
      </c>
      <c r="AQ29" s="56">
        <v>8</v>
      </c>
      <c r="AR29" s="56">
        <v>8</v>
      </c>
      <c r="AS29" s="56">
        <v>5</v>
      </c>
      <c r="AT29" s="56">
        <v>6</v>
      </c>
    </row>
    <row r="30" spans="1:46">
      <c r="A30" s="49" t="s">
        <v>8851</v>
      </c>
      <c r="B30" s="49" t="s">
        <v>1180</v>
      </c>
      <c r="C30" s="49" t="s">
        <v>8921</v>
      </c>
      <c r="D30" s="49" t="s">
        <v>8929</v>
      </c>
      <c r="E30" s="49" t="s">
        <v>8262</v>
      </c>
      <c r="F30" s="49" t="s">
        <v>8930</v>
      </c>
      <c r="G30" s="49" t="s">
        <v>8932</v>
      </c>
      <c r="H30" s="49" t="s">
        <v>8827</v>
      </c>
      <c r="I30" s="49" t="s">
        <v>7341</v>
      </c>
      <c r="J30" s="49" t="s">
        <v>7320</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8657</v>
      </c>
      <c r="AJ30" s="56">
        <v>3</v>
      </c>
      <c r="AK30" s="56" t="s">
        <v>5497</v>
      </c>
      <c r="AL30" s="56" t="s">
        <v>5486</v>
      </c>
      <c r="AM30" s="56">
        <v>3</v>
      </c>
      <c r="AN30" s="56">
        <v>5</v>
      </c>
      <c r="AO30" s="56">
        <v>4</v>
      </c>
      <c r="AP30" s="56">
        <v>4</v>
      </c>
      <c r="AQ30" s="56">
        <v>6</v>
      </c>
      <c r="AR30" s="56">
        <v>6</v>
      </c>
      <c r="AS30" s="56">
        <v>5</v>
      </c>
      <c r="AT30" s="56">
        <v>6</v>
      </c>
    </row>
    <row r="31" spans="1:46">
      <c r="A31" s="49" t="s">
        <v>8852</v>
      </c>
      <c r="B31" s="49" t="s">
        <v>1180</v>
      </c>
      <c r="C31" s="49" t="s">
        <v>8921</v>
      </c>
      <c r="D31" s="49" t="s">
        <v>8912</v>
      </c>
      <c r="E31" s="49" t="s">
        <v>8262</v>
      </c>
      <c r="F31" s="49" t="s">
        <v>8930</v>
      </c>
      <c r="G31" s="49" t="s">
        <v>8932</v>
      </c>
      <c r="H31" s="49" t="s">
        <v>8827</v>
      </c>
      <c r="I31" s="49" t="s">
        <v>7341</v>
      </c>
      <c r="J31" s="49" t="s">
        <v>7320</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8657</v>
      </c>
      <c r="AJ31" s="56">
        <v>3</v>
      </c>
      <c r="AK31" s="56" t="s">
        <v>5497</v>
      </c>
      <c r="AL31" s="56" t="s">
        <v>5486</v>
      </c>
      <c r="AM31" s="56">
        <v>3</v>
      </c>
      <c r="AN31" s="56">
        <v>5</v>
      </c>
      <c r="AO31" s="56">
        <v>4</v>
      </c>
      <c r="AP31" s="56">
        <v>4</v>
      </c>
      <c r="AQ31" s="56">
        <v>7</v>
      </c>
      <c r="AR31" s="56">
        <v>7</v>
      </c>
      <c r="AS31" s="56">
        <v>5</v>
      </c>
      <c r="AT31" s="56">
        <v>6</v>
      </c>
    </row>
    <row r="32" spans="1:46">
      <c r="A32" s="49" t="s">
        <v>8853</v>
      </c>
      <c r="B32" s="49" t="s">
        <v>1180</v>
      </c>
      <c r="C32" s="49" t="s">
        <v>8921</v>
      </c>
      <c r="D32" s="49" t="s">
        <v>8942</v>
      </c>
      <c r="E32" s="49" t="s">
        <v>8258</v>
      </c>
      <c r="F32" s="49" t="s">
        <v>8928</v>
      </c>
      <c r="G32" s="49" t="s">
        <v>8923</v>
      </c>
      <c r="H32" s="49" t="s">
        <v>8271</v>
      </c>
      <c r="I32" s="49" t="s">
        <v>7341</v>
      </c>
      <c r="J32" s="49" t="s">
        <v>7320</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8657</v>
      </c>
      <c r="AJ32" s="56">
        <v>3</v>
      </c>
      <c r="AK32" s="56" t="s">
        <v>5497</v>
      </c>
      <c r="AL32" s="56" t="s">
        <v>5486</v>
      </c>
      <c r="AM32" s="56">
        <v>3</v>
      </c>
      <c r="AN32" s="56">
        <v>5</v>
      </c>
      <c r="AO32" s="56">
        <v>4</v>
      </c>
      <c r="AP32" s="56">
        <v>4</v>
      </c>
      <c r="AQ32" s="56">
        <v>6</v>
      </c>
      <c r="AR32" s="56">
        <v>6</v>
      </c>
      <c r="AS32" s="56">
        <v>5</v>
      </c>
      <c r="AT32" s="56">
        <v>6</v>
      </c>
    </row>
    <row r="33" spans="1:46">
      <c r="A33" s="49" t="s">
        <v>8854</v>
      </c>
      <c r="B33" s="49" t="s">
        <v>1180</v>
      </c>
      <c r="C33" s="49" t="s">
        <v>8921</v>
      </c>
      <c r="D33" s="49" t="s">
        <v>8912</v>
      </c>
      <c r="E33" s="49" t="s">
        <v>8258</v>
      </c>
      <c r="F33" s="49" t="s">
        <v>8928</v>
      </c>
      <c r="G33" s="49" t="s">
        <v>8923</v>
      </c>
      <c r="H33" s="49" t="s">
        <v>8271</v>
      </c>
      <c r="I33" s="49" t="s">
        <v>7341</v>
      </c>
      <c r="J33" s="49" t="s">
        <v>7320</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8657</v>
      </c>
      <c r="AJ33" s="56">
        <v>3</v>
      </c>
      <c r="AK33" s="56" t="s">
        <v>5497</v>
      </c>
      <c r="AL33" s="56" t="s">
        <v>5486</v>
      </c>
      <c r="AM33" s="56">
        <v>3</v>
      </c>
      <c r="AN33" s="56">
        <v>5</v>
      </c>
      <c r="AO33" s="56">
        <v>4</v>
      </c>
      <c r="AP33" s="56">
        <v>4</v>
      </c>
      <c r="AQ33" s="56">
        <v>7</v>
      </c>
      <c r="AR33" s="56">
        <v>7</v>
      </c>
      <c r="AS33" s="56">
        <v>5</v>
      </c>
      <c r="AT33" s="56">
        <v>6</v>
      </c>
    </row>
    <row r="34" spans="1:46">
      <c r="A34" s="49" t="s">
        <v>8855</v>
      </c>
      <c r="B34" s="49" t="s">
        <v>1180</v>
      </c>
      <c r="C34" s="49" t="s">
        <v>8921</v>
      </c>
      <c r="D34" s="49" t="s">
        <v>8912</v>
      </c>
      <c r="E34" s="49" t="s">
        <v>8829</v>
      </c>
      <c r="F34" s="49" t="s">
        <v>8931</v>
      </c>
      <c r="G34" s="49" t="s">
        <v>8932</v>
      </c>
      <c r="H34" s="49" t="s">
        <v>8830</v>
      </c>
      <c r="I34" s="49" t="s">
        <v>7341</v>
      </c>
      <c r="J34" s="49" t="s">
        <v>7320</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8657</v>
      </c>
      <c r="AJ34" s="56">
        <v>3</v>
      </c>
      <c r="AK34" s="56" t="s">
        <v>5497</v>
      </c>
      <c r="AL34" s="56" t="s">
        <v>5486</v>
      </c>
      <c r="AM34" s="56">
        <v>3</v>
      </c>
      <c r="AN34" s="56">
        <v>5</v>
      </c>
      <c r="AO34" s="56">
        <v>4</v>
      </c>
      <c r="AP34" s="56">
        <v>4</v>
      </c>
      <c r="AQ34" s="56">
        <v>7</v>
      </c>
      <c r="AR34" s="56">
        <v>7</v>
      </c>
      <c r="AS34" s="56">
        <v>5</v>
      </c>
      <c r="AT34" s="56">
        <v>6</v>
      </c>
    </row>
    <row r="35" spans="1:46">
      <c r="A35" s="49" t="s">
        <v>8856</v>
      </c>
      <c r="B35" s="49" t="s">
        <v>1180</v>
      </c>
      <c r="C35" s="49" t="s">
        <v>8921</v>
      </c>
      <c r="D35" s="49" t="s">
        <v>8819</v>
      </c>
      <c r="E35" s="49" t="s">
        <v>8258</v>
      </c>
      <c r="F35" s="49" t="s">
        <v>8928</v>
      </c>
      <c r="G35" s="49" t="s">
        <v>8923</v>
      </c>
      <c r="H35" s="49" t="s">
        <v>8271</v>
      </c>
      <c r="I35" s="49" t="s">
        <v>7341</v>
      </c>
      <c r="J35" s="49" t="s">
        <v>7320</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8657</v>
      </c>
      <c r="AJ35" s="56">
        <v>3</v>
      </c>
      <c r="AK35" s="56" t="s">
        <v>5497</v>
      </c>
      <c r="AL35" s="56" t="s">
        <v>5486</v>
      </c>
      <c r="AM35" s="56">
        <v>3</v>
      </c>
      <c r="AN35" s="56">
        <v>5</v>
      </c>
      <c r="AO35" s="56">
        <v>4</v>
      </c>
      <c r="AP35" s="56">
        <v>4</v>
      </c>
      <c r="AQ35" s="56">
        <v>11</v>
      </c>
      <c r="AR35" s="56">
        <v>11</v>
      </c>
      <c r="AS35" s="56">
        <v>5</v>
      </c>
      <c r="AT35" s="56">
        <v>6</v>
      </c>
    </row>
    <row r="36" spans="1:46">
      <c r="A36" s="49" t="s">
        <v>8857</v>
      </c>
      <c r="B36" s="49" t="s">
        <v>1180</v>
      </c>
      <c r="C36" s="49" t="s">
        <v>8921</v>
      </c>
      <c r="D36" s="49" t="s">
        <v>8924</v>
      </c>
      <c r="E36" s="49" t="s">
        <v>8847</v>
      </c>
      <c r="F36" s="49" t="s">
        <v>8931</v>
      </c>
      <c r="G36" s="49" t="s">
        <v>8932</v>
      </c>
      <c r="H36" s="49" t="s">
        <v>8830</v>
      </c>
      <c r="I36" s="49" t="s">
        <v>7341</v>
      </c>
      <c r="J36" s="49" t="s">
        <v>7320</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8657</v>
      </c>
      <c r="AJ36" s="56">
        <v>3</v>
      </c>
      <c r="AK36" s="56" t="s">
        <v>5497</v>
      </c>
      <c r="AL36" s="56" t="s">
        <v>5486</v>
      </c>
      <c r="AM36" s="56">
        <v>3</v>
      </c>
      <c r="AN36" s="56">
        <v>5</v>
      </c>
      <c r="AO36" s="56">
        <v>4</v>
      </c>
      <c r="AP36" s="56">
        <v>4</v>
      </c>
      <c r="AQ36" s="56">
        <v>9</v>
      </c>
      <c r="AR36" s="56">
        <v>9</v>
      </c>
      <c r="AS36" s="56">
        <v>5</v>
      </c>
      <c r="AT36" s="56">
        <v>6</v>
      </c>
    </row>
    <row r="37" spans="1:46">
      <c r="A37" s="49" t="s">
        <v>8858</v>
      </c>
      <c r="B37" s="49" t="s">
        <v>1180</v>
      </c>
      <c r="C37" s="49" t="s">
        <v>8921</v>
      </c>
      <c r="D37" s="49" t="s">
        <v>8935</v>
      </c>
      <c r="E37" s="49" t="s">
        <v>8829</v>
      </c>
      <c r="F37" s="49" t="s">
        <v>8931</v>
      </c>
      <c r="G37" s="49" t="s">
        <v>8932</v>
      </c>
      <c r="H37" s="49" t="s">
        <v>8830</v>
      </c>
      <c r="I37" s="49" t="s">
        <v>7341</v>
      </c>
      <c r="J37" s="49" t="s">
        <v>7320</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8657</v>
      </c>
      <c r="AJ37" s="56">
        <v>3</v>
      </c>
      <c r="AK37" s="56" t="s">
        <v>5497</v>
      </c>
      <c r="AL37" s="56" t="s">
        <v>5486</v>
      </c>
      <c r="AM37" s="56">
        <v>3</v>
      </c>
      <c r="AN37" s="56">
        <v>5</v>
      </c>
      <c r="AO37" s="56">
        <v>4</v>
      </c>
      <c r="AP37" s="56">
        <v>4</v>
      </c>
      <c r="AQ37" s="56">
        <v>7</v>
      </c>
      <c r="AR37" s="56">
        <v>7</v>
      </c>
      <c r="AS37" s="56">
        <v>5</v>
      </c>
      <c r="AT37" s="56">
        <v>6</v>
      </c>
    </row>
    <row r="38" spans="1:46">
      <c r="A38" s="49" t="s">
        <v>8859</v>
      </c>
      <c r="B38" s="49" t="s">
        <v>1180</v>
      </c>
      <c r="C38" s="49" t="s">
        <v>8921</v>
      </c>
      <c r="D38" s="49" t="s">
        <v>8943</v>
      </c>
      <c r="E38" s="49" t="s">
        <v>8258</v>
      </c>
      <c r="F38" s="49" t="s">
        <v>8928</v>
      </c>
      <c r="G38" s="49" t="s">
        <v>8923</v>
      </c>
      <c r="H38" s="49" t="s">
        <v>8271</v>
      </c>
      <c r="I38" s="49" t="s">
        <v>7341</v>
      </c>
      <c r="J38" s="49" t="s">
        <v>7320</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8657</v>
      </c>
      <c r="AJ38" s="56">
        <v>3</v>
      </c>
      <c r="AK38" s="56" t="s">
        <v>5497</v>
      </c>
      <c r="AL38" s="56" t="s">
        <v>5486</v>
      </c>
      <c r="AM38" s="56">
        <v>3</v>
      </c>
      <c r="AN38" s="56">
        <v>5</v>
      </c>
      <c r="AO38" s="56">
        <v>4</v>
      </c>
      <c r="AP38" s="56">
        <v>4</v>
      </c>
      <c r="AQ38" s="56">
        <v>15</v>
      </c>
      <c r="AR38" s="56">
        <v>15</v>
      </c>
      <c r="AS38" s="56">
        <v>5</v>
      </c>
      <c r="AT38" s="56">
        <v>6</v>
      </c>
    </row>
    <row r="39" spans="1:46">
      <c r="A39" s="49" t="s">
        <v>8860</v>
      </c>
      <c r="B39" s="49" t="s">
        <v>1180</v>
      </c>
      <c r="C39" s="49" t="s">
        <v>8921</v>
      </c>
      <c r="D39" s="49" t="s">
        <v>8941</v>
      </c>
      <c r="E39" s="49" t="s">
        <v>8829</v>
      </c>
      <c r="F39" s="49" t="s">
        <v>8931</v>
      </c>
      <c r="G39" s="49" t="s">
        <v>8932</v>
      </c>
      <c r="H39" s="49" t="s">
        <v>8830</v>
      </c>
      <c r="I39" s="49" t="s">
        <v>7341</v>
      </c>
      <c r="J39" s="49" t="s">
        <v>7320</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1420</v>
      </c>
      <c r="AI39" s="28" t="s">
        <v>8657</v>
      </c>
      <c r="AJ39" s="56">
        <v>3</v>
      </c>
      <c r="AK39" s="56" t="s">
        <v>5497</v>
      </c>
      <c r="AL39" s="56" t="s">
        <v>5486</v>
      </c>
      <c r="AM39" s="56">
        <v>3</v>
      </c>
      <c r="AN39" s="56">
        <v>5</v>
      </c>
      <c r="AO39" s="56">
        <v>4</v>
      </c>
      <c r="AP39" s="56">
        <v>4</v>
      </c>
      <c r="AQ39" s="56">
        <f>VLOOKUP(B39,'Feuerwaffen-Ressourcen'!$A$2:$AI$54,12,0)+VLOOKUP(C39,'Feuerwaffen-Ressourcen'!$A$2:$AI$54,12,0)+VLOOKUP(D39,'Feuerwaffen-Ressourcen'!$A$2:$AI$54,12,0)+VLOOKUP(J39,'Feuerwaffen-Ressourcen'!$A$2:$AI$54,12,0)</f>
        <v>8</v>
      </c>
      <c r="AR39" s="56">
        <f>VLOOKUP(B39,'Feuerwaffen-Ressourcen'!$A$2:$AI$54,12,0)+VLOOKUP(C39,'Feuerwaffen-Ressourcen'!$A$2:$AI$54,12,0)+VLOOKUP(D39,'Feuerwaffen-Ressourcen'!$A$2:$AI$54,12,0)+VLOOKUP(J39,'Feuerwaffen-Ressourcen'!$A$2:$AI$54,12,0)</f>
        <v>8</v>
      </c>
      <c r="AS39" s="56">
        <v>5</v>
      </c>
      <c r="AT39" s="56">
        <v>6</v>
      </c>
    </row>
    <row r="40" spans="1:46">
      <c r="A40" s="49" t="s">
        <v>8861</v>
      </c>
      <c r="B40" s="49" t="s">
        <v>1180</v>
      </c>
      <c r="C40" s="49" t="s">
        <v>8921</v>
      </c>
      <c r="D40" s="49" t="s">
        <v>8935</v>
      </c>
      <c r="E40" s="49" t="s">
        <v>8258</v>
      </c>
      <c r="F40" s="49" t="s">
        <v>8928</v>
      </c>
      <c r="G40" s="49" t="s">
        <v>8923</v>
      </c>
      <c r="H40" s="49" t="s">
        <v>8271</v>
      </c>
      <c r="I40" s="49" t="s">
        <v>7341</v>
      </c>
      <c r="J40" s="49" t="s">
        <v>7320</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1420</v>
      </c>
      <c r="AI40" s="28" t="s">
        <v>8657</v>
      </c>
      <c r="AJ40" s="56">
        <v>3</v>
      </c>
      <c r="AK40" s="56" t="s">
        <v>5497</v>
      </c>
      <c r="AL40" s="56" t="s">
        <v>5486</v>
      </c>
      <c r="AM40" s="56">
        <v>3</v>
      </c>
      <c r="AN40" s="56">
        <v>5</v>
      </c>
      <c r="AO40" s="56">
        <v>4</v>
      </c>
      <c r="AP40" s="56">
        <v>4</v>
      </c>
      <c r="AQ40" s="56">
        <f>VLOOKUP(B40,'Feuerwaffen-Ressourcen'!$A$2:$AI$54,12,0)+VLOOKUP(C40,'Feuerwaffen-Ressourcen'!$A$2:$AI$54,12,0)+VLOOKUP(D40,'Feuerwaffen-Ressourcen'!$A$2:$AI$54,12,0)+VLOOKUP(J40,'Feuerwaffen-Ressourcen'!$A$2:$AI$54,12,0)</f>
        <v>7</v>
      </c>
      <c r="AR40" s="56">
        <f>VLOOKUP(B40,'Feuerwaffen-Ressourcen'!$A$2:$AI$54,12,0)+VLOOKUP(C40,'Feuerwaffen-Ressourcen'!$A$2:$AI$54,12,0)+VLOOKUP(D40,'Feuerwaffen-Ressourcen'!$A$2:$AI$54,12,0)+VLOOKUP(J40,'Feuerwaffen-Ressourcen'!$A$2:$AI$54,12,0)</f>
        <v>7</v>
      </c>
      <c r="AS40" s="56">
        <v>5</v>
      </c>
      <c r="AT40" s="56">
        <v>6</v>
      </c>
    </row>
    <row r="41" spans="1:46">
      <c r="A41" s="49" t="s">
        <v>8862</v>
      </c>
      <c r="B41" s="49" t="s">
        <v>1180</v>
      </c>
      <c r="C41" s="49" t="s">
        <v>8921</v>
      </c>
      <c r="D41" s="49" t="s">
        <v>8266</v>
      </c>
      <c r="E41" s="49" t="s">
        <v>8258</v>
      </c>
      <c r="F41" s="49" t="s">
        <v>8939</v>
      </c>
      <c r="G41" s="49" t="s">
        <v>8923</v>
      </c>
      <c r="H41" s="49" t="s">
        <v>8267</v>
      </c>
      <c r="I41" s="49" t="s">
        <v>7341</v>
      </c>
      <c r="J41" s="49" t="s">
        <v>7320</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1420</v>
      </c>
      <c r="AI41" s="28" t="s">
        <v>8657</v>
      </c>
      <c r="AJ41" s="56">
        <v>3</v>
      </c>
      <c r="AK41" s="56" t="s">
        <v>5497</v>
      </c>
      <c r="AL41" s="56" t="s">
        <v>5486</v>
      </c>
      <c r="AM41" s="56">
        <v>3</v>
      </c>
      <c r="AN41" s="56">
        <v>5</v>
      </c>
      <c r="AO41" s="56">
        <v>4</v>
      </c>
      <c r="AP41" s="56">
        <v>4</v>
      </c>
      <c r="AQ41" s="56">
        <f>VLOOKUP(B41,'Feuerwaffen-Ressourcen'!$A$2:$AI$54,12,0)+VLOOKUP(C41,'Feuerwaffen-Ressourcen'!$A$2:$AI$54,12,0)+VLOOKUP(D41,'Feuerwaffen-Ressourcen'!$A$2:$AI$54,12,0)+VLOOKUP(J41,'Feuerwaffen-Ressourcen'!$A$2:$AI$54,12,0)</f>
        <v>7</v>
      </c>
      <c r="AR41" s="56">
        <f>VLOOKUP(B41,'Feuerwaffen-Ressourcen'!$A$2:$AI$54,12,0)+VLOOKUP(C41,'Feuerwaffen-Ressourcen'!$A$2:$AI$54,12,0)+VLOOKUP(D41,'Feuerwaffen-Ressourcen'!$A$2:$AI$54,12,0)+VLOOKUP(J41,'Feuerwaffen-Ressourcen'!$A$2:$AI$54,12,0)</f>
        <v>7</v>
      </c>
      <c r="AS41" s="56">
        <v>5</v>
      </c>
      <c r="AT41" s="56">
        <v>6</v>
      </c>
    </row>
    <row r="42" spans="1:46">
      <c r="A42" s="49" t="s">
        <v>8864</v>
      </c>
      <c r="B42" s="49" t="s">
        <v>1180</v>
      </c>
      <c r="C42" s="49" t="s">
        <v>8921</v>
      </c>
      <c r="D42" s="49" t="s">
        <v>8929</v>
      </c>
      <c r="E42" s="49" t="s">
        <v>8847</v>
      </c>
      <c r="F42" s="49" t="s">
        <v>8931</v>
      </c>
      <c r="G42" s="49" t="s">
        <v>8932</v>
      </c>
      <c r="H42" s="49" t="s">
        <v>8830</v>
      </c>
      <c r="I42" s="49" t="s">
        <v>7341</v>
      </c>
      <c r="J42" s="49" t="s">
        <v>7320</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8657</v>
      </c>
      <c r="AJ42" s="56">
        <v>3</v>
      </c>
      <c r="AK42" s="56" t="s">
        <v>5497</v>
      </c>
      <c r="AL42" s="56" t="s">
        <v>5486</v>
      </c>
      <c r="AM42" s="56">
        <v>3</v>
      </c>
      <c r="AN42" s="56">
        <v>5</v>
      </c>
      <c r="AO42" s="56">
        <v>4</v>
      </c>
      <c r="AP42" s="56">
        <v>4</v>
      </c>
      <c r="AQ42" s="56">
        <v>6</v>
      </c>
      <c r="AR42" s="56">
        <v>6</v>
      </c>
      <c r="AS42" s="56">
        <v>5</v>
      </c>
      <c r="AT42" s="56">
        <v>6</v>
      </c>
    </row>
    <row r="43" spans="1:46">
      <c r="A43" s="49" t="s">
        <v>8865</v>
      </c>
      <c r="B43" s="49" t="s">
        <v>1180</v>
      </c>
      <c r="C43" s="49" t="s">
        <v>8921</v>
      </c>
      <c r="D43" s="49" t="s">
        <v>8938</v>
      </c>
      <c r="E43" s="49" t="s">
        <v>8258</v>
      </c>
      <c r="F43" s="49" t="s">
        <v>8936</v>
      </c>
      <c r="G43" s="49" t="s">
        <v>8932</v>
      </c>
      <c r="H43" s="49" t="s">
        <v>8271</v>
      </c>
      <c r="I43" s="49" t="s">
        <v>7341</v>
      </c>
      <c r="J43" s="49" t="s">
        <v>7320</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8657</v>
      </c>
      <c r="AJ43" s="56">
        <v>3</v>
      </c>
      <c r="AK43" s="56" t="s">
        <v>5497</v>
      </c>
      <c r="AL43" s="56" t="s">
        <v>5486</v>
      </c>
      <c r="AM43" s="56">
        <v>3</v>
      </c>
      <c r="AN43" s="56">
        <v>5</v>
      </c>
      <c r="AO43" s="56">
        <v>4</v>
      </c>
      <c r="AP43" s="56">
        <v>4</v>
      </c>
      <c r="AQ43" s="56">
        <v>6</v>
      </c>
      <c r="AR43" s="56">
        <v>6</v>
      </c>
      <c r="AS43" s="56">
        <v>5</v>
      </c>
      <c r="AT43" s="56">
        <v>6</v>
      </c>
    </row>
    <row r="44" spans="1:46">
      <c r="A44" s="49" t="s">
        <v>8866</v>
      </c>
      <c r="B44" s="49" t="s">
        <v>1180</v>
      </c>
      <c r="C44" s="49" t="s">
        <v>8921</v>
      </c>
      <c r="D44" s="49" t="s">
        <v>8924</v>
      </c>
      <c r="E44" s="49" t="s">
        <v>8258</v>
      </c>
      <c r="F44" s="49" t="s">
        <v>8928</v>
      </c>
      <c r="G44" s="49" t="s">
        <v>8923</v>
      </c>
      <c r="H44" s="49" t="s">
        <v>8271</v>
      </c>
      <c r="I44" s="49" t="s">
        <v>7341</v>
      </c>
      <c r="J44" s="49" t="s">
        <v>7320</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8657</v>
      </c>
      <c r="AJ44" s="56">
        <v>3</v>
      </c>
      <c r="AK44" s="56" t="s">
        <v>5497</v>
      </c>
      <c r="AL44" s="56" t="s">
        <v>5486</v>
      </c>
      <c r="AM44" s="56">
        <v>3</v>
      </c>
      <c r="AN44" s="56">
        <v>5</v>
      </c>
      <c r="AO44" s="56">
        <v>4</v>
      </c>
      <c r="AP44" s="56">
        <v>4</v>
      </c>
      <c r="AQ44" s="56">
        <v>9</v>
      </c>
      <c r="AR44" s="56">
        <v>9</v>
      </c>
      <c r="AS44" s="56">
        <v>5</v>
      </c>
      <c r="AT44" s="56">
        <v>6</v>
      </c>
    </row>
    <row r="45" spans="1:46">
      <c r="A45" s="49" t="s">
        <v>8867</v>
      </c>
      <c r="B45" s="49" t="s">
        <v>1180</v>
      </c>
      <c r="C45" s="49" t="s">
        <v>8824</v>
      </c>
      <c r="D45" s="49" t="s">
        <v>8925</v>
      </c>
      <c r="E45" s="49" t="s">
        <v>8829</v>
      </c>
      <c r="F45" s="49" t="s">
        <v>8931</v>
      </c>
      <c r="G45" s="49" t="s">
        <v>8932</v>
      </c>
      <c r="H45" s="49" t="s">
        <v>8830</v>
      </c>
      <c r="I45" s="49" t="s">
        <v>7341</v>
      </c>
      <c r="J45" s="49" t="s">
        <v>7320</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1415</v>
      </c>
      <c r="AI45" s="28" t="s">
        <v>8926</v>
      </c>
      <c r="AJ45" s="56">
        <v>1.5</v>
      </c>
      <c r="AK45" s="56" t="s">
        <v>5497</v>
      </c>
      <c r="AL45" s="56" t="s">
        <v>7946</v>
      </c>
      <c r="AM45" s="56">
        <v>3</v>
      </c>
      <c r="AN45" s="56">
        <v>5</v>
      </c>
      <c r="AO45" s="56">
        <v>-2</v>
      </c>
      <c r="AP45" s="56">
        <v>-7</v>
      </c>
      <c r="AQ45" s="56">
        <f>VLOOKUP(B45,'Feuerwaffen-Ressourcen'!$A$2:$AI$54,12,0)+VLOOKUP(C45,'Feuerwaffen-Ressourcen'!$A$2:$AI$54,12,0)+VLOOKUP(D45,'Feuerwaffen-Ressourcen'!$A$2:$AI$54,12,0)+VLOOKUP(J45,'Feuerwaffen-Ressourcen'!$A$2:$AI$54,12,0)</f>
        <v>4</v>
      </c>
      <c r="AR45" s="56" t="s">
        <v>7946</v>
      </c>
      <c r="AS45" s="56">
        <v>2</v>
      </c>
      <c r="AT45" s="56">
        <v>10</v>
      </c>
    </row>
    <row r="46" spans="1:46">
      <c r="A46" s="49" t="s">
        <v>8868</v>
      </c>
      <c r="B46" s="49" t="s">
        <v>1180</v>
      </c>
      <c r="C46" s="49" t="s">
        <v>8824</v>
      </c>
      <c r="D46" s="49" t="s">
        <v>8925</v>
      </c>
      <c r="E46" s="49" t="s">
        <v>8258</v>
      </c>
      <c r="F46" s="49" t="s">
        <v>8936</v>
      </c>
      <c r="G46" s="49" t="s">
        <v>8932</v>
      </c>
      <c r="H46" s="49" t="s">
        <v>8271</v>
      </c>
      <c r="I46" s="49" t="s">
        <v>7341</v>
      </c>
      <c r="J46" s="49" t="s">
        <v>7320</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8926</v>
      </c>
      <c r="AJ46" s="56">
        <v>1.5</v>
      </c>
      <c r="AK46" s="56" t="s">
        <v>5497</v>
      </c>
      <c r="AL46" s="56" t="s">
        <v>7946</v>
      </c>
      <c r="AM46" s="56">
        <v>3</v>
      </c>
      <c r="AN46" s="56">
        <v>5</v>
      </c>
      <c r="AO46" s="56">
        <v>-2</v>
      </c>
      <c r="AP46" s="56">
        <v>-7</v>
      </c>
      <c r="AQ46" s="56">
        <v>4</v>
      </c>
      <c r="AR46" s="56" t="s">
        <v>7946</v>
      </c>
      <c r="AS46" s="56">
        <v>2</v>
      </c>
      <c r="AT46" s="56">
        <v>10</v>
      </c>
    </row>
    <row r="47" spans="1:46">
      <c r="A47" s="49" t="s">
        <v>8869</v>
      </c>
      <c r="B47" s="49" t="s">
        <v>1180</v>
      </c>
      <c r="C47" s="49" t="s">
        <v>8824</v>
      </c>
      <c r="D47" s="49" t="s">
        <v>8944</v>
      </c>
      <c r="E47" s="49" t="s">
        <v>8258</v>
      </c>
      <c r="F47" s="49" t="s">
        <v>8928</v>
      </c>
      <c r="G47" s="49" t="s">
        <v>8923</v>
      </c>
      <c r="H47" s="49" t="s">
        <v>8271</v>
      </c>
      <c r="I47" s="49" t="s">
        <v>7341</v>
      </c>
      <c r="J47" s="49" t="s">
        <v>7320</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8926</v>
      </c>
      <c r="AJ47" s="56">
        <v>1.5</v>
      </c>
      <c r="AK47" s="56" t="s">
        <v>5497</v>
      </c>
      <c r="AL47" s="56" t="s">
        <v>7946</v>
      </c>
      <c r="AM47" s="56">
        <v>3</v>
      </c>
      <c r="AN47" s="56">
        <v>5</v>
      </c>
      <c r="AO47" s="56">
        <v>-2</v>
      </c>
      <c r="AP47" s="56">
        <v>-7</v>
      </c>
      <c r="AQ47" s="56">
        <v>6</v>
      </c>
      <c r="AR47" s="56" t="s">
        <v>7946</v>
      </c>
      <c r="AS47" s="56">
        <v>2</v>
      </c>
      <c r="AT47" s="56">
        <v>10</v>
      </c>
    </row>
    <row r="48" spans="1:46">
      <c r="A48" s="49" t="s">
        <v>8870</v>
      </c>
      <c r="B48" s="49" t="s">
        <v>1180</v>
      </c>
      <c r="C48" s="49" t="s">
        <v>8824</v>
      </c>
      <c r="D48" s="49" t="s">
        <v>8945</v>
      </c>
      <c r="E48" s="49" t="s">
        <v>8258</v>
      </c>
      <c r="F48" s="49" t="s">
        <v>8928</v>
      </c>
      <c r="G48" s="49" t="s">
        <v>8923</v>
      </c>
      <c r="H48" s="49" t="s">
        <v>8271</v>
      </c>
      <c r="I48" s="49" t="s">
        <v>7341</v>
      </c>
      <c r="J48" s="49" t="s">
        <v>7320</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8926</v>
      </c>
      <c r="AJ48" s="56">
        <v>1.5</v>
      </c>
      <c r="AK48" s="56" t="s">
        <v>5497</v>
      </c>
      <c r="AL48" s="56" t="s">
        <v>7946</v>
      </c>
      <c r="AM48" s="56">
        <v>3</v>
      </c>
      <c r="AN48" s="56">
        <v>5</v>
      </c>
      <c r="AO48" s="56">
        <v>-2</v>
      </c>
      <c r="AP48" s="56">
        <v>-7</v>
      </c>
      <c r="AQ48" s="56">
        <v>5</v>
      </c>
      <c r="AR48" s="56" t="s">
        <v>7946</v>
      </c>
      <c r="AS48" s="56">
        <v>2</v>
      </c>
      <c r="AT48" s="56">
        <v>10</v>
      </c>
    </row>
    <row r="49" spans="1:46">
      <c r="A49" s="49" t="s">
        <v>8871</v>
      </c>
      <c r="B49" s="49" t="s">
        <v>1180</v>
      </c>
      <c r="C49" s="49" t="s">
        <v>8824</v>
      </c>
      <c r="D49" s="49" t="s">
        <v>8945</v>
      </c>
      <c r="E49" s="49" t="s">
        <v>8829</v>
      </c>
      <c r="F49" s="49" t="s">
        <v>8931</v>
      </c>
      <c r="G49" s="49" t="s">
        <v>8932</v>
      </c>
      <c r="H49" s="49" t="s">
        <v>8830</v>
      </c>
      <c r="I49" s="49" t="s">
        <v>7341</v>
      </c>
      <c r="J49" s="49" t="s">
        <v>7320</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8926</v>
      </c>
      <c r="AJ49" s="56">
        <v>1.5</v>
      </c>
      <c r="AK49" s="56" t="s">
        <v>5497</v>
      </c>
      <c r="AL49" s="56" t="s">
        <v>7946</v>
      </c>
      <c r="AM49" s="56">
        <v>3</v>
      </c>
      <c r="AN49" s="56">
        <v>5</v>
      </c>
      <c r="AO49" s="56">
        <v>-2</v>
      </c>
      <c r="AP49" s="56">
        <v>-7</v>
      </c>
      <c r="AQ49" s="56">
        <v>5</v>
      </c>
      <c r="AR49" s="56" t="s">
        <v>7946</v>
      </c>
      <c r="AS49" s="56">
        <v>2</v>
      </c>
      <c r="AT49" s="56">
        <v>10</v>
      </c>
    </row>
    <row r="50" spans="1:46">
      <c r="A50" s="49" t="s">
        <v>8873</v>
      </c>
      <c r="B50" s="49" t="s">
        <v>1180</v>
      </c>
      <c r="C50" s="49" t="s">
        <v>8824</v>
      </c>
      <c r="D50" s="49" t="s">
        <v>8934</v>
      </c>
      <c r="E50" s="49" t="s">
        <v>8829</v>
      </c>
      <c r="F50" s="49" t="s">
        <v>8931</v>
      </c>
      <c r="G50" s="49" t="s">
        <v>8932</v>
      </c>
      <c r="H50" s="49" t="s">
        <v>8830</v>
      </c>
      <c r="I50" s="49" t="s">
        <v>7341</v>
      </c>
      <c r="J50" s="49" t="s">
        <v>7320</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1415</v>
      </c>
      <c r="AI50" s="28" t="s">
        <v>8926</v>
      </c>
      <c r="AJ50" s="56">
        <v>1.5</v>
      </c>
      <c r="AK50" s="56" t="s">
        <v>5497</v>
      </c>
      <c r="AL50" s="56" t="s">
        <v>7946</v>
      </c>
      <c r="AM50" s="56">
        <v>3</v>
      </c>
      <c r="AN50" s="56">
        <v>5</v>
      </c>
      <c r="AO50" s="56">
        <v>-2</v>
      </c>
      <c r="AP50" s="56">
        <v>-7</v>
      </c>
      <c r="AQ50" s="56">
        <f>VLOOKUP(B50,'Feuerwaffen-Ressourcen'!$A$2:$AI$54,12,0)+VLOOKUP(C50,'Feuerwaffen-Ressourcen'!$A$2:$AI$54,12,0)+VLOOKUP(D50,'Feuerwaffen-Ressourcen'!$A$2:$AI$54,12,0)+VLOOKUP(J50,'Feuerwaffen-Ressourcen'!$A$2:$AI$54,12,0)</f>
        <v>2</v>
      </c>
      <c r="AR50" s="56" t="s">
        <v>7946</v>
      </c>
      <c r="AS50" s="56">
        <v>2</v>
      </c>
      <c r="AT50" s="56">
        <v>10</v>
      </c>
    </row>
    <row r="51" spans="1:46">
      <c r="A51" s="49" t="s">
        <v>8875</v>
      </c>
      <c r="B51" s="49" t="s">
        <v>1180</v>
      </c>
      <c r="C51" s="49" t="s">
        <v>8824</v>
      </c>
      <c r="D51" s="49" t="s">
        <v>8946</v>
      </c>
      <c r="E51" s="49" t="s">
        <v>8258</v>
      </c>
      <c r="F51" s="49" t="s">
        <v>8939</v>
      </c>
      <c r="G51" s="49" t="s">
        <v>8923</v>
      </c>
      <c r="H51" s="49" t="s">
        <v>8271</v>
      </c>
      <c r="I51" s="49" t="s">
        <v>7341</v>
      </c>
      <c r="J51" s="49" t="s">
        <v>7320</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1415</v>
      </c>
      <c r="AI51" s="28" t="s">
        <v>8926</v>
      </c>
      <c r="AJ51" s="56">
        <v>1.5</v>
      </c>
      <c r="AK51" s="56" t="s">
        <v>5497</v>
      </c>
      <c r="AL51" s="56" t="s">
        <v>7946</v>
      </c>
      <c r="AM51" s="56">
        <v>3</v>
      </c>
      <c r="AN51" s="56">
        <v>5</v>
      </c>
      <c r="AO51" s="56">
        <v>-2</v>
      </c>
      <c r="AP51" s="56">
        <v>-7</v>
      </c>
      <c r="AQ51" s="56">
        <f>VLOOKUP(B51,'Feuerwaffen-Ressourcen'!$A$2:$AI$54,12,0)+VLOOKUP(C51,'Feuerwaffen-Ressourcen'!$A$2:$AI$54,12,0)+VLOOKUP(D51,'Feuerwaffen-Ressourcen'!$A$2:$AI$54,12,0)+VLOOKUP(J51,'Feuerwaffen-Ressourcen'!$A$2:$AI$54,12,0)</f>
        <v>6</v>
      </c>
      <c r="AR51" s="56" t="s">
        <v>7946</v>
      </c>
      <c r="AS51" s="56">
        <v>2</v>
      </c>
      <c r="AT51" s="56">
        <v>10</v>
      </c>
    </row>
    <row r="52" spans="1:46">
      <c r="A52" s="49" t="s">
        <v>8876</v>
      </c>
      <c r="B52" s="49" t="s">
        <v>1180</v>
      </c>
      <c r="C52" s="49" t="s">
        <v>8824</v>
      </c>
      <c r="D52" s="49" t="s">
        <v>8925</v>
      </c>
      <c r="E52" s="49" t="s">
        <v>8258</v>
      </c>
      <c r="F52" s="49" t="s">
        <v>8939</v>
      </c>
      <c r="G52" s="49" t="s">
        <v>8923</v>
      </c>
      <c r="H52" s="49" t="s">
        <v>8271</v>
      </c>
      <c r="I52" s="49" t="s">
        <v>7341</v>
      </c>
      <c r="J52" s="49" t="s">
        <v>7320</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1415</v>
      </c>
      <c r="AI52" s="28" t="s">
        <v>8926</v>
      </c>
      <c r="AJ52" s="56">
        <v>1.5</v>
      </c>
      <c r="AK52" s="56" t="s">
        <v>5497</v>
      </c>
      <c r="AL52" s="56" t="s">
        <v>7946</v>
      </c>
      <c r="AM52" s="56">
        <v>3</v>
      </c>
      <c r="AN52" s="56">
        <v>5</v>
      </c>
      <c r="AO52" s="56">
        <v>-2</v>
      </c>
      <c r="AP52" s="56">
        <v>-7</v>
      </c>
      <c r="AQ52" s="56">
        <f>VLOOKUP(B52,'Feuerwaffen-Ressourcen'!$A$2:$AI$54,12,0)+VLOOKUP(C52,'Feuerwaffen-Ressourcen'!$A$2:$AI$54,12,0)+VLOOKUP(D52,'Feuerwaffen-Ressourcen'!$A$2:$AI$54,12,0)+VLOOKUP(J52,'Feuerwaffen-Ressourcen'!$A$2:$AI$54,12,0)</f>
        <v>4</v>
      </c>
      <c r="AR52" s="56" t="s">
        <v>7946</v>
      </c>
      <c r="AS52" s="56">
        <v>2</v>
      </c>
      <c r="AT52" s="56">
        <v>10</v>
      </c>
    </row>
    <row r="53" spans="1:46">
      <c r="A53" s="49" t="s">
        <v>8877</v>
      </c>
      <c r="B53" s="49" t="s">
        <v>1180</v>
      </c>
      <c r="C53" s="49" t="s">
        <v>8824</v>
      </c>
      <c r="D53" s="49" t="s">
        <v>8927</v>
      </c>
      <c r="E53" s="49" t="s">
        <v>8258</v>
      </c>
      <c r="F53" s="49" t="s">
        <v>8928</v>
      </c>
      <c r="G53" s="49" t="s">
        <v>8923</v>
      </c>
      <c r="H53" s="49" t="s">
        <v>8271</v>
      </c>
      <c r="I53" s="49" t="s">
        <v>7341</v>
      </c>
      <c r="J53" s="49" t="s">
        <v>7320</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1415</v>
      </c>
      <c r="AI53" s="28" t="s">
        <v>8926</v>
      </c>
      <c r="AJ53" s="56">
        <v>1.5</v>
      </c>
      <c r="AK53" s="56" t="s">
        <v>5497</v>
      </c>
      <c r="AL53" s="56" t="s">
        <v>7946</v>
      </c>
      <c r="AM53" s="56">
        <v>3</v>
      </c>
      <c r="AN53" s="56">
        <v>5</v>
      </c>
      <c r="AO53" s="56">
        <v>-2</v>
      </c>
      <c r="AP53" s="56">
        <v>-7</v>
      </c>
      <c r="AQ53" s="56">
        <f>VLOOKUP(B53,'Feuerwaffen-Ressourcen'!$A$2:$AI$54,12,0)+VLOOKUP(C53,'Feuerwaffen-Ressourcen'!$A$2:$AI$54,12,0)+VLOOKUP(D53,'Feuerwaffen-Ressourcen'!$A$2:$AI$54,12,0)+VLOOKUP(J53,'Feuerwaffen-Ressourcen'!$A$2:$AI$54,12,0)</f>
        <v>4</v>
      </c>
      <c r="AR53" s="56" t="s">
        <v>7946</v>
      </c>
      <c r="AS53" s="56">
        <v>2</v>
      </c>
      <c r="AT53" s="56">
        <v>10</v>
      </c>
    </row>
    <row r="54" spans="1:46">
      <c r="A54" s="49" t="s">
        <v>8878</v>
      </c>
      <c r="B54" s="49" t="s">
        <v>1180</v>
      </c>
      <c r="C54" s="49" t="s">
        <v>8824</v>
      </c>
      <c r="D54" s="49" t="s">
        <v>8927</v>
      </c>
      <c r="E54" s="49" t="s">
        <v>8258</v>
      </c>
      <c r="F54" s="49" t="s">
        <v>8936</v>
      </c>
      <c r="G54" s="49" t="s">
        <v>8932</v>
      </c>
      <c r="H54" s="49" t="s">
        <v>8271</v>
      </c>
      <c r="I54" s="49" t="s">
        <v>7341</v>
      </c>
      <c r="J54" s="49" t="s">
        <v>7320</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1415</v>
      </c>
      <c r="AI54" s="28" t="s">
        <v>8926</v>
      </c>
      <c r="AJ54" s="56">
        <v>1.5</v>
      </c>
      <c r="AK54" s="56" t="s">
        <v>5497</v>
      </c>
      <c r="AL54" s="56" t="s">
        <v>7946</v>
      </c>
      <c r="AM54" s="56">
        <v>3</v>
      </c>
      <c r="AN54" s="56">
        <v>5</v>
      </c>
      <c r="AO54" s="56">
        <v>-2</v>
      </c>
      <c r="AP54" s="56">
        <v>-7</v>
      </c>
      <c r="AQ54" s="56">
        <f>VLOOKUP(B54,'Feuerwaffen-Ressourcen'!$A$2:$AI$54,12,0)+VLOOKUP(C54,'Feuerwaffen-Ressourcen'!$A$2:$AI$54,12,0)+VLOOKUP(D54,'Feuerwaffen-Ressourcen'!$A$2:$AI$54,12,0)+VLOOKUP(J54,'Feuerwaffen-Ressourcen'!$A$2:$AI$54,12,0)</f>
        <v>4</v>
      </c>
      <c r="AR54" s="56" t="s">
        <v>7946</v>
      </c>
      <c r="AS54" s="56">
        <v>2</v>
      </c>
      <c r="AT54" s="56">
        <v>10</v>
      </c>
    </row>
    <row r="55" spans="1:46">
      <c r="A55" s="49" t="s">
        <v>8879</v>
      </c>
      <c r="B55" s="49" t="s">
        <v>1180</v>
      </c>
      <c r="C55" s="49" t="s">
        <v>8824</v>
      </c>
      <c r="D55" s="49" t="s">
        <v>8927</v>
      </c>
      <c r="E55" s="49" t="s">
        <v>8829</v>
      </c>
      <c r="F55" s="49" t="s">
        <v>8931</v>
      </c>
      <c r="G55" s="49" t="s">
        <v>8932</v>
      </c>
      <c r="H55" s="49" t="s">
        <v>8830</v>
      </c>
      <c r="I55" s="49" t="s">
        <v>7341</v>
      </c>
      <c r="J55" s="49" t="s">
        <v>7320</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1415</v>
      </c>
      <c r="AI55" s="28" t="s">
        <v>8926</v>
      </c>
      <c r="AJ55" s="56">
        <v>1.5</v>
      </c>
      <c r="AK55" s="56" t="s">
        <v>5497</v>
      </c>
      <c r="AL55" s="56" t="s">
        <v>7946</v>
      </c>
      <c r="AM55" s="56">
        <v>3</v>
      </c>
      <c r="AN55" s="56">
        <v>5</v>
      </c>
      <c r="AO55" s="56">
        <v>-2</v>
      </c>
      <c r="AP55" s="56">
        <v>-7</v>
      </c>
      <c r="AQ55" s="56">
        <f>VLOOKUP(B55,'Feuerwaffen-Ressourcen'!$A$2:$AI$54,12,0)+VLOOKUP(C55,'Feuerwaffen-Ressourcen'!$A$2:$AI$54,12,0)+VLOOKUP(D55,'Feuerwaffen-Ressourcen'!$A$2:$AI$54,12,0)+VLOOKUP(J55,'Feuerwaffen-Ressourcen'!$A$2:$AI$54,12,0)</f>
        <v>4</v>
      </c>
      <c r="AR55" s="56" t="s">
        <v>7946</v>
      </c>
      <c r="AS55" s="56">
        <v>2</v>
      </c>
      <c r="AT55" s="56">
        <v>10</v>
      </c>
    </row>
    <row r="56" spans="1:46">
      <c r="A56" s="49" t="s">
        <v>8880</v>
      </c>
      <c r="B56" s="49" t="s">
        <v>1200</v>
      </c>
      <c r="C56" s="49" t="s">
        <v>8921</v>
      </c>
      <c r="D56" s="49" t="s">
        <v>8819</v>
      </c>
      <c r="E56" s="49" t="s">
        <v>8258</v>
      </c>
      <c r="F56" s="49" t="s">
        <v>8928</v>
      </c>
      <c r="G56" s="49" t="s">
        <v>8923</v>
      </c>
      <c r="H56" s="49" t="s">
        <v>8271</v>
      </c>
      <c r="I56" s="49" t="s">
        <v>7341</v>
      </c>
      <c r="J56" s="49" t="s">
        <v>7320</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1420</v>
      </c>
      <c r="AI56" s="28" t="s">
        <v>8657</v>
      </c>
      <c r="AJ56" s="56">
        <v>3</v>
      </c>
      <c r="AK56" s="56" t="s">
        <v>5497</v>
      </c>
      <c r="AL56" s="56" t="s">
        <v>5486</v>
      </c>
      <c r="AM56" s="56">
        <v>3</v>
      </c>
      <c r="AN56" s="56">
        <v>5</v>
      </c>
      <c r="AO56" s="56">
        <v>4</v>
      </c>
      <c r="AP56" s="56">
        <v>4</v>
      </c>
      <c r="AQ56" s="56">
        <f>VLOOKUP(B56,'Feuerwaffen-Ressourcen'!$A$2:$AI$54,12,0)+VLOOKUP(C56,'Feuerwaffen-Ressourcen'!$A$2:$AI$54,12,0)+VLOOKUP(D56,'Feuerwaffen-Ressourcen'!$A$2:$AI$54,12,0)+VLOOKUP(J56,'Feuerwaffen-Ressourcen'!$A$2:$AI$54,12,0)</f>
        <v>17</v>
      </c>
      <c r="AR56" s="56">
        <f>VLOOKUP(B56,'Feuerwaffen-Ressourcen'!$A$2:$AI$54,12,0)+VLOOKUP(C56,'Feuerwaffen-Ressourcen'!$A$2:$AI$54,12,0)+VLOOKUP(D56,'Feuerwaffen-Ressourcen'!$A$2:$AI$54,12,0)+VLOOKUP(J56,'Feuerwaffen-Ressourcen'!$A$2:$AI$54,12,0)</f>
        <v>17</v>
      </c>
      <c r="AS56" s="56">
        <v>5</v>
      </c>
      <c r="AT56" s="56">
        <v>6</v>
      </c>
    </row>
    <row r="57" spans="1:46">
      <c r="A57" s="49" t="s">
        <v>8881</v>
      </c>
      <c r="B57" s="49" t="s">
        <v>1200</v>
      </c>
      <c r="C57" s="49" t="s">
        <v>8921</v>
      </c>
      <c r="D57" s="49" t="s">
        <v>8940</v>
      </c>
      <c r="E57" s="49" t="s">
        <v>8258</v>
      </c>
      <c r="F57" s="49" t="s">
        <v>8928</v>
      </c>
      <c r="G57" s="49" t="s">
        <v>8923</v>
      </c>
      <c r="H57" s="49" t="s">
        <v>8271</v>
      </c>
      <c r="I57" s="49" t="s">
        <v>7341</v>
      </c>
      <c r="J57" s="49" t="s">
        <v>7320</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1420</v>
      </c>
      <c r="AI57" s="28" t="s">
        <v>8657</v>
      </c>
      <c r="AJ57" s="56">
        <v>3</v>
      </c>
      <c r="AK57" s="56" t="s">
        <v>5497</v>
      </c>
      <c r="AL57" s="56" t="s">
        <v>5486</v>
      </c>
      <c r="AM57" s="56">
        <v>3</v>
      </c>
      <c r="AN57" s="56">
        <v>5</v>
      </c>
      <c r="AO57" s="56">
        <v>4</v>
      </c>
      <c r="AP57" s="56">
        <v>4</v>
      </c>
      <c r="AQ57" s="56">
        <f>VLOOKUP(B57,'Feuerwaffen-Ressourcen'!$A$2:$AI$54,12,0)+VLOOKUP(C57,'Feuerwaffen-Ressourcen'!$A$2:$AI$54,12,0)+VLOOKUP(D57,'Feuerwaffen-Ressourcen'!$A$2:$AI$54,12,0)+VLOOKUP(J57,'Feuerwaffen-Ressourcen'!$A$2:$AI$54,12,0)</f>
        <v>15</v>
      </c>
      <c r="AR57" s="56">
        <f>VLOOKUP(B57,'Feuerwaffen-Ressourcen'!$A$2:$AI$54,12,0)+VLOOKUP(C57,'Feuerwaffen-Ressourcen'!$A$2:$AI$54,12,0)+VLOOKUP(D57,'Feuerwaffen-Ressourcen'!$A$2:$AI$54,12,0)+VLOOKUP(J57,'Feuerwaffen-Ressourcen'!$A$2:$AI$54,12,0)</f>
        <v>15</v>
      </c>
      <c r="AS57" s="56">
        <v>5</v>
      </c>
      <c r="AT57" s="56">
        <v>6</v>
      </c>
    </row>
    <row r="58" spans="1:46">
      <c r="A58" s="49" t="s">
        <v>8882</v>
      </c>
      <c r="B58" s="49" t="s">
        <v>1200</v>
      </c>
      <c r="C58" s="49" t="s">
        <v>8921</v>
      </c>
      <c r="D58" s="49" t="s">
        <v>8924</v>
      </c>
      <c r="E58" s="49" t="s">
        <v>8258</v>
      </c>
      <c r="F58" s="49" t="s">
        <v>8928</v>
      </c>
      <c r="G58" s="49" t="s">
        <v>8923</v>
      </c>
      <c r="H58" s="49" t="s">
        <v>8271</v>
      </c>
      <c r="I58" s="49" t="s">
        <v>7341</v>
      </c>
      <c r="J58" s="49" t="s">
        <v>7320</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1420</v>
      </c>
      <c r="AI58" s="28" t="s">
        <v>8657</v>
      </c>
      <c r="AJ58" s="56">
        <v>3</v>
      </c>
      <c r="AK58" s="56" t="s">
        <v>5497</v>
      </c>
      <c r="AL58" s="56" t="s">
        <v>5486</v>
      </c>
      <c r="AM58" s="56">
        <v>3</v>
      </c>
      <c r="AN58" s="56">
        <v>5</v>
      </c>
      <c r="AO58" s="56">
        <v>4</v>
      </c>
      <c r="AP58" s="56">
        <v>4</v>
      </c>
      <c r="AQ58" s="56">
        <f>VLOOKUP(B58,'Feuerwaffen-Ressourcen'!$A$2:$AI$54,12,0)+VLOOKUP(C58,'Feuerwaffen-Ressourcen'!$A$2:$AI$54,12,0)+VLOOKUP(D58,'Feuerwaffen-Ressourcen'!$A$2:$AI$54,12,0)+VLOOKUP(J58,'Feuerwaffen-Ressourcen'!$A$2:$AI$54,12,0)</f>
        <v>15</v>
      </c>
      <c r="AR58" s="56">
        <f>VLOOKUP(B58,'Feuerwaffen-Ressourcen'!$A$2:$AI$54,12,0)+VLOOKUP(C58,'Feuerwaffen-Ressourcen'!$A$2:$AI$54,12,0)+VLOOKUP(D58,'Feuerwaffen-Ressourcen'!$A$2:$AI$54,12,0)+VLOOKUP(J58,'Feuerwaffen-Ressourcen'!$A$2:$AI$54,12,0)</f>
        <v>15</v>
      </c>
      <c r="AS58" s="56">
        <v>5</v>
      </c>
      <c r="AT58" s="56">
        <v>6</v>
      </c>
    </row>
    <row r="59" spans="1:46">
      <c r="A59" s="49" t="s">
        <v>8883</v>
      </c>
      <c r="B59" s="49" t="s">
        <v>1200</v>
      </c>
      <c r="C59" s="49" t="s">
        <v>8921</v>
      </c>
      <c r="D59" s="49" t="s">
        <v>8912</v>
      </c>
      <c r="E59" s="49" t="s">
        <v>8258</v>
      </c>
      <c r="F59" s="49" t="s">
        <v>8928</v>
      </c>
      <c r="G59" s="49" t="s">
        <v>8923</v>
      </c>
      <c r="H59" s="49" t="s">
        <v>8271</v>
      </c>
      <c r="I59" s="49" t="s">
        <v>7341</v>
      </c>
      <c r="J59" s="49" t="s">
        <v>7320</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1420</v>
      </c>
      <c r="AI59" s="28" t="s">
        <v>8657</v>
      </c>
      <c r="AJ59" s="56">
        <v>3</v>
      </c>
      <c r="AK59" s="56" t="s">
        <v>5497</v>
      </c>
      <c r="AL59" s="56" t="s">
        <v>5486</v>
      </c>
      <c r="AM59" s="56">
        <v>3</v>
      </c>
      <c r="AN59" s="56">
        <v>5</v>
      </c>
      <c r="AO59" s="56">
        <v>4</v>
      </c>
      <c r="AP59" s="56">
        <v>4</v>
      </c>
      <c r="AQ59" s="56">
        <f>VLOOKUP(B59,'Feuerwaffen-Ressourcen'!$A$2:$AI$54,12,0)+VLOOKUP(C59,'Feuerwaffen-Ressourcen'!$A$2:$AI$54,12,0)+VLOOKUP(D59,'Feuerwaffen-Ressourcen'!$A$2:$AI$54,12,0)+VLOOKUP(J59,'Feuerwaffen-Ressourcen'!$A$2:$AI$54,12,0)</f>
        <v>13</v>
      </c>
      <c r="AR59" s="56">
        <f>VLOOKUP(B59,'Feuerwaffen-Ressourcen'!$A$2:$AI$54,12,0)+VLOOKUP(C59,'Feuerwaffen-Ressourcen'!$A$2:$AI$54,12,0)+VLOOKUP(D59,'Feuerwaffen-Ressourcen'!$A$2:$AI$54,12,0)+VLOOKUP(J59,'Feuerwaffen-Ressourcen'!$A$2:$AI$54,12,0)</f>
        <v>13</v>
      </c>
      <c r="AS59" s="56">
        <v>5</v>
      </c>
      <c r="AT59" s="56">
        <v>6</v>
      </c>
    </row>
    <row r="60" spans="1:46">
      <c r="A60" s="49" t="s">
        <v>8884</v>
      </c>
      <c r="B60" s="49" t="s">
        <v>1200</v>
      </c>
      <c r="C60" s="49" t="s">
        <v>8921</v>
      </c>
      <c r="D60" s="49" t="s">
        <v>8938</v>
      </c>
      <c r="E60" s="49" t="s">
        <v>8258</v>
      </c>
      <c r="F60" s="49" t="s">
        <v>8936</v>
      </c>
      <c r="G60" s="49" t="s">
        <v>8923</v>
      </c>
      <c r="H60" s="49" t="s">
        <v>8271</v>
      </c>
      <c r="I60" s="49" t="s">
        <v>7341</v>
      </c>
      <c r="J60" s="49" t="s">
        <v>7320</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8657</v>
      </c>
      <c r="AJ60" s="56">
        <v>3</v>
      </c>
      <c r="AK60" s="56" t="s">
        <v>5497</v>
      </c>
      <c r="AL60" s="56" t="s">
        <v>5486</v>
      </c>
      <c r="AM60" s="56">
        <v>3</v>
      </c>
      <c r="AN60" s="56">
        <v>5</v>
      </c>
      <c r="AO60" s="56">
        <v>4</v>
      </c>
      <c r="AP60" s="56">
        <v>4</v>
      </c>
      <c r="AQ60" s="56">
        <v>12</v>
      </c>
      <c r="AR60" s="56">
        <v>12</v>
      </c>
      <c r="AS60" s="56">
        <v>5</v>
      </c>
      <c r="AT60" s="56">
        <v>6</v>
      </c>
    </row>
    <row r="61" spans="1:46">
      <c r="A61" s="49" t="s">
        <v>8885</v>
      </c>
      <c r="B61" s="49" t="s">
        <v>1200</v>
      </c>
      <c r="C61" s="49" t="s">
        <v>8921</v>
      </c>
      <c r="D61" s="49" t="s">
        <v>8943</v>
      </c>
      <c r="E61" s="49" t="s">
        <v>8258</v>
      </c>
      <c r="F61" s="49" t="s">
        <v>8928</v>
      </c>
      <c r="G61" s="49" t="s">
        <v>8923</v>
      </c>
      <c r="H61" s="49" t="s">
        <v>8271</v>
      </c>
      <c r="I61" s="49" t="s">
        <v>7341</v>
      </c>
      <c r="J61" s="49" t="s">
        <v>7320</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8657</v>
      </c>
      <c r="AJ61" s="56">
        <v>3</v>
      </c>
      <c r="AK61" s="56" t="s">
        <v>5497</v>
      </c>
      <c r="AL61" s="56" t="s">
        <v>5486</v>
      </c>
      <c r="AM61" s="56">
        <v>3</v>
      </c>
      <c r="AN61" s="56">
        <v>5</v>
      </c>
      <c r="AO61" s="56">
        <v>4</v>
      </c>
      <c r="AP61" s="56">
        <v>4</v>
      </c>
      <c r="AQ61" s="56">
        <v>21</v>
      </c>
      <c r="AR61" s="56">
        <v>21</v>
      </c>
      <c r="AS61" s="56">
        <v>5</v>
      </c>
      <c r="AT61" s="56">
        <v>6</v>
      </c>
    </row>
    <row r="62" spans="1:46">
      <c r="A62" s="49" t="s">
        <v>8886</v>
      </c>
      <c r="B62" s="49" t="s">
        <v>1200</v>
      </c>
      <c r="C62" s="49" t="s">
        <v>8921</v>
      </c>
      <c r="D62" s="49" t="s">
        <v>8912</v>
      </c>
      <c r="E62" s="49" t="s">
        <v>8262</v>
      </c>
      <c r="F62" s="49" t="s">
        <v>8930</v>
      </c>
      <c r="G62" s="49" t="s">
        <v>8923</v>
      </c>
      <c r="H62" s="49" t="s">
        <v>8827</v>
      </c>
      <c r="I62" s="49" t="s">
        <v>7341</v>
      </c>
      <c r="J62" s="49" t="s">
        <v>7320</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8657</v>
      </c>
      <c r="AJ62" s="56">
        <v>3</v>
      </c>
      <c r="AK62" s="56" t="s">
        <v>5497</v>
      </c>
      <c r="AL62" s="56" t="s">
        <v>5486</v>
      </c>
      <c r="AM62" s="56">
        <v>3</v>
      </c>
      <c r="AN62" s="56">
        <v>5</v>
      </c>
      <c r="AO62" s="56">
        <v>4</v>
      </c>
      <c r="AP62" s="56">
        <v>4</v>
      </c>
      <c r="AQ62" s="56">
        <v>13</v>
      </c>
      <c r="AR62" s="56">
        <v>13</v>
      </c>
      <c r="AS62" s="56">
        <v>5</v>
      </c>
      <c r="AT62" s="56">
        <v>6</v>
      </c>
    </row>
    <row r="63" spans="1:46">
      <c r="A63" s="49" t="s">
        <v>8887</v>
      </c>
      <c r="B63" s="49" t="s">
        <v>1200</v>
      </c>
      <c r="C63" s="49" t="s">
        <v>8921</v>
      </c>
      <c r="D63" s="49" t="s">
        <v>8938</v>
      </c>
      <c r="E63" s="49" t="s">
        <v>8258</v>
      </c>
      <c r="F63" s="49" t="s">
        <v>8928</v>
      </c>
      <c r="G63" s="49" t="s">
        <v>8923</v>
      </c>
      <c r="H63" s="49" t="s">
        <v>8271</v>
      </c>
      <c r="I63" s="49" t="s">
        <v>7341</v>
      </c>
      <c r="J63" s="49" t="s">
        <v>7320</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8657</v>
      </c>
      <c r="AJ63" s="56">
        <v>3</v>
      </c>
      <c r="AK63" s="56" t="s">
        <v>5497</v>
      </c>
      <c r="AL63" s="56" t="s">
        <v>5486</v>
      </c>
      <c r="AM63" s="56">
        <v>3</v>
      </c>
      <c r="AN63" s="56">
        <v>5</v>
      </c>
      <c r="AO63" s="56">
        <v>4</v>
      </c>
      <c r="AP63" s="56">
        <v>4</v>
      </c>
      <c r="AQ63" s="56">
        <v>12</v>
      </c>
      <c r="AR63" s="56">
        <v>12</v>
      </c>
      <c r="AS63" s="56">
        <v>5</v>
      </c>
      <c r="AT63" s="56">
        <v>6</v>
      </c>
    </row>
    <row r="64" spans="1:46">
      <c r="A64" s="49" t="s">
        <v>8888</v>
      </c>
      <c r="B64" s="49" t="s">
        <v>1200</v>
      </c>
      <c r="C64" s="49" t="s">
        <v>8824</v>
      </c>
      <c r="D64" s="49" t="s">
        <v>8927</v>
      </c>
      <c r="E64" s="49" t="s">
        <v>8258</v>
      </c>
      <c r="F64" s="49" t="s">
        <v>8936</v>
      </c>
      <c r="G64" s="49" t="s">
        <v>8923</v>
      </c>
      <c r="H64" s="49" t="s">
        <v>8271</v>
      </c>
      <c r="I64" s="49" t="s">
        <v>7341</v>
      </c>
      <c r="J64" s="49" t="s">
        <v>7320</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1415</v>
      </c>
      <c r="AI64" s="28" t="s">
        <v>8926</v>
      </c>
      <c r="AJ64" s="56">
        <v>1.5</v>
      </c>
      <c r="AK64" s="56" t="s">
        <v>5497</v>
      </c>
      <c r="AL64" s="56" t="s">
        <v>7946</v>
      </c>
      <c r="AM64" s="56">
        <v>3</v>
      </c>
      <c r="AN64" s="56">
        <v>5</v>
      </c>
      <c r="AO64" s="56">
        <v>-2</v>
      </c>
      <c r="AP64" s="56">
        <v>-7</v>
      </c>
      <c r="AQ64" s="56">
        <f>VLOOKUP(B64,'Feuerwaffen-Ressourcen'!$A$2:$AI$54,12,0)+VLOOKUP(C64,'Feuerwaffen-Ressourcen'!$A$2:$AI$54,12,0)+VLOOKUP(D64,'Feuerwaffen-Ressourcen'!$A$2:$AI$54,12,0)+VLOOKUP(J64,'Feuerwaffen-Ressourcen'!$A$2:$AI$54,12,0)</f>
        <v>10</v>
      </c>
      <c r="AR64" s="56" t="s">
        <v>7946</v>
      </c>
      <c r="AS64" s="56">
        <v>2</v>
      </c>
      <c r="AT64" s="56">
        <v>10</v>
      </c>
    </row>
    <row r="65" spans="1:46">
      <c r="A65" s="49" t="s">
        <v>8889</v>
      </c>
      <c r="B65" s="49" t="s">
        <v>1200</v>
      </c>
      <c r="C65" s="49" t="s">
        <v>8824</v>
      </c>
      <c r="D65" s="49" t="s">
        <v>8927</v>
      </c>
      <c r="E65" s="49" t="s">
        <v>8258</v>
      </c>
      <c r="F65" s="49" t="s">
        <v>8928</v>
      </c>
      <c r="G65" s="49" t="s">
        <v>8923</v>
      </c>
      <c r="H65" s="49" t="s">
        <v>8271</v>
      </c>
      <c r="I65" s="49" t="s">
        <v>7341</v>
      </c>
      <c r="J65" s="49" t="s">
        <v>7320</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1415</v>
      </c>
      <c r="AI65" s="28" t="s">
        <v>8926</v>
      </c>
      <c r="AJ65" s="56">
        <v>1.5</v>
      </c>
      <c r="AK65" s="56" t="s">
        <v>5497</v>
      </c>
      <c r="AL65" s="56" t="s">
        <v>7946</v>
      </c>
      <c r="AM65" s="56">
        <v>3</v>
      </c>
      <c r="AN65" s="56">
        <v>5</v>
      </c>
      <c r="AO65" s="56">
        <v>-2</v>
      </c>
      <c r="AP65" s="56">
        <v>-7</v>
      </c>
      <c r="AQ65" s="56">
        <f>VLOOKUP(B65,'Feuerwaffen-Ressourcen'!$A$2:$AI$54,12,0)+VLOOKUP(C65,'Feuerwaffen-Ressourcen'!$A$2:$AI$54,12,0)+VLOOKUP(D65,'Feuerwaffen-Ressourcen'!$A$2:$AI$54,12,0)+VLOOKUP(J65,'Feuerwaffen-Ressourcen'!$A$2:$AI$54,12,0)</f>
        <v>10</v>
      </c>
      <c r="AR65" s="56" t="s">
        <v>7946</v>
      </c>
      <c r="AS65" s="56">
        <v>2</v>
      </c>
      <c r="AT65" s="56">
        <v>10</v>
      </c>
    </row>
    <row r="66" spans="1:46">
      <c r="A66" s="49" t="s">
        <v>8890</v>
      </c>
      <c r="B66" s="49" t="s">
        <v>1200</v>
      </c>
      <c r="C66" s="49" t="s">
        <v>8824</v>
      </c>
      <c r="D66" s="49" t="s">
        <v>8927</v>
      </c>
      <c r="E66" s="49" t="s">
        <v>8829</v>
      </c>
      <c r="F66" s="49" t="s">
        <v>8931</v>
      </c>
      <c r="G66" s="49" t="s">
        <v>8932</v>
      </c>
      <c r="H66" s="49" t="s">
        <v>8830</v>
      </c>
      <c r="I66" s="49" t="s">
        <v>7341</v>
      </c>
      <c r="J66" s="49" t="s">
        <v>7320</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1415</v>
      </c>
      <c r="AI66" s="28" t="s">
        <v>8926</v>
      </c>
      <c r="AJ66" s="56">
        <v>1.5</v>
      </c>
      <c r="AK66" s="56" t="s">
        <v>5497</v>
      </c>
      <c r="AL66" s="56" t="s">
        <v>7946</v>
      </c>
      <c r="AM66" s="56">
        <v>3</v>
      </c>
      <c r="AN66" s="56">
        <v>5</v>
      </c>
      <c r="AO66" s="56">
        <v>-2</v>
      </c>
      <c r="AP66" s="56">
        <v>-7</v>
      </c>
      <c r="AQ66" s="56">
        <f>VLOOKUP(B66,'Feuerwaffen-Ressourcen'!$A$2:$AI$54,12,0)+VLOOKUP(C66,'Feuerwaffen-Ressourcen'!$A$2:$AI$54,12,0)+VLOOKUP(D66,'Feuerwaffen-Ressourcen'!$A$2:$AI$54,12,0)+VLOOKUP(J66,'Feuerwaffen-Ressourcen'!$A$2:$AI$54,12,0)</f>
        <v>10</v>
      </c>
      <c r="AR66" s="56" t="s">
        <v>7946</v>
      </c>
      <c r="AS66" s="56">
        <v>2</v>
      </c>
      <c r="AT66" s="56">
        <v>10</v>
      </c>
    </row>
    <row r="67" spans="1:46">
      <c r="A67" s="49" t="s">
        <v>8891</v>
      </c>
      <c r="B67" s="49" t="s">
        <v>1200</v>
      </c>
      <c r="C67" s="49" t="s">
        <v>8824</v>
      </c>
      <c r="D67" s="49" t="s">
        <v>8933</v>
      </c>
      <c r="E67" s="49" t="s">
        <v>8258</v>
      </c>
      <c r="F67" s="49" t="s">
        <v>8936</v>
      </c>
      <c r="G67" s="49" t="s">
        <v>8923</v>
      </c>
      <c r="H67" s="49" t="s">
        <v>8271</v>
      </c>
      <c r="I67" s="49" t="s">
        <v>7341</v>
      </c>
      <c r="J67" s="49" t="s">
        <v>7320</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1415</v>
      </c>
      <c r="AI67" s="28" t="s">
        <v>8926</v>
      </c>
      <c r="AJ67" s="56">
        <v>1.5</v>
      </c>
      <c r="AK67" s="56" t="s">
        <v>5497</v>
      </c>
      <c r="AL67" s="56" t="s">
        <v>7946</v>
      </c>
      <c r="AM67" s="56">
        <v>3</v>
      </c>
      <c r="AN67" s="56">
        <v>5</v>
      </c>
      <c r="AO67" s="56">
        <v>-2</v>
      </c>
      <c r="AP67" s="56">
        <v>-7</v>
      </c>
      <c r="AQ67" s="56">
        <f>VLOOKUP(B67,'Feuerwaffen-Ressourcen'!$A$2:$AI$54,12,0)+VLOOKUP(C67,'Feuerwaffen-Ressourcen'!$A$2:$AI$54,12,0)+VLOOKUP(D67,'Feuerwaffen-Ressourcen'!$A$2:$AI$54,12,0)+VLOOKUP(J67,'Feuerwaffen-Ressourcen'!$A$2:$AI$54,12,0)</f>
        <v>12</v>
      </c>
      <c r="AR67" s="56" t="s">
        <v>7946</v>
      </c>
      <c r="AS67" s="56">
        <v>2</v>
      </c>
      <c r="AT67" s="56">
        <v>10</v>
      </c>
    </row>
    <row r="68" spans="1:46">
      <c r="A68" s="49" t="s">
        <v>8892</v>
      </c>
      <c r="B68" s="49" t="s">
        <v>1200</v>
      </c>
      <c r="C68" s="49" t="s">
        <v>8824</v>
      </c>
      <c r="D68" s="49" t="s">
        <v>8933</v>
      </c>
      <c r="E68" s="49" t="s">
        <v>8258</v>
      </c>
      <c r="F68" s="49" t="s">
        <v>8928</v>
      </c>
      <c r="G68" s="49" t="s">
        <v>8923</v>
      </c>
      <c r="H68" s="49" t="s">
        <v>8271</v>
      </c>
      <c r="I68" s="49" t="s">
        <v>7341</v>
      </c>
      <c r="J68" s="49" t="s">
        <v>7320</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1415</v>
      </c>
      <c r="AI68" s="28" t="s">
        <v>8926</v>
      </c>
      <c r="AJ68" s="56">
        <v>1.5</v>
      </c>
      <c r="AK68" s="56" t="s">
        <v>5497</v>
      </c>
      <c r="AL68" s="56" t="s">
        <v>7946</v>
      </c>
      <c r="AM68" s="56">
        <v>3</v>
      </c>
      <c r="AN68" s="56">
        <v>5</v>
      </c>
      <c r="AO68" s="56">
        <v>-2</v>
      </c>
      <c r="AP68" s="56">
        <v>-7</v>
      </c>
      <c r="AQ68" s="56">
        <f>VLOOKUP(B68,'Feuerwaffen-Ressourcen'!$A$2:$AI$54,12,0)+VLOOKUP(C68,'Feuerwaffen-Ressourcen'!$A$2:$AI$54,12,0)+VLOOKUP(D68,'Feuerwaffen-Ressourcen'!$A$2:$AI$54,12,0)+VLOOKUP(J68,'Feuerwaffen-Ressourcen'!$A$2:$AI$54,12,0)</f>
        <v>12</v>
      </c>
      <c r="AR68" s="56" t="s">
        <v>7946</v>
      </c>
      <c r="AS68" s="56">
        <v>2</v>
      </c>
      <c r="AT68" s="56">
        <v>10</v>
      </c>
    </row>
    <row r="69" spans="1:46">
      <c r="A69" s="49" t="s">
        <v>8893</v>
      </c>
      <c r="B69" s="49" t="s">
        <v>1204</v>
      </c>
      <c r="C69" s="49" t="s">
        <v>8921</v>
      </c>
      <c r="D69" s="49" t="s">
        <v>8912</v>
      </c>
      <c r="E69" s="49" t="s">
        <v>8829</v>
      </c>
      <c r="F69" s="49" t="s">
        <v>8931</v>
      </c>
      <c r="G69" s="49" t="s">
        <v>8932</v>
      </c>
      <c r="H69" s="49" t="s">
        <v>8830</v>
      </c>
      <c r="I69" s="49" t="s">
        <v>7341</v>
      </c>
      <c r="J69" s="49" t="s">
        <v>7320</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8657</v>
      </c>
      <c r="AJ69" s="56">
        <v>3</v>
      </c>
      <c r="AK69" s="56" t="s">
        <v>5497</v>
      </c>
      <c r="AL69" s="56" t="s">
        <v>5486</v>
      </c>
      <c r="AM69" s="56">
        <v>3</v>
      </c>
      <c r="AN69" s="56">
        <v>5</v>
      </c>
      <c r="AO69" s="56">
        <v>4</v>
      </c>
      <c r="AP69" s="56">
        <v>4</v>
      </c>
      <c r="AQ69" s="56">
        <v>11</v>
      </c>
      <c r="AR69" s="56">
        <v>11</v>
      </c>
      <c r="AS69" s="56">
        <v>5</v>
      </c>
      <c r="AT69" s="56">
        <v>6</v>
      </c>
    </row>
    <row r="70" spans="1:46">
      <c r="A70" s="49" t="s">
        <v>8894</v>
      </c>
      <c r="B70" s="49" t="s">
        <v>1204</v>
      </c>
      <c r="C70" s="49" t="s">
        <v>8921</v>
      </c>
      <c r="D70" s="49" t="s">
        <v>8924</v>
      </c>
      <c r="E70" s="49" t="s">
        <v>8258</v>
      </c>
      <c r="F70" s="49" t="s">
        <v>8936</v>
      </c>
      <c r="G70" s="49" t="s">
        <v>8932</v>
      </c>
      <c r="H70" s="49" t="s">
        <v>8271</v>
      </c>
      <c r="I70" s="49" t="s">
        <v>7341</v>
      </c>
      <c r="J70" s="49" t="s">
        <v>7320</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8657</v>
      </c>
      <c r="AJ70" s="56">
        <v>3</v>
      </c>
      <c r="AK70" s="56" t="s">
        <v>5497</v>
      </c>
      <c r="AL70" s="56" t="s">
        <v>5486</v>
      </c>
      <c r="AM70" s="56">
        <v>3</v>
      </c>
      <c r="AN70" s="56">
        <v>5</v>
      </c>
      <c r="AO70" s="56">
        <v>4</v>
      </c>
      <c r="AP70" s="56">
        <v>4</v>
      </c>
      <c r="AQ70" s="56">
        <v>13</v>
      </c>
      <c r="AR70" s="56">
        <v>13</v>
      </c>
      <c r="AS70" s="56">
        <v>5</v>
      </c>
      <c r="AT70" s="56">
        <v>6</v>
      </c>
    </row>
    <row r="71" spans="1:46">
      <c r="A71" s="49" t="s">
        <v>8895</v>
      </c>
      <c r="B71" s="49" t="s">
        <v>1204</v>
      </c>
      <c r="C71" s="49" t="s">
        <v>8921</v>
      </c>
      <c r="D71" s="49" t="s">
        <v>8924</v>
      </c>
      <c r="E71" s="49" t="s">
        <v>8847</v>
      </c>
      <c r="F71" s="49" t="s">
        <v>8931</v>
      </c>
      <c r="G71" s="49" t="s">
        <v>8932</v>
      </c>
      <c r="H71" s="49" t="s">
        <v>8830</v>
      </c>
      <c r="I71" s="49" t="s">
        <v>7341</v>
      </c>
      <c r="J71" s="49" t="s">
        <v>7320</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8657</v>
      </c>
      <c r="AJ71" s="56">
        <v>3</v>
      </c>
      <c r="AK71" s="56" t="s">
        <v>5497</v>
      </c>
      <c r="AL71" s="56" t="s">
        <v>5486</v>
      </c>
      <c r="AM71" s="56">
        <v>3</v>
      </c>
      <c r="AN71" s="56">
        <v>5</v>
      </c>
      <c r="AO71" s="56">
        <v>4</v>
      </c>
      <c r="AP71" s="56">
        <v>4</v>
      </c>
      <c r="AQ71" s="56">
        <v>13</v>
      </c>
      <c r="AR71" s="56">
        <v>13</v>
      </c>
      <c r="AS71" s="56">
        <v>5</v>
      </c>
      <c r="AT71" s="56">
        <v>6</v>
      </c>
    </row>
    <row r="72" spans="1:46">
      <c r="A72" s="49" t="s">
        <v>8896</v>
      </c>
      <c r="B72" s="49" t="s">
        <v>1204</v>
      </c>
      <c r="C72" s="49" t="s">
        <v>8921</v>
      </c>
      <c r="D72" s="49" t="s">
        <v>8912</v>
      </c>
      <c r="E72" s="49" t="s">
        <v>8262</v>
      </c>
      <c r="F72" s="49" t="s">
        <v>8930</v>
      </c>
      <c r="G72" s="49" t="s">
        <v>8932</v>
      </c>
      <c r="H72" s="49" t="s">
        <v>8827</v>
      </c>
      <c r="I72" s="49" t="s">
        <v>7341</v>
      </c>
      <c r="J72" s="49" t="s">
        <v>7320</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8657</v>
      </c>
      <c r="AJ72" s="56">
        <v>3</v>
      </c>
      <c r="AK72" s="56" t="s">
        <v>5497</v>
      </c>
      <c r="AL72" s="56" t="s">
        <v>5486</v>
      </c>
      <c r="AM72" s="56">
        <v>3</v>
      </c>
      <c r="AN72" s="56">
        <v>5</v>
      </c>
      <c r="AO72" s="56">
        <v>4</v>
      </c>
      <c r="AP72" s="56">
        <v>4</v>
      </c>
      <c r="AQ72" s="56">
        <v>11</v>
      </c>
      <c r="AR72" s="56">
        <v>11</v>
      </c>
      <c r="AS72" s="56">
        <v>5</v>
      </c>
      <c r="AT72" s="56">
        <v>6</v>
      </c>
    </row>
    <row r="73" spans="1:46">
      <c r="A73" s="49" t="s">
        <v>8897</v>
      </c>
      <c r="B73" s="49" t="s">
        <v>1204</v>
      </c>
      <c r="C73" s="49" t="s">
        <v>8921</v>
      </c>
      <c r="D73" s="49" t="s">
        <v>8938</v>
      </c>
      <c r="E73" s="49" t="s">
        <v>8258</v>
      </c>
      <c r="F73" s="49" t="s">
        <v>8936</v>
      </c>
      <c r="G73" s="49" t="s">
        <v>8932</v>
      </c>
      <c r="H73" s="49" t="s">
        <v>8271</v>
      </c>
      <c r="I73" s="49" t="s">
        <v>7341</v>
      </c>
      <c r="J73" s="49" t="s">
        <v>7320</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8657</v>
      </c>
      <c r="AJ73" s="56">
        <v>3</v>
      </c>
      <c r="AK73" s="56" t="s">
        <v>5497</v>
      </c>
      <c r="AL73" s="56" t="s">
        <v>5486</v>
      </c>
      <c r="AM73" s="56">
        <v>3</v>
      </c>
      <c r="AN73" s="56">
        <v>5</v>
      </c>
      <c r="AO73" s="56">
        <v>4</v>
      </c>
      <c r="AP73" s="56">
        <v>4</v>
      </c>
      <c r="AQ73" s="56">
        <v>10</v>
      </c>
      <c r="AR73" s="56">
        <v>10</v>
      </c>
      <c r="AS73" s="56">
        <v>5</v>
      </c>
      <c r="AT73" s="56">
        <v>6</v>
      </c>
    </row>
    <row r="74" spans="1:46">
      <c r="A74" s="49" t="s">
        <v>8898</v>
      </c>
      <c r="B74" s="49" t="s">
        <v>1204</v>
      </c>
      <c r="C74" s="49" t="s">
        <v>8921</v>
      </c>
      <c r="D74" s="49" t="s">
        <v>8935</v>
      </c>
      <c r="E74" s="49" t="s">
        <v>8258</v>
      </c>
      <c r="F74" s="49" t="s">
        <v>8939</v>
      </c>
      <c r="G74" s="49" t="s">
        <v>8932</v>
      </c>
      <c r="H74" s="49" t="s">
        <v>8271</v>
      </c>
      <c r="I74" s="49" t="s">
        <v>7341</v>
      </c>
      <c r="J74" s="49" t="s">
        <v>7320</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8657</v>
      </c>
      <c r="AJ74" s="56">
        <v>3</v>
      </c>
      <c r="AK74" s="56" t="s">
        <v>5497</v>
      </c>
      <c r="AL74" s="56" t="s">
        <v>5486</v>
      </c>
      <c r="AM74" s="56">
        <v>3</v>
      </c>
      <c r="AN74" s="56">
        <v>5</v>
      </c>
      <c r="AO74" s="56">
        <v>4</v>
      </c>
      <c r="AP74" s="56">
        <v>4</v>
      </c>
      <c r="AQ74" s="56">
        <v>11</v>
      </c>
      <c r="AR74" s="56">
        <v>11</v>
      </c>
      <c r="AS74" s="56">
        <v>5</v>
      </c>
      <c r="AT74" s="56">
        <v>6</v>
      </c>
    </row>
    <row r="75" spans="1:46">
      <c r="A75" s="49" t="s">
        <v>8899</v>
      </c>
      <c r="B75" s="49" t="s">
        <v>1204</v>
      </c>
      <c r="C75" s="49" t="s">
        <v>8921</v>
      </c>
      <c r="D75" s="49" t="s">
        <v>8912</v>
      </c>
      <c r="E75" s="49" t="s">
        <v>8258</v>
      </c>
      <c r="F75" s="49" t="s">
        <v>8936</v>
      </c>
      <c r="G75" s="49" t="s">
        <v>8932</v>
      </c>
      <c r="H75" s="49" t="s">
        <v>8271</v>
      </c>
      <c r="I75" s="49" t="s">
        <v>7341</v>
      </c>
      <c r="J75" s="49" t="s">
        <v>7320</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8657</v>
      </c>
      <c r="AJ75" s="56">
        <v>3</v>
      </c>
      <c r="AK75" s="56" t="s">
        <v>5497</v>
      </c>
      <c r="AL75" s="56" t="s">
        <v>5486</v>
      </c>
      <c r="AM75" s="56">
        <v>3</v>
      </c>
      <c r="AN75" s="56">
        <v>5</v>
      </c>
      <c r="AO75" s="56">
        <v>4</v>
      </c>
      <c r="AP75" s="56">
        <v>4</v>
      </c>
      <c r="AQ75" s="56">
        <v>11</v>
      </c>
      <c r="AR75" s="56">
        <v>11</v>
      </c>
      <c r="AS75" s="56">
        <v>5</v>
      </c>
      <c r="AT75" s="56">
        <v>6</v>
      </c>
    </row>
    <row r="76" spans="1:46">
      <c r="A76" s="49" t="s">
        <v>8900</v>
      </c>
      <c r="B76" s="49" t="s">
        <v>1204</v>
      </c>
      <c r="C76" s="49" t="s">
        <v>8921</v>
      </c>
      <c r="D76" s="49" t="s">
        <v>8819</v>
      </c>
      <c r="E76" s="49" t="s">
        <v>8258</v>
      </c>
      <c r="F76" s="49" t="s">
        <v>8928</v>
      </c>
      <c r="G76" s="49" t="s">
        <v>8923</v>
      </c>
      <c r="H76" s="49" t="s">
        <v>8271</v>
      </c>
      <c r="I76" s="49" t="s">
        <v>7341</v>
      </c>
      <c r="J76" s="49" t="s">
        <v>7320</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8657</v>
      </c>
      <c r="AJ76" s="56">
        <v>3</v>
      </c>
      <c r="AK76" s="56" t="s">
        <v>5497</v>
      </c>
      <c r="AL76" s="56" t="s">
        <v>5486</v>
      </c>
      <c r="AM76" s="56">
        <v>3</v>
      </c>
      <c r="AN76" s="56">
        <v>5</v>
      </c>
      <c r="AO76" s="56">
        <v>4</v>
      </c>
      <c r="AP76" s="56">
        <v>4</v>
      </c>
      <c r="AQ76" s="56">
        <v>15</v>
      </c>
      <c r="AR76" s="56">
        <v>15</v>
      </c>
      <c r="AS76" s="56">
        <v>5</v>
      </c>
      <c r="AT76" s="56">
        <v>6</v>
      </c>
    </row>
    <row r="77" spans="1:46">
      <c r="A77" s="49" t="s">
        <v>8901</v>
      </c>
      <c r="B77" s="49" t="s">
        <v>1204</v>
      </c>
      <c r="C77" s="49" t="s">
        <v>8921</v>
      </c>
      <c r="D77" s="49" t="s">
        <v>8929</v>
      </c>
      <c r="E77" s="49" t="s">
        <v>8262</v>
      </c>
      <c r="F77" s="49" t="s">
        <v>8930</v>
      </c>
      <c r="G77" s="49" t="s">
        <v>8932</v>
      </c>
      <c r="H77" s="49" t="s">
        <v>8827</v>
      </c>
      <c r="I77" s="49" t="s">
        <v>7341</v>
      </c>
      <c r="J77" s="49" t="s">
        <v>7320</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8657</v>
      </c>
      <c r="AJ77" s="56">
        <v>3</v>
      </c>
      <c r="AK77" s="56" t="s">
        <v>5497</v>
      </c>
      <c r="AL77" s="56" t="s">
        <v>5486</v>
      </c>
      <c r="AM77" s="56">
        <v>3</v>
      </c>
      <c r="AN77" s="56">
        <v>5</v>
      </c>
      <c r="AO77" s="56">
        <v>4</v>
      </c>
      <c r="AP77" s="56">
        <v>4</v>
      </c>
      <c r="AQ77" s="56">
        <v>10</v>
      </c>
      <c r="AR77" s="56">
        <v>10</v>
      </c>
      <c r="AS77" s="56">
        <v>5</v>
      </c>
      <c r="AT77" s="56">
        <v>6</v>
      </c>
    </row>
    <row r="78" spans="1:46">
      <c r="A78" s="49" t="s">
        <v>8902</v>
      </c>
      <c r="B78" s="49" t="s">
        <v>1204</v>
      </c>
      <c r="C78" s="49" t="s">
        <v>8921</v>
      </c>
      <c r="D78" s="49" t="s">
        <v>8941</v>
      </c>
      <c r="E78" s="49" t="s">
        <v>8258</v>
      </c>
      <c r="F78" s="49" t="s">
        <v>8928</v>
      </c>
      <c r="G78" s="49" t="s">
        <v>8923</v>
      </c>
      <c r="H78" s="49" t="s">
        <v>8271</v>
      </c>
      <c r="I78" s="49" t="s">
        <v>7341</v>
      </c>
      <c r="J78" s="49" t="s">
        <v>7320</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8657</v>
      </c>
      <c r="AJ78" s="56">
        <v>3</v>
      </c>
      <c r="AK78" s="56" t="s">
        <v>5497</v>
      </c>
      <c r="AL78" s="56" t="s">
        <v>5486</v>
      </c>
      <c r="AM78" s="56">
        <v>3</v>
      </c>
      <c r="AN78" s="56">
        <v>5</v>
      </c>
      <c r="AO78" s="56">
        <v>4</v>
      </c>
      <c r="AP78" s="56">
        <v>4</v>
      </c>
      <c r="AQ78" s="56">
        <v>12</v>
      </c>
      <c r="AR78" s="56">
        <v>12</v>
      </c>
      <c r="AS78" s="56">
        <v>5</v>
      </c>
      <c r="AT78" s="56">
        <v>6</v>
      </c>
    </row>
    <row r="79" spans="1:46">
      <c r="A79" s="49" t="s">
        <v>8903</v>
      </c>
      <c r="B79" s="49" t="s">
        <v>1204</v>
      </c>
      <c r="C79" s="49" t="s">
        <v>8921</v>
      </c>
      <c r="D79" s="49" t="s">
        <v>8266</v>
      </c>
      <c r="E79" s="49" t="s">
        <v>8258</v>
      </c>
      <c r="F79" s="49" t="s">
        <v>8939</v>
      </c>
      <c r="G79" s="49" t="s">
        <v>8923</v>
      </c>
      <c r="H79" s="49" t="s">
        <v>8267</v>
      </c>
      <c r="I79" s="49" t="s">
        <v>7341</v>
      </c>
      <c r="J79" s="49" t="s">
        <v>7320</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1420</v>
      </c>
      <c r="AI79" s="28" t="s">
        <v>8657</v>
      </c>
      <c r="AJ79" s="56">
        <v>3</v>
      </c>
      <c r="AK79" s="56" t="s">
        <v>5497</v>
      </c>
      <c r="AL79" s="56" t="s">
        <v>5486</v>
      </c>
      <c r="AM79" s="56">
        <v>3</v>
      </c>
      <c r="AN79" s="56">
        <v>5</v>
      </c>
      <c r="AO79" s="56">
        <v>4</v>
      </c>
      <c r="AP79" s="56">
        <v>4</v>
      </c>
      <c r="AQ79" s="56">
        <f>VLOOKUP(B79,'Feuerwaffen-Ressourcen'!$A$2:$AI$54,12,0)+VLOOKUP(C79,'Feuerwaffen-Ressourcen'!$A$2:$AI$54,12,0)+VLOOKUP(D79,'Feuerwaffen-Ressourcen'!$A$2:$AI$54,12,0)+VLOOKUP(J79,'Feuerwaffen-Ressourcen'!$A$2:$AI$54,12,0)</f>
        <v>11</v>
      </c>
      <c r="AR79" s="56">
        <f>VLOOKUP(B79,'Feuerwaffen-Ressourcen'!$A$2:$AI$54,12,0)+VLOOKUP(C79,'Feuerwaffen-Ressourcen'!$A$2:$AI$54,12,0)+VLOOKUP(D79,'Feuerwaffen-Ressourcen'!$A$2:$AI$54,12,0)+VLOOKUP(J79,'Feuerwaffen-Ressourcen'!$A$2:$AI$54,12,0)</f>
        <v>11</v>
      </c>
      <c r="AS79" s="56">
        <v>5</v>
      </c>
      <c r="AT79" s="56">
        <v>6</v>
      </c>
    </row>
    <row r="80" spans="1:46">
      <c r="A80" s="49" t="s">
        <v>8904</v>
      </c>
      <c r="B80" s="49" t="s">
        <v>1204</v>
      </c>
      <c r="C80" s="49" t="s">
        <v>8921</v>
      </c>
      <c r="D80" s="49" t="s">
        <v>8940</v>
      </c>
      <c r="E80" s="49" t="s">
        <v>8258</v>
      </c>
      <c r="F80" s="49" t="s">
        <v>8928</v>
      </c>
      <c r="G80" s="49" t="s">
        <v>8923</v>
      </c>
      <c r="H80" s="49" t="s">
        <v>8271</v>
      </c>
      <c r="I80" s="49" t="s">
        <v>7341</v>
      </c>
      <c r="J80" s="49" t="s">
        <v>7320</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1420</v>
      </c>
      <c r="AI80" s="28" t="s">
        <v>8657</v>
      </c>
      <c r="AJ80" s="56">
        <v>3</v>
      </c>
      <c r="AK80" s="56" t="s">
        <v>5497</v>
      </c>
      <c r="AL80" s="56" t="s">
        <v>5486</v>
      </c>
      <c r="AM80" s="56">
        <v>3</v>
      </c>
      <c r="AN80" s="56">
        <v>5</v>
      </c>
      <c r="AO80" s="56">
        <v>4</v>
      </c>
      <c r="AP80" s="56">
        <v>4</v>
      </c>
      <c r="AQ80" s="56">
        <f>VLOOKUP(B80,'Feuerwaffen-Ressourcen'!$A$2:$AI$54,12,0)+VLOOKUP(C80,'Feuerwaffen-Ressourcen'!$A$2:$AI$54,12,0)+VLOOKUP(D80,'Feuerwaffen-Ressourcen'!$A$2:$AI$54,12,0)+VLOOKUP(J80,'Feuerwaffen-Ressourcen'!$A$2:$AI$54,12,0)</f>
        <v>13</v>
      </c>
      <c r="AR80" s="56">
        <f>VLOOKUP(B80,'Feuerwaffen-Ressourcen'!$A$2:$AI$54,12,0)+VLOOKUP(C80,'Feuerwaffen-Ressourcen'!$A$2:$AI$54,12,0)+VLOOKUP(D80,'Feuerwaffen-Ressourcen'!$A$2:$AI$54,12,0)+VLOOKUP(J80,'Feuerwaffen-Ressourcen'!$A$2:$AI$54,12,0)</f>
        <v>13</v>
      </c>
      <c r="AS80" s="56">
        <v>5</v>
      </c>
      <c r="AT80" s="56">
        <v>6</v>
      </c>
    </row>
    <row r="81" spans="1:46">
      <c r="A81" s="49" t="s">
        <v>8905</v>
      </c>
      <c r="B81" s="49" t="s">
        <v>1204</v>
      </c>
      <c r="C81" s="49" t="s">
        <v>8921</v>
      </c>
      <c r="D81" s="49" t="s">
        <v>8929</v>
      </c>
      <c r="E81" s="49" t="s">
        <v>8847</v>
      </c>
      <c r="F81" s="49" t="s">
        <v>8931</v>
      </c>
      <c r="G81" s="49" t="s">
        <v>8932</v>
      </c>
      <c r="H81" s="49" t="s">
        <v>8830</v>
      </c>
      <c r="I81" s="49" t="s">
        <v>7341</v>
      </c>
      <c r="J81" s="49" t="s">
        <v>7320</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1420</v>
      </c>
      <c r="AI81" s="28" t="s">
        <v>8657</v>
      </c>
      <c r="AJ81" s="56">
        <v>3</v>
      </c>
      <c r="AK81" s="56" t="s">
        <v>5497</v>
      </c>
      <c r="AL81" s="56" t="s">
        <v>5486</v>
      </c>
      <c r="AM81" s="56">
        <v>3</v>
      </c>
      <c r="AN81" s="56">
        <v>5</v>
      </c>
      <c r="AO81" s="56">
        <v>4</v>
      </c>
      <c r="AP81" s="56">
        <v>4</v>
      </c>
      <c r="AQ81" s="56">
        <f>VLOOKUP(B81,'Feuerwaffen-Ressourcen'!$A$2:$AI$54,12,0)+VLOOKUP(C81,'Feuerwaffen-Ressourcen'!$A$2:$AI$54,12,0)+VLOOKUP(D81,'Feuerwaffen-Ressourcen'!$A$2:$AI$54,12,0)+VLOOKUP(J81,'Feuerwaffen-Ressourcen'!$A$2:$AI$54,12,0)</f>
        <v>10</v>
      </c>
      <c r="AR81" s="56">
        <f>VLOOKUP(B81,'Feuerwaffen-Ressourcen'!$A$2:$AI$54,12,0)+VLOOKUP(C81,'Feuerwaffen-Ressourcen'!$A$2:$AI$54,12,0)+VLOOKUP(D81,'Feuerwaffen-Ressourcen'!$A$2:$AI$54,12,0)+VLOOKUP(J81,'Feuerwaffen-Ressourcen'!$A$2:$AI$54,12,0)</f>
        <v>10</v>
      </c>
      <c r="AS81" s="56">
        <v>5</v>
      </c>
      <c r="AT81" s="56">
        <v>6</v>
      </c>
    </row>
    <row r="82" spans="1:46">
      <c r="A82" s="49" t="s">
        <v>8906</v>
      </c>
      <c r="B82" s="49" t="s">
        <v>1204</v>
      </c>
      <c r="C82" s="49" t="s">
        <v>8921</v>
      </c>
      <c r="D82" s="49" t="s">
        <v>8912</v>
      </c>
      <c r="E82" s="49" t="s">
        <v>8258</v>
      </c>
      <c r="F82" s="49" t="s">
        <v>8928</v>
      </c>
      <c r="G82" s="49" t="s">
        <v>8923</v>
      </c>
      <c r="H82" s="49" t="s">
        <v>8271</v>
      </c>
      <c r="I82" s="49" t="s">
        <v>7341</v>
      </c>
      <c r="J82" s="49" t="s">
        <v>7320</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1420</v>
      </c>
      <c r="AI82" s="28" t="s">
        <v>8657</v>
      </c>
      <c r="AJ82" s="56">
        <v>3</v>
      </c>
      <c r="AK82" s="56" t="s">
        <v>5497</v>
      </c>
      <c r="AL82" s="56" t="s">
        <v>5486</v>
      </c>
      <c r="AM82" s="56">
        <v>3</v>
      </c>
      <c r="AN82" s="56">
        <v>5</v>
      </c>
      <c r="AO82" s="56">
        <v>4</v>
      </c>
      <c r="AP82" s="56">
        <v>4</v>
      </c>
      <c r="AQ82" s="56">
        <f>VLOOKUP(B82,'Feuerwaffen-Ressourcen'!$A$2:$AI$54,12,0)+VLOOKUP(C82,'Feuerwaffen-Ressourcen'!$A$2:$AI$54,12,0)+VLOOKUP(D82,'Feuerwaffen-Ressourcen'!$A$2:$AI$54,12,0)+VLOOKUP(J82,'Feuerwaffen-Ressourcen'!$A$2:$AI$54,12,0)</f>
        <v>11</v>
      </c>
      <c r="AR82" s="56">
        <f>VLOOKUP(B82,'Feuerwaffen-Ressourcen'!$A$2:$AI$54,12,0)+VLOOKUP(C82,'Feuerwaffen-Ressourcen'!$A$2:$AI$54,12,0)+VLOOKUP(D82,'Feuerwaffen-Ressourcen'!$A$2:$AI$54,12,0)+VLOOKUP(J82,'Feuerwaffen-Ressourcen'!$A$2:$AI$54,12,0)</f>
        <v>11</v>
      </c>
      <c r="AS82" s="56">
        <v>5</v>
      </c>
      <c r="AT82" s="56">
        <v>6</v>
      </c>
    </row>
    <row r="83" spans="1:46">
      <c r="A83" s="49" t="s">
        <v>8907</v>
      </c>
      <c r="B83" s="49" t="s">
        <v>1204</v>
      </c>
      <c r="C83" s="49" t="s">
        <v>8824</v>
      </c>
      <c r="D83" s="49" t="s">
        <v>8945</v>
      </c>
      <c r="E83" s="49" t="s">
        <v>8258</v>
      </c>
      <c r="F83" s="49" t="s">
        <v>8928</v>
      </c>
      <c r="G83" s="49" t="s">
        <v>8923</v>
      </c>
      <c r="H83" s="49" t="s">
        <v>8271</v>
      </c>
      <c r="I83" s="49" t="s">
        <v>7341</v>
      </c>
      <c r="J83" s="49" t="s">
        <v>7320</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8926</v>
      </c>
      <c r="AJ83" s="56">
        <v>1.5</v>
      </c>
      <c r="AK83" s="56" t="s">
        <v>5497</v>
      </c>
      <c r="AL83" s="56" t="s">
        <v>7946</v>
      </c>
      <c r="AM83" s="56">
        <v>3</v>
      </c>
      <c r="AN83" s="56">
        <v>5</v>
      </c>
      <c r="AO83" s="56">
        <v>-2</v>
      </c>
      <c r="AP83" s="56">
        <v>-7</v>
      </c>
      <c r="AQ83" s="56">
        <v>9</v>
      </c>
      <c r="AR83" s="56" t="s">
        <v>7946</v>
      </c>
      <c r="AS83" s="56">
        <v>2</v>
      </c>
      <c r="AT83" s="56">
        <v>10</v>
      </c>
    </row>
    <row r="84" spans="1:46">
      <c r="A84" s="49" t="s">
        <v>5560</v>
      </c>
      <c r="B84" s="49" t="s">
        <v>1204</v>
      </c>
      <c r="C84" s="49" t="s">
        <v>8824</v>
      </c>
      <c r="D84" s="49" t="s">
        <v>8927</v>
      </c>
      <c r="E84" s="49" t="s">
        <v>8829</v>
      </c>
      <c r="F84" s="49" t="s">
        <v>8931</v>
      </c>
      <c r="G84" s="49" t="s">
        <v>8932</v>
      </c>
      <c r="H84" s="49" t="s">
        <v>8830</v>
      </c>
      <c r="I84" s="49" t="s">
        <v>7341</v>
      </c>
      <c r="J84" s="49" t="s">
        <v>7320</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8926</v>
      </c>
      <c r="AJ84" s="56">
        <v>1.5</v>
      </c>
      <c r="AK84" s="56" t="s">
        <v>5497</v>
      </c>
      <c r="AL84" s="56" t="s">
        <v>7946</v>
      </c>
      <c r="AM84" s="56">
        <v>3</v>
      </c>
      <c r="AN84" s="56">
        <v>5</v>
      </c>
      <c r="AO84" s="56">
        <v>-2</v>
      </c>
      <c r="AP84" s="56">
        <v>-7</v>
      </c>
      <c r="AQ84" s="56">
        <v>8</v>
      </c>
      <c r="AR84" s="56" t="s">
        <v>7946</v>
      </c>
      <c r="AS84" s="56">
        <v>2</v>
      </c>
      <c r="AT84" s="56">
        <v>10</v>
      </c>
    </row>
    <row r="85" spans="1:46">
      <c r="A85" s="49" t="s">
        <v>8908</v>
      </c>
      <c r="B85" s="49" t="s">
        <v>1204</v>
      </c>
      <c r="C85" s="49" t="s">
        <v>8824</v>
      </c>
      <c r="D85" s="49" t="s">
        <v>8944</v>
      </c>
      <c r="E85" s="49" t="s">
        <v>8258</v>
      </c>
      <c r="F85" s="49" t="s">
        <v>8928</v>
      </c>
      <c r="G85" s="49" t="s">
        <v>8923</v>
      </c>
      <c r="H85" s="49" t="s">
        <v>8271</v>
      </c>
      <c r="I85" s="49" t="s">
        <v>7341</v>
      </c>
      <c r="J85" s="49" t="s">
        <v>7320</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8926</v>
      </c>
      <c r="AJ85" s="56">
        <v>1.5</v>
      </c>
      <c r="AK85" s="56" t="s">
        <v>5497</v>
      </c>
      <c r="AL85" s="56" t="s">
        <v>7946</v>
      </c>
      <c r="AM85" s="56">
        <v>3</v>
      </c>
      <c r="AN85" s="56">
        <v>5</v>
      </c>
      <c r="AO85" s="56">
        <v>-2</v>
      </c>
      <c r="AP85" s="56">
        <v>-7</v>
      </c>
      <c r="AQ85" s="56">
        <v>10</v>
      </c>
      <c r="AR85" s="56" t="s">
        <v>7946</v>
      </c>
      <c r="AS85" s="56">
        <v>2</v>
      </c>
      <c r="AT85" s="56">
        <v>10</v>
      </c>
    </row>
    <row r="86" spans="1:46">
      <c r="A86" s="49" t="s">
        <v>8909</v>
      </c>
      <c r="B86" s="49" t="s">
        <v>1204</v>
      </c>
      <c r="C86" s="49" t="s">
        <v>8824</v>
      </c>
      <c r="D86" s="49" t="s">
        <v>8945</v>
      </c>
      <c r="E86" s="49" t="s">
        <v>8829</v>
      </c>
      <c r="F86" s="49" t="s">
        <v>8931</v>
      </c>
      <c r="G86" s="49" t="s">
        <v>8932</v>
      </c>
      <c r="H86" s="49" t="s">
        <v>8830</v>
      </c>
      <c r="I86" s="49" t="s">
        <v>7341</v>
      </c>
      <c r="J86" s="49" t="s">
        <v>7320</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8926</v>
      </c>
      <c r="AJ86" s="56">
        <v>1.5</v>
      </c>
      <c r="AK86" s="56" t="s">
        <v>5497</v>
      </c>
      <c r="AL86" s="56" t="s">
        <v>7946</v>
      </c>
      <c r="AM86" s="56">
        <v>3</v>
      </c>
      <c r="AN86" s="56">
        <v>5</v>
      </c>
      <c r="AO86" s="56">
        <v>-2</v>
      </c>
      <c r="AP86" s="56">
        <v>-7</v>
      </c>
      <c r="AQ86" s="56">
        <v>9</v>
      </c>
      <c r="AR86" s="56" t="s">
        <v>7946</v>
      </c>
      <c r="AS86" s="56">
        <v>2</v>
      </c>
      <c r="AT86" s="56">
        <v>10</v>
      </c>
    </row>
    <row r="87" spans="1:46">
      <c r="A87" s="49" t="s">
        <v>8910</v>
      </c>
      <c r="B87" s="49" t="s">
        <v>1204</v>
      </c>
      <c r="C87" s="49" t="s">
        <v>8824</v>
      </c>
      <c r="D87" s="49" t="s">
        <v>8927</v>
      </c>
      <c r="E87" s="49" t="s">
        <v>8258</v>
      </c>
      <c r="F87" s="49" t="s">
        <v>8928</v>
      </c>
      <c r="G87" s="49" t="s">
        <v>8923</v>
      </c>
      <c r="H87" s="49" t="s">
        <v>8271</v>
      </c>
      <c r="I87" s="49" t="s">
        <v>7341</v>
      </c>
      <c r="J87" s="49" t="s">
        <v>7320</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8926</v>
      </c>
      <c r="AJ87" s="56">
        <v>1.5</v>
      </c>
      <c r="AK87" s="56" t="s">
        <v>5497</v>
      </c>
      <c r="AL87" s="56" t="s">
        <v>7946</v>
      </c>
      <c r="AM87" s="56">
        <v>3</v>
      </c>
      <c r="AN87" s="56">
        <v>5</v>
      </c>
      <c r="AO87" s="56">
        <v>-2</v>
      </c>
      <c r="AP87" s="56">
        <v>-7</v>
      </c>
      <c r="AQ87" s="56">
        <v>8</v>
      </c>
      <c r="AR87" s="56" t="s">
        <v>7946</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5474</v>
      </c>
      <c r="B1" s="46" t="s">
        <v>5455</v>
      </c>
      <c r="C1" s="46" t="s">
        <v>8643</v>
      </c>
      <c r="D1" s="46" t="s">
        <v>8916</v>
      </c>
      <c r="E1" s="46" t="s">
        <v>8812</v>
      </c>
      <c r="F1" s="46" t="s">
        <v>8917</v>
      </c>
      <c r="G1" s="46" t="s">
        <v>8918</v>
      </c>
      <c r="H1" s="46" t="s">
        <v>8919</v>
      </c>
      <c r="I1" s="46" t="s">
        <v>7221</v>
      </c>
      <c r="J1" s="46" t="s">
        <v>7222</v>
      </c>
      <c r="K1" s="46" t="s">
        <v>8644</v>
      </c>
      <c r="L1" s="46" t="s">
        <v>8947</v>
      </c>
      <c r="M1" s="46" t="s">
        <v>8948</v>
      </c>
      <c r="N1" s="46" t="s">
        <v>8949</v>
      </c>
      <c r="O1" s="46" t="s">
        <v>8648</v>
      </c>
      <c r="P1" s="46" t="s">
        <v>7350</v>
      </c>
      <c r="Q1" s="46" t="s">
        <v>8250</v>
      </c>
      <c r="R1" s="46" t="s">
        <v>8369</v>
      </c>
      <c r="S1" s="46" t="s">
        <v>8379</v>
      </c>
      <c r="T1" s="46" t="s">
        <v>8315</v>
      </c>
      <c r="U1" s="46" t="s">
        <v>8600</v>
      </c>
      <c r="V1" s="46" t="s">
        <v>8649</v>
      </c>
      <c r="W1" s="46" t="s">
        <v>8650</v>
      </c>
      <c r="X1" s="46" t="s">
        <v>5479</v>
      </c>
      <c r="Y1" s="46" t="s">
        <v>8651</v>
      </c>
      <c r="Z1" s="46" t="s">
        <v>8652</v>
      </c>
      <c r="AA1" s="46" t="s">
        <v>8653</v>
      </c>
      <c r="AB1" s="46" t="s">
        <v>8654</v>
      </c>
      <c r="AC1" s="46" t="s">
        <v>7225</v>
      </c>
      <c r="AD1" s="46" t="s">
        <v>8655</v>
      </c>
      <c r="AE1" s="46" t="s">
        <v>8950</v>
      </c>
      <c r="AF1" s="46" t="s">
        <v>8951</v>
      </c>
      <c r="AG1" s="46" t="s">
        <v>8952</v>
      </c>
      <c r="AH1" s="46" t="s">
        <v>8953</v>
      </c>
      <c r="AI1" s="46" t="s">
        <v>8954</v>
      </c>
      <c r="AJ1" s="46"/>
      <c r="AK1" s="46"/>
      <c r="AL1" s="46"/>
      <c r="AM1" s="46"/>
      <c r="AN1" s="46"/>
      <c r="AO1" s="46"/>
      <c r="AP1" s="47"/>
    </row>
    <row r="2" spans="1:42">
      <c r="A2" t="s">
        <v>8929</v>
      </c>
      <c r="C2" t="s">
        <v>8921</v>
      </c>
      <c r="D2" t="s">
        <v>8916</v>
      </c>
      <c r="K2">
        <f>AH2+AI2</f>
        <v>-0.9</v>
      </c>
      <c r="L2">
        <v>-1</v>
      </c>
      <c r="R2">
        <v>2</v>
      </c>
      <c r="T2">
        <v>-2</v>
      </c>
      <c r="U2">
        <v>-4</v>
      </c>
      <c r="V2">
        <v>-6</v>
      </c>
      <c r="W2">
        <v>-8</v>
      </c>
      <c r="X2">
        <v>-10</v>
      </c>
      <c r="AB2">
        <v>-20</v>
      </c>
      <c r="AH2">
        <v>-0.8</v>
      </c>
      <c r="AI2">
        <v>-0.1</v>
      </c>
      <c r="AJ2" t="s">
        <v>8955</v>
      </c>
      <c r="AL2" t="s">
        <v>5465</v>
      </c>
      <c r="AM2" t="s">
        <v>8956</v>
      </c>
      <c r="AO2" t="s">
        <v>8957</v>
      </c>
    </row>
    <row r="3" spans="1:42">
      <c r="A3" t="s">
        <v>8938</v>
      </c>
      <c r="C3" t="s">
        <v>8921</v>
      </c>
      <c r="D3" t="s">
        <v>8916</v>
      </c>
      <c r="K3">
        <v>-0.9</v>
      </c>
      <c r="L3">
        <v>-1</v>
      </c>
      <c r="R3">
        <v>2</v>
      </c>
      <c r="T3">
        <v>-2</v>
      </c>
      <c r="U3">
        <v>-4</v>
      </c>
      <c r="V3">
        <v>-6</v>
      </c>
      <c r="W3">
        <v>-8</v>
      </c>
      <c r="X3">
        <v>-10</v>
      </c>
      <c r="Y3">
        <v>-1</v>
      </c>
      <c r="AB3">
        <v>-10</v>
      </c>
      <c r="AH3">
        <v>-0.8</v>
      </c>
      <c r="AI3">
        <v>-0.1</v>
      </c>
      <c r="AJ3">
        <v>-4</v>
      </c>
      <c r="AK3" t="s">
        <v>8958</v>
      </c>
      <c r="AL3" t="s">
        <v>7929</v>
      </c>
      <c r="AM3" t="s">
        <v>7929</v>
      </c>
      <c r="AO3">
        <v>-9999</v>
      </c>
      <c r="AP3">
        <v>7</v>
      </c>
    </row>
    <row r="4" spans="1:42">
      <c r="A4" t="s">
        <v>1180</v>
      </c>
      <c r="B4" t="s">
        <v>5455</v>
      </c>
      <c r="K4">
        <v>-0.7</v>
      </c>
      <c r="L4">
        <v>-3</v>
      </c>
      <c r="P4">
        <v>3</v>
      </c>
      <c r="Q4">
        <v>-1</v>
      </c>
      <c r="R4">
        <v>-1</v>
      </c>
      <c r="S4">
        <v>-1</v>
      </c>
      <c r="T4">
        <v>-1</v>
      </c>
      <c r="U4">
        <v>-2</v>
      </c>
      <c r="V4">
        <v>-2</v>
      </c>
      <c r="W4">
        <v>-2</v>
      </c>
      <c r="AA4">
        <v>2</v>
      </c>
      <c r="AB4">
        <v>40</v>
      </c>
      <c r="AD4">
        <v>-3</v>
      </c>
      <c r="AH4">
        <v>-0.5</v>
      </c>
      <c r="AI4">
        <v>-0.2</v>
      </c>
      <c r="AJ4">
        <v>-3</v>
      </c>
      <c r="AK4" t="s">
        <v>8959</v>
      </c>
      <c r="AL4" t="s">
        <v>8960</v>
      </c>
      <c r="AM4" t="s">
        <v>7341</v>
      </c>
      <c r="AO4">
        <v>70</v>
      </c>
      <c r="AP4">
        <v>6</v>
      </c>
    </row>
    <row r="5" spans="1:42">
      <c r="A5" t="s">
        <v>8934</v>
      </c>
      <c r="C5" t="s">
        <v>8824</v>
      </c>
      <c r="D5" t="s">
        <v>8916</v>
      </c>
      <c r="K5">
        <v>-0.7</v>
      </c>
      <c r="L5">
        <v>-2</v>
      </c>
      <c r="M5">
        <v>-2</v>
      </c>
      <c r="N5">
        <v>-2</v>
      </c>
      <c r="P5">
        <v>3</v>
      </c>
      <c r="Q5">
        <v>-2</v>
      </c>
      <c r="R5">
        <v>4</v>
      </c>
      <c r="S5">
        <v>-5</v>
      </c>
      <c r="T5">
        <v>-10</v>
      </c>
      <c r="U5">
        <v>-20</v>
      </c>
      <c r="V5">
        <v>-40</v>
      </c>
      <c r="W5">
        <v>-80</v>
      </c>
      <c r="X5">
        <v>-10</v>
      </c>
      <c r="Y5">
        <v>-1</v>
      </c>
      <c r="AA5">
        <v>-2</v>
      </c>
      <c r="AB5">
        <v>-15</v>
      </c>
      <c r="AD5">
        <v>4</v>
      </c>
      <c r="AH5">
        <v>-0.5</v>
      </c>
      <c r="AI5">
        <v>-0.2</v>
      </c>
      <c r="AJ5">
        <v>-2</v>
      </c>
      <c r="AK5" t="s">
        <v>5486</v>
      </c>
      <c r="AL5" t="s">
        <v>7341</v>
      </c>
      <c r="AM5" t="s">
        <v>7243</v>
      </c>
      <c r="AO5">
        <v>90</v>
      </c>
      <c r="AP5">
        <v>5</v>
      </c>
    </row>
    <row r="6" spans="1:42">
      <c r="A6" t="s">
        <v>8942</v>
      </c>
      <c r="C6" t="s">
        <v>8921</v>
      </c>
      <c r="D6" t="s">
        <v>8916</v>
      </c>
      <c r="K6">
        <v>-0.5</v>
      </c>
      <c r="L6">
        <v>-1</v>
      </c>
      <c r="R6">
        <v>-1</v>
      </c>
      <c r="S6">
        <v>-1</v>
      </c>
      <c r="T6">
        <v>-2</v>
      </c>
      <c r="U6">
        <v>-2</v>
      </c>
      <c r="V6">
        <v>-3</v>
      </c>
      <c r="W6">
        <v>-3</v>
      </c>
      <c r="X6">
        <v>-10</v>
      </c>
      <c r="AA6">
        <v>1</v>
      </c>
      <c r="AB6">
        <v>10</v>
      </c>
      <c r="AD6">
        <v>-0.5</v>
      </c>
      <c r="AH6">
        <v>-0.5</v>
      </c>
      <c r="AJ6">
        <v>-1</v>
      </c>
      <c r="AK6" t="s">
        <v>5496</v>
      </c>
      <c r="AL6" t="s">
        <v>7243</v>
      </c>
      <c r="AM6" t="s">
        <v>7229</v>
      </c>
      <c r="AO6">
        <v>110</v>
      </c>
      <c r="AP6">
        <v>4</v>
      </c>
    </row>
    <row r="7" spans="1:42">
      <c r="A7" t="s">
        <v>8961</v>
      </c>
      <c r="C7" t="s">
        <v>8824</v>
      </c>
      <c r="D7" t="s">
        <v>8916</v>
      </c>
      <c r="K7">
        <v>-0.5</v>
      </c>
      <c r="L7">
        <v>-1</v>
      </c>
      <c r="R7">
        <v>-1</v>
      </c>
      <c r="S7">
        <v>-1</v>
      </c>
      <c r="T7">
        <v>-2</v>
      </c>
      <c r="U7">
        <v>-2</v>
      </c>
      <c r="V7">
        <v>-3</v>
      </c>
      <c r="W7">
        <v>-3</v>
      </c>
      <c r="X7">
        <v>-10</v>
      </c>
      <c r="AA7">
        <v>1</v>
      </c>
      <c r="AB7">
        <v>10</v>
      </c>
      <c r="AD7">
        <v>-0.5</v>
      </c>
      <c r="AH7">
        <v>-0.5</v>
      </c>
      <c r="AJ7">
        <v>0</v>
      </c>
      <c r="AK7" t="s">
        <v>5497</v>
      </c>
      <c r="AL7" t="s">
        <v>7229</v>
      </c>
      <c r="AM7" t="s">
        <v>7241</v>
      </c>
      <c r="AO7">
        <v>130</v>
      </c>
      <c r="AP7">
        <v>3</v>
      </c>
    </row>
    <row r="8" spans="1:42">
      <c r="A8" t="s">
        <v>8847</v>
      </c>
      <c r="E8" t="s">
        <v>8962</v>
      </c>
      <c r="K8">
        <v>0.1</v>
      </c>
      <c r="P8">
        <v>6</v>
      </c>
      <c r="Q8">
        <v>-6</v>
      </c>
      <c r="Y8">
        <v>8</v>
      </c>
      <c r="Z8">
        <v>6</v>
      </c>
      <c r="AB8">
        <v>-30</v>
      </c>
      <c r="AH8">
        <v>0.1</v>
      </c>
      <c r="AJ8">
        <v>1</v>
      </c>
      <c r="AK8" t="s">
        <v>5498</v>
      </c>
      <c r="AL8" t="s">
        <v>7241</v>
      </c>
      <c r="AM8" t="s">
        <v>7246</v>
      </c>
      <c r="AO8">
        <v>150</v>
      </c>
      <c r="AP8">
        <v>2</v>
      </c>
    </row>
    <row r="9" spans="1:42">
      <c r="A9" t="s">
        <v>8262</v>
      </c>
      <c r="E9" t="s">
        <v>8962</v>
      </c>
      <c r="K9">
        <v>0.1</v>
      </c>
      <c r="Y9">
        <v>11</v>
      </c>
      <c r="Z9">
        <v>6</v>
      </c>
      <c r="AB9">
        <v>-5</v>
      </c>
      <c r="AH9">
        <v>0.1</v>
      </c>
      <c r="AJ9">
        <v>2</v>
      </c>
      <c r="AK9" t="s">
        <v>5499</v>
      </c>
      <c r="AL9" t="s">
        <v>7246</v>
      </c>
      <c r="AO9">
        <v>170</v>
      </c>
      <c r="AP9">
        <v>1</v>
      </c>
    </row>
    <row r="10" spans="1:42">
      <c r="A10" t="s">
        <v>8829</v>
      </c>
      <c r="E10" t="s">
        <v>8962</v>
      </c>
      <c r="K10">
        <v>0.1</v>
      </c>
      <c r="P10">
        <v>6</v>
      </c>
      <c r="Q10">
        <v>-6</v>
      </c>
      <c r="Y10">
        <v>9</v>
      </c>
      <c r="Z10">
        <v>6</v>
      </c>
      <c r="AB10">
        <v>-20</v>
      </c>
      <c r="AH10">
        <v>0.1</v>
      </c>
      <c r="AJ10">
        <v>3</v>
      </c>
      <c r="AK10" t="s">
        <v>7385</v>
      </c>
    </row>
    <row r="11" spans="1:42">
      <c r="A11" t="s">
        <v>8932</v>
      </c>
      <c r="C11" t="s">
        <v>8824</v>
      </c>
      <c r="G11" t="s">
        <v>8918</v>
      </c>
      <c r="K11">
        <v>0.15</v>
      </c>
      <c r="R11">
        <v>2</v>
      </c>
      <c r="S11">
        <v>3</v>
      </c>
      <c r="T11">
        <v>3</v>
      </c>
      <c r="U11">
        <v>2</v>
      </c>
      <c r="V11">
        <v>1</v>
      </c>
      <c r="W11">
        <v>1</v>
      </c>
      <c r="X11">
        <v>30</v>
      </c>
      <c r="AB11">
        <v>-10</v>
      </c>
      <c r="AD11">
        <v>1.5</v>
      </c>
      <c r="AH11">
        <v>0.15</v>
      </c>
      <c r="AJ11">
        <v>4</v>
      </c>
      <c r="AK11" t="s">
        <v>5500</v>
      </c>
    </row>
    <row r="12" spans="1:42">
      <c r="A12" t="s">
        <v>8944</v>
      </c>
      <c r="C12" t="s">
        <v>8824</v>
      </c>
      <c r="D12" t="s">
        <v>8916</v>
      </c>
      <c r="K12">
        <v>0.3</v>
      </c>
      <c r="L12">
        <v>2</v>
      </c>
      <c r="M12">
        <v>1</v>
      </c>
      <c r="N12">
        <v>1</v>
      </c>
      <c r="O12">
        <v>3</v>
      </c>
      <c r="P12">
        <v>-3</v>
      </c>
      <c r="Q12">
        <v>3</v>
      </c>
      <c r="S12">
        <v>-5</v>
      </c>
      <c r="T12">
        <v>-10</v>
      </c>
      <c r="U12">
        <v>-15</v>
      </c>
      <c r="V12">
        <v>-20</v>
      </c>
      <c r="W12">
        <v>-25</v>
      </c>
      <c r="X12">
        <v>-10</v>
      </c>
      <c r="Y12">
        <v>2</v>
      </c>
      <c r="AB12">
        <v>-10</v>
      </c>
      <c r="AD12">
        <v>1</v>
      </c>
      <c r="AH12">
        <v>0.3</v>
      </c>
      <c r="AJ12">
        <v>5</v>
      </c>
      <c r="AK12" t="s">
        <v>5501</v>
      </c>
    </row>
    <row r="13" spans="1:42">
      <c r="A13" t="s">
        <v>8925</v>
      </c>
      <c r="C13" t="s">
        <v>8824</v>
      </c>
      <c r="D13" t="s">
        <v>8916</v>
      </c>
      <c r="K13">
        <v>0.3</v>
      </c>
      <c r="N13">
        <v>1</v>
      </c>
      <c r="O13">
        <v>1</v>
      </c>
      <c r="R13">
        <v>-1</v>
      </c>
      <c r="S13">
        <v>2</v>
      </c>
      <c r="T13">
        <v>1</v>
      </c>
      <c r="U13">
        <v>1</v>
      </c>
      <c r="V13">
        <v>1</v>
      </c>
      <c r="W13">
        <v>1</v>
      </c>
      <c r="X13">
        <v>10</v>
      </c>
      <c r="AB13">
        <v>-15</v>
      </c>
      <c r="AD13">
        <v>0.5</v>
      </c>
      <c r="AH13">
        <v>0.3</v>
      </c>
    </row>
    <row r="14" spans="1:42">
      <c r="A14" t="s">
        <v>8932</v>
      </c>
      <c r="C14" t="s">
        <v>8921</v>
      </c>
      <c r="G14" t="s">
        <v>8918</v>
      </c>
      <c r="K14">
        <v>0.3</v>
      </c>
      <c r="R14">
        <v>1</v>
      </c>
      <c r="S14">
        <v>3</v>
      </c>
      <c r="T14">
        <v>4</v>
      </c>
      <c r="U14">
        <v>4</v>
      </c>
      <c r="V14">
        <v>5</v>
      </c>
      <c r="W14">
        <v>5</v>
      </c>
      <c r="X14">
        <v>60</v>
      </c>
      <c r="AB14">
        <v>-10</v>
      </c>
      <c r="AD14">
        <v>2</v>
      </c>
      <c r="AH14">
        <v>0.3</v>
      </c>
    </row>
    <row r="15" spans="1:42">
      <c r="A15" t="s">
        <v>8933</v>
      </c>
      <c r="C15" t="s">
        <v>8824</v>
      </c>
      <c r="D15" t="s">
        <v>8916</v>
      </c>
      <c r="K15">
        <v>0.5</v>
      </c>
      <c r="L15">
        <v>2</v>
      </c>
      <c r="M15">
        <v>1</v>
      </c>
      <c r="N15">
        <v>1</v>
      </c>
      <c r="O15">
        <v>1</v>
      </c>
      <c r="P15">
        <v>1</v>
      </c>
      <c r="Q15">
        <v>1</v>
      </c>
      <c r="R15">
        <v>-2</v>
      </c>
      <c r="S15">
        <v>-1</v>
      </c>
      <c r="X15">
        <v>20</v>
      </c>
      <c r="Y15">
        <v>2</v>
      </c>
      <c r="AB15">
        <v>-10</v>
      </c>
      <c r="AD15">
        <v>0.5</v>
      </c>
      <c r="AH15">
        <v>0.5</v>
      </c>
    </row>
    <row r="16" spans="1:42">
      <c r="A16" t="s">
        <v>8945</v>
      </c>
      <c r="C16" t="s">
        <v>8824</v>
      </c>
      <c r="D16" t="s">
        <v>8916</v>
      </c>
      <c r="K16">
        <v>0.6</v>
      </c>
      <c r="L16">
        <v>1</v>
      </c>
      <c r="N16">
        <v>-1</v>
      </c>
      <c r="Q16">
        <v>-1</v>
      </c>
      <c r="R16">
        <v>-1</v>
      </c>
      <c r="S16">
        <v>-1</v>
      </c>
      <c r="T16">
        <v>-1</v>
      </c>
      <c r="U16">
        <v>-1</v>
      </c>
      <c r="V16">
        <v>-1</v>
      </c>
      <c r="W16">
        <v>-1</v>
      </c>
      <c r="Y16">
        <v>3</v>
      </c>
      <c r="AB16">
        <v>-30</v>
      </c>
      <c r="AD16">
        <v>1</v>
      </c>
      <c r="AH16">
        <v>0.6</v>
      </c>
    </row>
    <row r="17" spans="1:35">
      <c r="A17" t="s">
        <v>8937</v>
      </c>
      <c r="C17" t="s">
        <v>8921</v>
      </c>
      <c r="D17" t="s">
        <v>8916</v>
      </c>
      <c r="K17">
        <v>0.7</v>
      </c>
      <c r="O17">
        <v>2</v>
      </c>
      <c r="R17">
        <v>-2</v>
      </c>
      <c r="T17">
        <v>2</v>
      </c>
      <c r="U17">
        <v>3</v>
      </c>
      <c r="V17">
        <v>4</v>
      </c>
      <c r="W17">
        <v>5</v>
      </c>
      <c r="X17">
        <v>30</v>
      </c>
      <c r="Y17">
        <v>1</v>
      </c>
      <c r="AB17">
        <v>-30</v>
      </c>
      <c r="AD17">
        <v>3</v>
      </c>
      <c r="AH17">
        <v>0.7</v>
      </c>
    </row>
    <row r="18" spans="1:35">
      <c r="A18" t="s">
        <v>1204</v>
      </c>
      <c r="B18" t="s">
        <v>5455</v>
      </c>
      <c r="K18">
        <v>1</v>
      </c>
      <c r="L18">
        <v>1</v>
      </c>
      <c r="M18">
        <v>1</v>
      </c>
      <c r="N18">
        <v>1</v>
      </c>
      <c r="P18">
        <v>2</v>
      </c>
      <c r="R18">
        <v>1</v>
      </c>
      <c r="S18">
        <v>1</v>
      </c>
      <c r="T18">
        <v>1</v>
      </c>
      <c r="U18">
        <v>1</v>
      </c>
      <c r="V18">
        <v>1</v>
      </c>
      <c r="W18">
        <v>1</v>
      </c>
      <c r="AA18">
        <v>-4</v>
      </c>
      <c r="AB18">
        <v>20</v>
      </c>
      <c r="AD18">
        <v>3</v>
      </c>
      <c r="AH18">
        <v>1</v>
      </c>
    </row>
    <row r="19" spans="1:35">
      <c r="A19" t="s">
        <v>1174</v>
      </c>
      <c r="B19" t="s">
        <v>5455</v>
      </c>
      <c r="K19">
        <v>1</v>
      </c>
      <c r="L19">
        <v>1</v>
      </c>
      <c r="M19">
        <v>2</v>
      </c>
      <c r="N19">
        <v>1</v>
      </c>
      <c r="Q19">
        <v>1</v>
      </c>
      <c r="R19">
        <v>2</v>
      </c>
      <c r="S19">
        <v>1</v>
      </c>
      <c r="V19">
        <v>-1</v>
      </c>
      <c r="W19">
        <v>-2</v>
      </c>
      <c r="AA19">
        <v>-1</v>
      </c>
      <c r="AD19">
        <v>2</v>
      </c>
      <c r="AH19">
        <v>1</v>
      </c>
    </row>
    <row r="20" spans="1:35">
      <c r="A20" t="s">
        <v>8940</v>
      </c>
      <c r="C20" t="s">
        <v>8921</v>
      </c>
      <c r="D20" t="s">
        <v>8916</v>
      </c>
      <c r="K20">
        <v>1</v>
      </c>
      <c r="L20">
        <v>2</v>
      </c>
      <c r="M20">
        <v>1</v>
      </c>
      <c r="N20">
        <v>1</v>
      </c>
      <c r="O20">
        <v>3</v>
      </c>
      <c r="P20">
        <v>-3</v>
      </c>
      <c r="Q20">
        <v>3</v>
      </c>
      <c r="S20">
        <v>-5</v>
      </c>
      <c r="T20">
        <v>-10</v>
      </c>
      <c r="U20">
        <v>-15</v>
      </c>
      <c r="V20">
        <v>-20</v>
      </c>
      <c r="W20">
        <v>-25</v>
      </c>
      <c r="X20">
        <v>-20</v>
      </c>
      <c r="Y20">
        <v>2</v>
      </c>
      <c r="AB20">
        <v>-15</v>
      </c>
      <c r="AD20">
        <v>1</v>
      </c>
      <c r="AH20">
        <v>1</v>
      </c>
    </row>
    <row r="21" spans="1:35">
      <c r="A21" t="s">
        <v>8924</v>
      </c>
      <c r="C21" t="s">
        <v>8921</v>
      </c>
      <c r="D21" t="s">
        <v>8916</v>
      </c>
      <c r="K21">
        <v>1</v>
      </c>
      <c r="L21">
        <v>2</v>
      </c>
      <c r="M21">
        <v>1</v>
      </c>
      <c r="N21">
        <v>1</v>
      </c>
      <c r="O21">
        <v>1</v>
      </c>
      <c r="P21">
        <v>1</v>
      </c>
      <c r="Q21">
        <v>1</v>
      </c>
      <c r="R21">
        <v>-2</v>
      </c>
      <c r="S21">
        <v>-1</v>
      </c>
      <c r="X21">
        <v>20</v>
      </c>
      <c r="Y21">
        <v>2</v>
      </c>
      <c r="AB21">
        <v>-10</v>
      </c>
      <c r="AD21">
        <v>1</v>
      </c>
      <c r="AH21">
        <v>1</v>
      </c>
    </row>
    <row r="22" spans="1:35">
      <c r="A22" t="s">
        <v>8941</v>
      </c>
      <c r="C22" t="s">
        <v>8921</v>
      </c>
      <c r="D22" t="s">
        <v>8916</v>
      </c>
      <c r="K22">
        <v>1.5</v>
      </c>
      <c r="L22">
        <v>1</v>
      </c>
      <c r="N22">
        <v>-1</v>
      </c>
      <c r="Q22">
        <v>-1</v>
      </c>
      <c r="R22">
        <v>-1</v>
      </c>
      <c r="S22">
        <v>-1</v>
      </c>
      <c r="T22">
        <v>-1</v>
      </c>
      <c r="U22">
        <v>-1</v>
      </c>
      <c r="V22">
        <v>-1</v>
      </c>
      <c r="W22">
        <v>-1</v>
      </c>
      <c r="Y22">
        <v>4</v>
      </c>
      <c r="AB22">
        <v>-30</v>
      </c>
      <c r="AD22">
        <v>2</v>
      </c>
      <c r="AH22">
        <v>1.5</v>
      </c>
    </row>
    <row r="23" spans="1:35">
      <c r="A23" t="s">
        <v>8824</v>
      </c>
      <c r="C23" t="s">
        <v>8963</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5455</v>
      </c>
      <c r="K24">
        <v>2</v>
      </c>
      <c r="L24">
        <v>3</v>
      </c>
      <c r="M24">
        <v>2</v>
      </c>
      <c r="N24">
        <v>2</v>
      </c>
      <c r="O24">
        <v>1</v>
      </c>
      <c r="P24">
        <v>-1</v>
      </c>
      <c r="Q24">
        <v>2</v>
      </c>
      <c r="S24">
        <v>-1</v>
      </c>
      <c r="T24">
        <v>-2</v>
      </c>
      <c r="U24">
        <v>-3</v>
      </c>
      <c r="V24">
        <v>-4</v>
      </c>
      <c r="W24">
        <v>-5</v>
      </c>
      <c r="X24">
        <v>-10</v>
      </c>
      <c r="AA24">
        <v>1</v>
      </c>
      <c r="AH24">
        <v>1</v>
      </c>
      <c r="AI24">
        <v>1</v>
      </c>
    </row>
    <row r="25" spans="1:35">
      <c r="A25" t="s">
        <v>8946</v>
      </c>
      <c r="C25" t="s">
        <v>8824</v>
      </c>
      <c r="D25" t="s">
        <v>8916</v>
      </c>
      <c r="K25">
        <v>2.1</v>
      </c>
      <c r="L25">
        <v>2</v>
      </c>
      <c r="M25">
        <v>-1</v>
      </c>
      <c r="N25">
        <v>-1</v>
      </c>
      <c r="Q25">
        <v>-1</v>
      </c>
      <c r="R25">
        <v>-2</v>
      </c>
      <c r="S25">
        <v>-2</v>
      </c>
      <c r="T25">
        <v>-2</v>
      </c>
      <c r="U25">
        <v>-2</v>
      </c>
      <c r="V25">
        <v>-2</v>
      </c>
      <c r="W25">
        <v>-2</v>
      </c>
      <c r="Y25">
        <v>5</v>
      </c>
      <c r="AB25">
        <v>-40</v>
      </c>
      <c r="AD25">
        <v>6</v>
      </c>
      <c r="AH25">
        <v>2.1</v>
      </c>
    </row>
    <row r="26" spans="1:35">
      <c r="A26" t="s">
        <v>8819</v>
      </c>
      <c r="C26" t="s">
        <v>8921</v>
      </c>
      <c r="D26" t="s">
        <v>8916</v>
      </c>
      <c r="K26">
        <v>3</v>
      </c>
      <c r="L26">
        <v>4</v>
      </c>
      <c r="M26">
        <v>2</v>
      </c>
      <c r="N26">
        <v>1</v>
      </c>
      <c r="O26">
        <v>1</v>
      </c>
      <c r="P26">
        <v>3</v>
      </c>
      <c r="Q26">
        <v>2</v>
      </c>
      <c r="R26">
        <v>-4</v>
      </c>
      <c r="S26">
        <v>-2</v>
      </c>
      <c r="X26">
        <v>20</v>
      </c>
      <c r="Y26">
        <v>8</v>
      </c>
      <c r="AB26">
        <v>-25</v>
      </c>
      <c r="AD26">
        <v>3</v>
      </c>
      <c r="AH26">
        <v>3</v>
      </c>
    </row>
    <row r="27" spans="1:35">
      <c r="A27" t="s">
        <v>8921</v>
      </c>
      <c r="C27" t="s">
        <v>8963</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8964</v>
      </c>
      <c r="C28" t="s">
        <v>8921</v>
      </c>
      <c r="D28" t="s">
        <v>8916</v>
      </c>
      <c r="K28">
        <v>4.5</v>
      </c>
      <c r="L28">
        <v>3</v>
      </c>
      <c r="M28">
        <v>-1</v>
      </c>
      <c r="N28">
        <v>-1</v>
      </c>
      <c r="Q28">
        <v>-1</v>
      </c>
      <c r="R28">
        <v>-2</v>
      </c>
      <c r="S28">
        <v>-2</v>
      </c>
      <c r="T28">
        <v>-2</v>
      </c>
      <c r="U28">
        <v>-2</v>
      </c>
      <c r="V28">
        <v>-2</v>
      </c>
      <c r="W28">
        <v>-2</v>
      </c>
      <c r="Y28">
        <v>6</v>
      </c>
      <c r="AB28">
        <v>-40</v>
      </c>
      <c r="AD28">
        <v>8</v>
      </c>
      <c r="AH28">
        <v>4.5</v>
      </c>
    </row>
    <row r="29" spans="1:35">
      <c r="A29" t="s">
        <v>8943</v>
      </c>
      <c r="C29" t="s">
        <v>8921</v>
      </c>
      <c r="D29" t="s">
        <v>8916</v>
      </c>
      <c r="K29">
        <v>8</v>
      </c>
      <c r="L29">
        <v>8</v>
      </c>
      <c r="M29">
        <v>2</v>
      </c>
      <c r="N29">
        <v>2</v>
      </c>
      <c r="O29">
        <v>2</v>
      </c>
      <c r="P29">
        <v>4</v>
      </c>
      <c r="Q29">
        <v>4</v>
      </c>
      <c r="R29">
        <v>-6</v>
      </c>
      <c r="S29">
        <v>-3</v>
      </c>
      <c r="T29">
        <v>-1</v>
      </c>
      <c r="X29">
        <v>50</v>
      </c>
      <c r="Y29">
        <v>12</v>
      </c>
      <c r="AB29">
        <v>-25</v>
      </c>
      <c r="AD29">
        <v>6</v>
      </c>
      <c r="AH29">
        <v>8</v>
      </c>
    </row>
    <row r="30" spans="1:35">
      <c r="A30" t="s">
        <v>8820</v>
      </c>
      <c r="B30" t="s">
        <v>5455</v>
      </c>
      <c r="R30">
        <v>1</v>
      </c>
      <c r="T30">
        <v>-1</v>
      </c>
      <c r="U30">
        <v>-1</v>
      </c>
      <c r="V30">
        <v>-2</v>
      </c>
      <c r="W30">
        <v>-2</v>
      </c>
      <c r="AA30">
        <v>1</v>
      </c>
      <c r="AB30">
        <v>10</v>
      </c>
    </row>
    <row r="31" spans="1:35">
      <c r="A31" t="s">
        <v>1176</v>
      </c>
      <c r="B31" t="s">
        <v>5455</v>
      </c>
      <c r="R31">
        <v>3</v>
      </c>
      <c r="S31">
        <v>3</v>
      </c>
      <c r="T31">
        <v>3</v>
      </c>
      <c r="U31">
        <v>3</v>
      </c>
      <c r="V31">
        <v>3</v>
      </c>
      <c r="W31">
        <v>3</v>
      </c>
      <c r="X31">
        <v>20</v>
      </c>
      <c r="AA31">
        <v>-1</v>
      </c>
      <c r="AB31">
        <v>20</v>
      </c>
      <c r="AD31">
        <v>2</v>
      </c>
    </row>
    <row r="32" spans="1:35">
      <c r="A32" t="s">
        <v>7929</v>
      </c>
      <c r="I32" t="s">
        <v>7221</v>
      </c>
      <c r="R32">
        <v>-5</v>
      </c>
      <c r="S32">
        <v>-5</v>
      </c>
      <c r="T32">
        <v>-5</v>
      </c>
      <c r="U32">
        <v>-5</v>
      </c>
      <c r="V32">
        <v>-5</v>
      </c>
      <c r="W32">
        <v>-5</v>
      </c>
      <c r="AA32">
        <v>5</v>
      </c>
      <c r="AB32">
        <v>0</v>
      </c>
      <c r="AE32">
        <v>1</v>
      </c>
    </row>
    <row r="33" spans="1:33">
      <c r="A33" t="s">
        <v>7246</v>
      </c>
      <c r="I33" t="s">
        <v>7221</v>
      </c>
      <c r="R33">
        <v>3</v>
      </c>
      <c r="S33">
        <v>3</v>
      </c>
      <c r="T33">
        <v>3</v>
      </c>
      <c r="U33">
        <v>3</v>
      </c>
      <c r="V33">
        <v>3</v>
      </c>
      <c r="W33">
        <v>3</v>
      </c>
      <c r="AA33">
        <v>-3</v>
      </c>
      <c r="AB33">
        <v>3</v>
      </c>
      <c r="AE33">
        <v>142</v>
      </c>
    </row>
    <row r="34" spans="1:33">
      <c r="A34" t="s">
        <v>7243</v>
      </c>
      <c r="I34" t="s">
        <v>7221</v>
      </c>
      <c r="AB34">
        <v>0</v>
      </c>
      <c r="AE34">
        <v>6</v>
      </c>
    </row>
    <row r="35" spans="1:33">
      <c r="A35" t="s">
        <v>8960</v>
      </c>
      <c r="I35" t="s">
        <v>7221</v>
      </c>
      <c r="R35">
        <v>-2</v>
      </c>
      <c r="S35">
        <v>-2</v>
      </c>
      <c r="T35">
        <v>-2</v>
      </c>
      <c r="U35">
        <v>-2</v>
      </c>
      <c r="V35">
        <v>-2</v>
      </c>
      <c r="W35">
        <v>-2</v>
      </c>
      <c r="AA35">
        <v>3</v>
      </c>
      <c r="AB35">
        <v>-1</v>
      </c>
      <c r="AD35">
        <v>-3.6</v>
      </c>
      <c r="AE35">
        <v>3</v>
      </c>
      <c r="AF35">
        <v>-75</v>
      </c>
      <c r="AG35">
        <v>-0.5</v>
      </c>
    </row>
    <row r="36" spans="1:33">
      <c r="A36" t="s">
        <v>7241</v>
      </c>
      <c r="I36" t="s">
        <v>7221</v>
      </c>
      <c r="R36">
        <v>2</v>
      </c>
      <c r="S36">
        <v>2</v>
      </c>
      <c r="T36">
        <v>2</v>
      </c>
      <c r="U36">
        <v>2</v>
      </c>
      <c r="V36">
        <v>2</v>
      </c>
      <c r="W36">
        <v>2</v>
      </c>
      <c r="AA36">
        <v>-2</v>
      </c>
      <c r="AB36">
        <v>2</v>
      </c>
      <c r="AE36">
        <v>71</v>
      </c>
    </row>
    <row r="37" spans="1:33">
      <c r="A37" t="s">
        <v>7341</v>
      </c>
      <c r="I37" t="s">
        <v>7221</v>
      </c>
      <c r="R37">
        <v>-1</v>
      </c>
      <c r="S37">
        <v>-1</v>
      </c>
      <c r="T37">
        <v>-1</v>
      </c>
      <c r="U37">
        <v>-1</v>
      </c>
      <c r="V37">
        <v>-1</v>
      </c>
      <c r="W37">
        <v>-1</v>
      </c>
      <c r="AA37">
        <v>2</v>
      </c>
      <c r="AB37">
        <v>0</v>
      </c>
      <c r="AD37">
        <v>-3</v>
      </c>
      <c r="AE37">
        <v>4</v>
      </c>
      <c r="AF37">
        <v>-30</v>
      </c>
      <c r="AG37">
        <v>-0.3</v>
      </c>
    </row>
    <row r="38" spans="1:33">
      <c r="A38" t="s">
        <v>7229</v>
      </c>
      <c r="I38" t="s">
        <v>7221</v>
      </c>
      <c r="R38">
        <v>1</v>
      </c>
      <c r="S38">
        <v>1</v>
      </c>
      <c r="T38">
        <v>1</v>
      </c>
      <c r="U38">
        <v>1</v>
      </c>
      <c r="V38">
        <v>1</v>
      </c>
      <c r="W38">
        <v>1</v>
      </c>
      <c r="AA38">
        <v>-1</v>
      </c>
      <c r="AB38">
        <v>1</v>
      </c>
      <c r="AE38">
        <v>65</v>
      </c>
    </row>
    <row r="39" spans="1:33">
      <c r="A39" t="s">
        <v>8258</v>
      </c>
      <c r="E39" t="s">
        <v>8962</v>
      </c>
      <c r="Y39">
        <v>30</v>
      </c>
      <c r="Z39">
        <v>3</v>
      </c>
    </row>
    <row r="40" spans="1:33">
      <c r="A40" t="s">
        <v>8266</v>
      </c>
      <c r="C40" t="s">
        <v>8921</v>
      </c>
      <c r="D40" t="s">
        <v>8916</v>
      </c>
      <c r="AB40">
        <v>-50</v>
      </c>
    </row>
    <row r="41" spans="1:33">
      <c r="A41" t="s">
        <v>8935</v>
      </c>
      <c r="C41" t="s">
        <v>8921</v>
      </c>
      <c r="D41" t="s">
        <v>8916</v>
      </c>
      <c r="O41">
        <v>1</v>
      </c>
      <c r="R41">
        <v>-1</v>
      </c>
      <c r="T41">
        <v>1</v>
      </c>
      <c r="U41">
        <v>2</v>
      </c>
      <c r="V41">
        <v>3</v>
      </c>
      <c r="W41">
        <v>4</v>
      </c>
      <c r="X41">
        <v>10</v>
      </c>
      <c r="AB41">
        <v>-15</v>
      </c>
      <c r="AD41">
        <v>2</v>
      </c>
    </row>
    <row r="42" spans="1:33">
      <c r="A42" t="s">
        <v>8912</v>
      </c>
      <c r="C42" t="s">
        <v>8921</v>
      </c>
      <c r="D42" t="s">
        <v>8916</v>
      </c>
    </row>
    <row r="43" spans="1:33">
      <c r="A43" t="s">
        <v>8927</v>
      </c>
      <c r="C43" t="s">
        <v>8824</v>
      </c>
      <c r="D43" t="s">
        <v>8916</v>
      </c>
    </row>
    <row r="44" spans="1:33">
      <c r="A44" t="s">
        <v>8965</v>
      </c>
      <c r="J44" t="s">
        <v>7222</v>
      </c>
      <c r="L44">
        <v>-1</v>
      </c>
      <c r="T44">
        <v>1</v>
      </c>
      <c r="U44">
        <v>1</v>
      </c>
      <c r="V44">
        <v>1</v>
      </c>
      <c r="W44">
        <v>1</v>
      </c>
      <c r="AB44">
        <v>1</v>
      </c>
      <c r="AD44">
        <v>2</v>
      </c>
    </row>
    <row r="45" spans="1:33">
      <c r="A45" t="s">
        <v>8966</v>
      </c>
      <c r="J45" t="s">
        <v>7222</v>
      </c>
      <c r="L45">
        <v>-2</v>
      </c>
      <c r="S45">
        <v>1</v>
      </c>
      <c r="T45">
        <v>2</v>
      </c>
      <c r="U45">
        <v>2</v>
      </c>
      <c r="V45">
        <v>2</v>
      </c>
      <c r="W45">
        <v>2</v>
      </c>
      <c r="AB45">
        <v>1</v>
      </c>
      <c r="AD45">
        <v>4</v>
      </c>
    </row>
    <row r="46" spans="1:33">
      <c r="A46" t="s">
        <v>7320</v>
      </c>
      <c r="J46" t="s">
        <v>7222</v>
      </c>
      <c r="AB46">
        <v>0</v>
      </c>
    </row>
    <row r="47" spans="1:33">
      <c r="A47" t="s">
        <v>8923</v>
      </c>
      <c r="C47" t="s">
        <v>8921</v>
      </c>
      <c r="G47" t="s">
        <v>8918</v>
      </c>
    </row>
    <row r="48" spans="1:33">
      <c r="A48" t="s">
        <v>8923</v>
      </c>
      <c r="C48" t="s">
        <v>8824</v>
      </c>
      <c r="G48" t="s">
        <v>8918</v>
      </c>
    </row>
    <row r="49" spans="1:30">
      <c r="A49" t="s">
        <v>8922</v>
      </c>
      <c r="F49" t="s">
        <v>8917</v>
      </c>
      <c r="R49">
        <v>-1</v>
      </c>
      <c r="S49">
        <v>-1</v>
      </c>
      <c r="T49">
        <v>-1</v>
      </c>
      <c r="U49">
        <v>-1</v>
      </c>
      <c r="V49">
        <v>-1</v>
      </c>
      <c r="W49">
        <v>-1</v>
      </c>
      <c r="Y49">
        <v>1</v>
      </c>
      <c r="AA49">
        <v>1</v>
      </c>
      <c r="AD49">
        <v>-1</v>
      </c>
    </row>
    <row r="50" spans="1:30">
      <c r="A50" t="s">
        <v>8930</v>
      </c>
      <c r="F50" t="s">
        <v>8917</v>
      </c>
      <c r="R50">
        <v>2</v>
      </c>
      <c r="S50">
        <v>2</v>
      </c>
      <c r="T50">
        <v>2</v>
      </c>
      <c r="U50">
        <v>2</v>
      </c>
      <c r="V50">
        <v>2</v>
      </c>
      <c r="W50">
        <v>2</v>
      </c>
      <c r="AA50">
        <v>-2</v>
      </c>
      <c r="AB50">
        <v>-15</v>
      </c>
      <c r="AD50">
        <v>2</v>
      </c>
    </row>
    <row r="51" spans="1:30">
      <c r="A51" t="s">
        <v>8936</v>
      </c>
      <c r="F51" t="s">
        <v>8917</v>
      </c>
      <c r="R51">
        <v>1</v>
      </c>
      <c r="S51">
        <v>1</v>
      </c>
      <c r="T51">
        <v>1</v>
      </c>
      <c r="U51">
        <v>1</v>
      </c>
      <c r="V51">
        <v>1</v>
      </c>
      <c r="W51">
        <v>1</v>
      </c>
      <c r="Y51">
        <v>-1</v>
      </c>
      <c r="AA51">
        <v>-1</v>
      </c>
      <c r="AB51">
        <v>-10</v>
      </c>
      <c r="AD51">
        <v>1</v>
      </c>
    </row>
    <row r="52" spans="1:30">
      <c r="A52" t="s">
        <v>8939</v>
      </c>
      <c r="F52" t="s">
        <v>8917</v>
      </c>
      <c r="R52">
        <v>2</v>
      </c>
      <c r="S52">
        <v>2</v>
      </c>
      <c r="T52">
        <v>2</v>
      </c>
      <c r="U52">
        <v>2</v>
      </c>
      <c r="V52">
        <v>2</v>
      </c>
      <c r="W52">
        <v>2</v>
      </c>
      <c r="Y52">
        <v>3</v>
      </c>
      <c r="AB52">
        <v>-30</v>
      </c>
      <c r="AD52">
        <v>10</v>
      </c>
    </row>
    <row r="53" spans="1:30">
      <c r="A53" t="s">
        <v>8931</v>
      </c>
      <c r="F53" t="s">
        <v>8917</v>
      </c>
      <c r="R53">
        <v>2</v>
      </c>
      <c r="S53">
        <v>2</v>
      </c>
      <c r="T53">
        <v>2</v>
      </c>
      <c r="U53">
        <v>2</v>
      </c>
      <c r="V53">
        <v>2</v>
      </c>
      <c r="W53">
        <v>2</v>
      </c>
      <c r="AA53">
        <v>-3</v>
      </c>
      <c r="AB53">
        <v>-20</v>
      </c>
      <c r="AD53">
        <v>3</v>
      </c>
    </row>
    <row r="54" spans="1:30">
      <c r="A54" t="s">
        <v>8928</v>
      </c>
      <c r="F54" t="s">
        <v>8917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8967</v>
      </c>
      <c r="C1" t="s">
        <v>8968</v>
      </c>
      <c r="D1" t="s">
        <v>5479</v>
      </c>
      <c r="E1" t="s">
        <v>5477</v>
      </c>
      <c r="F1" t="s">
        <v>8969</v>
      </c>
      <c r="G1" t="s">
        <v>8970</v>
      </c>
      <c r="H1" t="s">
        <v>8971</v>
      </c>
      <c r="I1" t="s">
        <v>8972</v>
      </c>
      <c r="J1" t="s">
        <v>8973</v>
      </c>
      <c r="K1" t="s">
        <v>6937</v>
      </c>
      <c r="L1" t="s">
        <v>8974</v>
      </c>
      <c r="M1" t="s">
        <v>8975</v>
      </c>
      <c r="N1" t="s">
        <v>8976</v>
      </c>
      <c r="O1" t="s">
        <v>386</v>
      </c>
    </row>
    <row r="2" spans="1:15">
      <c r="A2" t="s">
        <v>3867</v>
      </c>
      <c r="B2" t="s">
        <v>8977</v>
      </c>
      <c r="C2" t="s">
        <v>8978</v>
      </c>
      <c r="D2" t="s">
        <v>8979</v>
      </c>
      <c r="E2" t="s">
        <v>662</v>
      </c>
      <c r="F2" t="s">
        <v>662</v>
      </c>
      <c r="G2" t="s">
        <v>8980</v>
      </c>
      <c r="H2" t="s">
        <v>8981</v>
      </c>
      <c r="I2" t="s">
        <v>8982</v>
      </c>
      <c r="J2" t="s">
        <v>8983</v>
      </c>
      <c r="K2" t="s">
        <v>5493</v>
      </c>
      <c r="L2" t="s">
        <v>3874</v>
      </c>
      <c r="M2" t="s">
        <v>3888</v>
      </c>
      <c r="N2" t="s">
        <v>8977</v>
      </c>
      <c r="O2" t="s">
        <v>8462</v>
      </c>
    </row>
    <row r="3" spans="1:15">
      <c r="A3" t="s">
        <v>3869</v>
      </c>
      <c r="B3" t="s">
        <v>8977</v>
      </c>
      <c r="C3" t="s">
        <v>8978</v>
      </c>
      <c r="D3" t="s">
        <v>8979</v>
      </c>
      <c r="E3" t="s">
        <v>662</v>
      </c>
      <c r="F3" t="s">
        <v>662</v>
      </c>
      <c r="G3" t="s">
        <v>8980</v>
      </c>
      <c r="H3" t="s">
        <v>8981</v>
      </c>
      <c r="I3" t="s">
        <v>8984</v>
      </c>
      <c r="J3" t="s">
        <v>6949</v>
      </c>
      <c r="K3" t="s">
        <v>8985</v>
      </c>
      <c r="L3" t="s">
        <v>3874</v>
      </c>
      <c r="M3" t="s">
        <v>3888</v>
      </c>
      <c r="N3" t="s">
        <v>8977</v>
      </c>
      <c r="O3" t="s">
        <v>3890</v>
      </c>
    </row>
    <row r="4" spans="1:15">
      <c r="A4" t="s">
        <v>3870</v>
      </c>
      <c r="B4" t="s">
        <v>8977</v>
      </c>
      <c r="C4" t="s">
        <v>8978</v>
      </c>
      <c r="D4" t="s">
        <v>8979</v>
      </c>
      <c r="E4" t="s">
        <v>662</v>
      </c>
      <c r="F4" t="s">
        <v>662</v>
      </c>
      <c r="G4" t="s">
        <v>8980</v>
      </c>
      <c r="H4" t="s">
        <v>8981</v>
      </c>
      <c r="I4" t="s">
        <v>8977</v>
      </c>
      <c r="J4" t="s">
        <v>5492</v>
      </c>
      <c r="K4" t="s">
        <v>8986</v>
      </c>
      <c r="L4" t="s">
        <v>3874</v>
      </c>
      <c r="M4" t="s">
        <v>3888</v>
      </c>
      <c r="N4" t="s">
        <v>8977</v>
      </c>
      <c r="O4" t="s">
        <v>8977</v>
      </c>
    </row>
    <row r="5" spans="1:15">
      <c r="A5" t="s">
        <v>3871</v>
      </c>
      <c r="B5" t="s">
        <v>8977</v>
      </c>
      <c r="C5" t="s">
        <v>8978</v>
      </c>
      <c r="D5" t="s">
        <v>8979</v>
      </c>
      <c r="E5" t="s">
        <v>662</v>
      </c>
      <c r="F5" t="s">
        <v>662</v>
      </c>
      <c r="G5" t="s">
        <v>8980</v>
      </c>
      <c r="H5" t="s">
        <v>8981</v>
      </c>
      <c r="I5" t="s">
        <v>8987</v>
      </c>
      <c r="J5" t="s">
        <v>6949</v>
      </c>
      <c r="K5" t="s">
        <v>8986</v>
      </c>
      <c r="L5" t="s">
        <v>3874</v>
      </c>
      <c r="M5" t="s">
        <v>3888</v>
      </c>
      <c r="N5" t="s">
        <v>8977</v>
      </c>
      <c r="O5" t="s">
        <v>8988</v>
      </c>
    </row>
    <row r="6" spans="1:15">
      <c r="A6" t="s">
        <v>3873</v>
      </c>
      <c r="B6" t="s">
        <v>8989</v>
      </c>
      <c r="C6" t="s">
        <v>8978</v>
      </c>
      <c r="D6" t="s">
        <v>8979</v>
      </c>
      <c r="E6" t="s">
        <v>662</v>
      </c>
      <c r="F6" t="s">
        <v>662</v>
      </c>
      <c r="G6" t="s">
        <v>8980</v>
      </c>
      <c r="H6" t="s">
        <v>8981</v>
      </c>
      <c r="I6" t="s">
        <v>8990</v>
      </c>
      <c r="J6" t="s">
        <v>5492</v>
      </c>
      <c r="K6" t="s">
        <v>8986</v>
      </c>
      <c r="L6" t="s">
        <v>3883</v>
      </c>
      <c r="M6" t="s">
        <v>8984</v>
      </c>
      <c r="N6" t="s">
        <v>8991</v>
      </c>
      <c r="O6" t="s">
        <v>8992</v>
      </c>
    </row>
    <row r="7" spans="1:15">
      <c r="A7" t="s">
        <v>3875</v>
      </c>
      <c r="B7" t="s">
        <v>8993</v>
      </c>
      <c r="C7" t="s">
        <v>8978</v>
      </c>
      <c r="D7" t="s">
        <v>8994</v>
      </c>
      <c r="E7" t="s">
        <v>8995</v>
      </c>
      <c r="F7" t="s">
        <v>8996</v>
      </c>
      <c r="G7" t="s">
        <v>8997</v>
      </c>
      <c r="H7" t="s">
        <v>8998</v>
      </c>
      <c r="I7" t="s">
        <v>3880</v>
      </c>
      <c r="J7" t="s">
        <v>8999</v>
      </c>
      <c r="K7" t="s">
        <v>9000</v>
      </c>
      <c r="L7" t="s">
        <v>3874</v>
      </c>
      <c r="M7" t="s">
        <v>3888</v>
      </c>
      <c r="N7" t="s">
        <v>8977</v>
      </c>
      <c r="O7" t="s">
        <v>9001</v>
      </c>
    </row>
    <row r="8" spans="1:15">
      <c r="A8" t="s">
        <v>3876</v>
      </c>
      <c r="B8" t="s">
        <v>8993</v>
      </c>
      <c r="C8" t="s">
        <v>8978</v>
      </c>
      <c r="D8" t="s">
        <v>8979</v>
      </c>
      <c r="E8" t="s">
        <v>662</v>
      </c>
      <c r="F8" t="s">
        <v>662</v>
      </c>
      <c r="G8" t="s">
        <v>8980</v>
      </c>
      <c r="H8" t="s">
        <v>8981</v>
      </c>
      <c r="I8" t="s">
        <v>3880</v>
      </c>
      <c r="J8" t="s">
        <v>5492</v>
      </c>
      <c r="K8" t="s">
        <v>5493</v>
      </c>
      <c r="L8" t="s">
        <v>3883</v>
      </c>
      <c r="M8" t="s">
        <v>8984</v>
      </c>
      <c r="N8" t="s">
        <v>8991</v>
      </c>
      <c r="O8" t="s">
        <v>3888</v>
      </c>
    </row>
    <row r="9" spans="1:15">
      <c r="A9" t="s">
        <v>3877</v>
      </c>
      <c r="B9" t="s">
        <v>8989</v>
      </c>
      <c r="C9" t="s">
        <v>9002</v>
      </c>
      <c r="D9" t="s">
        <v>5522</v>
      </c>
      <c r="E9" t="s">
        <v>662</v>
      </c>
      <c r="F9" t="s">
        <v>8629</v>
      </c>
      <c r="G9" t="s">
        <v>9003</v>
      </c>
      <c r="H9" t="s">
        <v>3874</v>
      </c>
      <c r="I9" t="s">
        <v>3880</v>
      </c>
      <c r="J9" t="s">
        <v>5492</v>
      </c>
      <c r="K9" t="s">
        <v>5493</v>
      </c>
      <c r="L9" t="s">
        <v>3883</v>
      </c>
      <c r="M9" t="s">
        <v>8984</v>
      </c>
      <c r="N9" t="s">
        <v>8991</v>
      </c>
      <c r="O9" t="s">
        <v>3883</v>
      </c>
    </row>
    <row r="10" spans="1:15">
      <c r="A10" t="s">
        <v>3878</v>
      </c>
      <c r="B10" t="s">
        <v>8989</v>
      </c>
      <c r="C10" t="s">
        <v>8978</v>
      </c>
      <c r="D10" t="s">
        <v>9004</v>
      </c>
      <c r="E10" t="s">
        <v>5530</v>
      </c>
      <c r="F10" t="s">
        <v>9005</v>
      </c>
      <c r="G10" t="s">
        <v>8997</v>
      </c>
      <c r="H10" t="s">
        <v>3868</v>
      </c>
      <c r="I10" t="s">
        <v>3888</v>
      </c>
      <c r="J10" t="s">
        <v>9006</v>
      </c>
      <c r="K10" t="s">
        <v>9000</v>
      </c>
      <c r="L10" t="s">
        <v>3883</v>
      </c>
      <c r="M10" t="s">
        <v>8984</v>
      </c>
      <c r="N10" t="s">
        <v>8991</v>
      </c>
      <c r="O10" t="s">
        <v>9007</v>
      </c>
    </row>
    <row r="11" spans="1:15">
      <c r="A11" t="s">
        <v>3879</v>
      </c>
      <c r="B11" t="s">
        <v>9008</v>
      </c>
      <c r="C11" t="s">
        <v>8978</v>
      </c>
      <c r="D11" t="s">
        <v>8979</v>
      </c>
      <c r="E11" t="s">
        <v>662</v>
      </c>
      <c r="F11" t="s">
        <v>662</v>
      </c>
      <c r="G11" t="s">
        <v>8997</v>
      </c>
      <c r="H11" t="s">
        <v>9009</v>
      </c>
      <c r="I11" t="s">
        <v>3880</v>
      </c>
      <c r="J11" t="s">
        <v>5492</v>
      </c>
      <c r="K11" t="s">
        <v>8986</v>
      </c>
      <c r="L11" t="s">
        <v>3888</v>
      </c>
      <c r="M11" t="s">
        <v>8977</v>
      </c>
      <c r="N11" t="s">
        <v>9010</v>
      </c>
      <c r="O11" t="s">
        <v>9011</v>
      </c>
    </row>
    <row r="12" spans="1:15">
      <c r="A12" t="s">
        <v>3881</v>
      </c>
      <c r="B12" t="s">
        <v>8991</v>
      </c>
      <c r="C12" t="s">
        <v>8978</v>
      </c>
      <c r="D12" t="s">
        <v>9012</v>
      </c>
      <c r="E12" t="s">
        <v>5504</v>
      </c>
      <c r="F12" t="s">
        <v>8996</v>
      </c>
      <c r="G12" t="s">
        <v>8997</v>
      </c>
      <c r="H12" t="s">
        <v>9009</v>
      </c>
      <c r="I12" t="s">
        <v>9013</v>
      </c>
      <c r="J12" t="s">
        <v>7161</v>
      </c>
      <c r="K12" t="s">
        <v>9014</v>
      </c>
      <c r="L12" t="s">
        <v>3888</v>
      </c>
      <c r="M12" t="s">
        <v>8977</v>
      </c>
      <c r="N12" t="s">
        <v>9010</v>
      </c>
      <c r="O12" t="s">
        <v>9015</v>
      </c>
    </row>
    <row r="13" spans="1:15">
      <c r="A13" t="s">
        <v>3882</v>
      </c>
      <c r="B13" t="s">
        <v>8992</v>
      </c>
      <c r="C13" t="s">
        <v>9002</v>
      </c>
      <c r="D13" t="s">
        <v>5490</v>
      </c>
      <c r="E13" t="s">
        <v>662</v>
      </c>
      <c r="F13" t="s">
        <v>8629</v>
      </c>
      <c r="G13" t="s">
        <v>8980</v>
      </c>
      <c r="H13" t="s">
        <v>8981</v>
      </c>
      <c r="I13" t="s">
        <v>3880</v>
      </c>
      <c r="J13" t="s">
        <v>5492</v>
      </c>
      <c r="K13" t="s">
        <v>5493</v>
      </c>
      <c r="L13" t="s">
        <v>9016</v>
      </c>
      <c r="M13" t="s">
        <v>8988</v>
      </c>
      <c r="N13" t="s">
        <v>8990</v>
      </c>
      <c r="O13" t="s">
        <v>8977</v>
      </c>
    </row>
    <row r="14" spans="1:15">
      <c r="A14" t="s">
        <v>3884</v>
      </c>
      <c r="B14" t="s">
        <v>9008</v>
      </c>
      <c r="C14" t="s">
        <v>8978</v>
      </c>
      <c r="D14" t="s">
        <v>9017</v>
      </c>
      <c r="E14" t="s">
        <v>5530</v>
      </c>
      <c r="F14" t="s">
        <v>9005</v>
      </c>
      <c r="G14" t="s">
        <v>8997</v>
      </c>
      <c r="H14" t="s">
        <v>3874</v>
      </c>
      <c r="I14" t="s">
        <v>3888</v>
      </c>
      <c r="J14" t="s">
        <v>8999</v>
      </c>
      <c r="K14" t="s">
        <v>9000</v>
      </c>
      <c r="L14" t="s">
        <v>9016</v>
      </c>
      <c r="M14" t="s">
        <v>8988</v>
      </c>
      <c r="N14" t="s">
        <v>8990</v>
      </c>
      <c r="O14" t="s">
        <v>9018</v>
      </c>
    </row>
    <row r="15" spans="1:15">
      <c r="A15" t="s">
        <v>3885</v>
      </c>
      <c r="B15" t="s">
        <v>9019</v>
      </c>
      <c r="C15" t="s">
        <v>8978</v>
      </c>
      <c r="D15" t="s">
        <v>5490</v>
      </c>
      <c r="E15" t="s">
        <v>662</v>
      </c>
      <c r="F15" t="s">
        <v>662</v>
      </c>
      <c r="G15" t="s">
        <v>9003</v>
      </c>
      <c r="H15" t="s">
        <v>3886</v>
      </c>
      <c r="I15" t="s">
        <v>3880</v>
      </c>
      <c r="J15" t="s">
        <v>5492</v>
      </c>
      <c r="K15" t="s">
        <v>9020</v>
      </c>
      <c r="L15" t="s">
        <v>8984</v>
      </c>
      <c r="M15" t="s">
        <v>9008</v>
      </c>
      <c r="N15" t="s">
        <v>9021</v>
      </c>
      <c r="O15" t="s">
        <v>9022</v>
      </c>
    </row>
    <row r="16" spans="1:15">
      <c r="A16" t="s">
        <v>3887</v>
      </c>
      <c r="B16" t="s">
        <v>8987</v>
      </c>
      <c r="C16" t="s">
        <v>8978</v>
      </c>
      <c r="D16" t="s">
        <v>5490</v>
      </c>
      <c r="E16" t="s">
        <v>8995</v>
      </c>
      <c r="F16" t="s">
        <v>9005</v>
      </c>
      <c r="G16" t="s">
        <v>8997</v>
      </c>
      <c r="H16" t="s">
        <v>3880</v>
      </c>
      <c r="I16" t="s">
        <v>3888</v>
      </c>
      <c r="J16" t="s">
        <v>5492</v>
      </c>
      <c r="K16" t="s">
        <v>9020</v>
      </c>
      <c r="L16" t="s">
        <v>8462</v>
      </c>
      <c r="M16" t="s">
        <v>9019</v>
      </c>
      <c r="N16" t="s">
        <v>8982</v>
      </c>
      <c r="O16" t="s">
        <v>9023</v>
      </c>
    </row>
    <row r="17" spans="1:15">
      <c r="A17" t="s">
        <v>3889</v>
      </c>
      <c r="B17" t="s">
        <v>9024</v>
      </c>
      <c r="C17" t="s">
        <v>8978</v>
      </c>
      <c r="D17" t="s">
        <v>5530</v>
      </c>
      <c r="E17" t="s">
        <v>5530</v>
      </c>
      <c r="F17" t="s">
        <v>662</v>
      </c>
      <c r="G17" t="s">
        <v>8980</v>
      </c>
      <c r="H17" t="s">
        <v>8981</v>
      </c>
      <c r="I17" t="s">
        <v>3880</v>
      </c>
      <c r="J17" t="s">
        <v>5492</v>
      </c>
      <c r="K17" t="s">
        <v>9020</v>
      </c>
      <c r="L17" t="s">
        <v>9025</v>
      </c>
      <c r="M17" t="s">
        <v>8987</v>
      </c>
      <c r="N17" t="s">
        <v>9026</v>
      </c>
      <c r="O17" t="s">
        <v>9027</v>
      </c>
    </row>
    <row r="18" spans="1:15">
      <c r="A18" t="s">
        <v>3891</v>
      </c>
      <c r="B18" t="s">
        <v>8977</v>
      </c>
      <c r="C18" t="s">
        <v>8978</v>
      </c>
      <c r="D18" t="s">
        <v>8979</v>
      </c>
      <c r="E18" t="s">
        <v>662</v>
      </c>
      <c r="F18" t="s">
        <v>662</v>
      </c>
      <c r="G18" t="s">
        <v>8980</v>
      </c>
      <c r="H18" t="s">
        <v>8981</v>
      </c>
      <c r="I18" t="s">
        <v>3890</v>
      </c>
      <c r="J18" t="s">
        <v>9006</v>
      </c>
      <c r="K18" t="s">
        <v>9028</v>
      </c>
      <c r="L18" t="s">
        <v>3874</v>
      </c>
      <c r="M18" t="s">
        <v>3888</v>
      </c>
      <c r="N18" t="s">
        <v>8977</v>
      </c>
      <c r="O18" t="s">
        <v>9016</v>
      </c>
    </row>
    <row r="19" spans="1:15">
      <c r="A19" t="s">
        <v>3892</v>
      </c>
      <c r="B19" t="s">
        <v>8989</v>
      </c>
      <c r="C19" t="s">
        <v>8978</v>
      </c>
      <c r="D19" t="s">
        <v>8979</v>
      </c>
      <c r="E19" t="s">
        <v>662</v>
      </c>
      <c r="F19" t="s">
        <v>662</v>
      </c>
      <c r="G19" t="s">
        <v>8980</v>
      </c>
      <c r="H19" t="s">
        <v>8981</v>
      </c>
      <c r="I19" t="s">
        <v>8977</v>
      </c>
      <c r="J19" t="s">
        <v>9029</v>
      </c>
      <c r="K19" t="s">
        <v>9028</v>
      </c>
      <c r="L19" t="s">
        <v>3883</v>
      </c>
      <c r="M19" t="s">
        <v>8984</v>
      </c>
      <c r="N19" t="s">
        <v>8991</v>
      </c>
      <c r="O19" t="s">
        <v>9025</v>
      </c>
    </row>
    <row r="20" spans="1:15">
      <c r="A20" t="s">
        <v>3894</v>
      </c>
      <c r="B20" t="s">
        <v>8991</v>
      </c>
      <c r="C20" t="s">
        <v>8978</v>
      </c>
      <c r="E20" t="s">
        <v>662</v>
      </c>
      <c r="F20" t="s">
        <v>662</v>
      </c>
      <c r="G20" t="s">
        <v>9003</v>
      </c>
      <c r="H20" t="s">
        <v>3880</v>
      </c>
      <c r="I20" t="s">
        <v>8977</v>
      </c>
      <c r="J20" t="s">
        <v>9029</v>
      </c>
      <c r="K20" t="s">
        <v>9028</v>
      </c>
      <c r="L20" t="s">
        <v>3888</v>
      </c>
      <c r="M20" t="s">
        <v>8977</v>
      </c>
      <c r="N20" t="s">
        <v>9010</v>
      </c>
      <c r="O20" t="s">
        <v>8991</v>
      </c>
    </row>
    <row r="21" spans="1:15">
      <c r="A21" t="s">
        <v>3896</v>
      </c>
      <c r="B21" t="s">
        <v>8992</v>
      </c>
      <c r="C21" t="s">
        <v>8978</v>
      </c>
      <c r="D21" t="s">
        <v>8979</v>
      </c>
      <c r="E21" t="s">
        <v>662</v>
      </c>
      <c r="F21" t="s">
        <v>662</v>
      </c>
      <c r="G21" t="s">
        <v>9003</v>
      </c>
      <c r="H21" t="s">
        <v>3883</v>
      </c>
      <c r="I21" t="s">
        <v>8990</v>
      </c>
      <c r="J21" t="s">
        <v>9030</v>
      </c>
      <c r="K21" t="s">
        <v>9028</v>
      </c>
      <c r="L21" t="s">
        <v>9016</v>
      </c>
      <c r="M21" t="s">
        <v>8988</v>
      </c>
      <c r="N21" t="s">
        <v>8990</v>
      </c>
      <c r="O21" t="s">
        <v>8991</v>
      </c>
    </row>
    <row r="22" spans="1:15">
      <c r="A22" t="s">
        <v>3897</v>
      </c>
      <c r="B22" t="s">
        <v>8993</v>
      </c>
      <c r="C22" t="s">
        <v>9031</v>
      </c>
      <c r="D22" t="s">
        <v>9032</v>
      </c>
      <c r="E22" t="s">
        <v>662</v>
      </c>
      <c r="F22" t="s">
        <v>662</v>
      </c>
      <c r="G22" t="s">
        <v>8997</v>
      </c>
      <c r="H22" t="s">
        <v>3868</v>
      </c>
      <c r="I22" t="s">
        <v>3880</v>
      </c>
      <c r="J22" t="s">
        <v>6949</v>
      </c>
      <c r="K22" t="s">
        <v>8985</v>
      </c>
      <c r="L22" t="s">
        <v>3874</v>
      </c>
      <c r="M22" t="s">
        <v>3888</v>
      </c>
      <c r="N22" t="s">
        <v>8977</v>
      </c>
      <c r="O22" t="s">
        <v>3886</v>
      </c>
    </row>
    <row r="23" spans="1:15">
      <c r="A23" t="s">
        <v>3899</v>
      </c>
      <c r="B23" t="s">
        <v>8988</v>
      </c>
      <c r="C23" t="s">
        <v>9033</v>
      </c>
      <c r="D23" t="s">
        <v>9032</v>
      </c>
      <c r="E23" t="s">
        <v>662</v>
      </c>
      <c r="F23" t="s">
        <v>662</v>
      </c>
      <c r="G23" t="s">
        <v>8980</v>
      </c>
      <c r="H23" t="s">
        <v>3874</v>
      </c>
      <c r="I23" t="s">
        <v>3880</v>
      </c>
      <c r="J23" t="s">
        <v>6949</v>
      </c>
      <c r="K23" t="s">
        <v>9028</v>
      </c>
      <c r="L23" t="s">
        <v>3883</v>
      </c>
      <c r="M23" t="s">
        <v>8984</v>
      </c>
      <c r="N23" t="s">
        <v>8991</v>
      </c>
      <c r="O23" t="s">
        <v>3888</v>
      </c>
    </row>
    <row r="24" spans="1:15">
      <c r="A24" t="s">
        <v>3900</v>
      </c>
      <c r="B24" t="s">
        <v>9008</v>
      </c>
      <c r="C24" t="s">
        <v>9034</v>
      </c>
      <c r="D24" t="s">
        <v>9032</v>
      </c>
      <c r="E24" t="s">
        <v>662</v>
      </c>
      <c r="F24" t="s">
        <v>662</v>
      </c>
      <c r="G24" t="s">
        <v>8997</v>
      </c>
      <c r="H24" t="s">
        <v>3880</v>
      </c>
      <c r="I24" t="s">
        <v>3880</v>
      </c>
      <c r="J24" t="s">
        <v>6949</v>
      </c>
      <c r="K24" t="s">
        <v>9020</v>
      </c>
      <c r="L24" t="s">
        <v>3888</v>
      </c>
      <c r="M24" t="s">
        <v>8977</v>
      </c>
      <c r="N24" t="s">
        <v>9010</v>
      </c>
      <c r="O24" t="s">
        <v>8977</v>
      </c>
    </row>
    <row r="25" spans="1:15">
      <c r="A25" t="s">
        <v>3902</v>
      </c>
      <c r="B25" t="s">
        <v>9019</v>
      </c>
      <c r="C25" t="s">
        <v>9035</v>
      </c>
      <c r="D25" t="s">
        <v>9032</v>
      </c>
      <c r="E25" t="s">
        <v>662</v>
      </c>
      <c r="F25" t="s">
        <v>662</v>
      </c>
      <c r="G25" t="s">
        <v>8997</v>
      </c>
      <c r="H25" t="s">
        <v>3883</v>
      </c>
      <c r="I25" t="s">
        <v>3880</v>
      </c>
      <c r="J25" t="s">
        <v>6949</v>
      </c>
      <c r="K25" t="s">
        <v>8986</v>
      </c>
      <c r="L25" t="s">
        <v>9016</v>
      </c>
      <c r="M25" t="s">
        <v>8988</v>
      </c>
      <c r="N25" t="s">
        <v>8990</v>
      </c>
      <c r="O25" t="s">
        <v>9010</v>
      </c>
    </row>
    <row r="26" spans="1:15">
      <c r="A26" t="s">
        <v>3903</v>
      </c>
      <c r="B26" t="s">
        <v>8987</v>
      </c>
      <c r="C26" t="s">
        <v>9036</v>
      </c>
      <c r="D26" t="s">
        <v>9032</v>
      </c>
      <c r="E26" t="s">
        <v>662</v>
      </c>
      <c r="F26" t="s">
        <v>9005</v>
      </c>
      <c r="G26" t="s">
        <v>8997</v>
      </c>
      <c r="H26" t="s">
        <v>3886</v>
      </c>
      <c r="I26" t="s">
        <v>3888</v>
      </c>
      <c r="J26" t="s">
        <v>6949</v>
      </c>
      <c r="K26" t="s">
        <v>8986</v>
      </c>
      <c r="L26" t="s">
        <v>8984</v>
      </c>
      <c r="M26" t="s">
        <v>9008</v>
      </c>
      <c r="N26" t="s">
        <v>9021</v>
      </c>
      <c r="O26" t="s">
        <v>9037</v>
      </c>
    </row>
    <row r="27" spans="1:15">
      <c r="A27" t="s">
        <v>3904</v>
      </c>
      <c r="B27" t="s">
        <v>8987</v>
      </c>
      <c r="C27" t="s">
        <v>9038</v>
      </c>
      <c r="D27" t="s">
        <v>9039</v>
      </c>
      <c r="E27" t="s">
        <v>662</v>
      </c>
      <c r="F27" t="s">
        <v>8629</v>
      </c>
      <c r="G27" t="s">
        <v>9003</v>
      </c>
      <c r="H27" t="s">
        <v>3886</v>
      </c>
      <c r="I27" t="s">
        <v>3880</v>
      </c>
      <c r="J27" t="s">
        <v>6949</v>
      </c>
      <c r="K27" t="s">
        <v>8986</v>
      </c>
      <c r="L27" t="s">
        <v>8984</v>
      </c>
      <c r="M27" t="s">
        <v>9008</v>
      </c>
      <c r="N27" t="s">
        <v>9021</v>
      </c>
      <c r="O27" t="s">
        <v>9040</v>
      </c>
    </row>
    <row r="28" spans="1:15">
      <c r="A28" t="s">
        <v>3906</v>
      </c>
      <c r="B28" t="s">
        <v>9041</v>
      </c>
      <c r="C28" t="s">
        <v>9034</v>
      </c>
      <c r="D28" t="s">
        <v>9032</v>
      </c>
      <c r="E28" t="s">
        <v>662</v>
      </c>
      <c r="F28" t="s">
        <v>662</v>
      </c>
      <c r="G28" t="s">
        <v>9003</v>
      </c>
      <c r="H28" t="s">
        <v>3888</v>
      </c>
      <c r="I28" t="s">
        <v>3890</v>
      </c>
      <c r="J28" t="s">
        <v>5492</v>
      </c>
      <c r="K28" t="s">
        <v>9014</v>
      </c>
      <c r="L28" t="s">
        <v>8462</v>
      </c>
      <c r="M28" t="s">
        <v>9019</v>
      </c>
      <c r="N28" t="s">
        <v>8982</v>
      </c>
      <c r="O28" t="s">
        <v>9042</v>
      </c>
    </row>
    <row r="29" spans="1:15">
      <c r="A29" t="s">
        <v>3907</v>
      </c>
      <c r="B29" t="s">
        <v>9024</v>
      </c>
      <c r="C29" t="s">
        <v>9043</v>
      </c>
      <c r="D29" t="s">
        <v>9032</v>
      </c>
      <c r="E29" t="s">
        <v>662</v>
      </c>
      <c r="F29" t="s">
        <v>9005</v>
      </c>
      <c r="G29" t="s">
        <v>8997</v>
      </c>
      <c r="H29" t="s">
        <v>3890</v>
      </c>
      <c r="I29" t="s">
        <v>9016</v>
      </c>
      <c r="J29" t="s">
        <v>6949</v>
      </c>
      <c r="K29" t="s">
        <v>8986</v>
      </c>
      <c r="L29" t="s">
        <v>9025</v>
      </c>
      <c r="M29" t="s">
        <v>8987</v>
      </c>
      <c r="N29" t="s">
        <v>9026</v>
      </c>
      <c r="O29" t="s">
        <v>9044</v>
      </c>
    </row>
    <row r="30" spans="1:15">
      <c r="A30" t="s">
        <v>3908</v>
      </c>
      <c r="B30" t="s">
        <v>9024</v>
      </c>
      <c r="C30" t="s">
        <v>9045</v>
      </c>
      <c r="D30" t="s">
        <v>9032</v>
      </c>
      <c r="E30" t="s">
        <v>662</v>
      </c>
      <c r="F30" t="s">
        <v>662</v>
      </c>
      <c r="G30" t="s">
        <v>8997</v>
      </c>
      <c r="H30" t="s">
        <v>3890</v>
      </c>
      <c r="I30" t="s">
        <v>3890</v>
      </c>
      <c r="J30" t="s">
        <v>9046</v>
      </c>
      <c r="K30" t="s">
        <v>9047</v>
      </c>
      <c r="L30" t="s">
        <v>9025</v>
      </c>
      <c r="M30" t="s">
        <v>8987</v>
      </c>
      <c r="N30" t="s">
        <v>9026</v>
      </c>
      <c r="O30" t="s">
        <v>9048</v>
      </c>
    </row>
    <row r="31" spans="1:15">
      <c r="A31" t="s">
        <v>3910</v>
      </c>
      <c r="B31" t="s">
        <v>8977</v>
      </c>
      <c r="C31" t="s">
        <v>8978</v>
      </c>
      <c r="D31" t="s">
        <v>5530</v>
      </c>
      <c r="E31" t="s">
        <v>662</v>
      </c>
      <c r="F31" t="s">
        <v>662</v>
      </c>
      <c r="G31" t="s">
        <v>8980</v>
      </c>
      <c r="H31" t="s">
        <v>8981</v>
      </c>
      <c r="I31" t="s">
        <v>3888</v>
      </c>
      <c r="J31" t="s">
        <v>5492</v>
      </c>
      <c r="K31" t="s">
        <v>9049</v>
      </c>
      <c r="L31" t="s">
        <v>3874</v>
      </c>
      <c r="M31" t="s">
        <v>3888</v>
      </c>
      <c r="N31" t="s">
        <v>8977</v>
      </c>
      <c r="O31" t="s">
        <v>8462</v>
      </c>
    </row>
    <row r="32" spans="1:15">
      <c r="A32" t="s">
        <v>3912</v>
      </c>
      <c r="B32" t="s">
        <v>8989</v>
      </c>
      <c r="C32" t="s">
        <v>8978</v>
      </c>
      <c r="D32" t="s">
        <v>9050</v>
      </c>
      <c r="E32" t="s">
        <v>5530</v>
      </c>
      <c r="F32" t="s">
        <v>662</v>
      </c>
      <c r="G32" t="s">
        <v>8980</v>
      </c>
      <c r="H32" t="s">
        <v>8981</v>
      </c>
      <c r="I32" t="s">
        <v>3874</v>
      </c>
      <c r="J32" t="s">
        <v>6949</v>
      </c>
      <c r="K32" t="s">
        <v>9051</v>
      </c>
      <c r="L32" t="s">
        <v>3883</v>
      </c>
      <c r="M32" t="s">
        <v>8984</v>
      </c>
      <c r="N32" t="s">
        <v>8991</v>
      </c>
      <c r="O32" t="s">
        <v>3890</v>
      </c>
    </row>
    <row r="33" spans="1:15">
      <c r="A33" t="s">
        <v>3913</v>
      </c>
      <c r="B33" t="s">
        <v>8991</v>
      </c>
      <c r="C33" t="s">
        <v>8978</v>
      </c>
      <c r="D33" t="s">
        <v>5522</v>
      </c>
      <c r="E33" t="s">
        <v>8995</v>
      </c>
      <c r="F33" t="s">
        <v>9005</v>
      </c>
      <c r="G33" t="s">
        <v>8997</v>
      </c>
      <c r="H33" t="s">
        <v>9009</v>
      </c>
      <c r="I33" t="s">
        <v>8984</v>
      </c>
      <c r="J33" t="s">
        <v>6949</v>
      </c>
      <c r="K33" t="s">
        <v>9052</v>
      </c>
      <c r="L33" t="s">
        <v>3888</v>
      </c>
      <c r="M33" t="s">
        <v>8977</v>
      </c>
      <c r="N33" t="s">
        <v>9010</v>
      </c>
      <c r="O33" t="s">
        <v>8989</v>
      </c>
    </row>
    <row r="34" spans="1:15">
      <c r="A34" t="s">
        <v>3914</v>
      </c>
      <c r="B34" t="s">
        <v>8992</v>
      </c>
      <c r="C34" t="s">
        <v>8978</v>
      </c>
      <c r="D34" t="s">
        <v>5490</v>
      </c>
      <c r="E34" t="s">
        <v>8995</v>
      </c>
      <c r="F34" t="s">
        <v>9005</v>
      </c>
      <c r="G34" t="s">
        <v>8980</v>
      </c>
      <c r="H34" t="s">
        <v>8981</v>
      </c>
      <c r="I34" t="s">
        <v>3888</v>
      </c>
      <c r="J34" t="s">
        <v>8999</v>
      </c>
      <c r="K34" t="s">
        <v>9053</v>
      </c>
      <c r="L34" t="s">
        <v>9016</v>
      </c>
      <c r="M34" t="s">
        <v>8988</v>
      </c>
      <c r="N34" t="s">
        <v>8990</v>
      </c>
      <c r="O34" t="s">
        <v>9041</v>
      </c>
    </row>
    <row r="35" spans="1:15">
      <c r="A35" t="s">
        <v>3915</v>
      </c>
      <c r="B35" t="s">
        <v>9010</v>
      </c>
      <c r="C35" t="s">
        <v>8978</v>
      </c>
      <c r="D35" t="s">
        <v>8979</v>
      </c>
      <c r="E35" t="s">
        <v>662</v>
      </c>
      <c r="F35" t="s">
        <v>662</v>
      </c>
      <c r="G35" t="s">
        <v>8997</v>
      </c>
      <c r="H35" t="s">
        <v>9054</v>
      </c>
      <c r="I35" t="s">
        <v>8982</v>
      </c>
      <c r="J35" t="s">
        <v>9006</v>
      </c>
      <c r="K35" t="s">
        <v>8986</v>
      </c>
      <c r="L35" t="s">
        <v>8984</v>
      </c>
      <c r="M35" t="s">
        <v>9008</v>
      </c>
      <c r="N35" t="s">
        <v>9021</v>
      </c>
      <c r="O35" t="s">
        <v>9055</v>
      </c>
    </row>
    <row r="36" spans="1:15">
      <c r="A36" t="s">
        <v>3916</v>
      </c>
      <c r="B36" t="s">
        <v>9056</v>
      </c>
      <c r="C36" t="s">
        <v>8978</v>
      </c>
      <c r="D36" t="s">
        <v>8979</v>
      </c>
      <c r="E36" t="s">
        <v>662</v>
      </c>
      <c r="F36" t="s">
        <v>662</v>
      </c>
      <c r="G36" t="s">
        <v>8997</v>
      </c>
      <c r="H36" t="s">
        <v>3880</v>
      </c>
      <c r="I36" t="s">
        <v>8987</v>
      </c>
      <c r="J36" t="s">
        <v>6949</v>
      </c>
      <c r="K36" t="s">
        <v>8986</v>
      </c>
      <c r="L36" t="s">
        <v>8462</v>
      </c>
      <c r="M36" t="s">
        <v>9019</v>
      </c>
      <c r="N36" t="s">
        <v>8982</v>
      </c>
      <c r="O36" t="s">
        <v>9057</v>
      </c>
    </row>
    <row r="37" spans="1:15">
      <c r="A37" t="s">
        <v>3917</v>
      </c>
      <c r="B37" t="s">
        <v>9056</v>
      </c>
      <c r="C37" t="s">
        <v>8978</v>
      </c>
      <c r="D37" t="s">
        <v>8979</v>
      </c>
      <c r="E37" t="s">
        <v>662</v>
      </c>
      <c r="F37" t="s">
        <v>662</v>
      </c>
      <c r="G37" t="s">
        <v>8997</v>
      </c>
      <c r="H37" t="s">
        <v>3880</v>
      </c>
      <c r="I37" t="s">
        <v>8992</v>
      </c>
      <c r="J37" t="s">
        <v>6949</v>
      </c>
      <c r="K37" t="s">
        <v>8986</v>
      </c>
      <c r="L37" t="s">
        <v>8462</v>
      </c>
      <c r="M37" t="s">
        <v>9019</v>
      </c>
      <c r="N37" t="s">
        <v>8982</v>
      </c>
      <c r="O37" t="s">
        <v>9058</v>
      </c>
    </row>
    <row r="38" spans="1:15">
      <c r="A38" t="s">
        <v>3918</v>
      </c>
      <c r="B38" t="s">
        <v>9056</v>
      </c>
      <c r="C38" t="s">
        <v>8978</v>
      </c>
      <c r="D38" t="s">
        <v>5490</v>
      </c>
      <c r="E38" t="s">
        <v>8995</v>
      </c>
      <c r="F38" t="s">
        <v>9005</v>
      </c>
      <c r="G38" t="s">
        <v>8980</v>
      </c>
      <c r="H38" t="s">
        <v>8981</v>
      </c>
      <c r="I38" t="s">
        <v>8984</v>
      </c>
      <c r="J38" t="s">
        <v>6949</v>
      </c>
      <c r="K38" t="s">
        <v>9020</v>
      </c>
      <c r="L38" t="s">
        <v>8462</v>
      </c>
      <c r="M38" t="s">
        <v>9019</v>
      </c>
      <c r="N38" t="s">
        <v>8982</v>
      </c>
      <c r="O38" t="s">
        <v>8982</v>
      </c>
    </row>
    <row r="39" spans="1:15">
      <c r="A39" t="s">
        <v>3919</v>
      </c>
      <c r="B39" t="s">
        <v>8990</v>
      </c>
      <c r="C39" t="s">
        <v>8978</v>
      </c>
      <c r="D39" t="s">
        <v>9059</v>
      </c>
      <c r="E39" t="s">
        <v>8995</v>
      </c>
      <c r="F39" t="s">
        <v>662</v>
      </c>
      <c r="G39" t="s">
        <v>9003</v>
      </c>
      <c r="H39" t="s">
        <v>3890</v>
      </c>
      <c r="I39" t="s">
        <v>8987</v>
      </c>
      <c r="J39" t="s">
        <v>8999</v>
      </c>
      <c r="K39" t="s">
        <v>8986</v>
      </c>
      <c r="L39" t="s">
        <v>9025</v>
      </c>
      <c r="M39" t="s">
        <v>8987</v>
      </c>
      <c r="N39" t="s">
        <v>9026</v>
      </c>
      <c r="O39" t="s">
        <v>9060</v>
      </c>
    </row>
    <row r="40" spans="1:15">
      <c r="A40" t="s">
        <v>3920</v>
      </c>
      <c r="B40" t="s">
        <v>9025</v>
      </c>
      <c r="C40" t="s">
        <v>9061</v>
      </c>
      <c r="D40" t="s">
        <v>5522</v>
      </c>
      <c r="E40" t="s">
        <v>662</v>
      </c>
      <c r="F40" t="s">
        <v>9062</v>
      </c>
      <c r="G40" t="s">
        <v>8980</v>
      </c>
      <c r="H40" t="s">
        <v>8981</v>
      </c>
      <c r="I40" t="s">
        <v>3888</v>
      </c>
      <c r="J40" t="s">
        <v>5492</v>
      </c>
      <c r="K40" t="s">
        <v>5493</v>
      </c>
      <c r="L40" t="s">
        <v>3874</v>
      </c>
      <c r="M40" t="s">
        <v>3888</v>
      </c>
      <c r="N40" t="s">
        <v>8977</v>
      </c>
      <c r="O40" t="s">
        <v>3883</v>
      </c>
    </row>
    <row r="41" spans="1:15">
      <c r="A41" t="s">
        <v>3921</v>
      </c>
      <c r="B41" t="s">
        <v>8993</v>
      </c>
      <c r="C41" t="s">
        <v>9063</v>
      </c>
      <c r="D41" t="s">
        <v>5490</v>
      </c>
      <c r="E41" t="s">
        <v>662</v>
      </c>
      <c r="F41" t="s">
        <v>9064</v>
      </c>
      <c r="G41" t="s">
        <v>8980</v>
      </c>
      <c r="H41" t="s">
        <v>8981</v>
      </c>
      <c r="I41" t="s">
        <v>3888</v>
      </c>
      <c r="J41" t="s">
        <v>5492</v>
      </c>
      <c r="K41" t="s">
        <v>5493</v>
      </c>
      <c r="L41" t="s">
        <v>3883</v>
      </c>
      <c r="M41" t="s">
        <v>8984</v>
      </c>
      <c r="N41" t="s">
        <v>8991</v>
      </c>
      <c r="O41" t="s">
        <v>3888</v>
      </c>
    </row>
    <row r="42" spans="1:15">
      <c r="A42" t="s">
        <v>3922</v>
      </c>
      <c r="B42" t="s">
        <v>8988</v>
      </c>
      <c r="C42" t="s">
        <v>9002</v>
      </c>
      <c r="D42" t="s">
        <v>9012</v>
      </c>
      <c r="E42" t="s">
        <v>662</v>
      </c>
      <c r="F42" t="s">
        <v>8629</v>
      </c>
      <c r="G42" t="s">
        <v>9003</v>
      </c>
      <c r="H42" t="s">
        <v>3880</v>
      </c>
      <c r="I42" t="s">
        <v>3888</v>
      </c>
      <c r="J42" t="s">
        <v>5492</v>
      </c>
      <c r="K42" t="s">
        <v>5493</v>
      </c>
      <c r="L42" t="s">
        <v>3888</v>
      </c>
      <c r="M42" t="s">
        <v>8977</v>
      </c>
      <c r="N42" t="s">
        <v>9010</v>
      </c>
      <c r="O42" t="s">
        <v>3888</v>
      </c>
    </row>
    <row r="43" spans="1:15">
      <c r="A43" t="s">
        <v>3924</v>
      </c>
      <c r="B43" t="s">
        <v>8992</v>
      </c>
      <c r="C43" t="s">
        <v>9063</v>
      </c>
      <c r="D43" t="s">
        <v>5490</v>
      </c>
      <c r="E43" t="s">
        <v>662</v>
      </c>
      <c r="F43" t="s">
        <v>9064</v>
      </c>
      <c r="G43" t="s">
        <v>8980</v>
      </c>
      <c r="H43" t="s">
        <v>8981</v>
      </c>
      <c r="I43" t="s">
        <v>8984</v>
      </c>
      <c r="J43" t="s">
        <v>5492</v>
      </c>
      <c r="K43" t="s">
        <v>5493</v>
      </c>
      <c r="L43" t="s">
        <v>9016</v>
      </c>
      <c r="M43" t="s">
        <v>8988</v>
      </c>
      <c r="N43" t="s">
        <v>8990</v>
      </c>
      <c r="O43" t="s">
        <v>9065</v>
      </c>
    </row>
    <row r="44" spans="1:15">
      <c r="A44" t="s">
        <v>3925</v>
      </c>
      <c r="B44" t="s">
        <v>8992</v>
      </c>
      <c r="C44" t="s">
        <v>8978</v>
      </c>
      <c r="D44" t="s">
        <v>9066</v>
      </c>
      <c r="E44" t="s">
        <v>5530</v>
      </c>
      <c r="F44" t="s">
        <v>9005</v>
      </c>
      <c r="G44" t="s">
        <v>8997</v>
      </c>
      <c r="H44" t="s">
        <v>9054</v>
      </c>
      <c r="I44" t="s">
        <v>3888</v>
      </c>
      <c r="J44" t="s">
        <v>5492</v>
      </c>
      <c r="K44" t="s">
        <v>9000</v>
      </c>
      <c r="L44" t="s">
        <v>8984</v>
      </c>
      <c r="M44" t="s">
        <v>9008</v>
      </c>
      <c r="N44" t="s">
        <v>9021</v>
      </c>
      <c r="O44" t="s">
        <v>9067</v>
      </c>
    </row>
    <row r="45" spans="1:15">
      <c r="A45" t="s">
        <v>3927</v>
      </c>
      <c r="B45" t="s">
        <v>9010</v>
      </c>
      <c r="C45" t="s">
        <v>8978</v>
      </c>
      <c r="D45" t="s">
        <v>9068</v>
      </c>
      <c r="E45" t="s">
        <v>5530</v>
      </c>
      <c r="F45" t="s">
        <v>9005</v>
      </c>
      <c r="G45" t="s">
        <v>8980</v>
      </c>
      <c r="H45" t="s">
        <v>8981</v>
      </c>
      <c r="I45" t="s">
        <v>8984</v>
      </c>
      <c r="J45" t="s">
        <v>5492</v>
      </c>
      <c r="K45" t="s">
        <v>5493</v>
      </c>
      <c r="L45" t="s">
        <v>8984</v>
      </c>
      <c r="M45" t="s">
        <v>9008</v>
      </c>
      <c r="N45" t="s">
        <v>9021</v>
      </c>
      <c r="O45" t="s">
        <v>9069</v>
      </c>
    </row>
    <row r="46" spans="1:15">
      <c r="A46" t="s">
        <v>3929</v>
      </c>
      <c r="B46" t="s">
        <v>9056</v>
      </c>
      <c r="C46" t="s">
        <v>9061</v>
      </c>
      <c r="D46" t="s">
        <v>5490</v>
      </c>
      <c r="E46" t="s">
        <v>662</v>
      </c>
      <c r="F46" t="s">
        <v>9062</v>
      </c>
      <c r="G46" t="s">
        <v>8980</v>
      </c>
      <c r="H46" t="s">
        <v>8981</v>
      </c>
      <c r="I46" t="s">
        <v>3888</v>
      </c>
      <c r="J46" t="s">
        <v>5492</v>
      </c>
      <c r="K46" t="s">
        <v>5493</v>
      </c>
      <c r="L46" t="s">
        <v>8462</v>
      </c>
      <c r="M46" t="s">
        <v>9019</v>
      </c>
      <c r="N46" t="s">
        <v>8982</v>
      </c>
      <c r="O46" t="s">
        <v>9070</v>
      </c>
    </row>
    <row r="47" spans="1:15">
      <c r="A47" t="s">
        <v>3930</v>
      </c>
      <c r="B47" t="s">
        <v>8990</v>
      </c>
      <c r="C47" t="s">
        <v>8978</v>
      </c>
      <c r="D47" t="s">
        <v>9068</v>
      </c>
      <c r="E47" t="s">
        <v>5530</v>
      </c>
      <c r="F47" t="s">
        <v>9005</v>
      </c>
      <c r="G47" t="s">
        <v>8980</v>
      </c>
      <c r="H47" t="s">
        <v>8981</v>
      </c>
      <c r="I47" t="s">
        <v>8984</v>
      </c>
      <c r="J47" t="s">
        <v>5492</v>
      </c>
      <c r="K47" t="s">
        <v>5493</v>
      </c>
      <c r="L47" t="s">
        <v>9025</v>
      </c>
      <c r="M47" t="s">
        <v>8987</v>
      </c>
      <c r="N47" t="s">
        <v>9026</v>
      </c>
      <c r="O47" t="s">
        <v>9071</v>
      </c>
    </row>
    <row r="48" spans="1:15">
      <c r="A48" t="s">
        <v>3932</v>
      </c>
      <c r="B48" t="s">
        <v>9025</v>
      </c>
      <c r="C48" t="s">
        <v>8978</v>
      </c>
      <c r="D48" t="s">
        <v>8979</v>
      </c>
      <c r="E48" t="s">
        <v>5504</v>
      </c>
      <c r="F48" t="s">
        <v>662</v>
      </c>
      <c r="G48" t="s">
        <v>8980</v>
      </c>
      <c r="H48" t="s">
        <v>8981</v>
      </c>
      <c r="I48" t="s">
        <v>3886</v>
      </c>
      <c r="J48" t="s">
        <v>9072</v>
      </c>
      <c r="K48" t="s">
        <v>5493</v>
      </c>
      <c r="L48" t="s">
        <v>3874</v>
      </c>
      <c r="M48" t="s">
        <v>3888</v>
      </c>
      <c r="N48" t="s">
        <v>8977</v>
      </c>
      <c r="O48" t="s">
        <v>9073</v>
      </c>
    </row>
    <row r="49" spans="1:15">
      <c r="A49" t="s">
        <v>3933</v>
      </c>
      <c r="B49" t="s">
        <v>8989</v>
      </c>
      <c r="C49" t="s">
        <v>8978</v>
      </c>
      <c r="D49" t="s">
        <v>8979</v>
      </c>
      <c r="E49" t="s">
        <v>5504</v>
      </c>
      <c r="F49" t="s">
        <v>662</v>
      </c>
      <c r="G49" t="s">
        <v>8980</v>
      </c>
      <c r="H49" t="s">
        <v>8981</v>
      </c>
      <c r="I49" t="s">
        <v>3886</v>
      </c>
      <c r="J49" t="s">
        <v>9074</v>
      </c>
      <c r="K49" t="s">
        <v>5493</v>
      </c>
      <c r="L49" t="s">
        <v>3883</v>
      </c>
      <c r="M49" t="s">
        <v>8984</v>
      </c>
      <c r="N49" t="s">
        <v>8991</v>
      </c>
      <c r="O49" t="s">
        <v>9075</v>
      </c>
    </row>
    <row r="50" spans="1:15">
      <c r="A50" t="s">
        <v>3934</v>
      </c>
      <c r="B50" t="s">
        <v>8991</v>
      </c>
      <c r="C50" t="s">
        <v>8978</v>
      </c>
      <c r="D50" t="s">
        <v>5490</v>
      </c>
      <c r="E50" t="s">
        <v>8995</v>
      </c>
      <c r="F50" t="s">
        <v>9005</v>
      </c>
      <c r="G50" t="s">
        <v>8997</v>
      </c>
      <c r="H50" t="s">
        <v>9009</v>
      </c>
      <c r="I50" t="s">
        <v>3886</v>
      </c>
      <c r="J50" t="s">
        <v>5492</v>
      </c>
      <c r="K50" t="s">
        <v>8985</v>
      </c>
      <c r="L50" t="s">
        <v>3888</v>
      </c>
      <c r="M50" t="s">
        <v>8977</v>
      </c>
      <c r="N50" t="s">
        <v>9010</v>
      </c>
      <c r="O50" t="s">
        <v>9076</v>
      </c>
    </row>
    <row r="51" spans="1:15">
      <c r="A51" t="s">
        <v>3935</v>
      </c>
      <c r="B51" t="s">
        <v>8991</v>
      </c>
      <c r="C51" t="s">
        <v>8978</v>
      </c>
      <c r="D51" t="s">
        <v>5490</v>
      </c>
      <c r="E51" t="s">
        <v>8995</v>
      </c>
      <c r="F51" t="s">
        <v>9005</v>
      </c>
      <c r="G51" t="s">
        <v>8997</v>
      </c>
      <c r="H51" t="s">
        <v>9009</v>
      </c>
      <c r="I51" t="s">
        <v>3886</v>
      </c>
      <c r="J51" t="s">
        <v>5492</v>
      </c>
      <c r="K51" t="s">
        <v>8985</v>
      </c>
      <c r="L51" t="s">
        <v>3888</v>
      </c>
      <c r="M51" t="s">
        <v>8977</v>
      </c>
      <c r="N51" t="s">
        <v>9010</v>
      </c>
      <c r="O51" t="s">
        <v>9076</v>
      </c>
    </row>
    <row r="52" spans="1:15">
      <c r="A52" t="s">
        <v>3936</v>
      </c>
      <c r="B52" t="s">
        <v>8991</v>
      </c>
      <c r="C52" t="s">
        <v>8978</v>
      </c>
      <c r="D52" t="s">
        <v>5490</v>
      </c>
      <c r="E52" t="s">
        <v>8995</v>
      </c>
      <c r="F52" t="s">
        <v>9005</v>
      </c>
      <c r="G52" t="s">
        <v>8997</v>
      </c>
      <c r="H52" t="s">
        <v>9009</v>
      </c>
      <c r="I52" t="s">
        <v>3886</v>
      </c>
      <c r="J52" t="s">
        <v>5492</v>
      </c>
      <c r="K52" t="s">
        <v>8985</v>
      </c>
      <c r="L52" t="s">
        <v>3888</v>
      </c>
      <c r="M52" t="s">
        <v>8977</v>
      </c>
      <c r="N52" t="s">
        <v>9010</v>
      </c>
      <c r="O52" t="s">
        <v>9076</v>
      </c>
    </row>
    <row r="53" spans="1:15">
      <c r="A53" t="s">
        <v>3937</v>
      </c>
      <c r="B53" t="s">
        <v>8991</v>
      </c>
      <c r="C53" t="s">
        <v>8978</v>
      </c>
      <c r="D53" t="s">
        <v>5490</v>
      </c>
      <c r="E53" t="s">
        <v>8995</v>
      </c>
      <c r="F53" t="s">
        <v>9005</v>
      </c>
      <c r="G53" t="s">
        <v>8997</v>
      </c>
      <c r="H53" t="s">
        <v>9009</v>
      </c>
      <c r="I53" t="s">
        <v>3886</v>
      </c>
      <c r="J53" t="s">
        <v>5492</v>
      </c>
      <c r="K53" t="s">
        <v>8985</v>
      </c>
      <c r="L53" t="s">
        <v>3888</v>
      </c>
      <c r="M53" t="s">
        <v>8977</v>
      </c>
      <c r="N53" t="s">
        <v>9010</v>
      </c>
      <c r="O53" t="s">
        <v>9076</v>
      </c>
    </row>
    <row r="54" spans="1:15">
      <c r="A54" t="s">
        <v>3938</v>
      </c>
      <c r="B54" t="s">
        <v>8991</v>
      </c>
      <c r="C54" t="s">
        <v>8978</v>
      </c>
      <c r="D54" t="s">
        <v>5490</v>
      </c>
      <c r="E54" t="s">
        <v>8995</v>
      </c>
      <c r="F54" t="s">
        <v>9005</v>
      </c>
      <c r="G54" t="s">
        <v>8997</v>
      </c>
      <c r="H54" t="s">
        <v>9009</v>
      </c>
      <c r="I54" t="s">
        <v>3886</v>
      </c>
      <c r="J54" t="s">
        <v>5492</v>
      </c>
      <c r="K54" t="s">
        <v>8985</v>
      </c>
      <c r="L54" t="s">
        <v>3888</v>
      </c>
      <c r="M54" t="s">
        <v>8977</v>
      </c>
      <c r="N54" t="s">
        <v>9010</v>
      </c>
      <c r="O54" t="s">
        <v>9076</v>
      </c>
    </row>
    <row r="55" spans="1:15">
      <c r="A55" t="s">
        <v>3939</v>
      </c>
      <c r="B55" t="s">
        <v>8991</v>
      </c>
      <c r="C55" t="s">
        <v>8978</v>
      </c>
      <c r="D55" t="s">
        <v>5490</v>
      </c>
      <c r="E55" t="s">
        <v>8995</v>
      </c>
      <c r="F55" t="s">
        <v>9005</v>
      </c>
      <c r="G55" t="s">
        <v>8997</v>
      </c>
      <c r="H55" t="s">
        <v>9009</v>
      </c>
      <c r="I55" t="s">
        <v>3886</v>
      </c>
      <c r="J55" t="s">
        <v>5492</v>
      </c>
      <c r="K55" t="s">
        <v>8985</v>
      </c>
      <c r="L55" t="s">
        <v>3888</v>
      </c>
      <c r="M55" t="s">
        <v>8977</v>
      </c>
      <c r="N55" t="s">
        <v>9010</v>
      </c>
      <c r="O55" t="s">
        <v>9076</v>
      </c>
    </row>
    <row r="56" spans="1:15">
      <c r="A56" t="s">
        <v>3940</v>
      </c>
      <c r="B56" t="s">
        <v>8991</v>
      </c>
      <c r="C56" t="s">
        <v>8978</v>
      </c>
      <c r="D56" t="s">
        <v>5490</v>
      </c>
      <c r="E56" t="s">
        <v>8995</v>
      </c>
      <c r="F56" t="s">
        <v>9005</v>
      </c>
      <c r="G56" t="s">
        <v>8997</v>
      </c>
      <c r="H56" t="s">
        <v>9009</v>
      </c>
      <c r="I56" t="s">
        <v>3886</v>
      </c>
      <c r="J56" t="s">
        <v>5492</v>
      </c>
      <c r="K56" t="s">
        <v>8985</v>
      </c>
      <c r="L56" t="s">
        <v>3888</v>
      </c>
      <c r="M56" t="s">
        <v>8977</v>
      </c>
      <c r="N56" t="s">
        <v>9010</v>
      </c>
      <c r="O56" t="s">
        <v>9076</v>
      </c>
    </row>
    <row r="57" spans="1:15">
      <c r="A57" t="s">
        <v>3941</v>
      </c>
      <c r="B57" t="s">
        <v>8991</v>
      </c>
      <c r="C57" t="s">
        <v>8978</v>
      </c>
      <c r="D57" t="s">
        <v>5490</v>
      </c>
      <c r="E57" t="s">
        <v>8995</v>
      </c>
      <c r="F57" t="s">
        <v>9005</v>
      </c>
      <c r="G57" t="s">
        <v>8997</v>
      </c>
      <c r="H57" t="s">
        <v>9009</v>
      </c>
      <c r="I57" t="s">
        <v>3886</v>
      </c>
      <c r="J57" t="s">
        <v>5492</v>
      </c>
      <c r="K57" t="s">
        <v>8985</v>
      </c>
      <c r="L57" t="s">
        <v>3888</v>
      </c>
      <c r="M57" t="s">
        <v>8977</v>
      </c>
      <c r="N57" t="s">
        <v>9010</v>
      </c>
      <c r="O57" t="s">
        <v>9076</v>
      </c>
    </row>
    <row r="58" spans="1:15">
      <c r="A58" t="s">
        <v>3942</v>
      </c>
      <c r="B58" t="s">
        <v>8991</v>
      </c>
      <c r="C58" t="s">
        <v>8978</v>
      </c>
      <c r="D58" t="s">
        <v>5490</v>
      </c>
      <c r="E58" t="s">
        <v>8995</v>
      </c>
      <c r="F58" t="s">
        <v>9005</v>
      </c>
      <c r="G58" t="s">
        <v>8997</v>
      </c>
      <c r="H58" t="s">
        <v>9009</v>
      </c>
      <c r="I58" t="s">
        <v>3886</v>
      </c>
      <c r="J58" t="s">
        <v>5492</v>
      </c>
      <c r="K58" t="s">
        <v>8985</v>
      </c>
      <c r="L58" t="s">
        <v>3888</v>
      </c>
      <c r="M58" t="s">
        <v>8977</v>
      </c>
      <c r="N58" t="s">
        <v>9010</v>
      </c>
      <c r="O58" t="s">
        <v>9076</v>
      </c>
    </row>
    <row r="59" spans="1:15">
      <c r="A59" t="s">
        <v>3943</v>
      </c>
      <c r="B59" t="s">
        <v>8991</v>
      </c>
      <c r="C59" t="s">
        <v>8978</v>
      </c>
      <c r="D59" t="s">
        <v>5490</v>
      </c>
      <c r="E59" t="s">
        <v>8995</v>
      </c>
      <c r="F59" t="s">
        <v>9005</v>
      </c>
      <c r="G59" t="s">
        <v>8997</v>
      </c>
      <c r="H59" t="s">
        <v>9009</v>
      </c>
      <c r="I59" t="s">
        <v>3886</v>
      </c>
      <c r="J59" t="s">
        <v>5492</v>
      </c>
      <c r="K59" t="s">
        <v>8985</v>
      </c>
      <c r="L59" t="s">
        <v>3888</v>
      </c>
      <c r="M59" t="s">
        <v>8977</v>
      </c>
      <c r="N59" t="s">
        <v>9010</v>
      </c>
      <c r="O59" t="s">
        <v>9076</v>
      </c>
    </row>
    <row r="60" spans="1:15">
      <c r="A60" t="s">
        <v>3944</v>
      </c>
      <c r="B60" t="s">
        <v>8991</v>
      </c>
      <c r="C60" t="s">
        <v>8978</v>
      </c>
      <c r="D60" t="s">
        <v>5490</v>
      </c>
      <c r="E60" t="s">
        <v>8995</v>
      </c>
      <c r="F60" t="s">
        <v>9005</v>
      </c>
      <c r="G60" t="s">
        <v>8997</v>
      </c>
      <c r="H60" t="s">
        <v>9009</v>
      </c>
      <c r="I60" t="s">
        <v>3886</v>
      </c>
      <c r="J60" t="s">
        <v>5492</v>
      </c>
      <c r="K60" t="s">
        <v>8985</v>
      </c>
      <c r="L60" t="s">
        <v>3888</v>
      </c>
      <c r="M60" t="s">
        <v>8977</v>
      </c>
      <c r="N60" t="s">
        <v>9010</v>
      </c>
      <c r="O60" t="s">
        <v>9076</v>
      </c>
    </row>
    <row r="61" spans="1:15">
      <c r="A61" t="s">
        <v>3945</v>
      </c>
      <c r="B61" t="s">
        <v>8991</v>
      </c>
      <c r="C61" t="s">
        <v>8978</v>
      </c>
      <c r="D61" t="s">
        <v>5490</v>
      </c>
      <c r="E61" t="s">
        <v>8995</v>
      </c>
      <c r="F61" t="s">
        <v>9005</v>
      </c>
      <c r="G61" t="s">
        <v>8997</v>
      </c>
      <c r="H61" t="s">
        <v>9009</v>
      </c>
      <c r="I61" t="s">
        <v>3886</v>
      </c>
      <c r="J61" t="s">
        <v>5492</v>
      </c>
      <c r="K61" t="s">
        <v>8985</v>
      </c>
      <c r="L61" t="s">
        <v>3888</v>
      </c>
      <c r="M61" t="s">
        <v>8977</v>
      </c>
      <c r="N61" t="s">
        <v>9010</v>
      </c>
      <c r="O61" t="s">
        <v>9076</v>
      </c>
    </row>
    <row r="62" spans="1:15">
      <c r="A62" t="s">
        <v>3946</v>
      </c>
      <c r="B62" t="s">
        <v>9010</v>
      </c>
      <c r="C62" t="s">
        <v>8978</v>
      </c>
      <c r="D62" t="s">
        <v>5490</v>
      </c>
      <c r="E62" t="s">
        <v>8995</v>
      </c>
      <c r="F62" t="s">
        <v>9005</v>
      </c>
      <c r="G62" t="s">
        <v>8997</v>
      </c>
      <c r="H62" t="s">
        <v>9054</v>
      </c>
      <c r="I62" t="s">
        <v>3888</v>
      </c>
      <c r="J62" t="s">
        <v>5492</v>
      </c>
      <c r="K62" t="s">
        <v>8985</v>
      </c>
      <c r="L62" t="s">
        <v>8984</v>
      </c>
      <c r="M62" t="s">
        <v>9008</v>
      </c>
      <c r="N62" t="s">
        <v>9021</v>
      </c>
      <c r="O62" t="s">
        <v>9077</v>
      </c>
    </row>
    <row r="63" spans="1:15">
      <c r="A63" t="s">
        <v>3947</v>
      </c>
      <c r="B63" t="s">
        <v>9019</v>
      </c>
      <c r="C63" t="s">
        <v>8978</v>
      </c>
      <c r="D63" t="s">
        <v>8979</v>
      </c>
      <c r="E63" t="s">
        <v>5504</v>
      </c>
      <c r="F63" t="s">
        <v>662</v>
      </c>
      <c r="G63" t="s">
        <v>8997</v>
      </c>
      <c r="H63" t="s">
        <v>9054</v>
      </c>
      <c r="I63" t="s">
        <v>3880</v>
      </c>
      <c r="J63" t="s">
        <v>5492</v>
      </c>
      <c r="K63" t="s">
        <v>8986</v>
      </c>
      <c r="L63" t="s">
        <v>9016</v>
      </c>
      <c r="M63" t="s">
        <v>8988</v>
      </c>
      <c r="N63" t="s">
        <v>8990</v>
      </c>
      <c r="O63" t="s">
        <v>9078</v>
      </c>
    </row>
    <row r="64" spans="1:15">
      <c r="A64" t="s">
        <v>3949</v>
      </c>
      <c r="B64" t="s">
        <v>8987</v>
      </c>
      <c r="C64" t="s">
        <v>8978</v>
      </c>
      <c r="D64" t="s">
        <v>5530</v>
      </c>
      <c r="E64" t="s">
        <v>5530</v>
      </c>
      <c r="F64" t="s">
        <v>662</v>
      </c>
      <c r="G64" t="s">
        <v>8980</v>
      </c>
      <c r="H64" t="s">
        <v>8981</v>
      </c>
      <c r="I64" t="s">
        <v>8987</v>
      </c>
      <c r="J64" t="s">
        <v>5492</v>
      </c>
      <c r="K64" t="s">
        <v>8986</v>
      </c>
      <c r="L64" t="s">
        <v>8984</v>
      </c>
      <c r="M64" t="s">
        <v>9008</v>
      </c>
      <c r="N64" t="s">
        <v>9021</v>
      </c>
      <c r="O64" t="s">
        <v>8990</v>
      </c>
    </row>
    <row r="65" spans="1:15">
      <c r="A65" t="s">
        <v>3950</v>
      </c>
      <c r="B65" t="s">
        <v>9010</v>
      </c>
      <c r="C65" t="s">
        <v>8978</v>
      </c>
      <c r="D65" t="s">
        <v>5490</v>
      </c>
      <c r="E65" t="s">
        <v>8995</v>
      </c>
      <c r="F65" t="s">
        <v>9005</v>
      </c>
      <c r="G65" t="s">
        <v>8997</v>
      </c>
      <c r="H65" t="s">
        <v>9054</v>
      </c>
      <c r="I65" t="s">
        <v>3888</v>
      </c>
      <c r="J65" t="s">
        <v>5492</v>
      </c>
      <c r="K65" t="s">
        <v>8985</v>
      </c>
      <c r="L65" t="s">
        <v>8984</v>
      </c>
      <c r="M65" t="s">
        <v>9008</v>
      </c>
      <c r="N65" t="s">
        <v>9021</v>
      </c>
      <c r="O65" t="s">
        <v>9077</v>
      </c>
    </row>
    <row r="66" spans="1:15">
      <c r="A66" t="s">
        <v>3951</v>
      </c>
      <c r="B66" t="s">
        <v>9010</v>
      </c>
      <c r="C66" t="s">
        <v>8978</v>
      </c>
      <c r="D66" t="s">
        <v>5490</v>
      </c>
      <c r="E66" t="s">
        <v>8995</v>
      </c>
      <c r="F66" t="s">
        <v>9005</v>
      </c>
      <c r="G66" t="s">
        <v>8997</v>
      </c>
      <c r="H66" t="s">
        <v>9054</v>
      </c>
      <c r="I66" t="s">
        <v>3888</v>
      </c>
      <c r="J66" t="s">
        <v>5492</v>
      </c>
      <c r="K66" t="s">
        <v>8985</v>
      </c>
      <c r="L66" t="s">
        <v>8984</v>
      </c>
      <c r="M66" t="s">
        <v>9008</v>
      </c>
      <c r="N66" t="s">
        <v>9021</v>
      </c>
      <c r="O66" t="s">
        <v>9077</v>
      </c>
    </row>
    <row r="67" spans="1:15">
      <c r="A67" t="s">
        <v>3952</v>
      </c>
      <c r="B67" t="s">
        <v>9010</v>
      </c>
      <c r="C67" t="s">
        <v>8978</v>
      </c>
      <c r="D67" t="s">
        <v>5490</v>
      </c>
      <c r="E67" t="s">
        <v>8995</v>
      </c>
      <c r="F67" t="s">
        <v>9005</v>
      </c>
      <c r="G67" t="s">
        <v>8997</v>
      </c>
      <c r="H67" t="s">
        <v>9054</v>
      </c>
      <c r="I67" t="s">
        <v>3888</v>
      </c>
      <c r="J67" t="s">
        <v>5492</v>
      </c>
      <c r="K67" t="s">
        <v>8985</v>
      </c>
      <c r="L67" t="s">
        <v>8984</v>
      </c>
      <c r="M67" t="s">
        <v>9008</v>
      </c>
      <c r="N67" t="s">
        <v>9021</v>
      </c>
      <c r="O67" t="s">
        <v>9077</v>
      </c>
    </row>
    <row r="68" spans="1:15">
      <c r="A68" t="s">
        <v>3953</v>
      </c>
      <c r="B68" t="s">
        <v>9010</v>
      </c>
      <c r="C68" t="s">
        <v>8978</v>
      </c>
      <c r="D68" t="s">
        <v>5490</v>
      </c>
      <c r="E68" t="s">
        <v>8995</v>
      </c>
      <c r="F68" t="s">
        <v>9005</v>
      </c>
      <c r="G68" t="s">
        <v>8997</v>
      </c>
      <c r="H68" t="s">
        <v>9054</v>
      </c>
      <c r="I68" t="s">
        <v>3888</v>
      </c>
      <c r="J68" t="s">
        <v>5492</v>
      </c>
      <c r="K68" t="s">
        <v>8985</v>
      </c>
      <c r="L68" t="s">
        <v>8984</v>
      </c>
      <c r="M68" t="s">
        <v>9008</v>
      </c>
      <c r="N68" t="s">
        <v>9021</v>
      </c>
      <c r="O68" t="s">
        <v>9077</v>
      </c>
    </row>
    <row r="69" spans="1:15">
      <c r="A69" t="s">
        <v>3954</v>
      </c>
      <c r="B69" t="s">
        <v>9010</v>
      </c>
      <c r="C69" t="s">
        <v>8978</v>
      </c>
      <c r="D69" t="s">
        <v>5490</v>
      </c>
      <c r="E69" t="s">
        <v>8995</v>
      </c>
      <c r="F69" t="s">
        <v>9005</v>
      </c>
      <c r="G69" t="s">
        <v>8997</v>
      </c>
      <c r="H69" t="s">
        <v>9054</v>
      </c>
      <c r="I69" t="s">
        <v>3888</v>
      </c>
      <c r="J69" t="s">
        <v>5492</v>
      </c>
      <c r="K69" t="s">
        <v>8985</v>
      </c>
      <c r="L69" t="s">
        <v>8984</v>
      </c>
      <c r="M69" t="s">
        <v>9008</v>
      </c>
      <c r="N69" t="s">
        <v>9021</v>
      </c>
      <c r="O69" t="s">
        <v>9077</v>
      </c>
    </row>
    <row r="70" spans="1:15">
      <c r="A70" t="s">
        <v>3955</v>
      </c>
      <c r="B70" t="s">
        <v>9010</v>
      </c>
      <c r="C70" t="s">
        <v>8978</v>
      </c>
      <c r="D70" t="s">
        <v>5490</v>
      </c>
      <c r="E70" t="s">
        <v>8995</v>
      </c>
      <c r="F70" t="s">
        <v>9005</v>
      </c>
      <c r="G70" t="s">
        <v>8997</v>
      </c>
      <c r="H70" t="s">
        <v>9054</v>
      </c>
      <c r="I70" t="s">
        <v>3888</v>
      </c>
      <c r="J70" t="s">
        <v>5492</v>
      </c>
      <c r="K70" t="s">
        <v>8985</v>
      </c>
      <c r="L70" t="s">
        <v>8984</v>
      </c>
      <c r="M70" t="s">
        <v>9008</v>
      </c>
      <c r="N70" t="s">
        <v>9021</v>
      </c>
      <c r="O70" t="s">
        <v>9077</v>
      </c>
    </row>
    <row r="71" spans="1:15">
      <c r="A71" t="s">
        <v>3956</v>
      </c>
      <c r="B71" t="s">
        <v>9010</v>
      </c>
      <c r="C71" t="s">
        <v>8978</v>
      </c>
      <c r="D71" t="s">
        <v>5490</v>
      </c>
      <c r="E71" t="s">
        <v>8995</v>
      </c>
      <c r="F71" t="s">
        <v>9005</v>
      </c>
      <c r="G71" t="s">
        <v>8997</v>
      </c>
      <c r="H71" t="s">
        <v>9054</v>
      </c>
      <c r="I71" t="s">
        <v>3888</v>
      </c>
      <c r="J71" t="s">
        <v>5492</v>
      </c>
      <c r="K71" t="s">
        <v>8985</v>
      </c>
      <c r="L71" t="s">
        <v>8984</v>
      </c>
      <c r="M71" t="s">
        <v>9008</v>
      </c>
      <c r="N71" t="s">
        <v>9021</v>
      </c>
      <c r="O71" t="s">
        <v>9077</v>
      </c>
    </row>
    <row r="72" spans="1:15">
      <c r="A72" t="s">
        <v>3957</v>
      </c>
      <c r="B72" t="s">
        <v>9010</v>
      </c>
      <c r="C72" t="s">
        <v>8978</v>
      </c>
      <c r="D72" t="s">
        <v>5490</v>
      </c>
      <c r="E72" t="s">
        <v>8995</v>
      </c>
      <c r="F72" t="s">
        <v>9005</v>
      </c>
      <c r="G72" t="s">
        <v>8997</v>
      </c>
      <c r="H72" t="s">
        <v>9054</v>
      </c>
      <c r="I72" t="s">
        <v>3888</v>
      </c>
      <c r="J72" t="s">
        <v>5492</v>
      </c>
      <c r="K72" t="s">
        <v>8985</v>
      </c>
      <c r="L72" t="s">
        <v>8984</v>
      </c>
      <c r="M72" t="s">
        <v>9008</v>
      </c>
      <c r="N72" t="s">
        <v>9021</v>
      </c>
      <c r="O72" t="s">
        <v>9077</v>
      </c>
    </row>
    <row r="73" spans="1:15">
      <c r="A73" t="s">
        <v>3958</v>
      </c>
      <c r="B73" t="s">
        <v>9010</v>
      </c>
      <c r="C73" t="s">
        <v>8978</v>
      </c>
      <c r="D73" t="s">
        <v>5490</v>
      </c>
      <c r="E73" t="s">
        <v>8995</v>
      </c>
      <c r="F73" t="s">
        <v>9005</v>
      </c>
      <c r="G73" t="s">
        <v>8997</v>
      </c>
      <c r="H73" t="s">
        <v>9054</v>
      </c>
      <c r="I73" t="s">
        <v>3888</v>
      </c>
      <c r="J73" t="s">
        <v>5492</v>
      </c>
      <c r="K73" t="s">
        <v>8985</v>
      </c>
      <c r="L73" t="s">
        <v>8984</v>
      </c>
      <c r="M73" t="s">
        <v>9008</v>
      </c>
      <c r="N73" t="s">
        <v>9021</v>
      </c>
      <c r="O73" t="s">
        <v>9077</v>
      </c>
    </row>
    <row r="74" spans="1:15">
      <c r="A74" t="s">
        <v>3959</v>
      </c>
      <c r="B74" t="s">
        <v>9010</v>
      </c>
      <c r="C74" t="s">
        <v>8978</v>
      </c>
      <c r="D74" t="s">
        <v>5490</v>
      </c>
      <c r="E74" t="s">
        <v>8995</v>
      </c>
      <c r="F74" t="s">
        <v>9005</v>
      </c>
      <c r="G74" t="s">
        <v>8997</v>
      </c>
      <c r="H74" t="s">
        <v>9054</v>
      </c>
      <c r="I74" t="s">
        <v>3888</v>
      </c>
      <c r="J74" t="s">
        <v>5492</v>
      </c>
      <c r="K74" t="s">
        <v>8985</v>
      </c>
      <c r="L74" t="s">
        <v>8984</v>
      </c>
      <c r="M74" t="s">
        <v>9008</v>
      </c>
      <c r="N74" t="s">
        <v>9021</v>
      </c>
      <c r="O74" t="s">
        <v>9077</v>
      </c>
    </row>
    <row r="75" spans="1:15">
      <c r="A75" t="s">
        <v>3960</v>
      </c>
      <c r="B75" t="s">
        <v>9010</v>
      </c>
      <c r="C75" t="s">
        <v>8978</v>
      </c>
      <c r="D75" t="s">
        <v>5490</v>
      </c>
      <c r="E75" t="s">
        <v>8995</v>
      </c>
      <c r="F75" t="s">
        <v>9005</v>
      </c>
      <c r="G75" t="s">
        <v>8997</v>
      </c>
      <c r="H75" t="s">
        <v>9054</v>
      </c>
      <c r="I75" t="s">
        <v>3888</v>
      </c>
      <c r="J75" t="s">
        <v>5492</v>
      </c>
      <c r="K75" t="s">
        <v>8985</v>
      </c>
      <c r="L75" t="s">
        <v>8984</v>
      </c>
      <c r="M75" t="s">
        <v>9008</v>
      </c>
      <c r="N75" t="s">
        <v>9021</v>
      </c>
      <c r="O75" t="s">
        <v>9077</v>
      </c>
    </row>
    <row r="76" spans="1:15">
      <c r="A76" t="s">
        <v>3961</v>
      </c>
      <c r="B76" t="s">
        <v>9056</v>
      </c>
      <c r="C76" t="s">
        <v>9002</v>
      </c>
      <c r="D76" t="s">
        <v>5490</v>
      </c>
      <c r="E76" t="s">
        <v>662</v>
      </c>
      <c r="F76" t="s">
        <v>8629</v>
      </c>
      <c r="G76" t="s">
        <v>9003</v>
      </c>
      <c r="H76" t="s">
        <v>3888</v>
      </c>
      <c r="I76" t="s">
        <v>9016</v>
      </c>
      <c r="J76" t="s">
        <v>5492</v>
      </c>
      <c r="K76" t="s">
        <v>9028</v>
      </c>
      <c r="L76" t="s">
        <v>8462</v>
      </c>
      <c r="M76" t="s">
        <v>9019</v>
      </c>
      <c r="N76" t="s">
        <v>8982</v>
      </c>
      <c r="O76" t="s">
        <v>9079</v>
      </c>
    </row>
    <row r="77" spans="1:15">
      <c r="A77" t="s">
        <v>3962</v>
      </c>
      <c r="B77" t="s">
        <v>9041</v>
      </c>
      <c r="C77" t="s">
        <v>8978</v>
      </c>
      <c r="D77" t="s">
        <v>5530</v>
      </c>
      <c r="E77" t="s">
        <v>5530</v>
      </c>
      <c r="F77" t="s">
        <v>662</v>
      </c>
      <c r="G77" t="s">
        <v>8997</v>
      </c>
      <c r="H77" t="s">
        <v>3880</v>
      </c>
      <c r="I77" t="s">
        <v>3886</v>
      </c>
      <c r="J77" t="s">
        <v>5492</v>
      </c>
      <c r="K77" t="s">
        <v>9020</v>
      </c>
      <c r="L77" t="s">
        <v>8462</v>
      </c>
      <c r="M77" t="s">
        <v>9019</v>
      </c>
      <c r="N77" t="s">
        <v>8982</v>
      </c>
      <c r="O77" t="s">
        <v>9080</v>
      </c>
    </row>
    <row r="78" spans="1:15">
      <c r="A78" t="s">
        <v>3963</v>
      </c>
      <c r="B78" t="s">
        <v>9041</v>
      </c>
      <c r="C78" t="s">
        <v>8978</v>
      </c>
      <c r="D78" t="s">
        <v>5530</v>
      </c>
      <c r="E78" t="s">
        <v>5530</v>
      </c>
      <c r="F78" t="s">
        <v>662</v>
      </c>
      <c r="G78" t="s">
        <v>8997</v>
      </c>
      <c r="H78" t="s">
        <v>3880</v>
      </c>
      <c r="I78" t="s">
        <v>3886</v>
      </c>
      <c r="J78" t="s">
        <v>5492</v>
      </c>
      <c r="K78" t="s">
        <v>9020</v>
      </c>
      <c r="L78" t="s">
        <v>8462</v>
      </c>
      <c r="M78" t="s">
        <v>9019</v>
      </c>
      <c r="N78" t="s">
        <v>8982</v>
      </c>
      <c r="O78" t="s">
        <v>9080</v>
      </c>
    </row>
    <row r="79" spans="1:15">
      <c r="A79" t="s">
        <v>3964</v>
      </c>
      <c r="B79" t="s">
        <v>9041</v>
      </c>
      <c r="C79" t="s">
        <v>8978</v>
      </c>
      <c r="D79" t="s">
        <v>5530</v>
      </c>
      <c r="E79" t="s">
        <v>5530</v>
      </c>
      <c r="F79" t="s">
        <v>662</v>
      </c>
      <c r="G79" t="s">
        <v>8997</v>
      </c>
      <c r="H79" t="s">
        <v>3880</v>
      </c>
      <c r="I79" t="s">
        <v>3886</v>
      </c>
      <c r="J79" t="s">
        <v>5492</v>
      </c>
      <c r="K79" t="s">
        <v>9020</v>
      </c>
      <c r="L79" t="s">
        <v>8462</v>
      </c>
      <c r="M79" t="s">
        <v>9019</v>
      </c>
      <c r="N79" t="s">
        <v>8982</v>
      </c>
      <c r="O79" t="s">
        <v>9080</v>
      </c>
    </row>
    <row r="80" spans="1:15">
      <c r="A80" t="s">
        <v>3965</v>
      </c>
      <c r="B80" t="s">
        <v>9041</v>
      </c>
      <c r="C80" t="s">
        <v>8978</v>
      </c>
      <c r="D80" t="s">
        <v>5530</v>
      </c>
      <c r="E80" t="s">
        <v>5530</v>
      </c>
      <c r="F80" t="s">
        <v>662</v>
      </c>
      <c r="G80" t="s">
        <v>8997</v>
      </c>
      <c r="H80" t="s">
        <v>3880</v>
      </c>
      <c r="I80" t="s">
        <v>3886</v>
      </c>
      <c r="J80" t="s">
        <v>5492</v>
      </c>
      <c r="K80" t="s">
        <v>9020</v>
      </c>
      <c r="L80" t="s">
        <v>8462</v>
      </c>
      <c r="M80" t="s">
        <v>9019</v>
      </c>
      <c r="N80" t="s">
        <v>8982</v>
      </c>
      <c r="O80" t="s">
        <v>9080</v>
      </c>
    </row>
    <row r="81" spans="1:15">
      <c r="A81" t="s">
        <v>3966</v>
      </c>
      <c r="B81" t="s">
        <v>9041</v>
      </c>
      <c r="C81" t="s">
        <v>8978</v>
      </c>
      <c r="D81" t="s">
        <v>5530</v>
      </c>
      <c r="E81" t="s">
        <v>5530</v>
      </c>
      <c r="F81" t="s">
        <v>662</v>
      </c>
      <c r="G81" t="s">
        <v>8997</v>
      </c>
      <c r="H81" t="s">
        <v>3880</v>
      </c>
      <c r="I81" t="s">
        <v>3886</v>
      </c>
      <c r="J81" t="s">
        <v>5492</v>
      </c>
      <c r="K81" t="s">
        <v>9020</v>
      </c>
      <c r="L81" t="s">
        <v>8462</v>
      </c>
      <c r="M81" t="s">
        <v>9019</v>
      </c>
      <c r="N81" t="s">
        <v>8982</v>
      </c>
      <c r="O81" t="s">
        <v>9080</v>
      </c>
    </row>
    <row r="82" spans="1:15">
      <c r="A82" t="s">
        <v>3967</v>
      </c>
      <c r="B82" t="s">
        <v>9041</v>
      </c>
      <c r="C82" t="s">
        <v>8978</v>
      </c>
      <c r="D82" t="s">
        <v>5530</v>
      </c>
      <c r="E82" t="s">
        <v>5530</v>
      </c>
      <c r="F82" t="s">
        <v>662</v>
      </c>
      <c r="G82" t="s">
        <v>8997</v>
      </c>
      <c r="H82" t="s">
        <v>3880</v>
      </c>
      <c r="I82" t="s">
        <v>3886</v>
      </c>
      <c r="J82" t="s">
        <v>5492</v>
      </c>
      <c r="K82" t="s">
        <v>9020</v>
      </c>
      <c r="L82" t="s">
        <v>8462</v>
      </c>
      <c r="M82" t="s">
        <v>9019</v>
      </c>
      <c r="N82" t="s">
        <v>8982</v>
      </c>
      <c r="O82" t="s">
        <v>9080</v>
      </c>
    </row>
    <row r="83" spans="1:15">
      <c r="A83" t="s">
        <v>3968</v>
      </c>
      <c r="B83" t="s">
        <v>9041</v>
      </c>
      <c r="C83" t="s">
        <v>8978</v>
      </c>
      <c r="D83" t="s">
        <v>5530</v>
      </c>
      <c r="E83" t="s">
        <v>5530</v>
      </c>
      <c r="F83" t="s">
        <v>662</v>
      </c>
      <c r="G83" t="s">
        <v>8997</v>
      </c>
      <c r="H83" t="s">
        <v>3880</v>
      </c>
      <c r="I83" t="s">
        <v>3886</v>
      </c>
      <c r="J83" t="s">
        <v>5492</v>
      </c>
      <c r="K83" t="s">
        <v>9020</v>
      </c>
      <c r="L83" t="s">
        <v>8462</v>
      </c>
      <c r="M83" t="s">
        <v>9019</v>
      </c>
      <c r="N83" t="s">
        <v>8982</v>
      </c>
      <c r="O83" t="s">
        <v>9080</v>
      </c>
    </row>
    <row r="84" spans="1:15">
      <c r="A84" t="s">
        <v>3969</v>
      </c>
      <c r="B84" t="s">
        <v>9041</v>
      </c>
      <c r="C84" t="s">
        <v>8978</v>
      </c>
      <c r="D84" t="s">
        <v>5530</v>
      </c>
      <c r="E84" t="s">
        <v>5530</v>
      </c>
      <c r="F84" t="s">
        <v>662</v>
      </c>
      <c r="G84" t="s">
        <v>8997</v>
      </c>
      <c r="H84" t="s">
        <v>3880</v>
      </c>
      <c r="I84" t="s">
        <v>3886</v>
      </c>
      <c r="J84" t="s">
        <v>5492</v>
      </c>
      <c r="K84" t="s">
        <v>9020</v>
      </c>
      <c r="L84" t="s">
        <v>8462</v>
      </c>
      <c r="M84" t="s">
        <v>9019</v>
      </c>
      <c r="N84" t="s">
        <v>8982</v>
      </c>
      <c r="O84" t="s">
        <v>9080</v>
      </c>
    </row>
    <row r="85" spans="1:15">
      <c r="A85" t="s">
        <v>3970</v>
      </c>
      <c r="B85" t="s">
        <v>9041</v>
      </c>
      <c r="C85" t="s">
        <v>8978</v>
      </c>
      <c r="D85" t="s">
        <v>5530</v>
      </c>
      <c r="E85" t="s">
        <v>5530</v>
      </c>
      <c r="F85" t="s">
        <v>662</v>
      </c>
      <c r="G85" t="s">
        <v>8997</v>
      </c>
      <c r="H85" t="s">
        <v>3880</v>
      </c>
      <c r="I85" t="s">
        <v>3886</v>
      </c>
      <c r="J85" t="s">
        <v>5492</v>
      </c>
      <c r="K85" t="s">
        <v>9020</v>
      </c>
      <c r="L85" t="s">
        <v>8462</v>
      </c>
      <c r="M85" t="s">
        <v>9019</v>
      </c>
      <c r="N85" t="s">
        <v>8982</v>
      </c>
      <c r="O85" t="s">
        <v>9080</v>
      </c>
    </row>
    <row r="86" spans="1:15">
      <c r="A86" t="s">
        <v>3971</v>
      </c>
      <c r="B86" t="s">
        <v>9041</v>
      </c>
      <c r="C86" t="s">
        <v>8978</v>
      </c>
      <c r="D86" t="s">
        <v>5530</v>
      </c>
      <c r="E86" t="s">
        <v>5530</v>
      </c>
      <c r="F86" t="s">
        <v>662</v>
      </c>
      <c r="G86" t="s">
        <v>8997</v>
      </c>
      <c r="H86" t="s">
        <v>3880</v>
      </c>
      <c r="I86" t="s">
        <v>3886</v>
      </c>
      <c r="J86" t="s">
        <v>5492</v>
      </c>
      <c r="K86" t="s">
        <v>9020</v>
      </c>
      <c r="L86" t="s">
        <v>8462</v>
      </c>
      <c r="M86" t="s">
        <v>9019</v>
      </c>
      <c r="N86" t="s">
        <v>8982</v>
      </c>
      <c r="O86" t="s">
        <v>9080</v>
      </c>
    </row>
    <row r="87" spans="1:15">
      <c r="A87" t="s">
        <v>3972</v>
      </c>
      <c r="B87" t="s">
        <v>9041</v>
      </c>
      <c r="C87" t="s">
        <v>8978</v>
      </c>
      <c r="D87" t="s">
        <v>5530</v>
      </c>
      <c r="E87" t="s">
        <v>5530</v>
      </c>
      <c r="F87" t="s">
        <v>662</v>
      </c>
      <c r="G87" t="s">
        <v>8997</v>
      </c>
      <c r="H87" t="s">
        <v>3880</v>
      </c>
      <c r="I87" t="s">
        <v>3886</v>
      </c>
      <c r="J87" t="s">
        <v>5492</v>
      </c>
      <c r="K87" t="s">
        <v>9020</v>
      </c>
      <c r="L87" t="s">
        <v>8462</v>
      </c>
      <c r="M87" t="s">
        <v>9019</v>
      </c>
      <c r="N87" t="s">
        <v>8982</v>
      </c>
      <c r="O87" t="s">
        <v>9080</v>
      </c>
    </row>
    <row r="88" spans="1:15">
      <c r="A88" t="s">
        <v>3973</v>
      </c>
      <c r="B88" t="s">
        <v>8990</v>
      </c>
      <c r="C88" t="s">
        <v>9002</v>
      </c>
      <c r="D88" t="s">
        <v>5522</v>
      </c>
      <c r="E88" t="s">
        <v>662</v>
      </c>
      <c r="F88" t="s">
        <v>8629</v>
      </c>
      <c r="G88" t="s">
        <v>8980</v>
      </c>
      <c r="H88" t="s">
        <v>8981</v>
      </c>
      <c r="I88" t="s">
        <v>9016</v>
      </c>
      <c r="J88" t="s">
        <v>5492</v>
      </c>
      <c r="K88" t="s">
        <v>9028</v>
      </c>
      <c r="L88" t="s">
        <v>9025</v>
      </c>
      <c r="M88" t="s">
        <v>8987</v>
      </c>
      <c r="N88" t="s">
        <v>9026</v>
      </c>
      <c r="O88" t="s">
        <v>9027</v>
      </c>
    </row>
    <row r="89" spans="1:15">
      <c r="A89" t="s">
        <v>3974</v>
      </c>
      <c r="B89" t="s">
        <v>8990</v>
      </c>
      <c r="C89" t="s">
        <v>8978</v>
      </c>
      <c r="D89" t="s">
        <v>9081</v>
      </c>
      <c r="E89" t="s">
        <v>9082</v>
      </c>
      <c r="F89" t="s">
        <v>9005</v>
      </c>
      <c r="G89" t="s">
        <v>8980</v>
      </c>
      <c r="H89" t="s">
        <v>8981</v>
      </c>
      <c r="I89" t="s">
        <v>3890</v>
      </c>
      <c r="J89" t="s">
        <v>8999</v>
      </c>
      <c r="K89" t="s">
        <v>9028</v>
      </c>
      <c r="L89" t="s">
        <v>9025</v>
      </c>
      <c r="M89" t="s">
        <v>8987</v>
      </c>
      <c r="N89" t="s">
        <v>9026</v>
      </c>
      <c r="O89" t="s">
        <v>9083</v>
      </c>
    </row>
    <row r="90" spans="1:15">
      <c r="A90" t="s">
        <v>3975</v>
      </c>
      <c r="B90" t="s">
        <v>8993</v>
      </c>
      <c r="C90" t="s">
        <v>9033</v>
      </c>
      <c r="D90" t="s">
        <v>9032</v>
      </c>
      <c r="E90" t="s">
        <v>662</v>
      </c>
      <c r="F90" t="s">
        <v>662</v>
      </c>
      <c r="G90" t="s">
        <v>8980</v>
      </c>
      <c r="H90" t="s">
        <v>3868</v>
      </c>
      <c r="I90" t="s">
        <v>3880</v>
      </c>
      <c r="J90" t="s">
        <v>6949</v>
      </c>
      <c r="K90" t="s">
        <v>9028</v>
      </c>
      <c r="L90" t="s">
        <v>3874</v>
      </c>
      <c r="M90" t="s">
        <v>3888</v>
      </c>
      <c r="N90" t="s">
        <v>8977</v>
      </c>
      <c r="O90" t="s">
        <v>3883</v>
      </c>
    </row>
    <row r="91" spans="1:15">
      <c r="A91" t="s">
        <v>3977</v>
      </c>
      <c r="B91" t="s">
        <v>8993</v>
      </c>
      <c r="C91" t="s">
        <v>9045</v>
      </c>
      <c r="D91" t="s">
        <v>9032</v>
      </c>
      <c r="E91" t="s">
        <v>662</v>
      </c>
      <c r="F91" t="s">
        <v>662</v>
      </c>
      <c r="G91" t="s">
        <v>8980</v>
      </c>
      <c r="H91" t="s">
        <v>3868</v>
      </c>
      <c r="I91" t="s">
        <v>3880</v>
      </c>
      <c r="J91" t="s">
        <v>6949</v>
      </c>
      <c r="K91" t="s">
        <v>9084</v>
      </c>
      <c r="L91" t="s">
        <v>3874</v>
      </c>
      <c r="M91" t="s">
        <v>3888</v>
      </c>
      <c r="N91" t="s">
        <v>8977</v>
      </c>
      <c r="O91" t="s">
        <v>3883</v>
      </c>
    </row>
    <row r="92" spans="1:15">
      <c r="A92" t="s">
        <v>3978</v>
      </c>
      <c r="B92" t="s">
        <v>8993</v>
      </c>
      <c r="C92" t="s">
        <v>9045</v>
      </c>
      <c r="D92" t="s">
        <v>9032</v>
      </c>
      <c r="E92" t="s">
        <v>662</v>
      </c>
      <c r="F92" t="s">
        <v>662</v>
      </c>
      <c r="G92" t="s">
        <v>8980</v>
      </c>
      <c r="H92" t="s">
        <v>3868</v>
      </c>
      <c r="I92" t="s">
        <v>3880</v>
      </c>
      <c r="J92" t="s">
        <v>9046</v>
      </c>
      <c r="K92" t="s">
        <v>9014</v>
      </c>
      <c r="L92" t="s">
        <v>3874</v>
      </c>
      <c r="M92" t="s">
        <v>3888</v>
      </c>
      <c r="N92" t="s">
        <v>8977</v>
      </c>
      <c r="O92" t="s">
        <v>3890</v>
      </c>
    </row>
    <row r="93" spans="1:15">
      <c r="A93" t="s">
        <v>3980</v>
      </c>
      <c r="B93" t="s">
        <v>8988</v>
      </c>
      <c r="C93" t="s">
        <v>9033</v>
      </c>
      <c r="D93" t="s">
        <v>9032</v>
      </c>
      <c r="E93" t="s">
        <v>662</v>
      </c>
      <c r="F93" t="s">
        <v>662</v>
      </c>
      <c r="G93" t="s">
        <v>8997</v>
      </c>
      <c r="H93" t="s">
        <v>3874</v>
      </c>
      <c r="I93" t="s">
        <v>3880</v>
      </c>
      <c r="J93" t="s">
        <v>6949</v>
      </c>
      <c r="K93" t="s">
        <v>9085</v>
      </c>
      <c r="L93" t="s">
        <v>3883</v>
      </c>
      <c r="M93" t="s">
        <v>8984</v>
      </c>
      <c r="N93" t="s">
        <v>8991</v>
      </c>
      <c r="O93" t="s">
        <v>3890</v>
      </c>
    </row>
    <row r="94" spans="1:15">
      <c r="A94" t="s">
        <v>3981</v>
      </c>
      <c r="B94" t="s">
        <v>8988</v>
      </c>
      <c r="C94" t="s">
        <v>9086</v>
      </c>
      <c r="D94" t="s">
        <v>9032</v>
      </c>
      <c r="E94" t="s">
        <v>662</v>
      </c>
      <c r="F94" t="s">
        <v>662</v>
      </c>
      <c r="G94" t="s">
        <v>8997</v>
      </c>
      <c r="H94" t="s">
        <v>3874</v>
      </c>
      <c r="I94" t="s">
        <v>3880</v>
      </c>
      <c r="J94" t="s">
        <v>6949</v>
      </c>
      <c r="K94" t="s">
        <v>9087</v>
      </c>
      <c r="L94" t="s">
        <v>3883</v>
      </c>
      <c r="M94" t="s">
        <v>8984</v>
      </c>
      <c r="N94" t="s">
        <v>8991</v>
      </c>
      <c r="O94" t="s">
        <v>3890</v>
      </c>
    </row>
    <row r="95" spans="1:15">
      <c r="A95" t="s">
        <v>3982</v>
      </c>
      <c r="B95" t="s">
        <v>8988</v>
      </c>
      <c r="C95" t="s">
        <v>9033</v>
      </c>
      <c r="D95" t="s">
        <v>9032</v>
      </c>
      <c r="E95" t="s">
        <v>662</v>
      </c>
      <c r="F95" t="s">
        <v>662</v>
      </c>
      <c r="G95" t="s">
        <v>8997</v>
      </c>
      <c r="H95" t="s">
        <v>3874</v>
      </c>
      <c r="I95" t="s">
        <v>3880</v>
      </c>
      <c r="J95" t="s">
        <v>8999</v>
      </c>
      <c r="K95" t="s">
        <v>8985</v>
      </c>
      <c r="L95" t="s">
        <v>3883</v>
      </c>
      <c r="M95" t="s">
        <v>8984</v>
      </c>
      <c r="N95" t="s">
        <v>8991</v>
      </c>
      <c r="O95" t="s">
        <v>9016</v>
      </c>
    </row>
    <row r="96" spans="1:15">
      <c r="A96" t="s">
        <v>3984</v>
      </c>
      <c r="B96" t="s">
        <v>8988</v>
      </c>
      <c r="C96" t="s">
        <v>9033</v>
      </c>
      <c r="D96" t="s">
        <v>9032</v>
      </c>
      <c r="E96" t="s">
        <v>662</v>
      </c>
      <c r="F96" t="s">
        <v>662</v>
      </c>
      <c r="G96" t="s">
        <v>8997</v>
      </c>
      <c r="H96" t="s">
        <v>3874</v>
      </c>
      <c r="I96" t="s">
        <v>3880</v>
      </c>
      <c r="J96" t="s">
        <v>6949</v>
      </c>
      <c r="K96" t="s">
        <v>8985</v>
      </c>
      <c r="L96" t="s">
        <v>3883</v>
      </c>
      <c r="M96" t="s">
        <v>8984</v>
      </c>
      <c r="N96" t="s">
        <v>8991</v>
      </c>
      <c r="O96" t="s">
        <v>3890</v>
      </c>
    </row>
    <row r="97" spans="1:15">
      <c r="A97" t="s">
        <v>3985</v>
      </c>
      <c r="B97" t="s">
        <v>8988</v>
      </c>
      <c r="C97" t="s">
        <v>9045</v>
      </c>
      <c r="D97" t="s">
        <v>9032</v>
      </c>
      <c r="E97" t="s">
        <v>662</v>
      </c>
      <c r="F97" t="s">
        <v>662</v>
      </c>
      <c r="G97" t="s">
        <v>8997</v>
      </c>
      <c r="H97" t="s">
        <v>3874</v>
      </c>
      <c r="I97" t="s">
        <v>3880</v>
      </c>
      <c r="J97" t="s">
        <v>6949</v>
      </c>
      <c r="K97" t="s">
        <v>9088</v>
      </c>
      <c r="L97" t="s">
        <v>3883</v>
      </c>
      <c r="M97" t="s">
        <v>8984</v>
      </c>
      <c r="N97" t="s">
        <v>8991</v>
      </c>
      <c r="O97" t="s">
        <v>3890</v>
      </c>
    </row>
    <row r="98" spans="1:15">
      <c r="A98" t="s">
        <v>3986</v>
      </c>
      <c r="B98" t="s">
        <v>9008</v>
      </c>
      <c r="C98" t="s">
        <v>9089</v>
      </c>
      <c r="D98" t="s">
        <v>9032</v>
      </c>
      <c r="E98" t="s">
        <v>662</v>
      </c>
      <c r="F98" t="s">
        <v>662</v>
      </c>
      <c r="G98" t="s">
        <v>8997</v>
      </c>
      <c r="H98" t="s">
        <v>3880</v>
      </c>
      <c r="I98" t="s">
        <v>3883</v>
      </c>
      <c r="J98" t="s">
        <v>6949</v>
      </c>
      <c r="K98" t="s">
        <v>9014</v>
      </c>
      <c r="L98" t="s">
        <v>3888</v>
      </c>
      <c r="M98" t="s">
        <v>8977</v>
      </c>
      <c r="N98" t="s">
        <v>9010</v>
      </c>
      <c r="O98" t="s">
        <v>8988</v>
      </c>
    </row>
    <row r="99" spans="1:15">
      <c r="A99" t="s">
        <v>3988</v>
      </c>
      <c r="B99" t="s">
        <v>9008</v>
      </c>
      <c r="C99" t="s">
        <v>9033</v>
      </c>
      <c r="D99" t="s">
        <v>9032</v>
      </c>
      <c r="E99" t="s">
        <v>662</v>
      </c>
      <c r="F99" t="s">
        <v>662</v>
      </c>
      <c r="G99" t="s">
        <v>8980</v>
      </c>
      <c r="H99" t="s">
        <v>3880</v>
      </c>
      <c r="I99" t="s">
        <v>3883</v>
      </c>
      <c r="J99" t="s">
        <v>6949</v>
      </c>
      <c r="K99" t="s">
        <v>9090</v>
      </c>
      <c r="L99" t="s">
        <v>3888</v>
      </c>
      <c r="M99" t="s">
        <v>8977</v>
      </c>
      <c r="N99" t="s">
        <v>9010</v>
      </c>
      <c r="O99" t="s">
        <v>8993</v>
      </c>
    </row>
    <row r="100" spans="1:15">
      <c r="A100" t="s">
        <v>3990</v>
      </c>
      <c r="B100" t="s">
        <v>9008</v>
      </c>
      <c r="C100" t="s">
        <v>9034</v>
      </c>
      <c r="D100" t="s">
        <v>9032</v>
      </c>
      <c r="E100" t="s">
        <v>662</v>
      </c>
      <c r="F100" t="s">
        <v>662</v>
      </c>
      <c r="G100" t="s">
        <v>8997</v>
      </c>
      <c r="H100" t="s">
        <v>3880</v>
      </c>
      <c r="I100" t="s">
        <v>3883</v>
      </c>
      <c r="J100" t="s">
        <v>6949</v>
      </c>
      <c r="K100" t="s">
        <v>9091</v>
      </c>
      <c r="L100" t="s">
        <v>3888</v>
      </c>
      <c r="M100" t="s">
        <v>8977</v>
      </c>
      <c r="N100" t="s">
        <v>9010</v>
      </c>
      <c r="O100" t="s">
        <v>8977</v>
      </c>
    </row>
    <row r="101" spans="1:15">
      <c r="A101" t="s">
        <v>3992</v>
      </c>
      <c r="B101" t="s">
        <v>9008</v>
      </c>
      <c r="C101" t="s">
        <v>9086</v>
      </c>
      <c r="D101" t="s">
        <v>9032</v>
      </c>
      <c r="E101" t="s">
        <v>662</v>
      </c>
      <c r="F101" t="s">
        <v>662</v>
      </c>
      <c r="G101" t="s">
        <v>8997</v>
      </c>
      <c r="H101" t="s">
        <v>3880</v>
      </c>
      <c r="I101" t="s">
        <v>3880</v>
      </c>
      <c r="J101" t="s">
        <v>6949</v>
      </c>
      <c r="K101" t="s">
        <v>8985</v>
      </c>
      <c r="L101" t="s">
        <v>3888</v>
      </c>
      <c r="M101" t="s">
        <v>8977</v>
      </c>
      <c r="N101" t="s">
        <v>9010</v>
      </c>
      <c r="O101" t="s">
        <v>8462</v>
      </c>
    </row>
    <row r="102" spans="1:15">
      <c r="A102" t="s">
        <v>3993</v>
      </c>
      <c r="B102" t="s">
        <v>9019</v>
      </c>
      <c r="C102" t="s">
        <v>9092</v>
      </c>
      <c r="D102" t="s">
        <v>9032</v>
      </c>
      <c r="E102" t="s">
        <v>662</v>
      </c>
      <c r="F102" t="s">
        <v>662</v>
      </c>
      <c r="G102" t="s">
        <v>8997</v>
      </c>
      <c r="H102" t="s">
        <v>3883</v>
      </c>
      <c r="I102" t="s">
        <v>3880</v>
      </c>
      <c r="J102" t="s">
        <v>6949</v>
      </c>
      <c r="K102" t="s">
        <v>9093</v>
      </c>
      <c r="L102" t="s">
        <v>9016</v>
      </c>
      <c r="M102" t="s">
        <v>8988</v>
      </c>
      <c r="N102" t="s">
        <v>8990</v>
      </c>
      <c r="O102" t="s">
        <v>9056</v>
      </c>
    </row>
    <row r="103" spans="1:15">
      <c r="A103" t="s">
        <v>3995</v>
      </c>
      <c r="B103" t="s">
        <v>9019</v>
      </c>
      <c r="C103" t="s">
        <v>9094</v>
      </c>
      <c r="D103" t="s">
        <v>9032</v>
      </c>
      <c r="E103" t="s">
        <v>662</v>
      </c>
      <c r="F103" t="s">
        <v>662</v>
      </c>
      <c r="G103" t="s">
        <v>8997</v>
      </c>
      <c r="H103" t="s">
        <v>3883</v>
      </c>
      <c r="I103" t="s">
        <v>3880</v>
      </c>
      <c r="J103" t="s">
        <v>9095</v>
      </c>
      <c r="K103" t="s">
        <v>7180</v>
      </c>
      <c r="L103" t="s">
        <v>9016</v>
      </c>
      <c r="M103" t="s">
        <v>8988</v>
      </c>
      <c r="N103" t="s">
        <v>8990</v>
      </c>
      <c r="O103" t="s">
        <v>8988</v>
      </c>
    </row>
    <row r="104" spans="1:15">
      <c r="A104" t="s">
        <v>3996</v>
      </c>
      <c r="B104" t="s">
        <v>9019</v>
      </c>
      <c r="C104" t="s">
        <v>9096</v>
      </c>
      <c r="D104" t="s">
        <v>9032</v>
      </c>
      <c r="E104" t="s">
        <v>662</v>
      </c>
      <c r="F104" t="s">
        <v>9005</v>
      </c>
      <c r="G104" t="s">
        <v>8997</v>
      </c>
      <c r="H104" t="s">
        <v>3883</v>
      </c>
      <c r="I104" t="s">
        <v>3886</v>
      </c>
      <c r="J104" t="s">
        <v>8999</v>
      </c>
      <c r="K104" t="s">
        <v>8985</v>
      </c>
      <c r="L104" t="s">
        <v>9016</v>
      </c>
      <c r="M104" t="s">
        <v>8988</v>
      </c>
      <c r="N104" t="s">
        <v>8990</v>
      </c>
      <c r="O104" t="s">
        <v>9010</v>
      </c>
    </row>
    <row r="105" spans="1:15">
      <c r="A105" t="s">
        <v>3998</v>
      </c>
      <c r="B105" t="s">
        <v>9019</v>
      </c>
      <c r="C105" t="s">
        <v>9045</v>
      </c>
      <c r="D105" t="s">
        <v>9032</v>
      </c>
      <c r="E105" t="s">
        <v>662</v>
      </c>
      <c r="F105" t="s">
        <v>662</v>
      </c>
      <c r="G105" t="s">
        <v>8997</v>
      </c>
      <c r="H105" t="s">
        <v>3883</v>
      </c>
      <c r="I105" t="s">
        <v>3880</v>
      </c>
      <c r="J105" t="s">
        <v>6949</v>
      </c>
      <c r="K105" t="s">
        <v>9097</v>
      </c>
      <c r="L105" t="s">
        <v>9016</v>
      </c>
      <c r="M105" t="s">
        <v>8988</v>
      </c>
      <c r="N105" t="s">
        <v>8990</v>
      </c>
      <c r="O105" t="s">
        <v>8989</v>
      </c>
    </row>
    <row r="106" spans="1:15">
      <c r="A106" t="s">
        <v>4000</v>
      </c>
      <c r="B106" t="s">
        <v>8987</v>
      </c>
      <c r="C106" t="s">
        <v>9098</v>
      </c>
      <c r="D106" t="s">
        <v>9039</v>
      </c>
      <c r="E106" t="s">
        <v>662</v>
      </c>
      <c r="F106" t="s">
        <v>9005</v>
      </c>
      <c r="G106" t="s">
        <v>8997</v>
      </c>
      <c r="H106" t="s">
        <v>3886</v>
      </c>
      <c r="I106" t="s">
        <v>3888</v>
      </c>
      <c r="J106" t="s">
        <v>6949</v>
      </c>
      <c r="K106" t="s">
        <v>8986</v>
      </c>
      <c r="L106" t="s">
        <v>8984</v>
      </c>
      <c r="M106" t="s">
        <v>9008</v>
      </c>
      <c r="N106" t="s">
        <v>9021</v>
      </c>
      <c r="O106" t="s">
        <v>9099</v>
      </c>
    </row>
    <row r="107" spans="1:15">
      <c r="A107" t="s">
        <v>4002</v>
      </c>
      <c r="B107" t="s">
        <v>9041</v>
      </c>
      <c r="C107" t="s">
        <v>9100</v>
      </c>
      <c r="D107" t="s">
        <v>9032</v>
      </c>
      <c r="E107" t="s">
        <v>662</v>
      </c>
      <c r="F107" t="s">
        <v>662</v>
      </c>
      <c r="G107" t="s">
        <v>8997</v>
      </c>
      <c r="H107" t="s">
        <v>3888</v>
      </c>
      <c r="I107" t="s">
        <v>3888</v>
      </c>
      <c r="J107" t="s">
        <v>6949</v>
      </c>
      <c r="K107" t="s">
        <v>9101</v>
      </c>
      <c r="L107" t="s">
        <v>8462</v>
      </c>
      <c r="M107" t="s">
        <v>9019</v>
      </c>
      <c r="N107" t="s">
        <v>8982</v>
      </c>
      <c r="O107" t="s">
        <v>9102</v>
      </c>
    </row>
    <row r="108" spans="1:15">
      <c r="A108" t="s">
        <v>4004</v>
      </c>
      <c r="B108" t="s">
        <v>9041</v>
      </c>
      <c r="C108" t="s">
        <v>9103</v>
      </c>
      <c r="D108" t="s">
        <v>9104</v>
      </c>
      <c r="E108" t="s">
        <v>662</v>
      </c>
      <c r="F108" t="s">
        <v>662</v>
      </c>
      <c r="G108" t="s">
        <v>9003</v>
      </c>
      <c r="H108" t="s">
        <v>3888</v>
      </c>
      <c r="I108" t="s">
        <v>3890</v>
      </c>
      <c r="J108" t="s">
        <v>5492</v>
      </c>
      <c r="K108" t="s">
        <v>9014</v>
      </c>
      <c r="L108" t="s">
        <v>8462</v>
      </c>
      <c r="M108" t="s">
        <v>9019</v>
      </c>
      <c r="N108" t="s">
        <v>8982</v>
      </c>
      <c r="O108" t="s">
        <v>9042</v>
      </c>
    </row>
    <row r="109" spans="1:15">
      <c r="A109" t="s">
        <v>4005</v>
      </c>
      <c r="B109" t="s">
        <v>8977</v>
      </c>
      <c r="C109" t="s">
        <v>8978</v>
      </c>
      <c r="D109" t="s">
        <v>8994</v>
      </c>
      <c r="E109" t="s">
        <v>8995</v>
      </c>
      <c r="F109" t="s">
        <v>8996</v>
      </c>
      <c r="G109" t="s">
        <v>8997</v>
      </c>
      <c r="H109" t="s">
        <v>8998</v>
      </c>
      <c r="I109" t="s">
        <v>3888</v>
      </c>
      <c r="J109" t="s">
        <v>9006</v>
      </c>
      <c r="K109" t="s">
        <v>8985</v>
      </c>
      <c r="L109" t="s">
        <v>3874</v>
      </c>
      <c r="M109" t="s">
        <v>3888</v>
      </c>
      <c r="N109" t="s">
        <v>8977</v>
      </c>
      <c r="O109" t="s">
        <v>9105</v>
      </c>
    </row>
    <row r="110" spans="1:15">
      <c r="A110" t="s">
        <v>4006</v>
      </c>
      <c r="B110" t="s">
        <v>9025</v>
      </c>
      <c r="C110" t="s">
        <v>9061</v>
      </c>
      <c r="D110" t="s">
        <v>5522</v>
      </c>
      <c r="E110" t="s">
        <v>662</v>
      </c>
      <c r="F110" t="s">
        <v>9062</v>
      </c>
      <c r="G110" t="s">
        <v>8980</v>
      </c>
      <c r="H110" t="s">
        <v>8981</v>
      </c>
      <c r="I110" t="s">
        <v>3888</v>
      </c>
      <c r="J110" t="s">
        <v>5492</v>
      </c>
      <c r="K110" t="s">
        <v>5493</v>
      </c>
      <c r="L110" t="s">
        <v>3874</v>
      </c>
      <c r="M110" t="s">
        <v>3888</v>
      </c>
      <c r="N110" t="s">
        <v>8977</v>
      </c>
      <c r="O110" t="s">
        <v>3883</v>
      </c>
    </row>
    <row r="111" spans="1:15">
      <c r="A111" t="s">
        <v>4007</v>
      </c>
      <c r="B111" t="s">
        <v>8462</v>
      </c>
      <c r="C111" t="s">
        <v>8978</v>
      </c>
      <c r="D111" t="s">
        <v>5530</v>
      </c>
      <c r="E111" t="s">
        <v>5530</v>
      </c>
      <c r="F111" t="s">
        <v>662</v>
      </c>
      <c r="G111" t="s">
        <v>8997</v>
      </c>
      <c r="H111" t="s">
        <v>8998</v>
      </c>
      <c r="I111" t="s">
        <v>3874</v>
      </c>
      <c r="J111" t="s">
        <v>5492</v>
      </c>
      <c r="K111" t="s">
        <v>9000</v>
      </c>
      <c r="L111" t="s">
        <v>3874</v>
      </c>
      <c r="M111" t="s">
        <v>3888</v>
      </c>
      <c r="N111" t="s">
        <v>8977</v>
      </c>
      <c r="O111" t="s">
        <v>3888</v>
      </c>
    </row>
    <row r="112" spans="1:15">
      <c r="A112" t="s">
        <v>4008</v>
      </c>
      <c r="B112" t="s">
        <v>8993</v>
      </c>
      <c r="C112" t="s">
        <v>9063</v>
      </c>
      <c r="D112" t="s">
        <v>5490</v>
      </c>
      <c r="E112" t="s">
        <v>662</v>
      </c>
      <c r="F112" t="s">
        <v>9064</v>
      </c>
      <c r="G112" t="s">
        <v>8980</v>
      </c>
      <c r="H112" t="s">
        <v>8981</v>
      </c>
      <c r="I112" t="s">
        <v>3888</v>
      </c>
      <c r="J112" t="s">
        <v>5492</v>
      </c>
      <c r="K112" t="s">
        <v>5493</v>
      </c>
      <c r="L112" t="s">
        <v>3883</v>
      </c>
      <c r="M112" t="s">
        <v>8984</v>
      </c>
      <c r="N112" t="s">
        <v>8991</v>
      </c>
      <c r="O112" t="s">
        <v>3888</v>
      </c>
    </row>
    <row r="113" spans="1:15">
      <c r="A113" t="s">
        <v>4009</v>
      </c>
      <c r="B113" t="s">
        <v>8977</v>
      </c>
      <c r="C113" t="s">
        <v>8978</v>
      </c>
      <c r="D113" t="s">
        <v>9066</v>
      </c>
      <c r="E113" t="s">
        <v>5530</v>
      </c>
      <c r="F113" t="s">
        <v>9005</v>
      </c>
      <c r="G113" t="s">
        <v>8997</v>
      </c>
      <c r="H113" t="s">
        <v>3868</v>
      </c>
      <c r="I113" t="s">
        <v>3888</v>
      </c>
      <c r="J113" t="s">
        <v>5492</v>
      </c>
      <c r="K113" t="s">
        <v>9000</v>
      </c>
      <c r="L113" t="s">
        <v>3883</v>
      </c>
      <c r="M113" t="s">
        <v>8984</v>
      </c>
      <c r="N113" t="s">
        <v>8991</v>
      </c>
      <c r="O113" t="s">
        <v>9106</v>
      </c>
    </row>
    <row r="114" spans="1:15">
      <c r="A114" t="s">
        <v>4010</v>
      </c>
      <c r="B114" t="s">
        <v>8989</v>
      </c>
      <c r="C114" t="s">
        <v>9002</v>
      </c>
      <c r="D114" t="s">
        <v>9107</v>
      </c>
      <c r="E114" t="s">
        <v>8995</v>
      </c>
      <c r="F114" t="s">
        <v>9108</v>
      </c>
      <c r="G114" t="s">
        <v>8997</v>
      </c>
      <c r="H114" t="s">
        <v>3868</v>
      </c>
      <c r="I114" t="s">
        <v>3888</v>
      </c>
      <c r="J114" t="s">
        <v>5492</v>
      </c>
      <c r="K114" t="s">
        <v>9109</v>
      </c>
      <c r="L114" t="s">
        <v>3883</v>
      </c>
      <c r="M114" t="s">
        <v>8984</v>
      </c>
      <c r="N114" t="s">
        <v>8991</v>
      </c>
      <c r="O114" t="s">
        <v>9110</v>
      </c>
    </row>
    <row r="115" spans="1:15">
      <c r="A115" t="s">
        <v>4011</v>
      </c>
      <c r="B115" t="s">
        <v>8991</v>
      </c>
      <c r="C115" t="s">
        <v>8978</v>
      </c>
      <c r="D115" t="s">
        <v>8979</v>
      </c>
      <c r="E115" t="s">
        <v>5504</v>
      </c>
      <c r="F115" t="s">
        <v>662</v>
      </c>
      <c r="G115" t="s">
        <v>8997</v>
      </c>
      <c r="H115" t="s">
        <v>9009</v>
      </c>
      <c r="I115" t="s">
        <v>9016</v>
      </c>
      <c r="J115" t="s">
        <v>8999</v>
      </c>
      <c r="K115" t="s">
        <v>8986</v>
      </c>
      <c r="L115" t="s">
        <v>3888</v>
      </c>
      <c r="M115" t="s">
        <v>8977</v>
      </c>
      <c r="N115" t="s">
        <v>9010</v>
      </c>
      <c r="O115" t="s">
        <v>9111</v>
      </c>
    </row>
    <row r="116" spans="1:15">
      <c r="A116" t="s">
        <v>4012</v>
      </c>
      <c r="B116" t="s">
        <v>8991</v>
      </c>
      <c r="C116" t="s">
        <v>8978</v>
      </c>
      <c r="D116" t="s">
        <v>8979</v>
      </c>
      <c r="E116" t="s">
        <v>5504</v>
      </c>
      <c r="F116" t="s">
        <v>662</v>
      </c>
      <c r="G116" t="s">
        <v>8980</v>
      </c>
      <c r="H116" t="s">
        <v>8981</v>
      </c>
      <c r="I116" t="s">
        <v>3880</v>
      </c>
      <c r="J116" t="s">
        <v>5492</v>
      </c>
      <c r="K116" t="s">
        <v>9000</v>
      </c>
      <c r="L116" t="s">
        <v>3888</v>
      </c>
      <c r="M116" t="s">
        <v>8977</v>
      </c>
      <c r="N116" t="s">
        <v>9010</v>
      </c>
      <c r="O116" t="s">
        <v>3883</v>
      </c>
    </row>
    <row r="117" spans="1:15">
      <c r="A117" t="s">
        <v>4014</v>
      </c>
      <c r="B117" t="s">
        <v>8989</v>
      </c>
      <c r="C117" t="s">
        <v>8978</v>
      </c>
      <c r="D117" t="s">
        <v>5530</v>
      </c>
      <c r="E117" t="s">
        <v>5530</v>
      </c>
      <c r="F117" t="s">
        <v>662</v>
      </c>
      <c r="G117" t="s">
        <v>8997</v>
      </c>
      <c r="H117" t="s">
        <v>9009</v>
      </c>
      <c r="I117" t="s">
        <v>3874</v>
      </c>
      <c r="J117" t="s">
        <v>5492</v>
      </c>
      <c r="K117" t="s">
        <v>9000</v>
      </c>
      <c r="L117" t="s">
        <v>3888</v>
      </c>
      <c r="M117" t="s">
        <v>8977</v>
      </c>
      <c r="N117" t="s">
        <v>9010</v>
      </c>
      <c r="O117" t="s">
        <v>8992</v>
      </c>
    </row>
    <row r="118" spans="1:15">
      <c r="A118" t="s">
        <v>4015</v>
      </c>
      <c r="B118" t="s">
        <v>8991</v>
      </c>
      <c r="C118" t="s">
        <v>9061</v>
      </c>
      <c r="D118" t="s">
        <v>5522</v>
      </c>
      <c r="E118" t="s">
        <v>662</v>
      </c>
      <c r="F118" t="s">
        <v>9062</v>
      </c>
      <c r="G118" t="s">
        <v>8980</v>
      </c>
      <c r="H118" t="s">
        <v>8981</v>
      </c>
      <c r="I118" t="s">
        <v>8984</v>
      </c>
      <c r="J118" t="s">
        <v>5492</v>
      </c>
      <c r="K118" t="s">
        <v>5493</v>
      </c>
      <c r="L118" t="s">
        <v>3888</v>
      </c>
      <c r="M118" t="s">
        <v>8977</v>
      </c>
      <c r="N118" t="s">
        <v>9010</v>
      </c>
      <c r="O118" t="s">
        <v>9112</v>
      </c>
    </row>
    <row r="119" spans="1:15">
      <c r="A119" t="s">
        <v>4016</v>
      </c>
      <c r="B119" t="s">
        <v>8988</v>
      </c>
      <c r="C119" t="s">
        <v>9002</v>
      </c>
      <c r="D119" t="s">
        <v>9012</v>
      </c>
      <c r="E119" t="s">
        <v>662</v>
      </c>
      <c r="F119" t="s">
        <v>8629</v>
      </c>
      <c r="G119" t="s">
        <v>9003</v>
      </c>
      <c r="H119" t="s">
        <v>3880</v>
      </c>
      <c r="I119" t="s">
        <v>3888</v>
      </c>
      <c r="J119" t="s">
        <v>5492</v>
      </c>
      <c r="K119" t="s">
        <v>5493</v>
      </c>
      <c r="L119" t="s">
        <v>3888</v>
      </c>
      <c r="M119" t="s">
        <v>8977</v>
      </c>
      <c r="N119" t="s">
        <v>9010</v>
      </c>
      <c r="O119" t="s">
        <v>3888</v>
      </c>
    </row>
    <row r="120" spans="1:15">
      <c r="A120" t="s">
        <v>4017</v>
      </c>
      <c r="B120" t="s">
        <v>8992</v>
      </c>
      <c r="C120" t="s">
        <v>9063</v>
      </c>
      <c r="D120" t="s">
        <v>5490</v>
      </c>
      <c r="E120" t="s">
        <v>662</v>
      </c>
      <c r="F120" t="s">
        <v>9064</v>
      </c>
      <c r="G120" t="s">
        <v>8980</v>
      </c>
      <c r="H120" t="s">
        <v>8981</v>
      </c>
      <c r="I120" t="s">
        <v>8984</v>
      </c>
      <c r="J120" t="s">
        <v>5492</v>
      </c>
      <c r="K120" t="s">
        <v>5493</v>
      </c>
      <c r="L120" t="s">
        <v>9016</v>
      </c>
      <c r="M120" t="s">
        <v>8988</v>
      </c>
      <c r="N120" t="s">
        <v>8990</v>
      </c>
      <c r="O120" t="s">
        <v>9065</v>
      </c>
    </row>
    <row r="121" spans="1:15">
      <c r="A121" t="s">
        <v>4018</v>
      </c>
      <c r="B121" t="s">
        <v>9008</v>
      </c>
      <c r="C121" t="s">
        <v>9061</v>
      </c>
      <c r="D121" t="s">
        <v>5490</v>
      </c>
      <c r="E121" t="s">
        <v>662</v>
      </c>
      <c r="F121" t="s">
        <v>9062</v>
      </c>
      <c r="G121" t="s">
        <v>8980</v>
      </c>
      <c r="H121" t="s">
        <v>8981</v>
      </c>
      <c r="I121" t="s">
        <v>3888</v>
      </c>
      <c r="J121" t="s">
        <v>5492</v>
      </c>
      <c r="K121" t="s">
        <v>5493</v>
      </c>
      <c r="L121" t="s">
        <v>9016</v>
      </c>
      <c r="M121" t="s">
        <v>8988</v>
      </c>
      <c r="N121" t="s">
        <v>8990</v>
      </c>
      <c r="O121" t="s">
        <v>8977</v>
      </c>
    </row>
    <row r="122" spans="1:15">
      <c r="A122" t="s">
        <v>4019</v>
      </c>
      <c r="B122" t="s">
        <v>8991</v>
      </c>
      <c r="C122" t="s">
        <v>8978</v>
      </c>
      <c r="D122" t="s">
        <v>8994</v>
      </c>
      <c r="E122" t="s">
        <v>8995</v>
      </c>
      <c r="F122" t="s">
        <v>8996</v>
      </c>
      <c r="G122" t="s">
        <v>8997</v>
      </c>
      <c r="H122" t="s">
        <v>3874</v>
      </c>
      <c r="I122" t="s">
        <v>3888</v>
      </c>
      <c r="J122" t="s">
        <v>9113</v>
      </c>
      <c r="K122" t="s">
        <v>8985</v>
      </c>
      <c r="L122" t="s">
        <v>9016</v>
      </c>
      <c r="M122" t="s">
        <v>8988</v>
      </c>
      <c r="N122" t="s">
        <v>8990</v>
      </c>
      <c r="O122" t="s">
        <v>9114</v>
      </c>
    </row>
    <row r="123" spans="1:15">
      <c r="A123" t="s">
        <v>4020</v>
      </c>
      <c r="B123" t="s">
        <v>8992</v>
      </c>
      <c r="C123" t="s">
        <v>8978</v>
      </c>
      <c r="D123" t="s">
        <v>9066</v>
      </c>
      <c r="E123" t="s">
        <v>5530</v>
      </c>
      <c r="F123" t="s">
        <v>9005</v>
      </c>
      <c r="G123" t="s">
        <v>8997</v>
      </c>
      <c r="H123" t="s">
        <v>9054</v>
      </c>
      <c r="I123" t="s">
        <v>3888</v>
      </c>
      <c r="J123" t="s">
        <v>5492</v>
      </c>
      <c r="K123" t="s">
        <v>9000</v>
      </c>
      <c r="L123" t="s">
        <v>8984</v>
      </c>
      <c r="M123" t="s">
        <v>9008</v>
      </c>
      <c r="N123" t="s">
        <v>9021</v>
      </c>
      <c r="O123" t="s">
        <v>9067</v>
      </c>
    </row>
    <row r="124" spans="1:15">
      <c r="A124" t="s">
        <v>4021</v>
      </c>
      <c r="B124" t="s">
        <v>9010</v>
      </c>
      <c r="C124" t="s">
        <v>8978</v>
      </c>
      <c r="D124" t="s">
        <v>9068</v>
      </c>
      <c r="E124" t="s">
        <v>5530</v>
      </c>
      <c r="F124" t="s">
        <v>9005</v>
      </c>
      <c r="G124" t="s">
        <v>8980</v>
      </c>
      <c r="H124" t="s">
        <v>8981</v>
      </c>
      <c r="I124" t="s">
        <v>8984</v>
      </c>
      <c r="J124" t="s">
        <v>5492</v>
      </c>
      <c r="K124" t="s">
        <v>5493</v>
      </c>
      <c r="L124" t="s">
        <v>8984</v>
      </c>
      <c r="M124" t="s">
        <v>9008</v>
      </c>
      <c r="N124" t="s">
        <v>9021</v>
      </c>
      <c r="O124" t="s">
        <v>9069</v>
      </c>
    </row>
    <row r="125" spans="1:15">
      <c r="A125" t="s">
        <v>4022</v>
      </c>
      <c r="B125" t="s">
        <v>9019</v>
      </c>
      <c r="C125" t="s">
        <v>9063</v>
      </c>
      <c r="D125" t="s">
        <v>9115</v>
      </c>
      <c r="E125" t="s">
        <v>662</v>
      </c>
      <c r="F125" t="s">
        <v>9064</v>
      </c>
      <c r="G125" t="s">
        <v>8980</v>
      </c>
      <c r="H125" t="s">
        <v>8981</v>
      </c>
      <c r="I125" t="s">
        <v>3888</v>
      </c>
      <c r="J125" t="s">
        <v>5492</v>
      </c>
      <c r="K125" t="s">
        <v>5493</v>
      </c>
      <c r="L125" t="s">
        <v>8984</v>
      </c>
      <c r="M125" t="s">
        <v>9008</v>
      </c>
      <c r="N125" t="s">
        <v>9021</v>
      </c>
      <c r="O125" t="s">
        <v>8991</v>
      </c>
    </row>
    <row r="126" spans="1:15">
      <c r="A126" t="s">
        <v>4023</v>
      </c>
      <c r="B126" t="s">
        <v>9056</v>
      </c>
      <c r="C126" t="s">
        <v>9061</v>
      </c>
      <c r="D126" t="s">
        <v>5490</v>
      </c>
      <c r="E126" t="s">
        <v>662</v>
      </c>
      <c r="F126" t="s">
        <v>9062</v>
      </c>
      <c r="G126" t="s">
        <v>8980</v>
      </c>
      <c r="H126" t="s">
        <v>8981</v>
      </c>
      <c r="I126" t="s">
        <v>3888</v>
      </c>
      <c r="J126" t="s">
        <v>5492</v>
      </c>
      <c r="K126" t="s">
        <v>5493</v>
      </c>
      <c r="L126" t="s">
        <v>8462</v>
      </c>
      <c r="M126" t="s">
        <v>9019</v>
      </c>
      <c r="N126" t="s">
        <v>8982</v>
      </c>
      <c r="O126" t="s">
        <v>9070</v>
      </c>
    </row>
    <row r="127" spans="1:15">
      <c r="A127" t="s">
        <v>4024</v>
      </c>
      <c r="B127" t="s">
        <v>9010</v>
      </c>
      <c r="C127" t="s">
        <v>9002</v>
      </c>
      <c r="D127" t="s">
        <v>9116</v>
      </c>
      <c r="E127" t="s">
        <v>8995</v>
      </c>
      <c r="F127" t="s">
        <v>9108</v>
      </c>
      <c r="G127" t="s">
        <v>8997</v>
      </c>
      <c r="H127" t="s">
        <v>3880</v>
      </c>
      <c r="I127" t="s">
        <v>3888</v>
      </c>
      <c r="J127" t="s">
        <v>5492</v>
      </c>
      <c r="K127" t="s">
        <v>5493</v>
      </c>
      <c r="L127" t="s">
        <v>8462</v>
      </c>
      <c r="M127" t="s">
        <v>9019</v>
      </c>
      <c r="N127" t="s">
        <v>8982</v>
      </c>
      <c r="O127" t="s">
        <v>9117</v>
      </c>
    </row>
    <row r="128" spans="1:15">
      <c r="A128" t="s">
        <v>4025</v>
      </c>
      <c r="B128" t="s">
        <v>8987</v>
      </c>
      <c r="C128" t="s">
        <v>9002</v>
      </c>
      <c r="D128" t="s">
        <v>9118</v>
      </c>
      <c r="E128" t="s">
        <v>662</v>
      </c>
      <c r="F128" t="s">
        <v>8629</v>
      </c>
      <c r="G128" t="s">
        <v>9003</v>
      </c>
      <c r="H128" t="s">
        <v>3888</v>
      </c>
      <c r="I128" t="s">
        <v>3888</v>
      </c>
      <c r="J128" t="s">
        <v>5492</v>
      </c>
      <c r="K128" t="s">
        <v>5493</v>
      </c>
      <c r="L128" t="s">
        <v>8462</v>
      </c>
      <c r="M128" t="s">
        <v>9019</v>
      </c>
      <c r="N128" t="s">
        <v>8982</v>
      </c>
      <c r="O128" t="s">
        <v>8991</v>
      </c>
    </row>
    <row r="129" spans="1:15">
      <c r="A129" t="s">
        <v>4026</v>
      </c>
      <c r="B129" t="s">
        <v>8990</v>
      </c>
      <c r="C129" t="s">
        <v>8978</v>
      </c>
      <c r="D129" t="s">
        <v>9068</v>
      </c>
      <c r="E129" t="s">
        <v>5530</v>
      </c>
      <c r="F129" t="s">
        <v>9005</v>
      </c>
      <c r="G129" t="s">
        <v>8980</v>
      </c>
      <c r="H129" t="s">
        <v>8981</v>
      </c>
      <c r="I129" t="s">
        <v>8984</v>
      </c>
      <c r="J129" t="s">
        <v>5492</v>
      </c>
      <c r="K129" t="s">
        <v>5493</v>
      </c>
      <c r="L129" t="s">
        <v>9025</v>
      </c>
      <c r="M129" t="s">
        <v>8987</v>
      </c>
      <c r="N129" t="s">
        <v>9026</v>
      </c>
      <c r="O129" t="s">
        <v>9071</v>
      </c>
    </row>
    <row r="130" spans="1:15">
      <c r="A130" t="s">
        <v>4028</v>
      </c>
      <c r="B130" t="s">
        <v>9041</v>
      </c>
      <c r="C130" t="s">
        <v>9063</v>
      </c>
      <c r="D130" t="s">
        <v>9115</v>
      </c>
      <c r="E130" t="s">
        <v>662</v>
      </c>
      <c r="F130" t="s">
        <v>9064</v>
      </c>
      <c r="G130" t="s">
        <v>8980</v>
      </c>
      <c r="H130" t="s">
        <v>8981</v>
      </c>
      <c r="I130" t="s">
        <v>8984</v>
      </c>
      <c r="J130" t="s">
        <v>5492</v>
      </c>
      <c r="K130" t="s">
        <v>5493</v>
      </c>
      <c r="L130" t="s">
        <v>9025</v>
      </c>
      <c r="M130" t="s">
        <v>8987</v>
      </c>
      <c r="N130" t="s">
        <v>9026</v>
      </c>
      <c r="O130" t="s">
        <v>9119</v>
      </c>
    </row>
    <row r="131" spans="1:15">
      <c r="A131" t="s">
        <v>4030</v>
      </c>
      <c r="B131" t="s">
        <v>8462</v>
      </c>
      <c r="C131" t="s">
        <v>8978</v>
      </c>
      <c r="D131" t="s">
        <v>5530</v>
      </c>
      <c r="E131" t="s">
        <v>5530</v>
      </c>
      <c r="F131" t="s">
        <v>662</v>
      </c>
      <c r="G131" t="s">
        <v>8997</v>
      </c>
      <c r="H131" t="s">
        <v>8998</v>
      </c>
      <c r="I131" t="s">
        <v>3874</v>
      </c>
      <c r="J131" t="s">
        <v>5492</v>
      </c>
      <c r="K131" t="s">
        <v>9000</v>
      </c>
      <c r="L131" t="s">
        <v>3874</v>
      </c>
      <c r="M131" t="s">
        <v>3888</v>
      </c>
      <c r="N131" t="s">
        <v>8977</v>
      </c>
      <c r="O131" t="s">
        <v>3888</v>
      </c>
    </row>
    <row r="132" spans="1:15">
      <c r="A132" t="s">
        <v>4031</v>
      </c>
      <c r="B132" t="s">
        <v>9025</v>
      </c>
      <c r="C132" t="s">
        <v>9061</v>
      </c>
      <c r="D132" t="s">
        <v>5522</v>
      </c>
      <c r="E132" t="s">
        <v>662</v>
      </c>
      <c r="F132" t="s">
        <v>9062</v>
      </c>
      <c r="G132" t="s">
        <v>8980</v>
      </c>
      <c r="H132" t="s">
        <v>8981</v>
      </c>
      <c r="I132" t="s">
        <v>3888</v>
      </c>
      <c r="J132" t="s">
        <v>5492</v>
      </c>
      <c r="K132" t="s">
        <v>5493</v>
      </c>
      <c r="L132" t="s">
        <v>3874</v>
      </c>
      <c r="M132" t="s">
        <v>3888</v>
      </c>
      <c r="N132" t="s">
        <v>8977</v>
      </c>
      <c r="O132" t="s">
        <v>3883</v>
      </c>
    </row>
    <row r="133" spans="1:15">
      <c r="A133" t="s">
        <v>4032</v>
      </c>
      <c r="B133" t="s">
        <v>8977</v>
      </c>
      <c r="C133" t="s">
        <v>8978</v>
      </c>
      <c r="D133" t="s">
        <v>8994</v>
      </c>
      <c r="E133" t="s">
        <v>8995</v>
      </c>
      <c r="F133" t="s">
        <v>8996</v>
      </c>
      <c r="G133" t="s">
        <v>8997</v>
      </c>
      <c r="H133" t="s">
        <v>8998</v>
      </c>
      <c r="I133" t="s">
        <v>3888</v>
      </c>
      <c r="J133" t="s">
        <v>9006</v>
      </c>
      <c r="K133" t="s">
        <v>8985</v>
      </c>
      <c r="L133" t="s">
        <v>3874</v>
      </c>
      <c r="M133" t="s">
        <v>3888</v>
      </c>
      <c r="N133" t="s">
        <v>8977</v>
      </c>
      <c r="O133" t="s">
        <v>9105</v>
      </c>
    </row>
    <row r="134" spans="1:15">
      <c r="A134" t="s">
        <v>4033</v>
      </c>
      <c r="B134" t="s">
        <v>8993</v>
      </c>
      <c r="C134" t="s">
        <v>9063</v>
      </c>
      <c r="D134" t="s">
        <v>5490</v>
      </c>
      <c r="E134" t="s">
        <v>662</v>
      </c>
      <c r="F134" t="s">
        <v>9064</v>
      </c>
      <c r="G134" t="s">
        <v>8980</v>
      </c>
      <c r="H134" t="s">
        <v>8981</v>
      </c>
      <c r="I134" t="s">
        <v>3888</v>
      </c>
      <c r="J134" t="s">
        <v>5492</v>
      </c>
      <c r="K134" t="s">
        <v>5493</v>
      </c>
      <c r="L134" t="s">
        <v>3883</v>
      </c>
      <c r="M134" t="s">
        <v>8984</v>
      </c>
      <c r="N134" t="s">
        <v>8991</v>
      </c>
      <c r="O134" t="s">
        <v>3888</v>
      </c>
    </row>
    <row r="135" spans="1:15">
      <c r="A135" t="s">
        <v>4034</v>
      </c>
      <c r="B135" t="s">
        <v>8977</v>
      </c>
      <c r="C135" t="s">
        <v>8978</v>
      </c>
      <c r="D135" t="s">
        <v>9066</v>
      </c>
      <c r="E135" t="s">
        <v>5530</v>
      </c>
      <c r="F135" t="s">
        <v>9005</v>
      </c>
      <c r="G135" t="s">
        <v>8997</v>
      </c>
      <c r="H135" t="s">
        <v>3868</v>
      </c>
      <c r="I135" t="s">
        <v>3888</v>
      </c>
      <c r="J135" t="s">
        <v>5492</v>
      </c>
      <c r="K135" t="s">
        <v>9000</v>
      </c>
      <c r="L135" t="s">
        <v>3883</v>
      </c>
      <c r="M135" t="s">
        <v>8984</v>
      </c>
      <c r="N135" t="s">
        <v>8991</v>
      </c>
      <c r="O135" t="s">
        <v>9106</v>
      </c>
    </row>
    <row r="136" spans="1:15">
      <c r="A136" t="s">
        <v>4035</v>
      </c>
      <c r="B136" t="s">
        <v>8989</v>
      </c>
      <c r="C136" t="s">
        <v>9002</v>
      </c>
      <c r="D136" t="s">
        <v>9107</v>
      </c>
      <c r="E136" t="s">
        <v>8995</v>
      </c>
      <c r="F136" t="s">
        <v>9108</v>
      </c>
      <c r="G136" t="s">
        <v>8997</v>
      </c>
      <c r="H136" t="s">
        <v>3868</v>
      </c>
      <c r="I136" t="s">
        <v>3888</v>
      </c>
      <c r="J136" t="s">
        <v>5492</v>
      </c>
      <c r="K136" t="s">
        <v>9109</v>
      </c>
      <c r="L136" t="s">
        <v>3883</v>
      </c>
      <c r="M136" t="s">
        <v>8984</v>
      </c>
      <c r="N136" t="s">
        <v>8991</v>
      </c>
      <c r="O136" t="s">
        <v>9110</v>
      </c>
    </row>
    <row r="137" spans="1:15">
      <c r="A137" t="s">
        <v>4036</v>
      </c>
      <c r="B137" t="s">
        <v>8989</v>
      </c>
      <c r="C137" t="s">
        <v>8978</v>
      </c>
      <c r="D137" t="s">
        <v>5530</v>
      </c>
      <c r="E137" t="s">
        <v>5530</v>
      </c>
      <c r="F137" t="s">
        <v>662</v>
      </c>
      <c r="G137" t="s">
        <v>8997</v>
      </c>
      <c r="H137" t="s">
        <v>9009</v>
      </c>
      <c r="I137" t="s">
        <v>3874</v>
      </c>
      <c r="J137" t="s">
        <v>5492</v>
      </c>
      <c r="K137" t="s">
        <v>9000</v>
      </c>
      <c r="L137" t="s">
        <v>3888</v>
      </c>
      <c r="M137" t="s">
        <v>8977</v>
      </c>
      <c r="N137" t="s">
        <v>9010</v>
      </c>
      <c r="O137" t="s">
        <v>8992</v>
      </c>
    </row>
    <row r="138" spans="1:15">
      <c r="A138" t="s">
        <v>4037</v>
      </c>
      <c r="B138" t="s">
        <v>8991</v>
      </c>
      <c r="C138" t="s">
        <v>9061</v>
      </c>
      <c r="D138" t="s">
        <v>5522</v>
      </c>
      <c r="E138" t="s">
        <v>662</v>
      </c>
      <c r="F138" t="s">
        <v>9062</v>
      </c>
      <c r="G138" t="s">
        <v>8980</v>
      </c>
      <c r="H138" t="s">
        <v>8981</v>
      </c>
      <c r="I138" t="s">
        <v>8984</v>
      </c>
      <c r="J138" t="s">
        <v>5492</v>
      </c>
      <c r="K138" t="s">
        <v>5493</v>
      </c>
      <c r="L138" t="s">
        <v>3888</v>
      </c>
      <c r="M138" t="s">
        <v>8977</v>
      </c>
      <c r="N138" t="s">
        <v>9010</v>
      </c>
      <c r="O138" t="s">
        <v>9112</v>
      </c>
    </row>
    <row r="139" spans="1:15">
      <c r="A139" t="s">
        <v>4038</v>
      </c>
      <c r="B139" t="s">
        <v>8991</v>
      </c>
      <c r="C139" t="s">
        <v>8978</v>
      </c>
      <c r="D139" t="s">
        <v>8979</v>
      </c>
      <c r="E139" t="s">
        <v>5504</v>
      </c>
      <c r="F139" t="s">
        <v>662</v>
      </c>
      <c r="G139" t="s">
        <v>8997</v>
      </c>
      <c r="H139" t="s">
        <v>9009</v>
      </c>
      <c r="I139" t="s">
        <v>9016</v>
      </c>
      <c r="J139" t="s">
        <v>8999</v>
      </c>
      <c r="K139" t="s">
        <v>8986</v>
      </c>
      <c r="L139" t="s">
        <v>3888</v>
      </c>
      <c r="M139" t="s">
        <v>8977</v>
      </c>
      <c r="N139" t="s">
        <v>9010</v>
      </c>
      <c r="O139" t="s">
        <v>9111</v>
      </c>
    </row>
    <row r="140" spans="1:15">
      <c r="A140" t="s">
        <v>4040</v>
      </c>
      <c r="B140" t="s">
        <v>8991</v>
      </c>
      <c r="C140" t="s">
        <v>8978</v>
      </c>
      <c r="D140" t="s">
        <v>8979</v>
      </c>
      <c r="E140" t="s">
        <v>5504</v>
      </c>
      <c r="F140" t="s">
        <v>662</v>
      </c>
      <c r="G140" t="s">
        <v>8980</v>
      </c>
      <c r="H140" t="s">
        <v>8981</v>
      </c>
      <c r="I140" t="s">
        <v>3880</v>
      </c>
      <c r="J140" t="s">
        <v>5492</v>
      </c>
      <c r="K140" t="s">
        <v>9000</v>
      </c>
      <c r="L140" t="s">
        <v>3888</v>
      </c>
      <c r="M140" t="s">
        <v>8977</v>
      </c>
      <c r="N140" t="s">
        <v>9010</v>
      </c>
      <c r="O140" t="s">
        <v>3883</v>
      </c>
    </row>
    <row r="141" spans="1:15">
      <c r="A141" t="s">
        <v>4042</v>
      </c>
      <c r="B141" t="s">
        <v>8988</v>
      </c>
      <c r="C141" t="s">
        <v>9002</v>
      </c>
      <c r="D141" t="s">
        <v>9012</v>
      </c>
      <c r="E141" t="s">
        <v>662</v>
      </c>
      <c r="F141" t="s">
        <v>8629</v>
      </c>
      <c r="G141" t="s">
        <v>9003</v>
      </c>
      <c r="H141" t="s">
        <v>3880</v>
      </c>
      <c r="I141" t="s">
        <v>3888</v>
      </c>
      <c r="J141" t="s">
        <v>5492</v>
      </c>
      <c r="K141" t="s">
        <v>5493</v>
      </c>
      <c r="L141" t="s">
        <v>3888</v>
      </c>
      <c r="M141" t="s">
        <v>8977</v>
      </c>
      <c r="N141" t="s">
        <v>9010</v>
      </c>
      <c r="O141" t="s">
        <v>3888</v>
      </c>
    </row>
    <row r="142" spans="1:15">
      <c r="A142" t="s">
        <v>4043</v>
      </c>
      <c r="B142" t="s">
        <v>9008</v>
      </c>
      <c r="C142" t="s">
        <v>9061</v>
      </c>
      <c r="D142" t="s">
        <v>5490</v>
      </c>
      <c r="E142" t="s">
        <v>662</v>
      </c>
      <c r="F142" t="s">
        <v>9062</v>
      </c>
      <c r="G142" t="s">
        <v>8980</v>
      </c>
      <c r="H142" t="s">
        <v>8981</v>
      </c>
      <c r="I142" t="s">
        <v>3888</v>
      </c>
      <c r="J142" t="s">
        <v>5492</v>
      </c>
      <c r="K142" t="s">
        <v>5493</v>
      </c>
      <c r="L142" t="s">
        <v>9016</v>
      </c>
      <c r="M142" t="s">
        <v>8988</v>
      </c>
      <c r="N142" t="s">
        <v>8990</v>
      </c>
      <c r="O142" t="s">
        <v>8977</v>
      </c>
    </row>
    <row r="143" spans="1:15">
      <c r="A143" t="s">
        <v>4044</v>
      </c>
      <c r="B143" t="s">
        <v>8992</v>
      </c>
      <c r="C143" t="s">
        <v>9063</v>
      </c>
      <c r="D143" t="s">
        <v>5490</v>
      </c>
      <c r="E143" t="s">
        <v>662</v>
      </c>
      <c r="F143" t="s">
        <v>9064</v>
      </c>
      <c r="G143" t="s">
        <v>8980</v>
      </c>
      <c r="H143" t="s">
        <v>8981</v>
      </c>
      <c r="I143" t="s">
        <v>8984</v>
      </c>
      <c r="J143" t="s">
        <v>5492</v>
      </c>
      <c r="K143" t="s">
        <v>5493</v>
      </c>
      <c r="L143" t="s">
        <v>9016</v>
      </c>
      <c r="M143" t="s">
        <v>8988</v>
      </c>
      <c r="N143" t="s">
        <v>8990</v>
      </c>
      <c r="O143" t="s">
        <v>9065</v>
      </c>
    </row>
    <row r="144" spans="1:15">
      <c r="A144" t="s">
        <v>4045</v>
      </c>
      <c r="B144" t="s">
        <v>8991</v>
      </c>
      <c r="C144" t="s">
        <v>8978</v>
      </c>
      <c r="D144" t="s">
        <v>8994</v>
      </c>
      <c r="E144" t="s">
        <v>8995</v>
      </c>
      <c r="F144" t="s">
        <v>8996</v>
      </c>
      <c r="G144" t="s">
        <v>8997</v>
      </c>
      <c r="H144" t="s">
        <v>3874</v>
      </c>
      <c r="I144" t="s">
        <v>3888</v>
      </c>
      <c r="J144" t="s">
        <v>9113</v>
      </c>
      <c r="K144" t="s">
        <v>8985</v>
      </c>
      <c r="L144" t="s">
        <v>9016</v>
      </c>
      <c r="M144" t="s">
        <v>8988</v>
      </c>
      <c r="N144" t="s">
        <v>8990</v>
      </c>
      <c r="O144" t="s">
        <v>9114</v>
      </c>
    </row>
    <row r="145" spans="1:15">
      <c r="A145" t="s">
        <v>4046</v>
      </c>
      <c r="B145" t="s">
        <v>8992</v>
      </c>
      <c r="C145" t="s">
        <v>8978</v>
      </c>
      <c r="D145" t="s">
        <v>9066</v>
      </c>
      <c r="E145" t="s">
        <v>5530</v>
      </c>
      <c r="F145" t="s">
        <v>9005</v>
      </c>
      <c r="G145" t="s">
        <v>8997</v>
      </c>
      <c r="H145" t="s">
        <v>9054</v>
      </c>
      <c r="I145" t="s">
        <v>3888</v>
      </c>
      <c r="J145" t="s">
        <v>5492</v>
      </c>
      <c r="K145" t="s">
        <v>9000</v>
      </c>
      <c r="L145" t="s">
        <v>8984</v>
      </c>
      <c r="M145" t="s">
        <v>9008</v>
      </c>
      <c r="N145" t="s">
        <v>9021</v>
      </c>
      <c r="O145" t="s">
        <v>9067</v>
      </c>
    </row>
    <row r="146" spans="1:15">
      <c r="A146" t="s">
        <v>4047</v>
      </c>
      <c r="B146" t="s">
        <v>9010</v>
      </c>
      <c r="C146" t="s">
        <v>8978</v>
      </c>
      <c r="D146" t="s">
        <v>9068</v>
      </c>
      <c r="E146" t="s">
        <v>5530</v>
      </c>
      <c r="F146" t="s">
        <v>9005</v>
      </c>
      <c r="G146" t="s">
        <v>8980</v>
      </c>
      <c r="H146" t="s">
        <v>8981</v>
      </c>
      <c r="I146" t="s">
        <v>8984</v>
      </c>
      <c r="J146" t="s">
        <v>5492</v>
      </c>
      <c r="K146" t="s">
        <v>5493</v>
      </c>
      <c r="L146" t="s">
        <v>8984</v>
      </c>
      <c r="M146" t="s">
        <v>9008</v>
      </c>
      <c r="N146" t="s">
        <v>9021</v>
      </c>
      <c r="O146" t="s">
        <v>9069</v>
      </c>
    </row>
    <row r="147" spans="1:15">
      <c r="A147" t="s">
        <v>4048</v>
      </c>
      <c r="B147" t="s">
        <v>9019</v>
      </c>
      <c r="C147" t="s">
        <v>9063</v>
      </c>
      <c r="D147" t="s">
        <v>9115</v>
      </c>
      <c r="E147" t="s">
        <v>662</v>
      </c>
      <c r="F147" t="s">
        <v>9064</v>
      </c>
      <c r="G147" t="s">
        <v>8980</v>
      </c>
      <c r="H147" t="s">
        <v>8981</v>
      </c>
      <c r="I147" t="s">
        <v>3888</v>
      </c>
      <c r="J147" t="s">
        <v>5492</v>
      </c>
      <c r="K147" t="s">
        <v>5493</v>
      </c>
      <c r="L147" t="s">
        <v>8984</v>
      </c>
      <c r="M147" t="s">
        <v>9008</v>
      </c>
      <c r="N147" t="s">
        <v>9021</v>
      </c>
      <c r="O147" t="s">
        <v>8991</v>
      </c>
    </row>
    <row r="148" spans="1:15">
      <c r="A148" t="s">
        <v>4049</v>
      </c>
      <c r="B148" t="s">
        <v>9056</v>
      </c>
      <c r="C148" t="s">
        <v>9061</v>
      </c>
      <c r="D148" t="s">
        <v>5490</v>
      </c>
      <c r="E148" t="s">
        <v>662</v>
      </c>
      <c r="F148" t="s">
        <v>9062</v>
      </c>
      <c r="G148" t="s">
        <v>8980</v>
      </c>
      <c r="H148" t="s">
        <v>8981</v>
      </c>
      <c r="I148" t="s">
        <v>3888</v>
      </c>
      <c r="J148" t="s">
        <v>5492</v>
      </c>
      <c r="K148" t="s">
        <v>5493</v>
      </c>
      <c r="L148" t="s">
        <v>8462</v>
      </c>
      <c r="M148" t="s">
        <v>9019</v>
      </c>
      <c r="N148" t="s">
        <v>8982</v>
      </c>
      <c r="O148" t="s">
        <v>9070</v>
      </c>
    </row>
    <row r="149" spans="1:15">
      <c r="A149" t="s">
        <v>4050</v>
      </c>
      <c r="B149" t="s">
        <v>9010</v>
      </c>
      <c r="C149" t="s">
        <v>9002</v>
      </c>
      <c r="D149" t="s">
        <v>9116</v>
      </c>
      <c r="E149" t="s">
        <v>8995</v>
      </c>
      <c r="F149" t="s">
        <v>9108</v>
      </c>
      <c r="G149" t="s">
        <v>8997</v>
      </c>
      <c r="H149" t="s">
        <v>3880</v>
      </c>
      <c r="I149" t="s">
        <v>3888</v>
      </c>
      <c r="J149" t="s">
        <v>5492</v>
      </c>
      <c r="K149" t="s">
        <v>5493</v>
      </c>
      <c r="L149" t="s">
        <v>8462</v>
      </c>
      <c r="M149" t="s">
        <v>9019</v>
      </c>
      <c r="N149" t="s">
        <v>8982</v>
      </c>
      <c r="O149" t="s">
        <v>9117</v>
      </c>
    </row>
    <row r="150" spans="1:15">
      <c r="A150" t="s">
        <v>4051</v>
      </c>
      <c r="B150" t="s">
        <v>8987</v>
      </c>
      <c r="C150" t="s">
        <v>9002</v>
      </c>
      <c r="D150" t="s">
        <v>9118</v>
      </c>
      <c r="E150" t="s">
        <v>662</v>
      </c>
      <c r="F150" t="s">
        <v>8629</v>
      </c>
      <c r="G150" t="s">
        <v>9003</v>
      </c>
      <c r="H150" t="s">
        <v>3888</v>
      </c>
      <c r="I150" t="s">
        <v>3888</v>
      </c>
      <c r="J150" t="s">
        <v>5492</v>
      </c>
      <c r="K150" t="s">
        <v>5493</v>
      </c>
      <c r="L150" t="s">
        <v>8462</v>
      </c>
      <c r="M150" t="s">
        <v>9019</v>
      </c>
      <c r="N150" t="s">
        <v>8982</v>
      </c>
      <c r="O150" t="s">
        <v>8991</v>
      </c>
    </row>
    <row r="151" spans="1:15">
      <c r="A151" t="s">
        <v>4052</v>
      </c>
      <c r="B151" t="s">
        <v>8990</v>
      </c>
      <c r="C151" t="s">
        <v>8978</v>
      </c>
      <c r="D151" t="s">
        <v>9068</v>
      </c>
      <c r="E151" t="s">
        <v>5530</v>
      </c>
      <c r="F151" t="s">
        <v>9005</v>
      </c>
      <c r="G151" t="s">
        <v>8980</v>
      </c>
      <c r="H151" t="s">
        <v>8981</v>
      </c>
      <c r="I151" t="s">
        <v>8984</v>
      </c>
      <c r="J151" t="s">
        <v>5492</v>
      </c>
      <c r="K151" t="s">
        <v>5493</v>
      </c>
      <c r="L151" t="s">
        <v>9025</v>
      </c>
      <c r="M151" t="s">
        <v>8987</v>
      </c>
      <c r="N151" t="s">
        <v>9026</v>
      </c>
      <c r="O151" t="s">
        <v>9071</v>
      </c>
    </row>
    <row r="152" spans="1:15">
      <c r="A152" t="s">
        <v>4053</v>
      </c>
      <c r="B152" t="s">
        <v>9041</v>
      </c>
      <c r="C152" t="s">
        <v>9063</v>
      </c>
      <c r="D152" t="s">
        <v>9115</v>
      </c>
      <c r="E152" t="s">
        <v>662</v>
      </c>
      <c r="F152" t="s">
        <v>9064</v>
      </c>
      <c r="G152" t="s">
        <v>8980</v>
      </c>
      <c r="H152" t="s">
        <v>8981</v>
      </c>
      <c r="I152" t="s">
        <v>8984</v>
      </c>
      <c r="J152" t="s">
        <v>5492</v>
      </c>
      <c r="K152" t="s">
        <v>5493</v>
      </c>
      <c r="L152" t="s">
        <v>9025</v>
      </c>
      <c r="M152" t="s">
        <v>8987</v>
      </c>
      <c r="N152" t="s">
        <v>9026</v>
      </c>
      <c r="O152" t="s">
        <v>9119</v>
      </c>
    </row>
    <row r="153" spans="1:15">
      <c r="A153" t="s">
        <v>4055</v>
      </c>
      <c r="B153" t="s">
        <v>8977</v>
      </c>
      <c r="C153" t="s">
        <v>8978</v>
      </c>
      <c r="D153" t="s">
        <v>8979</v>
      </c>
      <c r="E153" t="s">
        <v>662</v>
      </c>
      <c r="F153" t="s">
        <v>662</v>
      </c>
      <c r="G153" t="s">
        <v>8997</v>
      </c>
      <c r="H153" t="s">
        <v>8998</v>
      </c>
      <c r="I153" t="s">
        <v>8984</v>
      </c>
      <c r="J153" t="s">
        <v>5492</v>
      </c>
      <c r="K153" t="s">
        <v>8986</v>
      </c>
      <c r="L153" t="s">
        <v>3874</v>
      </c>
      <c r="M153" t="s">
        <v>3888</v>
      </c>
      <c r="N153" t="s">
        <v>8977</v>
      </c>
      <c r="O153" t="s">
        <v>8977</v>
      </c>
    </row>
    <row r="154" spans="1:15">
      <c r="A154" t="s">
        <v>4056</v>
      </c>
      <c r="B154" t="s">
        <v>8977</v>
      </c>
      <c r="C154" t="s">
        <v>8978</v>
      </c>
      <c r="D154" t="s">
        <v>8979</v>
      </c>
      <c r="E154" t="s">
        <v>662</v>
      </c>
      <c r="F154" t="s">
        <v>662</v>
      </c>
      <c r="G154" t="s">
        <v>8980</v>
      </c>
      <c r="H154" t="s">
        <v>8981</v>
      </c>
      <c r="I154" t="s">
        <v>8982</v>
      </c>
      <c r="J154" t="s">
        <v>7060</v>
      </c>
      <c r="K154" t="s">
        <v>7175</v>
      </c>
      <c r="L154" t="s">
        <v>3874</v>
      </c>
      <c r="M154" t="s">
        <v>3888</v>
      </c>
      <c r="N154" t="s">
        <v>8977</v>
      </c>
      <c r="O154" t="s">
        <v>3883</v>
      </c>
    </row>
    <row r="155" spans="1:15">
      <c r="A155" t="s">
        <v>4057</v>
      </c>
      <c r="B155" t="s">
        <v>8977</v>
      </c>
      <c r="C155" t="s">
        <v>8978</v>
      </c>
      <c r="D155" t="s">
        <v>8979</v>
      </c>
      <c r="E155" t="s">
        <v>662</v>
      </c>
      <c r="F155" t="s">
        <v>662</v>
      </c>
      <c r="G155" t="s">
        <v>8980</v>
      </c>
      <c r="H155" t="s">
        <v>8981</v>
      </c>
      <c r="I155" t="s">
        <v>9120</v>
      </c>
      <c r="J155" t="s">
        <v>6949</v>
      </c>
      <c r="K155" t="s">
        <v>9014</v>
      </c>
      <c r="L155" t="s">
        <v>3874</v>
      </c>
      <c r="M155" t="s">
        <v>3888</v>
      </c>
      <c r="N155" t="s">
        <v>8977</v>
      </c>
      <c r="O155" t="s">
        <v>8988</v>
      </c>
    </row>
    <row r="156" spans="1:15">
      <c r="A156" t="s">
        <v>4058</v>
      </c>
      <c r="B156" t="s">
        <v>8989</v>
      </c>
      <c r="C156" t="s">
        <v>8978</v>
      </c>
      <c r="D156" t="s">
        <v>8979</v>
      </c>
      <c r="E156" t="s">
        <v>662</v>
      </c>
      <c r="F156" t="s">
        <v>662</v>
      </c>
      <c r="G156" t="s">
        <v>8980</v>
      </c>
      <c r="H156" t="s">
        <v>8981</v>
      </c>
      <c r="I156" t="s">
        <v>9071</v>
      </c>
      <c r="J156" t="s">
        <v>7060</v>
      </c>
      <c r="K156" t="s">
        <v>7175</v>
      </c>
      <c r="L156" t="s">
        <v>3883</v>
      </c>
      <c r="M156" t="s">
        <v>8984</v>
      </c>
      <c r="N156" t="s">
        <v>8991</v>
      </c>
      <c r="O156" t="s">
        <v>9016</v>
      </c>
    </row>
    <row r="157" spans="1:15">
      <c r="A157" t="s">
        <v>4059</v>
      </c>
      <c r="B157" t="s">
        <v>8989</v>
      </c>
      <c r="C157" t="s">
        <v>8978</v>
      </c>
      <c r="D157" t="s">
        <v>8979</v>
      </c>
      <c r="E157" t="s">
        <v>662</v>
      </c>
      <c r="F157" t="s">
        <v>662</v>
      </c>
      <c r="G157" t="s">
        <v>8980</v>
      </c>
      <c r="H157" t="s">
        <v>8981</v>
      </c>
      <c r="I157" t="s">
        <v>3886</v>
      </c>
      <c r="J157" t="s">
        <v>6949</v>
      </c>
      <c r="K157" t="s">
        <v>9028</v>
      </c>
      <c r="L157" t="s">
        <v>3883</v>
      </c>
      <c r="M157" t="s">
        <v>8984</v>
      </c>
      <c r="N157" t="s">
        <v>8991</v>
      </c>
      <c r="O157" t="s">
        <v>8462</v>
      </c>
    </row>
    <row r="158" spans="1:15">
      <c r="A158" t="s">
        <v>4060</v>
      </c>
      <c r="B158" t="s">
        <v>8989</v>
      </c>
      <c r="C158" t="s">
        <v>8978</v>
      </c>
      <c r="D158" t="s">
        <v>8979</v>
      </c>
      <c r="E158" t="s">
        <v>662</v>
      </c>
      <c r="F158" t="s">
        <v>662</v>
      </c>
      <c r="G158" t="s">
        <v>8980</v>
      </c>
      <c r="H158" t="s">
        <v>8981</v>
      </c>
      <c r="I158" t="s">
        <v>9071</v>
      </c>
      <c r="J158" t="s">
        <v>5492</v>
      </c>
      <c r="K158" t="s">
        <v>9047</v>
      </c>
      <c r="L158" t="s">
        <v>3883</v>
      </c>
      <c r="M158" t="s">
        <v>8984</v>
      </c>
      <c r="N158" t="s">
        <v>8991</v>
      </c>
      <c r="O158" t="s">
        <v>3888</v>
      </c>
    </row>
    <row r="159" spans="1:15">
      <c r="A159" t="s">
        <v>4062</v>
      </c>
      <c r="B159" t="s">
        <v>8991</v>
      </c>
      <c r="C159" t="s">
        <v>8978</v>
      </c>
      <c r="D159" t="s">
        <v>8979</v>
      </c>
      <c r="E159" t="s">
        <v>662</v>
      </c>
      <c r="F159" t="s">
        <v>662</v>
      </c>
      <c r="G159" t="s">
        <v>8980</v>
      </c>
      <c r="H159" t="s">
        <v>8981</v>
      </c>
      <c r="I159" t="s">
        <v>8982</v>
      </c>
      <c r="J159" t="s">
        <v>6949</v>
      </c>
      <c r="K159" t="s">
        <v>9047</v>
      </c>
      <c r="L159" t="s">
        <v>3888</v>
      </c>
      <c r="M159" t="s">
        <v>8977</v>
      </c>
      <c r="N159" t="s">
        <v>9010</v>
      </c>
      <c r="O159" t="s">
        <v>8977</v>
      </c>
    </row>
    <row r="160" spans="1:15">
      <c r="A160" t="s">
        <v>4063</v>
      </c>
      <c r="B160" t="s">
        <v>8991</v>
      </c>
      <c r="C160" t="s">
        <v>8978</v>
      </c>
      <c r="D160" t="s">
        <v>8979</v>
      </c>
      <c r="E160" t="s">
        <v>662</v>
      </c>
      <c r="F160" t="s">
        <v>662</v>
      </c>
      <c r="G160" t="s">
        <v>9003</v>
      </c>
      <c r="H160" t="s">
        <v>3880</v>
      </c>
      <c r="I160" t="s">
        <v>9121</v>
      </c>
      <c r="J160" t="s">
        <v>5492</v>
      </c>
      <c r="K160" t="s">
        <v>9028</v>
      </c>
      <c r="L160" t="s">
        <v>3888</v>
      </c>
      <c r="M160" t="s">
        <v>8977</v>
      </c>
      <c r="N160" t="s">
        <v>9010</v>
      </c>
      <c r="O160" t="s">
        <v>9010</v>
      </c>
    </row>
    <row r="161" spans="1:15">
      <c r="A161" t="s">
        <v>4064</v>
      </c>
      <c r="B161" t="s">
        <v>8991</v>
      </c>
      <c r="C161" t="s">
        <v>8978</v>
      </c>
      <c r="D161" t="s">
        <v>8979</v>
      </c>
      <c r="E161" t="s">
        <v>662</v>
      </c>
      <c r="F161" t="s">
        <v>662</v>
      </c>
      <c r="G161" t="s">
        <v>8980</v>
      </c>
      <c r="H161" t="s">
        <v>8981</v>
      </c>
      <c r="I161" t="s">
        <v>3886</v>
      </c>
      <c r="J161" t="s">
        <v>6949</v>
      </c>
      <c r="K161" t="s">
        <v>9122</v>
      </c>
      <c r="L161" t="s">
        <v>3888</v>
      </c>
      <c r="M161" t="s">
        <v>8977</v>
      </c>
      <c r="N161" t="s">
        <v>9010</v>
      </c>
      <c r="O161" t="s">
        <v>9056</v>
      </c>
    </row>
    <row r="162" spans="1:15">
      <c r="A162" t="s">
        <v>4065</v>
      </c>
      <c r="B162" t="s">
        <v>8992</v>
      </c>
      <c r="C162" t="s">
        <v>8978</v>
      </c>
      <c r="D162" t="s">
        <v>8979</v>
      </c>
      <c r="E162" t="s">
        <v>662</v>
      </c>
      <c r="F162" t="s">
        <v>662</v>
      </c>
      <c r="G162" t="s">
        <v>9003</v>
      </c>
      <c r="H162" t="s">
        <v>3883</v>
      </c>
      <c r="I162" t="s">
        <v>3886</v>
      </c>
      <c r="J162" t="s">
        <v>6949</v>
      </c>
      <c r="K162" t="s">
        <v>9028</v>
      </c>
      <c r="L162" t="s">
        <v>9016</v>
      </c>
      <c r="M162" t="s">
        <v>8988</v>
      </c>
      <c r="N162" t="s">
        <v>8990</v>
      </c>
      <c r="O162" t="s">
        <v>8984</v>
      </c>
    </row>
    <row r="163" spans="1:15">
      <c r="A163" t="s">
        <v>4067</v>
      </c>
      <c r="B163" t="s">
        <v>8992</v>
      </c>
      <c r="C163" t="s">
        <v>8978</v>
      </c>
      <c r="D163" t="s">
        <v>8979</v>
      </c>
      <c r="E163" t="s">
        <v>662</v>
      </c>
      <c r="F163" t="s">
        <v>662</v>
      </c>
      <c r="G163" t="s">
        <v>9003</v>
      </c>
      <c r="H163" t="s">
        <v>3883</v>
      </c>
      <c r="I163" t="s">
        <v>8977</v>
      </c>
      <c r="J163" t="s">
        <v>9029</v>
      </c>
      <c r="K163" t="s">
        <v>9028</v>
      </c>
      <c r="L163" t="s">
        <v>9016</v>
      </c>
      <c r="M163" t="s">
        <v>8988</v>
      </c>
      <c r="N163" t="s">
        <v>8990</v>
      </c>
      <c r="O163" t="s">
        <v>8991</v>
      </c>
    </row>
    <row r="164" spans="1:15">
      <c r="A164" t="s">
        <v>4069</v>
      </c>
      <c r="B164" t="s">
        <v>8992</v>
      </c>
      <c r="C164" t="s">
        <v>8978</v>
      </c>
      <c r="D164" t="s">
        <v>8979</v>
      </c>
      <c r="E164" t="s">
        <v>662</v>
      </c>
      <c r="F164" t="s">
        <v>662</v>
      </c>
      <c r="G164" t="s">
        <v>9003</v>
      </c>
      <c r="H164" t="s">
        <v>3883</v>
      </c>
      <c r="I164" t="s">
        <v>9071</v>
      </c>
      <c r="J164" t="s">
        <v>9123</v>
      </c>
      <c r="K164" t="s">
        <v>9028</v>
      </c>
      <c r="L164" t="s">
        <v>9016</v>
      </c>
      <c r="M164" t="s">
        <v>8988</v>
      </c>
      <c r="N164" t="s">
        <v>8990</v>
      </c>
      <c r="O164" t="s">
        <v>8990</v>
      </c>
    </row>
    <row r="165" spans="1:15">
      <c r="A165" t="s">
        <v>4070</v>
      </c>
      <c r="B165" t="s">
        <v>8992</v>
      </c>
      <c r="C165" t="s">
        <v>8978</v>
      </c>
      <c r="D165" t="s">
        <v>5522</v>
      </c>
      <c r="E165" t="s">
        <v>662</v>
      </c>
      <c r="F165" t="s">
        <v>662</v>
      </c>
      <c r="G165" t="s">
        <v>9003</v>
      </c>
      <c r="H165" t="s">
        <v>3883</v>
      </c>
      <c r="I165" t="s">
        <v>8984</v>
      </c>
      <c r="J165" t="s">
        <v>5492</v>
      </c>
      <c r="K165" t="s">
        <v>9028</v>
      </c>
      <c r="L165" t="s">
        <v>9016</v>
      </c>
      <c r="M165" t="s">
        <v>8988</v>
      </c>
      <c r="N165" t="s">
        <v>8990</v>
      </c>
      <c r="O165" t="s">
        <v>9025</v>
      </c>
    </row>
    <row r="166" spans="1:15">
      <c r="A166" t="s">
        <v>4072</v>
      </c>
      <c r="B166" t="s">
        <v>9010</v>
      </c>
      <c r="C166" t="s">
        <v>8978</v>
      </c>
      <c r="D166" t="s">
        <v>8979</v>
      </c>
      <c r="E166" t="s">
        <v>662</v>
      </c>
      <c r="F166" t="s">
        <v>662</v>
      </c>
      <c r="G166" t="s">
        <v>9003</v>
      </c>
      <c r="H166" t="s">
        <v>3886</v>
      </c>
      <c r="I166" t="s">
        <v>9124</v>
      </c>
      <c r="J166" t="s">
        <v>7075</v>
      </c>
      <c r="K166" t="s">
        <v>9028</v>
      </c>
      <c r="L166" t="s">
        <v>8984</v>
      </c>
      <c r="M166" t="s">
        <v>9008</v>
      </c>
      <c r="N166" t="s">
        <v>9021</v>
      </c>
      <c r="O166" t="s">
        <v>9071</v>
      </c>
    </row>
    <row r="167" spans="1:15">
      <c r="A167" t="s">
        <v>4073</v>
      </c>
      <c r="B167" t="s">
        <v>9010</v>
      </c>
      <c r="C167" t="s">
        <v>8978</v>
      </c>
      <c r="D167" t="s">
        <v>8979</v>
      </c>
      <c r="E167" t="s">
        <v>662</v>
      </c>
      <c r="F167" t="s">
        <v>662</v>
      </c>
      <c r="G167" t="s">
        <v>9003</v>
      </c>
      <c r="H167" t="s">
        <v>3886</v>
      </c>
      <c r="I167" t="s">
        <v>8977</v>
      </c>
      <c r="J167" t="s">
        <v>9028</v>
      </c>
      <c r="K167" t="s">
        <v>9028</v>
      </c>
      <c r="L167" t="s">
        <v>8984</v>
      </c>
      <c r="M167" t="s">
        <v>9008</v>
      </c>
      <c r="N167" t="s">
        <v>9021</v>
      </c>
      <c r="O167" t="s">
        <v>9125</v>
      </c>
    </row>
    <row r="168" spans="1:15">
      <c r="A168" t="s">
        <v>4075</v>
      </c>
      <c r="B168" t="s">
        <v>9010</v>
      </c>
      <c r="C168" t="s">
        <v>8978</v>
      </c>
      <c r="D168" t="s">
        <v>8979</v>
      </c>
      <c r="E168" t="s">
        <v>662</v>
      </c>
      <c r="F168" t="s">
        <v>662</v>
      </c>
      <c r="G168" t="s">
        <v>9003</v>
      </c>
      <c r="H168" t="s">
        <v>3886</v>
      </c>
      <c r="I168" t="s">
        <v>8990</v>
      </c>
      <c r="J168" t="s">
        <v>9028</v>
      </c>
      <c r="K168" t="s">
        <v>9028</v>
      </c>
      <c r="L168" t="s">
        <v>8984</v>
      </c>
      <c r="M168" t="s">
        <v>9008</v>
      </c>
      <c r="N168" t="s">
        <v>9021</v>
      </c>
      <c r="O168" t="s">
        <v>8990</v>
      </c>
    </row>
    <row r="169" spans="1:15">
      <c r="A169" t="s">
        <v>4076</v>
      </c>
      <c r="B169" t="s">
        <v>9010</v>
      </c>
      <c r="C169" t="s">
        <v>8978</v>
      </c>
      <c r="D169" t="s">
        <v>8979</v>
      </c>
      <c r="E169" t="s">
        <v>662</v>
      </c>
      <c r="F169" t="s">
        <v>662</v>
      </c>
      <c r="G169" t="s">
        <v>8997</v>
      </c>
      <c r="H169" t="s">
        <v>9054</v>
      </c>
      <c r="I169" t="s">
        <v>3880</v>
      </c>
      <c r="J169" t="s">
        <v>6949</v>
      </c>
      <c r="K169" t="s">
        <v>8986</v>
      </c>
      <c r="L169" t="s">
        <v>8984</v>
      </c>
      <c r="M169" t="s">
        <v>9008</v>
      </c>
      <c r="N169" t="s">
        <v>9021</v>
      </c>
      <c r="O169" t="s">
        <v>9126</v>
      </c>
    </row>
    <row r="170" spans="1:15">
      <c r="A170" t="s">
        <v>4077</v>
      </c>
      <c r="B170" t="s">
        <v>9010</v>
      </c>
      <c r="C170" t="s">
        <v>8978</v>
      </c>
      <c r="D170" t="s">
        <v>5522</v>
      </c>
      <c r="E170" t="s">
        <v>662</v>
      </c>
      <c r="F170" t="s">
        <v>662</v>
      </c>
      <c r="G170" t="s">
        <v>9003</v>
      </c>
      <c r="H170" t="s">
        <v>3886</v>
      </c>
      <c r="I170" t="s">
        <v>8984</v>
      </c>
      <c r="J170" t="s">
        <v>6949</v>
      </c>
      <c r="K170" t="s">
        <v>9028</v>
      </c>
      <c r="L170" t="s">
        <v>8984</v>
      </c>
      <c r="M170" t="s">
        <v>9008</v>
      </c>
      <c r="N170" t="s">
        <v>9021</v>
      </c>
      <c r="O170" t="s">
        <v>8991</v>
      </c>
    </row>
    <row r="171" spans="1:15">
      <c r="A171" t="s">
        <v>4079</v>
      </c>
      <c r="B171" t="s">
        <v>9056</v>
      </c>
      <c r="C171" t="s">
        <v>8978</v>
      </c>
      <c r="D171" t="s">
        <v>8979</v>
      </c>
      <c r="E171" t="s">
        <v>662</v>
      </c>
      <c r="F171" t="s">
        <v>662</v>
      </c>
      <c r="G171" t="s">
        <v>9003</v>
      </c>
      <c r="H171" t="s">
        <v>3888</v>
      </c>
      <c r="I171" t="s">
        <v>8982</v>
      </c>
      <c r="J171" t="s">
        <v>9127</v>
      </c>
      <c r="K171" t="s">
        <v>9127</v>
      </c>
      <c r="L171" t="s">
        <v>8462</v>
      </c>
      <c r="M171" t="s">
        <v>9019</v>
      </c>
      <c r="N171" t="s">
        <v>8982</v>
      </c>
      <c r="O171" t="s">
        <v>9128</v>
      </c>
    </row>
    <row r="172" spans="1:15">
      <c r="A172" t="s">
        <v>4080</v>
      </c>
      <c r="B172" t="s">
        <v>9056</v>
      </c>
      <c r="C172" t="s">
        <v>8978</v>
      </c>
      <c r="D172" t="s">
        <v>8979</v>
      </c>
      <c r="E172" t="s">
        <v>662</v>
      </c>
      <c r="F172" t="s">
        <v>662</v>
      </c>
      <c r="G172" t="s">
        <v>9003</v>
      </c>
      <c r="H172" t="s">
        <v>3888</v>
      </c>
      <c r="I172" t="s">
        <v>9120</v>
      </c>
      <c r="J172" t="s">
        <v>7006</v>
      </c>
      <c r="K172" t="s">
        <v>9028</v>
      </c>
      <c r="L172" t="s">
        <v>8462</v>
      </c>
      <c r="M172" t="s">
        <v>9019</v>
      </c>
      <c r="N172" t="s">
        <v>8982</v>
      </c>
      <c r="O172" t="s">
        <v>9129</v>
      </c>
    </row>
    <row r="173" spans="1:15">
      <c r="A173" t="s">
        <v>4081</v>
      </c>
      <c r="B173" t="s">
        <v>9056</v>
      </c>
      <c r="C173" t="s">
        <v>8978</v>
      </c>
      <c r="D173" t="s">
        <v>8979</v>
      </c>
      <c r="E173" t="s">
        <v>662</v>
      </c>
      <c r="F173" t="s">
        <v>662</v>
      </c>
      <c r="G173" t="s">
        <v>9003</v>
      </c>
      <c r="H173" t="s">
        <v>3888</v>
      </c>
      <c r="I173" t="s">
        <v>9130</v>
      </c>
      <c r="J173" t="s">
        <v>5492</v>
      </c>
      <c r="K173" t="s">
        <v>9028</v>
      </c>
      <c r="L173" t="s">
        <v>8462</v>
      </c>
      <c r="M173" t="s">
        <v>9019</v>
      </c>
      <c r="N173" t="s">
        <v>8982</v>
      </c>
      <c r="O173" t="s">
        <v>9071</v>
      </c>
    </row>
    <row r="174" spans="1:15">
      <c r="A174" t="s">
        <v>4082</v>
      </c>
      <c r="B174" t="s">
        <v>9056</v>
      </c>
      <c r="C174" t="s">
        <v>8978</v>
      </c>
      <c r="D174" t="s">
        <v>8979</v>
      </c>
      <c r="E174" t="s">
        <v>662</v>
      </c>
      <c r="F174" t="s">
        <v>662</v>
      </c>
      <c r="G174" t="s">
        <v>8997</v>
      </c>
      <c r="H174" t="s">
        <v>3880</v>
      </c>
      <c r="I174" t="s">
        <v>9016</v>
      </c>
      <c r="J174" t="s">
        <v>5492</v>
      </c>
      <c r="K174" t="s">
        <v>9020</v>
      </c>
      <c r="L174" t="s">
        <v>8462</v>
      </c>
      <c r="M174" t="s">
        <v>9019</v>
      </c>
      <c r="N174" t="s">
        <v>8982</v>
      </c>
      <c r="O174" t="s">
        <v>9131</v>
      </c>
    </row>
    <row r="175" spans="1:15">
      <c r="A175" t="s">
        <v>4083</v>
      </c>
      <c r="B175" t="s">
        <v>9056</v>
      </c>
      <c r="C175" t="s">
        <v>8978</v>
      </c>
      <c r="D175" t="s">
        <v>8979</v>
      </c>
      <c r="E175" t="s">
        <v>662</v>
      </c>
      <c r="F175" t="s">
        <v>662</v>
      </c>
      <c r="G175" t="s">
        <v>8980</v>
      </c>
      <c r="H175" t="s">
        <v>8981</v>
      </c>
      <c r="I175" t="s">
        <v>3883</v>
      </c>
      <c r="J175" t="s">
        <v>5492</v>
      </c>
      <c r="K175" t="s">
        <v>8986</v>
      </c>
      <c r="L175" t="s">
        <v>8462</v>
      </c>
      <c r="M175" t="s">
        <v>9019</v>
      </c>
      <c r="N175" t="s">
        <v>8982</v>
      </c>
      <c r="O175" t="s">
        <v>9125</v>
      </c>
    </row>
    <row r="176" spans="1:15">
      <c r="A176" t="s">
        <v>4085</v>
      </c>
      <c r="B176" t="s">
        <v>9056</v>
      </c>
      <c r="C176" t="s">
        <v>8978</v>
      </c>
      <c r="D176" t="s">
        <v>5522</v>
      </c>
      <c r="E176" t="s">
        <v>662</v>
      </c>
      <c r="F176" t="s">
        <v>662</v>
      </c>
      <c r="G176" t="s">
        <v>9003</v>
      </c>
      <c r="H176" t="s">
        <v>3888</v>
      </c>
      <c r="I176" t="s">
        <v>3888</v>
      </c>
      <c r="J176" t="s">
        <v>6949</v>
      </c>
      <c r="K176" t="s">
        <v>9028</v>
      </c>
      <c r="L176" t="s">
        <v>8462</v>
      </c>
      <c r="M176" t="s">
        <v>9019</v>
      </c>
      <c r="N176" t="s">
        <v>8982</v>
      </c>
      <c r="O176" t="s">
        <v>8991</v>
      </c>
    </row>
    <row r="177" spans="1:15">
      <c r="A177" t="s">
        <v>4087</v>
      </c>
      <c r="B177" t="s">
        <v>8990</v>
      </c>
      <c r="C177" t="s">
        <v>8978</v>
      </c>
      <c r="D177" t="s">
        <v>8979</v>
      </c>
      <c r="E177" t="s">
        <v>662</v>
      </c>
      <c r="F177" t="s">
        <v>662</v>
      </c>
      <c r="G177" t="s">
        <v>9003</v>
      </c>
      <c r="H177" t="s">
        <v>3890</v>
      </c>
      <c r="I177" t="s">
        <v>9132</v>
      </c>
      <c r="J177" t="s">
        <v>9028</v>
      </c>
      <c r="K177" t="s">
        <v>9028</v>
      </c>
      <c r="L177" t="s">
        <v>9025</v>
      </c>
      <c r="M177" t="s">
        <v>8987</v>
      </c>
      <c r="N177" t="s">
        <v>9026</v>
      </c>
      <c r="O177" t="s">
        <v>9027</v>
      </c>
    </row>
    <row r="178" spans="1:15">
      <c r="A178" t="s">
        <v>4088</v>
      </c>
      <c r="B178" t="s">
        <v>8990</v>
      </c>
      <c r="C178" t="s">
        <v>8978</v>
      </c>
      <c r="D178" t="s">
        <v>8979</v>
      </c>
      <c r="E178" t="s">
        <v>662</v>
      </c>
      <c r="F178" t="s">
        <v>662</v>
      </c>
      <c r="G178" t="s">
        <v>8997</v>
      </c>
      <c r="H178" t="s">
        <v>9133</v>
      </c>
      <c r="I178" t="s">
        <v>9016</v>
      </c>
      <c r="J178" t="s">
        <v>5492</v>
      </c>
      <c r="K178" t="s">
        <v>8986</v>
      </c>
      <c r="L178" t="s">
        <v>9025</v>
      </c>
      <c r="M178" t="s">
        <v>8987</v>
      </c>
      <c r="N178" t="s">
        <v>9026</v>
      </c>
      <c r="O178" t="s">
        <v>9102</v>
      </c>
    </row>
    <row r="179" spans="1:15">
      <c r="A179" t="s">
        <v>4089</v>
      </c>
      <c r="B179" t="s">
        <v>8990</v>
      </c>
      <c r="C179" t="s">
        <v>8978</v>
      </c>
      <c r="D179" t="s">
        <v>8979</v>
      </c>
      <c r="E179" t="s">
        <v>662</v>
      </c>
      <c r="F179" t="s">
        <v>662</v>
      </c>
      <c r="G179" t="s">
        <v>9003</v>
      </c>
      <c r="H179" t="s">
        <v>3890</v>
      </c>
      <c r="I179" t="s">
        <v>9134</v>
      </c>
      <c r="J179" t="s">
        <v>7161</v>
      </c>
      <c r="K179" t="s">
        <v>9028</v>
      </c>
      <c r="L179" t="s">
        <v>8990</v>
      </c>
      <c r="M179" t="s">
        <v>9129</v>
      </c>
      <c r="N179" t="s">
        <v>9135</v>
      </c>
      <c r="O179" t="s">
        <v>9136</v>
      </c>
    </row>
    <row r="180" spans="1:15">
      <c r="A180" t="s">
        <v>4090</v>
      </c>
      <c r="B180" t="s">
        <v>8990</v>
      </c>
      <c r="C180" t="s">
        <v>8978</v>
      </c>
      <c r="D180" t="s">
        <v>5522</v>
      </c>
      <c r="E180" t="s">
        <v>662</v>
      </c>
      <c r="F180" t="s">
        <v>662</v>
      </c>
      <c r="G180" t="s">
        <v>8980</v>
      </c>
      <c r="H180" t="s">
        <v>8981</v>
      </c>
      <c r="I180" t="s">
        <v>3888</v>
      </c>
      <c r="J180" t="s">
        <v>6949</v>
      </c>
      <c r="K180" t="s">
        <v>9028</v>
      </c>
      <c r="L180" t="s">
        <v>9025</v>
      </c>
      <c r="M180" t="s">
        <v>8987</v>
      </c>
      <c r="N180" t="s">
        <v>9026</v>
      </c>
      <c r="O180" t="s">
        <v>9125</v>
      </c>
    </row>
    <row r="181" spans="1:15">
      <c r="A181" t="s">
        <v>4092</v>
      </c>
      <c r="B181" t="s">
        <v>9025</v>
      </c>
      <c r="C181" t="s">
        <v>8978</v>
      </c>
      <c r="D181" t="s">
        <v>8979</v>
      </c>
      <c r="E181" t="s">
        <v>5504</v>
      </c>
      <c r="F181" t="s">
        <v>662</v>
      </c>
      <c r="G181" t="s">
        <v>8980</v>
      </c>
      <c r="H181" t="s">
        <v>8981</v>
      </c>
      <c r="I181" t="s">
        <v>3886</v>
      </c>
      <c r="J181" t="s">
        <v>9072</v>
      </c>
      <c r="K181" t="s">
        <v>5493</v>
      </c>
      <c r="L181" t="s">
        <v>3874</v>
      </c>
      <c r="M181" t="s">
        <v>3888</v>
      </c>
      <c r="N181" t="s">
        <v>8977</v>
      </c>
      <c r="O181" t="s">
        <v>9073</v>
      </c>
    </row>
    <row r="182" spans="1:15">
      <c r="A182" t="s">
        <v>4093</v>
      </c>
      <c r="B182" t="s">
        <v>8993</v>
      </c>
      <c r="C182" t="s">
        <v>8978</v>
      </c>
      <c r="D182" t="s">
        <v>8979</v>
      </c>
      <c r="E182" t="s">
        <v>662</v>
      </c>
      <c r="F182" t="s">
        <v>662</v>
      </c>
      <c r="G182" t="s">
        <v>8997</v>
      </c>
      <c r="H182" t="s">
        <v>8998</v>
      </c>
      <c r="I182" t="s">
        <v>3880</v>
      </c>
      <c r="J182" t="s">
        <v>5492</v>
      </c>
      <c r="K182" t="s">
        <v>9137</v>
      </c>
      <c r="L182" t="s">
        <v>3874</v>
      </c>
      <c r="M182" t="s">
        <v>3888</v>
      </c>
      <c r="N182" t="s">
        <v>8977</v>
      </c>
      <c r="O182" t="s">
        <v>9138</v>
      </c>
    </row>
    <row r="183" spans="1:15">
      <c r="A183" t="s">
        <v>4095</v>
      </c>
      <c r="B183" t="s">
        <v>8989</v>
      </c>
      <c r="C183" t="s">
        <v>8978</v>
      </c>
      <c r="D183" t="s">
        <v>8979</v>
      </c>
      <c r="E183" t="s">
        <v>662</v>
      </c>
      <c r="F183" t="s">
        <v>662</v>
      </c>
      <c r="G183" t="s">
        <v>8997</v>
      </c>
      <c r="H183" t="s">
        <v>3868</v>
      </c>
      <c r="I183" t="s">
        <v>8984</v>
      </c>
      <c r="J183" t="s">
        <v>5492</v>
      </c>
      <c r="K183" t="s">
        <v>8986</v>
      </c>
      <c r="L183" t="s">
        <v>3883</v>
      </c>
      <c r="M183" t="s">
        <v>8984</v>
      </c>
      <c r="N183" t="s">
        <v>8991</v>
      </c>
      <c r="O183" t="s">
        <v>9139</v>
      </c>
    </row>
    <row r="184" spans="1:15">
      <c r="A184" t="s">
        <v>4096</v>
      </c>
      <c r="B184" t="s">
        <v>8991</v>
      </c>
      <c r="C184" t="s">
        <v>9002</v>
      </c>
      <c r="D184" t="s">
        <v>9140</v>
      </c>
      <c r="E184" t="s">
        <v>8995</v>
      </c>
      <c r="F184" t="s">
        <v>9108</v>
      </c>
      <c r="G184" t="s">
        <v>8997</v>
      </c>
      <c r="H184" t="s">
        <v>3868</v>
      </c>
      <c r="I184" t="s">
        <v>8984</v>
      </c>
      <c r="J184" t="s">
        <v>9006</v>
      </c>
      <c r="K184" t="s">
        <v>9020</v>
      </c>
      <c r="L184" t="s">
        <v>3888</v>
      </c>
      <c r="M184" t="s">
        <v>8977</v>
      </c>
      <c r="N184" t="s">
        <v>9010</v>
      </c>
      <c r="O184" t="s">
        <v>9141</v>
      </c>
    </row>
    <row r="185" spans="1:15">
      <c r="A185" t="s">
        <v>4097</v>
      </c>
      <c r="B185" t="s">
        <v>8991</v>
      </c>
      <c r="C185" t="s">
        <v>8978</v>
      </c>
      <c r="D185" t="s">
        <v>8979</v>
      </c>
      <c r="E185" t="s">
        <v>662</v>
      </c>
      <c r="F185" t="s">
        <v>662</v>
      </c>
      <c r="G185" t="s">
        <v>8997</v>
      </c>
      <c r="H185" t="s">
        <v>9009</v>
      </c>
      <c r="I185" t="s">
        <v>3888</v>
      </c>
      <c r="J185" t="s">
        <v>5492</v>
      </c>
      <c r="K185" t="s">
        <v>8986</v>
      </c>
      <c r="L185" t="s">
        <v>3888</v>
      </c>
      <c r="M185" t="s">
        <v>8977</v>
      </c>
      <c r="N185" t="s">
        <v>9010</v>
      </c>
      <c r="O185" t="s">
        <v>9142</v>
      </c>
    </row>
    <row r="186" spans="1:15">
      <c r="A186" t="s">
        <v>4098</v>
      </c>
      <c r="B186" t="s">
        <v>8991</v>
      </c>
      <c r="C186" t="s">
        <v>9002</v>
      </c>
      <c r="D186" t="s">
        <v>9017</v>
      </c>
      <c r="E186" t="s">
        <v>662</v>
      </c>
      <c r="F186" t="s">
        <v>8629</v>
      </c>
      <c r="G186" t="s">
        <v>9003</v>
      </c>
      <c r="H186" t="s">
        <v>3880</v>
      </c>
      <c r="I186" t="s">
        <v>8984</v>
      </c>
      <c r="J186" t="s">
        <v>5492</v>
      </c>
      <c r="K186" t="s">
        <v>9109</v>
      </c>
      <c r="L186" t="s">
        <v>3888</v>
      </c>
      <c r="M186" t="s">
        <v>8977</v>
      </c>
      <c r="N186" t="s">
        <v>9010</v>
      </c>
      <c r="O186" t="s">
        <v>8977</v>
      </c>
    </row>
    <row r="187" spans="1:15">
      <c r="A187" t="s">
        <v>4099</v>
      </c>
      <c r="B187" t="s">
        <v>8992</v>
      </c>
      <c r="C187" t="s">
        <v>9002</v>
      </c>
      <c r="D187" t="s">
        <v>9143</v>
      </c>
      <c r="E187" t="s">
        <v>662</v>
      </c>
      <c r="F187" t="s">
        <v>8629</v>
      </c>
      <c r="G187" t="s">
        <v>9003</v>
      </c>
      <c r="H187" t="s">
        <v>3883</v>
      </c>
      <c r="I187" t="s">
        <v>9044</v>
      </c>
      <c r="J187" t="s">
        <v>9144</v>
      </c>
      <c r="K187" t="s">
        <v>8986</v>
      </c>
      <c r="L187" t="s">
        <v>9016</v>
      </c>
      <c r="M187" t="s">
        <v>8988</v>
      </c>
      <c r="N187" t="s">
        <v>8990</v>
      </c>
      <c r="O187" t="s">
        <v>9145</v>
      </c>
    </row>
    <row r="188" spans="1:15">
      <c r="A188" t="s">
        <v>4100</v>
      </c>
      <c r="B188" t="s">
        <v>8992</v>
      </c>
      <c r="C188" t="s">
        <v>9002</v>
      </c>
      <c r="D188" t="s">
        <v>5522</v>
      </c>
      <c r="E188" t="s">
        <v>662</v>
      </c>
      <c r="F188" t="s">
        <v>8629</v>
      </c>
      <c r="G188" t="s">
        <v>9003</v>
      </c>
      <c r="H188" t="s">
        <v>3883</v>
      </c>
      <c r="I188" t="s">
        <v>8977</v>
      </c>
      <c r="J188" t="s">
        <v>5492</v>
      </c>
      <c r="K188" t="s">
        <v>9052</v>
      </c>
      <c r="L188" t="s">
        <v>9016</v>
      </c>
      <c r="M188" t="s">
        <v>8988</v>
      </c>
      <c r="N188" t="s">
        <v>8990</v>
      </c>
      <c r="O188" t="s">
        <v>8992</v>
      </c>
    </row>
    <row r="189" spans="1:15">
      <c r="A189" t="s">
        <v>4101</v>
      </c>
      <c r="B189" t="s">
        <v>9019</v>
      </c>
      <c r="C189" t="s">
        <v>9002</v>
      </c>
      <c r="D189" t="s">
        <v>9017</v>
      </c>
      <c r="E189" t="s">
        <v>662</v>
      </c>
      <c r="F189" t="s">
        <v>8629</v>
      </c>
      <c r="G189" t="s">
        <v>9003</v>
      </c>
      <c r="H189" t="s">
        <v>3886</v>
      </c>
      <c r="I189" t="s">
        <v>8992</v>
      </c>
      <c r="J189" t="s">
        <v>5492</v>
      </c>
      <c r="K189" t="s">
        <v>9000</v>
      </c>
      <c r="L189" t="s">
        <v>8984</v>
      </c>
      <c r="M189" t="s">
        <v>9008</v>
      </c>
      <c r="N189" t="s">
        <v>9021</v>
      </c>
      <c r="O189" t="s">
        <v>9067</v>
      </c>
    </row>
    <row r="190" spans="1:15">
      <c r="A190" t="s">
        <v>4102</v>
      </c>
      <c r="B190" t="s">
        <v>9041</v>
      </c>
      <c r="C190" t="s">
        <v>8978</v>
      </c>
      <c r="D190" t="s">
        <v>8979</v>
      </c>
      <c r="E190" t="s">
        <v>5504</v>
      </c>
      <c r="F190" t="s">
        <v>662</v>
      </c>
      <c r="G190" t="s">
        <v>8997</v>
      </c>
      <c r="H190" t="s">
        <v>3880</v>
      </c>
      <c r="I190" t="s">
        <v>3886</v>
      </c>
      <c r="J190" t="s">
        <v>5492</v>
      </c>
      <c r="K190" t="s">
        <v>9020</v>
      </c>
      <c r="L190" t="s">
        <v>8462</v>
      </c>
      <c r="M190" t="s">
        <v>9019</v>
      </c>
      <c r="N190" t="s">
        <v>8982</v>
      </c>
      <c r="O190" t="s">
        <v>9146</v>
      </c>
    </row>
    <row r="191" spans="1:15">
      <c r="A191" t="s">
        <v>4103</v>
      </c>
      <c r="B191" t="s">
        <v>8990</v>
      </c>
      <c r="C191" t="s">
        <v>8978</v>
      </c>
      <c r="D191" t="s">
        <v>5530</v>
      </c>
      <c r="E191" t="s">
        <v>5530</v>
      </c>
      <c r="F191" t="s">
        <v>662</v>
      </c>
      <c r="G191" t="s">
        <v>8997</v>
      </c>
      <c r="H191" t="s">
        <v>9133</v>
      </c>
      <c r="I191" t="s">
        <v>3880</v>
      </c>
      <c r="J191" t="s">
        <v>5492</v>
      </c>
      <c r="K191" t="s">
        <v>9109</v>
      </c>
      <c r="L191" t="s">
        <v>9025</v>
      </c>
      <c r="M191" t="s">
        <v>8987</v>
      </c>
      <c r="N191" t="s">
        <v>9026</v>
      </c>
      <c r="O191" t="s">
        <v>9147</v>
      </c>
    </row>
    <row r="192" spans="1:15">
      <c r="A192" t="s">
        <v>4104</v>
      </c>
      <c r="B192" t="s">
        <v>8977</v>
      </c>
      <c r="C192" t="s">
        <v>8978</v>
      </c>
      <c r="D192" t="s">
        <v>8979</v>
      </c>
      <c r="E192" t="s">
        <v>5504</v>
      </c>
      <c r="F192" t="s">
        <v>662</v>
      </c>
      <c r="G192" t="s">
        <v>8997</v>
      </c>
      <c r="H192" t="s">
        <v>8998</v>
      </c>
      <c r="I192" t="s">
        <v>8988</v>
      </c>
      <c r="J192" t="s">
        <v>5492</v>
      </c>
      <c r="K192" t="s">
        <v>8986</v>
      </c>
      <c r="L192" t="s">
        <v>3874</v>
      </c>
      <c r="M192" t="s">
        <v>3888</v>
      </c>
      <c r="N192" t="s">
        <v>8977</v>
      </c>
      <c r="O192" t="s">
        <v>8462</v>
      </c>
    </row>
    <row r="193" spans="1:15">
      <c r="A193" t="s">
        <v>4105</v>
      </c>
      <c r="B193" t="s">
        <v>8977</v>
      </c>
      <c r="C193" t="s">
        <v>8978</v>
      </c>
      <c r="D193" t="s">
        <v>9118</v>
      </c>
      <c r="E193" t="s">
        <v>8995</v>
      </c>
      <c r="F193" t="s">
        <v>8996</v>
      </c>
      <c r="G193" t="s">
        <v>8980</v>
      </c>
      <c r="H193" t="s">
        <v>8981</v>
      </c>
      <c r="I193" t="s">
        <v>3880</v>
      </c>
      <c r="J193" t="s">
        <v>9144</v>
      </c>
      <c r="K193" t="s">
        <v>8985</v>
      </c>
      <c r="L193" t="s">
        <v>3874</v>
      </c>
      <c r="M193" t="s">
        <v>3888</v>
      </c>
      <c r="N193" t="s">
        <v>8977</v>
      </c>
      <c r="O193" t="s">
        <v>9148</v>
      </c>
    </row>
    <row r="194" spans="1:15">
      <c r="A194" t="s">
        <v>4107</v>
      </c>
      <c r="B194" t="s">
        <v>8977</v>
      </c>
      <c r="C194" t="s">
        <v>8978</v>
      </c>
      <c r="D194" t="s">
        <v>8979</v>
      </c>
      <c r="E194" t="s">
        <v>662</v>
      </c>
      <c r="F194" t="s">
        <v>662</v>
      </c>
      <c r="G194" t="s">
        <v>8980</v>
      </c>
      <c r="H194" t="s">
        <v>8981</v>
      </c>
      <c r="I194" t="s">
        <v>8982</v>
      </c>
      <c r="J194" t="s">
        <v>8983</v>
      </c>
      <c r="K194" t="s">
        <v>5493</v>
      </c>
      <c r="L194" t="s">
        <v>3874</v>
      </c>
      <c r="M194" t="s">
        <v>3888</v>
      </c>
      <c r="N194" t="s">
        <v>8977</v>
      </c>
      <c r="O194" t="s">
        <v>8462</v>
      </c>
    </row>
    <row r="195" spans="1:15">
      <c r="A195" t="s">
        <v>4109</v>
      </c>
      <c r="B195" t="s">
        <v>8989</v>
      </c>
      <c r="C195" t="s">
        <v>8978</v>
      </c>
      <c r="D195" t="s">
        <v>9115</v>
      </c>
      <c r="E195" t="s">
        <v>8995</v>
      </c>
      <c r="F195" t="s">
        <v>662</v>
      </c>
      <c r="G195" t="s">
        <v>9003</v>
      </c>
      <c r="H195" t="s">
        <v>3874</v>
      </c>
      <c r="I195" t="s">
        <v>3888</v>
      </c>
      <c r="J195" t="s">
        <v>6949</v>
      </c>
      <c r="K195" t="s">
        <v>9020</v>
      </c>
      <c r="L195" t="s">
        <v>3883</v>
      </c>
      <c r="M195" t="s">
        <v>8984</v>
      </c>
      <c r="N195" t="s">
        <v>8991</v>
      </c>
      <c r="O195" t="s">
        <v>9080</v>
      </c>
    </row>
    <row r="196" spans="1:15">
      <c r="A196" t="s">
        <v>4110</v>
      </c>
      <c r="B196" t="s">
        <v>8989</v>
      </c>
      <c r="C196" t="s">
        <v>8978</v>
      </c>
      <c r="D196" t="s">
        <v>8979</v>
      </c>
      <c r="E196" t="s">
        <v>662</v>
      </c>
      <c r="F196" t="s">
        <v>662</v>
      </c>
      <c r="G196" t="s">
        <v>8997</v>
      </c>
      <c r="H196" t="s">
        <v>3868</v>
      </c>
      <c r="I196" t="s">
        <v>8988</v>
      </c>
      <c r="J196" t="s">
        <v>9144</v>
      </c>
      <c r="K196" t="s">
        <v>9149</v>
      </c>
      <c r="L196" t="s">
        <v>3883</v>
      </c>
      <c r="M196" t="s">
        <v>8984</v>
      </c>
      <c r="N196" t="s">
        <v>8991</v>
      </c>
      <c r="O196" t="s">
        <v>9150</v>
      </c>
    </row>
    <row r="197" spans="1:15">
      <c r="A197" t="s">
        <v>4111</v>
      </c>
      <c r="B197" t="s">
        <v>8989</v>
      </c>
      <c r="C197" t="s">
        <v>8978</v>
      </c>
      <c r="D197" t="s">
        <v>9017</v>
      </c>
      <c r="E197" t="s">
        <v>8995</v>
      </c>
      <c r="F197" t="s">
        <v>8996</v>
      </c>
      <c r="G197" t="s">
        <v>8980</v>
      </c>
      <c r="H197" t="s">
        <v>8981</v>
      </c>
      <c r="I197" t="s">
        <v>3880</v>
      </c>
      <c r="J197" t="s">
        <v>6949</v>
      </c>
      <c r="K197" t="s">
        <v>9028</v>
      </c>
      <c r="L197" t="s">
        <v>3883</v>
      </c>
      <c r="M197" t="s">
        <v>8984</v>
      </c>
      <c r="N197" t="s">
        <v>8991</v>
      </c>
      <c r="O197" t="s">
        <v>3886</v>
      </c>
    </row>
    <row r="198" spans="1:15">
      <c r="A198" t="s">
        <v>4112</v>
      </c>
      <c r="B198" t="s">
        <v>8989</v>
      </c>
      <c r="C198" t="s">
        <v>8978</v>
      </c>
      <c r="D198" t="s">
        <v>5530</v>
      </c>
      <c r="E198" t="s">
        <v>5530</v>
      </c>
      <c r="F198" t="s">
        <v>662</v>
      </c>
      <c r="G198" t="s">
        <v>8997</v>
      </c>
      <c r="H198" t="s">
        <v>3868</v>
      </c>
      <c r="I198" t="s">
        <v>8987</v>
      </c>
      <c r="J198" t="s">
        <v>9151</v>
      </c>
      <c r="K198" t="s">
        <v>8986</v>
      </c>
      <c r="L198" t="s">
        <v>3883</v>
      </c>
      <c r="M198" t="s">
        <v>8984</v>
      </c>
      <c r="N198" t="s">
        <v>8991</v>
      </c>
      <c r="O198" t="s">
        <v>9056</v>
      </c>
    </row>
    <row r="199" spans="1:15">
      <c r="A199" t="s">
        <v>4113</v>
      </c>
      <c r="B199" t="s">
        <v>8991</v>
      </c>
      <c r="C199" t="s">
        <v>8978</v>
      </c>
      <c r="D199" t="s">
        <v>8979</v>
      </c>
      <c r="E199" t="s">
        <v>5504</v>
      </c>
      <c r="F199" t="s">
        <v>662</v>
      </c>
      <c r="G199" t="s">
        <v>8997</v>
      </c>
      <c r="H199" t="s">
        <v>9009</v>
      </c>
      <c r="I199" t="s">
        <v>8977</v>
      </c>
      <c r="J199" t="s">
        <v>6949</v>
      </c>
      <c r="K199" t="s">
        <v>9014</v>
      </c>
      <c r="L199" t="s">
        <v>3888</v>
      </c>
      <c r="M199" t="s">
        <v>8977</v>
      </c>
      <c r="N199" t="s">
        <v>9010</v>
      </c>
      <c r="O199" t="s">
        <v>9152</v>
      </c>
    </row>
    <row r="200" spans="1:15">
      <c r="A200" t="s">
        <v>4114</v>
      </c>
      <c r="B200" t="s">
        <v>8991</v>
      </c>
      <c r="C200" t="s">
        <v>9002</v>
      </c>
      <c r="D200" t="s">
        <v>5522</v>
      </c>
      <c r="E200" t="s">
        <v>662</v>
      </c>
      <c r="F200" t="s">
        <v>8629</v>
      </c>
      <c r="G200" t="s">
        <v>8980</v>
      </c>
      <c r="H200" t="s">
        <v>8981</v>
      </c>
      <c r="I200" t="s">
        <v>8977</v>
      </c>
      <c r="J200" t="s">
        <v>6949</v>
      </c>
      <c r="K200" t="s">
        <v>8986</v>
      </c>
      <c r="L200" t="s">
        <v>3888</v>
      </c>
      <c r="M200" t="s">
        <v>8977</v>
      </c>
      <c r="N200" t="s">
        <v>9010</v>
      </c>
      <c r="O200" t="s">
        <v>9016</v>
      </c>
    </row>
    <row r="201" spans="1:15">
      <c r="A201" t="s">
        <v>4115</v>
      </c>
      <c r="B201" t="s">
        <v>8991</v>
      </c>
      <c r="C201" t="s">
        <v>8978</v>
      </c>
      <c r="D201" t="s">
        <v>9017</v>
      </c>
      <c r="E201" t="s">
        <v>8995</v>
      </c>
      <c r="F201" t="s">
        <v>662</v>
      </c>
      <c r="G201" t="s">
        <v>8997</v>
      </c>
      <c r="H201" t="s">
        <v>9009</v>
      </c>
      <c r="I201" t="s">
        <v>8988</v>
      </c>
      <c r="J201" t="s">
        <v>6949</v>
      </c>
      <c r="K201" t="s">
        <v>8986</v>
      </c>
      <c r="L201" t="s">
        <v>3888</v>
      </c>
      <c r="M201" t="s">
        <v>8977</v>
      </c>
      <c r="N201" t="s">
        <v>9010</v>
      </c>
      <c r="O201" t="s">
        <v>9153</v>
      </c>
    </row>
    <row r="202" spans="1:15">
      <c r="A202" t="s">
        <v>4116</v>
      </c>
      <c r="B202" t="s">
        <v>8992</v>
      </c>
      <c r="C202" t="s">
        <v>8978</v>
      </c>
      <c r="D202" t="s">
        <v>8979</v>
      </c>
      <c r="E202" t="s">
        <v>5504</v>
      </c>
      <c r="F202" t="s">
        <v>662</v>
      </c>
      <c r="G202" t="s">
        <v>8980</v>
      </c>
      <c r="H202" t="s">
        <v>8981</v>
      </c>
      <c r="I202" t="s">
        <v>8984</v>
      </c>
      <c r="J202" t="s">
        <v>6949</v>
      </c>
      <c r="K202" t="s">
        <v>9014</v>
      </c>
      <c r="L202" t="s">
        <v>9016</v>
      </c>
      <c r="M202" t="s">
        <v>8988</v>
      </c>
      <c r="N202" t="s">
        <v>8990</v>
      </c>
      <c r="O202" t="s">
        <v>8992</v>
      </c>
    </row>
    <row r="203" spans="1:15">
      <c r="A203" t="s">
        <v>4117</v>
      </c>
      <c r="B203" t="s">
        <v>8992</v>
      </c>
      <c r="C203" t="s">
        <v>8978</v>
      </c>
      <c r="D203" t="s">
        <v>9059</v>
      </c>
      <c r="E203" t="s">
        <v>662</v>
      </c>
      <c r="F203" t="s">
        <v>662</v>
      </c>
      <c r="G203" t="s">
        <v>8980</v>
      </c>
      <c r="H203" t="s">
        <v>8981</v>
      </c>
      <c r="I203" t="s">
        <v>8984</v>
      </c>
      <c r="J203" t="s">
        <v>5492</v>
      </c>
      <c r="K203" t="s">
        <v>9049</v>
      </c>
      <c r="L203" t="s">
        <v>9016</v>
      </c>
      <c r="M203" t="s">
        <v>8988</v>
      </c>
      <c r="N203" t="s">
        <v>8990</v>
      </c>
      <c r="O203" t="s">
        <v>9010</v>
      </c>
    </row>
    <row r="204" spans="1:15">
      <c r="A204" t="s">
        <v>4119</v>
      </c>
      <c r="B204" t="s">
        <v>9010</v>
      </c>
      <c r="C204" t="s">
        <v>8978</v>
      </c>
      <c r="D204" t="s">
        <v>5522</v>
      </c>
      <c r="E204" t="s">
        <v>8995</v>
      </c>
      <c r="F204" t="s">
        <v>662</v>
      </c>
      <c r="G204" t="s">
        <v>9003</v>
      </c>
      <c r="H204" t="s">
        <v>3886</v>
      </c>
      <c r="I204" t="s">
        <v>3888</v>
      </c>
      <c r="J204" t="s">
        <v>8999</v>
      </c>
      <c r="K204" t="s">
        <v>8986</v>
      </c>
      <c r="L204" t="s">
        <v>8984</v>
      </c>
      <c r="M204" t="s">
        <v>9008</v>
      </c>
      <c r="N204" t="s">
        <v>9021</v>
      </c>
      <c r="O204" t="s">
        <v>9154</v>
      </c>
    </row>
    <row r="205" spans="1:15">
      <c r="A205" t="s">
        <v>4120</v>
      </c>
      <c r="B205" t="s">
        <v>9010</v>
      </c>
      <c r="C205" t="s">
        <v>8978</v>
      </c>
      <c r="D205" t="s">
        <v>9017</v>
      </c>
      <c r="E205" t="s">
        <v>8995</v>
      </c>
      <c r="F205" t="s">
        <v>662</v>
      </c>
      <c r="G205" t="s">
        <v>8980</v>
      </c>
      <c r="H205" t="s">
        <v>8981</v>
      </c>
      <c r="I205" t="s">
        <v>8987</v>
      </c>
      <c r="J205" t="s">
        <v>8999</v>
      </c>
      <c r="K205" t="s">
        <v>8986</v>
      </c>
      <c r="L205" t="s">
        <v>8984</v>
      </c>
      <c r="M205" t="s">
        <v>9008</v>
      </c>
      <c r="N205" t="s">
        <v>9021</v>
      </c>
      <c r="O205" t="s">
        <v>9155</v>
      </c>
    </row>
    <row r="206" spans="1:15">
      <c r="A206" t="s">
        <v>4121</v>
      </c>
      <c r="B206" t="s">
        <v>8462</v>
      </c>
      <c r="C206" t="s">
        <v>8978</v>
      </c>
      <c r="D206" t="s">
        <v>5530</v>
      </c>
      <c r="E206" t="s">
        <v>5530</v>
      </c>
      <c r="F206" t="s">
        <v>662</v>
      </c>
      <c r="G206" t="s">
        <v>8997</v>
      </c>
      <c r="H206" t="s">
        <v>8998</v>
      </c>
      <c r="I206" t="s">
        <v>3874</v>
      </c>
      <c r="J206" t="s">
        <v>5492</v>
      </c>
      <c r="K206" t="s">
        <v>9000</v>
      </c>
      <c r="L206" t="s">
        <v>3874</v>
      </c>
      <c r="M206" t="s">
        <v>3888</v>
      </c>
      <c r="N206" t="s">
        <v>8977</v>
      </c>
      <c r="O206" t="s">
        <v>3888</v>
      </c>
    </row>
    <row r="207" spans="1:15">
      <c r="A207" t="s">
        <v>4123</v>
      </c>
      <c r="B207" t="s">
        <v>9025</v>
      </c>
      <c r="C207" t="s">
        <v>9061</v>
      </c>
      <c r="D207" t="s">
        <v>5522</v>
      </c>
      <c r="E207" t="s">
        <v>662</v>
      </c>
      <c r="F207" t="s">
        <v>9062</v>
      </c>
      <c r="G207" t="s">
        <v>8980</v>
      </c>
      <c r="H207" t="s">
        <v>8981</v>
      </c>
      <c r="I207" t="s">
        <v>3888</v>
      </c>
      <c r="J207" t="s">
        <v>5492</v>
      </c>
      <c r="K207" t="s">
        <v>5493</v>
      </c>
      <c r="L207" t="s">
        <v>3874</v>
      </c>
      <c r="M207" t="s">
        <v>3888</v>
      </c>
      <c r="N207" t="s">
        <v>8977</v>
      </c>
      <c r="O207" t="s">
        <v>3883</v>
      </c>
    </row>
    <row r="208" spans="1:15">
      <c r="A208" t="s">
        <v>4125</v>
      </c>
      <c r="B208" t="s">
        <v>8977</v>
      </c>
      <c r="C208" t="s">
        <v>8978</v>
      </c>
      <c r="D208" t="s">
        <v>8994</v>
      </c>
      <c r="E208" t="s">
        <v>8995</v>
      </c>
      <c r="F208" t="s">
        <v>8996</v>
      </c>
      <c r="G208" t="s">
        <v>8997</v>
      </c>
      <c r="H208" t="s">
        <v>8998</v>
      </c>
      <c r="I208" t="s">
        <v>3888</v>
      </c>
      <c r="J208" t="s">
        <v>9006</v>
      </c>
      <c r="K208" t="s">
        <v>8985</v>
      </c>
      <c r="L208" t="s">
        <v>3874</v>
      </c>
      <c r="M208" t="s">
        <v>3888</v>
      </c>
      <c r="N208" t="s">
        <v>8977</v>
      </c>
      <c r="O208" t="s">
        <v>9105</v>
      </c>
    </row>
    <row r="209" spans="1:15">
      <c r="A209" t="s">
        <v>4127</v>
      </c>
      <c r="B209" t="s">
        <v>8993</v>
      </c>
      <c r="C209" t="s">
        <v>9063</v>
      </c>
      <c r="D209" t="s">
        <v>5490</v>
      </c>
      <c r="E209" t="s">
        <v>662</v>
      </c>
      <c r="F209" t="s">
        <v>9064</v>
      </c>
      <c r="G209" t="s">
        <v>8980</v>
      </c>
      <c r="H209" t="s">
        <v>8981</v>
      </c>
      <c r="I209" t="s">
        <v>3888</v>
      </c>
      <c r="J209" t="s">
        <v>5492</v>
      </c>
      <c r="K209" t="s">
        <v>5493</v>
      </c>
      <c r="L209" t="s">
        <v>3883</v>
      </c>
      <c r="M209" t="s">
        <v>8984</v>
      </c>
      <c r="N209" t="s">
        <v>8991</v>
      </c>
      <c r="O209" t="s">
        <v>3888</v>
      </c>
    </row>
    <row r="210" spans="1:15">
      <c r="A210" t="s">
        <v>4129</v>
      </c>
      <c r="B210" t="s">
        <v>8977</v>
      </c>
      <c r="C210" t="s">
        <v>8978</v>
      </c>
      <c r="D210" t="s">
        <v>9066</v>
      </c>
      <c r="E210" t="s">
        <v>5530</v>
      </c>
      <c r="F210" t="s">
        <v>9005</v>
      </c>
      <c r="G210" t="s">
        <v>8997</v>
      </c>
      <c r="H210" t="s">
        <v>3868</v>
      </c>
      <c r="I210" t="s">
        <v>3888</v>
      </c>
      <c r="J210" t="s">
        <v>5492</v>
      </c>
      <c r="K210" t="s">
        <v>9000</v>
      </c>
      <c r="L210" t="s">
        <v>3883</v>
      </c>
      <c r="M210" t="s">
        <v>8984</v>
      </c>
      <c r="N210" t="s">
        <v>8991</v>
      </c>
      <c r="O210" t="s">
        <v>9106</v>
      </c>
    </row>
    <row r="211" spans="1:15">
      <c r="A211" t="s">
        <v>4131</v>
      </c>
      <c r="B211" t="s">
        <v>8989</v>
      </c>
      <c r="C211" t="s">
        <v>9002</v>
      </c>
      <c r="D211" t="s">
        <v>9107</v>
      </c>
      <c r="E211" t="s">
        <v>8995</v>
      </c>
      <c r="F211" t="s">
        <v>9108</v>
      </c>
      <c r="G211" t="s">
        <v>8997</v>
      </c>
      <c r="H211" t="s">
        <v>3868</v>
      </c>
      <c r="I211" t="s">
        <v>3888</v>
      </c>
      <c r="J211" t="s">
        <v>5492</v>
      </c>
      <c r="K211" t="s">
        <v>9109</v>
      </c>
      <c r="L211" t="s">
        <v>3883</v>
      </c>
      <c r="M211" t="s">
        <v>8984</v>
      </c>
      <c r="N211" t="s">
        <v>8991</v>
      </c>
      <c r="O211" t="s">
        <v>9110</v>
      </c>
    </row>
    <row r="212" spans="1:15">
      <c r="A212" t="s">
        <v>4133</v>
      </c>
      <c r="B212" t="s">
        <v>8989</v>
      </c>
      <c r="C212" t="s">
        <v>8978</v>
      </c>
      <c r="D212" t="s">
        <v>5530</v>
      </c>
      <c r="E212" t="s">
        <v>5530</v>
      </c>
      <c r="F212" t="s">
        <v>662</v>
      </c>
      <c r="G212" t="s">
        <v>8997</v>
      </c>
      <c r="H212" t="s">
        <v>9009</v>
      </c>
      <c r="I212" t="s">
        <v>3874</v>
      </c>
      <c r="J212" t="s">
        <v>5492</v>
      </c>
      <c r="K212" t="s">
        <v>9000</v>
      </c>
      <c r="L212" t="s">
        <v>3888</v>
      </c>
      <c r="M212" t="s">
        <v>8977</v>
      </c>
      <c r="N212" t="s">
        <v>9010</v>
      </c>
      <c r="O212" t="s">
        <v>8992</v>
      </c>
    </row>
    <row r="213" spans="1:15">
      <c r="A213" t="s">
        <v>4135</v>
      </c>
      <c r="B213" t="s">
        <v>8991</v>
      </c>
      <c r="C213" t="s">
        <v>9061</v>
      </c>
      <c r="D213" t="s">
        <v>5522</v>
      </c>
      <c r="E213" t="s">
        <v>662</v>
      </c>
      <c r="F213" t="s">
        <v>9062</v>
      </c>
      <c r="G213" t="s">
        <v>8980</v>
      </c>
      <c r="H213" t="s">
        <v>8981</v>
      </c>
      <c r="I213" t="s">
        <v>8984</v>
      </c>
      <c r="J213" t="s">
        <v>5492</v>
      </c>
      <c r="K213" t="s">
        <v>5493</v>
      </c>
      <c r="L213" t="s">
        <v>3888</v>
      </c>
      <c r="M213" t="s">
        <v>8977</v>
      </c>
      <c r="N213" t="s">
        <v>9010</v>
      </c>
      <c r="O213" t="s">
        <v>9112</v>
      </c>
    </row>
    <row r="214" spans="1:15">
      <c r="A214" t="s">
        <v>4137</v>
      </c>
      <c r="B214" t="s">
        <v>8991</v>
      </c>
      <c r="C214" t="s">
        <v>8978</v>
      </c>
      <c r="D214" t="s">
        <v>8979</v>
      </c>
      <c r="E214" t="s">
        <v>5504</v>
      </c>
      <c r="F214" t="s">
        <v>662</v>
      </c>
      <c r="G214" t="s">
        <v>8997</v>
      </c>
      <c r="H214" t="s">
        <v>9009</v>
      </c>
      <c r="I214" t="s">
        <v>9016</v>
      </c>
      <c r="J214" t="s">
        <v>8999</v>
      </c>
      <c r="K214" t="s">
        <v>8986</v>
      </c>
      <c r="L214" t="s">
        <v>3888</v>
      </c>
      <c r="M214" t="s">
        <v>8977</v>
      </c>
      <c r="N214" t="s">
        <v>9010</v>
      </c>
      <c r="O214" t="s">
        <v>9111</v>
      </c>
    </row>
    <row r="215" spans="1:15">
      <c r="A215" t="s">
        <v>4139</v>
      </c>
      <c r="B215" t="s">
        <v>8991</v>
      </c>
      <c r="C215" t="s">
        <v>8978</v>
      </c>
      <c r="D215" t="s">
        <v>8979</v>
      </c>
      <c r="E215" t="s">
        <v>5504</v>
      </c>
      <c r="F215" t="s">
        <v>662</v>
      </c>
      <c r="G215" t="s">
        <v>8980</v>
      </c>
      <c r="H215" t="s">
        <v>8981</v>
      </c>
      <c r="I215" t="s">
        <v>3880</v>
      </c>
      <c r="J215" t="s">
        <v>5492</v>
      </c>
      <c r="K215" t="s">
        <v>9000</v>
      </c>
      <c r="L215" t="s">
        <v>3888</v>
      </c>
      <c r="M215" t="s">
        <v>8977</v>
      </c>
      <c r="N215" t="s">
        <v>9010</v>
      </c>
      <c r="O215" t="s">
        <v>3883</v>
      </c>
    </row>
    <row r="216" spans="1:15">
      <c r="A216" t="s">
        <v>4141</v>
      </c>
      <c r="B216" t="s">
        <v>8988</v>
      </c>
      <c r="C216" t="s">
        <v>9002</v>
      </c>
      <c r="D216" t="s">
        <v>9012</v>
      </c>
      <c r="E216" t="s">
        <v>662</v>
      </c>
      <c r="F216" t="s">
        <v>8629</v>
      </c>
      <c r="G216" t="s">
        <v>9003</v>
      </c>
      <c r="H216" t="s">
        <v>3880</v>
      </c>
      <c r="I216" t="s">
        <v>3888</v>
      </c>
      <c r="J216" t="s">
        <v>5492</v>
      </c>
      <c r="K216" t="s">
        <v>5493</v>
      </c>
      <c r="L216" t="s">
        <v>3888</v>
      </c>
      <c r="M216" t="s">
        <v>8977</v>
      </c>
      <c r="N216" t="s">
        <v>9010</v>
      </c>
      <c r="O216" t="s">
        <v>3888</v>
      </c>
    </row>
    <row r="217" spans="1:15">
      <c r="A217" t="s">
        <v>4143</v>
      </c>
      <c r="B217" t="s">
        <v>9008</v>
      </c>
      <c r="C217" t="s">
        <v>9061</v>
      </c>
      <c r="D217" t="s">
        <v>5490</v>
      </c>
      <c r="E217" t="s">
        <v>662</v>
      </c>
      <c r="F217" t="s">
        <v>9062</v>
      </c>
      <c r="G217" t="s">
        <v>8980</v>
      </c>
      <c r="H217" t="s">
        <v>8981</v>
      </c>
      <c r="I217" t="s">
        <v>3888</v>
      </c>
      <c r="J217" t="s">
        <v>5492</v>
      </c>
      <c r="K217" t="s">
        <v>5493</v>
      </c>
      <c r="L217" t="s">
        <v>9016</v>
      </c>
      <c r="M217" t="s">
        <v>8988</v>
      </c>
      <c r="N217" t="s">
        <v>8990</v>
      </c>
      <c r="O217" t="s">
        <v>8977</v>
      </c>
    </row>
    <row r="218" spans="1:15">
      <c r="A218" t="s">
        <v>4145</v>
      </c>
      <c r="B218" t="s">
        <v>8992</v>
      </c>
      <c r="C218" t="s">
        <v>9063</v>
      </c>
      <c r="D218" t="s">
        <v>5490</v>
      </c>
      <c r="E218" t="s">
        <v>662</v>
      </c>
      <c r="F218" t="s">
        <v>9064</v>
      </c>
      <c r="G218" t="s">
        <v>8980</v>
      </c>
      <c r="H218" t="s">
        <v>8981</v>
      </c>
      <c r="I218" t="s">
        <v>8984</v>
      </c>
      <c r="J218" t="s">
        <v>5492</v>
      </c>
      <c r="K218" t="s">
        <v>5493</v>
      </c>
      <c r="L218" t="s">
        <v>9016</v>
      </c>
      <c r="M218" t="s">
        <v>8988</v>
      </c>
      <c r="N218" t="s">
        <v>8990</v>
      </c>
      <c r="O218" t="s">
        <v>9065</v>
      </c>
    </row>
    <row r="219" spans="1:15">
      <c r="A219" t="s">
        <v>4147</v>
      </c>
      <c r="B219" t="s">
        <v>8991</v>
      </c>
      <c r="C219" t="s">
        <v>8978</v>
      </c>
      <c r="D219" t="s">
        <v>8994</v>
      </c>
      <c r="E219" t="s">
        <v>8995</v>
      </c>
      <c r="F219" t="s">
        <v>8996</v>
      </c>
      <c r="G219" t="s">
        <v>8997</v>
      </c>
      <c r="H219" t="s">
        <v>3874</v>
      </c>
      <c r="I219" t="s">
        <v>3888</v>
      </c>
      <c r="J219" t="s">
        <v>9113</v>
      </c>
      <c r="K219" t="s">
        <v>8985</v>
      </c>
      <c r="L219" t="s">
        <v>9016</v>
      </c>
      <c r="M219" t="s">
        <v>8988</v>
      </c>
      <c r="N219" t="s">
        <v>8990</v>
      </c>
      <c r="O219" t="s">
        <v>9114</v>
      </c>
    </row>
    <row r="220" spans="1:15">
      <c r="A220" t="s">
        <v>4149</v>
      </c>
      <c r="B220" t="s">
        <v>8992</v>
      </c>
      <c r="C220" t="s">
        <v>8978</v>
      </c>
      <c r="D220" t="s">
        <v>9066</v>
      </c>
      <c r="E220" t="s">
        <v>5530</v>
      </c>
      <c r="F220" t="s">
        <v>9005</v>
      </c>
      <c r="G220" t="s">
        <v>8997</v>
      </c>
      <c r="H220" t="s">
        <v>9054</v>
      </c>
      <c r="I220" t="s">
        <v>3888</v>
      </c>
      <c r="J220" t="s">
        <v>5492</v>
      </c>
      <c r="K220" t="s">
        <v>9000</v>
      </c>
      <c r="L220" t="s">
        <v>8984</v>
      </c>
      <c r="M220" t="s">
        <v>9008</v>
      </c>
      <c r="N220" t="s">
        <v>9021</v>
      </c>
      <c r="O220" t="s">
        <v>9067</v>
      </c>
    </row>
    <row r="221" spans="1:15">
      <c r="A221" t="s">
        <v>4151</v>
      </c>
      <c r="B221" t="s">
        <v>9010</v>
      </c>
      <c r="C221" t="s">
        <v>8978</v>
      </c>
      <c r="D221" t="s">
        <v>9068</v>
      </c>
      <c r="E221" t="s">
        <v>5530</v>
      </c>
      <c r="F221" t="s">
        <v>9005</v>
      </c>
      <c r="G221" t="s">
        <v>8980</v>
      </c>
      <c r="H221" t="s">
        <v>8981</v>
      </c>
      <c r="I221" t="s">
        <v>8984</v>
      </c>
      <c r="J221" t="s">
        <v>5492</v>
      </c>
      <c r="K221" t="s">
        <v>5493</v>
      </c>
      <c r="L221" t="s">
        <v>8984</v>
      </c>
      <c r="M221" t="s">
        <v>9008</v>
      </c>
      <c r="N221" t="s">
        <v>9021</v>
      </c>
      <c r="O221" t="s">
        <v>9069</v>
      </c>
    </row>
    <row r="222" spans="1:15">
      <c r="A222" t="s">
        <v>4153</v>
      </c>
      <c r="B222" t="s">
        <v>9019</v>
      </c>
      <c r="C222" t="s">
        <v>9063</v>
      </c>
      <c r="D222" t="s">
        <v>9115</v>
      </c>
      <c r="E222" t="s">
        <v>662</v>
      </c>
      <c r="F222" t="s">
        <v>9064</v>
      </c>
      <c r="G222" t="s">
        <v>8980</v>
      </c>
      <c r="H222" t="s">
        <v>8981</v>
      </c>
      <c r="I222" t="s">
        <v>3888</v>
      </c>
      <c r="J222" t="s">
        <v>5492</v>
      </c>
      <c r="K222" t="s">
        <v>5493</v>
      </c>
      <c r="L222" t="s">
        <v>8984</v>
      </c>
      <c r="M222" t="s">
        <v>9008</v>
      </c>
      <c r="N222" t="s">
        <v>9021</v>
      </c>
      <c r="O222" t="s">
        <v>8991</v>
      </c>
    </row>
    <row r="223" spans="1:15">
      <c r="A223" t="s">
        <v>4155</v>
      </c>
      <c r="B223" t="s">
        <v>9056</v>
      </c>
      <c r="C223" t="s">
        <v>9061</v>
      </c>
      <c r="D223" t="s">
        <v>5490</v>
      </c>
      <c r="E223" t="s">
        <v>662</v>
      </c>
      <c r="F223" t="s">
        <v>9062</v>
      </c>
      <c r="G223" t="s">
        <v>8980</v>
      </c>
      <c r="H223" t="s">
        <v>8981</v>
      </c>
      <c r="I223" t="s">
        <v>3888</v>
      </c>
      <c r="J223" t="s">
        <v>5492</v>
      </c>
      <c r="K223" t="s">
        <v>5493</v>
      </c>
      <c r="L223" t="s">
        <v>8462</v>
      </c>
      <c r="M223" t="s">
        <v>9019</v>
      </c>
      <c r="N223" t="s">
        <v>8982</v>
      </c>
      <c r="O223" t="s">
        <v>9070</v>
      </c>
    </row>
    <row r="224" spans="1:15">
      <c r="A224" t="s">
        <v>4157</v>
      </c>
      <c r="B224" t="s">
        <v>9010</v>
      </c>
      <c r="C224" t="s">
        <v>9002</v>
      </c>
      <c r="D224" t="s">
        <v>9116</v>
      </c>
      <c r="E224" t="s">
        <v>8995</v>
      </c>
      <c r="F224" t="s">
        <v>9108</v>
      </c>
      <c r="G224" t="s">
        <v>8997</v>
      </c>
      <c r="H224" t="s">
        <v>3880</v>
      </c>
      <c r="I224" t="s">
        <v>3888</v>
      </c>
      <c r="J224" t="s">
        <v>5492</v>
      </c>
      <c r="K224" t="s">
        <v>5493</v>
      </c>
      <c r="L224" t="s">
        <v>8462</v>
      </c>
      <c r="M224" t="s">
        <v>9019</v>
      </c>
      <c r="N224" t="s">
        <v>8982</v>
      </c>
      <c r="O224" t="s">
        <v>9117</v>
      </c>
    </row>
    <row r="225" spans="1:15">
      <c r="A225" t="s">
        <v>4159</v>
      </c>
      <c r="B225" t="s">
        <v>8987</v>
      </c>
      <c r="C225" t="s">
        <v>9002</v>
      </c>
      <c r="D225" t="s">
        <v>9118</v>
      </c>
      <c r="E225" t="s">
        <v>662</v>
      </c>
      <c r="F225" t="s">
        <v>8629</v>
      </c>
      <c r="G225" t="s">
        <v>9003</v>
      </c>
      <c r="H225" t="s">
        <v>3888</v>
      </c>
      <c r="I225" t="s">
        <v>3888</v>
      </c>
      <c r="J225" t="s">
        <v>5492</v>
      </c>
      <c r="K225" t="s">
        <v>5493</v>
      </c>
      <c r="L225" t="s">
        <v>8462</v>
      </c>
      <c r="M225" t="s">
        <v>9019</v>
      </c>
      <c r="N225" t="s">
        <v>8982</v>
      </c>
      <c r="O225" t="s">
        <v>8991</v>
      </c>
    </row>
    <row r="226" spans="1:15">
      <c r="A226" t="s">
        <v>4161</v>
      </c>
      <c r="B226" t="s">
        <v>8990</v>
      </c>
      <c r="C226" t="s">
        <v>8978</v>
      </c>
      <c r="D226" t="s">
        <v>9068</v>
      </c>
      <c r="E226" t="s">
        <v>5530</v>
      </c>
      <c r="F226" t="s">
        <v>9005</v>
      </c>
      <c r="G226" t="s">
        <v>8980</v>
      </c>
      <c r="H226" t="s">
        <v>8981</v>
      </c>
      <c r="I226" t="s">
        <v>8984</v>
      </c>
      <c r="J226" t="s">
        <v>5492</v>
      </c>
      <c r="K226" t="s">
        <v>5493</v>
      </c>
      <c r="L226" t="s">
        <v>9025</v>
      </c>
      <c r="M226" t="s">
        <v>8987</v>
      </c>
      <c r="N226" t="s">
        <v>9026</v>
      </c>
      <c r="O226" t="s">
        <v>9071</v>
      </c>
    </row>
    <row r="227" spans="1:15">
      <c r="A227" t="s">
        <v>4163</v>
      </c>
      <c r="B227" t="s">
        <v>9041</v>
      </c>
      <c r="C227" t="s">
        <v>9063</v>
      </c>
      <c r="D227" t="s">
        <v>9115</v>
      </c>
      <c r="E227" t="s">
        <v>662</v>
      </c>
      <c r="F227" t="s">
        <v>9064</v>
      </c>
      <c r="G227" t="s">
        <v>8980</v>
      </c>
      <c r="H227" t="s">
        <v>8981</v>
      </c>
      <c r="I227" t="s">
        <v>8984</v>
      </c>
      <c r="J227" t="s">
        <v>5492</v>
      </c>
      <c r="K227" t="s">
        <v>5493</v>
      </c>
      <c r="L227" t="s">
        <v>9025</v>
      </c>
      <c r="M227" t="s">
        <v>8987</v>
      </c>
      <c r="N227" t="s">
        <v>9026</v>
      </c>
      <c r="O227" t="s">
        <v>9119</v>
      </c>
    </row>
    <row r="228" spans="1:15">
      <c r="A228" t="s">
        <v>4165</v>
      </c>
      <c r="B228" t="s">
        <v>8462</v>
      </c>
      <c r="C228" t="s">
        <v>8978</v>
      </c>
      <c r="D228" t="s">
        <v>5530</v>
      </c>
      <c r="E228" t="s">
        <v>5530</v>
      </c>
      <c r="F228" t="s">
        <v>662</v>
      </c>
      <c r="G228" t="s">
        <v>8997</v>
      </c>
      <c r="H228" t="s">
        <v>8998</v>
      </c>
      <c r="I228" t="s">
        <v>3874</v>
      </c>
      <c r="J228" t="s">
        <v>5492</v>
      </c>
      <c r="K228" t="s">
        <v>9000</v>
      </c>
      <c r="L228" t="s">
        <v>3874</v>
      </c>
      <c r="M228" t="s">
        <v>3888</v>
      </c>
      <c r="N228" t="s">
        <v>8977</v>
      </c>
      <c r="O228" t="s">
        <v>3888</v>
      </c>
    </row>
    <row r="229" spans="1:15">
      <c r="A229" t="s">
        <v>4166</v>
      </c>
      <c r="B229" t="s">
        <v>8977</v>
      </c>
      <c r="C229" t="s">
        <v>8978</v>
      </c>
      <c r="D229" t="s">
        <v>8994</v>
      </c>
      <c r="E229" t="s">
        <v>8995</v>
      </c>
      <c r="F229" t="s">
        <v>8996</v>
      </c>
      <c r="G229" t="s">
        <v>8997</v>
      </c>
      <c r="H229" t="s">
        <v>8998</v>
      </c>
      <c r="I229" t="s">
        <v>3888</v>
      </c>
      <c r="J229" t="s">
        <v>9006</v>
      </c>
      <c r="K229" t="s">
        <v>8985</v>
      </c>
      <c r="L229" t="s">
        <v>3874</v>
      </c>
      <c r="M229" t="s">
        <v>3888</v>
      </c>
      <c r="N229" t="s">
        <v>8977</v>
      </c>
      <c r="O229" t="s">
        <v>9105</v>
      </c>
    </row>
    <row r="230" spans="1:15">
      <c r="A230" t="s">
        <v>4167</v>
      </c>
      <c r="B230" t="s">
        <v>8977</v>
      </c>
      <c r="C230" t="s">
        <v>8978</v>
      </c>
      <c r="D230" t="s">
        <v>9066</v>
      </c>
      <c r="E230" t="s">
        <v>5530</v>
      </c>
      <c r="F230" t="s">
        <v>9005</v>
      </c>
      <c r="G230" t="s">
        <v>8997</v>
      </c>
      <c r="H230" t="s">
        <v>3868</v>
      </c>
      <c r="I230" t="s">
        <v>3888</v>
      </c>
      <c r="J230" t="s">
        <v>5492</v>
      </c>
      <c r="K230" t="s">
        <v>9000</v>
      </c>
      <c r="L230" t="s">
        <v>3883</v>
      </c>
      <c r="M230" t="s">
        <v>8984</v>
      </c>
      <c r="N230" t="s">
        <v>8991</v>
      </c>
      <c r="O230" t="s">
        <v>9106</v>
      </c>
    </row>
    <row r="231" spans="1:15">
      <c r="A231" t="s">
        <v>4168</v>
      </c>
      <c r="B231" t="s">
        <v>8989</v>
      </c>
      <c r="C231" t="s">
        <v>9002</v>
      </c>
      <c r="D231" t="s">
        <v>9107</v>
      </c>
      <c r="E231" t="s">
        <v>8995</v>
      </c>
      <c r="F231" t="s">
        <v>9108</v>
      </c>
      <c r="G231" t="s">
        <v>8997</v>
      </c>
      <c r="H231" t="s">
        <v>3868</v>
      </c>
      <c r="I231" t="s">
        <v>3888</v>
      </c>
      <c r="J231" t="s">
        <v>5492</v>
      </c>
      <c r="K231" t="s">
        <v>9109</v>
      </c>
      <c r="L231" t="s">
        <v>3883</v>
      </c>
      <c r="M231" t="s">
        <v>8984</v>
      </c>
      <c r="N231" t="s">
        <v>8991</v>
      </c>
      <c r="O231" t="s">
        <v>9110</v>
      </c>
    </row>
    <row r="232" spans="1:15">
      <c r="A232" t="s">
        <v>4169</v>
      </c>
      <c r="B232" t="s">
        <v>8989</v>
      </c>
      <c r="C232" t="s">
        <v>8978</v>
      </c>
      <c r="D232" t="s">
        <v>5530</v>
      </c>
      <c r="E232" t="s">
        <v>5530</v>
      </c>
      <c r="F232" t="s">
        <v>662</v>
      </c>
      <c r="G232" t="s">
        <v>8997</v>
      </c>
      <c r="H232" t="s">
        <v>9009</v>
      </c>
      <c r="I232" t="s">
        <v>3874</v>
      </c>
      <c r="J232" t="s">
        <v>5492</v>
      </c>
      <c r="K232" t="s">
        <v>9000</v>
      </c>
      <c r="L232" t="s">
        <v>3888</v>
      </c>
      <c r="M232" t="s">
        <v>8977</v>
      </c>
      <c r="N232" t="s">
        <v>9010</v>
      </c>
      <c r="O232" t="s">
        <v>8992</v>
      </c>
    </row>
    <row r="233" spans="1:15">
      <c r="A233" t="s">
        <v>4170</v>
      </c>
      <c r="B233" t="s">
        <v>8991</v>
      </c>
      <c r="C233" t="s">
        <v>9061</v>
      </c>
      <c r="D233" t="s">
        <v>5522</v>
      </c>
      <c r="E233" t="s">
        <v>662</v>
      </c>
      <c r="F233" t="s">
        <v>9062</v>
      </c>
      <c r="G233" t="s">
        <v>8980</v>
      </c>
      <c r="H233" t="s">
        <v>8981</v>
      </c>
      <c r="I233" t="s">
        <v>8984</v>
      </c>
      <c r="J233" t="s">
        <v>5492</v>
      </c>
      <c r="K233" t="s">
        <v>5493</v>
      </c>
      <c r="L233" t="s">
        <v>3888</v>
      </c>
      <c r="M233" t="s">
        <v>8977</v>
      </c>
      <c r="N233" t="s">
        <v>9010</v>
      </c>
      <c r="O233" t="s">
        <v>9112</v>
      </c>
    </row>
    <row r="234" spans="1:15">
      <c r="A234" t="s">
        <v>4171</v>
      </c>
      <c r="B234" t="s">
        <v>8991</v>
      </c>
      <c r="C234" t="s">
        <v>8978</v>
      </c>
      <c r="D234" t="s">
        <v>8979</v>
      </c>
      <c r="E234" t="s">
        <v>5504</v>
      </c>
      <c r="F234" t="s">
        <v>662</v>
      </c>
      <c r="G234" t="s">
        <v>8997</v>
      </c>
      <c r="H234" t="s">
        <v>9009</v>
      </c>
      <c r="I234" t="s">
        <v>9016</v>
      </c>
      <c r="J234" t="s">
        <v>8999</v>
      </c>
      <c r="K234" t="s">
        <v>8986</v>
      </c>
      <c r="L234" t="s">
        <v>3888</v>
      </c>
      <c r="M234" t="s">
        <v>8977</v>
      </c>
      <c r="N234" t="s">
        <v>9010</v>
      </c>
      <c r="O234" t="s">
        <v>9111</v>
      </c>
    </row>
    <row r="235" spans="1:15">
      <c r="A235" t="s">
        <v>4172</v>
      </c>
      <c r="B235" t="s">
        <v>8991</v>
      </c>
      <c r="C235" t="s">
        <v>8978</v>
      </c>
      <c r="D235" t="s">
        <v>8979</v>
      </c>
      <c r="E235" t="s">
        <v>5504</v>
      </c>
      <c r="F235" t="s">
        <v>662</v>
      </c>
      <c r="G235" t="s">
        <v>8980</v>
      </c>
      <c r="H235" t="s">
        <v>8981</v>
      </c>
      <c r="I235" t="s">
        <v>3880</v>
      </c>
      <c r="J235" t="s">
        <v>5492</v>
      </c>
      <c r="K235" t="s">
        <v>9000</v>
      </c>
      <c r="L235" t="s">
        <v>3888</v>
      </c>
      <c r="M235" t="s">
        <v>8977</v>
      </c>
      <c r="N235" t="s">
        <v>9010</v>
      </c>
      <c r="O235" t="s">
        <v>3883</v>
      </c>
    </row>
    <row r="236" spans="1:15">
      <c r="A236" t="s">
        <v>4173</v>
      </c>
      <c r="B236" t="s">
        <v>9008</v>
      </c>
      <c r="C236" t="s">
        <v>9061</v>
      </c>
      <c r="D236" t="s">
        <v>5490</v>
      </c>
      <c r="E236" t="s">
        <v>662</v>
      </c>
      <c r="F236" t="s">
        <v>9062</v>
      </c>
      <c r="G236" t="s">
        <v>8980</v>
      </c>
      <c r="H236" t="s">
        <v>8981</v>
      </c>
      <c r="I236" t="s">
        <v>3888</v>
      </c>
      <c r="J236" t="s">
        <v>5492</v>
      </c>
      <c r="K236" t="s">
        <v>5493</v>
      </c>
      <c r="L236" t="s">
        <v>9016</v>
      </c>
      <c r="M236" t="s">
        <v>8988</v>
      </c>
      <c r="N236" t="s">
        <v>8990</v>
      </c>
      <c r="O236" t="s">
        <v>8977</v>
      </c>
    </row>
    <row r="237" spans="1:15">
      <c r="A237" t="s">
        <v>4174</v>
      </c>
      <c r="B237" t="s">
        <v>8991</v>
      </c>
      <c r="C237" t="s">
        <v>8978</v>
      </c>
      <c r="D237" t="s">
        <v>8994</v>
      </c>
      <c r="E237" t="s">
        <v>8995</v>
      </c>
      <c r="F237" t="s">
        <v>8996</v>
      </c>
      <c r="G237" t="s">
        <v>8997</v>
      </c>
      <c r="H237" t="s">
        <v>3874</v>
      </c>
      <c r="I237" t="s">
        <v>3888</v>
      </c>
      <c r="J237" t="s">
        <v>9113</v>
      </c>
      <c r="K237" t="s">
        <v>8985</v>
      </c>
      <c r="L237" t="s">
        <v>9016</v>
      </c>
      <c r="M237" t="s">
        <v>8988</v>
      </c>
      <c r="N237" t="s">
        <v>8990</v>
      </c>
      <c r="O237" t="s">
        <v>9114</v>
      </c>
    </row>
    <row r="238" spans="1:15">
      <c r="A238" t="s">
        <v>4175</v>
      </c>
      <c r="B238" t="s">
        <v>9019</v>
      </c>
      <c r="C238" t="s">
        <v>9063</v>
      </c>
      <c r="D238" t="s">
        <v>9115</v>
      </c>
      <c r="E238" t="s">
        <v>662</v>
      </c>
      <c r="F238" t="s">
        <v>9064</v>
      </c>
      <c r="G238" t="s">
        <v>8980</v>
      </c>
      <c r="H238" t="s">
        <v>8981</v>
      </c>
      <c r="I238" t="s">
        <v>3888</v>
      </c>
      <c r="J238" t="s">
        <v>5492</v>
      </c>
      <c r="K238" t="s">
        <v>5493</v>
      </c>
      <c r="L238" t="s">
        <v>8984</v>
      </c>
      <c r="M238" t="s">
        <v>9008</v>
      </c>
      <c r="N238" t="s">
        <v>9021</v>
      </c>
      <c r="O238" t="s">
        <v>8991</v>
      </c>
    </row>
    <row r="239" spans="1:15">
      <c r="A239" t="s">
        <v>4176</v>
      </c>
      <c r="B239" t="s">
        <v>9010</v>
      </c>
      <c r="C239" t="s">
        <v>9002</v>
      </c>
      <c r="D239" t="s">
        <v>9116</v>
      </c>
      <c r="E239" t="s">
        <v>8995</v>
      </c>
      <c r="F239" t="s">
        <v>9108</v>
      </c>
      <c r="G239" t="s">
        <v>8997</v>
      </c>
      <c r="H239" t="s">
        <v>3880</v>
      </c>
      <c r="I239" t="s">
        <v>3888</v>
      </c>
      <c r="J239" t="s">
        <v>5492</v>
      </c>
      <c r="K239" t="s">
        <v>5493</v>
      </c>
      <c r="L239" t="s">
        <v>8462</v>
      </c>
      <c r="M239" t="s">
        <v>9019</v>
      </c>
      <c r="N239" t="s">
        <v>8982</v>
      </c>
      <c r="O239" t="s">
        <v>9117</v>
      </c>
    </row>
    <row r="240" spans="1:15">
      <c r="A240" t="s">
        <v>4177</v>
      </c>
      <c r="B240" t="s">
        <v>8987</v>
      </c>
      <c r="C240" t="s">
        <v>9002</v>
      </c>
      <c r="D240" t="s">
        <v>9118</v>
      </c>
      <c r="E240" t="s">
        <v>662</v>
      </c>
      <c r="F240" t="s">
        <v>8629</v>
      </c>
      <c r="G240" t="s">
        <v>9003</v>
      </c>
      <c r="H240" t="s">
        <v>3888</v>
      </c>
      <c r="I240" t="s">
        <v>3888</v>
      </c>
      <c r="J240" t="s">
        <v>5492</v>
      </c>
      <c r="K240" t="s">
        <v>5493</v>
      </c>
      <c r="L240" t="s">
        <v>8462</v>
      </c>
      <c r="M240" t="s">
        <v>9019</v>
      </c>
      <c r="N240" t="s">
        <v>8982</v>
      </c>
      <c r="O240" t="s">
        <v>8991</v>
      </c>
    </row>
    <row r="241" spans="1:15">
      <c r="A241" t="s">
        <v>4178</v>
      </c>
      <c r="B241" t="s">
        <v>9041</v>
      </c>
      <c r="C241" t="s">
        <v>9063</v>
      </c>
      <c r="D241" t="s">
        <v>9115</v>
      </c>
      <c r="E241" t="s">
        <v>662</v>
      </c>
      <c r="F241" t="s">
        <v>9064</v>
      </c>
      <c r="G241" t="s">
        <v>8980</v>
      </c>
      <c r="H241" t="s">
        <v>8981</v>
      </c>
      <c r="I241" t="s">
        <v>8984</v>
      </c>
      <c r="J241" t="s">
        <v>5492</v>
      </c>
      <c r="K241" t="s">
        <v>5493</v>
      </c>
      <c r="L241" t="s">
        <v>9025</v>
      </c>
      <c r="M241" t="s">
        <v>8987</v>
      </c>
      <c r="N241" t="s">
        <v>9026</v>
      </c>
      <c r="O241" t="s">
        <v>9119</v>
      </c>
    </row>
    <row r="242" spans="1:15">
      <c r="A242" t="s">
        <v>4179</v>
      </c>
      <c r="B242" t="s">
        <v>8977</v>
      </c>
      <c r="C242" t="s">
        <v>8978</v>
      </c>
      <c r="D242" t="s">
        <v>8979</v>
      </c>
      <c r="E242" t="s">
        <v>5504</v>
      </c>
      <c r="F242" t="s">
        <v>662</v>
      </c>
      <c r="G242" t="s">
        <v>8980</v>
      </c>
      <c r="H242" t="s">
        <v>8981</v>
      </c>
      <c r="I242" t="s">
        <v>9120</v>
      </c>
      <c r="J242" t="s">
        <v>7161</v>
      </c>
      <c r="K242" t="s">
        <v>9028</v>
      </c>
      <c r="L242" t="s">
        <v>3874</v>
      </c>
      <c r="M242" t="s">
        <v>3888</v>
      </c>
      <c r="N242" t="s">
        <v>8977</v>
      </c>
      <c r="O242" t="s">
        <v>9156</v>
      </c>
    </row>
    <row r="243" spans="1:15">
      <c r="A243" t="s">
        <v>4180</v>
      </c>
      <c r="B243" t="s">
        <v>8989</v>
      </c>
      <c r="C243" t="s">
        <v>8978</v>
      </c>
      <c r="D243" t="s">
        <v>8979</v>
      </c>
      <c r="E243" t="s">
        <v>662</v>
      </c>
      <c r="F243" t="s">
        <v>662</v>
      </c>
      <c r="G243" t="s">
        <v>8997</v>
      </c>
      <c r="H243" t="s">
        <v>3868</v>
      </c>
      <c r="I243" t="s">
        <v>3888</v>
      </c>
      <c r="J243" t="s">
        <v>9113</v>
      </c>
      <c r="K243" t="s">
        <v>8986</v>
      </c>
      <c r="L243" t="s">
        <v>3883</v>
      </c>
      <c r="M243" t="s">
        <v>8984</v>
      </c>
      <c r="N243" t="s">
        <v>8991</v>
      </c>
      <c r="O243" t="s">
        <v>8977</v>
      </c>
    </row>
    <row r="244" spans="1:15">
      <c r="A244" t="s">
        <v>4182</v>
      </c>
      <c r="B244" t="s">
        <v>8989</v>
      </c>
      <c r="C244" t="s">
        <v>8978</v>
      </c>
      <c r="D244" t="s">
        <v>8979</v>
      </c>
      <c r="E244" t="s">
        <v>5504</v>
      </c>
      <c r="F244" t="s">
        <v>662</v>
      </c>
      <c r="G244" t="s">
        <v>8997</v>
      </c>
      <c r="H244" t="s">
        <v>3868</v>
      </c>
      <c r="I244" t="s">
        <v>8977</v>
      </c>
      <c r="J244" t="s">
        <v>6949</v>
      </c>
      <c r="K244" t="s">
        <v>9020</v>
      </c>
      <c r="L244" t="s">
        <v>3883</v>
      </c>
      <c r="M244" t="s">
        <v>8984</v>
      </c>
      <c r="N244" t="s">
        <v>8991</v>
      </c>
      <c r="O244" t="s">
        <v>9157</v>
      </c>
    </row>
    <row r="245" spans="1:15">
      <c r="A245" t="s">
        <v>4183</v>
      </c>
      <c r="B245" t="s">
        <v>8989</v>
      </c>
      <c r="C245" t="s">
        <v>8978</v>
      </c>
      <c r="D245" t="s">
        <v>8979</v>
      </c>
      <c r="E245" t="s">
        <v>5504</v>
      </c>
      <c r="F245" t="s">
        <v>662</v>
      </c>
      <c r="G245" t="s">
        <v>8997</v>
      </c>
      <c r="H245" t="s">
        <v>3868</v>
      </c>
      <c r="I245" t="s">
        <v>8984</v>
      </c>
      <c r="J245" t="s">
        <v>6949</v>
      </c>
      <c r="K245" t="s">
        <v>9020</v>
      </c>
      <c r="L245" t="s">
        <v>3883</v>
      </c>
      <c r="M245" t="s">
        <v>8984</v>
      </c>
      <c r="N245" t="s">
        <v>8991</v>
      </c>
      <c r="O245" t="s">
        <v>9158</v>
      </c>
    </row>
    <row r="246" spans="1:15">
      <c r="A246" t="s">
        <v>4184</v>
      </c>
      <c r="B246" t="s">
        <v>8989</v>
      </c>
      <c r="C246" t="s">
        <v>9002</v>
      </c>
      <c r="D246" t="s">
        <v>8979</v>
      </c>
      <c r="E246" t="s">
        <v>5504</v>
      </c>
      <c r="F246" t="s">
        <v>9108</v>
      </c>
      <c r="G246" t="s">
        <v>8980</v>
      </c>
      <c r="H246" t="s">
        <v>8981</v>
      </c>
      <c r="I246" t="s">
        <v>3886</v>
      </c>
      <c r="J246" t="s">
        <v>6949</v>
      </c>
      <c r="K246" t="s">
        <v>9028</v>
      </c>
      <c r="L246" t="s">
        <v>3883</v>
      </c>
      <c r="M246" t="s">
        <v>8984</v>
      </c>
      <c r="N246" t="s">
        <v>8991</v>
      </c>
      <c r="O246" t="s">
        <v>9159</v>
      </c>
    </row>
    <row r="247" spans="1:15">
      <c r="A247" t="s">
        <v>4185</v>
      </c>
      <c r="B247" t="s">
        <v>8991</v>
      </c>
      <c r="C247" t="s">
        <v>8978</v>
      </c>
      <c r="D247" t="s">
        <v>8979</v>
      </c>
      <c r="E247" t="s">
        <v>5504</v>
      </c>
      <c r="F247" t="s">
        <v>662</v>
      </c>
      <c r="G247" t="s">
        <v>8997</v>
      </c>
      <c r="H247" t="s">
        <v>9009</v>
      </c>
      <c r="I247" t="s">
        <v>3880</v>
      </c>
      <c r="J247" t="s">
        <v>6949</v>
      </c>
      <c r="K247" t="s">
        <v>8986</v>
      </c>
      <c r="L247" t="s">
        <v>3888</v>
      </c>
      <c r="M247" t="s">
        <v>8977</v>
      </c>
      <c r="N247" t="s">
        <v>9010</v>
      </c>
      <c r="O247" t="s">
        <v>9139</v>
      </c>
    </row>
    <row r="248" spans="1:15">
      <c r="A248" t="s">
        <v>4186</v>
      </c>
      <c r="B248" t="s">
        <v>8991</v>
      </c>
      <c r="C248" t="s">
        <v>8978</v>
      </c>
      <c r="D248" t="s">
        <v>8979</v>
      </c>
      <c r="E248" t="s">
        <v>5504</v>
      </c>
      <c r="F248" t="s">
        <v>662</v>
      </c>
      <c r="G248" t="s">
        <v>8997</v>
      </c>
      <c r="H248" t="s">
        <v>9009</v>
      </c>
      <c r="I248" t="s">
        <v>8984</v>
      </c>
      <c r="J248" t="s">
        <v>6949</v>
      </c>
      <c r="K248" t="s">
        <v>8986</v>
      </c>
      <c r="L248" t="s">
        <v>3888</v>
      </c>
      <c r="M248" t="s">
        <v>8977</v>
      </c>
      <c r="N248" t="s">
        <v>9010</v>
      </c>
      <c r="O248" t="s">
        <v>9160</v>
      </c>
    </row>
    <row r="249" spans="1:15">
      <c r="A249" t="s">
        <v>4187</v>
      </c>
      <c r="B249" t="s">
        <v>8991</v>
      </c>
      <c r="C249" t="s">
        <v>8978</v>
      </c>
      <c r="D249" t="s">
        <v>8979</v>
      </c>
      <c r="E249" t="s">
        <v>5504</v>
      </c>
      <c r="F249" t="s">
        <v>662</v>
      </c>
      <c r="G249" t="s">
        <v>8997</v>
      </c>
      <c r="H249" t="s">
        <v>9009</v>
      </c>
      <c r="I249" t="s">
        <v>3888</v>
      </c>
      <c r="J249" t="s">
        <v>6949</v>
      </c>
      <c r="K249" t="s">
        <v>8986</v>
      </c>
      <c r="L249" t="s">
        <v>3888</v>
      </c>
      <c r="M249" t="s">
        <v>8977</v>
      </c>
      <c r="N249" t="s">
        <v>9010</v>
      </c>
      <c r="O249" t="s">
        <v>9161</v>
      </c>
    </row>
    <row r="250" spans="1:15">
      <c r="A250" t="s">
        <v>4188</v>
      </c>
      <c r="B250" t="s">
        <v>8991</v>
      </c>
      <c r="C250" t="s">
        <v>8978</v>
      </c>
      <c r="D250" t="s">
        <v>8979</v>
      </c>
      <c r="E250" t="s">
        <v>662</v>
      </c>
      <c r="F250" t="s">
        <v>662</v>
      </c>
      <c r="G250" t="s">
        <v>8980</v>
      </c>
      <c r="H250" t="s">
        <v>8981</v>
      </c>
      <c r="I250" t="s">
        <v>9162</v>
      </c>
      <c r="J250" t="s">
        <v>7006</v>
      </c>
      <c r="K250" t="s">
        <v>9101</v>
      </c>
      <c r="L250" t="s">
        <v>3888</v>
      </c>
      <c r="M250" t="s">
        <v>8977</v>
      </c>
      <c r="N250" t="s">
        <v>9010</v>
      </c>
      <c r="O250" t="s">
        <v>9099</v>
      </c>
    </row>
    <row r="251" spans="1:15">
      <c r="A251" t="s">
        <v>4189</v>
      </c>
      <c r="B251" t="s">
        <v>8991</v>
      </c>
      <c r="C251" t="s">
        <v>8978</v>
      </c>
      <c r="D251" t="s">
        <v>5522</v>
      </c>
      <c r="E251" t="s">
        <v>5504</v>
      </c>
      <c r="F251" t="s">
        <v>662</v>
      </c>
      <c r="G251" t="s">
        <v>8980</v>
      </c>
      <c r="H251" t="s">
        <v>8981</v>
      </c>
      <c r="I251" t="s">
        <v>3883</v>
      </c>
      <c r="J251" t="s">
        <v>6949</v>
      </c>
      <c r="K251" t="s">
        <v>9109</v>
      </c>
      <c r="L251" t="s">
        <v>3888</v>
      </c>
      <c r="M251" t="s">
        <v>8977</v>
      </c>
      <c r="N251" t="s">
        <v>9010</v>
      </c>
      <c r="O251" t="s">
        <v>8977</v>
      </c>
    </row>
    <row r="252" spans="1:15">
      <c r="A252" t="s">
        <v>4190</v>
      </c>
      <c r="B252" t="s">
        <v>8992</v>
      </c>
      <c r="C252" t="s">
        <v>8978</v>
      </c>
      <c r="D252" t="s">
        <v>5530</v>
      </c>
      <c r="E252" t="s">
        <v>5530</v>
      </c>
      <c r="F252" t="s">
        <v>662</v>
      </c>
      <c r="G252" t="s">
        <v>8997</v>
      </c>
      <c r="H252" t="s">
        <v>3874</v>
      </c>
      <c r="I252" t="s">
        <v>8977</v>
      </c>
      <c r="J252" t="s">
        <v>6949</v>
      </c>
      <c r="K252" t="s">
        <v>8985</v>
      </c>
      <c r="L252" t="s">
        <v>9016</v>
      </c>
      <c r="M252" t="s">
        <v>8988</v>
      </c>
      <c r="N252" t="s">
        <v>8990</v>
      </c>
      <c r="O252" t="s">
        <v>9163</v>
      </c>
    </row>
    <row r="253" spans="1:15">
      <c r="A253" t="s">
        <v>4191</v>
      </c>
      <c r="B253" t="s">
        <v>8992</v>
      </c>
      <c r="C253" t="s">
        <v>8978</v>
      </c>
      <c r="D253" t="s">
        <v>8979</v>
      </c>
      <c r="E253" t="s">
        <v>5504</v>
      </c>
      <c r="F253" t="s">
        <v>662</v>
      </c>
      <c r="G253" t="s">
        <v>8980</v>
      </c>
      <c r="H253" t="s">
        <v>8981</v>
      </c>
      <c r="I253" t="s">
        <v>9164</v>
      </c>
      <c r="J253" t="s">
        <v>5492</v>
      </c>
      <c r="K253" t="s">
        <v>5493</v>
      </c>
      <c r="L253" t="s">
        <v>9016</v>
      </c>
      <c r="M253" t="s">
        <v>8988</v>
      </c>
      <c r="N253" t="s">
        <v>8990</v>
      </c>
      <c r="O253" t="s">
        <v>9165</v>
      </c>
    </row>
    <row r="254" spans="1:15">
      <c r="A254" t="s">
        <v>4193</v>
      </c>
      <c r="B254" t="s">
        <v>8992</v>
      </c>
      <c r="C254" t="s">
        <v>8978</v>
      </c>
      <c r="D254" t="s">
        <v>5490</v>
      </c>
      <c r="E254" t="s">
        <v>5504</v>
      </c>
      <c r="F254" t="s">
        <v>662</v>
      </c>
      <c r="G254" t="s">
        <v>8980</v>
      </c>
      <c r="H254" t="s">
        <v>8981</v>
      </c>
      <c r="I254" t="s">
        <v>9044</v>
      </c>
      <c r="J254" t="s">
        <v>9006</v>
      </c>
      <c r="K254" t="s">
        <v>9028</v>
      </c>
      <c r="L254" t="s">
        <v>9016</v>
      </c>
      <c r="M254" t="s">
        <v>8988</v>
      </c>
      <c r="N254" t="s">
        <v>8990</v>
      </c>
      <c r="O254" t="s">
        <v>9166</v>
      </c>
    </row>
    <row r="255" spans="1:15">
      <c r="A255" t="s">
        <v>4194</v>
      </c>
      <c r="B255" t="s">
        <v>8992</v>
      </c>
      <c r="C255" t="s">
        <v>8978</v>
      </c>
      <c r="D255" t="s">
        <v>9017</v>
      </c>
      <c r="E255" t="s">
        <v>5504</v>
      </c>
      <c r="F255" t="s">
        <v>662</v>
      </c>
      <c r="G255" t="s">
        <v>8980</v>
      </c>
      <c r="H255" t="s">
        <v>8981</v>
      </c>
      <c r="I255" t="s">
        <v>8977</v>
      </c>
      <c r="J255" t="s">
        <v>6949</v>
      </c>
      <c r="K255" t="s">
        <v>8985</v>
      </c>
      <c r="L255" t="s">
        <v>9016</v>
      </c>
      <c r="M255" t="s">
        <v>8988</v>
      </c>
      <c r="N255" t="s">
        <v>8990</v>
      </c>
      <c r="O255" t="s">
        <v>9167</v>
      </c>
    </row>
    <row r="256" spans="1:15">
      <c r="A256" t="s">
        <v>4195</v>
      </c>
      <c r="B256" t="s">
        <v>8992</v>
      </c>
      <c r="C256" t="s">
        <v>8978</v>
      </c>
      <c r="D256" t="s">
        <v>9017</v>
      </c>
      <c r="E256" t="s">
        <v>5504</v>
      </c>
      <c r="F256" t="s">
        <v>662</v>
      </c>
      <c r="G256" t="s">
        <v>8980</v>
      </c>
      <c r="H256" t="s">
        <v>8981</v>
      </c>
      <c r="I256" t="s">
        <v>3888</v>
      </c>
      <c r="J256" t="s">
        <v>9006</v>
      </c>
      <c r="K256" t="s">
        <v>9028</v>
      </c>
      <c r="L256" t="s">
        <v>9016</v>
      </c>
      <c r="M256" t="s">
        <v>8988</v>
      </c>
      <c r="N256" t="s">
        <v>8990</v>
      </c>
      <c r="O256" t="s">
        <v>9168</v>
      </c>
    </row>
    <row r="257" spans="1:15">
      <c r="A257" t="s">
        <v>4196</v>
      </c>
      <c r="B257" t="s">
        <v>9010</v>
      </c>
      <c r="C257" t="s">
        <v>8978</v>
      </c>
      <c r="D257" t="s">
        <v>5522</v>
      </c>
      <c r="E257" t="s">
        <v>5530</v>
      </c>
      <c r="F257" t="s">
        <v>9005</v>
      </c>
      <c r="G257" t="s">
        <v>9003</v>
      </c>
      <c r="H257" t="s">
        <v>3886</v>
      </c>
      <c r="I257" t="s">
        <v>8977</v>
      </c>
      <c r="J257" t="s">
        <v>6949</v>
      </c>
      <c r="K257" t="s">
        <v>9169</v>
      </c>
      <c r="L257" t="s">
        <v>8984</v>
      </c>
      <c r="M257" t="s">
        <v>9008</v>
      </c>
      <c r="N257" t="s">
        <v>9021</v>
      </c>
      <c r="O257" t="s">
        <v>9023</v>
      </c>
    </row>
    <row r="258" spans="1:15">
      <c r="A258" t="s">
        <v>4198</v>
      </c>
      <c r="B258" t="s">
        <v>9010</v>
      </c>
      <c r="C258" t="s">
        <v>9002</v>
      </c>
      <c r="D258" t="s">
        <v>5522</v>
      </c>
      <c r="E258" t="s">
        <v>662</v>
      </c>
      <c r="F258" t="s">
        <v>8629</v>
      </c>
      <c r="G258" t="s">
        <v>8980</v>
      </c>
      <c r="H258" t="s">
        <v>8981</v>
      </c>
      <c r="I258" t="s">
        <v>3888</v>
      </c>
      <c r="J258" t="s">
        <v>6949</v>
      </c>
      <c r="K258" t="s">
        <v>9020</v>
      </c>
      <c r="L258" t="s">
        <v>8984</v>
      </c>
      <c r="M258" t="s">
        <v>9008</v>
      </c>
      <c r="N258" t="s">
        <v>9021</v>
      </c>
      <c r="O258" t="s">
        <v>8982</v>
      </c>
    </row>
    <row r="259" spans="1:15">
      <c r="A259" t="s">
        <v>4199</v>
      </c>
      <c r="B259" t="s">
        <v>9056</v>
      </c>
      <c r="C259" t="s">
        <v>8978</v>
      </c>
      <c r="D259" t="s">
        <v>9170</v>
      </c>
      <c r="E259" t="s">
        <v>662</v>
      </c>
      <c r="F259" t="s">
        <v>662</v>
      </c>
      <c r="G259" t="s">
        <v>8997</v>
      </c>
      <c r="H259" t="s">
        <v>3880</v>
      </c>
      <c r="I259" t="s">
        <v>8987</v>
      </c>
      <c r="J259" t="s">
        <v>9171</v>
      </c>
      <c r="K259" t="s">
        <v>9047</v>
      </c>
      <c r="L259" t="s">
        <v>8462</v>
      </c>
      <c r="M259" t="s">
        <v>9019</v>
      </c>
      <c r="N259" t="s">
        <v>8982</v>
      </c>
      <c r="O259" t="s">
        <v>9172</v>
      </c>
    </row>
    <row r="260" spans="1:15">
      <c r="A260" t="s">
        <v>4200</v>
      </c>
      <c r="B260" t="s">
        <v>9056</v>
      </c>
      <c r="C260" t="s">
        <v>8978</v>
      </c>
      <c r="D260" t="s">
        <v>9173</v>
      </c>
      <c r="E260" t="s">
        <v>5530</v>
      </c>
      <c r="F260" t="s">
        <v>9005</v>
      </c>
      <c r="G260" t="s">
        <v>8980</v>
      </c>
      <c r="H260" t="s">
        <v>8981</v>
      </c>
      <c r="I260" t="s">
        <v>9164</v>
      </c>
      <c r="J260" t="s">
        <v>7060</v>
      </c>
      <c r="K260" t="s">
        <v>9047</v>
      </c>
      <c r="L260" t="s">
        <v>8462</v>
      </c>
      <c r="M260" t="s">
        <v>9019</v>
      </c>
      <c r="N260" t="s">
        <v>8982</v>
      </c>
      <c r="O260" t="s">
        <v>9174</v>
      </c>
    </row>
    <row r="261" spans="1:15">
      <c r="A261" t="s">
        <v>4201</v>
      </c>
      <c r="B261" t="s">
        <v>9056</v>
      </c>
      <c r="C261" t="s">
        <v>9002</v>
      </c>
      <c r="D261" t="s">
        <v>9039</v>
      </c>
      <c r="E261" t="s">
        <v>8995</v>
      </c>
      <c r="F261" t="s">
        <v>9108</v>
      </c>
      <c r="G261" t="s">
        <v>8997</v>
      </c>
      <c r="H261" t="s">
        <v>3880</v>
      </c>
      <c r="I261" t="s">
        <v>3888</v>
      </c>
      <c r="J261" t="s">
        <v>6949</v>
      </c>
      <c r="K261" t="s">
        <v>9052</v>
      </c>
      <c r="L261" t="s">
        <v>8462</v>
      </c>
      <c r="M261" t="s">
        <v>9019</v>
      </c>
      <c r="N261" t="s">
        <v>8982</v>
      </c>
      <c r="O261" t="s">
        <v>9175</v>
      </c>
    </row>
    <row r="262" spans="1:15">
      <c r="A262" t="s">
        <v>4202</v>
      </c>
      <c r="B262" t="s">
        <v>8990</v>
      </c>
      <c r="C262" t="s">
        <v>9002</v>
      </c>
      <c r="D262" t="s">
        <v>5522</v>
      </c>
      <c r="E262" t="s">
        <v>8995</v>
      </c>
      <c r="F262" t="s">
        <v>9108</v>
      </c>
      <c r="G262" t="s">
        <v>8997</v>
      </c>
      <c r="H262" t="s">
        <v>9133</v>
      </c>
      <c r="I262" t="s">
        <v>3888</v>
      </c>
      <c r="J262" t="s">
        <v>6949</v>
      </c>
      <c r="K262" t="s">
        <v>9052</v>
      </c>
      <c r="L262" t="s">
        <v>9025</v>
      </c>
      <c r="M262" t="s">
        <v>8987</v>
      </c>
      <c r="N262" t="s">
        <v>9026</v>
      </c>
      <c r="O262" t="s">
        <v>9176</v>
      </c>
    </row>
    <row r="263" spans="1:15">
      <c r="A263" t="s">
        <v>4203</v>
      </c>
      <c r="B263" t="s">
        <v>8990</v>
      </c>
      <c r="C263" t="s">
        <v>8978</v>
      </c>
      <c r="D263" t="s">
        <v>5522</v>
      </c>
      <c r="E263" t="s">
        <v>8995</v>
      </c>
      <c r="F263" t="s">
        <v>9005</v>
      </c>
      <c r="G263" t="s">
        <v>9003</v>
      </c>
      <c r="H263" t="s">
        <v>3890</v>
      </c>
      <c r="I263" t="s">
        <v>3883</v>
      </c>
      <c r="J263" t="s">
        <v>6949</v>
      </c>
      <c r="K263" t="s">
        <v>9020</v>
      </c>
      <c r="L263" t="s">
        <v>9025</v>
      </c>
      <c r="M263" t="s">
        <v>8987</v>
      </c>
      <c r="N263" t="s">
        <v>9026</v>
      </c>
      <c r="O263" t="s">
        <v>9177</v>
      </c>
    </row>
    <row r="264" spans="1:15">
      <c r="A264" t="s">
        <v>4204</v>
      </c>
      <c r="B264" t="s">
        <v>8990</v>
      </c>
      <c r="C264" t="s">
        <v>9002</v>
      </c>
      <c r="D264" t="s">
        <v>9017</v>
      </c>
      <c r="E264" t="s">
        <v>662</v>
      </c>
      <c r="F264" t="s">
        <v>9108</v>
      </c>
      <c r="G264" t="s">
        <v>8980</v>
      </c>
      <c r="H264" t="s">
        <v>8981</v>
      </c>
      <c r="I264" t="s">
        <v>8988</v>
      </c>
      <c r="J264" t="s">
        <v>9123</v>
      </c>
      <c r="K264" t="s">
        <v>9178</v>
      </c>
      <c r="L264" t="s">
        <v>9025</v>
      </c>
      <c r="M264" t="s">
        <v>8987</v>
      </c>
      <c r="N264" t="s">
        <v>9026</v>
      </c>
      <c r="O264" t="s">
        <v>9179</v>
      </c>
    </row>
    <row r="265" spans="1:15">
      <c r="A265" t="s">
        <v>4205</v>
      </c>
      <c r="B265" t="s">
        <v>8977</v>
      </c>
      <c r="C265" t="s">
        <v>8978</v>
      </c>
      <c r="D265" t="s">
        <v>8979</v>
      </c>
      <c r="E265" t="s">
        <v>662</v>
      </c>
      <c r="F265" t="s">
        <v>662</v>
      </c>
      <c r="G265" t="s">
        <v>8980</v>
      </c>
      <c r="H265" t="s">
        <v>8981</v>
      </c>
      <c r="I265" t="s">
        <v>8982</v>
      </c>
      <c r="J265" t="s">
        <v>6949</v>
      </c>
      <c r="K265" t="s">
        <v>9047</v>
      </c>
      <c r="L265" t="s">
        <v>3874</v>
      </c>
      <c r="M265" t="s">
        <v>3888</v>
      </c>
      <c r="N265" t="s">
        <v>8977</v>
      </c>
      <c r="O265" t="s">
        <v>8988</v>
      </c>
    </row>
    <row r="266" spans="1:15">
      <c r="A266" t="s">
        <v>4206</v>
      </c>
      <c r="B266" t="s">
        <v>8977</v>
      </c>
      <c r="C266" t="s">
        <v>8978</v>
      </c>
      <c r="D266" t="s">
        <v>8979</v>
      </c>
      <c r="E266" t="s">
        <v>662</v>
      </c>
      <c r="F266" t="s">
        <v>662</v>
      </c>
      <c r="G266" t="s">
        <v>8980</v>
      </c>
      <c r="H266" t="s">
        <v>8981</v>
      </c>
      <c r="I266" t="s">
        <v>9071</v>
      </c>
      <c r="J266" t="s">
        <v>9144</v>
      </c>
      <c r="K266" t="s">
        <v>9028</v>
      </c>
      <c r="L266" t="s">
        <v>3874</v>
      </c>
      <c r="M266" t="s">
        <v>3888</v>
      </c>
      <c r="N266" t="s">
        <v>8977</v>
      </c>
      <c r="O266" t="s">
        <v>9180</v>
      </c>
    </row>
    <row r="267" spans="1:15">
      <c r="A267" t="s">
        <v>4208</v>
      </c>
      <c r="B267" t="s">
        <v>8977</v>
      </c>
      <c r="C267" t="s">
        <v>9002</v>
      </c>
      <c r="D267" t="s">
        <v>5522</v>
      </c>
      <c r="E267" t="s">
        <v>5504</v>
      </c>
      <c r="F267" t="s">
        <v>9108</v>
      </c>
      <c r="G267" t="s">
        <v>9003</v>
      </c>
      <c r="H267" t="s">
        <v>3868</v>
      </c>
      <c r="I267" t="s">
        <v>3886</v>
      </c>
      <c r="J267" t="s">
        <v>6949</v>
      </c>
      <c r="K267" t="s">
        <v>9181</v>
      </c>
      <c r="L267" t="s">
        <v>3874</v>
      </c>
      <c r="M267" t="s">
        <v>3888</v>
      </c>
      <c r="N267" t="s">
        <v>8977</v>
      </c>
      <c r="O267" t="s">
        <v>9182</v>
      </c>
    </row>
    <row r="268" spans="1:15">
      <c r="A268" t="s">
        <v>4209</v>
      </c>
      <c r="B268" t="s">
        <v>8989</v>
      </c>
      <c r="C268" t="s">
        <v>8978</v>
      </c>
      <c r="D268" t="s">
        <v>8979</v>
      </c>
      <c r="E268" t="s">
        <v>662</v>
      </c>
      <c r="F268" t="s">
        <v>662</v>
      </c>
      <c r="G268" t="s">
        <v>8980</v>
      </c>
      <c r="H268" t="s">
        <v>8981</v>
      </c>
      <c r="I268" t="s">
        <v>9099</v>
      </c>
      <c r="J268" t="s">
        <v>8774</v>
      </c>
      <c r="K268" t="s">
        <v>9137</v>
      </c>
      <c r="L268" t="s">
        <v>3883</v>
      </c>
      <c r="M268" t="s">
        <v>8984</v>
      </c>
      <c r="N268" t="s">
        <v>8991</v>
      </c>
      <c r="O268" t="s">
        <v>8992</v>
      </c>
    </row>
    <row r="269" spans="1:15">
      <c r="A269" t="s">
        <v>4211</v>
      </c>
      <c r="B269" t="s">
        <v>8989</v>
      </c>
      <c r="C269" t="s">
        <v>8978</v>
      </c>
      <c r="D269" t="s">
        <v>8979</v>
      </c>
      <c r="E269" t="s">
        <v>5504</v>
      </c>
      <c r="F269" t="s">
        <v>662</v>
      </c>
      <c r="G269" t="s">
        <v>8997</v>
      </c>
      <c r="H269" t="s">
        <v>3868</v>
      </c>
      <c r="I269" t="s">
        <v>8977</v>
      </c>
      <c r="J269" t="s">
        <v>8999</v>
      </c>
      <c r="K269" t="s">
        <v>9014</v>
      </c>
      <c r="L269" t="s">
        <v>3883</v>
      </c>
      <c r="M269" t="s">
        <v>8984</v>
      </c>
      <c r="N269" t="s">
        <v>8991</v>
      </c>
      <c r="O269" t="s">
        <v>9024</v>
      </c>
    </row>
    <row r="270" spans="1:15">
      <c r="A270" t="s">
        <v>4212</v>
      </c>
      <c r="B270" t="s">
        <v>8989</v>
      </c>
      <c r="C270" t="s">
        <v>8978</v>
      </c>
      <c r="D270" t="s">
        <v>9039</v>
      </c>
      <c r="E270" t="s">
        <v>662</v>
      </c>
      <c r="F270" t="s">
        <v>662</v>
      </c>
      <c r="G270" t="s">
        <v>9003</v>
      </c>
      <c r="H270" t="s">
        <v>3874</v>
      </c>
      <c r="I270" t="s">
        <v>3888</v>
      </c>
      <c r="J270" t="s">
        <v>9183</v>
      </c>
      <c r="K270" t="s">
        <v>5493</v>
      </c>
      <c r="L270" t="s">
        <v>3883</v>
      </c>
      <c r="M270" t="s">
        <v>8984</v>
      </c>
      <c r="N270" t="s">
        <v>8991</v>
      </c>
      <c r="O270" t="s">
        <v>9184</v>
      </c>
    </row>
    <row r="271" spans="1:15">
      <c r="A271" t="s">
        <v>4214</v>
      </c>
      <c r="B271" t="s">
        <v>8989</v>
      </c>
      <c r="C271" t="s">
        <v>8978</v>
      </c>
      <c r="D271" t="s">
        <v>9032</v>
      </c>
      <c r="E271" t="s">
        <v>5504</v>
      </c>
      <c r="F271" t="s">
        <v>662</v>
      </c>
      <c r="G271" t="s">
        <v>8997</v>
      </c>
      <c r="H271" t="s">
        <v>3868</v>
      </c>
      <c r="I271" t="s">
        <v>9185</v>
      </c>
      <c r="J271" t="s">
        <v>8999</v>
      </c>
      <c r="K271" t="s">
        <v>8986</v>
      </c>
      <c r="L271" t="s">
        <v>3883</v>
      </c>
      <c r="M271" t="s">
        <v>8984</v>
      </c>
      <c r="N271" t="s">
        <v>8991</v>
      </c>
      <c r="O271" t="s">
        <v>9186</v>
      </c>
    </row>
    <row r="272" spans="1:15">
      <c r="A272" t="s">
        <v>4215</v>
      </c>
      <c r="B272" t="s">
        <v>8991</v>
      </c>
      <c r="C272" t="s">
        <v>8978</v>
      </c>
      <c r="D272" t="s">
        <v>8979</v>
      </c>
      <c r="E272" t="s">
        <v>662</v>
      </c>
      <c r="F272" t="s">
        <v>662</v>
      </c>
      <c r="G272" t="s">
        <v>8980</v>
      </c>
      <c r="H272" t="s">
        <v>8981</v>
      </c>
      <c r="I272" t="s">
        <v>8990</v>
      </c>
      <c r="J272" t="s">
        <v>5492</v>
      </c>
      <c r="K272" t="s">
        <v>8986</v>
      </c>
      <c r="L272" t="s">
        <v>3888</v>
      </c>
      <c r="M272" t="s">
        <v>8977</v>
      </c>
      <c r="N272" t="s">
        <v>9010</v>
      </c>
      <c r="O272" t="s">
        <v>8992</v>
      </c>
    </row>
    <row r="273" spans="1:15">
      <c r="A273" t="s">
        <v>4216</v>
      </c>
      <c r="B273" t="s">
        <v>8991</v>
      </c>
      <c r="C273" t="s">
        <v>8978</v>
      </c>
      <c r="D273" t="s">
        <v>8979</v>
      </c>
      <c r="E273" t="s">
        <v>5504</v>
      </c>
      <c r="F273" t="s">
        <v>662</v>
      </c>
      <c r="G273" t="s">
        <v>8997</v>
      </c>
      <c r="H273" t="s">
        <v>9009</v>
      </c>
      <c r="I273" t="s">
        <v>9016</v>
      </c>
      <c r="J273" t="s">
        <v>8999</v>
      </c>
      <c r="K273" t="s">
        <v>8986</v>
      </c>
      <c r="L273" t="s">
        <v>3888</v>
      </c>
      <c r="M273" t="s">
        <v>8977</v>
      </c>
      <c r="N273" t="s">
        <v>9010</v>
      </c>
      <c r="O273" t="s">
        <v>9111</v>
      </c>
    </row>
    <row r="274" spans="1:15">
      <c r="A274" t="s">
        <v>4217</v>
      </c>
      <c r="B274" t="s">
        <v>8991</v>
      </c>
      <c r="C274" t="s">
        <v>8978</v>
      </c>
      <c r="D274" t="s">
        <v>8979</v>
      </c>
      <c r="E274" t="s">
        <v>5504</v>
      </c>
      <c r="F274" t="s">
        <v>662</v>
      </c>
      <c r="G274" t="s">
        <v>8997</v>
      </c>
      <c r="H274" t="s">
        <v>9009</v>
      </c>
      <c r="I274" t="s">
        <v>9016</v>
      </c>
      <c r="J274" t="s">
        <v>8999</v>
      </c>
      <c r="K274" t="s">
        <v>8986</v>
      </c>
      <c r="L274" t="s">
        <v>3888</v>
      </c>
      <c r="M274" t="s">
        <v>8977</v>
      </c>
      <c r="N274" t="s">
        <v>9010</v>
      </c>
      <c r="O274" t="s">
        <v>9111</v>
      </c>
    </row>
    <row r="275" spans="1:15">
      <c r="A275" t="s">
        <v>4218</v>
      </c>
      <c r="B275" t="s">
        <v>8991</v>
      </c>
      <c r="C275" t="s">
        <v>8978</v>
      </c>
      <c r="D275" t="s">
        <v>8979</v>
      </c>
      <c r="E275" t="s">
        <v>5504</v>
      </c>
      <c r="F275" t="s">
        <v>662</v>
      </c>
      <c r="G275" t="s">
        <v>8997</v>
      </c>
      <c r="H275" t="s">
        <v>9009</v>
      </c>
      <c r="I275" t="s">
        <v>9016</v>
      </c>
      <c r="J275" t="s">
        <v>8999</v>
      </c>
      <c r="K275" t="s">
        <v>8986</v>
      </c>
      <c r="L275" t="s">
        <v>3888</v>
      </c>
      <c r="M275" t="s">
        <v>8977</v>
      </c>
      <c r="N275" t="s">
        <v>9010</v>
      </c>
      <c r="O275" t="s">
        <v>9111</v>
      </c>
    </row>
    <row r="276" spans="1:15">
      <c r="A276" t="s">
        <v>4219</v>
      </c>
      <c r="B276" t="s">
        <v>8991</v>
      </c>
      <c r="C276" t="s">
        <v>8978</v>
      </c>
      <c r="D276" t="s">
        <v>8979</v>
      </c>
      <c r="E276" t="s">
        <v>5504</v>
      </c>
      <c r="F276" t="s">
        <v>662</v>
      </c>
      <c r="G276" t="s">
        <v>8980</v>
      </c>
      <c r="H276" t="s">
        <v>8981</v>
      </c>
      <c r="I276" t="s">
        <v>3874</v>
      </c>
      <c r="J276" t="s">
        <v>5492</v>
      </c>
      <c r="K276" t="s">
        <v>9000</v>
      </c>
      <c r="L276" t="s">
        <v>3888</v>
      </c>
      <c r="M276" t="s">
        <v>8977</v>
      </c>
      <c r="N276" t="s">
        <v>9010</v>
      </c>
      <c r="O276" t="s">
        <v>3883</v>
      </c>
    </row>
    <row r="277" spans="1:15">
      <c r="A277" t="s">
        <v>4220</v>
      </c>
      <c r="B277" t="s">
        <v>8991</v>
      </c>
      <c r="C277" t="s">
        <v>8978</v>
      </c>
      <c r="D277" t="s">
        <v>8979</v>
      </c>
      <c r="E277" t="s">
        <v>662</v>
      </c>
      <c r="F277" t="s">
        <v>662</v>
      </c>
      <c r="G277" t="s">
        <v>8980</v>
      </c>
      <c r="H277" t="s">
        <v>8981</v>
      </c>
      <c r="I277" t="s">
        <v>9132</v>
      </c>
      <c r="J277" t="s">
        <v>6949</v>
      </c>
      <c r="K277" t="s">
        <v>8986</v>
      </c>
      <c r="L277" t="s">
        <v>3888</v>
      </c>
      <c r="M277" t="s">
        <v>8977</v>
      </c>
      <c r="N277" t="s">
        <v>9010</v>
      </c>
      <c r="O277" t="s">
        <v>9016</v>
      </c>
    </row>
    <row r="278" spans="1:15">
      <c r="A278" t="s">
        <v>4221</v>
      </c>
      <c r="B278" t="s">
        <v>8991</v>
      </c>
      <c r="C278" t="s">
        <v>8978</v>
      </c>
      <c r="D278" t="s">
        <v>8979</v>
      </c>
      <c r="E278" t="s">
        <v>5504</v>
      </c>
      <c r="F278" t="s">
        <v>662</v>
      </c>
      <c r="G278" t="s">
        <v>8997</v>
      </c>
      <c r="H278" t="s">
        <v>9009</v>
      </c>
      <c r="I278" t="s">
        <v>9016</v>
      </c>
      <c r="J278" t="s">
        <v>8999</v>
      </c>
      <c r="K278" t="s">
        <v>8986</v>
      </c>
      <c r="L278" t="s">
        <v>3888</v>
      </c>
      <c r="M278" t="s">
        <v>8977</v>
      </c>
      <c r="N278" t="s">
        <v>9010</v>
      </c>
      <c r="O278" t="s">
        <v>9111</v>
      </c>
    </row>
    <row r="279" spans="1:15">
      <c r="A279" t="s">
        <v>4222</v>
      </c>
      <c r="B279" t="s">
        <v>8991</v>
      </c>
      <c r="C279" t="s">
        <v>8978</v>
      </c>
      <c r="D279" t="s">
        <v>8979</v>
      </c>
      <c r="E279" t="s">
        <v>5504</v>
      </c>
      <c r="F279" t="s">
        <v>662</v>
      </c>
      <c r="G279" t="s">
        <v>8980</v>
      </c>
      <c r="H279" t="s">
        <v>8981</v>
      </c>
      <c r="I279" t="s">
        <v>3874</v>
      </c>
      <c r="J279" t="s">
        <v>5492</v>
      </c>
      <c r="K279" t="s">
        <v>9000</v>
      </c>
      <c r="L279" t="s">
        <v>3888</v>
      </c>
      <c r="M279" t="s">
        <v>8977</v>
      </c>
      <c r="N279" t="s">
        <v>9010</v>
      </c>
      <c r="O279" t="s">
        <v>3883</v>
      </c>
    </row>
    <row r="280" spans="1:15">
      <c r="A280" t="s">
        <v>4223</v>
      </c>
      <c r="B280" t="s">
        <v>8991</v>
      </c>
      <c r="C280" t="s">
        <v>8978</v>
      </c>
      <c r="D280" t="s">
        <v>8979</v>
      </c>
      <c r="E280" t="s">
        <v>5504</v>
      </c>
      <c r="F280" t="s">
        <v>662</v>
      </c>
      <c r="G280" t="s">
        <v>8997</v>
      </c>
      <c r="H280" t="s">
        <v>9009</v>
      </c>
      <c r="I280" t="s">
        <v>9016</v>
      </c>
      <c r="J280" t="s">
        <v>8999</v>
      </c>
      <c r="K280" t="s">
        <v>8986</v>
      </c>
      <c r="L280" t="s">
        <v>3888</v>
      </c>
      <c r="M280" t="s">
        <v>8977</v>
      </c>
      <c r="N280" t="s">
        <v>9010</v>
      </c>
      <c r="O280" t="s">
        <v>9111</v>
      </c>
    </row>
    <row r="281" spans="1:15">
      <c r="A281" t="s">
        <v>4224</v>
      </c>
      <c r="B281" t="s">
        <v>8991</v>
      </c>
      <c r="C281" t="s">
        <v>8978</v>
      </c>
      <c r="D281" t="s">
        <v>8979</v>
      </c>
      <c r="E281" t="s">
        <v>5504</v>
      </c>
      <c r="F281" t="s">
        <v>662</v>
      </c>
      <c r="G281" t="s">
        <v>8980</v>
      </c>
      <c r="H281" t="s">
        <v>8981</v>
      </c>
      <c r="I281" t="s">
        <v>3874</v>
      </c>
      <c r="J281" t="s">
        <v>5492</v>
      </c>
      <c r="K281" t="s">
        <v>9000</v>
      </c>
      <c r="L281" t="s">
        <v>3888</v>
      </c>
      <c r="M281" t="s">
        <v>8977</v>
      </c>
      <c r="N281" t="s">
        <v>9010</v>
      </c>
      <c r="O281" t="s">
        <v>3883</v>
      </c>
    </row>
    <row r="282" spans="1:15">
      <c r="A282" t="s">
        <v>4225</v>
      </c>
      <c r="B282" t="s">
        <v>8991</v>
      </c>
      <c r="C282" t="s">
        <v>8978</v>
      </c>
      <c r="D282" t="s">
        <v>8979</v>
      </c>
      <c r="E282" t="s">
        <v>662</v>
      </c>
      <c r="F282" t="s">
        <v>662</v>
      </c>
      <c r="G282" t="s">
        <v>8997</v>
      </c>
      <c r="H282" t="s">
        <v>9009</v>
      </c>
      <c r="I282" t="s">
        <v>3883</v>
      </c>
      <c r="J282" t="s">
        <v>6949</v>
      </c>
      <c r="K282" t="s">
        <v>8986</v>
      </c>
      <c r="L282" t="s">
        <v>3888</v>
      </c>
      <c r="M282" t="s">
        <v>8977</v>
      </c>
      <c r="N282" t="s">
        <v>9010</v>
      </c>
      <c r="O282" t="s">
        <v>9187</v>
      </c>
    </row>
    <row r="283" spans="1:15">
      <c r="A283" t="s">
        <v>4227</v>
      </c>
      <c r="B283" t="s">
        <v>8991</v>
      </c>
      <c r="C283" t="s">
        <v>8978</v>
      </c>
      <c r="D283" t="s">
        <v>8979</v>
      </c>
      <c r="E283" t="s">
        <v>5504</v>
      </c>
      <c r="F283" t="s">
        <v>662</v>
      </c>
      <c r="G283" t="s">
        <v>8980</v>
      </c>
      <c r="H283" t="s">
        <v>8981</v>
      </c>
      <c r="I283" t="s">
        <v>3874</v>
      </c>
      <c r="J283" t="s">
        <v>5492</v>
      </c>
      <c r="K283" t="s">
        <v>9000</v>
      </c>
      <c r="L283" t="s">
        <v>3888</v>
      </c>
      <c r="M283" t="s">
        <v>8977</v>
      </c>
      <c r="N283" t="s">
        <v>9010</v>
      </c>
      <c r="O283" t="s">
        <v>3883</v>
      </c>
    </row>
    <row r="284" spans="1:15">
      <c r="A284" t="s">
        <v>4228</v>
      </c>
      <c r="B284" t="s">
        <v>8991</v>
      </c>
      <c r="C284" t="s">
        <v>8978</v>
      </c>
      <c r="D284" t="s">
        <v>8979</v>
      </c>
      <c r="E284" t="s">
        <v>8995</v>
      </c>
      <c r="F284" t="s">
        <v>662</v>
      </c>
      <c r="G284" t="s">
        <v>9003</v>
      </c>
      <c r="H284" t="s">
        <v>3880</v>
      </c>
      <c r="I284" t="s">
        <v>3880</v>
      </c>
      <c r="J284" t="s">
        <v>8999</v>
      </c>
      <c r="K284" t="s">
        <v>5493</v>
      </c>
      <c r="L284" t="s">
        <v>3888</v>
      </c>
      <c r="M284" t="s">
        <v>8977</v>
      </c>
      <c r="N284" t="s">
        <v>9010</v>
      </c>
      <c r="O284" t="s">
        <v>9025</v>
      </c>
    </row>
    <row r="285" spans="1:15">
      <c r="A285" t="s">
        <v>4230</v>
      </c>
      <c r="B285" t="s">
        <v>8991</v>
      </c>
      <c r="C285" t="s">
        <v>8978</v>
      </c>
      <c r="D285" t="s">
        <v>8979</v>
      </c>
      <c r="E285" t="s">
        <v>5504</v>
      </c>
      <c r="F285" t="s">
        <v>662</v>
      </c>
      <c r="G285" t="s">
        <v>8980</v>
      </c>
      <c r="H285" t="s">
        <v>8981</v>
      </c>
      <c r="I285" t="s">
        <v>3874</v>
      </c>
      <c r="J285" t="s">
        <v>5492</v>
      </c>
      <c r="K285" t="s">
        <v>9000</v>
      </c>
      <c r="L285" t="s">
        <v>3888</v>
      </c>
      <c r="M285" t="s">
        <v>8977</v>
      </c>
      <c r="N285" t="s">
        <v>9010</v>
      </c>
      <c r="O285" t="s">
        <v>3883</v>
      </c>
    </row>
    <row r="286" spans="1:15">
      <c r="A286" t="s">
        <v>4231</v>
      </c>
      <c r="B286" t="s">
        <v>8991</v>
      </c>
      <c r="C286" t="s">
        <v>9002</v>
      </c>
      <c r="D286" t="s">
        <v>5522</v>
      </c>
      <c r="E286" t="s">
        <v>662</v>
      </c>
      <c r="F286" t="s">
        <v>8629</v>
      </c>
      <c r="G286" t="s">
        <v>8980</v>
      </c>
      <c r="H286" t="s">
        <v>8981</v>
      </c>
      <c r="I286" t="s">
        <v>8977</v>
      </c>
      <c r="J286" t="s">
        <v>6949</v>
      </c>
      <c r="K286" t="s">
        <v>8986</v>
      </c>
      <c r="L286" t="s">
        <v>3888</v>
      </c>
      <c r="M286" t="s">
        <v>8977</v>
      </c>
      <c r="N286" t="s">
        <v>9010</v>
      </c>
      <c r="O286" t="s">
        <v>9016</v>
      </c>
    </row>
    <row r="287" spans="1:15">
      <c r="A287" t="s">
        <v>4232</v>
      </c>
      <c r="B287" t="s">
        <v>8991</v>
      </c>
      <c r="C287" t="s">
        <v>8978</v>
      </c>
      <c r="D287" t="s">
        <v>5530</v>
      </c>
      <c r="E287" t="s">
        <v>5530</v>
      </c>
      <c r="F287" t="s">
        <v>662</v>
      </c>
      <c r="G287" t="s">
        <v>8997</v>
      </c>
      <c r="H287" t="s">
        <v>9009</v>
      </c>
      <c r="I287" t="s">
        <v>3886</v>
      </c>
      <c r="J287" t="s">
        <v>6949</v>
      </c>
      <c r="K287" t="s">
        <v>9020</v>
      </c>
      <c r="L287" t="s">
        <v>3888</v>
      </c>
      <c r="M287" t="s">
        <v>8977</v>
      </c>
      <c r="N287" t="s">
        <v>9010</v>
      </c>
      <c r="O287" t="s">
        <v>9188</v>
      </c>
    </row>
    <row r="288" spans="1:15">
      <c r="A288" t="s">
        <v>4233</v>
      </c>
      <c r="B288" t="s">
        <v>8991</v>
      </c>
      <c r="C288" t="s">
        <v>9002</v>
      </c>
      <c r="D288" t="s">
        <v>9039</v>
      </c>
      <c r="E288" t="s">
        <v>662</v>
      </c>
      <c r="F288" t="s">
        <v>8629</v>
      </c>
      <c r="G288" t="s">
        <v>8980</v>
      </c>
      <c r="H288" t="s">
        <v>8981</v>
      </c>
      <c r="I288" t="s">
        <v>3888</v>
      </c>
      <c r="J288" t="s">
        <v>6949</v>
      </c>
      <c r="K288" t="s">
        <v>8985</v>
      </c>
      <c r="L288" t="s">
        <v>3888</v>
      </c>
      <c r="M288" t="s">
        <v>8977</v>
      </c>
      <c r="N288" t="s">
        <v>9010</v>
      </c>
      <c r="O288" t="s">
        <v>8990</v>
      </c>
    </row>
    <row r="289" spans="1:15">
      <c r="A289" t="s">
        <v>4234</v>
      </c>
      <c r="B289" t="s">
        <v>8992</v>
      </c>
      <c r="C289" t="s">
        <v>8978</v>
      </c>
      <c r="D289" t="s">
        <v>8979</v>
      </c>
      <c r="E289" t="s">
        <v>662</v>
      </c>
      <c r="F289" t="s">
        <v>662</v>
      </c>
      <c r="G289" t="s">
        <v>8997</v>
      </c>
      <c r="H289" t="s">
        <v>3874</v>
      </c>
      <c r="I289" t="s">
        <v>3886</v>
      </c>
      <c r="J289" t="s">
        <v>6949</v>
      </c>
      <c r="K289" t="s">
        <v>9020</v>
      </c>
      <c r="L289" t="s">
        <v>9016</v>
      </c>
      <c r="M289" t="s">
        <v>8988</v>
      </c>
      <c r="N289" t="s">
        <v>8990</v>
      </c>
      <c r="O289" t="s">
        <v>9189</v>
      </c>
    </row>
    <row r="290" spans="1:15">
      <c r="A290" t="s">
        <v>4236</v>
      </c>
      <c r="B290" t="s">
        <v>8992</v>
      </c>
      <c r="C290" t="s">
        <v>8978</v>
      </c>
      <c r="D290" t="s">
        <v>8979</v>
      </c>
      <c r="E290" t="s">
        <v>662</v>
      </c>
      <c r="F290" t="s">
        <v>662</v>
      </c>
      <c r="G290" t="s">
        <v>8980</v>
      </c>
      <c r="H290" t="s">
        <v>8981</v>
      </c>
      <c r="I290" t="s">
        <v>9190</v>
      </c>
      <c r="J290" t="s">
        <v>7161</v>
      </c>
      <c r="K290" t="s">
        <v>8986</v>
      </c>
      <c r="L290" t="s">
        <v>9016</v>
      </c>
      <c r="M290" t="s">
        <v>8988</v>
      </c>
      <c r="N290" t="s">
        <v>8990</v>
      </c>
      <c r="O290" t="s">
        <v>9102</v>
      </c>
    </row>
    <row r="291" spans="1:15">
      <c r="A291" t="s">
        <v>4237</v>
      </c>
      <c r="B291" t="s">
        <v>8992</v>
      </c>
      <c r="C291" t="s">
        <v>8978</v>
      </c>
      <c r="D291" t="s">
        <v>8979</v>
      </c>
      <c r="E291" t="s">
        <v>662</v>
      </c>
      <c r="F291" t="s">
        <v>662</v>
      </c>
      <c r="G291" t="s">
        <v>9003</v>
      </c>
      <c r="H291" t="s">
        <v>3883</v>
      </c>
      <c r="I291" t="s">
        <v>9191</v>
      </c>
      <c r="J291" t="s">
        <v>9192</v>
      </c>
      <c r="K291" t="s">
        <v>9028</v>
      </c>
      <c r="L291" t="s">
        <v>9016</v>
      </c>
      <c r="M291" t="s">
        <v>8988</v>
      </c>
      <c r="N291" t="s">
        <v>8990</v>
      </c>
      <c r="O291" t="s">
        <v>9193</v>
      </c>
    </row>
    <row r="292" spans="1:15">
      <c r="A292" t="s">
        <v>4239</v>
      </c>
      <c r="B292" t="s">
        <v>8992</v>
      </c>
      <c r="C292" t="s">
        <v>9002</v>
      </c>
      <c r="D292" t="s">
        <v>5522</v>
      </c>
      <c r="E292" t="s">
        <v>662</v>
      </c>
      <c r="F292" t="s">
        <v>8629</v>
      </c>
      <c r="G292" t="s">
        <v>8980</v>
      </c>
      <c r="H292" t="s">
        <v>8981</v>
      </c>
      <c r="I292" t="s">
        <v>8984</v>
      </c>
      <c r="J292" t="s">
        <v>6949</v>
      </c>
      <c r="K292" t="s">
        <v>8986</v>
      </c>
      <c r="L292" t="s">
        <v>9016</v>
      </c>
      <c r="M292" t="s">
        <v>8988</v>
      </c>
      <c r="N292" t="s">
        <v>8990</v>
      </c>
      <c r="O292" t="s">
        <v>8992</v>
      </c>
    </row>
    <row r="293" spans="1:15">
      <c r="A293" t="s">
        <v>4240</v>
      </c>
      <c r="B293" t="s">
        <v>8992</v>
      </c>
      <c r="C293" t="s">
        <v>9002</v>
      </c>
      <c r="D293" t="s">
        <v>5522</v>
      </c>
      <c r="E293" t="s">
        <v>5504</v>
      </c>
      <c r="F293" t="s">
        <v>9108</v>
      </c>
      <c r="G293" t="s">
        <v>9003</v>
      </c>
      <c r="H293" t="s">
        <v>3883</v>
      </c>
      <c r="I293" t="s">
        <v>3888</v>
      </c>
      <c r="J293" t="s">
        <v>6949</v>
      </c>
      <c r="K293" t="s">
        <v>9181</v>
      </c>
      <c r="L293" t="s">
        <v>9016</v>
      </c>
      <c r="M293" t="s">
        <v>8988</v>
      </c>
      <c r="N293" t="s">
        <v>8990</v>
      </c>
      <c r="O293" t="s">
        <v>9194</v>
      </c>
    </row>
    <row r="294" spans="1:15">
      <c r="A294" t="s">
        <v>4241</v>
      </c>
      <c r="B294" t="s">
        <v>8992</v>
      </c>
      <c r="C294" t="s">
        <v>8978</v>
      </c>
      <c r="D294" t="s">
        <v>9017</v>
      </c>
      <c r="E294" t="s">
        <v>5504</v>
      </c>
      <c r="F294" t="s">
        <v>662</v>
      </c>
      <c r="G294" t="s">
        <v>8997</v>
      </c>
      <c r="H294" t="s">
        <v>3874</v>
      </c>
      <c r="I294" t="s">
        <v>9195</v>
      </c>
      <c r="J294" t="s">
        <v>9196</v>
      </c>
      <c r="K294" t="s">
        <v>9197</v>
      </c>
      <c r="L294" t="s">
        <v>9016</v>
      </c>
      <c r="M294" t="s">
        <v>8988</v>
      </c>
      <c r="N294" t="s">
        <v>8990</v>
      </c>
      <c r="O294" t="s">
        <v>9198</v>
      </c>
    </row>
    <row r="295" spans="1:15">
      <c r="A295" t="s">
        <v>4242</v>
      </c>
      <c r="B295" t="s">
        <v>9010</v>
      </c>
      <c r="C295" t="s">
        <v>9002</v>
      </c>
      <c r="D295" t="s">
        <v>5522</v>
      </c>
      <c r="E295" t="s">
        <v>662</v>
      </c>
      <c r="F295" t="s">
        <v>8629</v>
      </c>
      <c r="G295" t="s">
        <v>8980</v>
      </c>
      <c r="H295" t="s">
        <v>8981</v>
      </c>
      <c r="I295" t="s">
        <v>3888</v>
      </c>
      <c r="J295" t="s">
        <v>6949</v>
      </c>
      <c r="K295" t="s">
        <v>8986</v>
      </c>
      <c r="L295" t="s">
        <v>8984</v>
      </c>
      <c r="M295" t="s">
        <v>9008</v>
      </c>
      <c r="N295" t="s">
        <v>9021</v>
      </c>
      <c r="O295" t="s">
        <v>8982</v>
      </c>
    </row>
    <row r="296" spans="1:15">
      <c r="A296" t="s">
        <v>4243</v>
      </c>
      <c r="B296" t="s">
        <v>9010</v>
      </c>
      <c r="C296" t="s">
        <v>8978</v>
      </c>
      <c r="D296" t="s">
        <v>9170</v>
      </c>
      <c r="E296" t="s">
        <v>8995</v>
      </c>
      <c r="F296" t="s">
        <v>662</v>
      </c>
      <c r="G296" t="s">
        <v>9003</v>
      </c>
      <c r="H296" t="s">
        <v>3886</v>
      </c>
      <c r="I296" t="s">
        <v>3880</v>
      </c>
      <c r="J296" t="s">
        <v>8999</v>
      </c>
      <c r="K296" t="s">
        <v>9028</v>
      </c>
      <c r="L296" t="s">
        <v>8984</v>
      </c>
      <c r="M296" t="s">
        <v>9008</v>
      </c>
      <c r="N296" t="s">
        <v>9021</v>
      </c>
      <c r="O296" t="s">
        <v>9056</v>
      </c>
    </row>
    <row r="297" spans="1:15">
      <c r="A297" t="s">
        <v>4245</v>
      </c>
      <c r="B297" t="s">
        <v>9010</v>
      </c>
      <c r="C297" t="s">
        <v>8978</v>
      </c>
      <c r="D297" t="s">
        <v>8979</v>
      </c>
      <c r="E297" t="s">
        <v>662</v>
      </c>
      <c r="F297" t="s">
        <v>662</v>
      </c>
      <c r="G297" t="s">
        <v>8980</v>
      </c>
      <c r="H297" t="s">
        <v>8981</v>
      </c>
      <c r="I297" t="s">
        <v>9199</v>
      </c>
      <c r="J297" t="s">
        <v>7006</v>
      </c>
      <c r="K297" t="s">
        <v>9028</v>
      </c>
      <c r="L297" t="s">
        <v>8984</v>
      </c>
      <c r="M297" t="s">
        <v>9008</v>
      </c>
      <c r="N297" t="s">
        <v>9021</v>
      </c>
      <c r="O297" t="s">
        <v>9044</v>
      </c>
    </row>
    <row r="298" spans="1:15">
      <c r="A298" t="s">
        <v>4246</v>
      </c>
      <c r="B298" t="s">
        <v>9010</v>
      </c>
      <c r="C298" t="s">
        <v>8978</v>
      </c>
      <c r="D298" t="s">
        <v>8979</v>
      </c>
      <c r="E298" t="s">
        <v>5504</v>
      </c>
      <c r="F298" t="s">
        <v>662</v>
      </c>
      <c r="G298" t="s">
        <v>9003</v>
      </c>
      <c r="H298" t="s">
        <v>3886</v>
      </c>
      <c r="I298" t="s">
        <v>8984</v>
      </c>
      <c r="J298" t="s">
        <v>9006</v>
      </c>
      <c r="K298" t="s">
        <v>9014</v>
      </c>
      <c r="L298" t="s">
        <v>8984</v>
      </c>
      <c r="M298" t="s">
        <v>9008</v>
      </c>
      <c r="N298" t="s">
        <v>9021</v>
      </c>
      <c r="O298" t="s">
        <v>9200</v>
      </c>
    </row>
    <row r="299" spans="1:15">
      <c r="A299" t="s">
        <v>4247</v>
      </c>
      <c r="B299" t="s">
        <v>9010</v>
      </c>
      <c r="C299" t="s">
        <v>8978</v>
      </c>
      <c r="D299" t="s">
        <v>8979</v>
      </c>
      <c r="E299" t="s">
        <v>662</v>
      </c>
      <c r="F299" t="s">
        <v>662</v>
      </c>
      <c r="G299" t="s">
        <v>8997</v>
      </c>
      <c r="H299" t="s">
        <v>9054</v>
      </c>
      <c r="I299" t="s">
        <v>8977</v>
      </c>
      <c r="J299" t="s">
        <v>6949</v>
      </c>
      <c r="K299" t="s">
        <v>8986</v>
      </c>
      <c r="L299" t="s">
        <v>8984</v>
      </c>
      <c r="M299" t="s">
        <v>9008</v>
      </c>
      <c r="N299" t="s">
        <v>9021</v>
      </c>
      <c r="O299" t="s">
        <v>9201</v>
      </c>
    </row>
    <row r="300" spans="1:15">
      <c r="A300" t="s">
        <v>4248</v>
      </c>
      <c r="B300" t="s">
        <v>9010</v>
      </c>
      <c r="C300" t="s">
        <v>8978</v>
      </c>
      <c r="D300" t="s">
        <v>5530</v>
      </c>
      <c r="E300" t="s">
        <v>5530</v>
      </c>
      <c r="F300" t="s">
        <v>662</v>
      </c>
      <c r="G300" t="s">
        <v>8997</v>
      </c>
      <c r="H300" t="s">
        <v>9054</v>
      </c>
      <c r="I300" t="s">
        <v>8984</v>
      </c>
      <c r="J300" t="s">
        <v>8999</v>
      </c>
      <c r="K300" t="s">
        <v>8986</v>
      </c>
      <c r="L300" t="s">
        <v>8984</v>
      </c>
      <c r="M300" t="s">
        <v>9008</v>
      </c>
      <c r="N300" t="s">
        <v>9021</v>
      </c>
      <c r="O300" t="s">
        <v>9202</v>
      </c>
    </row>
    <row r="301" spans="1:15">
      <c r="A301" t="s">
        <v>4249</v>
      </c>
      <c r="B301" t="s">
        <v>9010</v>
      </c>
      <c r="C301" t="s">
        <v>8978</v>
      </c>
      <c r="D301" t="s">
        <v>9017</v>
      </c>
      <c r="E301" t="s">
        <v>5504</v>
      </c>
      <c r="F301" t="s">
        <v>662</v>
      </c>
      <c r="G301" t="s">
        <v>8997</v>
      </c>
      <c r="H301" t="s">
        <v>9054</v>
      </c>
      <c r="I301" t="s">
        <v>9203</v>
      </c>
      <c r="J301" t="s">
        <v>9113</v>
      </c>
      <c r="K301" t="s">
        <v>8985</v>
      </c>
      <c r="L301" t="s">
        <v>8984</v>
      </c>
      <c r="M301" t="s">
        <v>9008</v>
      </c>
      <c r="N301" t="s">
        <v>9021</v>
      </c>
      <c r="O301" t="s">
        <v>9204</v>
      </c>
    </row>
    <row r="302" spans="1:15">
      <c r="A302" t="s">
        <v>4251</v>
      </c>
      <c r="B302" t="s">
        <v>9056</v>
      </c>
      <c r="C302" t="s">
        <v>8978</v>
      </c>
      <c r="D302" t="s">
        <v>8979</v>
      </c>
      <c r="E302" t="s">
        <v>662</v>
      </c>
      <c r="F302" t="s">
        <v>662</v>
      </c>
      <c r="G302" t="s">
        <v>8980</v>
      </c>
      <c r="H302" t="s">
        <v>8981</v>
      </c>
      <c r="I302" t="s">
        <v>9205</v>
      </c>
      <c r="J302" t="s">
        <v>7006</v>
      </c>
      <c r="K302" t="s">
        <v>9014</v>
      </c>
      <c r="L302" t="s">
        <v>8462</v>
      </c>
      <c r="M302" t="s">
        <v>9019</v>
      </c>
      <c r="N302" t="s">
        <v>8982</v>
      </c>
      <c r="O302" t="s">
        <v>9079</v>
      </c>
    </row>
    <row r="303" spans="1:15">
      <c r="A303" t="s">
        <v>4252</v>
      </c>
      <c r="B303" t="s">
        <v>9056</v>
      </c>
      <c r="C303" t="s">
        <v>9002</v>
      </c>
      <c r="D303" t="s">
        <v>5522</v>
      </c>
      <c r="E303" t="s">
        <v>662</v>
      </c>
      <c r="F303" t="s">
        <v>8629</v>
      </c>
      <c r="G303" t="s">
        <v>8980</v>
      </c>
      <c r="H303" t="s">
        <v>8981</v>
      </c>
      <c r="I303" t="s">
        <v>3888</v>
      </c>
      <c r="J303" t="s">
        <v>6949</v>
      </c>
      <c r="K303" t="s">
        <v>8986</v>
      </c>
      <c r="L303" t="s">
        <v>8462</v>
      </c>
      <c r="M303" t="s">
        <v>9019</v>
      </c>
      <c r="N303" t="s">
        <v>8982</v>
      </c>
      <c r="O303" t="s">
        <v>8982</v>
      </c>
    </row>
    <row r="304" spans="1:15">
      <c r="A304" t="s">
        <v>4253</v>
      </c>
      <c r="B304" t="s">
        <v>9056</v>
      </c>
      <c r="C304" t="s">
        <v>8978</v>
      </c>
      <c r="D304" t="s">
        <v>5530</v>
      </c>
      <c r="E304" t="s">
        <v>5530</v>
      </c>
      <c r="F304" t="s">
        <v>662</v>
      </c>
      <c r="G304" t="s">
        <v>8980</v>
      </c>
      <c r="H304" t="s">
        <v>8981</v>
      </c>
      <c r="I304" t="s">
        <v>8984</v>
      </c>
      <c r="J304" t="s">
        <v>6949</v>
      </c>
      <c r="K304" t="s">
        <v>8985</v>
      </c>
      <c r="L304" t="s">
        <v>3890</v>
      </c>
      <c r="M304" t="s">
        <v>8993</v>
      </c>
      <c r="N304" t="s">
        <v>8987</v>
      </c>
      <c r="O304" t="s">
        <v>9125</v>
      </c>
    </row>
    <row r="305" spans="1:15">
      <c r="A305" t="s">
        <v>4254</v>
      </c>
      <c r="B305" t="s">
        <v>8990</v>
      </c>
      <c r="C305" t="s">
        <v>8978</v>
      </c>
      <c r="D305" t="s">
        <v>8979</v>
      </c>
      <c r="E305" t="s">
        <v>662</v>
      </c>
      <c r="F305" t="s">
        <v>662</v>
      </c>
      <c r="G305" t="s">
        <v>8980</v>
      </c>
      <c r="H305" t="s">
        <v>8981</v>
      </c>
      <c r="I305" t="s">
        <v>9124</v>
      </c>
      <c r="J305" t="s">
        <v>7006</v>
      </c>
      <c r="K305" t="s">
        <v>9014</v>
      </c>
      <c r="L305" t="s">
        <v>9025</v>
      </c>
      <c r="M305" t="s">
        <v>8987</v>
      </c>
      <c r="N305" t="s">
        <v>9026</v>
      </c>
      <c r="O305" t="s">
        <v>9079</v>
      </c>
    </row>
    <row r="306" spans="1:15">
      <c r="A306" t="s">
        <v>4255</v>
      </c>
      <c r="B306" t="s">
        <v>8990</v>
      </c>
      <c r="C306" t="s">
        <v>8978</v>
      </c>
      <c r="D306" t="s">
        <v>9017</v>
      </c>
      <c r="E306" t="s">
        <v>5504</v>
      </c>
      <c r="F306" t="s">
        <v>662</v>
      </c>
      <c r="G306" t="s">
        <v>8997</v>
      </c>
      <c r="H306" t="s">
        <v>9133</v>
      </c>
      <c r="I306" t="s">
        <v>9044</v>
      </c>
      <c r="J306" t="s">
        <v>9206</v>
      </c>
      <c r="K306" t="s">
        <v>8986</v>
      </c>
      <c r="L306" t="s">
        <v>9025</v>
      </c>
      <c r="M306" t="s">
        <v>8987</v>
      </c>
      <c r="N306" t="s">
        <v>9026</v>
      </c>
      <c r="O306" t="s">
        <v>9207</v>
      </c>
    </row>
    <row r="307" spans="1:15">
      <c r="A307" t="s">
        <v>4257</v>
      </c>
      <c r="B307" t="s">
        <v>8990</v>
      </c>
      <c r="C307" t="s">
        <v>9002</v>
      </c>
      <c r="D307" t="s">
        <v>5522</v>
      </c>
      <c r="E307" t="s">
        <v>662</v>
      </c>
      <c r="F307" t="s">
        <v>8629</v>
      </c>
      <c r="G307" t="s">
        <v>8980</v>
      </c>
      <c r="H307" t="s">
        <v>8981</v>
      </c>
      <c r="I307" t="s">
        <v>8984</v>
      </c>
      <c r="J307" t="s">
        <v>6949</v>
      </c>
      <c r="K307" t="s">
        <v>8985</v>
      </c>
      <c r="L307" t="s">
        <v>9025</v>
      </c>
      <c r="M307" t="s">
        <v>8987</v>
      </c>
      <c r="N307" t="s">
        <v>9026</v>
      </c>
      <c r="O307" t="s">
        <v>8982</v>
      </c>
    </row>
    <row r="308" spans="1:15">
      <c r="A308" t="s">
        <v>4258</v>
      </c>
      <c r="B308" t="s">
        <v>8990</v>
      </c>
      <c r="C308" t="s">
        <v>8978</v>
      </c>
      <c r="D308" t="s">
        <v>5530</v>
      </c>
      <c r="E308" t="s">
        <v>5530</v>
      </c>
      <c r="F308" t="s">
        <v>662</v>
      </c>
      <c r="G308" t="s">
        <v>8997</v>
      </c>
      <c r="H308" t="s">
        <v>9133</v>
      </c>
      <c r="I308" t="s">
        <v>8977</v>
      </c>
      <c r="J308" t="s">
        <v>8999</v>
      </c>
      <c r="K308" t="s">
        <v>9014</v>
      </c>
      <c r="L308" t="s">
        <v>9025</v>
      </c>
      <c r="M308" t="s">
        <v>8987</v>
      </c>
      <c r="N308" t="s">
        <v>9026</v>
      </c>
      <c r="O308" t="s">
        <v>8982</v>
      </c>
    </row>
    <row r="309" spans="1:15">
      <c r="A309" t="s">
        <v>4259</v>
      </c>
      <c r="B309" t="s">
        <v>8990</v>
      </c>
      <c r="C309" t="s">
        <v>9002</v>
      </c>
      <c r="D309" t="s">
        <v>9017</v>
      </c>
      <c r="E309" t="s">
        <v>662</v>
      </c>
      <c r="F309" t="s">
        <v>8629</v>
      </c>
      <c r="G309" t="s">
        <v>8980</v>
      </c>
      <c r="H309" t="s">
        <v>8981</v>
      </c>
      <c r="I309" t="s">
        <v>8984</v>
      </c>
      <c r="J309" t="s">
        <v>6949</v>
      </c>
      <c r="K309" t="s">
        <v>9028</v>
      </c>
      <c r="L309" t="s">
        <v>9025</v>
      </c>
      <c r="M309" t="s">
        <v>8987</v>
      </c>
      <c r="N309" t="s">
        <v>9026</v>
      </c>
      <c r="O309" t="s">
        <v>9010</v>
      </c>
    </row>
    <row r="310" spans="1:15">
      <c r="A310" t="s">
        <v>4260</v>
      </c>
      <c r="B310" t="s">
        <v>8977</v>
      </c>
      <c r="C310" t="s">
        <v>8978</v>
      </c>
      <c r="D310" t="s">
        <v>8994</v>
      </c>
      <c r="E310" t="s">
        <v>8995</v>
      </c>
      <c r="F310" t="s">
        <v>8996</v>
      </c>
      <c r="G310" t="s">
        <v>8997</v>
      </c>
      <c r="H310" t="s">
        <v>8998</v>
      </c>
      <c r="I310" t="s">
        <v>3888</v>
      </c>
      <c r="J310" t="s">
        <v>9006</v>
      </c>
      <c r="K310" t="s">
        <v>8985</v>
      </c>
      <c r="L310" t="s">
        <v>3874</v>
      </c>
      <c r="M310" t="s">
        <v>3888</v>
      </c>
      <c r="N310" t="s">
        <v>8977</v>
      </c>
      <c r="O310" t="s">
        <v>9105</v>
      </c>
    </row>
    <row r="311" spans="1:15">
      <c r="A311" t="s">
        <v>4262</v>
      </c>
      <c r="B311" t="s">
        <v>8462</v>
      </c>
      <c r="C311" t="s">
        <v>8978</v>
      </c>
      <c r="D311" t="s">
        <v>5530</v>
      </c>
      <c r="E311" t="s">
        <v>5530</v>
      </c>
      <c r="F311" t="s">
        <v>662</v>
      </c>
      <c r="G311" t="s">
        <v>8997</v>
      </c>
      <c r="H311" t="s">
        <v>8998</v>
      </c>
      <c r="I311" t="s">
        <v>3874</v>
      </c>
      <c r="J311" t="s">
        <v>5492</v>
      </c>
      <c r="K311" t="s">
        <v>9000</v>
      </c>
      <c r="L311" t="s">
        <v>3874</v>
      </c>
      <c r="M311" t="s">
        <v>3888</v>
      </c>
      <c r="N311" t="s">
        <v>8977</v>
      </c>
      <c r="O311" t="s">
        <v>3888</v>
      </c>
    </row>
    <row r="312" spans="1:15">
      <c r="A312" t="s">
        <v>4263</v>
      </c>
      <c r="B312" t="s">
        <v>9025</v>
      </c>
      <c r="C312" t="s">
        <v>9061</v>
      </c>
      <c r="D312" t="s">
        <v>5522</v>
      </c>
      <c r="E312" t="s">
        <v>662</v>
      </c>
      <c r="F312" t="s">
        <v>9062</v>
      </c>
      <c r="G312" t="s">
        <v>8980</v>
      </c>
      <c r="H312" t="s">
        <v>8981</v>
      </c>
      <c r="I312" t="s">
        <v>3888</v>
      </c>
      <c r="J312" t="s">
        <v>5492</v>
      </c>
      <c r="K312" t="s">
        <v>5493</v>
      </c>
      <c r="L312" t="s">
        <v>3874</v>
      </c>
      <c r="M312" t="s">
        <v>3888</v>
      </c>
      <c r="N312" t="s">
        <v>8977</v>
      </c>
      <c r="O312" t="s">
        <v>3883</v>
      </c>
    </row>
    <row r="313" spans="1:15">
      <c r="A313" t="s">
        <v>4264</v>
      </c>
      <c r="B313" t="s">
        <v>8977</v>
      </c>
      <c r="C313" t="s">
        <v>8978</v>
      </c>
      <c r="D313" t="s">
        <v>9066</v>
      </c>
      <c r="E313" t="s">
        <v>5530</v>
      </c>
      <c r="F313" t="s">
        <v>9005</v>
      </c>
      <c r="G313" t="s">
        <v>8997</v>
      </c>
      <c r="H313" t="s">
        <v>3868</v>
      </c>
      <c r="I313" t="s">
        <v>3888</v>
      </c>
      <c r="J313" t="s">
        <v>5492</v>
      </c>
      <c r="K313" t="s">
        <v>9000</v>
      </c>
      <c r="L313" t="s">
        <v>3883</v>
      </c>
      <c r="M313" t="s">
        <v>8984</v>
      </c>
      <c r="N313" t="s">
        <v>8991</v>
      </c>
      <c r="O313" t="s">
        <v>9106</v>
      </c>
    </row>
    <row r="314" spans="1:15">
      <c r="A314" t="s">
        <v>4265</v>
      </c>
      <c r="B314" t="s">
        <v>8989</v>
      </c>
      <c r="C314" t="s">
        <v>9002</v>
      </c>
      <c r="D314" t="s">
        <v>9107</v>
      </c>
      <c r="E314" t="s">
        <v>8995</v>
      </c>
      <c r="F314" t="s">
        <v>9108</v>
      </c>
      <c r="G314" t="s">
        <v>8997</v>
      </c>
      <c r="H314" t="s">
        <v>3868</v>
      </c>
      <c r="I314" t="s">
        <v>3888</v>
      </c>
      <c r="J314" t="s">
        <v>5492</v>
      </c>
      <c r="K314" t="s">
        <v>9109</v>
      </c>
      <c r="L314" t="s">
        <v>3883</v>
      </c>
      <c r="M314" t="s">
        <v>8984</v>
      </c>
      <c r="N314" t="s">
        <v>8991</v>
      </c>
      <c r="O314" t="s">
        <v>9110</v>
      </c>
    </row>
    <row r="315" spans="1:15">
      <c r="A315" t="s">
        <v>4266</v>
      </c>
      <c r="B315" t="s">
        <v>8993</v>
      </c>
      <c r="C315" t="s">
        <v>9063</v>
      </c>
      <c r="D315" t="s">
        <v>5490</v>
      </c>
      <c r="E315" t="s">
        <v>662</v>
      </c>
      <c r="F315" t="s">
        <v>9064</v>
      </c>
      <c r="G315" t="s">
        <v>8980</v>
      </c>
      <c r="H315" t="s">
        <v>8981</v>
      </c>
      <c r="I315" t="s">
        <v>3888</v>
      </c>
      <c r="J315" t="s">
        <v>5492</v>
      </c>
      <c r="K315" t="s">
        <v>5493</v>
      </c>
      <c r="L315" t="s">
        <v>3883</v>
      </c>
      <c r="M315" t="s">
        <v>8984</v>
      </c>
      <c r="N315" t="s">
        <v>8991</v>
      </c>
      <c r="O315" t="s">
        <v>3888</v>
      </c>
    </row>
    <row r="316" spans="1:15">
      <c r="A316" t="s">
        <v>4267</v>
      </c>
      <c r="B316" t="s">
        <v>8991</v>
      </c>
      <c r="C316" t="s">
        <v>8978</v>
      </c>
      <c r="D316" t="s">
        <v>8979</v>
      </c>
      <c r="E316" t="s">
        <v>5504</v>
      </c>
      <c r="F316" t="s">
        <v>662</v>
      </c>
      <c r="G316" t="s">
        <v>8997</v>
      </c>
      <c r="H316" t="s">
        <v>9009</v>
      </c>
      <c r="I316" t="s">
        <v>9016</v>
      </c>
      <c r="J316" t="s">
        <v>8999</v>
      </c>
      <c r="K316" t="s">
        <v>8986</v>
      </c>
      <c r="L316" t="s">
        <v>3888</v>
      </c>
      <c r="M316" t="s">
        <v>8977</v>
      </c>
      <c r="N316" t="s">
        <v>9010</v>
      </c>
      <c r="O316" t="s">
        <v>9111</v>
      </c>
    </row>
    <row r="317" spans="1:15">
      <c r="A317" t="s">
        <v>4268</v>
      </c>
      <c r="B317" t="s">
        <v>8991</v>
      </c>
      <c r="C317" t="s">
        <v>8978</v>
      </c>
      <c r="D317" t="s">
        <v>8979</v>
      </c>
      <c r="E317" t="s">
        <v>5504</v>
      </c>
      <c r="F317" t="s">
        <v>662</v>
      </c>
      <c r="G317" t="s">
        <v>8980</v>
      </c>
      <c r="H317" t="s">
        <v>8981</v>
      </c>
      <c r="I317" t="s">
        <v>3880</v>
      </c>
      <c r="J317" t="s">
        <v>5492</v>
      </c>
      <c r="K317" t="s">
        <v>9000</v>
      </c>
      <c r="L317" t="s">
        <v>3888</v>
      </c>
      <c r="M317" t="s">
        <v>8977</v>
      </c>
      <c r="N317" t="s">
        <v>9010</v>
      </c>
      <c r="O317" t="s">
        <v>3883</v>
      </c>
    </row>
    <row r="318" spans="1:15">
      <c r="A318" t="s">
        <v>4270</v>
      </c>
      <c r="B318" t="s">
        <v>8988</v>
      </c>
      <c r="C318" t="s">
        <v>9002</v>
      </c>
      <c r="D318" t="s">
        <v>9012</v>
      </c>
      <c r="E318" t="s">
        <v>662</v>
      </c>
      <c r="F318" t="s">
        <v>8629</v>
      </c>
      <c r="G318" t="s">
        <v>9003</v>
      </c>
      <c r="H318" t="s">
        <v>3880</v>
      </c>
      <c r="I318" t="s">
        <v>3888</v>
      </c>
      <c r="J318" t="s">
        <v>5492</v>
      </c>
      <c r="K318" t="s">
        <v>5493</v>
      </c>
      <c r="L318" t="s">
        <v>3888</v>
      </c>
      <c r="M318" t="s">
        <v>8977</v>
      </c>
      <c r="N318" t="s">
        <v>9010</v>
      </c>
      <c r="O318" t="s">
        <v>3888</v>
      </c>
    </row>
    <row r="319" spans="1:15">
      <c r="A319" t="s">
        <v>4271</v>
      </c>
      <c r="B319" t="s">
        <v>8989</v>
      </c>
      <c r="C319" t="s">
        <v>8978</v>
      </c>
      <c r="D319" t="s">
        <v>5530</v>
      </c>
      <c r="E319" t="s">
        <v>5530</v>
      </c>
      <c r="F319" t="s">
        <v>662</v>
      </c>
      <c r="G319" t="s">
        <v>8997</v>
      </c>
      <c r="H319" t="s">
        <v>9009</v>
      </c>
      <c r="I319" t="s">
        <v>3874</v>
      </c>
      <c r="J319" t="s">
        <v>5492</v>
      </c>
      <c r="K319" t="s">
        <v>9000</v>
      </c>
      <c r="L319" t="s">
        <v>3888</v>
      </c>
      <c r="M319" t="s">
        <v>8977</v>
      </c>
      <c r="N319" t="s">
        <v>9010</v>
      </c>
      <c r="O319" t="s">
        <v>8992</v>
      </c>
    </row>
    <row r="320" spans="1:15">
      <c r="A320" t="s">
        <v>4272</v>
      </c>
      <c r="B320" t="s">
        <v>8991</v>
      </c>
      <c r="C320" t="s">
        <v>9061</v>
      </c>
      <c r="D320" t="s">
        <v>5522</v>
      </c>
      <c r="E320" t="s">
        <v>662</v>
      </c>
      <c r="F320" t="s">
        <v>9062</v>
      </c>
      <c r="G320" t="s">
        <v>8980</v>
      </c>
      <c r="H320" t="s">
        <v>8981</v>
      </c>
      <c r="I320" t="s">
        <v>8984</v>
      </c>
      <c r="J320" t="s">
        <v>5492</v>
      </c>
      <c r="K320" t="s">
        <v>5493</v>
      </c>
      <c r="L320" t="s">
        <v>3888</v>
      </c>
      <c r="M320" t="s">
        <v>8977</v>
      </c>
      <c r="N320" t="s">
        <v>9010</v>
      </c>
      <c r="O320" t="s">
        <v>9112</v>
      </c>
    </row>
    <row r="321" spans="1:15">
      <c r="A321" t="s">
        <v>4273</v>
      </c>
      <c r="B321" t="s">
        <v>8991</v>
      </c>
      <c r="C321" t="s">
        <v>8978</v>
      </c>
      <c r="D321" t="s">
        <v>8994</v>
      </c>
      <c r="E321" t="s">
        <v>8995</v>
      </c>
      <c r="F321" t="s">
        <v>8996</v>
      </c>
      <c r="G321" t="s">
        <v>8997</v>
      </c>
      <c r="H321" t="s">
        <v>3874</v>
      </c>
      <c r="I321" t="s">
        <v>3888</v>
      </c>
      <c r="J321" t="s">
        <v>9113</v>
      </c>
      <c r="K321" t="s">
        <v>8985</v>
      </c>
      <c r="L321" t="s">
        <v>9016</v>
      </c>
      <c r="M321" t="s">
        <v>8988</v>
      </c>
      <c r="N321" t="s">
        <v>8990</v>
      </c>
      <c r="O321" t="s">
        <v>9114</v>
      </c>
    </row>
    <row r="322" spans="1:15">
      <c r="A322" t="s">
        <v>4274</v>
      </c>
      <c r="B322" t="s">
        <v>9008</v>
      </c>
      <c r="C322" t="s">
        <v>9061</v>
      </c>
      <c r="D322" t="s">
        <v>5490</v>
      </c>
      <c r="E322" t="s">
        <v>662</v>
      </c>
      <c r="F322" t="s">
        <v>9062</v>
      </c>
      <c r="G322" t="s">
        <v>8980</v>
      </c>
      <c r="H322" t="s">
        <v>8981</v>
      </c>
      <c r="I322" t="s">
        <v>3888</v>
      </c>
      <c r="J322" t="s">
        <v>5492</v>
      </c>
      <c r="K322" t="s">
        <v>5493</v>
      </c>
      <c r="L322" t="s">
        <v>9016</v>
      </c>
      <c r="M322" t="s">
        <v>8988</v>
      </c>
      <c r="N322" t="s">
        <v>8990</v>
      </c>
      <c r="O322" t="s">
        <v>8977</v>
      </c>
    </row>
    <row r="323" spans="1:15">
      <c r="A323" t="s">
        <v>4275</v>
      </c>
      <c r="B323" t="s">
        <v>8992</v>
      </c>
      <c r="C323" t="s">
        <v>9063</v>
      </c>
      <c r="D323" t="s">
        <v>5490</v>
      </c>
      <c r="E323" t="s">
        <v>662</v>
      </c>
      <c r="F323" t="s">
        <v>9064</v>
      </c>
      <c r="G323" t="s">
        <v>8980</v>
      </c>
      <c r="H323" t="s">
        <v>8981</v>
      </c>
      <c r="I323" t="s">
        <v>8984</v>
      </c>
      <c r="J323" t="s">
        <v>5492</v>
      </c>
      <c r="K323" t="s">
        <v>5493</v>
      </c>
      <c r="L323" t="s">
        <v>9016</v>
      </c>
      <c r="M323" t="s">
        <v>8988</v>
      </c>
      <c r="N323" t="s">
        <v>8990</v>
      </c>
      <c r="O323" t="s">
        <v>9065</v>
      </c>
    </row>
    <row r="324" spans="1:15">
      <c r="A324" t="s">
        <v>4276</v>
      </c>
      <c r="B324" t="s">
        <v>8992</v>
      </c>
      <c r="C324" t="s">
        <v>8978</v>
      </c>
      <c r="D324" t="s">
        <v>9066</v>
      </c>
      <c r="E324" t="s">
        <v>5530</v>
      </c>
      <c r="F324" t="s">
        <v>9005</v>
      </c>
      <c r="G324" t="s">
        <v>8997</v>
      </c>
      <c r="H324" t="s">
        <v>9054</v>
      </c>
      <c r="I324" t="s">
        <v>3888</v>
      </c>
      <c r="J324" t="s">
        <v>5492</v>
      </c>
      <c r="K324" t="s">
        <v>9000</v>
      </c>
      <c r="L324" t="s">
        <v>8984</v>
      </c>
      <c r="M324" t="s">
        <v>9008</v>
      </c>
      <c r="N324" t="s">
        <v>9021</v>
      </c>
      <c r="O324" t="s">
        <v>9067</v>
      </c>
    </row>
    <row r="325" spans="1:15">
      <c r="A325" t="s">
        <v>4277</v>
      </c>
      <c r="B325" t="s">
        <v>9010</v>
      </c>
      <c r="C325" t="s">
        <v>8978</v>
      </c>
      <c r="D325" t="s">
        <v>9068</v>
      </c>
      <c r="E325" t="s">
        <v>5530</v>
      </c>
      <c r="F325" t="s">
        <v>9005</v>
      </c>
      <c r="G325" t="s">
        <v>8980</v>
      </c>
      <c r="H325" t="s">
        <v>8981</v>
      </c>
      <c r="I325" t="s">
        <v>8984</v>
      </c>
      <c r="J325" t="s">
        <v>5492</v>
      </c>
      <c r="K325" t="s">
        <v>5493</v>
      </c>
      <c r="L325" t="s">
        <v>8984</v>
      </c>
      <c r="M325" t="s">
        <v>9008</v>
      </c>
      <c r="N325" t="s">
        <v>9021</v>
      </c>
      <c r="O325" t="s">
        <v>9069</v>
      </c>
    </row>
    <row r="326" spans="1:15">
      <c r="A326" t="s">
        <v>4278</v>
      </c>
      <c r="B326" t="s">
        <v>9019</v>
      </c>
      <c r="C326" t="s">
        <v>9063</v>
      </c>
      <c r="D326" t="s">
        <v>9115</v>
      </c>
      <c r="E326" t="s">
        <v>662</v>
      </c>
      <c r="F326" t="s">
        <v>9064</v>
      </c>
      <c r="G326" t="s">
        <v>8980</v>
      </c>
      <c r="H326" t="s">
        <v>8981</v>
      </c>
      <c r="I326" t="s">
        <v>3888</v>
      </c>
      <c r="J326" t="s">
        <v>5492</v>
      </c>
      <c r="K326" t="s">
        <v>5493</v>
      </c>
      <c r="L326" t="s">
        <v>8984</v>
      </c>
      <c r="M326" t="s">
        <v>9008</v>
      </c>
      <c r="N326" t="s">
        <v>9021</v>
      </c>
      <c r="O326" t="s">
        <v>8991</v>
      </c>
    </row>
    <row r="327" spans="1:15">
      <c r="A327" t="s">
        <v>4279</v>
      </c>
      <c r="B327" t="s">
        <v>9010</v>
      </c>
      <c r="C327" t="s">
        <v>9002</v>
      </c>
      <c r="D327" t="s">
        <v>9116</v>
      </c>
      <c r="E327" t="s">
        <v>8995</v>
      </c>
      <c r="F327" t="s">
        <v>9108</v>
      </c>
      <c r="G327" t="s">
        <v>8997</v>
      </c>
      <c r="H327" t="s">
        <v>3880</v>
      </c>
      <c r="I327" t="s">
        <v>3888</v>
      </c>
      <c r="J327" t="s">
        <v>5492</v>
      </c>
      <c r="K327" t="s">
        <v>5493</v>
      </c>
      <c r="L327" t="s">
        <v>8462</v>
      </c>
      <c r="M327" t="s">
        <v>9019</v>
      </c>
      <c r="N327" t="s">
        <v>8982</v>
      </c>
      <c r="O327" t="s">
        <v>9117</v>
      </c>
    </row>
    <row r="328" spans="1:15">
      <c r="A328" t="s">
        <v>4280</v>
      </c>
      <c r="B328" t="s">
        <v>8987</v>
      </c>
      <c r="C328" t="s">
        <v>9002</v>
      </c>
      <c r="D328" t="s">
        <v>9118</v>
      </c>
      <c r="E328" t="s">
        <v>662</v>
      </c>
      <c r="F328" t="s">
        <v>8629</v>
      </c>
      <c r="G328" t="s">
        <v>9003</v>
      </c>
      <c r="H328" t="s">
        <v>3888</v>
      </c>
      <c r="I328" t="s">
        <v>3888</v>
      </c>
      <c r="J328" t="s">
        <v>5492</v>
      </c>
      <c r="K328" t="s">
        <v>5493</v>
      </c>
      <c r="L328" t="s">
        <v>8462</v>
      </c>
      <c r="M328" t="s">
        <v>9019</v>
      </c>
      <c r="N328" t="s">
        <v>8982</v>
      </c>
      <c r="O328" t="s">
        <v>8991</v>
      </c>
    </row>
    <row r="329" spans="1:15">
      <c r="A329" t="s">
        <v>4281</v>
      </c>
      <c r="B329" t="s">
        <v>9056</v>
      </c>
      <c r="C329" t="s">
        <v>9061</v>
      </c>
      <c r="D329" t="s">
        <v>5490</v>
      </c>
      <c r="E329" t="s">
        <v>662</v>
      </c>
      <c r="F329" t="s">
        <v>9062</v>
      </c>
      <c r="G329" t="s">
        <v>8980</v>
      </c>
      <c r="H329" t="s">
        <v>8981</v>
      </c>
      <c r="I329" t="s">
        <v>3888</v>
      </c>
      <c r="J329" t="s">
        <v>5492</v>
      </c>
      <c r="K329" t="s">
        <v>5493</v>
      </c>
      <c r="L329" t="s">
        <v>8462</v>
      </c>
      <c r="M329" t="s">
        <v>9019</v>
      </c>
      <c r="N329" t="s">
        <v>8982</v>
      </c>
      <c r="O329" t="s">
        <v>9070</v>
      </c>
    </row>
    <row r="330" spans="1:15">
      <c r="A330" t="s">
        <v>4282</v>
      </c>
      <c r="B330" t="s">
        <v>8990</v>
      </c>
      <c r="C330" t="s">
        <v>8978</v>
      </c>
      <c r="D330" t="s">
        <v>9068</v>
      </c>
      <c r="E330" t="s">
        <v>5530</v>
      </c>
      <c r="F330" t="s">
        <v>9005</v>
      </c>
      <c r="G330" t="s">
        <v>8980</v>
      </c>
      <c r="H330" t="s">
        <v>8981</v>
      </c>
      <c r="I330" t="s">
        <v>8984</v>
      </c>
      <c r="J330" t="s">
        <v>5492</v>
      </c>
      <c r="K330" t="s">
        <v>5493</v>
      </c>
      <c r="L330" t="s">
        <v>9025</v>
      </c>
      <c r="M330" t="s">
        <v>8987</v>
      </c>
      <c r="N330" t="s">
        <v>9026</v>
      </c>
      <c r="O330" t="s">
        <v>9071</v>
      </c>
    </row>
    <row r="331" spans="1:15">
      <c r="A331" t="s">
        <v>4283</v>
      </c>
      <c r="B331" t="s">
        <v>9041</v>
      </c>
      <c r="C331" t="s">
        <v>9063</v>
      </c>
      <c r="D331" t="s">
        <v>9115</v>
      </c>
      <c r="E331" t="s">
        <v>662</v>
      </c>
      <c r="F331" t="s">
        <v>9064</v>
      </c>
      <c r="G331" t="s">
        <v>8980</v>
      </c>
      <c r="H331" t="s">
        <v>8981</v>
      </c>
      <c r="I331" t="s">
        <v>8984</v>
      </c>
      <c r="J331" t="s">
        <v>5492</v>
      </c>
      <c r="K331" t="s">
        <v>5493</v>
      </c>
      <c r="L331" t="s">
        <v>9025</v>
      </c>
      <c r="M331" t="s">
        <v>8987</v>
      </c>
      <c r="N331" t="s">
        <v>9026</v>
      </c>
      <c r="O331" t="s">
        <v>9119</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9208</v>
      </c>
      <c r="B1" t="s">
        <v>9209</v>
      </c>
      <c r="C1" t="s">
        <v>7350</v>
      </c>
      <c r="D1" t="s">
        <v>359</v>
      </c>
    </row>
    <row r="2" spans="1:4">
      <c r="A2">
        <v>1</v>
      </c>
      <c r="B2" t="s">
        <v>5486</v>
      </c>
      <c r="C2">
        <v>2</v>
      </c>
      <c r="D2">
        <v>3</v>
      </c>
    </row>
    <row r="3" spans="1:4">
      <c r="A3">
        <v>2</v>
      </c>
      <c r="B3" t="s">
        <v>5496</v>
      </c>
      <c r="C3">
        <v>2</v>
      </c>
      <c r="D3">
        <v>3</v>
      </c>
    </row>
    <row r="4" spans="1:4">
      <c r="A4">
        <v>3</v>
      </c>
      <c r="B4" t="s">
        <v>5497</v>
      </c>
      <c r="C4">
        <v>2</v>
      </c>
      <c r="D4">
        <v>3</v>
      </c>
    </row>
    <row r="5" spans="1:4">
      <c r="A5">
        <v>4</v>
      </c>
      <c r="B5" t="s">
        <v>5498</v>
      </c>
      <c r="C5">
        <v>2</v>
      </c>
      <c r="D5">
        <v>3</v>
      </c>
    </row>
    <row r="6" spans="1:4">
      <c r="A6">
        <v>5</v>
      </c>
      <c r="B6" t="s">
        <v>5499</v>
      </c>
      <c r="C6">
        <v>3</v>
      </c>
      <c r="D6">
        <v>4</v>
      </c>
    </row>
    <row r="7" spans="1:4">
      <c r="A7">
        <v>6</v>
      </c>
      <c r="B7" t="s">
        <v>7385</v>
      </c>
      <c r="C7">
        <v>4</v>
      </c>
      <c r="D7">
        <v>7</v>
      </c>
    </row>
    <row r="8" spans="1:4">
      <c r="A8">
        <v>7</v>
      </c>
      <c r="B8" t="s">
        <v>5500</v>
      </c>
      <c r="C8">
        <v>8</v>
      </c>
      <c r="D8">
        <v>13</v>
      </c>
    </row>
    <row r="9" spans="1:4">
      <c r="A9">
        <v>8</v>
      </c>
      <c r="B9" t="s">
        <v>5501</v>
      </c>
      <c r="C9">
        <v>9</v>
      </c>
      <c r="D9">
        <v>14</v>
      </c>
    </row>
    <row r="10" spans="1:4">
      <c r="A10">
        <v>9</v>
      </c>
      <c r="B10" t="s">
        <v>9210</v>
      </c>
      <c r="C10">
        <v>15</v>
      </c>
      <c r="D10">
        <v>25</v>
      </c>
    </row>
    <row r="11" spans="1:4">
      <c r="A11">
        <v>10</v>
      </c>
      <c r="B11" t="s">
        <v>9211</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8643</v>
      </c>
      <c r="B1" s="57" t="s">
        <v>5474</v>
      </c>
      <c r="C1" s="57" t="s">
        <v>9212</v>
      </c>
      <c r="D1" s="57" t="s">
        <v>15</v>
      </c>
      <c r="E1" s="57" t="s">
        <v>5477</v>
      </c>
      <c r="F1" s="57" t="s">
        <v>5479</v>
      </c>
      <c r="G1" s="57" t="s">
        <v>5480</v>
      </c>
      <c r="H1" s="57" t="s">
        <v>5481</v>
      </c>
      <c r="I1" s="57" t="s">
        <v>9213</v>
      </c>
      <c r="J1" s="57" t="s">
        <v>9214</v>
      </c>
      <c r="K1" s="57" t="s">
        <v>9215</v>
      </c>
      <c r="L1" s="57" t="s">
        <v>9216</v>
      </c>
    </row>
    <row r="2" spans="1:12" ht="60" customHeight="1">
      <c r="A2" s="58" t="s">
        <v>9217</v>
      </c>
      <c r="B2" s="58" t="s">
        <v>9218</v>
      </c>
      <c r="C2" s="58" t="s">
        <v>9219</v>
      </c>
      <c r="D2" s="58" t="s">
        <v>9220</v>
      </c>
      <c r="E2" s="58" t="s">
        <v>662</v>
      </c>
      <c r="F2" s="58" t="s">
        <v>9221</v>
      </c>
      <c r="G2" s="58" t="s">
        <v>8999</v>
      </c>
      <c r="H2" s="58" t="s">
        <v>5492</v>
      </c>
      <c r="I2" s="58" t="s">
        <v>5493</v>
      </c>
      <c r="J2" s="59">
        <v>1</v>
      </c>
      <c r="K2" s="59">
        <v>3</v>
      </c>
      <c r="L2" s="58" t="s">
        <v>8988</v>
      </c>
    </row>
    <row r="3" spans="1:12" ht="60" customHeight="1">
      <c r="A3" s="58" t="s">
        <v>9217</v>
      </c>
      <c r="B3" s="58" t="s">
        <v>9222</v>
      </c>
      <c r="C3" s="58" t="s">
        <v>9219</v>
      </c>
      <c r="D3" s="58" t="s">
        <v>9223</v>
      </c>
      <c r="E3" s="58" t="s">
        <v>662</v>
      </c>
      <c r="F3" s="58" t="s">
        <v>9224</v>
      </c>
      <c r="G3" s="58" t="s">
        <v>8999</v>
      </c>
      <c r="H3" s="58" t="s">
        <v>5492</v>
      </c>
      <c r="I3" s="58" t="s">
        <v>5493</v>
      </c>
      <c r="J3" s="59">
        <v>1</v>
      </c>
      <c r="K3" s="59">
        <v>4</v>
      </c>
      <c r="L3" s="58" t="s">
        <v>9024</v>
      </c>
    </row>
    <row r="4" spans="1:12" ht="60" customHeight="1">
      <c r="A4" s="58" t="s">
        <v>9217</v>
      </c>
      <c r="B4" s="58" t="s">
        <v>9225</v>
      </c>
      <c r="C4" s="58" t="s">
        <v>9226</v>
      </c>
      <c r="D4" s="58" t="s">
        <v>9227</v>
      </c>
      <c r="E4" s="58" t="s">
        <v>8995</v>
      </c>
      <c r="F4" s="58" t="s">
        <v>9228</v>
      </c>
      <c r="G4" s="58" t="s">
        <v>7161</v>
      </c>
      <c r="H4" s="58" t="s">
        <v>5492</v>
      </c>
      <c r="I4" s="58" t="s">
        <v>9229</v>
      </c>
      <c r="J4" s="59">
        <v>3</v>
      </c>
      <c r="K4" s="59">
        <v>13</v>
      </c>
      <c r="L4" s="58" t="s">
        <v>9130</v>
      </c>
    </row>
    <row r="5" spans="1:12" ht="60" customHeight="1">
      <c r="A5" s="58" t="s">
        <v>9217</v>
      </c>
      <c r="B5" s="58" t="s">
        <v>9230</v>
      </c>
      <c r="C5" s="58" t="s">
        <v>9219</v>
      </c>
      <c r="D5" s="58" t="s">
        <v>9231</v>
      </c>
      <c r="E5" s="58" t="s">
        <v>5530</v>
      </c>
      <c r="F5" s="58" t="s">
        <v>9232</v>
      </c>
      <c r="G5" s="58" t="s">
        <v>8999</v>
      </c>
      <c r="H5" s="58" t="s">
        <v>5492</v>
      </c>
      <c r="I5" s="58" t="s">
        <v>5493</v>
      </c>
      <c r="J5" s="59">
        <v>5</v>
      </c>
      <c r="K5" s="59">
        <v>12</v>
      </c>
      <c r="L5" s="58" t="s">
        <v>9233</v>
      </c>
    </row>
    <row r="6" spans="1:12" ht="60" customHeight="1">
      <c r="A6" s="58" t="s">
        <v>9217</v>
      </c>
      <c r="B6" s="58" t="s">
        <v>9234</v>
      </c>
      <c r="C6" s="58" t="s">
        <v>9219</v>
      </c>
      <c r="D6" s="58" t="s">
        <v>9235</v>
      </c>
      <c r="E6" s="58" t="s">
        <v>8995</v>
      </c>
      <c r="F6" s="58" t="s">
        <v>9039</v>
      </c>
      <c r="G6" s="58" t="s">
        <v>8999</v>
      </c>
      <c r="H6" s="58" t="s">
        <v>5492</v>
      </c>
      <c r="I6" s="58" t="s">
        <v>9236</v>
      </c>
      <c r="J6" s="59">
        <v>4</v>
      </c>
      <c r="K6" s="59">
        <v>12</v>
      </c>
      <c r="L6" s="58" t="s">
        <v>9071</v>
      </c>
    </row>
    <row r="7" spans="1:12" ht="60" customHeight="1">
      <c r="A7" s="58" t="s">
        <v>9217</v>
      </c>
      <c r="B7" s="58" t="s">
        <v>9237</v>
      </c>
      <c r="C7" s="58" t="s">
        <v>9238</v>
      </c>
      <c r="D7" s="58" t="s">
        <v>9239</v>
      </c>
      <c r="E7" s="58" t="s">
        <v>5530</v>
      </c>
      <c r="F7" s="58" t="s">
        <v>9240</v>
      </c>
      <c r="G7" s="58" t="s">
        <v>6966</v>
      </c>
      <c r="H7" s="58" t="s">
        <v>5492</v>
      </c>
      <c r="I7" s="58" t="s">
        <v>9241</v>
      </c>
      <c r="J7" s="59">
        <v>6</v>
      </c>
      <c r="K7" s="59">
        <v>20</v>
      </c>
      <c r="L7" s="58" t="s">
        <v>9242</v>
      </c>
    </row>
    <row r="8" spans="1:12" ht="60" customHeight="1">
      <c r="A8" s="58" t="s">
        <v>9217</v>
      </c>
      <c r="B8" s="58" t="s">
        <v>9243</v>
      </c>
      <c r="C8" s="58" t="s">
        <v>9238</v>
      </c>
      <c r="D8" s="58" t="s">
        <v>9244</v>
      </c>
      <c r="E8" s="58" t="s">
        <v>8995</v>
      </c>
      <c r="F8" s="58" t="s">
        <v>9245</v>
      </c>
      <c r="G8" s="58" t="s">
        <v>6966</v>
      </c>
      <c r="H8" s="58" t="s">
        <v>5492</v>
      </c>
      <c r="I8" s="58" t="s">
        <v>9246</v>
      </c>
      <c r="J8" s="59">
        <v>7</v>
      </c>
      <c r="K8" s="59">
        <v>25</v>
      </c>
      <c r="L8" s="58" t="s">
        <v>9247</v>
      </c>
    </row>
    <row r="9" spans="1:12" ht="60" customHeight="1">
      <c r="A9" s="58" t="s">
        <v>9217</v>
      </c>
      <c r="B9" s="58" t="s">
        <v>9248</v>
      </c>
      <c r="C9" s="58" t="s">
        <v>9219</v>
      </c>
      <c r="D9" s="58" t="s">
        <v>9249</v>
      </c>
      <c r="E9" s="58" t="s">
        <v>5530</v>
      </c>
      <c r="F9" s="58" t="s">
        <v>9250</v>
      </c>
      <c r="G9" s="58" t="s">
        <v>9251</v>
      </c>
      <c r="H9" s="58" t="s">
        <v>5492</v>
      </c>
      <c r="I9" s="58" t="s">
        <v>9020</v>
      </c>
      <c r="J9" s="59">
        <v>3</v>
      </c>
      <c r="K9" s="59">
        <v>13</v>
      </c>
      <c r="L9" s="58" t="s">
        <v>9071</v>
      </c>
    </row>
    <row r="10" spans="1:12" ht="60" customHeight="1">
      <c r="A10" s="58" t="s">
        <v>9217</v>
      </c>
      <c r="B10" s="58" t="s">
        <v>9252</v>
      </c>
      <c r="C10" s="58" t="s">
        <v>9226</v>
      </c>
      <c r="D10" s="58" t="s">
        <v>9253</v>
      </c>
      <c r="E10" s="58" t="s">
        <v>5504</v>
      </c>
      <c r="F10" s="58" t="s">
        <v>8979</v>
      </c>
      <c r="G10" s="58" t="s">
        <v>9254</v>
      </c>
      <c r="H10" s="58" t="s">
        <v>5492</v>
      </c>
      <c r="I10" s="58" t="s">
        <v>9255</v>
      </c>
      <c r="J10" s="59">
        <v>2</v>
      </c>
      <c r="K10" s="59">
        <v>10</v>
      </c>
      <c r="L10" s="58" t="s">
        <v>8462</v>
      </c>
    </row>
    <row r="11" spans="1:12" ht="60" customHeight="1">
      <c r="A11" s="58" t="s">
        <v>9217</v>
      </c>
      <c r="B11" s="58" t="s">
        <v>9256</v>
      </c>
      <c r="C11" s="58" t="s">
        <v>9238</v>
      </c>
      <c r="D11" s="58" t="s">
        <v>9257</v>
      </c>
      <c r="E11" s="58" t="s">
        <v>5504</v>
      </c>
      <c r="F11" s="58" t="s">
        <v>8979</v>
      </c>
      <c r="G11" s="58" t="s">
        <v>9258</v>
      </c>
      <c r="H11" s="58" t="s">
        <v>5492</v>
      </c>
      <c r="I11" s="58" t="s">
        <v>9259</v>
      </c>
      <c r="J11" s="59">
        <v>5</v>
      </c>
      <c r="K11" s="59">
        <v>12</v>
      </c>
      <c r="L11" s="58" t="s">
        <v>9260</v>
      </c>
    </row>
    <row r="12" spans="1:12" ht="60" customHeight="1">
      <c r="A12" s="58" t="s">
        <v>9217</v>
      </c>
      <c r="B12" s="58" t="s">
        <v>9261</v>
      </c>
      <c r="C12" s="58" t="s">
        <v>9238</v>
      </c>
      <c r="D12" s="58" t="s">
        <v>9262</v>
      </c>
      <c r="E12" s="58" t="s">
        <v>5504</v>
      </c>
      <c r="F12" s="58" t="s">
        <v>8979</v>
      </c>
      <c r="G12" s="58" t="s">
        <v>9263</v>
      </c>
      <c r="H12" s="58" t="s">
        <v>5492</v>
      </c>
      <c r="I12" s="58" t="s">
        <v>5493</v>
      </c>
      <c r="J12" s="59">
        <v>7</v>
      </c>
      <c r="K12" s="59">
        <v>15</v>
      </c>
      <c r="L12" s="58" t="s">
        <v>9264</v>
      </c>
    </row>
    <row r="13" spans="1:12" ht="60" customHeight="1">
      <c r="A13" s="58" t="s">
        <v>9217</v>
      </c>
      <c r="B13" s="58" t="s">
        <v>9265</v>
      </c>
      <c r="C13" s="58" t="s">
        <v>9219</v>
      </c>
      <c r="D13" s="58" t="s">
        <v>9266</v>
      </c>
      <c r="E13" s="58" t="s">
        <v>5530</v>
      </c>
      <c r="F13" s="58" t="s">
        <v>9267</v>
      </c>
      <c r="G13" s="58" t="s">
        <v>9251</v>
      </c>
      <c r="H13" s="58" t="s">
        <v>5492</v>
      </c>
      <c r="I13" s="58" t="s">
        <v>9268</v>
      </c>
      <c r="J13" s="59">
        <v>1</v>
      </c>
      <c r="K13" s="59">
        <v>12</v>
      </c>
      <c r="L13" s="58" t="s">
        <v>9010</v>
      </c>
    </row>
    <row r="14" spans="1:12" ht="60" customHeight="1">
      <c r="A14" s="58" t="s">
        <v>9217</v>
      </c>
      <c r="B14" s="58" t="s">
        <v>9269</v>
      </c>
      <c r="C14" s="58" t="s">
        <v>9219</v>
      </c>
      <c r="D14" s="58" t="s">
        <v>9270</v>
      </c>
      <c r="E14" s="58" t="s">
        <v>5530</v>
      </c>
      <c r="F14" s="58" t="s">
        <v>5522</v>
      </c>
      <c r="G14" s="58" t="s">
        <v>8999</v>
      </c>
      <c r="H14" s="58" t="s">
        <v>5492</v>
      </c>
      <c r="I14" s="58" t="s">
        <v>9271</v>
      </c>
      <c r="J14" s="59">
        <v>3</v>
      </c>
      <c r="K14" s="59">
        <v>11</v>
      </c>
      <c r="L14" s="58" t="s">
        <v>9272</v>
      </c>
    </row>
    <row r="15" spans="1:12" ht="60" customHeight="1">
      <c r="A15" s="58" t="s">
        <v>9273</v>
      </c>
      <c r="B15" s="58" t="s">
        <v>9274</v>
      </c>
      <c r="C15" s="58" t="s">
        <v>9219</v>
      </c>
      <c r="D15" s="58" t="s">
        <v>9275</v>
      </c>
      <c r="E15" s="58" t="s">
        <v>5530</v>
      </c>
      <c r="F15" s="58" t="s">
        <v>5530</v>
      </c>
      <c r="G15" s="58" t="s">
        <v>8999</v>
      </c>
      <c r="H15" s="58" t="s">
        <v>5492</v>
      </c>
      <c r="I15" s="58" t="s">
        <v>9276</v>
      </c>
      <c r="J15" s="59">
        <v>3</v>
      </c>
      <c r="K15" s="59">
        <v>13</v>
      </c>
      <c r="L15" s="58" t="s">
        <v>9277</v>
      </c>
    </row>
    <row r="16" spans="1:12" ht="60" customHeight="1">
      <c r="A16" s="58" t="s">
        <v>9273</v>
      </c>
      <c r="B16" s="58" t="s">
        <v>9278</v>
      </c>
      <c r="C16" s="58" t="s">
        <v>9219</v>
      </c>
      <c r="D16" s="58" t="s">
        <v>9279</v>
      </c>
      <c r="E16" s="58" t="s">
        <v>5530</v>
      </c>
      <c r="F16" s="58" t="s">
        <v>9280</v>
      </c>
      <c r="G16" s="58" t="s">
        <v>8999</v>
      </c>
      <c r="H16" s="58" t="s">
        <v>5492</v>
      </c>
      <c r="I16" s="58" t="s">
        <v>9281</v>
      </c>
      <c r="J16" s="59">
        <v>4</v>
      </c>
      <c r="K16" s="59">
        <v>13</v>
      </c>
      <c r="L16" s="58" t="s">
        <v>9282</v>
      </c>
    </row>
    <row r="17" spans="1:12" ht="60" customHeight="1">
      <c r="A17" s="58" t="s">
        <v>9273</v>
      </c>
      <c r="B17" s="58" t="s">
        <v>9283</v>
      </c>
      <c r="C17" s="58" t="s">
        <v>9219</v>
      </c>
      <c r="D17" s="58" t="s">
        <v>9284</v>
      </c>
      <c r="E17" s="58" t="s">
        <v>5530</v>
      </c>
      <c r="F17" s="58" t="s">
        <v>9285</v>
      </c>
      <c r="G17" s="58" t="s">
        <v>8999</v>
      </c>
      <c r="H17" s="58" t="s">
        <v>5492</v>
      </c>
      <c r="I17" s="58" t="s">
        <v>9276</v>
      </c>
      <c r="J17" s="59">
        <v>2</v>
      </c>
      <c r="K17" s="59">
        <v>13</v>
      </c>
      <c r="L17" s="58" t="s">
        <v>9071</v>
      </c>
    </row>
    <row r="18" spans="1:12" ht="60" customHeight="1">
      <c r="A18" s="58" t="s">
        <v>9273</v>
      </c>
      <c r="B18" s="58" t="s">
        <v>9286</v>
      </c>
      <c r="C18" s="58" t="s">
        <v>9219</v>
      </c>
      <c r="D18" s="58" t="s">
        <v>9287</v>
      </c>
      <c r="E18" s="58" t="s">
        <v>662</v>
      </c>
      <c r="F18" s="58" t="s">
        <v>9039</v>
      </c>
      <c r="G18" s="58" t="s">
        <v>8999</v>
      </c>
      <c r="H18" s="58" t="s">
        <v>5492</v>
      </c>
      <c r="I18" s="58" t="s">
        <v>5493</v>
      </c>
      <c r="J18" s="59">
        <v>3</v>
      </c>
      <c r="K18" s="59">
        <v>13</v>
      </c>
      <c r="L18" s="58" t="s">
        <v>9288</v>
      </c>
    </row>
    <row r="19" spans="1:12" ht="60" customHeight="1">
      <c r="A19" s="58" t="s">
        <v>9273</v>
      </c>
      <c r="B19" s="58" t="s">
        <v>9289</v>
      </c>
      <c r="C19" s="58" t="s">
        <v>9226</v>
      </c>
      <c r="D19" s="58" t="s">
        <v>9290</v>
      </c>
      <c r="E19" s="58" t="s">
        <v>662</v>
      </c>
      <c r="F19" s="58" t="s">
        <v>8979</v>
      </c>
      <c r="G19" s="58" t="s">
        <v>7161</v>
      </c>
      <c r="H19" s="58" t="s">
        <v>5492</v>
      </c>
      <c r="I19" s="58" t="s">
        <v>5493</v>
      </c>
      <c r="J19" s="59">
        <v>6</v>
      </c>
      <c r="K19" s="59">
        <v>16</v>
      </c>
      <c r="L19" s="58" t="s">
        <v>9190</v>
      </c>
    </row>
    <row r="20" spans="1:12" ht="60" customHeight="1">
      <c r="A20" s="58" t="s">
        <v>9273</v>
      </c>
      <c r="B20" s="58" t="s">
        <v>9291</v>
      </c>
      <c r="C20" s="58" t="s">
        <v>9226</v>
      </c>
      <c r="D20" s="58" t="s">
        <v>9292</v>
      </c>
      <c r="E20" s="58" t="s">
        <v>5504</v>
      </c>
      <c r="F20" s="58" t="s">
        <v>8979</v>
      </c>
      <c r="G20" s="58" t="s">
        <v>7161</v>
      </c>
      <c r="H20" s="58" t="s">
        <v>5492</v>
      </c>
      <c r="I20" s="58" t="s">
        <v>5493</v>
      </c>
      <c r="J20" s="59">
        <v>1</v>
      </c>
      <c r="K20" s="59">
        <v>10</v>
      </c>
      <c r="L20" s="58" t="s">
        <v>8462</v>
      </c>
    </row>
    <row r="21" spans="1:12" ht="60" customHeight="1">
      <c r="A21" s="58" t="s">
        <v>9273</v>
      </c>
      <c r="B21" s="58" t="s">
        <v>9293</v>
      </c>
      <c r="C21" s="58" t="s">
        <v>9226</v>
      </c>
      <c r="D21" s="58" t="s">
        <v>9294</v>
      </c>
      <c r="E21" s="58" t="s">
        <v>5530</v>
      </c>
      <c r="F21" s="58" t="s">
        <v>5522</v>
      </c>
      <c r="G21" s="58" t="s">
        <v>7161</v>
      </c>
      <c r="H21" s="58" t="s">
        <v>5492</v>
      </c>
      <c r="I21" s="58" t="s">
        <v>9295</v>
      </c>
      <c r="J21" s="59">
        <v>5</v>
      </c>
      <c r="K21" s="59">
        <v>14</v>
      </c>
      <c r="L21" s="58" t="s">
        <v>9296</v>
      </c>
    </row>
    <row r="22" spans="1:12" ht="60" customHeight="1">
      <c r="A22" s="58" t="s">
        <v>9273</v>
      </c>
      <c r="B22" s="58" t="s">
        <v>9297</v>
      </c>
      <c r="C22" s="58" t="s">
        <v>9226</v>
      </c>
      <c r="D22" s="58" t="s">
        <v>9298</v>
      </c>
      <c r="E22" s="58" t="s">
        <v>5530</v>
      </c>
      <c r="F22" s="58" t="s">
        <v>5522</v>
      </c>
      <c r="G22" s="58" t="s">
        <v>7161</v>
      </c>
      <c r="H22" s="58" t="s">
        <v>5492</v>
      </c>
      <c r="I22" s="58" t="s">
        <v>9299</v>
      </c>
      <c r="J22" s="59">
        <v>4</v>
      </c>
      <c r="K22" s="59">
        <v>17</v>
      </c>
      <c r="L22" s="58" t="s">
        <v>9300</v>
      </c>
    </row>
    <row r="23" spans="1:12" ht="60" customHeight="1">
      <c r="A23" s="58" t="s">
        <v>9273</v>
      </c>
      <c r="B23" s="58" t="s">
        <v>9301</v>
      </c>
      <c r="C23" s="58" t="s">
        <v>9226</v>
      </c>
      <c r="D23" s="58" t="s">
        <v>9302</v>
      </c>
      <c r="E23" s="58" t="s">
        <v>5530</v>
      </c>
      <c r="F23" s="58" t="s">
        <v>5530</v>
      </c>
      <c r="G23" s="58" t="s">
        <v>7161</v>
      </c>
      <c r="H23" s="58" t="s">
        <v>5492</v>
      </c>
      <c r="I23" s="58" t="s">
        <v>9303</v>
      </c>
      <c r="J23" s="59">
        <v>3</v>
      </c>
      <c r="K23" s="59">
        <v>13</v>
      </c>
      <c r="L23" s="58" t="s">
        <v>9130</v>
      </c>
    </row>
    <row r="24" spans="1:12" ht="60" customHeight="1">
      <c r="A24" s="58" t="s">
        <v>9273</v>
      </c>
      <c r="B24" s="58" t="s">
        <v>9304</v>
      </c>
      <c r="C24" s="58" t="s">
        <v>9226</v>
      </c>
      <c r="D24" s="58" t="s">
        <v>9305</v>
      </c>
      <c r="E24" s="58" t="s">
        <v>662</v>
      </c>
      <c r="F24" s="58" t="s">
        <v>8979</v>
      </c>
      <c r="G24" s="58" t="s">
        <v>7161</v>
      </c>
      <c r="H24" s="58" t="s">
        <v>5492</v>
      </c>
      <c r="I24" s="58" t="s">
        <v>5493</v>
      </c>
      <c r="J24" s="59">
        <v>6</v>
      </c>
      <c r="K24" s="59">
        <v>16</v>
      </c>
      <c r="L24" s="58" t="s">
        <v>9136</v>
      </c>
    </row>
    <row r="25" spans="1:12" ht="60" customHeight="1">
      <c r="A25" s="58" t="s">
        <v>9273</v>
      </c>
      <c r="B25" s="58" t="s">
        <v>9306</v>
      </c>
      <c r="C25" s="58" t="s">
        <v>9238</v>
      </c>
      <c r="D25" s="58" t="s">
        <v>9307</v>
      </c>
      <c r="E25" s="58" t="s">
        <v>662</v>
      </c>
      <c r="F25" s="58" t="s">
        <v>8979</v>
      </c>
      <c r="G25" s="58" t="s">
        <v>9308</v>
      </c>
      <c r="H25" s="58" t="s">
        <v>5492</v>
      </c>
      <c r="I25" s="58" t="s">
        <v>5493</v>
      </c>
      <c r="J25" s="59">
        <v>7</v>
      </c>
      <c r="K25" s="59">
        <v>21</v>
      </c>
      <c r="L25" s="58" t="s">
        <v>9309</v>
      </c>
    </row>
    <row r="26" spans="1:12" ht="60" customHeight="1">
      <c r="A26" s="58" t="s">
        <v>9310</v>
      </c>
      <c r="B26" s="58" t="s">
        <v>9311</v>
      </c>
      <c r="C26" s="58" t="s">
        <v>9238</v>
      </c>
      <c r="D26" s="58" t="s">
        <v>9312</v>
      </c>
      <c r="E26" s="58" t="s">
        <v>8995</v>
      </c>
      <c r="F26" s="58" t="s">
        <v>9313</v>
      </c>
      <c r="G26" s="58" t="s">
        <v>9258</v>
      </c>
      <c r="H26" s="58" t="s">
        <v>5492</v>
      </c>
      <c r="I26" s="58" t="s">
        <v>9314</v>
      </c>
      <c r="J26" s="59">
        <v>2</v>
      </c>
      <c r="K26" s="59">
        <v>7</v>
      </c>
      <c r="L26" s="58" t="s">
        <v>9288</v>
      </c>
    </row>
    <row r="27" spans="1:12" ht="60" customHeight="1">
      <c r="A27" s="58" t="s">
        <v>9310</v>
      </c>
      <c r="B27" s="58" t="s">
        <v>1752</v>
      </c>
      <c r="C27" s="58" t="s">
        <v>9219</v>
      </c>
      <c r="D27" s="58" t="s">
        <v>9315</v>
      </c>
      <c r="E27" s="58" t="s">
        <v>662</v>
      </c>
      <c r="F27" s="58" t="s">
        <v>5530</v>
      </c>
      <c r="G27" s="58" t="s">
        <v>8999</v>
      </c>
      <c r="H27" s="58" t="s">
        <v>5492</v>
      </c>
      <c r="I27" s="58" t="s">
        <v>9303</v>
      </c>
      <c r="J27" s="59">
        <v>3</v>
      </c>
      <c r="K27" s="59">
        <v>14</v>
      </c>
      <c r="L27" s="58" t="s">
        <v>9071</v>
      </c>
    </row>
    <row r="28" spans="1:12" ht="60" customHeight="1">
      <c r="A28" s="58" t="s">
        <v>9310</v>
      </c>
      <c r="B28" s="58" t="s">
        <v>734</v>
      </c>
      <c r="C28" s="58" t="s">
        <v>9219</v>
      </c>
      <c r="D28" s="58" t="s">
        <v>9316</v>
      </c>
      <c r="E28" s="58" t="s">
        <v>5530</v>
      </c>
      <c r="F28" s="58" t="s">
        <v>5530</v>
      </c>
      <c r="G28" s="58" t="s">
        <v>8999</v>
      </c>
      <c r="H28" s="58" t="s">
        <v>5492</v>
      </c>
      <c r="I28" s="58" t="s">
        <v>9303</v>
      </c>
      <c r="J28" s="59">
        <v>3</v>
      </c>
      <c r="K28" s="59">
        <v>14</v>
      </c>
      <c r="L28" s="58" t="s">
        <v>9071</v>
      </c>
    </row>
    <row r="29" spans="1:12" ht="60" customHeight="1">
      <c r="A29" s="58" t="s">
        <v>9310</v>
      </c>
      <c r="B29" s="58" t="s">
        <v>9317</v>
      </c>
      <c r="C29" s="58" t="s">
        <v>9219</v>
      </c>
      <c r="D29" s="58" t="s">
        <v>9318</v>
      </c>
      <c r="E29" s="58" t="s">
        <v>5530</v>
      </c>
      <c r="F29" s="58" t="s">
        <v>5530</v>
      </c>
      <c r="G29" s="58" t="s">
        <v>8999</v>
      </c>
      <c r="H29" s="58" t="s">
        <v>5492</v>
      </c>
      <c r="I29" s="58" t="s">
        <v>9303</v>
      </c>
      <c r="J29" s="59">
        <v>4</v>
      </c>
      <c r="K29" s="59">
        <v>17</v>
      </c>
      <c r="L29" s="58" t="s">
        <v>9120</v>
      </c>
    </row>
    <row r="30" spans="1:12" ht="60" customHeight="1">
      <c r="A30" s="58" t="s">
        <v>9310</v>
      </c>
      <c r="B30" s="58" t="s">
        <v>9319</v>
      </c>
      <c r="C30" s="58" t="s">
        <v>9238</v>
      </c>
      <c r="D30" s="58" t="s">
        <v>9320</v>
      </c>
      <c r="E30" s="58" t="s">
        <v>662</v>
      </c>
      <c r="F30" s="58" t="s">
        <v>9321</v>
      </c>
      <c r="G30" s="58" t="s">
        <v>9322</v>
      </c>
      <c r="H30" s="58" t="s">
        <v>5492</v>
      </c>
      <c r="I30" s="58" t="s">
        <v>5493</v>
      </c>
      <c r="J30" s="59">
        <v>6</v>
      </c>
      <c r="K30" s="59">
        <v>7</v>
      </c>
      <c r="L30" s="58" t="s">
        <v>9048</v>
      </c>
    </row>
    <row r="31" spans="1:12" ht="60" customHeight="1">
      <c r="A31" s="58" t="s">
        <v>9310</v>
      </c>
      <c r="B31" s="58" t="s">
        <v>9323</v>
      </c>
      <c r="C31" s="58" t="s">
        <v>9226</v>
      </c>
      <c r="D31" s="58" t="s">
        <v>9324</v>
      </c>
      <c r="E31" s="58" t="s">
        <v>5530</v>
      </c>
      <c r="F31" s="58" t="s">
        <v>9118</v>
      </c>
      <c r="G31" s="58" t="s">
        <v>7161</v>
      </c>
      <c r="H31" s="58" t="s">
        <v>5492</v>
      </c>
      <c r="I31" s="58" t="s">
        <v>9325</v>
      </c>
      <c r="J31" s="59">
        <v>5</v>
      </c>
      <c r="K31" s="59">
        <v>15</v>
      </c>
      <c r="L31" s="58" t="s">
        <v>9326</v>
      </c>
    </row>
    <row r="32" spans="1:12" ht="60" customHeight="1">
      <c r="A32" s="58" t="s">
        <v>9310</v>
      </c>
      <c r="B32" s="58" t="s">
        <v>9327</v>
      </c>
      <c r="C32" s="58" t="s">
        <v>9238</v>
      </c>
      <c r="D32" s="58" t="s">
        <v>9328</v>
      </c>
      <c r="E32" s="58" t="s">
        <v>5530</v>
      </c>
      <c r="F32" s="58" t="s">
        <v>9329</v>
      </c>
      <c r="G32" s="58" t="s">
        <v>9258</v>
      </c>
      <c r="H32" s="58" t="s">
        <v>5492</v>
      </c>
      <c r="I32" s="58" t="s">
        <v>9330</v>
      </c>
      <c r="J32" s="59">
        <v>7</v>
      </c>
      <c r="K32" s="59">
        <v>17</v>
      </c>
      <c r="L32" s="58" t="s">
        <v>9331</v>
      </c>
    </row>
    <row r="33" spans="1:12" ht="60" customHeight="1">
      <c r="A33" s="58" t="s">
        <v>9310</v>
      </c>
      <c r="B33" s="58" t="s">
        <v>9332</v>
      </c>
      <c r="C33" s="58" t="s">
        <v>9219</v>
      </c>
      <c r="D33" s="58" t="s">
        <v>9333</v>
      </c>
      <c r="E33" s="58" t="s">
        <v>5530</v>
      </c>
      <c r="F33" s="58" t="s">
        <v>9118</v>
      </c>
      <c r="G33" s="58" t="s">
        <v>8999</v>
      </c>
      <c r="H33" s="58" t="s">
        <v>5492</v>
      </c>
      <c r="I33" s="58" t="s">
        <v>9325</v>
      </c>
      <c r="J33" s="59">
        <v>4</v>
      </c>
      <c r="K33" s="59">
        <v>15</v>
      </c>
      <c r="L33" s="58" t="s">
        <v>9334</v>
      </c>
    </row>
    <row r="34" spans="1:12" ht="60" customHeight="1">
      <c r="A34" s="58" t="s">
        <v>9310</v>
      </c>
      <c r="B34" s="58" t="s">
        <v>9335</v>
      </c>
      <c r="C34" s="58" t="s">
        <v>9226</v>
      </c>
      <c r="D34" s="58" t="s">
        <v>9336</v>
      </c>
      <c r="E34" s="58" t="s">
        <v>5504</v>
      </c>
      <c r="F34" s="58" t="s">
        <v>8979</v>
      </c>
      <c r="G34" s="58" t="s">
        <v>7161</v>
      </c>
      <c r="H34" s="58" t="s">
        <v>5492</v>
      </c>
      <c r="I34" s="58" t="s">
        <v>5493</v>
      </c>
      <c r="J34" s="59">
        <v>1</v>
      </c>
      <c r="K34" s="59">
        <v>10</v>
      </c>
      <c r="L34" s="58" t="s">
        <v>8462</v>
      </c>
    </row>
    <row r="35" spans="1:12" ht="60" customHeight="1">
      <c r="A35" s="58" t="s">
        <v>9310</v>
      </c>
      <c r="B35" s="58" t="s">
        <v>9337</v>
      </c>
      <c r="C35" s="58" t="s">
        <v>9219</v>
      </c>
      <c r="D35" s="58" t="s">
        <v>9338</v>
      </c>
      <c r="E35" s="58" t="s">
        <v>5530</v>
      </c>
      <c r="F35" s="58" t="s">
        <v>5530</v>
      </c>
      <c r="G35" s="58" t="s">
        <v>8999</v>
      </c>
      <c r="H35" s="58" t="s">
        <v>5492</v>
      </c>
      <c r="I35" s="58" t="s">
        <v>9325</v>
      </c>
      <c r="J35" s="59">
        <v>2</v>
      </c>
      <c r="K35" s="59">
        <v>12</v>
      </c>
      <c r="L35" s="58" t="s">
        <v>9071</v>
      </c>
    </row>
    <row r="36" spans="1:12" ht="60" customHeight="1">
      <c r="A36" s="58" t="s">
        <v>9339</v>
      </c>
      <c r="B36" s="58" t="s">
        <v>248</v>
      </c>
      <c r="C36" s="58" t="s">
        <v>9226</v>
      </c>
      <c r="D36" s="58" t="s">
        <v>9340</v>
      </c>
      <c r="E36" s="58" t="s">
        <v>662</v>
      </c>
      <c r="F36" s="58" t="s">
        <v>9341</v>
      </c>
      <c r="G36" s="58" t="s">
        <v>9342</v>
      </c>
      <c r="H36" s="58" t="s">
        <v>5492</v>
      </c>
      <c r="I36" s="58" t="s">
        <v>9259</v>
      </c>
      <c r="J36" s="59">
        <v>2</v>
      </c>
      <c r="K36" s="59">
        <v>12</v>
      </c>
      <c r="L36" s="58" t="s">
        <v>8982</v>
      </c>
    </row>
    <row r="37" spans="1:12" ht="60" customHeight="1">
      <c r="A37" s="58" t="s">
        <v>9339</v>
      </c>
      <c r="B37" s="58" t="s">
        <v>9343</v>
      </c>
      <c r="C37" s="58" t="s">
        <v>9226</v>
      </c>
      <c r="D37" s="58" t="s">
        <v>9344</v>
      </c>
      <c r="E37" s="58" t="s">
        <v>662</v>
      </c>
      <c r="F37" s="58" t="s">
        <v>8979</v>
      </c>
      <c r="G37" s="58" t="s">
        <v>9342</v>
      </c>
      <c r="H37" s="58" t="s">
        <v>5492</v>
      </c>
      <c r="I37" s="58" t="s">
        <v>9330</v>
      </c>
      <c r="J37" s="59">
        <v>1</v>
      </c>
      <c r="K37" s="59">
        <v>12</v>
      </c>
      <c r="L37" s="58" t="s">
        <v>9345</v>
      </c>
    </row>
    <row r="38" spans="1:12" ht="60" customHeight="1">
      <c r="A38" s="58" t="s">
        <v>9339</v>
      </c>
      <c r="B38" s="58" t="s">
        <v>9346</v>
      </c>
      <c r="C38" s="58" t="s">
        <v>9238</v>
      </c>
      <c r="D38" s="58" t="s">
        <v>9347</v>
      </c>
      <c r="E38" s="58" t="s">
        <v>662</v>
      </c>
      <c r="F38" s="58" t="s">
        <v>8979</v>
      </c>
      <c r="G38" s="58" t="s">
        <v>9348</v>
      </c>
      <c r="H38" s="58" t="s">
        <v>5492</v>
      </c>
      <c r="I38" s="58" t="s">
        <v>9349</v>
      </c>
      <c r="J38" s="59">
        <v>3</v>
      </c>
      <c r="K38" s="59">
        <v>16</v>
      </c>
      <c r="L38" s="58" t="s">
        <v>9277</v>
      </c>
    </row>
    <row r="39" spans="1:12" ht="60" customHeight="1">
      <c r="A39" s="58" t="s">
        <v>9339</v>
      </c>
      <c r="B39" s="58" t="s">
        <v>9350</v>
      </c>
      <c r="C39" s="58" t="s">
        <v>9238</v>
      </c>
      <c r="D39" s="58" t="s">
        <v>9351</v>
      </c>
      <c r="E39" s="58" t="s">
        <v>662</v>
      </c>
      <c r="F39" s="58" t="s">
        <v>8979</v>
      </c>
      <c r="G39" s="58" t="s">
        <v>9348</v>
      </c>
      <c r="H39" s="58" t="s">
        <v>5492</v>
      </c>
      <c r="I39" s="58" t="s">
        <v>9330</v>
      </c>
      <c r="J39" s="59">
        <v>6</v>
      </c>
      <c r="K39" s="59">
        <v>17</v>
      </c>
      <c r="L39" s="58" t="s">
        <v>9136</v>
      </c>
    </row>
    <row r="40" spans="1:12" ht="60" customHeight="1">
      <c r="A40" s="58" t="s">
        <v>9339</v>
      </c>
      <c r="B40" s="58" t="s">
        <v>9352</v>
      </c>
      <c r="C40" s="58" t="s">
        <v>9226</v>
      </c>
      <c r="D40" s="58" t="s">
        <v>9353</v>
      </c>
      <c r="E40" s="58" t="s">
        <v>662</v>
      </c>
      <c r="F40" s="58" t="s">
        <v>8979</v>
      </c>
      <c r="G40" s="58" t="s">
        <v>9354</v>
      </c>
      <c r="H40" s="58" t="s">
        <v>5492</v>
      </c>
      <c r="I40" s="58" t="s">
        <v>9355</v>
      </c>
      <c r="J40" s="59">
        <v>7</v>
      </c>
      <c r="K40" s="59">
        <v>15</v>
      </c>
      <c r="L40" s="58" t="s">
        <v>9356</v>
      </c>
    </row>
    <row r="41" spans="1:12" ht="60" customHeight="1">
      <c r="A41" s="58" t="s">
        <v>9339</v>
      </c>
      <c r="B41" s="58" t="s">
        <v>9357</v>
      </c>
      <c r="C41" s="58" t="s">
        <v>9226</v>
      </c>
      <c r="D41" s="58" t="s">
        <v>9358</v>
      </c>
      <c r="E41" s="58" t="s">
        <v>5530</v>
      </c>
      <c r="F41" s="58" t="s">
        <v>5530</v>
      </c>
      <c r="G41" s="58" t="s">
        <v>7161</v>
      </c>
      <c r="H41" s="58" t="s">
        <v>5492</v>
      </c>
      <c r="I41" s="58" t="s">
        <v>9276</v>
      </c>
      <c r="J41" s="59">
        <v>1</v>
      </c>
      <c r="K41" s="59">
        <v>7</v>
      </c>
      <c r="L41" s="58" t="s">
        <v>9288</v>
      </c>
    </row>
    <row r="42" spans="1:12" ht="60" customHeight="1">
      <c r="A42" s="58" t="s">
        <v>9339</v>
      </c>
      <c r="B42" s="58" t="s">
        <v>9359</v>
      </c>
      <c r="C42" s="58" t="s">
        <v>9226</v>
      </c>
      <c r="D42" s="58" t="s">
        <v>9360</v>
      </c>
      <c r="E42" s="58" t="s">
        <v>5504</v>
      </c>
      <c r="F42" s="58" t="s">
        <v>8979</v>
      </c>
      <c r="G42" s="58" t="s">
        <v>7161</v>
      </c>
      <c r="H42" s="58" t="s">
        <v>5492</v>
      </c>
      <c r="I42" s="58" t="s">
        <v>5493</v>
      </c>
      <c r="J42" s="59">
        <v>1</v>
      </c>
      <c r="K42" s="59">
        <v>10</v>
      </c>
      <c r="L42" s="58" t="s">
        <v>8462</v>
      </c>
    </row>
    <row r="43" spans="1:12" ht="60" customHeight="1">
      <c r="A43" s="58" t="s">
        <v>9339</v>
      </c>
      <c r="B43" s="58" t="s">
        <v>9361</v>
      </c>
      <c r="C43" s="58" t="s">
        <v>9226</v>
      </c>
      <c r="D43" s="58" t="s">
        <v>9362</v>
      </c>
      <c r="E43" s="58" t="s">
        <v>5504</v>
      </c>
      <c r="F43" s="58" t="s">
        <v>8979</v>
      </c>
      <c r="G43" s="58" t="s">
        <v>9363</v>
      </c>
      <c r="H43" s="58" t="s">
        <v>5492</v>
      </c>
      <c r="I43" s="58" t="s">
        <v>9330</v>
      </c>
      <c r="J43" s="59">
        <v>3</v>
      </c>
      <c r="K43" s="59">
        <v>15</v>
      </c>
      <c r="L43" s="58" t="s">
        <v>9364</v>
      </c>
    </row>
    <row r="44" spans="1:12" ht="60" customHeight="1">
      <c r="A44" s="58" t="s">
        <v>9339</v>
      </c>
      <c r="B44" s="58" t="s">
        <v>9365</v>
      </c>
      <c r="C44" s="58" t="s">
        <v>9238</v>
      </c>
      <c r="D44" s="58" t="s">
        <v>9366</v>
      </c>
      <c r="E44" s="58" t="s">
        <v>662</v>
      </c>
      <c r="F44" s="58" t="s">
        <v>8979</v>
      </c>
      <c r="G44" s="58" t="s">
        <v>9263</v>
      </c>
      <c r="H44" s="58" t="s">
        <v>5492</v>
      </c>
      <c r="I44" s="58" t="s">
        <v>5493</v>
      </c>
      <c r="J44" s="59">
        <v>6</v>
      </c>
      <c r="K44" s="59">
        <v>16</v>
      </c>
      <c r="L44" s="58" t="s">
        <v>9367</v>
      </c>
    </row>
    <row r="45" spans="1:12" ht="60" customHeight="1">
      <c r="A45" s="58" t="s">
        <v>9339</v>
      </c>
      <c r="B45" s="58" t="s">
        <v>9368</v>
      </c>
      <c r="C45" s="58" t="s">
        <v>9226</v>
      </c>
      <c r="D45" s="58" t="s">
        <v>9369</v>
      </c>
      <c r="E45" s="58" t="s">
        <v>662</v>
      </c>
      <c r="F45" s="58" t="s">
        <v>8979</v>
      </c>
      <c r="G45" s="58" t="s">
        <v>7161</v>
      </c>
      <c r="H45" s="58" t="s">
        <v>5492</v>
      </c>
      <c r="I45" s="58" t="s">
        <v>9263</v>
      </c>
      <c r="J45" s="59">
        <v>4</v>
      </c>
      <c r="K45" s="59">
        <v>10</v>
      </c>
      <c r="L45" s="58" t="s">
        <v>9277</v>
      </c>
    </row>
    <row r="46" spans="1:12" ht="60" customHeight="1">
      <c r="A46" s="58" t="s">
        <v>9339</v>
      </c>
      <c r="B46" s="58" t="s">
        <v>9370</v>
      </c>
      <c r="C46" s="58" t="s">
        <v>9226</v>
      </c>
      <c r="D46" s="58" t="s">
        <v>9371</v>
      </c>
      <c r="E46" s="58" t="s">
        <v>662</v>
      </c>
      <c r="F46" s="58" t="s">
        <v>8979</v>
      </c>
      <c r="G46" s="58" t="s">
        <v>7060</v>
      </c>
      <c r="H46" s="58" t="s">
        <v>5492</v>
      </c>
      <c r="I46" s="58" t="s">
        <v>9263</v>
      </c>
      <c r="J46" s="59">
        <v>7</v>
      </c>
      <c r="K46" s="59">
        <v>15</v>
      </c>
      <c r="L46" s="58" t="s">
        <v>9356</v>
      </c>
    </row>
    <row r="47" spans="1:12" ht="60" customHeight="1">
      <c r="A47" s="58" t="s">
        <v>9372</v>
      </c>
      <c r="B47" s="58" t="s">
        <v>9373</v>
      </c>
      <c r="C47" s="58" t="s">
        <v>9226</v>
      </c>
      <c r="D47" s="58" t="s">
        <v>9374</v>
      </c>
      <c r="E47" s="58" t="s">
        <v>5504</v>
      </c>
      <c r="F47" s="58" t="s">
        <v>8979</v>
      </c>
      <c r="G47" s="58" t="s">
        <v>7161</v>
      </c>
      <c r="H47" s="58" t="s">
        <v>5492</v>
      </c>
      <c r="I47" s="58" t="s">
        <v>5493</v>
      </c>
      <c r="J47" s="59">
        <v>1</v>
      </c>
      <c r="K47" s="59">
        <v>10</v>
      </c>
      <c r="L47" s="58" t="s">
        <v>8462</v>
      </c>
    </row>
    <row r="48" spans="1:12" ht="60" customHeight="1">
      <c r="A48" s="58" t="s">
        <v>9372</v>
      </c>
      <c r="B48" s="58" t="s">
        <v>9375</v>
      </c>
      <c r="C48" s="58" t="s">
        <v>9226</v>
      </c>
      <c r="D48" s="58" t="s">
        <v>9376</v>
      </c>
      <c r="E48" s="58" t="s">
        <v>5530</v>
      </c>
      <c r="F48" s="58" t="s">
        <v>5530</v>
      </c>
      <c r="G48" s="58" t="s">
        <v>7161</v>
      </c>
      <c r="H48" s="58" t="s">
        <v>5492</v>
      </c>
      <c r="I48" s="58" t="s">
        <v>9295</v>
      </c>
      <c r="J48" s="59">
        <v>5</v>
      </c>
      <c r="K48" s="59">
        <v>14</v>
      </c>
      <c r="L48" s="58" t="s">
        <v>9296</v>
      </c>
    </row>
    <row r="49" spans="1:12" ht="60" customHeight="1">
      <c r="A49" s="58" t="s">
        <v>9372</v>
      </c>
      <c r="B49" s="58" t="s">
        <v>9377</v>
      </c>
      <c r="C49" s="58" t="s">
        <v>9226</v>
      </c>
      <c r="D49" s="58" t="s">
        <v>9378</v>
      </c>
      <c r="E49" s="58" t="s">
        <v>662</v>
      </c>
      <c r="F49" s="58" t="s">
        <v>9341</v>
      </c>
      <c r="G49" s="58" t="s">
        <v>9342</v>
      </c>
      <c r="H49" s="58" t="s">
        <v>5492</v>
      </c>
      <c r="I49" s="58" t="s">
        <v>9379</v>
      </c>
      <c r="J49" s="59">
        <v>2</v>
      </c>
      <c r="K49" s="59">
        <v>12</v>
      </c>
      <c r="L49" s="58" t="s">
        <v>8982</v>
      </c>
    </row>
    <row r="50" spans="1:12" ht="60" customHeight="1">
      <c r="A50" s="58" t="s">
        <v>9372</v>
      </c>
      <c r="B50" s="58" t="s">
        <v>9380</v>
      </c>
      <c r="C50" s="58" t="s">
        <v>9238</v>
      </c>
      <c r="D50" s="58" t="s">
        <v>9381</v>
      </c>
      <c r="E50" s="58" t="s">
        <v>5504</v>
      </c>
      <c r="F50" s="58" t="s">
        <v>9280</v>
      </c>
      <c r="G50" s="58" t="s">
        <v>9382</v>
      </c>
      <c r="H50" s="58" t="s">
        <v>5492</v>
      </c>
      <c r="I50" s="58" t="s">
        <v>5493</v>
      </c>
      <c r="J50" s="59">
        <v>4</v>
      </c>
      <c r="K50" s="59">
        <v>7</v>
      </c>
      <c r="L50" s="58" t="s">
        <v>9288</v>
      </c>
    </row>
    <row r="51" spans="1:12" ht="60" customHeight="1">
      <c r="A51" s="58" t="s">
        <v>9372</v>
      </c>
      <c r="B51" s="58" t="s">
        <v>9383</v>
      </c>
      <c r="C51" s="58" t="s">
        <v>9238</v>
      </c>
      <c r="D51" s="58" t="s">
        <v>9384</v>
      </c>
      <c r="E51" s="58" t="s">
        <v>5530</v>
      </c>
      <c r="F51" s="58" t="s">
        <v>8979</v>
      </c>
      <c r="G51" s="58" t="s">
        <v>9382</v>
      </c>
      <c r="H51" s="58" t="s">
        <v>5492</v>
      </c>
      <c r="I51" s="58" t="s">
        <v>5493</v>
      </c>
      <c r="J51" s="59">
        <v>5</v>
      </c>
      <c r="K51" s="59">
        <v>16</v>
      </c>
      <c r="L51" s="58" t="s">
        <v>9345</v>
      </c>
    </row>
    <row r="52" spans="1:12" ht="60" customHeight="1">
      <c r="A52" s="58" t="s">
        <v>9372</v>
      </c>
      <c r="B52" s="58" t="s">
        <v>9385</v>
      </c>
      <c r="C52" s="58" t="s">
        <v>9226</v>
      </c>
      <c r="D52" s="58" t="s">
        <v>9386</v>
      </c>
      <c r="E52" s="58" t="s">
        <v>5530</v>
      </c>
      <c r="F52" s="58" t="s">
        <v>5530</v>
      </c>
      <c r="G52" s="58" t="s">
        <v>9342</v>
      </c>
      <c r="H52" s="58" t="s">
        <v>5492</v>
      </c>
      <c r="I52" s="58" t="s">
        <v>9387</v>
      </c>
      <c r="J52" s="59">
        <v>3</v>
      </c>
      <c r="K52" s="59">
        <v>11</v>
      </c>
      <c r="L52" s="58" t="s">
        <v>9048</v>
      </c>
    </row>
    <row r="53" spans="1:12" ht="60" customHeight="1">
      <c r="A53" s="58" t="s">
        <v>9372</v>
      </c>
      <c r="B53" s="58" t="s">
        <v>9388</v>
      </c>
      <c r="C53" s="58" t="s">
        <v>9226</v>
      </c>
      <c r="D53" s="58" t="s">
        <v>9389</v>
      </c>
      <c r="E53" s="58" t="s">
        <v>5530</v>
      </c>
      <c r="F53" s="58" t="s">
        <v>5530</v>
      </c>
      <c r="G53" s="58" t="s">
        <v>9342</v>
      </c>
      <c r="H53" s="58" t="s">
        <v>5492</v>
      </c>
      <c r="I53" s="58" t="s">
        <v>9387</v>
      </c>
      <c r="J53" s="59">
        <v>4</v>
      </c>
      <c r="K53" s="59">
        <v>17</v>
      </c>
      <c r="L53" s="58" t="s">
        <v>9044</v>
      </c>
    </row>
    <row r="54" spans="1:12" ht="60" customHeight="1">
      <c r="A54" s="58" t="s">
        <v>9372</v>
      </c>
      <c r="B54" s="58" t="s">
        <v>9390</v>
      </c>
      <c r="C54" s="58" t="s">
        <v>9238</v>
      </c>
      <c r="D54" s="58" t="s">
        <v>9391</v>
      </c>
      <c r="E54" s="58" t="s">
        <v>662</v>
      </c>
      <c r="F54" s="58" t="s">
        <v>8979</v>
      </c>
      <c r="G54" s="58" t="s">
        <v>9308</v>
      </c>
      <c r="H54" s="58" t="s">
        <v>5492</v>
      </c>
      <c r="I54" s="58" t="s">
        <v>5493</v>
      </c>
      <c r="J54" s="59">
        <v>7</v>
      </c>
      <c r="K54" s="59">
        <v>21</v>
      </c>
      <c r="L54" s="58" t="s">
        <v>9247</v>
      </c>
    </row>
    <row r="55" spans="1:12" ht="60" customHeight="1">
      <c r="A55" s="58" t="s">
        <v>9372</v>
      </c>
      <c r="B55" s="58" t="s">
        <v>9365</v>
      </c>
      <c r="C55" s="58" t="s">
        <v>9238</v>
      </c>
      <c r="D55" s="58" t="s">
        <v>9392</v>
      </c>
      <c r="E55" s="58" t="s">
        <v>662</v>
      </c>
      <c r="F55" s="58" t="s">
        <v>8979</v>
      </c>
      <c r="G55" s="58" t="s">
        <v>9263</v>
      </c>
      <c r="H55" s="58" t="s">
        <v>5492</v>
      </c>
      <c r="I55" s="58" t="s">
        <v>5493</v>
      </c>
      <c r="J55" s="59">
        <v>6</v>
      </c>
      <c r="K55" s="59">
        <v>16</v>
      </c>
      <c r="L55" s="58" t="s">
        <v>9367</v>
      </c>
    </row>
    <row r="56" spans="1:12" ht="60" customHeight="1">
      <c r="A56" s="58" t="s">
        <v>9372</v>
      </c>
      <c r="B56" s="58" t="s">
        <v>9368</v>
      </c>
      <c r="C56" s="58" t="s">
        <v>9226</v>
      </c>
      <c r="D56" s="58" t="s">
        <v>9393</v>
      </c>
      <c r="E56" s="58" t="s">
        <v>662</v>
      </c>
      <c r="F56" s="58" t="s">
        <v>8979</v>
      </c>
      <c r="G56" s="58" t="s">
        <v>7161</v>
      </c>
      <c r="H56" s="58" t="s">
        <v>5492</v>
      </c>
      <c r="I56" s="58" t="s">
        <v>9379</v>
      </c>
      <c r="J56" s="59">
        <v>4</v>
      </c>
      <c r="K56" s="59">
        <v>13</v>
      </c>
      <c r="L56" s="58" t="s">
        <v>9277</v>
      </c>
    </row>
    <row r="57" spans="1:12" ht="60" customHeight="1">
      <c r="A57" s="58" t="s">
        <v>9372</v>
      </c>
      <c r="B57" s="58" t="s">
        <v>9394</v>
      </c>
      <c r="C57" s="58" t="s">
        <v>9238</v>
      </c>
      <c r="D57" s="58" t="s">
        <v>9395</v>
      </c>
      <c r="E57" s="58" t="s">
        <v>662</v>
      </c>
      <c r="F57" s="58" t="s">
        <v>8979</v>
      </c>
      <c r="G57" s="58" t="s">
        <v>7171</v>
      </c>
      <c r="H57" s="58" t="s">
        <v>5492</v>
      </c>
      <c r="I57" s="58" t="s">
        <v>5493</v>
      </c>
      <c r="J57" s="59">
        <v>4</v>
      </c>
      <c r="K57" s="59">
        <v>7</v>
      </c>
      <c r="L57" s="58">
        <v>50</v>
      </c>
    </row>
    <row r="58" spans="1:12" ht="60" customHeight="1">
      <c r="A58" s="58" t="s">
        <v>9372</v>
      </c>
      <c r="B58" s="58" t="s">
        <v>9396</v>
      </c>
      <c r="C58" s="58" t="s">
        <v>9238</v>
      </c>
      <c r="D58" s="58" t="s">
        <v>9397</v>
      </c>
      <c r="E58" s="58" t="s">
        <v>5530</v>
      </c>
      <c r="F58" s="58" t="s">
        <v>5530</v>
      </c>
      <c r="G58" s="58" t="s">
        <v>9398</v>
      </c>
      <c r="H58" s="58" t="s">
        <v>5492</v>
      </c>
      <c r="I58" s="58" t="s">
        <v>9399</v>
      </c>
      <c r="J58" s="59">
        <v>1</v>
      </c>
      <c r="K58" s="59">
        <v>7</v>
      </c>
      <c r="L58" s="58" t="s">
        <v>9288</v>
      </c>
    </row>
    <row r="59" spans="1:12" ht="60" customHeight="1">
      <c r="A59" s="58" t="s">
        <v>9372</v>
      </c>
      <c r="B59" s="58" t="s">
        <v>9400</v>
      </c>
      <c r="C59" s="58" t="s">
        <v>9219</v>
      </c>
      <c r="D59" s="58" t="s">
        <v>9401</v>
      </c>
      <c r="E59" s="58" t="s">
        <v>5530</v>
      </c>
      <c r="F59" s="58" t="s">
        <v>5530</v>
      </c>
      <c r="G59" s="58" t="s">
        <v>9251</v>
      </c>
      <c r="H59" s="58" t="s">
        <v>5492</v>
      </c>
      <c r="I59" s="58" t="s">
        <v>9402</v>
      </c>
      <c r="J59" s="59">
        <v>3</v>
      </c>
      <c r="K59" s="59">
        <v>13</v>
      </c>
      <c r="L59" s="58" t="s">
        <v>9044</v>
      </c>
    </row>
    <row r="60" spans="1:12" ht="60" customHeight="1">
      <c r="A60" s="58" t="s">
        <v>9372</v>
      </c>
      <c r="B60" s="58" t="s">
        <v>9403</v>
      </c>
      <c r="C60" s="58" t="s">
        <v>9226</v>
      </c>
      <c r="D60" s="58" t="s">
        <v>9404</v>
      </c>
      <c r="E60" s="58" t="s">
        <v>5530</v>
      </c>
      <c r="F60" s="58" t="s">
        <v>8979</v>
      </c>
      <c r="G60" s="58" t="s">
        <v>9342</v>
      </c>
      <c r="H60" s="58" t="s">
        <v>5492</v>
      </c>
      <c r="I60" s="58" t="s">
        <v>5493</v>
      </c>
      <c r="J60" s="59">
        <v>5</v>
      </c>
      <c r="K60" s="59">
        <v>15</v>
      </c>
      <c r="L60" s="58">
        <v>125</v>
      </c>
    </row>
    <row r="61" spans="1:12" ht="60" customHeight="1">
      <c r="A61" s="58" t="s">
        <v>9372</v>
      </c>
      <c r="B61" s="58" t="s">
        <v>9405</v>
      </c>
      <c r="C61" s="58" t="s">
        <v>9219</v>
      </c>
      <c r="D61" s="58" t="s">
        <v>9406</v>
      </c>
      <c r="E61" s="58" t="s">
        <v>5530</v>
      </c>
      <c r="F61" s="58" t="s">
        <v>5522</v>
      </c>
      <c r="G61" s="58" t="s">
        <v>9407</v>
      </c>
      <c r="H61" s="58" t="s">
        <v>9408</v>
      </c>
      <c r="I61" s="58" t="s">
        <v>5493</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2026-09-29T19:44:21Z</dcterms:modified>
</cp:coreProperties>
</file>