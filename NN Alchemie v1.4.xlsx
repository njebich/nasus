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E:\Das Western Rollenspiel\LLM\"/>
    </mc:Choice>
  </mc:AlternateContent>
  <xr:revisionPtr revIDLastSave="0" documentId="13_ncr:1_{45C6FE7C-9511-4BBC-9CF6-3DD65DB95057}" xr6:coauthVersionLast="47" xr6:coauthVersionMax="47" xr10:uidLastSave="{00000000-0000-0000-0000-000000000000}"/>
  <bookViews>
    <workbookView xWindow="-105" yWindow="0" windowWidth="26010" windowHeight="20985" xr2:uid="{00000000-000D-0000-FFFF-FFFF00000000}"/>
  </bookViews>
  <sheets>
    <sheet name="Alchemika" sheetId="1" r:id="rId1"/>
    <sheet name="Legende" sheetId="2" r:id="rId2"/>
    <sheet name="Herstellung" sheetId="3" r:id="rId3"/>
  </sheets>
  <definedNames>
    <definedName name="_xlnm._FilterDatabase" localSheetId="0" hidden="1">Alchemika!$A$1:$O$119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54" i="1" l="1"/>
  <c r="N57" i="1"/>
  <c r="N63" i="1"/>
  <c r="N59" i="1"/>
  <c r="N16" i="1"/>
  <c r="N61" i="1"/>
  <c r="N85" i="1"/>
  <c r="N58" i="1"/>
  <c r="N55" i="1"/>
  <c r="N13" i="1"/>
  <c r="N74" i="1"/>
  <c r="N11" i="1"/>
  <c r="N65" i="1"/>
  <c r="N71" i="1"/>
  <c r="N64" i="1"/>
  <c r="N84" i="1"/>
  <c r="N79" i="1"/>
  <c r="N3" i="1"/>
  <c r="N76" i="1"/>
  <c r="N104" i="1"/>
  <c r="N96" i="1"/>
  <c r="N36" i="1"/>
  <c r="N86" i="1"/>
  <c r="N51" i="1"/>
  <c r="N82" i="1"/>
  <c r="N19" i="1"/>
  <c r="N39" i="1"/>
  <c r="N92" i="1"/>
  <c r="N89" i="1"/>
  <c r="N100" i="1"/>
  <c r="N113" i="1"/>
  <c r="N45" i="1"/>
  <c r="N68" i="1"/>
  <c r="N37" i="1"/>
  <c r="N28" i="1"/>
  <c r="N117" i="1"/>
  <c r="N110" i="1"/>
  <c r="N42" i="1"/>
  <c r="N101" i="1"/>
  <c r="N27" i="1"/>
  <c r="N107" i="1"/>
  <c r="N22" i="1"/>
  <c r="N48" i="1"/>
  <c r="N83" i="1"/>
  <c r="N12" i="1"/>
  <c r="N66" i="1"/>
  <c r="N72" i="1"/>
  <c r="N7" i="1"/>
  <c r="N80" i="1"/>
  <c r="N4" i="1"/>
  <c r="N77" i="1"/>
  <c r="N97" i="1"/>
  <c r="N38" i="1"/>
  <c r="N87" i="1"/>
  <c r="N52" i="1"/>
  <c r="N20" i="1"/>
  <c r="N40" i="1"/>
  <c r="N14" i="1"/>
  <c r="N93" i="1"/>
  <c r="N90" i="1"/>
  <c r="N98" i="1"/>
  <c r="N114" i="1"/>
  <c r="N46" i="1"/>
  <c r="N31" i="1"/>
  <c r="N29" i="1"/>
  <c r="N118" i="1"/>
  <c r="N111" i="1"/>
  <c r="N43" i="1"/>
  <c r="N102" i="1"/>
  <c r="N25" i="1"/>
  <c r="N105" i="1"/>
  <c r="N108" i="1"/>
  <c r="N23" i="1"/>
  <c r="N49" i="1"/>
  <c r="N69" i="1"/>
  <c r="N56" i="1"/>
  <c r="N18" i="1"/>
  <c r="N75" i="1"/>
  <c r="N9" i="1"/>
  <c r="N67" i="1"/>
  <c r="N73" i="1"/>
  <c r="N8" i="1"/>
  <c r="N81" i="1"/>
  <c r="N5" i="1"/>
  <c r="N78" i="1"/>
  <c r="N95" i="1"/>
  <c r="N32" i="1"/>
  <c r="N88" i="1"/>
  <c r="N53" i="1"/>
  <c r="N21" i="1"/>
  <c r="N41" i="1"/>
  <c r="N15" i="1"/>
  <c r="N94" i="1"/>
  <c r="N91" i="1"/>
  <c r="N99" i="1"/>
  <c r="N115" i="1"/>
  <c r="N47" i="1"/>
  <c r="N70" i="1"/>
  <c r="N33" i="1"/>
  <c r="N30" i="1"/>
  <c r="N119" i="1"/>
  <c r="N112" i="1"/>
  <c r="N62" i="1"/>
  <c r="N44" i="1"/>
  <c r="N103" i="1"/>
  <c r="N26" i="1"/>
  <c r="N106" i="1"/>
  <c r="N6" i="1"/>
  <c r="N109" i="1"/>
  <c r="N24" i="1"/>
  <c r="N50" i="1"/>
  <c r="N17" i="1"/>
  <c r="N116" i="1"/>
  <c r="N60" i="1"/>
  <c r="N10" i="1"/>
  <c r="N34" i="1"/>
  <c r="N35" i="1"/>
  <c r="N2" i="1"/>
</calcChain>
</file>

<file path=xl/sharedStrings.xml><?xml version="1.0" encoding="utf-8"?>
<sst xmlns="http://schemas.openxmlformats.org/spreadsheetml/2006/main" count="1190" uniqueCount="399">
  <si>
    <t>Name</t>
  </si>
  <si>
    <t>Zufuhr</t>
  </si>
  <si>
    <t>Wirkung</t>
  </si>
  <si>
    <t>Verfügb</t>
  </si>
  <si>
    <t>J</t>
  </si>
  <si>
    <t>Nahrung</t>
  </si>
  <si>
    <t>Sofort</t>
  </si>
  <si>
    <t>10min</t>
  </si>
  <si>
    <t>Bei der nächsten natürlichen Regie +3W6 zusätzlich</t>
  </si>
  <si>
    <t>9h</t>
  </si>
  <si>
    <t>Bei der nächsten natürlichen Regie +4W8 zusätzlich</t>
  </si>
  <si>
    <t>Bei der nächsten natürlichen Regie +5W12 zusätzlich</t>
  </si>
  <si>
    <t>3h</t>
  </si>
  <si>
    <t xml:space="preserve">Lufttrank </t>
  </si>
  <si>
    <t>1min</t>
  </si>
  <si>
    <t>3min</t>
  </si>
  <si>
    <t>Trefferschwelle +1W6 (nur Schmerzen)</t>
  </si>
  <si>
    <t>1h</t>
  </si>
  <si>
    <t>Trefferschwelle +2W6 (nur Schmerzen)</t>
  </si>
  <si>
    <t>Trefferschwelle +3W6 (nur Schmerzen)</t>
  </si>
  <si>
    <t>Ausdauer + 2W20</t>
  </si>
  <si>
    <t>Steinhauttrank</t>
  </si>
  <si>
    <t>Eisenhauttrank</t>
  </si>
  <si>
    <t>Stahlhauttrank</t>
  </si>
  <si>
    <t>30min</t>
  </si>
  <si>
    <t>24h</t>
  </si>
  <si>
    <t>2h</t>
  </si>
  <si>
    <t>Kälte Resistenz</t>
  </si>
  <si>
    <t>Nachtsichttrank</t>
  </si>
  <si>
    <t>Geruchslossalbe</t>
  </si>
  <si>
    <t>N</t>
  </si>
  <si>
    <t>Kontakt</t>
  </si>
  <si>
    <t>Man verliert seinen Geruch komplett</t>
  </si>
  <si>
    <t>6h</t>
  </si>
  <si>
    <t>Gas</t>
  </si>
  <si>
    <t>Gutes Parfüm</t>
  </si>
  <si>
    <t>8h</t>
  </si>
  <si>
    <t xml:space="preserve">Edles Parfüm </t>
  </si>
  <si>
    <t>10h</t>
  </si>
  <si>
    <t>Unique Parfüm</t>
  </si>
  <si>
    <t>12h</t>
  </si>
  <si>
    <t>7h</t>
  </si>
  <si>
    <t>7min</t>
  </si>
  <si>
    <t>Blut</t>
  </si>
  <si>
    <t>Auf eine TZ –W6 LE</t>
  </si>
  <si>
    <t>Auf eine TZ –W8 LE</t>
  </si>
  <si>
    <t>Auf eine TZ –W10 LE</t>
  </si>
  <si>
    <t>Auf eine TZ –W15 LE</t>
  </si>
  <si>
    <t>10 min</t>
  </si>
  <si>
    <t>15 min</t>
  </si>
  <si>
    <t>Auf GES W6 pro min, BE +1 pro min</t>
  </si>
  <si>
    <t>Auf GES W8 pro min, BE +2 pro min</t>
  </si>
  <si>
    <t>Auf GES W8 pro min, BE +3 pro min</t>
  </si>
  <si>
    <t>Auf eine TZ –W20 LE</t>
  </si>
  <si>
    <t>Körper</t>
  </si>
  <si>
    <t>SB-Probe erschwert um 7</t>
  </si>
  <si>
    <t>SB-Probe erschwert um 14</t>
  </si>
  <si>
    <t>SB-Probe erschwert um 21</t>
  </si>
  <si>
    <t>Verursacht BE von W4</t>
  </si>
  <si>
    <t>Verursacht BE von W6</t>
  </si>
  <si>
    <t>Verursacht BE von W8</t>
  </si>
  <si>
    <t>Die betroffene TZ gilt als mit einem Treffer auf 0</t>
  </si>
  <si>
    <t>Artikuliertes Sprechen unmöglich</t>
  </si>
  <si>
    <t>BE 2, Gefahrensinn -12</t>
  </si>
  <si>
    <t>Regenerationsklasse -2, leichter Schlaf</t>
  </si>
  <si>
    <t>Regenerationsklasse -4, leichter Schlaf</t>
  </si>
  <si>
    <t>Regenerationsklasse -7, leichter Schlaf</t>
  </si>
  <si>
    <t>TS -1</t>
  </si>
  <si>
    <t>TS -2</t>
  </si>
  <si>
    <t>TS -3</t>
  </si>
  <si>
    <t>Kategorie</t>
  </si>
  <si>
    <t>Buffs</t>
  </si>
  <si>
    <t>Debuffs</t>
  </si>
  <si>
    <t>Rezept-Erschwerung</t>
  </si>
  <si>
    <t>Chamäleontrank</t>
  </si>
  <si>
    <t>Alchemieresistenz</t>
  </si>
  <si>
    <t>Opfer fällt in leichten Schlaf, Sin -5</t>
  </si>
  <si>
    <t>Opfer fällt in natürlichen Schlaf, Sin -10</t>
  </si>
  <si>
    <t>Opfer fällt in tiefen Schlaf, Sin -15, Regi+1</t>
  </si>
  <si>
    <t>Legende</t>
  </si>
  <si>
    <r>
      <t>Alchemieresistenz Formel:</t>
    </r>
    <r>
      <rPr>
        <sz val="12"/>
        <color theme="1"/>
        <rFont val="Bookman Old Style"/>
        <family val="1"/>
      </rPr>
      <t xml:space="preserve">    Konstitution + (Vitalität x3) + TaW        </t>
    </r>
    <r>
      <rPr>
        <sz val="12"/>
        <color theme="1"/>
        <rFont val="Wingdings"/>
        <charset val="2"/>
      </rPr>
      <t>ß</t>
    </r>
    <r>
      <rPr>
        <sz val="12"/>
        <color theme="1"/>
        <rFont val="Bookman Old Style"/>
        <family val="1"/>
      </rPr>
      <t xml:space="preserve">[Sonderfertigkeit]  </t>
    </r>
  </si>
  <si>
    <r>
      <t>Probe:</t>
    </r>
    <r>
      <rPr>
        <sz val="12"/>
        <color theme="1"/>
        <rFont val="Bookman Old Style"/>
        <family val="1"/>
      </rPr>
      <t xml:space="preserve"> W30-W12 auf Giftresistenz erschwert um Potenz des Giftes [1 immer Erfolg….Patzer immer Scheitern]</t>
    </r>
  </si>
  <si>
    <r>
      <t>Potenzbereiche:</t>
    </r>
    <r>
      <rPr>
        <sz val="12"/>
        <color theme="1"/>
        <rFont val="Bookman Old Style"/>
        <family val="1"/>
      </rPr>
      <t xml:space="preserve"> 1-60 [90% ALLER Gifte Sollten im Bereich 1-30 Liegen, Gutartiges wie Heiltränke im Bereich von 31-75]</t>
    </r>
  </si>
  <si>
    <r>
      <t>Wählbarer Vorteil:</t>
    </r>
    <r>
      <rPr>
        <sz val="12"/>
        <color theme="1"/>
        <rFont val="Bookman Old Style"/>
        <family val="1"/>
      </rPr>
      <t xml:space="preserve"> Resistenz gegen Alchemie, man kann den TaW um 12 Punkte höher steigern [also auf 24].</t>
    </r>
  </si>
  <si>
    <t>Tabellen Erklärung</t>
  </si>
  <si>
    <r>
      <t>Name:</t>
    </r>
    <r>
      <rPr>
        <sz val="12"/>
        <color theme="1"/>
        <rFont val="Bookman Old Style"/>
        <family val="1"/>
      </rPr>
      <t xml:space="preserve"> Name des Giftes.</t>
    </r>
  </si>
  <si>
    <r>
      <t>P:</t>
    </r>
    <r>
      <rPr>
        <sz val="14"/>
        <color theme="1"/>
        <rFont val="Bookman Old Style"/>
        <family val="1"/>
      </rPr>
      <t xml:space="preserve"> </t>
    </r>
    <r>
      <rPr>
        <sz val="12"/>
        <color theme="1"/>
        <rFont val="Bookman Old Style"/>
        <family val="1"/>
      </rPr>
      <t xml:space="preserve">Potenz gibt an wie schwer es ist einem Gift zu wiederstehen. </t>
    </r>
  </si>
  <si>
    <r>
      <t>Dosis:</t>
    </r>
    <r>
      <rPr>
        <sz val="12"/>
        <color theme="1"/>
        <rFont val="Bookman Old Style"/>
        <family val="1"/>
      </rPr>
      <t xml:space="preserve"> Sagt aus ob man durch höhere Dosierung die Potenz des Giftes steigern kann. WICHTIG, es erhöht sich damit NICHT die Wirkung, es wird nur schwerer dem Gift zu wiederstehen.</t>
    </r>
  </si>
  <si>
    <t xml:space="preserve">J = </t>
  </si>
  <si>
    <t>Dosis</t>
  </si>
  <si>
    <t>x2</t>
  </si>
  <si>
    <t>x3</t>
  </si>
  <si>
    <t>x4</t>
  </si>
  <si>
    <t>x5</t>
  </si>
  <si>
    <t>x6</t>
  </si>
  <si>
    <t>x7</t>
  </si>
  <si>
    <t>x8</t>
  </si>
  <si>
    <t>x9</t>
  </si>
  <si>
    <t>x10</t>
  </si>
  <si>
    <t xml:space="preserve">Potenz </t>
  </si>
  <si>
    <t>N =</t>
  </si>
  <si>
    <t>Durch höhere Dosis ändert sich nichts. Man kann also darin Baden ohne das das Gift Potenter wird.</t>
  </si>
  <si>
    <r>
      <t>Zufuhr:</t>
    </r>
    <r>
      <rPr>
        <sz val="12"/>
        <color theme="1"/>
        <rFont val="Bookman Old Style"/>
        <family val="1"/>
      </rPr>
      <t xml:space="preserve"> Gibt an wie das Gift verabreicht werden muss damit es wirken kann.</t>
    </r>
  </si>
  <si>
    <t xml:space="preserve">Nahrung </t>
  </si>
  <si>
    <t xml:space="preserve">Kontakt  </t>
  </si>
  <si>
    <r>
      <t>z.b.S:</t>
    </r>
    <r>
      <rPr>
        <sz val="12"/>
        <color theme="1"/>
        <rFont val="Bookman Old Style"/>
        <family val="1"/>
      </rPr>
      <t xml:space="preserve"> die Zeit bis sich erste Symptome zeigen.</t>
    </r>
  </si>
  <si>
    <r>
      <t>z.b.W:</t>
    </r>
    <r>
      <rPr>
        <sz val="12"/>
        <color theme="1"/>
        <rFont val="Bookman Old Style"/>
        <family val="1"/>
      </rPr>
      <t xml:space="preserve"> Zeit bis das Gift seine Volle Wirkung zeigt. BZW. bis es Triggert.</t>
    </r>
  </si>
  <si>
    <r>
      <t>Wirkung:</t>
    </r>
    <r>
      <rPr>
        <sz val="12"/>
        <color theme="1"/>
        <rFont val="Bookman Old Style"/>
        <family val="1"/>
      </rPr>
      <t xml:space="preserve"> Beschreibung der Wirkung des Giftes</t>
    </r>
  </si>
  <si>
    <t>(M)  zeigt das der Trank/Gift/Alchemistischer Stoff Magisch ist.</t>
  </si>
  <si>
    <r>
      <t>Wd:</t>
    </r>
    <r>
      <rPr>
        <sz val="12"/>
        <color theme="1"/>
        <rFont val="Bookman Old Style"/>
        <family val="1"/>
      </rPr>
      <t xml:space="preserve"> Wirkungsdauer</t>
    </r>
  </si>
  <si>
    <r>
      <t>Haltbarkeit:</t>
    </r>
    <r>
      <rPr>
        <sz val="12"/>
        <color theme="1"/>
        <rFont val="Bookman Old Style"/>
        <family val="1"/>
      </rPr>
      <t xml:space="preserve"> Wie lange ist das Gift haltbar von dem Moment an, an dem es erschaffen wurde. Nach Ablauf verliert das Gift seine Wirkung vollständig.</t>
    </r>
  </si>
  <si>
    <t>Nach Kontakt mit der Luft verringert sich die Haltbarkeit auf 1h (mit Ausnahme von Kanülenpfeilen und Mengbilar).</t>
  </si>
  <si>
    <r>
      <t xml:space="preserve">Legalität: </t>
    </r>
    <r>
      <rPr>
        <sz val="12"/>
        <color theme="1"/>
        <rFont val="Bookman Old Style"/>
        <family val="1"/>
      </rPr>
      <t>Gifte/Alchemistische Stoffe/Drogen sind nicht immer Legal. Aber nicht jedes Gift wird gleich schwer geahndet. Unten stehend sind nur Beispiele, nach den sich der Meister richten kann…Es gibt Unterschiede von Volk zu Volk.</t>
    </r>
  </si>
  <si>
    <t>=</t>
  </si>
  <si>
    <t>Erlaubt, Legal</t>
  </si>
  <si>
    <t>Verboten, wird meistens Toleriert oder maximal Konfisziert.</t>
  </si>
  <si>
    <t>Verboten, wird Konfisziert geringe Geldstrafe bis 100D</t>
  </si>
  <si>
    <t xml:space="preserve">Verboten, wird Konfisziert hohe Geldstrafe bis 1000D oder Gefängnis bis zu 3 Jahren  </t>
  </si>
  <si>
    <t>Verboten, wird Konferiert extrem hohe Geldstrafe bis 10.000D oder 30 Jahre Gefängnis</t>
  </si>
  <si>
    <t>Verboten, wird Konfisziert, lebenslang Gefängnis</t>
  </si>
  <si>
    <t xml:space="preserve">Verboten, wird Konfisziert, Todesstrafe </t>
  </si>
  <si>
    <t xml:space="preserve"> </t>
  </si>
  <si>
    <r>
      <t>Verfügbarkeit:</t>
    </r>
    <r>
      <rPr>
        <sz val="11"/>
        <color theme="1"/>
        <rFont val="Calibri"/>
        <family val="2"/>
        <scheme val="minor"/>
      </rPr>
      <t xml:space="preserve"> </t>
    </r>
    <r>
      <rPr>
        <sz val="12"/>
        <color theme="1"/>
        <rFont val="Bookman Old Style"/>
        <family val="1"/>
      </rPr>
      <t xml:space="preserve">Die Verfügbarkeiten sind nur ein Hinweis für den Meister und nicht zwingend so zu nehmen. </t>
    </r>
  </si>
  <si>
    <r>
      <t xml:space="preserve">                           Die 3 Zahlen stehen für:  </t>
    </r>
    <r>
      <rPr>
        <b/>
        <sz val="12"/>
        <color theme="1"/>
        <rFont val="Bookman Old Style"/>
        <family val="1"/>
      </rPr>
      <t>Neue Welt Durchschnitt / Alte Welt Durchschnitt / Direkt beim Volk</t>
    </r>
    <r>
      <rPr>
        <sz val="12"/>
        <color theme="1"/>
        <rFont val="Bookman Old Style"/>
        <family val="1"/>
      </rPr>
      <t>.</t>
    </r>
  </si>
  <si>
    <t xml:space="preserve">                           Sie stehen für (siehe unten). Optional kann der Meister auch einen Würfelwurf machen wenn er sich nicht   </t>
  </si>
  <si>
    <t xml:space="preserve">                            Entscheiden kann ob es Verfügbar ist oder halt nicht.  </t>
  </si>
  <si>
    <r>
      <t>1</t>
    </r>
    <r>
      <rPr>
        <sz val="12"/>
        <color theme="1"/>
        <rFont val="Bookman Old Style"/>
        <family val="1"/>
      </rPr>
      <t>= Immer</t>
    </r>
  </si>
  <si>
    <t>1-29 (97%)</t>
  </si>
  <si>
    <r>
      <t>2</t>
    </r>
    <r>
      <rPr>
        <sz val="12"/>
        <color theme="1"/>
        <rFont val="Bookman Old Style"/>
        <family val="1"/>
      </rPr>
      <t>= fast Immer</t>
    </r>
  </si>
  <si>
    <t>1-18 (78%)</t>
  </si>
  <si>
    <r>
      <t>3</t>
    </r>
    <r>
      <rPr>
        <sz val="12"/>
        <color theme="1"/>
        <rFont val="Bookman Old Style"/>
        <family val="1"/>
      </rPr>
      <t>= häufig</t>
    </r>
  </si>
  <si>
    <t>1-13 (62%)</t>
  </si>
  <si>
    <r>
      <t>4</t>
    </r>
    <r>
      <rPr>
        <sz val="12"/>
        <color theme="1"/>
        <rFont val="Bookman Old Style"/>
        <family val="1"/>
      </rPr>
      <t>= selten</t>
    </r>
  </si>
  <si>
    <t>Würfelwurf=</t>
  </si>
  <si>
    <t>1-7   (39%)</t>
  </si>
  <si>
    <r>
      <t>5</t>
    </r>
    <r>
      <rPr>
        <sz val="12"/>
        <color theme="1"/>
        <rFont val="Bookman Old Style"/>
        <family val="1"/>
      </rPr>
      <t>= fast nie</t>
    </r>
  </si>
  <si>
    <t>1-2   (12.5%)</t>
  </si>
  <si>
    <r>
      <t>6</t>
    </r>
    <r>
      <rPr>
        <sz val="12"/>
        <color theme="1"/>
        <rFont val="Bookman Old Style"/>
        <family val="1"/>
      </rPr>
      <t>= nie</t>
    </r>
  </si>
  <si>
    <t>21    (2.5%)</t>
  </si>
  <si>
    <r>
      <t>7</t>
    </r>
    <r>
      <rPr>
        <sz val="12"/>
        <color theme="1"/>
        <rFont val="Bookman Old Style"/>
        <family val="1"/>
      </rPr>
      <t>= Einzigartig</t>
    </r>
  </si>
  <si>
    <t>29    (0.3%)</t>
  </si>
  <si>
    <r>
      <t>Preis:</t>
    </r>
    <r>
      <rPr>
        <sz val="12"/>
        <color theme="1"/>
        <rFont val="Bookman Old Style"/>
        <family val="1"/>
      </rPr>
      <t xml:space="preserve"> Der Preis der in der Tabelle steht, sind die reinen Herstellungskosten. Im Verkauf verdoppelt sich der Preiss leicht. </t>
    </r>
  </si>
  <si>
    <r>
      <t xml:space="preserve">Ist die Ware auch noch Illegal so erhöht sich der </t>
    </r>
    <r>
      <rPr>
        <b/>
        <i/>
        <u/>
        <sz val="12"/>
        <color theme="1"/>
        <rFont val="Times New Roman"/>
        <family val="1"/>
      </rPr>
      <t>Verkaufspreist</t>
    </r>
    <r>
      <rPr>
        <sz val="12"/>
        <color theme="1"/>
        <rFont val="Times New Roman"/>
        <family val="1"/>
      </rPr>
      <t xml:space="preserve"> </t>
    </r>
    <r>
      <rPr>
        <sz val="12"/>
        <color theme="1"/>
        <rFont val="Bookman Old Style"/>
        <family val="1"/>
      </rPr>
      <t>um den Legalitätsfaktor.</t>
    </r>
  </si>
  <si>
    <r>
      <t>Beispiel:</t>
    </r>
    <r>
      <rPr>
        <i/>
        <sz val="12"/>
        <color theme="1"/>
        <rFont val="Bookman Old Style"/>
        <family val="1"/>
      </rPr>
      <t xml:space="preserve"> XS Ambrosia</t>
    </r>
  </si>
  <si>
    <r>
      <t>Der Grundpreiss ist 2000D, im Verkauf also x2 =</t>
    </r>
    <r>
      <rPr>
        <i/>
        <u/>
        <sz val="12"/>
        <color theme="1"/>
        <rFont val="Bookman Old Style"/>
        <family val="1"/>
      </rPr>
      <t>4000D</t>
    </r>
    <r>
      <rPr>
        <i/>
        <sz val="12"/>
        <color theme="1"/>
        <rFont val="Bookman Old Style"/>
        <family val="1"/>
      </rPr>
      <t xml:space="preserve">         </t>
    </r>
  </si>
  <si>
    <t>+</t>
  </si>
  <si>
    <r>
      <t xml:space="preserve">Die Legalität ist 3 so werden die 4000D um x3 erhöht = </t>
    </r>
    <r>
      <rPr>
        <i/>
        <u val="double"/>
        <sz val="12"/>
        <color theme="1"/>
        <rFont val="Bookman Old Style"/>
        <family val="1"/>
      </rPr>
      <t>12.000D</t>
    </r>
    <r>
      <rPr>
        <i/>
        <sz val="12"/>
        <color theme="1"/>
        <rFont val="Bookman Old Style"/>
        <family val="1"/>
      </rPr>
      <t xml:space="preserve"> </t>
    </r>
  </si>
  <si>
    <r>
      <t>Es wird aber noch etwas kompliziertere,</t>
    </r>
    <r>
      <rPr>
        <sz val="12"/>
        <color theme="1"/>
        <rFont val="Bookman Old Style"/>
        <family val="1"/>
      </rPr>
      <t xml:space="preserve"> wenn der Char. der das Illegale Mittel kaufen will über Unterwelt-Connections verfügt.</t>
    </r>
  </si>
  <si>
    <r>
      <t xml:space="preserve">Damit ist aber eine </t>
    </r>
    <r>
      <rPr>
        <b/>
        <i/>
        <u/>
        <sz val="12"/>
        <color theme="1"/>
        <rFont val="Bookman Old Style"/>
        <family val="1"/>
      </rPr>
      <t>gute</t>
    </r>
    <r>
      <rPr>
        <sz val="12"/>
        <color theme="1"/>
        <rFont val="Bookman Old Style"/>
        <family val="1"/>
      </rPr>
      <t xml:space="preserve"> Beziehung gemeint. Es reicht nicht die Connections nur zu kennen, dann macht sie es nur möglich die Ware überhaupt zu bekommen. Ich denke mal es ist </t>
    </r>
    <r>
      <rPr>
        <b/>
        <sz val="12"/>
        <color theme="1"/>
        <rFont val="Bookman Old Style"/>
        <family val="1"/>
      </rPr>
      <t>JEDEM</t>
    </r>
    <r>
      <rPr>
        <sz val="12"/>
        <color theme="1"/>
        <rFont val="Bookman Old Style"/>
        <family val="1"/>
      </rPr>
      <t xml:space="preserve"> klar, das ab Legalität 2 nichts mehr einfach so im Laden zu kaufen ist.</t>
    </r>
  </si>
  <si>
    <t>Dealer</t>
  </si>
  <si>
    <t xml:space="preserve">Diebesgilde  </t>
  </si>
  <si>
    <t xml:space="preserve">Kriminelle Organisation (Der Zirkel usw)   </t>
  </si>
  <si>
    <r>
      <t>Beispiel:</t>
    </r>
    <r>
      <rPr>
        <i/>
        <sz val="12"/>
        <color theme="1"/>
        <rFont val="Bookman Old Style"/>
        <family val="1"/>
      </rPr>
      <t xml:space="preserve"> XS Ambrosia (</t>
    </r>
    <r>
      <rPr>
        <b/>
        <i/>
        <sz val="12"/>
        <color theme="1"/>
        <rFont val="Bookman Old Style"/>
        <family val="1"/>
      </rPr>
      <t>nur dieses Mal sind wir ein Dieb aus einer Diebesgilde</t>
    </r>
    <r>
      <rPr>
        <i/>
        <sz val="12"/>
        <color theme="1"/>
        <rFont val="Bookman Old Style"/>
        <family val="1"/>
      </rPr>
      <t xml:space="preserve">)  </t>
    </r>
  </si>
  <si>
    <r>
      <t xml:space="preserve">Die Legalität ist 3 so werden die 4000D um x1 erhöht = </t>
    </r>
    <r>
      <rPr>
        <i/>
        <u val="double"/>
        <sz val="12"/>
        <color theme="1"/>
        <rFont val="Bookman Old Style"/>
        <family val="1"/>
      </rPr>
      <t>4000D</t>
    </r>
  </si>
  <si>
    <t>Muss geschluckt werden.</t>
  </si>
  <si>
    <t>eine Berührung mit der Haut reicht aus</t>
  </si>
  <si>
    <t>Muss nur irgendwie in die Körper. Treffer die 1SP machen Reichen oder Berührung von Schleimhaut</t>
  </si>
  <si>
    <t>Muss in die Blutbahn. Nur bei Treffern über der TS oder bei Spritzen in die Vene.</t>
  </si>
  <si>
    <t>durch  Einatmen</t>
  </si>
  <si>
    <t xml:space="preserve">Probe: </t>
  </si>
  <si>
    <t>Eig-Bon + TaW + Spezialisierung + Werkzeug</t>
  </si>
  <si>
    <t>W30-W12</t>
  </si>
  <si>
    <t xml:space="preserve">Zur Herstellung werden 2 Proben gewürfelt und die überschüssigen Punkte addiert. </t>
  </si>
  <si>
    <t>Beispiel: Heiler hat Probe=36, würfelt zwei Mal 14, hat also zwei Mal 22 Punkte, insgesamt 44 Punkte über.</t>
  </si>
  <si>
    <t>Von den überzähligen Punkten wird zuerst die Rezept-Erschwerung abgezogen. Ist der Wert danach 0 oder positiv, ist die Trankherstellung gelungen.</t>
  </si>
  <si>
    <t>Beispiel: Heiler hat 44 Punkte über, braut einen leichten Heiltrank (Rezept-Erschwerung 24), jetzt hat er noch 20 Punkte über, und kann diese in der untenstehenden Tabelle verteilen.</t>
  </si>
  <si>
    <t>Stufe</t>
  </si>
  <si>
    <t>+1</t>
  </si>
  <si>
    <t>+2</t>
  </si>
  <si>
    <t>Kosten</t>
  </si>
  <si>
    <t>Wirkungsdauer</t>
  </si>
  <si>
    <t>+50%</t>
  </si>
  <si>
    <t>+75%</t>
  </si>
  <si>
    <t>+87%</t>
  </si>
  <si>
    <t>MHD</t>
  </si>
  <si>
    <t>*2</t>
  </si>
  <si>
    <t>*3</t>
  </si>
  <si>
    <t>(M)</t>
  </si>
  <si>
    <t>Potenz</t>
  </si>
  <si>
    <t>Anwendungen</t>
  </si>
  <si>
    <t>+3</t>
  </si>
  <si>
    <t>Werkzeuge</t>
  </si>
  <si>
    <t>Improvisiert</t>
  </si>
  <si>
    <t>Standard</t>
  </si>
  <si>
    <t>Spezial</t>
  </si>
  <si>
    <t>Legendär</t>
  </si>
  <si>
    <t>Keine</t>
  </si>
  <si>
    <t>keine Probe möglich</t>
  </si>
  <si>
    <t>Einmalig</t>
  </si>
  <si>
    <t>Dosierbar</t>
  </si>
  <si>
    <t>ZbS (Zeit bis Symptom)</t>
  </si>
  <si>
    <t>ZbW (Zeit bis Wirkung)</t>
  </si>
  <si>
    <t>Legalität</t>
  </si>
  <si>
    <t>magisch</t>
  </si>
  <si>
    <t>profan</t>
  </si>
  <si>
    <t>Sofort Gesundheit +3W6, auch aus dem minus</t>
  </si>
  <si>
    <t>Macht+3, Mana+27, Max Mana+27, SB+5, Ini+3, Z.proben+3</t>
  </si>
  <si>
    <t>SB+15, Ausd+10, Ini+5, nAT+3, Gesundheit+3, NK TP+3</t>
  </si>
  <si>
    <t>nAW+3, Ini+4, nPA+3, FK Basis+3, Ladezeiten-3sec</t>
  </si>
  <si>
    <t>Sofort LE +4W12, außer Gesundheit</t>
  </si>
  <si>
    <t>Sofort Mana  +6W20</t>
  </si>
  <si>
    <t>Ausdauer + 4W50</t>
  </si>
  <si>
    <t>Feuer macht 50% Schaden weniger</t>
  </si>
  <si>
    <t>Eis macht 50% Schaden weniger</t>
  </si>
  <si>
    <t>Die Wirkung von Alchemika ist 50% geringer</t>
  </si>
  <si>
    <t>Man kann mit 5m/s Fliegen</t>
  </si>
  <si>
    <t>Sofort Gesundheit +2W6, auch aus dem minus</t>
  </si>
  <si>
    <t>SB+9, Ausd+6, Ini+2, nAT+2, Gesundheit+2, NK TP+2</t>
  </si>
  <si>
    <t>nAW+2, Ini+3, nPA+2, FK Basis+2, Ladezeiten-2sec</t>
  </si>
  <si>
    <t>Sofort LE +3W8, außer Gesundheit</t>
  </si>
  <si>
    <t>Sofort Mana  +5W12</t>
  </si>
  <si>
    <t>Man braucht für  1W20+5min nicht atmen.</t>
  </si>
  <si>
    <t>Sofort Gesundheit +1W6, auch aus dem minus</t>
  </si>
  <si>
    <t>SB+3, Ausd+2, Ini+1, nAT+1, Gesundheit+1, NK TP+1</t>
  </si>
  <si>
    <t>nAW+1, Ini+2, nPA+1, FK Basis+1, Ladezeiten-1sec</t>
  </si>
  <si>
    <t>Sofort LE +2W6, außer Gesundheit</t>
  </si>
  <si>
    <t>Sofort Mana  +4W6</t>
  </si>
  <si>
    <t>Man braucht für  1W10+5min nicht atmen.</t>
  </si>
  <si>
    <t>Ausdauer + 3W30</t>
  </si>
  <si>
    <t>Überall RS + 1W4+1 und KampfBehinderung +1</t>
  </si>
  <si>
    <t>1d</t>
  </si>
  <si>
    <t>7d</t>
  </si>
  <si>
    <t>3d</t>
  </si>
  <si>
    <t>7 KR</t>
  </si>
  <si>
    <t>1 KR</t>
  </si>
  <si>
    <t>2 KR</t>
  </si>
  <si>
    <t>30 KR</t>
  </si>
  <si>
    <t>1  KR</t>
  </si>
  <si>
    <t>30  KR</t>
  </si>
  <si>
    <t>3  KR</t>
  </si>
  <si>
    <t>2  KR</t>
  </si>
  <si>
    <t>45  KR</t>
  </si>
  <si>
    <t>3 KR</t>
  </si>
  <si>
    <t>20 KR</t>
  </si>
  <si>
    <t>60  KR</t>
  </si>
  <si>
    <t>5 KR</t>
  </si>
  <si>
    <t>10 KR</t>
  </si>
  <si>
    <t>Adamanthaut</t>
  </si>
  <si>
    <t>Erhöht die Ausstrahlung um 1</t>
  </si>
  <si>
    <t>2W6+2min</t>
  </si>
  <si>
    <t>Zutaten_Preis_in_D</t>
  </si>
  <si>
    <t>Kaufpreis_in_D</t>
  </si>
  <si>
    <t>Erhöht die Ausstrahlung um 4Punkt (nur Gesellschaftlich)</t>
  </si>
  <si>
    <t>Erhöht die Ausstrahlung um 2Punkt (nur Gesellschaftlich)</t>
  </si>
  <si>
    <t>Erhöht die Ausstrahlung um 8Punkt (nur Gesellschaftlich)</t>
  </si>
  <si>
    <t>magisch_y_n</t>
  </si>
  <si>
    <t>Leichter  Nahrungstrank</t>
  </si>
  <si>
    <t>Leichter Allheilmittel</t>
  </si>
  <si>
    <t>Leichter Chamäleontrank</t>
  </si>
  <si>
    <t>Leichter Flugtrank</t>
  </si>
  <si>
    <t>Leichter Geniustrank</t>
  </si>
  <si>
    <t>Leichter Göttertrank</t>
  </si>
  <si>
    <t>Leichter Heiltrank</t>
  </si>
  <si>
    <t>Leichter Heldentrank</t>
  </si>
  <si>
    <t>Leichter Katzentrank</t>
  </si>
  <si>
    <t xml:space="preserve">Leichter Lufttrank </t>
  </si>
  <si>
    <t>Feuer-Resistenz-Trank</t>
  </si>
  <si>
    <t xml:space="preserve">Billiges Parfüm </t>
  </si>
  <si>
    <t>Leichtes Ambrosia</t>
  </si>
  <si>
    <t xml:space="preserve">Leichtes Antidot </t>
  </si>
  <si>
    <t>Leichtes Blendgift</t>
  </si>
  <si>
    <t>Leichtes Jagdgift</t>
  </si>
  <si>
    <t>Leichtes Lähmungsgift</t>
  </si>
  <si>
    <t>Leichtes Managift</t>
  </si>
  <si>
    <t>Leichtes Nahrungsgift</t>
  </si>
  <si>
    <t>Leichtes Regigift</t>
  </si>
  <si>
    <t>Leichtes Schlafgift</t>
  </si>
  <si>
    <t>Leichtes Schmerzgift</t>
  </si>
  <si>
    <t>Leichtes Schwächegift</t>
  </si>
  <si>
    <t>Leichtes Taubheitsgift</t>
  </si>
  <si>
    <t>Leichtes Verwirrungsgift</t>
  </si>
  <si>
    <t>Leichtes Waffengift</t>
  </si>
  <si>
    <t>Leichtes Zungengift</t>
  </si>
  <si>
    <t>Leichte Heilsalbe</t>
  </si>
  <si>
    <t>Leichtes Behinderungsgift</t>
  </si>
  <si>
    <t>Leichtes Hässlichkeitsgift</t>
  </si>
  <si>
    <t>Leichter Bersekertrank</t>
  </si>
  <si>
    <t>Leichter Erfrischungstrank</t>
  </si>
  <si>
    <t>Leichter Gesundheitstrank</t>
  </si>
  <si>
    <t>Leichter Manatrank</t>
  </si>
  <si>
    <t>Leichter Reflextrank</t>
  </si>
  <si>
    <t>Leichter Regitrank</t>
  </si>
  <si>
    <t>Ambrosia</t>
  </si>
  <si>
    <t>Antidot</t>
  </si>
  <si>
    <t>Blendgift</t>
  </si>
  <si>
    <t>Flugtrank</t>
  </si>
  <si>
    <t>Geniustrank</t>
  </si>
  <si>
    <t>Göttertrank</t>
  </si>
  <si>
    <t>Heilsalbe</t>
  </si>
  <si>
    <t>Heldentrank</t>
  </si>
  <si>
    <t>Jagdgift</t>
  </si>
  <si>
    <t>Katzentrank</t>
  </si>
  <si>
    <t>Lähmungsgift</t>
  </si>
  <si>
    <t>Managift</t>
  </si>
  <si>
    <t>Nahrungsgift</t>
  </si>
  <si>
    <t>Nahrungst.</t>
  </si>
  <si>
    <t>Regigift</t>
  </si>
  <si>
    <t>Schlafgift</t>
  </si>
  <si>
    <t>Schmerzgift</t>
  </si>
  <si>
    <t>Schwächegift</t>
  </si>
  <si>
    <t>Taubheitsgift</t>
  </si>
  <si>
    <t>Waffengift</t>
  </si>
  <si>
    <t>Zungengift</t>
  </si>
  <si>
    <t>Behinderungsgift</t>
  </si>
  <si>
    <t>Hässlichkeitsgift</t>
  </si>
  <si>
    <t>Heiltrank</t>
  </si>
  <si>
    <t>Reflextrank</t>
  </si>
  <si>
    <t>Regitrank</t>
  </si>
  <si>
    <t>Verwirrungsgift</t>
  </si>
  <si>
    <t>Berserkertrank</t>
  </si>
  <si>
    <t>Erfrischungstrank</t>
  </si>
  <si>
    <t>Gesundheitstrank</t>
  </si>
  <si>
    <t>Manatrank</t>
  </si>
  <si>
    <t>Magisches Parfüm</t>
  </si>
  <si>
    <t>Erhöht Ausstrahlung um 10 Punkte (nur Gesellschaftlich)</t>
  </si>
  <si>
    <t>Starke Allheilmittel</t>
  </si>
  <si>
    <t>Starke Ambrosia</t>
  </si>
  <si>
    <t>Starke Antidot</t>
  </si>
  <si>
    <t>Starke Blendgift</t>
  </si>
  <si>
    <t>Starke Heilsalbe</t>
  </si>
  <si>
    <t>Starker Flugtrank</t>
  </si>
  <si>
    <t>Starker Geniustrank</t>
  </si>
  <si>
    <t>Starker Göttertrank</t>
  </si>
  <si>
    <t>Starker Heldentrank</t>
  </si>
  <si>
    <t>Starker Katzentrank</t>
  </si>
  <si>
    <t>Starker Nahrungstrank</t>
  </si>
  <si>
    <t>Starker Berserkertrank</t>
  </si>
  <si>
    <t>Starker Chamäleontrank</t>
  </si>
  <si>
    <t>Starker Gesundheitstrank</t>
  </si>
  <si>
    <t>Starker Heiltrank</t>
  </si>
  <si>
    <t>Starker Lufttrank</t>
  </si>
  <si>
    <t>Starker Manatrank</t>
  </si>
  <si>
    <t>Starker Reflextrank</t>
  </si>
  <si>
    <t>Starker Regitrank</t>
  </si>
  <si>
    <t>Starkes Jagdgift</t>
  </si>
  <si>
    <t>Starkes Lähmungsgift</t>
  </si>
  <si>
    <t>Starkes Managift</t>
  </si>
  <si>
    <t>Starkes Nahrungsgift</t>
  </si>
  <si>
    <t>Starkes Regigift</t>
  </si>
  <si>
    <t>Starkes Schlafgift</t>
  </si>
  <si>
    <t>Starkes Schmerzgift</t>
  </si>
  <si>
    <t>Starkes Schwächegift</t>
  </si>
  <si>
    <t>Starkes Taubheitsgift</t>
  </si>
  <si>
    <t>Starkes Verwirrungsgift</t>
  </si>
  <si>
    <t>Starkes Waffengift</t>
  </si>
  <si>
    <t>Starkes Zungengift</t>
  </si>
  <si>
    <t>Starkes Behinderungsgift</t>
  </si>
  <si>
    <t>Starkes Hässlichkeitsgift</t>
  </si>
  <si>
    <t>Starker Erfrischungstrank</t>
  </si>
  <si>
    <t>Mächtiges Ambrosia</t>
  </si>
  <si>
    <t>Mächtiges Jagdgift</t>
  </si>
  <si>
    <t>Mächtiges Waffengift</t>
  </si>
  <si>
    <t xml:space="preserve"> ALLES +1, auch über Maximal werte</t>
  </si>
  <si>
    <t xml:space="preserve"> ALLES +3, auch über Maximal werte</t>
  </si>
  <si>
    <t xml:space="preserve"> ALLES +6, auch über Maximal werte</t>
  </si>
  <si>
    <t>2W20+10min</t>
  </si>
  <si>
    <t>Keinerlei Luftzufuhr notwenig</t>
  </si>
  <si>
    <t>Man kann mit 10m/s Fliegen</t>
  </si>
  <si>
    <t>Man kann mit 15m/s Fliegen</t>
  </si>
  <si>
    <t>Man wird binnen 24h, 1W12+3 Jahre Jünger</t>
  </si>
  <si>
    <t>Man wird binnen 24h, 1W20+4 Jahre Jünger</t>
  </si>
  <si>
    <t>Man wird binnen 24h, 1W4+1 Jahre Jünger</t>
  </si>
  <si>
    <t>Man wird binnen 24h, 1W8+2 Jahre Jünger</t>
  </si>
  <si>
    <t>Satt und Genährt für 1 Tag</t>
  </si>
  <si>
    <t>Satt und Genährt für 3 Tage</t>
  </si>
  <si>
    <t>Satt und Genährt für 7 Tage</t>
  </si>
  <si>
    <t>Alle TZ erhalten RS +1W12+4; RHg +16</t>
  </si>
  <si>
    <t>Alle TZ erhalten RS +1W5+2; RHg +8</t>
  </si>
  <si>
    <t>Alle TZ erhalten RS +1W8+3; RHg +12</t>
  </si>
  <si>
    <t>Mana -4W6</t>
  </si>
  <si>
    <t>Mana -5W10</t>
  </si>
  <si>
    <t>Mana -6W15</t>
  </si>
  <si>
    <t>permanent</t>
  </si>
  <si>
    <t>+1W4 auf nAW, Initiative, nPa</t>
  </si>
  <si>
    <t>+1W6 auf nAW, Initiative, nPa</t>
  </si>
  <si>
    <t>+1W8 auf nAW, Initiative, nPa</t>
  </si>
  <si>
    <t>Alle Grundfertigkeits-, Sprach-, Kulur- und WHK-Proben auf Ausstrahlung um 10 erschwert</t>
  </si>
  <si>
    <t>Alle Grundfertigkeits-, Sprach-, Kulur- und WHK-Proben auf Ausstrahlung um 15 erschwert</t>
  </si>
  <si>
    <t>Alle Grundfertigkeits-, Sprach-, Kulur- und WHK-Proben auf Ausstrahlung um 5 erschwert</t>
  </si>
  <si>
    <t>1W6+1min</t>
  </si>
  <si>
    <t>W6+1min</t>
  </si>
  <si>
    <t xml:space="preserve">Der Charakter wird mitsamt aller Ausrüstung in seiner Aura durchsichtig. Um ihn wahrzunehmen, ist eine Sinnesschärfe-Probe erschwert um 18 nötig. </t>
  </si>
  <si>
    <t xml:space="preserve">Der Charakter wird mitsamt aller Ausrüstung in seiner Aura durchsichtig. Um ihn wahrzunehmen, ist eine Sinnesschärfe-Probe erschwert um 12 nötig. </t>
  </si>
  <si>
    <t xml:space="preserve">Der Charakter wird mitsamt aller Ausrüstung in seiner Aura durchsichtig. Um ihn wahrzunehmen, ist eine Sinnesschärfe-Probe erschwert um 6 nötig. </t>
  </si>
  <si>
    <t>Nach Eintritt der Wirkung, 3KR nach der Einnahme, wird eine neue Alchemieresistenz-Probe mit Alchemieresistenz +25 abgelegt.</t>
  </si>
  <si>
    <t>Nach Eintritt der Wirkung, 3KR nach der Einnahme, wird eine neue Alchemieresistenz-Probe mit Alchemieresistenz +35 abgelegt.</t>
  </si>
  <si>
    <t>Nach Eintritt der Wirkung, 3KR nach der Einnahme, wird eine neue Alchemieresistenz-Probe mit Alchemieresistenz +45 abgelegt.</t>
  </si>
  <si>
    <t>Alle Proben, die Intelligenz enthalten, sowie KI-, PSI-, und Spruchmagie werden um W10 erschwert.</t>
  </si>
  <si>
    <t>Alle Grundfertigkeits-, Sprach-, Kulur- und WHK-Proben auf intelligenz, sowie alle KI-, PSI- und Spruchmagie werden um W15 erschwert.</t>
  </si>
  <si>
    <t>Alle Grundfertigkeits-, Sprach-, Kulur- und WHK-Proben auf intelligenz, sowie alle KI-, PSI- und Spruchmagie werden um W20 erschwert.</t>
  </si>
  <si>
    <t>Der Charakter erblindet. Jede Sicht außer magischer Sicht erlischt. BE 18</t>
  </si>
  <si>
    <t>Kuriert jede unmagische Krankheit.</t>
  </si>
  <si>
    <t>Kuriert jede unmagische und magische Krankheit.</t>
  </si>
  <si>
    <t>Der Charakter wird auf einer TZ um LE+2W6 geheilt.</t>
  </si>
  <si>
    <t>Der Charakter wird auf einer TZ um LE+3W8 geheilt.</t>
  </si>
  <si>
    <t>Der Charakter wird auf einer TZ um LE+4W12 geheilt.</t>
  </si>
  <si>
    <t>Die arkanen Mächte des Charakters werden verstärkt. (M)+1, Mana+9, Max.Mana+9, SB+1, Ini+1, KI-, PSI- und Spruchzauberproben +1</t>
  </si>
  <si>
    <t>Die arkanen Mächte des Charakters werden verstärkt. (M)+2, Mana+18, Max.Mana+18, SB+3, Ini+2, KI-, PSI- und Spruchzauberproben +2</t>
  </si>
  <si>
    <t>Der sieht selbst in absoluter Dunkelheit wie am Tag. Hebt alle lichtabhängigen Erschwerungen auf.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</si>
</sst>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u/>
      <sz val="20"/>
      <color theme="1"/>
      <name val="Bookman Old Style"/>
      <family val="1"/>
    </font>
    <font>
      <u/>
      <sz val="14"/>
      <color theme="1"/>
      <name val="Bookman Old Style"/>
      <family val="1"/>
    </font>
    <font>
      <sz val="12"/>
      <color theme="1"/>
      <name val="Bookman Old Style"/>
      <family val="1"/>
    </font>
    <font>
      <sz val="12"/>
      <color theme="1"/>
      <name val="Wingdings"/>
      <charset val="2"/>
    </font>
    <font>
      <u/>
      <sz val="12"/>
      <color theme="1"/>
      <name val="Bookman Old Style"/>
      <family val="1"/>
    </font>
    <font>
      <sz val="14"/>
      <color theme="1"/>
      <name val="Bookman Old Style"/>
      <family val="1"/>
    </font>
    <font>
      <b/>
      <sz val="12"/>
      <color theme="1"/>
      <name val="Bookman Old Style"/>
      <family val="1"/>
    </font>
    <font>
      <b/>
      <i/>
      <u/>
      <sz val="12"/>
      <color theme="1"/>
      <name val="Times New Roman"/>
      <family val="1"/>
    </font>
    <font>
      <sz val="12"/>
      <color theme="1"/>
      <name val="Times New Roman"/>
      <family val="1"/>
    </font>
    <font>
      <b/>
      <i/>
      <sz val="12"/>
      <color theme="1"/>
      <name val="Bookman Old Style"/>
      <family val="1"/>
    </font>
    <font>
      <i/>
      <sz val="12"/>
      <color theme="1"/>
      <name val="Bookman Old Style"/>
      <family val="1"/>
    </font>
    <font>
      <i/>
      <u/>
      <sz val="12"/>
      <color theme="1"/>
      <name val="Bookman Old Style"/>
      <family val="1"/>
    </font>
    <font>
      <i/>
      <u val="double"/>
      <sz val="12"/>
      <color theme="1"/>
      <name val="Bookman Old Style"/>
      <family val="1"/>
    </font>
    <font>
      <b/>
      <i/>
      <u/>
      <sz val="12"/>
      <color theme="1"/>
      <name val="Bookman Old Style"/>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applyAlignment="1"/>
    <xf numFmtId="0" fontId="5" fillId="0" borderId="0" xfId="0" applyFont="1" applyAlignment="1">
      <alignment horizontal="center"/>
    </xf>
    <xf numFmtId="0" fontId="6" fillId="0" borderId="0" xfId="0" applyFont="1"/>
    <xf numFmtId="0" fontId="9" fillId="0" borderId="0" xfId="0" applyFont="1" applyAlignment="1">
      <alignment horizontal="center"/>
    </xf>
    <xf numFmtId="0" fontId="7" fillId="0" borderId="0" xfId="0" applyFont="1"/>
    <xf numFmtId="9" fontId="7" fillId="0" borderId="0" xfId="0" applyNumberFormat="1" applyFont="1"/>
    <xf numFmtId="0" fontId="11" fillId="0" borderId="0" xfId="0" applyFont="1"/>
    <xf numFmtId="0" fontId="7" fillId="0" borderId="0" xfId="0" applyFont="1" applyAlignment="1">
      <alignment horizontal="left" indent="10"/>
    </xf>
    <xf numFmtId="0" fontId="14" fillId="0" borderId="0" xfId="0" applyFont="1"/>
    <xf numFmtId="0" fontId="15" fillId="0" borderId="0" xfId="0" applyFont="1"/>
    <xf numFmtId="0" fontId="9" fillId="0" borderId="0" xfId="0" applyFont="1"/>
    <xf numFmtId="0" fontId="11" fillId="0" borderId="0" xfId="0" applyFont="1" applyAlignment="1"/>
    <xf numFmtId="0" fontId="7" fillId="0" borderId="0" xfId="0" applyFont="1" applyAlignment="1"/>
    <xf numFmtId="0" fontId="0" fillId="0" borderId="1" xfId="0" applyBorder="1" applyAlignment="1"/>
    <xf numFmtId="0" fontId="2" fillId="0" borderId="1" xfId="0"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horizontal="right"/>
    </xf>
    <xf numFmtId="0" fontId="2" fillId="0" borderId="1" xfId="0" applyFont="1" applyFill="1" applyBorder="1" applyAlignment="1">
      <alignment vertical="top"/>
    </xf>
    <xf numFmtId="0" fontId="3" fillId="0" borderId="1" xfId="0" applyFont="1" applyBorder="1" applyAlignment="1"/>
    <xf numFmtId="0" fontId="1" fillId="0" borderId="1" xfId="0" applyFont="1" applyBorder="1" applyAlignment="1">
      <alignment horizontal="center" vertical="top"/>
    </xf>
    <xf numFmtId="0" fontId="1" fillId="0" borderId="1" xfId="0" applyFont="1" applyBorder="1" applyAlignment="1">
      <alignment vertical="top"/>
    </xf>
    <xf numFmtId="0" fontId="1" fillId="0" borderId="1" xfId="0" applyFont="1" applyBorder="1" applyAlignment="1">
      <alignment horizontal="right"/>
    </xf>
    <xf numFmtId="0" fontId="0" fillId="0" borderId="1" xfId="0" applyBorder="1"/>
    <xf numFmtId="0" fontId="0" fillId="0" borderId="1" xfId="0" applyBorder="1" applyAlignment="1">
      <alignment vertical="top"/>
    </xf>
    <xf numFmtId="0" fontId="0" fillId="0" borderId="1" xfId="0" applyBorder="1" applyAlignment="1">
      <alignment horizontal="right"/>
    </xf>
    <xf numFmtId="0" fontId="3" fillId="0" borderId="1" xfId="0" applyFont="1" applyBorder="1" applyAlignment="1">
      <alignment vertical="top"/>
    </xf>
    <xf numFmtId="0" fontId="0" fillId="0" borderId="1" xfId="0" applyFont="1" applyFill="1" applyBorder="1" applyAlignment="1">
      <alignment horizontal="right" vertical="top"/>
    </xf>
    <xf numFmtId="0" fontId="4" fillId="0" borderId="1" xfId="0" applyFont="1" applyBorder="1" applyAlignment="1"/>
    <xf numFmtId="0" fontId="0" fillId="0" borderId="1" xfId="0" quotePrefix="1" applyBorder="1"/>
    <xf numFmtId="0" fontId="0" fillId="0" borderId="2" xfId="0" applyBorder="1"/>
    <xf numFmtId="3" fontId="1" fillId="0" borderId="1" xfId="0" applyNumberFormat="1" applyFont="1" applyBorder="1" applyAlignment="1">
      <alignment horizontal="right"/>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9"/>
  <sheetViews>
    <sheetView tabSelected="1" zoomScale="115" zoomScaleNormal="115" workbookViewId="0">
      <pane ySplit="1" topLeftCell="A2" activePane="bottomLeft" state="frozen"/>
      <selection pane="bottomLeft" activeCell="J20" sqref="J20"/>
    </sheetView>
  </sheetViews>
  <sheetFormatPr baseColWidth="10" defaultColWidth="9.140625" defaultRowHeight="15" x14ac:dyDescent="0.25"/>
  <cols>
    <col min="1" max="1" width="11.85546875" bestFit="1" customWidth="1"/>
    <col min="3" max="3" width="21.5703125" bestFit="1" customWidth="1"/>
    <col min="10" max="10" width="57.140625" bestFit="1" customWidth="1"/>
  </cols>
  <sheetData>
    <row r="1" spans="1:15" x14ac:dyDescent="0.25">
      <c r="A1" s="14" t="s">
        <v>70</v>
      </c>
      <c r="B1" s="15" t="s">
        <v>245</v>
      </c>
      <c r="C1" s="15" t="s">
        <v>0</v>
      </c>
      <c r="D1" s="16" t="s">
        <v>178</v>
      </c>
      <c r="E1" s="16" t="s">
        <v>189</v>
      </c>
      <c r="F1" s="15" t="s">
        <v>1</v>
      </c>
      <c r="G1" s="15" t="s">
        <v>190</v>
      </c>
      <c r="H1" s="15" t="s">
        <v>191</v>
      </c>
      <c r="I1" s="15" t="s">
        <v>170</v>
      </c>
      <c r="J1" s="15" t="s">
        <v>2</v>
      </c>
      <c r="K1" s="15" t="s">
        <v>192</v>
      </c>
      <c r="L1" s="15" t="s">
        <v>3</v>
      </c>
      <c r="M1" s="17" t="s">
        <v>240</v>
      </c>
      <c r="N1" s="17" t="s">
        <v>241</v>
      </c>
      <c r="O1" s="18" t="s">
        <v>73</v>
      </c>
    </row>
    <row r="2" spans="1:15" x14ac:dyDescent="0.25">
      <c r="A2" s="14" t="s">
        <v>71</v>
      </c>
      <c r="B2" s="21" t="s">
        <v>193</v>
      </c>
      <c r="C2" s="19" t="s">
        <v>237</v>
      </c>
      <c r="D2" s="20">
        <v>65</v>
      </c>
      <c r="E2" s="20" t="s">
        <v>4</v>
      </c>
      <c r="F2" s="21" t="s">
        <v>5</v>
      </c>
      <c r="G2" s="21" t="s">
        <v>224</v>
      </c>
      <c r="H2" s="21" t="s">
        <v>225</v>
      </c>
      <c r="I2" s="21" t="s">
        <v>17</v>
      </c>
      <c r="J2" s="21" t="s">
        <v>366</v>
      </c>
      <c r="K2" s="20">
        <v>2</v>
      </c>
      <c r="L2">
        <v>7</v>
      </c>
      <c r="M2" s="31">
        <v>5000</v>
      </c>
      <c r="N2" s="22">
        <f>M2*K2</f>
        <v>10000</v>
      </c>
      <c r="O2" s="23">
        <v>60</v>
      </c>
    </row>
    <row r="3" spans="1:15" x14ac:dyDescent="0.25">
      <c r="A3" s="14" t="s">
        <v>71</v>
      </c>
      <c r="B3" s="21" t="s">
        <v>193</v>
      </c>
      <c r="C3" s="19" t="s">
        <v>251</v>
      </c>
      <c r="D3" s="20">
        <v>55</v>
      </c>
      <c r="E3" s="20" t="s">
        <v>4</v>
      </c>
      <c r="F3" s="21" t="s">
        <v>5</v>
      </c>
      <c r="G3" s="21" t="s">
        <v>6</v>
      </c>
      <c r="H3" s="21" t="s">
        <v>6</v>
      </c>
      <c r="I3" s="21" t="s">
        <v>17</v>
      </c>
      <c r="J3" s="21" t="s">
        <v>352</v>
      </c>
      <c r="K3" s="20">
        <v>3</v>
      </c>
      <c r="L3">
        <v>5</v>
      </c>
      <c r="M3" s="22">
        <v>83.35</v>
      </c>
      <c r="N3" s="22">
        <f>M3*K3</f>
        <v>250.04999999999998</v>
      </c>
      <c r="O3" s="23">
        <v>36</v>
      </c>
    </row>
    <row r="4" spans="1:15" x14ac:dyDescent="0.25">
      <c r="A4" s="14" t="s">
        <v>71</v>
      </c>
      <c r="B4" s="21" t="s">
        <v>193</v>
      </c>
      <c r="C4" s="19" t="s">
        <v>287</v>
      </c>
      <c r="D4" s="20">
        <v>65</v>
      </c>
      <c r="E4" s="20" t="s">
        <v>4</v>
      </c>
      <c r="F4" s="21" t="s">
        <v>5</v>
      </c>
      <c r="G4" s="21" t="s">
        <v>6</v>
      </c>
      <c r="H4" s="21" t="s">
        <v>6</v>
      </c>
      <c r="I4" s="21" t="s">
        <v>17</v>
      </c>
      <c r="J4" s="21" t="s">
        <v>353</v>
      </c>
      <c r="K4" s="20">
        <v>4</v>
      </c>
      <c r="L4">
        <v>6</v>
      </c>
      <c r="M4" s="22">
        <v>175</v>
      </c>
      <c r="N4" s="22">
        <f>M4*K4</f>
        <v>700</v>
      </c>
      <c r="O4" s="23">
        <v>54</v>
      </c>
    </row>
    <row r="5" spans="1:15" x14ac:dyDescent="0.25">
      <c r="A5" s="14" t="s">
        <v>71</v>
      </c>
      <c r="B5" s="21" t="s">
        <v>193</v>
      </c>
      <c r="C5" s="19" t="s">
        <v>322</v>
      </c>
      <c r="D5" s="20">
        <v>75</v>
      </c>
      <c r="E5" s="20" t="s">
        <v>4</v>
      </c>
      <c r="F5" s="21" t="s">
        <v>5</v>
      </c>
      <c r="G5" s="21" t="s">
        <v>6</v>
      </c>
      <c r="H5" s="21" t="s">
        <v>6</v>
      </c>
      <c r="I5" s="21" t="s">
        <v>17</v>
      </c>
      <c r="J5" s="21" t="s">
        <v>354</v>
      </c>
      <c r="K5" s="20">
        <v>4</v>
      </c>
      <c r="L5">
        <v>7</v>
      </c>
      <c r="M5" s="22">
        <v>500</v>
      </c>
      <c r="N5" s="22">
        <f>M5*K5</f>
        <v>2000</v>
      </c>
      <c r="O5" s="27">
        <v>90</v>
      </c>
    </row>
    <row r="6" spans="1:15" x14ac:dyDescent="0.25">
      <c r="A6" s="14" t="s">
        <v>71</v>
      </c>
      <c r="B6" s="21" t="s">
        <v>193</v>
      </c>
      <c r="C6" s="19" t="s">
        <v>330</v>
      </c>
      <c r="D6" s="20">
        <v>40</v>
      </c>
      <c r="E6" s="20" t="s">
        <v>4</v>
      </c>
      <c r="F6" s="21" t="s">
        <v>5</v>
      </c>
      <c r="G6" s="21" t="s">
        <v>6</v>
      </c>
      <c r="H6" s="21" t="s">
        <v>6</v>
      </c>
      <c r="I6" s="21" t="s">
        <v>355</v>
      </c>
      <c r="J6" s="21" t="s">
        <v>356</v>
      </c>
      <c r="K6" s="20">
        <v>1</v>
      </c>
      <c r="L6">
        <v>4</v>
      </c>
      <c r="M6" s="22">
        <v>125</v>
      </c>
      <c r="N6" s="22">
        <f>M6*K6</f>
        <v>125</v>
      </c>
      <c r="O6" s="23">
        <v>60</v>
      </c>
    </row>
    <row r="7" spans="1:15" x14ac:dyDescent="0.25">
      <c r="A7" s="14" t="s">
        <v>71</v>
      </c>
      <c r="B7" s="21" t="s">
        <v>193</v>
      </c>
      <c r="C7" s="19" t="s">
        <v>285</v>
      </c>
      <c r="D7" s="20">
        <v>65</v>
      </c>
      <c r="E7" s="20" t="s">
        <v>4</v>
      </c>
      <c r="F7" s="21" t="s">
        <v>5</v>
      </c>
      <c r="G7" s="21" t="s">
        <v>224</v>
      </c>
      <c r="H7" s="21" t="s">
        <v>223</v>
      </c>
      <c r="I7" s="21" t="s">
        <v>7</v>
      </c>
      <c r="J7" s="21" t="s">
        <v>357</v>
      </c>
      <c r="K7" s="20">
        <v>4</v>
      </c>
      <c r="L7">
        <v>7</v>
      </c>
      <c r="M7" s="22">
        <v>190</v>
      </c>
      <c r="N7" s="22">
        <f>M7*K7</f>
        <v>760</v>
      </c>
      <c r="O7" s="23">
        <v>72</v>
      </c>
    </row>
    <row r="8" spans="1:15" x14ac:dyDescent="0.25">
      <c r="A8" s="14" t="s">
        <v>71</v>
      </c>
      <c r="B8" s="21" t="s">
        <v>193</v>
      </c>
      <c r="C8" s="19" t="s">
        <v>320</v>
      </c>
      <c r="D8" s="20">
        <v>75</v>
      </c>
      <c r="E8" s="20" t="s">
        <v>4</v>
      </c>
      <c r="F8" s="21" t="s">
        <v>5</v>
      </c>
      <c r="G8" s="21" t="s">
        <v>224</v>
      </c>
      <c r="H8" s="21" t="s">
        <v>223</v>
      </c>
      <c r="I8" s="21" t="s">
        <v>24</v>
      </c>
      <c r="J8" s="21" t="s">
        <v>358</v>
      </c>
      <c r="K8" s="20">
        <v>4</v>
      </c>
      <c r="L8">
        <v>7</v>
      </c>
      <c r="M8" s="22">
        <v>625</v>
      </c>
      <c r="N8" s="22">
        <f>M8*K8</f>
        <v>2500</v>
      </c>
      <c r="O8" s="23">
        <v>120</v>
      </c>
    </row>
    <row r="9" spans="1:15" x14ac:dyDescent="0.25">
      <c r="A9" s="14" t="s">
        <v>71</v>
      </c>
      <c r="B9" s="21" t="s">
        <v>193</v>
      </c>
      <c r="C9" s="19" t="s">
        <v>316</v>
      </c>
      <c r="D9" s="20">
        <v>80</v>
      </c>
      <c r="E9" s="20" t="s">
        <v>4</v>
      </c>
      <c r="F9" s="21" t="s">
        <v>5</v>
      </c>
      <c r="G9" s="21" t="s">
        <v>223</v>
      </c>
      <c r="H9" s="21" t="s">
        <v>42</v>
      </c>
      <c r="I9" s="21" t="s">
        <v>372</v>
      </c>
      <c r="J9" s="21" t="s">
        <v>359</v>
      </c>
      <c r="K9" s="20">
        <v>2</v>
      </c>
      <c r="L9">
        <v>7</v>
      </c>
      <c r="M9" s="22">
        <v>1500</v>
      </c>
      <c r="N9" s="22">
        <f>M9*K9</f>
        <v>3000</v>
      </c>
      <c r="O9" s="23">
        <v>150</v>
      </c>
    </row>
    <row r="10" spans="1:15" x14ac:dyDescent="0.25">
      <c r="A10" s="14" t="s">
        <v>71</v>
      </c>
      <c r="B10" s="21" t="s">
        <v>193</v>
      </c>
      <c r="C10" s="19" t="s">
        <v>349</v>
      </c>
      <c r="D10" s="20">
        <v>90</v>
      </c>
      <c r="E10" s="20" t="s">
        <v>4</v>
      </c>
      <c r="F10" s="21" t="s">
        <v>5</v>
      </c>
      <c r="G10" s="21" t="s">
        <v>223</v>
      </c>
      <c r="H10" s="21" t="s">
        <v>42</v>
      </c>
      <c r="I10" s="21" t="s">
        <v>372</v>
      </c>
      <c r="J10" s="21" t="s">
        <v>360</v>
      </c>
      <c r="K10" s="20">
        <v>3</v>
      </c>
      <c r="L10">
        <v>7</v>
      </c>
      <c r="M10" s="22">
        <v>2000</v>
      </c>
      <c r="N10" s="22">
        <f>M10*K10</f>
        <v>6000</v>
      </c>
      <c r="O10" s="23">
        <v>240</v>
      </c>
    </row>
    <row r="11" spans="1:15" x14ac:dyDescent="0.25">
      <c r="A11" s="14" t="s">
        <v>71</v>
      </c>
      <c r="B11" s="21" t="s">
        <v>193</v>
      </c>
      <c r="C11" s="19" t="s">
        <v>258</v>
      </c>
      <c r="D11" s="20">
        <v>60</v>
      </c>
      <c r="E11" s="20" t="s">
        <v>4</v>
      </c>
      <c r="F11" s="21" t="s">
        <v>5</v>
      </c>
      <c r="G11" s="21" t="s">
        <v>223</v>
      </c>
      <c r="H11" s="21" t="s">
        <v>42</v>
      </c>
      <c r="I11" s="21" t="s">
        <v>372</v>
      </c>
      <c r="J11" s="21" t="s">
        <v>361</v>
      </c>
      <c r="K11" s="20">
        <v>1</v>
      </c>
      <c r="L11">
        <v>5</v>
      </c>
      <c r="M11" s="22">
        <v>500</v>
      </c>
      <c r="N11" s="22">
        <f>M11*K11</f>
        <v>500</v>
      </c>
      <c r="O11" s="23">
        <v>60</v>
      </c>
    </row>
    <row r="12" spans="1:15" x14ac:dyDescent="0.25">
      <c r="A12" s="14" t="s">
        <v>71</v>
      </c>
      <c r="B12" s="21" t="s">
        <v>193</v>
      </c>
      <c r="C12" s="19" t="s">
        <v>282</v>
      </c>
      <c r="D12" s="20">
        <v>70</v>
      </c>
      <c r="E12" s="20" t="s">
        <v>4</v>
      </c>
      <c r="F12" s="21" t="s">
        <v>5</v>
      </c>
      <c r="G12" s="21" t="s">
        <v>223</v>
      </c>
      <c r="H12" s="21" t="s">
        <v>42</v>
      </c>
      <c r="I12" s="21" t="s">
        <v>372</v>
      </c>
      <c r="J12" s="21" t="s">
        <v>362</v>
      </c>
      <c r="K12" s="20">
        <v>1</v>
      </c>
      <c r="L12">
        <v>6</v>
      </c>
      <c r="M12" s="22">
        <v>1000</v>
      </c>
      <c r="N12" s="22">
        <f>M12*K12</f>
        <v>1000</v>
      </c>
      <c r="O12" s="23">
        <v>90</v>
      </c>
    </row>
    <row r="13" spans="1:15" x14ac:dyDescent="0.25">
      <c r="A13" s="14" t="s">
        <v>71</v>
      </c>
      <c r="B13" s="21" t="s">
        <v>193</v>
      </c>
      <c r="C13" s="19" t="s">
        <v>246</v>
      </c>
      <c r="D13" s="20">
        <v>35</v>
      </c>
      <c r="E13" s="20" t="s">
        <v>4</v>
      </c>
      <c r="F13" s="21" t="s">
        <v>5</v>
      </c>
      <c r="G13" s="21" t="s">
        <v>6</v>
      </c>
      <c r="H13" s="21" t="s">
        <v>6</v>
      </c>
      <c r="I13" s="21" t="s">
        <v>220</v>
      </c>
      <c r="J13" s="21" t="s">
        <v>363</v>
      </c>
      <c r="K13" s="20">
        <v>1</v>
      </c>
      <c r="L13">
        <v>2</v>
      </c>
      <c r="M13" s="22">
        <v>5</v>
      </c>
      <c r="N13" s="22">
        <f>M13*K13</f>
        <v>5</v>
      </c>
      <c r="O13" s="23">
        <v>18</v>
      </c>
    </row>
    <row r="14" spans="1:15" x14ac:dyDescent="0.25">
      <c r="A14" s="14" t="s">
        <v>71</v>
      </c>
      <c r="B14" s="21" t="s">
        <v>193</v>
      </c>
      <c r="C14" s="19" t="s">
        <v>295</v>
      </c>
      <c r="D14" s="20">
        <v>45</v>
      </c>
      <c r="E14" s="20" t="s">
        <v>4</v>
      </c>
      <c r="F14" s="21" t="s">
        <v>5</v>
      </c>
      <c r="G14" s="21" t="s">
        <v>6</v>
      </c>
      <c r="H14" s="21" t="s">
        <v>6</v>
      </c>
      <c r="I14" s="21" t="s">
        <v>222</v>
      </c>
      <c r="J14" s="21" t="s">
        <v>364</v>
      </c>
      <c r="K14" s="20">
        <v>1</v>
      </c>
      <c r="L14">
        <v>3</v>
      </c>
      <c r="M14" s="22">
        <v>20</v>
      </c>
      <c r="N14" s="22">
        <f>M14*K14</f>
        <v>20</v>
      </c>
      <c r="O14" s="23">
        <v>27</v>
      </c>
    </row>
    <row r="15" spans="1:15" x14ac:dyDescent="0.25">
      <c r="A15" s="14" t="s">
        <v>71</v>
      </c>
      <c r="B15" s="21" t="s">
        <v>193</v>
      </c>
      <c r="C15" s="19" t="s">
        <v>325</v>
      </c>
      <c r="D15" s="20">
        <v>55</v>
      </c>
      <c r="E15" s="20" t="s">
        <v>4</v>
      </c>
      <c r="F15" s="21" t="s">
        <v>5</v>
      </c>
      <c r="G15" s="21" t="s">
        <v>6</v>
      </c>
      <c r="H15" s="21" t="s">
        <v>6</v>
      </c>
      <c r="I15" s="21" t="s">
        <v>221</v>
      </c>
      <c r="J15" s="21" t="s">
        <v>365</v>
      </c>
      <c r="K15" s="20">
        <v>1</v>
      </c>
      <c r="L15">
        <v>4</v>
      </c>
      <c r="M15" s="22">
        <v>50</v>
      </c>
      <c r="N15" s="22">
        <f>M15*K15</f>
        <v>50</v>
      </c>
      <c r="O15" s="23">
        <v>45</v>
      </c>
    </row>
    <row r="16" spans="1:15" x14ac:dyDescent="0.25">
      <c r="A16" s="14" t="s">
        <v>71</v>
      </c>
      <c r="B16" s="21" t="s">
        <v>193</v>
      </c>
      <c r="C16" s="19" t="s">
        <v>22</v>
      </c>
      <c r="D16" s="20">
        <v>45</v>
      </c>
      <c r="E16" s="20" t="s">
        <v>4</v>
      </c>
      <c r="F16" s="21" t="s">
        <v>5</v>
      </c>
      <c r="G16" s="21" t="s">
        <v>224</v>
      </c>
      <c r="H16" s="21" t="s">
        <v>225</v>
      </c>
      <c r="I16" s="21" t="s">
        <v>17</v>
      </c>
      <c r="J16" s="21" t="s">
        <v>367</v>
      </c>
      <c r="K16" s="20">
        <v>2</v>
      </c>
      <c r="L16">
        <v>3</v>
      </c>
      <c r="M16" s="22">
        <v>100</v>
      </c>
      <c r="N16" s="22">
        <f>M16*K16</f>
        <v>200</v>
      </c>
      <c r="O16" s="23">
        <v>18</v>
      </c>
    </row>
    <row r="17" spans="1:15" x14ac:dyDescent="0.25">
      <c r="A17" s="14" t="s">
        <v>71</v>
      </c>
      <c r="B17" s="21" t="s">
        <v>193</v>
      </c>
      <c r="C17" s="19" t="s">
        <v>23</v>
      </c>
      <c r="D17" s="20">
        <v>55</v>
      </c>
      <c r="E17" s="20" t="s">
        <v>4</v>
      </c>
      <c r="F17" s="21" t="s">
        <v>5</v>
      </c>
      <c r="G17" s="21" t="s">
        <v>224</v>
      </c>
      <c r="H17" s="21" t="s">
        <v>225</v>
      </c>
      <c r="I17" s="21" t="s">
        <v>17</v>
      </c>
      <c r="J17" s="21" t="s">
        <v>368</v>
      </c>
      <c r="K17" s="20">
        <v>2</v>
      </c>
      <c r="L17">
        <v>4</v>
      </c>
      <c r="M17" s="22">
        <v>350</v>
      </c>
      <c r="N17" s="22">
        <f>M17*K17</f>
        <v>700</v>
      </c>
      <c r="O17" s="23">
        <v>30</v>
      </c>
    </row>
    <row r="18" spans="1:15" x14ac:dyDescent="0.25">
      <c r="A18" s="14" t="s">
        <v>71</v>
      </c>
      <c r="B18" s="21" t="s">
        <v>193</v>
      </c>
      <c r="C18" s="19" t="s">
        <v>28</v>
      </c>
      <c r="D18" s="20">
        <v>45</v>
      </c>
      <c r="E18" s="20" t="s">
        <v>4</v>
      </c>
      <c r="F18" s="21" t="s">
        <v>5</v>
      </c>
      <c r="G18" s="21" t="s">
        <v>6</v>
      </c>
      <c r="H18" s="21" t="s">
        <v>6</v>
      </c>
      <c r="I18" s="21" t="s">
        <v>36</v>
      </c>
      <c r="J18" s="21" t="s">
        <v>398</v>
      </c>
      <c r="K18" s="20">
        <v>1</v>
      </c>
      <c r="L18">
        <v>4</v>
      </c>
      <c r="M18" s="22">
        <v>100</v>
      </c>
      <c r="N18" s="22">
        <f>M18*K18</f>
        <v>100</v>
      </c>
      <c r="O18" s="23">
        <v>36</v>
      </c>
    </row>
    <row r="19" spans="1:15" x14ac:dyDescent="0.25">
      <c r="A19" s="14" t="s">
        <v>72</v>
      </c>
      <c r="B19" s="21" t="s">
        <v>193</v>
      </c>
      <c r="C19" s="19" t="s">
        <v>263</v>
      </c>
      <c r="D19" s="20">
        <v>5</v>
      </c>
      <c r="E19" s="20" t="s">
        <v>4</v>
      </c>
      <c r="F19" s="21" t="s">
        <v>43</v>
      </c>
      <c r="G19" s="21" t="s">
        <v>6</v>
      </c>
      <c r="H19" s="21" t="s">
        <v>6</v>
      </c>
      <c r="I19" s="21" t="s">
        <v>372</v>
      </c>
      <c r="J19" s="21" t="s">
        <v>369</v>
      </c>
      <c r="K19" s="20">
        <v>3</v>
      </c>
      <c r="L19">
        <v>4</v>
      </c>
      <c r="M19" s="22">
        <v>50</v>
      </c>
      <c r="N19" s="22">
        <f>M19*K19</f>
        <v>150</v>
      </c>
      <c r="O19" s="23">
        <v>24</v>
      </c>
    </row>
    <row r="20" spans="1:15" x14ac:dyDescent="0.25">
      <c r="A20" s="14" t="s">
        <v>72</v>
      </c>
      <c r="B20" s="21" t="s">
        <v>193</v>
      </c>
      <c r="C20" s="19" t="s">
        <v>293</v>
      </c>
      <c r="D20" s="20">
        <v>15</v>
      </c>
      <c r="E20" s="20" t="s">
        <v>4</v>
      </c>
      <c r="F20" s="21" t="s">
        <v>43</v>
      </c>
      <c r="G20" s="21" t="s">
        <v>6</v>
      </c>
      <c r="H20" s="21" t="s">
        <v>6</v>
      </c>
      <c r="I20" s="21" t="s">
        <v>372</v>
      </c>
      <c r="J20" s="21" t="s">
        <v>370</v>
      </c>
      <c r="K20" s="20">
        <v>4</v>
      </c>
      <c r="L20">
        <v>5</v>
      </c>
      <c r="M20" s="22">
        <v>150</v>
      </c>
      <c r="N20" s="22">
        <f>M20*K20</f>
        <v>600</v>
      </c>
      <c r="O20" s="23">
        <v>36</v>
      </c>
    </row>
    <row r="21" spans="1:15" x14ac:dyDescent="0.25">
      <c r="A21" s="14" t="s">
        <v>72</v>
      </c>
      <c r="B21" s="21" t="s">
        <v>193</v>
      </c>
      <c r="C21" s="19" t="s">
        <v>336</v>
      </c>
      <c r="D21" s="20">
        <v>30</v>
      </c>
      <c r="E21" s="20" t="s">
        <v>4</v>
      </c>
      <c r="F21" s="21" t="s">
        <v>43</v>
      </c>
      <c r="G21" s="21" t="s">
        <v>6</v>
      </c>
      <c r="H21" s="21" t="s">
        <v>6</v>
      </c>
      <c r="I21" s="21" t="s">
        <v>372</v>
      </c>
      <c r="J21" s="21" t="s">
        <v>371</v>
      </c>
      <c r="K21" s="20">
        <v>5</v>
      </c>
      <c r="L21">
        <v>6</v>
      </c>
      <c r="M21" s="22">
        <v>500</v>
      </c>
      <c r="N21" s="22">
        <f>M21*K21</f>
        <v>2500</v>
      </c>
      <c r="O21" s="23">
        <v>60</v>
      </c>
    </row>
    <row r="22" spans="1:15" x14ac:dyDescent="0.25">
      <c r="A22" s="14" t="s">
        <v>71</v>
      </c>
      <c r="B22" s="21" t="s">
        <v>193</v>
      </c>
      <c r="C22" s="19" t="s">
        <v>280</v>
      </c>
      <c r="D22" s="20">
        <v>45</v>
      </c>
      <c r="E22" s="20" t="s">
        <v>4</v>
      </c>
      <c r="F22" s="21" t="s">
        <v>5</v>
      </c>
      <c r="G22" s="21" t="s">
        <v>6</v>
      </c>
      <c r="H22" s="21" t="s">
        <v>6</v>
      </c>
      <c r="I22" s="21" t="s">
        <v>17</v>
      </c>
      <c r="J22" s="21" t="s">
        <v>373</v>
      </c>
      <c r="K22" s="20">
        <v>2</v>
      </c>
      <c r="L22">
        <v>3</v>
      </c>
      <c r="M22" s="22">
        <v>50</v>
      </c>
      <c r="N22" s="22">
        <f>M22*K22</f>
        <v>100</v>
      </c>
      <c r="O22" s="23">
        <v>30</v>
      </c>
    </row>
    <row r="23" spans="1:15" x14ac:dyDescent="0.25">
      <c r="A23" s="14" t="s">
        <v>71</v>
      </c>
      <c r="B23" s="21" t="s">
        <v>193</v>
      </c>
      <c r="C23" s="19" t="s">
        <v>306</v>
      </c>
      <c r="D23" s="20">
        <v>55</v>
      </c>
      <c r="E23" s="20" t="s">
        <v>4</v>
      </c>
      <c r="F23" s="21" t="s">
        <v>5</v>
      </c>
      <c r="G23" s="21" t="s">
        <v>6</v>
      </c>
      <c r="H23" s="21" t="s">
        <v>6</v>
      </c>
      <c r="I23" s="21" t="s">
        <v>17</v>
      </c>
      <c r="J23" s="21" t="s">
        <v>374</v>
      </c>
      <c r="K23" s="20">
        <v>2</v>
      </c>
      <c r="L23">
        <v>4</v>
      </c>
      <c r="M23" s="22">
        <v>125</v>
      </c>
      <c r="N23" s="22">
        <f>M23*K23</f>
        <v>250</v>
      </c>
      <c r="O23" s="23">
        <v>45</v>
      </c>
    </row>
    <row r="24" spans="1:15" x14ac:dyDescent="0.25">
      <c r="A24" s="14" t="s">
        <v>71</v>
      </c>
      <c r="B24" s="21" t="s">
        <v>193</v>
      </c>
      <c r="C24" s="19" t="s">
        <v>332</v>
      </c>
      <c r="D24" s="20">
        <v>65</v>
      </c>
      <c r="E24" s="20" t="s">
        <v>4</v>
      </c>
      <c r="F24" s="21" t="s">
        <v>5</v>
      </c>
      <c r="G24" s="21" t="s">
        <v>6</v>
      </c>
      <c r="H24" s="21" t="s">
        <v>6</v>
      </c>
      <c r="I24" s="21" t="s">
        <v>17</v>
      </c>
      <c r="J24" s="21" t="s">
        <v>375</v>
      </c>
      <c r="K24" s="20">
        <v>2</v>
      </c>
      <c r="L24">
        <v>5</v>
      </c>
      <c r="M24" s="22">
        <v>300</v>
      </c>
      <c r="N24" s="22">
        <f>M24*K24</f>
        <v>600</v>
      </c>
      <c r="O24" s="23">
        <v>75</v>
      </c>
    </row>
    <row r="25" spans="1:15" x14ac:dyDescent="0.25">
      <c r="A25" s="14" t="s">
        <v>72</v>
      </c>
      <c r="B25" s="21" t="s">
        <v>194</v>
      </c>
      <c r="C25" s="28" t="s">
        <v>304</v>
      </c>
      <c r="D25" s="20">
        <v>15</v>
      </c>
      <c r="E25" s="20" t="s">
        <v>4</v>
      </c>
      <c r="F25" s="21" t="s">
        <v>54</v>
      </c>
      <c r="G25" s="21" t="s">
        <v>6</v>
      </c>
      <c r="H25" s="21" t="s">
        <v>6</v>
      </c>
      <c r="I25" s="21" t="s">
        <v>220</v>
      </c>
      <c r="J25" s="21" t="s">
        <v>376</v>
      </c>
      <c r="K25" s="20">
        <v>4</v>
      </c>
      <c r="L25">
        <v>5</v>
      </c>
      <c r="M25" s="22">
        <v>50</v>
      </c>
      <c r="N25" s="22">
        <f>M25*K25</f>
        <v>200</v>
      </c>
      <c r="O25" s="23">
        <v>30</v>
      </c>
    </row>
    <row r="26" spans="1:15" x14ac:dyDescent="0.25">
      <c r="A26" s="14" t="s">
        <v>72</v>
      </c>
      <c r="B26" s="21" t="s">
        <v>194</v>
      </c>
      <c r="C26" s="19" t="s">
        <v>347</v>
      </c>
      <c r="D26" s="20">
        <v>30</v>
      </c>
      <c r="E26" s="20" t="s">
        <v>4</v>
      </c>
      <c r="F26" s="21" t="s">
        <v>54</v>
      </c>
      <c r="G26" s="21" t="s">
        <v>6</v>
      </c>
      <c r="H26" s="21" t="s">
        <v>6</v>
      </c>
      <c r="I26" s="21" t="s">
        <v>220</v>
      </c>
      <c r="J26" s="21" t="s">
        <v>377</v>
      </c>
      <c r="K26" s="20">
        <v>5</v>
      </c>
      <c r="L26">
        <v>6</v>
      </c>
      <c r="M26" s="22">
        <v>150</v>
      </c>
      <c r="N26" s="22">
        <f>M26*K26</f>
        <v>750</v>
      </c>
      <c r="O26" s="23">
        <v>48</v>
      </c>
    </row>
    <row r="27" spans="1:15" x14ac:dyDescent="0.25">
      <c r="A27" s="14" t="s">
        <v>72</v>
      </c>
      <c r="B27" s="21" t="s">
        <v>194</v>
      </c>
      <c r="C27" s="19" t="s">
        <v>275</v>
      </c>
      <c r="D27" s="20">
        <v>5</v>
      </c>
      <c r="E27" s="20" t="s">
        <v>4</v>
      </c>
      <c r="F27" s="21" t="s">
        <v>54</v>
      </c>
      <c r="G27" s="21" t="s">
        <v>6</v>
      </c>
      <c r="H27" s="21" t="s">
        <v>6</v>
      </c>
      <c r="I27" s="21" t="s">
        <v>220</v>
      </c>
      <c r="J27" s="21" t="s">
        <v>378</v>
      </c>
      <c r="K27" s="20">
        <v>3</v>
      </c>
      <c r="L27">
        <v>4</v>
      </c>
      <c r="M27" s="22">
        <v>25</v>
      </c>
      <c r="N27" s="22">
        <f>M27*K27</f>
        <v>75</v>
      </c>
      <c r="O27" s="23">
        <v>18</v>
      </c>
    </row>
    <row r="28" spans="1:15" x14ac:dyDescent="0.25">
      <c r="A28" s="14" t="s">
        <v>72</v>
      </c>
      <c r="B28" s="21" t="s">
        <v>194</v>
      </c>
      <c r="C28" s="19" t="s">
        <v>272</v>
      </c>
      <c r="D28" s="20">
        <v>5</v>
      </c>
      <c r="E28" s="20" t="s">
        <v>4</v>
      </c>
      <c r="F28" s="21" t="s">
        <v>54</v>
      </c>
      <c r="G28" s="21" t="s">
        <v>227</v>
      </c>
      <c r="H28" s="21" t="s">
        <v>229</v>
      </c>
      <c r="I28" s="21" t="s">
        <v>17</v>
      </c>
      <c r="J28" s="21" t="s">
        <v>62</v>
      </c>
      <c r="K28" s="20">
        <v>2</v>
      </c>
      <c r="L28">
        <v>2</v>
      </c>
      <c r="M28" s="22">
        <v>1</v>
      </c>
      <c r="N28" s="22">
        <f>M28*K28</f>
        <v>2</v>
      </c>
      <c r="O28" s="23">
        <v>12</v>
      </c>
    </row>
    <row r="29" spans="1:15" x14ac:dyDescent="0.25">
      <c r="A29" s="14" t="s">
        <v>72</v>
      </c>
      <c r="B29" s="21" t="s">
        <v>194</v>
      </c>
      <c r="C29" s="19" t="s">
        <v>302</v>
      </c>
      <c r="D29" s="20">
        <v>15</v>
      </c>
      <c r="E29" s="20" t="s">
        <v>4</v>
      </c>
      <c r="F29" s="21" t="s">
        <v>54</v>
      </c>
      <c r="G29" s="21" t="s">
        <v>227</v>
      </c>
      <c r="H29" s="21" t="s">
        <v>229</v>
      </c>
      <c r="I29" s="21" t="s">
        <v>17</v>
      </c>
      <c r="J29" s="21" t="s">
        <v>62</v>
      </c>
      <c r="K29" s="20">
        <v>3</v>
      </c>
      <c r="L29">
        <v>3</v>
      </c>
      <c r="M29" s="22">
        <v>2</v>
      </c>
      <c r="N29" s="22">
        <f>M29*K29</f>
        <v>6</v>
      </c>
      <c r="O29" s="23">
        <v>18</v>
      </c>
    </row>
    <row r="30" spans="1:15" x14ac:dyDescent="0.25">
      <c r="A30" s="14" t="s">
        <v>72</v>
      </c>
      <c r="B30" s="21" t="s">
        <v>194</v>
      </c>
      <c r="C30" s="19" t="s">
        <v>345</v>
      </c>
      <c r="D30" s="20">
        <v>30</v>
      </c>
      <c r="E30" s="20" t="s">
        <v>4</v>
      </c>
      <c r="F30" s="21" t="s">
        <v>54</v>
      </c>
      <c r="G30" s="21" t="s">
        <v>227</v>
      </c>
      <c r="H30" s="21" t="s">
        <v>229</v>
      </c>
      <c r="I30" s="21" t="s">
        <v>17</v>
      </c>
      <c r="J30" s="21" t="s">
        <v>62</v>
      </c>
      <c r="K30" s="20">
        <v>4</v>
      </c>
      <c r="L30">
        <v>4</v>
      </c>
      <c r="M30" s="22">
        <v>4</v>
      </c>
      <c r="N30" s="22">
        <f>M30*K30</f>
        <v>16</v>
      </c>
      <c r="O30" s="23">
        <v>30</v>
      </c>
    </row>
    <row r="31" spans="1:15" x14ac:dyDescent="0.25">
      <c r="A31" s="14" t="s">
        <v>72</v>
      </c>
      <c r="B31" s="21" t="s">
        <v>194</v>
      </c>
      <c r="C31" s="19" t="s">
        <v>301</v>
      </c>
      <c r="D31" s="20">
        <v>15</v>
      </c>
      <c r="E31" s="20" t="s">
        <v>30</v>
      </c>
      <c r="F31" s="21" t="s">
        <v>31</v>
      </c>
      <c r="G31" s="21" t="s">
        <v>227</v>
      </c>
      <c r="H31" s="21" t="s">
        <v>227</v>
      </c>
      <c r="I31" s="21" t="s">
        <v>372</v>
      </c>
      <c r="J31" s="21" t="s">
        <v>46</v>
      </c>
      <c r="K31" s="20">
        <v>5</v>
      </c>
      <c r="L31">
        <v>3</v>
      </c>
      <c r="M31" s="22">
        <v>10</v>
      </c>
      <c r="N31" s="22">
        <f>M31*K31</f>
        <v>50</v>
      </c>
      <c r="O31" s="23">
        <v>18</v>
      </c>
    </row>
    <row r="32" spans="1:15" x14ac:dyDescent="0.25">
      <c r="A32" s="14" t="s">
        <v>72</v>
      </c>
      <c r="B32" s="21" t="s">
        <v>194</v>
      </c>
      <c r="C32" s="19" t="s">
        <v>334</v>
      </c>
      <c r="D32" s="20">
        <v>30</v>
      </c>
      <c r="E32" s="20" t="s">
        <v>4</v>
      </c>
      <c r="F32" s="21" t="s">
        <v>43</v>
      </c>
      <c r="G32" s="21" t="s">
        <v>227</v>
      </c>
      <c r="H32" s="21" t="s">
        <v>227</v>
      </c>
      <c r="I32" s="21" t="s">
        <v>372</v>
      </c>
      <c r="J32" s="21" t="s">
        <v>46</v>
      </c>
      <c r="K32" s="20">
        <v>2</v>
      </c>
      <c r="L32">
        <v>3</v>
      </c>
      <c r="M32" s="22">
        <v>1</v>
      </c>
      <c r="N32" s="22">
        <f>M32*K32</f>
        <v>2</v>
      </c>
      <c r="O32" s="23">
        <v>15</v>
      </c>
    </row>
    <row r="33" spans="1:15" x14ac:dyDescent="0.25">
      <c r="A33" s="14" t="s">
        <v>72</v>
      </c>
      <c r="B33" s="21" t="s">
        <v>194</v>
      </c>
      <c r="C33" s="19" t="s">
        <v>344</v>
      </c>
      <c r="D33" s="20">
        <v>30</v>
      </c>
      <c r="E33" s="20" t="s">
        <v>30</v>
      </c>
      <c r="F33" s="21" t="s">
        <v>31</v>
      </c>
      <c r="G33" s="21" t="s">
        <v>227</v>
      </c>
      <c r="H33" s="21" t="s">
        <v>227</v>
      </c>
      <c r="I33" s="21" t="s">
        <v>372</v>
      </c>
      <c r="J33" s="21" t="s">
        <v>47</v>
      </c>
      <c r="K33" s="20">
        <v>6</v>
      </c>
      <c r="L33">
        <v>4</v>
      </c>
      <c r="M33" s="22">
        <v>20</v>
      </c>
      <c r="N33" s="22">
        <f>M33*K33</f>
        <v>120</v>
      </c>
      <c r="O33" s="23">
        <v>30</v>
      </c>
    </row>
    <row r="34" spans="1:15" x14ac:dyDescent="0.25">
      <c r="A34" s="14" t="s">
        <v>72</v>
      </c>
      <c r="B34" s="21" t="s">
        <v>194</v>
      </c>
      <c r="C34" s="19" t="s">
        <v>350</v>
      </c>
      <c r="D34" s="20">
        <v>40</v>
      </c>
      <c r="E34" s="20" t="s">
        <v>4</v>
      </c>
      <c r="F34" s="21" t="s">
        <v>43</v>
      </c>
      <c r="G34" s="21" t="s">
        <v>227</v>
      </c>
      <c r="H34" s="21" t="s">
        <v>227</v>
      </c>
      <c r="I34" s="21" t="s">
        <v>372</v>
      </c>
      <c r="J34" s="21" t="s">
        <v>47</v>
      </c>
      <c r="K34" s="20">
        <v>3</v>
      </c>
      <c r="L34">
        <v>5</v>
      </c>
      <c r="M34" s="22">
        <v>5</v>
      </c>
      <c r="N34" s="22">
        <f>M34*K34</f>
        <v>15</v>
      </c>
      <c r="O34" s="23">
        <v>24</v>
      </c>
    </row>
    <row r="35" spans="1:15" x14ac:dyDescent="0.25">
      <c r="A35" s="14" t="s">
        <v>72</v>
      </c>
      <c r="B35" s="21" t="s">
        <v>194</v>
      </c>
      <c r="C35" s="19" t="s">
        <v>351</v>
      </c>
      <c r="D35" s="20">
        <v>40</v>
      </c>
      <c r="E35" s="20" t="s">
        <v>30</v>
      </c>
      <c r="F35" s="21" t="s">
        <v>31</v>
      </c>
      <c r="G35" s="21" t="s">
        <v>227</v>
      </c>
      <c r="H35" s="21" t="s">
        <v>227</v>
      </c>
      <c r="I35" s="21" t="s">
        <v>372</v>
      </c>
      <c r="J35" s="21" t="s">
        <v>53</v>
      </c>
      <c r="K35" s="20">
        <v>7</v>
      </c>
      <c r="L35">
        <v>5</v>
      </c>
      <c r="M35" s="22">
        <v>30</v>
      </c>
      <c r="N35" s="22">
        <f>M35*K35</f>
        <v>210</v>
      </c>
      <c r="O35" s="23">
        <v>48</v>
      </c>
    </row>
    <row r="36" spans="1:15" x14ac:dyDescent="0.25">
      <c r="A36" s="14" t="s">
        <v>72</v>
      </c>
      <c r="B36" s="21" t="s">
        <v>194</v>
      </c>
      <c r="C36" s="19" t="s">
        <v>261</v>
      </c>
      <c r="D36" s="20">
        <v>5</v>
      </c>
      <c r="E36" s="20" t="s">
        <v>4</v>
      </c>
      <c r="F36" s="21" t="s">
        <v>43</v>
      </c>
      <c r="G36" s="21" t="s">
        <v>227</v>
      </c>
      <c r="H36" s="21" t="s">
        <v>227</v>
      </c>
      <c r="I36" s="21" t="s">
        <v>372</v>
      </c>
      <c r="J36" s="21" t="s">
        <v>44</v>
      </c>
      <c r="K36" s="20">
        <v>1</v>
      </c>
      <c r="L36">
        <v>1</v>
      </c>
      <c r="M36" s="22">
        <v>0.25</v>
      </c>
      <c r="N36" s="22">
        <f>M36*K36</f>
        <v>0.25</v>
      </c>
      <c r="O36" s="23">
        <v>6</v>
      </c>
    </row>
    <row r="37" spans="1:15" x14ac:dyDescent="0.25">
      <c r="A37" s="14" t="s">
        <v>72</v>
      </c>
      <c r="B37" s="21" t="s">
        <v>194</v>
      </c>
      <c r="C37" s="19" t="s">
        <v>271</v>
      </c>
      <c r="D37" s="20">
        <v>5</v>
      </c>
      <c r="E37" s="20" t="s">
        <v>30</v>
      </c>
      <c r="F37" s="21" t="s">
        <v>31</v>
      </c>
      <c r="G37" s="21" t="s">
        <v>227</v>
      </c>
      <c r="H37" s="21" t="s">
        <v>227</v>
      </c>
      <c r="I37" s="21" t="s">
        <v>372</v>
      </c>
      <c r="J37" s="21" t="s">
        <v>45</v>
      </c>
      <c r="K37" s="20">
        <v>4</v>
      </c>
      <c r="L37">
        <v>2</v>
      </c>
      <c r="M37" s="22">
        <v>5</v>
      </c>
      <c r="N37" s="22">
        <f>M37*K37</f>
        <v>20</v>
      </c>
      <c r="O37" s="23">
        <v>12</v>
      </c>
    </row>
    <row r="38" spans="1:15" x14ac:dyDescent="0.25">
      <c r="A38" s="14" t="s">
        <v>72</v>
      </c>
      <c r="B38" s="21" t="s">
        <v>194</v>
      </c>
      <c r="C38" s="19" t="s">
        <v>290</v>
      </c>
      <c r="D38" s="20">
        <v>15</v>
      </c>
      <c r="E38" s="20" t="s">
        <v>4</v>
      </c>
      <c r="F38" s="21" t="s">
        <v>43</v>
      </c>
      <c r="G38" s="21" t="s">
        <v>227</v>
      </c>
      <c r="H38" s="21" t="s">
        <v>227</v>
      </c>
      <c r="I38" s="21" t="s">
        <v>372</v>
      </c>
      <c r="J38" s="21" t="s">
        <v>45</v>
      </c>
      <c r="K38" s="20">
        <v>1</v>
      </c>
      <c r="L38">
        <v>2</v>
      </c>
      <c r="M38" s="22">
        <v>0.5</v>
      </c>
      <c r="N38" s="22">
        <f>M38*K38</f>
        <v>0.5</v>
      </c>
      <c r="O38" s="23">
        <v>9</v>
      </c>
    </row>
    <row r="39" spans="1:15" x14ac:dyDescent="0.25">
      <c r="A39" s="14" t="s">
        <v>72</v>
      </c>
      <c r="B39" s="21" t="s">
        <v>194</v>
      </c>
      <c r="C39" s="19" t="s">
        <v>264</v>
      </c>
      <c r="D39" s="20">
        <v>5</v>
      </c>
      <c r="E39" s="20" t="s">
        <v>30</v>
      </c>
      <c r="F39" s="21" t="s">
        <v>5</v>
      </c>
      <c r="G39" s="21" t="s">
        <v>48</v>
      </c>
      <c r="H39" s="21" t="s">
        <v>49</v>
      </c>
      <c r="I39" s="21" t="s">
        <v>15</v>
      </c>
      <c r="J39" s="21" t="s">
        <v>50</v>
      </c>
      <c r="K39" s="20">
        <v>4</v>
      </c>
      <c r="L39">
        <v>4</v>
      </c>
      <c r="M39" s="22">
        <v>20</v>
      </c>
      <c r="N39" s="22">
        <f>M39*K39</f>
        <v>80</v>
      </c>
      <c r="O39" s="23">
        <v>12</v>
      </c>
    </row>
    <row r="40" spans="1:15" x14ac:dyDescent="0.25">
      <c r="A40" s="14" t="s">
        <v>72</v>
      </c>
      <c r="B40" s="21" t="s">
        <v>194</v>
      </c>
      <c r="C40" s="19" t="s">
        <v>294</v>
      </c>
      <c r="D40" s="20">
        <v>15</v>
      </c>
      <c r="E40" s="20" t="s">
        <v>30</v>
      </c>
      <c r="F40" s="21" t="s">
        <v>5</v>
      </c>
      <c r="G40" s="21" t="s">
        <v>48</v>
      </c>
      <c r="H40" s="21" t="s">
        <v>49</v>
      </c>
      <c r="I40" s="21" t="s">
        <v>15</v>
      </c>
      <c r="J40" s="21" t="s">
        <v>51</v>
      </c>
      <c r="K40" s="20">
        <v>5</v>
      </c>
      <c r="L40">
        <v>5</v>
      </c>
      <c r="M40" s="22">
        <v>40</v>
      </c>
      <c r="N40" s="22">
        <f>M40*K40</f>
        <v>200</v>
      </c>
      <c r="O40" s="23">
        <v>18</v>
      </c>
    </row>
    <row r="41" spans="1:15" x14ac:dyDescent="0.25">
      <c r="A41" s="14" t="s">
        <v>72</v>
      </c>
      <c r="B41" s="21" t="s">
        <v>194</v>
      </c>
      <c r="C41" s="19" t="s">
        <v>337</v>
      </c>
      <c r="D41" s="20">
        <v>30</v>
      </c>
      <c r="E41" s="20" t="s">
        <v>30</v>
      </c>
      <c r="F41" s="21" t="s">
        <v>5</v>
      </c>
      <c r="G41" s="21" t="s">
        <v>48</v>
      </c>
      <c r="H41" s="21" t="s">
        <v>49</v>
      </c>
      <c r="I41" s="21" t="s">
        <v>15</v>
      </c>
      <c r="J41" s="21" t="s">
        <v>52</v>
      </c>
      <c r="K41" s="20">
        <v>6</v>
      </c>
      <c r="L41">
        <v>6</v>
      </c>
      <c r="M41" s="22">
        <v>60</v>
      </c>
      <c r="N41" s="22">
        <f>M41*K41</f>
        <v>360</v>
      </c>
      <c r="O41" s="23">
        <v>30</v>
      </c>
    </row>
    <row r="42" spans="1:15" x14ac:dyDescent="0.25">
      <c r="A42" s="14" t="s">
        <v>71</v>
      </c>
      <c r="B42" s="21" t="s">
        <v>194</v>
      </c>
      <c r="C42" s="19" t="s">
        <v>277</v>
      </c>
      <c r="D42" s="20">
        <v>65</v>
      </c>
      <c r="E42" s="20" t="s">
        <v>4</v>
      </c>
      <c r="F42" s="21" t="s">
        <v>5</v>
      </c>
      <c r="G42" s="21" t="s">
        <v>232</v>
      </c>
      <c r="H42" s="21" t="s">
        <v>236</v>
      </c>
      <c r="I42" s="21" t="s">
        <v>372</v>
      </c>
      <c r="J42" s="21" t="s">
        <v>20</v>
      </c>
      <c r="K42" s="20">
        <v>1</v>
      </c>
      <c r="L42">
        <v>1</v>
      </c>
      <c r="M42" s="22">
        <v>5</v>
      </c>
      <c r="N42" s="22">
        <f>M42*K42</f>
        <v>5</v>
      </c>
      <c r="O42" s="23">
        <v>6</v>
      </c>
    </row>
    <row r="43" spans="1:15" x14ac:dyDescent="0.25">
      <c r="A43" s="14" t="s">
        <v>71</v>
      </c>
      <c r="B43" s="21" t="s">
        <v>193</v>
      </c>
      <c r="C43" s="19" t="s">
        <v>310</v>
      </c>
      <c r="D43" s="20">
        <v>75</v>
      </c>
      <c r="E43" s="20" t="s">
        <v>4</v>
      </c>
      <c r="F43" s="21" t="s">
        <v>5</v>
      </c>
      <c r="G43" s="21" t="s">
        <v>6</v>
      </c>
      <c r="H43" s="21" t="s">
        <v>6</v>
      </c>
      <c r="I43" s="21" t="s">
        <v>372</v>
      </c>
      <c r="J43" s="21" t="s">
        <v>218</v>
      </c>
      <c r="K43" s="20">
        <v>1</v>
      </c>
      <c r="L43">
        <v>3</v>
      </c>
      <c r="M43" s="22">
        <v>25</v>
      </c>
      <c r="N43" s="22">
        <f>M43*K43</f>
        <v>25</v>
      </c>
      <c r="O43" s="23">
        <v>24</v>
      </c>
    </row>
    <row r="44" spans="1:15" x14ac:dyDescent="0.25">
      <c r="A44" s="14" t="s">
        <v>71</v>
      </c>
      <c r="B44" s="21" t="s">
        <v>193</v>
      </c>
      <c r="C44" s="19" t="s">
        <v>348</v>
      </c>
      <c r="D44" s="20">
        <v>85</v>
      </c>
      <c r="E44" s="20" t="s">
        <v>4</v>
      </c>
      <c r="F44" s="21" t="s">
        <v>5</v>
      </c>
      <c r="G44" s="21" t="s">
        <v>6</v>
      </c>
      <c r="H44" s="21" t="s">
        <v>6</v>
      </c>
      <c r="I44" s="21" t="s">
        <v>372</v>
      </c>
      <c r="J44" s="21" t="s">
        <v>201</v>
      </c>
      <c r="K44" s="20">
        <v>1</v>
      </c>
      <c r="L44">
        <v>4</v>
      </c>
      <c r="M44" s="22">
        <v>250</v>
      </c>
      <c r="N44" s="22">
        <f>M44*K44</f>
        <v>250</v>
      </c>
      <c r="O44" s="23">
        <v>48</v>
      </c>
    </row>
    <row r="45" spans="1:15" x14ac:dyDescent="0.25">
      <c r="A45" s="14" t="s">
        <v>72</v>
      </c>
      <c r="B45" s="21" t="s">
        <v>194</v>
      </c>
      <c r="C45" s="19" t="s">
        <v>269</v>
      </c>
      <c r="D45" s="20">
        <v>5</v>
      </c>
      <c r="E45" s="20" t="s">
        <v>4</v>
      </c>
      <c r="F45" s="21" t="s">
        <v>54</v>
      </c>
      <c r="G45" s="21" t="s">
        <v>227</v>
      </c>
      <c r="H45" s="21" t="s">
        <v>229</v>
      </c>
      <c r="I45" s="21" t="s">
        <v>17</v>
      </c>
      <c r="J45" s="21" t="s">
        <v>63</v>
      </c>
      <c r="K45" s="20">
        <v>2</v>
      </c>
      <c r="L45">
        <v>2</v>
      </c>
      <c r="M45" s="22">
        <v>1</v>
      </c>
      <c r="N45" s="22">
        <f>M45*K45</f>
        <v>2</v>
      </c>
      <c r="O45" s="23">
        <v>12</v>
      </c>
    </row>
    <row r="46" spans="1:15" x14ac:dyDescent="0.25">
      <c r="A46" s="14" t="s">
        <v>72</v>
      </c>
      <c r="B46" s="21" t="s">
        <v>194</v>
      </c>
      <c r="C46" s="19" t="s">
        <v>300</v>
      </c>
      <c r="D46" s="20">
        <v>15</v>
      </c>
      <c r="E46" s="20" t="s">
        <v>4</v>
      </c>
      <c r="F46" s="21" t="s">
        <v>54</v>
      </c>
      <c r="G46" s="21" t="s">
        <v>227</v>
      </c>
      <c r="H46" s="21" t="s">
        <v>229</v>
      </c>
      <c r="I46" s="21" t="s">
        <v>17</v>
      </c>
      <c r="J46" s="21" t="s">
        <v>63</v>
      </c>
      <c r="K46" s="20">
        <v>3</v>
      </c>
      <c r="L46">
        <v>3</v>
      </c>
      <c r="M46" s="22">
        <v>2</v>
      </c>
      <c r="N46" s="22">
        <f>M46*K46</f>
        <v>6</v>
      </c>
      <c r="O46" s="23">
        <v>18</v>
      </c>
    </row>
    <row r="47" spans="1:15" x14ac:dyDescent="0.25">
      <c r="A47" s="14" t="s">
        <v>72</v>
      </c>
      <c r="B47" s="21" t="s">
        <v>194</v>
      </c>
      <c r="C47" s="19" t="s">
        <v>342</v>
      </c>
      <c r="D47" s="20">
        <v>30</v>
      </c>
      <c r="E47" s="20" t="s">
        <v>4</v>
      </c>
      <c r="F47" s="21" t="s">
        <v>54</v>
      </c>
      <c r="G47" s="21" t="s">
        <v>227</v>
      </c>
      <c r="H47" s="21" t="s">
        <v>229</v>
      </c>
      <c r="I47" s="21" t="s">
        <v>17</v>
      </c>
      <c r="J47" s="21" t="s">
        <v>63</v>
      </c>
      <c r="K47" s="20">
        <v>4</v>
      </c>
      <c r="L47">
        <v>4</v>
      </c>
      <c r="M47" s="22">
        <v>4</v>
      </c>
      <c r="N47" s="22">
        <f>M47*K47</f>
        <v>16</v>
      </c>
      <c r="O47" s="23">
        <v>30</v>
      </c>
    </row>
    <row r="48" spans="1:15" x14ac:dyDescent="0.25">
      <c r="A48" s="14" t="s">
        <v>71</v>
      </c>
      <c r="B48" s="21" t="s">
        <v>194</v>
      </c>
      <c r="C48" s="19" t="s">
        <v>281</v>
      </c>
      <c r="D48" s="20">
        <v>30</v>
      </c>
      <c r="E48" s="20" t="s">
        <v>4</v>
      </c>
      <c r="F48" s="21" t="s">
        <v>5</v>
      </c>
      <c r="G48" s="21" t="s">
        <v>226</v>
      </c>
      <c r="H48" s="21" t="s">
        <v>7</v>
      </c>
      <c r="I48" s="21" t="s">
        <v>9</v>
      </c>
      <c r="J48" s="21" t="s">
        <v>8</v>
      </c>
      <c r="K48" s="20">
        <v>1</v>
      </c>
      <c r="L48">
        <v>1</v>
      </c>
      <c r="M48" s="22">
        <v>2.5</v>
      </c>
      <c r="N48" s="22">
        <f>M48*K48</f>
        <v>2.5</v>
      </c>
      <c r="O48" s="23">
        <v>6</v>
      </c>
    </row>
    <row r="49" spans="1:15" x14ac:dyDescent="0.25">
      <c r="A49" s="14" t="s">
        <v>71</v>
      </c>
      <c r="B49" s="21" t="s">
        <v>194</v>
      </c>
      <c r="C49" s="19" t="s">
        <v>307</v>
      </c>
      <c r="D49" s="20">
        <v>40</v>
      </c>
      <c r="E49" s="20" t="s">
        <v>4</v>
      </c>
      <c r="F49" s="21" t="s">
        <v>5</v>
      </c>
      <c r="G49" s="21" t="s">
        <v>226</v>
      </c>
      <c r="H49" s="21" t="s">
        <v>7</v>
      </c>
      <c r="I49" s="21" t="s">
        <v>9</v>
      </c>
      <c r="J49" s="21" t="s">
        <v>10</v>
      </c>
      <c r="K49" s="20">
        <v>1</v>
      </c>
      <c r="L49">
        <v>1</v>
      </c>
      <c r="M49" s="22">
        <v>10</v>
      </c>
      <c r="N49" s="22">
        <f>M49*K49</f>
        <v>10</v>
      </c>
      <c r="O49" s="23">
        <v>9</v>
      </c>
    </row>
    <row r="50" spans="1:15" x14ac:dyDescent="0.25">
      <c r="A50" s="14" t="s">
        <v>71</v>
      </c>
      <c r="B50" s="21" t="s">
        <v>194</v>
      </c>
      <c r="C50" s="19" t="s">
        <v>333</v>
      </c>
      <c r="D50" s="20">
        <v>50</v>
      </c>
      <c r="E50" s="20" t="s">
        <v>4</v>
      </c>
      <c r="F50" s="21" t="s">
        <v>5</v>
      </c>
      <c r="G50" s="21" t="s">
        <v>226</v>
      </c>
      <c r="H50" s="21" t="s">
        <v>7</v>
      </c>
      <c r="I50" s="21" t="s">
        <v>9</v>
      </c>
      <c r="J50" s="21" t="s">
        <v>11</v>
      </c>
      <c r="K50" s="20">
        <v>1</v>
      </c>
      <c r="L50">
        <v>1</v>
      </c>
      <c r="M50" s="22">
        <v>40</v>
      </c>
      <c r="N50" s="22">
        <f>M50*K50</f>
        <v>40</v>
      </c>
      <c r="O50" s="23">
        <v>15</v>
      </c>
    </row>
    <row r="51" spans="1:15" x14ac:dyDescent="0.25">
      <c r="A51" s="14" t="s">
        <v>72</v>
      </c>
      <c r="B51" s="21" t="s">
        <v>194</v>
      </c>
      <c r="C51" s="19" t="s">
        <v>262</v>
      </c>
      <c r="D51" s="20">
        <v>5</v>
      </c>
      <c r="E51" s="20" t="s">
        <v>4</v>
      </c>
      <c r="F51" s="21" t="s">
        <v>43</v>
      </c>
      <c r="G51" s="21" t="s">
        <v>227</v>
      </c>
      <c r="H51" s="21" t="s">
        <v>230</v>
      </c>
      <c r="I51" s="21" t="s">
        <v>17</v>
      </c>
      <c r="J51" s="21" t="s">
        <v>61</v>
      </c>
      <c r="K51" s="20">
        <v>2</v>
      </c>
      <c r="L51">
        <v>2</v>
      </c>
      <c r="M51" s="22">
        <v>0.5</v>
      </c>
      <c r="N51" s="22">
        <f>M51*K51</f>
        <v>1</v>
      </c>
      <c r="O51" s="23">
        <v>12</v>
      </c>
    </row>
    <row r="52" spans="1:15" x14ac:dyDescent="0.25">
      <c r="A52" s="14" t="s">
        <v>72</v>
      </c>
      <c r="B52" s="21" t="s">
        <v>194</v>
      </c>
      <c r="C52" s="19" t="s">
        <v>292</v>
      </c>
      <c r="D52" s="20">
        <v>15</v>
      </c>
      <c r="E52" s="20" t="s">
        <v>4</v>
      </c>
      <c r="F52" s="21" t="s">
        <v>43</v>
      </c>
      <c r="G52" s="21" t="s">
        <v>227</v>
      </c>
      <c r="H52" s="21" t="s">
        <v>230</v>
      </c>
      <c r="I52" s="21" t="s">
        <v>17</v>
      </c>
      <c r="J52" s="21" t="s">
        <v>61</v>
      </c>
      <c r="K52" s="20">
        <v>3</v>
      </c>
      <c r="L52">
        <v>3</v>
      </c>
      <c r="M52" s="22">
        <v>1</v>
      </c>
      <c r="N52" s="22">
        <f>M52*K52</f>
        <v>3</v>
      </c>
      <c r="O52" s="23">
        <v>18</v>
      </c>
    </row>
    <row r="53" spans="1:15" x14ac:dyDescent="0.25">
      <c r="A53" s="14" t="s">
        <v>72</v>
      </c>
      <c r="B53" s="21" t="s">
        <v>194</v>
      </c>
      <c r="C53" s="19" t="s">
        <v>335</v>
      </c>
      <c r="D53" s="20">
        <v>30</v>
      </c>
      <c r="E53" s="20" t="s">
        <v>4</v>
      </c>
      <c r="F53" s="21" t="s">
        <v>43</v>
      </c>
      <c r="G53" s="21" t="s">
        <v>227</v>
      </c>
      <c r="H53" s="21" t="s">
        <v>230</v>
      </c>
      <c r="I53" s="21" t="s">
        <v>17</v>
      </c>
      <c r="J53" s="21" t="s">
        <v>61</v>
      </c>
      <c r="K53" s="20">
        <v>4</v>
      </c>
      <c r="L53">
        <v>4</v>
      </c>
      <c r="M53" s="22">
        <v>3</v>
      </c>
      <c r="N53" s="22">
        <f>M53*K53</f>
        <v>12</v>
      </c>
      <c r="O53" s="23">
        <v>30</v>
      </c>
    </row>
    <row r="54" spans="1:15" x14ac:dyDescent="0.25">
      <c r="A54" s="14" t="s">
        <v>71</v>
      </c>
      <c r="B54" s="21" t="s">
        <v>193</v>
      </c>
      <c r="C54" s="19" t="s">
        <v>75</v>
      </c>
      <c r="D54" s="20">
        <v>60</v>
      </c>
      <c r="E54" s="20" t="s">
        <v>4</v>
      </c>
      <c r="F54" s="21" t="s">
        <v>5</v>
      </c>
      <c r="G54" s="21" t="s">
        <v>6</v>
      </c>
      <c r="H54" s="21" t="s">
        <v>6</v>
      </c>
      <c r="I54" s="21" t="s">
        <v>26</v>
      </c>
      <c r="J54" s="24" t="s">
        <v>204</v>
      </c>
      <c r="K54" s="20">
        <v>1</v>
      </c>
      <c r="L54">
        <v>4</v>
      </c>
      <c r="M54" s="22">
        <v>150</v>
      </c>
      <c r="N54" s="22">
        <f>M54*K54</f>
        <v>150</v>
      </c>
      <c r="O54" s="23">
        <v>48</v>
      </c>
    </row>
    <row r="55" spans="1:15" x14ac:dyDescent="0.25">
      <c r="A55" s="14" t="s">
        <v>71</v>
      </c>
      <c r="B55" s="21" t="s">
        <v>193</v>
      </c>
      <c r="C55" s="19" t="s">
        <v>27</v>
      </c>
      <c r="D55" s="20">
        <v>60</v>
      </c>
      <c r="E55" s="20" t="s">
        <v>4</v>
      </c>
      <c r="F55" s="21" t="s">
        <v>5</v>
      </c>
      <c r="G55" s="21" t="s">
        <v>6</v>
      </c>
      <c r="H55" s="21" t="s">
        <v>6</v>
      </c>
      <c r="I55" s="21" t="s">
        <v>26</v>
      </c>
      <c r="J55" s="21" t="s">
        <v>203</v>
      </c>
      <c r="K55" s="20">
        <v>1</v>
      </c>
      <c r="L55">
        <v>4</v>
      </c>
      <c r="M55" s="22">
        <v>150</v>
      </c>
      <c r="N55" s="22">
        <f>M55*K55</f>
        <v>150</v>
      </c>
      <c r="O55" s="23">
        <v>48</v>
      </c>
    </row>
    <row r="56" spans="1:15" x14ac:dyDescent="0.25">
      <c r="A56" s="14" t="s">
        <v>71</v>
      </c>
      <c r="B56" s="21" t="s">
        <v>193</v>
      </c>
      <c r="C56" s="19" t="s">
        <v>313</v>
      </c>
      <c r="D56" s="20">
        <v>65</v>
      </c>
      <c r="E56" s="20" t="s">
        <v>4</v>
      </c>
      <c r="F56" s="21" t="s">
        <v>34</v>
      </c>
      <c r="G56" s="21" t="s">
        <v>6</v>
      </c>
      <c r="H56" s="21" t="s">
        <v>6</v>
      </c>
      <c r="I56" s="21" t="s">
        <v>41</v>
      </c>
      <c r="J56" s="21" t="s">
        <v>314</v>
      </c>
      <c r="K56" s="20">
        <v>2</v>
      </c>
      <c r="L56">
        <v>7</v>
      </c>
      <c r="M56" s="22">
        <v>80</v>
      </c>
      <c r="N56" s="22">
        <f>M56*K56</f>
        <v>160</v>
      </c>
      <c r="O56" s="23">
        <v>36</v>
      </c>
    </row>
    <row r="57" spans="1:15" x14ac:dyDescent="0.25">
      <c r="A57" s="14" t="s">
        <v>71</v>
      </c>
      <c r="B57" s="21" t="s">
        <v>194</v>
      </c>
      <c r="C57" s="19" t="s">
        <v>257</v>
      </c>
      <c r="D57" s="20">
        <v>30</v>
      </c>
      <c r="E57" s="20" t="s">
        <v>4</v>
      </c>
      <c r="F57" s="21" t="s">
        <v>34</v>
      </c>
      <c r="G57" s="21" t="s">
        <v>224</v>
      </c>
      <c r="H57" s="21" t="s">
        <v>233</v>
      </c>
      <c r="I57" s="21" t="s">
        <v>33</v>
      </c>
      <c r="J57" s="21" t="s">
        <v>238</v>
      </c>
      <c r="K57" s="20">
        <v>1</v>
      </c>
      <c r="L57">
        <v>4</v>
      </c>
      <c r="M57" s="22">
        <v>5</v>
      </c>
      <c r="N57" s="22">
        <f>M57*K57</f>
        <v>5</v>
      </c>
      <c r="O57" s="23">
        <v>6</v>
      </c>
    </row>
    <row r="58" spans="1:15" x14ac:dyDescent="0.25">
      <c r="A58" s="14" t="s">
        <v>71</v>
      </c>
      <c r="B58" s="21" t="s">
        <v>194</v>
      </c>
      <c r="C58" s="19" t="s">
        <v>35</v>
      </c>
      <c r="D58" s="20">
        <v>40</v>
      </c>
      <c r="E58" s="20" t="s">
        <v>4</v>
      </c>
      <c r="F58" s="21" t="s">
        <v>34</v>
      </c>
      <c r="G58" s="21" t="s">
        <v>224</v>
      </c>
      <c r="H58" s="21" t="s">
        <v>233</v>
      </c>
      <c r="I58" s="21" t="s">
        <v>36</v>
      </c>
      <c r="J58" s="21" t="s">
        <v>243</v>
      </c>
      <c r="K58" s="20">
        <v>1</v>
      </c>
      <c r="L58">
        <v>5</v>
      </c>
      <c r="M58" s="22">
        <v>10</v>
      </c>
      <c r="N58" s="22">
        <f>M58*K58</f>
        <v>10</v>
      </c>
      <c r="O58" s="23">
        <v>12</v>
      </c>
    </row>
    <row r="59" spans="1:15" x14ac:dyDescent="0.25">
      <c r="A59" s="14" t="s">
        <v>71</v>
      </c>
      <c r="B59" s="21" t="s">
        <v>194</v>
      </c>
      <c r="C59" s="19" t="s">
        <v>37</v>
      </c>
      <c r="D59" s="20">
        <v>50</v>
      </c>
      <c r="E59" s="20" t="s">
        <v>4</v>
      </c>
      <c r="F59" s="21" t="s">
        <v>34</v>
      </c>
      <c r="G59" s="21" t="s">
        <v>224</v>
      </c>
      <c r="H59" s="21" t="s">
        <v>233</v>
      </c>
      <c r="I59" s="21" t="s">
        <v>38</v>
      </c>
      <c r="J59" s="21" t="s">
        <v>242</v>
      </c>
      <c r="K59" s="20">
        <v>1</v>
      </c>
      <c r="L59">
        <v>6</v>
      </c>
      <c r="M59" s="22">
        <v>25</v>
      </c>
      <c r="N59" s="22">
        <f>M59*K59</f>
        <v>25</v>
      </c>
      <c r="O59" s="23">
        <v>18</v>
      </c>
    </row>
    <row r="60" spans="1:15" x14ac:dyDescent="0.25">
      <c r="A60" s="14" t="s">
        <v>71</v>
      </c>
      <c r="B60" s="21" t="s">
        <v>194</v>
      </c>
      <c r="C60" s="19" t="s">
        <v>39</v>
      </c>
      <c r="D60" s="20">
        <v>60</v>
      </c>
      <c r="E60" s="20" t="s">
        <v>4</v>
      </c>
      <c r="F60" s="21" t="s">
        <v>34</v>
      </c>
      <c r="G60" s="21" t="s">
        <v>224</v>
      </c>
      <c r="H60" s="21" t="s">
        <v>233</v>
      </c>
      <c r="I60" s="21" t="s">
        <v>40</v>
      </c>
      <c r="J60" s="21" t="s">
        <v>244</v>
      </c>
      <c r="K60" s="20">
        <v>1</v>
      </c>
      <c r="L60">
        <v>7</v>
      </c>
      <c r="M60" s="22">
        <v>60</v>
      </c>
      <c r="N60" s="22">
        <f>M60*K60</f>
        <v>60</v>
      </c>
      <c r="O60" s="23">
        <v>24</v>
      </c>
    </row>
    <row r="61" spans="1:15" x14ac:dyDescent="0.25">
      <c r="A61" s="14" t="s">
        <v>71</v>
      </c>
      <c r="B61" s="21" t="s">
        <v>193</v>
      </c>
      <c r="C61" s="19" t="s">
        <v>256</v>
      </c>
      <c r="D61" s="20">
        <v>60</v>
      </c>
      <c r="E61" s="20" t="s">
        <v>4</v>
      </c>
      <c r="F61" s="21" t="s">
        <v>5</v>
      </c>
      <c r="G61" s="21" t="s">
        <v>6</v>
      </c>
      <c r="H61" s="21" t="s">
        <v>6</v>
      </c>
      <c r="I61" s="21" t="s">
        <v>26</v>
      </c>
      <c r="J61" s="21" t="s">
        <v>202</v>
      </c>
      <c r="K61" s="20">
        <v>1</v>
      </c>
      <c r="L61">
        <v>4</v>
      </c>
      <c r="M61" s="22">
        <v>150</v>
      </c>
      <c r="N61" s="22">
        <f>M61*K61</f>
        <v>150</v>
      </c>
      <c r="O61" s="23">
        <v>48</v>
      </c>
    </row>
    <row r="62" spans="1:15" x14ac:dyDescent="0.25">
      <c r="A62" s="14" t="s">
        <v>71</v>
      </c>
      <c r="B62" s="21" t="s">
        <v>193</v>
      </c>
      <c r="C62" s="19" t="s">
        <v>327</v>
      </c>
      <c r="D62" s="20">
        <v>50</v>
      </c>
      <c r="E62" s="20" t="s">
        <v>4</v>
      </c>
      <c r="F62" s="21" t="s">
        <v>5</v>
      </c>
      <c r="G62" s="21" t="s">
        <v>224</v>
      </c>
      <c r="H62" s="21" t="s">
        <v>225</v>
      </c>
      <c r="I62" s="21" t="s">
        <v>379</v>
      </c>
      <c r="J62" s="21" t="s">
        <v>381</v>
      </c>
      <c r="K62" s="20">
        <v>3</v>
      </c>
      <c r="L62">
        <v>6</v>
      </c>
      <c r="M62" s="25">
        <v>250</v>
      </c>
      <c r="N62" s="22">
        <f>M62*K62</f>
        <v>750</v>
      </c>
      <c r="O62" s="23">
        <v>75</v>
      </c>
    </row>
    <row r="63" spans="1:15" x14ac:dyDescent="0.25">
      <c r="A63" s="14" t="s">
        <v>71</v>
      </c>
      <c r="B63" s="21" t="s">
        <v>193</v>
      </c>
      <c r="C63" s="19" t="s">
        <v>74</v>
      </c>
      <c r="D63" s="20">
        <v>40</v>
      </c>
      <c r="E63" s="20" t="s">
        <v>4</v>
      </c>
      <c r="F63" s="21" t="s">
        <v>5</v>
      </c>
      <c r="G63" s="21" t="s">
        <v>224</v>
      </c>
      <c r="H63" s="21" t="s">
        <v>225</v>
      </c>
      <c r="I63" s="21" t="s">
        <v>239</v>
      </c>
      <c r="J63" s="21" t="s">
        <v>382</v>
      </c>
      <c r="K63" s="20">
        <v>3</v>
      </c>
      <c r="L63">
        <v>5</v>
      </c>
      <c r="M63" s="25">
        <v>100</v>
      </c>
      <c r="N63" s="22">
        <f>M63*K63</f>
        <v>300</v>
      </c>
      <c r="O63" s="23">
        <v>45</v>
      </c>
    </row>
    <row r="64" spans="1:15" x14ac:dyDescent="0.25">
      <c r="A64" s="14" t="s">
        <v>71</v>
      </c>
      <c r="B64" s="21" t="s">
        <v>193</v>
      </c>
      <c r="C64" s="19" t="s">
        <v>248</v>
      </c>
      <c r="D64" s="20">
        <v>30</v>
      </c>
      <c r="E64" s="20" t="s">
        <v>4</v>
      </c>
      <c r="F64" s="21" t="s">
        <v>5</v>
      </c>
      <c r="G64" s="21" t="s">
        <v>224</v>
      </c>
      <c r="H64" s="21" t="s">
        <v>225</v>
      </c>
      <c r="I64" s="21" t="s">
        <v>380</v>
      </c>
      <c r="J64" s="21" t="s">
        <v>383</v>
      </c>
      <c r="K64" s="20">
        <v>3</v>
      </c>
      <c r="L64">
        <v>4</v>
      </c>
      <c r="M64" s="25">
        <v>50</v>
      </c>
      <c r="N64" s="22">
        <f>M64*K64</f>
        <v>150</v>
      </c>
      <c r="O64" s="23">
        <v>30</v>
      </c>
    </row>
    <row r="65" spans="1:15" x14ac:dyDescent="0.25">
      <c r="A65" s="14" t="s">
        <v>71</v>
      </c>
      <c r="B65" s="21" t="s">
        <v>194</v>
      </c>
      <c r="C65" s="19" t="s">
        <v>259</v>
      </c>
      <c r="D65" s="20">
        <v>65</v>
      </c>
      <c r="E65" s="20" t="s">
        <v>4</v>
      </c>
      <c r="F65" s="21" t="s">
        <v>5</v>
      </c>
      <c r="G65" s="21" t="s">
        <v>224</v>
      </c>
      <c r="H65" s="21" t="s">
        <v>232</v>
      </c>
      <c r="I65" s="21" t="s">
        <v>12</v>
      </c>
      <c r="J65" s="21" t="s">
        <v>384</v>
      </c>
      <c r="K65" s="20">
        <v>1</v>
      </c>
      <c r="L65">
        <v>1</v>
      </c>
      <c r="M65" s="22">
        <v>25</v>
      </c>
      <c r="N65" s="22">
        <f>M65*K65</f>
        <v>25</v>
      </c>
      <c r="O65" s="23">
        <v>10</v>
      </c>
    </row>
    <row r="66" spans="1:15" x14ac:dyDescent="0.25">
      <c r="A66" s="14" t="s">
        <v>71</v>
      </c>
      <c r="B66" s="21" t="s">
        <v>194</v>
      </c>
      <c r="C66" s="19" t="s">
        <v>283</v>
      </c>
      <c r="D66" s="20">
        <v>75</v>
      </c>
      <c r="E66" s="20" t="s">
        <v>4</v>
      </c>
      <c r="F66" s="21" t="s">
        <v>5</v>
      </c>
      <c r="G66" s="21" t="s">
        <v>224</v>
      </c>
      <c r="H66" s="21" t="s">
        <v>232</v>
      </c>
      <c r="I66" s="21" t="s">
        <v>12</v>
      </c>
      <c r="J66" s="21" t="s">
        <v>385</v>
      </c>
      <c r="K66" s="20">
        <v>1</v>
      </c>
      <c r="L66">
        <v>3</v>
      </c>
      <c r="M66" s="22">
        <v>50</v>
      </c>
      <c r="N66" s="22">
        <f>M66*K66</f>
        <v>50</v>
      </c>
      <c r="O66" s="23">
        <v>15</v>
      </c>
    </row>
    <row r="67" spans="1:15" x14ac:dyDescent="0.25">
      <c r="A67" s="14" t="s">
        <v>71</v>
      </c>
      <c r="B67" s="21" t="s">
        <v>194</v>
      </c>
      <c r="C67" s="19" t="s">
        <v>317</v>
      </c>
      <c r="D67" s="20">
        <v>85</v>
      </c>
      <c r="E67" s="20" t="s">
        <v>4</v>
      </c>
      <c r="F67" s="21" t="s">
        <v>5</v>
      </c>
      <c r="G67" s="21" t="s">
        <v>224</v>
      </c>
      <c r="H67" s="21" t="s">
        <v>232</v>
      </c>
      <c r="I67" s="21" t="s">
        <v>12</v>
      </c>
      <c r="J67" s="21" t="s">
        <v>386</v>
      </c>
      <c r="K67" s="20">
        <v>1</v>
      </c>
      <c r="L67">
        <v>5</v>
      </c>
      <c r="M67" s="22">
        <v>100</v>
      </c>
      <c r="N67" s="22">
        <f>M67*K67</f>
        <v>100</v>
      </c>
      <c r="O67" s="23">
        <v>25</v>
      </c>
    </row>
    <row r="68" spans="1:15" x14ac:dyDescent="0.25">
      <c r="A68" s="14" t="s">
        <v>72</v>
      </c>
      <c r="B68" s="21" t="s">
        <v>194</v>
      </c>
      <c r="C68" s="19" t="s">
        <v>270</v>
      </c>
      <c r="D68" s="20">
        <v>5</v>
      </c>
      <c r="E68" s="20" t="s">
        <v>4</v>
      </c>
      <c r="F68" s="21" t="s">
        <v>54</v>
      </c>
      <c r="G68" s="21" t="s">
        <v>227</v>
      </c>
      <c r="H68" s="21" t="s">
        <v>229</v>
      </c>
      <c r="I68" s="21" t="s">
        <v>17</v>
      </c>
      <c r="J68" s="21" t="s">
        <v>387</v>
      </c>
      <c r="K68" s="20">
        <v>2</v>
      </c>
      <c r="L68">
        <v>2</v>
      </c>
      <c r="M68" s="22">
        <v>1</v>
      </c>
      <c r="N68" s="22">
        <f>M68*K68</f>
        <v>2</v>
      </c>
      <c r="O68" s="23">
        <v>12</v>
      </c>
    </row>
    <row r="69" spans="1:15" x14ac:dyDescent="0.25">
      <c r="A69" s="14" t="s">
        <v>72</v>
      </c>
      <c r="B69" s="21" t="s">
        <v>194</v>
      </c>
      <c r="C69" s="28" t="s">
        <v>308</v>
      </c>
      <c r="D69" s="20">
        <v>15</v>
      </c>
      <c r="E69" s="20" t="s">
        <v>4</v>
      </c>
      <c r="F69" s="21" t="s">
        <v>54</v>
      </c>
      <c r="G69" s="21" t="s">
        <v>227</v>
      </c>
      <c r="H69" s="21" t="s">
        <v>229</v>
      </c>
      <c r="I69" s="21" t="s">
        <v>17</v>
      </c>
      <c r="J69" s="21" t="s">
        <v>388</v>
      </c>
      <c r="K69" s="20">
        <v>3</v>
      </c>
      <c r="L69">
        <v>3</v>
      </c>
      <c r="M69" s="22">
        <v>2</v>
      </c>
      <c r="N69" s="22">
        <f>M69*K69</f>
        <v>6</v>
      </c>
      <c r="O69" s="23">
        <v>18</v>
      </c>
    </row>
    <row r="70" spans="1:15" x14ac:dyDescent="0.25">
      <c r="A70" s="14" t="s">
        <v>72</v>
      </c>
      <c r="B70" s="21" t="s">
        <v>194</v>
      </c>
      <c r="C70" s="19" t="s">
        <v>343</v>
      </c>
      <c r="D70" s="20">
        <v>30</v>
      </c>
      <c r="E70" s="20" t="s">
        <v>4</v>
      </c>
      <c r="F70" s="21" t="s">
        <v>54</v>
      </c>
      <c r="G70" s="21" t="s">
        <v>227</v>
      </c>
      <c r="H70" s="21" t="s">
        <v>229</v>
      </c>
      <c r="I70" s="21" t="s">
        <v>17</v>
      </c>
      <c r="J70" s="21" t="s">
        <v>389</v>
      </c>
      <c r="K70" s="20">
        <v>4</v>
      </c>
      <c r="L70">
        <v>4</v>
      </c>
      <c r="M70" s="22">
        <v>4</v>
      </c>
      <c r="N70" s="22">
        <f>M70*K70</f>
        <v>16</v>
      </c>
      <c r="O70" s="23">
        <v>30</v>
      </c>
    </row>
    <row r="71" spans="1:15" x14ac:dyDescent="0.25">
      <c r="A71" s="14" t="s">
        <v>72</v>
      </c>
      <c r="B71" s="21" t="s">
        <v>194</v>
      </c>
      <c r="C71" s="19" t="s">
        <v>260</v>
      </c>
      <c r="D71" s="20">
        <v>5</v>
      </c>
      <c r="E71" s="20" t="s">
        <v>4</v>
      </c>
      <c r="F71" s="21" t="s">
        <v>54</v>
      </c>
      <c r="G71" s="21" t="s">
        <v>227</v>
      </c>
      <c r="H71" s="21" t="s">
        <v>229</v>
      </c>
      <c r="I71" s="21" t="s">
        <v>17</v>
      </c>
      <c r="J71" s="21" t="s">
        <v>390</v>
      </c>
      <c r="K71" s="20">
        <v>2</v>
      </c>
      <c r="L71">
        <v>2</v>
      </c>
      <c r="M71" s="22">
        <v>1</v>
      </c>
      <c r="N71" s="22">
        <f>M71*K71</f>
        <v>2</v>
      </c>
      <c r="O71" s="23">
        <v>18</v>
      </c>
    </row>
    <row r="72" spans="1:15" x14ac:dyDescent="0.25">
      <c r="A72" s="14" t="s">
        <v>72</v>
      </c>
      <c r="B72" s="21" t="s">
        <v>194</v>
      </c>
      <c r="C72" s="19" t="s">
        <v>284</v>
      </c>
      <c r="D72" s="20">
        <v>15</v>
      </c>
      <c r="E72" s="20" t="s">
        <v>4</v>
      </c>
      <c r="F72" s="21" t="s">
        <v>54</v>
      </c>
      <c r="G72" s="21" t="s">
        <v>227</v>
      </c>
      <c r="H72" s="21" t="s">
        <v>229</v>
      </c>
      <c r="I72" s="21" t="s">
        <v>17</v>
      </c>
      <c r="J72" s="21" t="s">
        <v>390</v>
      </c>
      <c r="K72" s="20">
        <v>3</v>
      </c>
      <c r="L72">
        <v>3</v>
      </c>
      <c r="M72" s="22">
        <v>2</v>
      </c>
      <c r="N72" s="22">
        <f>M72*K72</f>
        <v>6</v>
      </c>
      <c r="O72" s="23">
        <v>27</v>
      </c>
    </row>
    <row r="73" spans="1:15" x14ac:dyDescent="0.25">
      <c r="A73" s="14" t="s">
        <v>72</v>
      </c>
      <c r="B73" s="21" t="s">
        <v>194</v>
      </c>
      <c r="C73" s="19" t="s">
        <v>318</v>
      </c>
      <c r="D73" s="20">
        <v>30</v>
      </c>
      <c r="E73" s="20" t="s">
        <v>4</v>
      </c>
      <c r="F73" s="21" t="s">
        <v>54</v>
      </c>
      <c r="G73" s="21" t="s">
        <v>227</v>
      </c>
      <c r="H73" s="21" t="s">
        <v>229</v>
      </c>
      <c r="I73" s="21" t="s">
        <v>17</v>
      </c>
      <c r="J73" s="21" t="s">
        <v>390</v>
      </c>
      <c r="K73" s="20">
        <v>4</v>
      </c>
      <c r="L73">
        <v>4</v>
      </c>
      <c r="M73" s="22">
        <v>4</v>
      </c>
      <c r="N73" s="22">
        <f>M73*K73</f>
        <v>16</v>
      </c>
      <c r="O73" s="23">
        <v>45</v>
      </c>
    </row>
    <row r="74" spans="1:15" x14ac:dyDescent="0.25">
      <c r="A74" s="14" t="s">
        <v>71</v>
      </c>
      <c r="B74" s="21" t="s">
        <v>193</v>
      </c>
      <c r="C74" s="19" t="s">
        <v>247</v>
      </c>
      <c r="D74" s="20">
        <v>55</v>
      </c>
      <c r="E74" s="20" t="s">
        <v>4</v>
      </c>
      <c r="F74" s="21" t="s">
        <v>5</v>
      </c>
      <c r="G74" s="21" t="s">
        <v>224</v>
      </c>
      <c r="H74" s="21" t="s">
        <v>24</v>
      </c>
      <c r="I74" s="21" t="s">
        <v>25</v>
      </c>
      <c r="J74" s="21" t="s">
        <v>391</v>
      </c>
      <c r="K74" s="20">
        <v>1</v>
      </c>
      <c r="L74">
        <v>3</v>
      </c>
      <c r="M74" s="22">
        <v>250</v>
      </c>
      <c r="N74" s="22">
        <f>M74*K74</f>
        <v>250</v>
      </c>
      <c r="O74" s="23">
        <v>24</v>
      </c>
    </row>
    <row r="75" spans="1:15" x14ac:dyDescent="0.25">
      <c r="A75" s="14" t="s">
        <v>71</v>
      </c>
      <c r="B75" s="21" t="s">
        <v>193</v>
      </c>
      <c r="C75" s="19" t="s">
        <v>315</v>
      </c>
      <c r="D75" s="20">
        <v>65</v>
      </c>
      <c r="E75" s="20" t="s">
        <v>4</v>
      </c>
      <c r="F75" s="21" t="s">
        <v>5</v>
      </c>
      <c r="G75" s="21" t="s">
        <v>224</v>
      </c>
      <c r="H75" s="21" t="s">
        <v>24</v>
      </c>
      <c r="I75" s="21" t="s">
        <v>25</v>
      </c>
      <c r="J75" s="21" t="s">
        <v>392</v>
      </c>
      <c r="K75" s="20">
        <v>1</v>
      </c>
      <c r="L75">
        <v>6</v>
      </c>
      <c r="M75" s="22">
        <v>2500</v>
      </c>
      <c r="N75" s="22">
        <f>M75*K75</f>
        <v>2500</v>
      </c>
      <c r="O75" s="23">
        <v>48</v>
      </c>
    </row>
    <row r="76" spans="1:15" x14ac:dyDescent="0.25">
      <c r="A76" s="14" t="s">
        <v>71</v>
      </c>
      <c r="B76" s="21" t="s">
        <v>193</v>
      </c>
      <c r="C76" s="19" t="s">
        <v>273</v>
      </c>
      <c r="D76" s="20">
        <v>30</v>
      </c>
      <c r="E76" s="20" t="s">
        <v>4</v>
      </c>
      <c r="F76" s="21" t="s">
        <v>31</v>
      </c>
      <c r="G76" s="21" t="s">
        <v>224</v>
      </c>
      <c r="H76" s="21" t="s">
        <v>226</v>
      </c>
      <c r="I76" s="21"/>
      <c r="J76" s="21" t="s">
        <v>393</v>
      </c>
      <c r="K76" s="20">
        <v>1</v>
      </c>
      <c r="L76">
        <v>2</v>
      </c>
      <c r="M76" s="22">
        <v>5</v>
      </c>
      <c r="N76" s="22">
        <f>M76*K76</f>
        <v>5</v>
      </c>
      <c r="O76" s="23">
        <v>12</v>
      </c>
    </row>
    <row r="77" spans="1:15" x14ac:dyDescent="0.25">
      <c r="A77" s="14" t="s">
        <v>71</v>
      </c>
      <c r="B77" s="21" t="s">
        <v>193</v>
      </c>
      <c r="C77" s="19" t="s">
        <v>288</v>
      </c>
      <c r="D77" s="20">
        <v>40</v>
      </c>
      <c r="E77" s="20" t="s">
        <v>4</v>
      </c>
      <c r="F77" s="21" t="s">
        <v>31</v>
      </c>
      <c r="G77" s="21" t="s">
        <v>224</v>
      </c>
      <c r="H77" s="21" t="s">
        <v>226</v>
      </c>
      <c r="I77" s="21"/>
      <c r="J77" s="21" t="s">
        <v>394</v>
      </c>
      <c r="K77" s="20">
        <v>1</v>
      </c>
      <c r="L77">
        <v>3</v>
      </c>
      <c r="M77" s="22">
        <v>20</v>
      </c>
      <c r="N77" s="22">
        <f>M77*K77</f>
        <v>20</v>
      </c>
      <c r="O77" s="23">
        <v>18</v>
      </c>
    </row>
    <row r="78" spans="1:15" x14ac:dyDescent="0.25">
      <c r="A78" s="14" t="s">
        <v>71</v>
      </c>
      <c r="B78" s="21" t="s">
        <v>193</v>
      </c>
      <c r="C78" s="19" t="s">
        <v>319</v>
      </c>
      <c r="D78" s="20">
        <v>50</v>
      </c>
      <c r="E78" s="20" t="s">
        <v>4</v>
      </c>
      <c r="F78" s="21" t="s">
        <v>31</v>
      </c>
      <c r="G78" s="21" t="s">
        <v>224</v>
      </c>
      <c r="H78" s="21" t="s">
        <v>226</v>
      </c>
      <c r="I78" s="21"/>
      <c r="J78" s="21" t="s">
        <v>395</v>
      </c>
      <c r="K78" s="20">
        <v>1</v>
      </c>
      <c r="L78">
        <v>4</v>
      </c>
      <c r="M78" s="22">
        <v>125</v>
      </c>
      <c r="N78" s="22">
        <f>M78*K78</f>
        <v>125</v>
      </c>
      <c r="O78" s="23">
        <v>30</v>
      </c>
    </row>
    <row r="79" spans="1:15" x14ac:dyDescent="0.25">
      <c r="A79" s="14" t="s">
        <v>71</v>
      </c>
      <c r="B79" s="21" t="s">
        <v>193</v>
      </c>
      <c r="C79" s="19" t="s">
        <v>250</v>
      </c>
      <c r="D79" s="20">
        <v>45</v>
      </c>
      <c r="E79" s="20" t="s">
        <v>4</v>
      </c>
      <c r="F79" s="21" t="s">
        <v>5</v>
      </c>
      <c r="G79" s="21" t="s">
        <v>6</v>
      </c>
      <c r="H79" s="21" t="s">
        <v>6</v>
      </c>
      <c r="I79" s="21" t="s">
        <v>17</v>
      </c>
      <c r="J79" s="24" t="s">
        <v>396</v>
      </c>
      <c r="K79" s="20">
        <v>2</v>
      </c>
      <c r="L79">
        <v>4</v>
      </c>
      <c r="M79" s="22">
        <v>33</v>
      </c>
      <c r="N79" s="22">
        <f>M79*K79</f>
        <v>66</v>
      </c>
      <c r="O79" s="23">
        <v>30</v>
      </c>
    </row>
    <row r="80" spans="1:15" x14ac:dyDescent="0.25">
      <c r="A80" s="14" t="s">
        <v>71</v>
      </c>
      <c r="B80" s="21" t="s">
        <v>193</v>
      </c>
      <c r="C80" s="19" t="s">
        <v>286</v>
      </c>
      <c r="D80" s="20">
        <v>55</v>
      </c>
      <c r="E80" s="20" t="s">
        <v>4</v>
      </c>
      <c r="F80" s="21" t="s">
        <v>5</v>
      </c>
      <c r="G80" s="21" t="s">
        <v>6</v>
      </c>
      <c r="H80" s="21" t="s">
        <v>6</v>
      </c>
      <c r="I80" s="21" t="s">
        <v>17</v>
      </c>
      <c r="J80" s="24" t="s">
        <v>397</v>
      </c>
      <c r="K80" s="20">
        <v>2</v>
      </c>
      <c r="L80">
        <v>5</v>
      </c>
      <c r="M80" s="22">
        <v>75</v>
      </c>
      <c r="N80" s="22">
        <f>M80*K80</f>
        <v>150</v>
      </c>
      <c r="O80" s="23">
        <v>45</v>
      </c>
    </row>
    <row r="81" spans="1:15" x14ac:dyDescent="0.25">
      <c r="A81" s="14" t="s">
        <v>71</v>
      </c>
      <c r="B81" s="21" t="s">
        <v>193</v>
      </c>
      <c r="C81" s="19" t="s">
        <v>321</v>
      </c>
      <c r="D81" s="20">
        <v>65</v>
      </c>
      <c r="E81" s="20" t="s">
        <v>4</v>
      </c>
      <c r="F81" s="21" t="s">
        <v>5</v>
      </c>
      <c r="G81" s="21" t="s">
        <v>6</v>
      </c>
      <c r="H81" s="21" t="s">
        <v>6</v>
      </c>
      <c r="I81" s="21" t="s">
        <v>17</v>
      </c>
      <c r="J81" s="24" t="s">
        <v>196</v>
      </c>
      <c r="K81" s="20">
        <v>3</v>
      </c>
      <c r="L81">
        <v>7</v>
      </c>
      <c r="M81" s="22">
        <v>200</v>
      </c>
      <c r="N81" s="22">
        <f>M81*K81</f>
        <v>600</v>
      </c>
      <c r="O81" s="23">
        <v>75</v>
      </c>
    </row>
    <row r="82" spans="1:15" x14ac:dyDescent="0.25">
      <c r="A82" s="14" t="s">
        <v>71</v>
      </c>
      <c r="B82" s="21" t="s">
        <v>193</v>
      </c>
      <c r="C82" s="19" t="s">
        <v>255</v>
      </c>
      <c r="D82" s="20">
        <v>20</v>
      </c>
      <c r="E82" s="20" t="s">
        <v>4</v>
      </c>
      <c r="F82" s="21" t="s">
        <v>5</v>
      </c>
      <c r="G82" s="21" t="s">
        <v>6</v>
      </c>
      <c r="H82" s="21" t="s">
        <v>6</v>
      </c>
      <c r="I82" s="21"/>
      <c r="J82" s="24" t="s">
        <v>217</v>
      </c>
      <c r="K82" s="20">
        <v>1</v>
      </c>
      <c r="L82">
        <v>3</v>
      </c>
      <c r="M82" s="25">
        <v>50</v>
      </c>
      <c r="N82" s="22">
        <f>M82*K82</f>
        <v>50</v>
      </c>
      <c r="O82" s="23">
        <v>24</v>
      </c>
    </row>
    <row r="83" spans="1:15" x14ac:dyDescent="0.25">
      <c r="A83" s="14" t="s">
        <v>71</v>
      </c>
      <c r="B83" s="21" t="s">
        <v>193</v>
      </c>
      <c r="C83" s="19" t="s">
        <v>13</v>
      </c>
      <c r="D83" s="20">
        <v>30</v>
      </c>
      <c r="E83" s="20" t="s">
        <v>4</v>
      </c>
      <c r="F83" s="21" t="s">
        <v>5</v>
      </c>
      <c r="G83" s="21" t="s">
        <v>6</v>
      </c>
      <c r="H83" s="21" t="s">
        <v>6</v>
      </c>
      <c r="I83" s="21"/>
      <c r="J83" s="21" t="s">
        <v>211</v>
      </c>
      <c r="K83" s="20">
        <v>1</v>
      </c>
      <c r="L83">
        <v>3</v>
      </c>
      <c r="M83" s="22">
        <v>75</v>
      </c>
      <c r="N83" s="22">
        <f>M83*K83</f>
        <v>75</v>
      </c>
      <c r="O83" s="23">
        <v>36</v>
      </c>
    </row>
    <row r="84" spans="1:15" x14ac:dyDescent="0.25">
      <c r="A84" s="14" t="s">
        <v>71</v>
      </c>
      <c r="B84" s="21" t="s">
        <v>193</v>
      </c>
      <c r="C84" s="19" t="s">
        <v>249</v>
      </c>
      <c r="D84" s="20">
        <v>55</v>
      </c>
      <c r="E84" s="20" t="s">
        <v>4</v>
      </c>
      <c r="F84" s="21" t="s">
        <v>5</v>
      </c>
      <c r="G84" s="21" t="s">
        <v>224</v>
      </c>
      <c r="H84" s="21" t="s">
        <v>223</v>
      </c>
      <c r="I84" s="21" t="s">
        <v>14</v>
      </c>
      <c r="J84" s="21" t="s">
        <v>205</v>
      </c>
      <c r="K84" s="20">
        <v>4</v>
      </c>
      <c r="L84">
        <v>6</v>
      </c>
      <c r="M84" s="22">
        <v>65</v>
      </c>
      <c r="N84" s="22">
        <f>M84*K84</f>
        <v>260</v>
      </c>
      <c r="O84" s="23">
        <v>48</v>
      </c>
    </row>
    <row r="85" spans="1:15" x14ac:dyDescent="0.25">
      <c r="A85" s="14" t="s">
        <v>71</v>
      </c>
      <c r="B85" s="21" t="s">
        <v>194</v>
      </c>
      <c r="C85" s="19" t="s">
        <v>29</v>
      </c>
      <c r="D85" s="20">
        <v>75</v>
      </c>
      <c r="E85" s="20" t="s">
        <v>30</v>
      </c>
      <c r="F85" s="21" t="s">
        <v>31</v>
      </c>
      <c r="G85" s="21" t="s">
        <v>225</v>
      </c>
      <c r="H85" s="21" t="s">
        <v>235</v>
      </c>
      <c r="I85" s="21" t="s">
        <v>33</v>
      </c>
      <c r="J85" s="21" t="s">
        <v>32</v>
      </c>
      <c r="K85" s="20">
        <v>2</v>
      </c>
      <c r="L85">
        <v>5</v>
      </c>
      <c r="M85" s="22">
        <v>25</v>
      </c>
      <c r="N85" s="22">
        <f>M85*K85</f>
        <v>50</v>
      </c>
      <c r="O85" s="23">
        <v>12</v>
      </c>
    </row>
    <row r="86" spans="1:15" x14ac:dyDescent="0.25">
      <c r="A86" s="14" t="s">
        <v>71</v>
      </c>
      <c r="B86" s="21" t="s">
        <v>193</v>
      </c>
      <c r="C86" s="19" t="s">
        <v>254</v>
      </c>
      <c r="D86" s="20">
        <v>45</v>
      </c>
      <c r="E86" s="20" t="s">
        <v>4</v>
      </c>
      <c r="F86" s="21" t="s">
        <v>5</v>
      </c>
      <c r="G86" s="21" t="s">
        <v>6</v>
      </c>
      <c r="H86" s="21" t="s">
        <v>6</v>
      </c>
      <c r="I86" s="21" t="s">
        <v>17</v>
      </c>
      <c r="J86" s="21" t="s">
        <v>214</v>
      </c>
      <c r="K86" s="20">
        <v>2</v>
      </c>
      <c r="L86">
        <v>4</v>
      </c>
      <c r="M86" s="22">
        <v>32.5</v>
      </c>
      <c r="N86" s="22">
        <f>M86*K86</f>
        <v>65</v>
      </c>
      <c r="O86" s="23">
        <v>30</v>
      </c>
    </row>
    <row r="87" spans="1:15" x14ac:dyDescent="0.25">
      <c r="A87" s="14" t="s">
        <v>71</v>
      </c>
      <c r="B87" s="21" t="s">
        <v>193</v>
      </c>
      <c r="C87" s="19" t="s">
        <v>291</v>
      </c>
      <c r="D87" s="20">
        <v>55</v>
      </c>
      <c r="E87" s="20" t="s">
        <v>4</v>
      </c>
      <c r="F87" s="21" t="s">
        <v>5</v>
      </c>
      <c r="G87" s="21" t="s">
        <v>6</v>
      </c>
      <c r="H87" s="21" t="s">
        <v>6</v>
      </c>
      <c r="I87" s="21" t="s">
        <v>17</v>
      </c>
      <c r="J87" s="21" t="s">
        <v>208</v>
      </c>
      <c r="K87" s="20">
        <v>2</v>
      </c>
      <c r="L87">
        <v>5</v>
      </c>
      <c r="M87" s="22">
        <v>75</v>
      </c>
      <c r="N87" s="22">
        <f>M87*K87</f>
        <v>150</v>
      </c>
      <c r="O87" s="23">
        <v>45</v>
      </c>
    </row>
    <row r="88" spans="1:15" x14ac:dyDescent="0.25">
      <c r="A88" s="14" t="s">
        <v>71</v>
      </c>
      <c r="B88" s="21" t="s">
        <v>193</v>
      </c>
      <c r="C88" s="19" t="s">
        <v>324</v>
      </c>
      <c r="D88" s="20">
        <v>65</v>
      </c>
      <c r="E88" s="20" t="s">
        <v>4</v>
      </c>
      <c r="F88" s="21" t="s">
        <v>5</v>
      </c>
      <c r="G88" s="21" t="s">
        <v>6</v>
      </c>
      <c r="H88" s="21" t="s">
        <v>6</v>
      </c>
      <c r="I88" s="21" t="s">
        <v>17</v>
      </c>
      <c r="J88" s="21" t="s">
        <v>198</v>
      </c>
      <c r="K88" s="20">
        <v>3</v>
      </c>
      <c r="L88">
        <v>7</v>
      </c>
      <c r="M88" s="22">
        <v>200</v>
      </c>
      <c r="N88" s="22">
        <f>M88*K88</f>
        <v>600</v>
      </c>
      <c r="O88" s="23">
        <v>75</v>
      </c>
    </row>
    <row r="89" spans="1:15" x14ac:dyDescent="0.25">
      <c r="A89" s="14" t="s">
        <v>72</v>
      </c>
      <c r="B89" s="21" t="s">
        <v>194</v>
      </c>
      <c r="C89" s="19" t="s">
        <v>266</v>
      </c>
      <c r="D89" s="20">
        <v>5</v>
      </c>
      <c r="E89" s="20" t="s">
        <v>4</v>
      </c>
      <c r="F89" s="21" t="s">
        <v>54</v>
      </c>
      <c r="G89" s="21" t="s">
        <v>227</v>
      </c>
      <c r="H89" s="21" t="s">
        <v>234</v>
      </c>
      <c r="I89" s="21" t="s">
        <v>36</v>
      </c>
      <c r="J89" s="24" t="s">
        <v>76</v>
      </c>
      <c r="K89" s="20">
        <v>1</v>
      </c>
      <c r="L89">
        <v>1</v>
      </c>
      <c r="M89" s="22">
        <v>2</v>
      </c>
      <c r="N89" s="22">
        <f>M89*K89</f>
        <v>2</v>
      </c>
      <c r="O89" s="23">
        <v>18</v>
      </c>
    </row>
    <row r="90" spans="1:15" x14ac:dyDescent="0.25">
      <c r="A90" s="14" t="s">
        <v>72</v>
      </c>
      <c r="B90" s="21" t="s">
        <v>194</v>
      </c>
      <c r="C90" s="19" t="s">
        <v>297</v>
      </c>
      <c r="D90" s="20">
        <v>15</v>
      </c>
      <c r="E90" s="20" t="s">
        <v>4</v>
      </c>
      <c r="F90" s="21" t="s">
        <v>54</v>
      </c>
      <c r="G90" s="21" t="s">
        <v>227</v>
      </c>
      <c r="H90" s="21" t="s">
        <v>231</v>
      </c>
      <c r="I90" s="21" t="s">
        <v>36</v>
      </c>
      <c r="J90" s="24" t="s">
        <v>77</v>
      </c>
      <c r="K90" s="20">
        <v>2</v>
      </c>
      <c r="L90">
        <v>2</v>
      </c>
      <c r="M90" s="22">
        <v>4</v>
      </c>
      <c r="N90" s="22">
        <f>M90*K90</f>
        <v>8</v>
      </c>
      <c r="O90" s="23">
        <v>30</v>
      </c>
    </row>
    <row r="91" spans="1:15" x14ac:dyDescent="0.25">
      <c r="A91" s="14" t="s">
        <v>72</v>
      </c>
      <c r="B91" s="21" t="s">
        <v>194</v>
      </c>
      <c r="C91" s="19" t="s">
        <v>339</v>
      </c>
      <c r="D91" s="20">
        <v>30</v>
      </c>
      <c r="E91" s="20" t="s">
        <v>4</v>
      </c>
      <c r="F91" s="21" t="s">
        <v>54</v>
      </c>
      <c r="G91" s="21" t="s">
        <v>227</v>
      </c>
      <c r="H91" s="21" t="s">
        <v>228</v>
      </c>
      <c r="I91" s="21" t="s">
        <v>36</v>
      </c>
      <c r="J91" s="24" t="s">
        <v>78</v>
      </c>
      <c r="K91" s="20">
        <v>4</v>
      </c>
      <c r="L91">
        <v>4</v>
      </c>
      <c r="M91" s="22">
        <v>7</v>
      </c>
      <c r="N91" s="22">
        <f>M91*K91</f>
        <v>28</v>
      </c>
      <c r="O91" s="23">
        <v>48</v>
      </c>
    </row>
    <row r="92" spans="1:15" x14ac:dyDescent="0.25">
      <c r="A92" s="14" t="s">
        <v>72</v>
      </c>
      <c r="B92" s="21" t="s">
        <v>194</v>
      </c>
      <c r="C92" s="19" t="s">
        <v>265</v>
      </c>
      <c r="D92" s="20">
        <v>5</v>
      </c>
      <c r="E92" s="20" t="s">
        <v>4</v>
      </c>
      <c r="F92" s="21" t="s">
        <v>54</v>
      </c>
      <c r="G92" s="21" t="s">
        <v>6</v>
      </c>
      <c r="H92" s="21" t="s">
        <v>6</v>
      </c>
      <c r="I92" s="21" t="s">
        <v>40</v>
      </c>
      <c r="J92" s="21" t="s">
        <v>64</v>
      </c>
      <c r="K92" s="20">
        <v>3</v>
      </c>
      <c r="L92">
        <v>1</v>
      </c>
      <c r="M92" s="22">
        <v>0.25</v>
      </c>
      <c r="N92" s="22">
        <f>M92*K92</f>
        <v>0.75</v>
      </c>
      <c r="O92" s="23">
        <v>4</v>
      </c>
    </row>
    <row r="93" spans="1:15" x14ac:dyDescent="0.25">
      <c r="A93" s="14" t="s">
        <v>72</v>
      </c>
      <c r="B93" s="21" t="s">
        <v>194</v>
      </c>
      <c r="C93" s="19" t="s">
        <v>296</v>
      </c>
      <c r="D93" s="20">
        <v>15</v>
      </c>
      <c r="E93" s="20" t="s">
        <v>4</v>
      </c>
      <c r="F93" s="21" t="s">
        <v>54</v>
      </c>
      <c r="G93" s="21" t="s">
        <v>6</v>
      </c>
      <c r="H93" s="21" t="s">
        <v>6</v>
      </c>
      <c r="I93" s="21" t="s">
        <v>40</v>
      </c>
      <c r="J93" s="21" t="s">
        <v>65</v>
      </c>
      <c r="K93" s="20">
        <v>4</v>
      </c>
      <c r="L93">
        <v>2</v>
      </c>
      <c r="M93" s="22">
        <v>0.5</v>
      </c>
      <c r="N93" s="22">
        <f>M93*K93</f>
        <v>2</v>
      </c>
      <c r="O93" s="23">
        <v>6</v>
      </c>
    </row>
    <row r="94" spans="1:15" x14ac:dyDescent="0.25">
      <c r="A94" s="14" t="s">
        <v>72</v>
      </c>
      <c r="B94" s="21" t="s">
        <v>194</v>
      </c>
      <c r="C94" s="19" t="s">
        <v>338</v>
      </c>
      <c r="D94" s="20">
        <v>30</v>
      </c>
      <c r="E94" s="20" t="s">
        <v>4</v>
      </c>
      <c r="F94" s="21" t="s">
        <v>54</v>
      </c>
      <c r="G94" s="21" t="s">
        <v>6</v>
      </c>
      <c r="H94" s="21" t="s">
        <v>6</v>
      </c>
      <c r="I94" s="21" t="s">
        <v>40</v>
      </c>
      <c r="J94" s="21" t="s">
        <v>66</v>
      </c>
      <c r="K94" s="20">
        <v>5</v>
      </c>
      <c r="L94">
        <v>3</v>
      </c>
      <c r="M94" s="22">
        <v>1</v>
      </c>
      <c r="N94" s="22">
        <f>M94*K94</f>
        <v>5</v>
      </c>
      <c r="O94" s="23">
        <v>10</v>
      </c>
    </row>
    <row r="95" spans="1:15" x14ac:dyDescent="0.25">
      <c r="A95" s="14" t="s">
        <v>71</v>
      </c>
      <c r="B95" s="21" t="s">
        <v>193</v>
      </c>
      <c r="C95" s="19" t="s">
        <v>323</v>
      </c>
      <c r="D95" s="20">
        <v>65</v>
      </c>
      <c r="E95" s="20" t="s">
        <v>4</v>
      </c>
      <c r="F95" s="21" t="s">
        <v>5</v>
      </c>
      <c r="G95" s="21" t="s">
        <v>6</v>
      </c>
      <c r="H95" s="21" t="s">
        <v>6</v>
      </c>
      <c r="I95" s="21" t="s">
        <v>17</v>
      </c>
      <c r="J95" s="26" t="s">
        <v>197</v>
      </c>
      <c r="K95" s="20">
        <v>3</v>
      </c>
      <c r="L95">
        <v>7</v>
      </c>
      <c r="M95" s="22">
        <v>259</v>
      </c>
      <c r="N95" s="22">
        <f>M95*K95</f>
        <v>777</v>
      </c>
      <c r="O95" s="23">
        <v>75</v>
      </c>
    </row>
    <row r="96" spans="1:15" x14ac:dyDescent="0.25">
      <c r="A96" s="14" t="s">
        <v>71</v>
      </c>
      <c r="B96" s="21" t="s">
        <v>193</v>
      </c>
      <c r="C96" s="19" t="s">
        <v>253</v>
      </c>
      <c r="D96" s="20">
        <v>45</v>
      </c>
      <c r="E96" s="20" t="s">
        <v>4</v>
      </c>
      <c r="F96" s="21" t="s">
        <v>5</v>
      </c>
      <c r="G96" s="21" t="s">
        <v>6</v>
      </c>
      <c r="H96" s="21" t="s">
        <v>6</v>
      </c>
      <c r="I96" s="21" t="s">
        <v>17</v>
      </c>
      <c r="J96" s="21" t="s">
        <v>213</v>
      </c>
      <c r="K96" s="20">
        <v>2</v>
      </c>
      <c r="L96">
        <v>4</v>
      </c>
      <c r="M96" s="22">
        <v>37.5</v>
      </c>
      <c r="N96" s="22">
        <f>M96*K96</f>
        <v>75</v>
      </c>
      <c r="O96" s="23">
        <v>30</v>
      </c>
    </row>
    <row r="97" spans="1:15" x14ac:dyDescent="0.25">
      <c r="A97" s="14" t="s">
        <v>71</v>
      </c>
      <c r="B97" s="21" t="s">
        <v>193</v>
      </c>
      <c r="C97" s="19" t="s">
        <v>289</v>
      </c>
      <c r="D97" s="20">
        <v>55</v>
      </c>
      <c r="E97" s="20" t="s">
        <v>4</v>
      </c>
      <c r="F97" s="21" t="s">
        <v>5</v>
      </c>
      <c r="G97" s="21" t="s">
        <v>6</v>
      </c>
      <c r="H97" s="21" t="s">
        <v>6</v>
      </c>
      <c r="I97" s="21" t="s">
        <v>17</v>
      </c>
      <c r="J97" s="21" t="s">
        <v>207</v>
      </c>
      <c r="K97" s="20">
        <v>2</v>
      </c>
      <c r="L97">
        <v>5</v>
      </c>
      <c r="M97" s="22">
        <v>90</v>
      </c>
      <c r="N97" s="22">
        <f>M97*K97</f>
        <v>180</v>
      </c>
      <c r="O97" s="23">
        <v>45</v>
      </c>
    </row>
    <row r="98" spans="1:15" x14ac:dyDescent="0.25">
      <c r="A98" s="14" t="s">
        <v>72</v>
      </c>
      <c r="B98" s="21" t="s">
        <v>194</v>
      </c>
      <c r="C98" s="19" t="s">
        <v>298</v>
      </c>
      <c r="D98" s="20">
        <v>15</v>
      </c>
      <c r="E98" s="20" t="s">
        <v>4</v>
      </c>
      <c r="F98" s="21" t="s">
        <v>54</v>
      </c>
      <c r="G98" s="21" t="s">
        <v>227</v>
      </c>
      <c r="H98" s="21" t="s">
        <v>227</v>
      </c>
      <c r="I98" s="21"/>
      <c r="J98" s="21" t="s">
        <v>56</v>
      </c>
      <c r="K98" s="20">
        <v>3</v>
      </c>
      <c r="L98">
        <v>3</v>
      </c>
      <c r="M98" s="22">
        <v>1</v>
      </c>
      <c r="N98" s="22">
        <f>M98*K98</f>
        <v>3</v>
      </c>
      <c r="O98" s="23">
        <v>9</v>
      </c>
    </row>
    <row r="99" spans="1:15" x14ac:dyDescent="0.25">
      <c r="A99" s="14" t="s">
        <v>72</v>
      </c>
      <c r="B99" s="21" t="s">
        <v>194</v>
      </c>
      <c r="C99" s="19" t="s">
        <v>340</v>
      </c>
      <c r="D99" s="20">
        <v>30</v>
      </c>
      <c r="E99" s="20" t="s">
        <v>4</v>
      </c>
      <c r="F99" s="21" t="s">
        <v>54</v>
      </c>
      <c r="G99" s="21" t="s">
        <v>227</v>
      </c>
      <c r="H99" s="21" t="s">
        <v>227</v>
      </c>
      <c r="I99" s="21"/>
      <c r="J99" s="21" t="s">
        <v>57</v>
      </c>
      <c r="K99" s="20">
        <v>4</v>
      </c>
      <c r="L99">
        <v>4</v>
      </c>
      <c r="M99" s="22">
        <v>3</v>
      </c>
      <c r="N99" s="22">
        <f>M99*K99</f>
        <v>12</v>
      </c>
      <c r="O99" s="23">
        <v>15</v>
      </c>
    </row>
    <row r="100" spans="1:15" x14ac:dyDescent="0.25">
      <c r="A100" s="14" t="s">
        <v>72</v>
      </c>
      <c r="B100" s="21" t="s">
        <v>194</v>
      </c>
      <c r="C100" s="19" t="s">
        <v>267</v>
      </c>
      <c r="D100" s="20">
        <v>5</v>
      </c>
      <c r="E100" s="20" t="s">
        <v>4</v>
      </c>
      <c r="F100" s="21" t="s">
        <v>54</v>
      </c>
      <c r="G100" s="21" t="s">
        <v>227</v>
      </c>
      <c r="H100" s="21" t="s">
        <v>227</v>
      </c>
      <c r="I100" s="21"/>
      <c r="J100" s="21" t="s">
        <v>55</v>
      </c>
      <c r="K100" s="20">
        <v>2</v>
      </c>
      <c r="L100">
        <v>2</v>
      </c>
      <c r="M100" s="22">
        <v>0.5</v>
      </c>
      <c r="N100" s="22">
        <f>M100*K100</f>
        <v>1</v>
      </c>
      <c r="O100" s="23">
        <v>6</v>
      </c>
    </row>
    <row r="101" spans="1:15" x14ac:dyDescent="0.25">
      <c r="A101" s="14" t="s">
        <v>71</v>
      </c>
      <c r="B101" s="21" t="s">
        <v>193</v>
      </c>
      <c r="C101" s="19" t="s">
        <v>278</v>
      </c>
      <c r="D101" s="20">
        <v>40</v>
      </c>
      <c r="E101" s="20" t="s">
        <v>4</v>
      </c>
      <c r="F101" s="21" t="s">
        <v>5</v>
      </c>
      <c r="G101" s="21" t="s">
        <v>6</v>
      </c>
      <c r="H101" s="21" t="s">
        <v>6</v>
      </c>
      <c r="I101" s="21"/>
      <c r="J101" s="21" t="s">
        <v>212</v>
      </c>
      <c r="K101" s="20">
        <v>1</v>
      </c>
      <c r="L101">
        <v>3</v>
      </c>
      <c r="M101" s="22">
        <v>100</v>
      </c>
      <c r="N101" s="22">
        <f>M101*K101</f>
        <v>100</v>
      </c>
      <c r="O101" s="23">
        <v>30</v>
      </c>
    </row>
    <row r="102" spans="1:15" x14ac:dyDescent="0.25">
      <c r="A102" s="14" t="s">
        <v>71</v>
      </c>
      <c r="B102" s="21" t="s">
        <v>193</v>
      </c>
      <c r="C102" s="19" t="s">
        <v>311</v>
      </c>
      <c r="D102" s="20">
        <v>45</v>
      </c>
      <c r="E102" s="20" t="s">
        <v>4</v>
      </c>
      <c r="F102" s="21" t="s">
        <v>5</v>
      </c>
      <c r="G102" s="21" t="s">
        <v>6</v>
      </c>
      <c r="H102" s="21" t="s">
        <v>6</v>
      </c>
      <c r="I102" s="21"/>
      <c r="J102" s="21" t="s">
        <v>206</v>
      </c>
      <c r="K102" s="20">
        <v>1</v>
      </c>
      <c r="L102">
        <v>4</v>
      </c>
      <c r="M102" s="22">
        <v>250</v>
      </c>
      <c r="N102" s="22">
        <f>M102*K102</f>
        <v>250</v>
      </c>
      <c r="O102" s="23">
        <v>45</v>
      </c>
    </row>
    <row r="103" spans="1:15" x14ac:dyDescent="0.25">
      <c r="A103" s="14" t="s">
        <v>71</v>
      </c>
      <c r="B103" s="21" t="s">
        <v>193</v>
      </c>
      <c r="C103" s="19" t="s">
        <v>328</v>
      </c>
      <c r="D103" s="20">
        <v>50</v>
      </c>
      <c r="E103" s="20" t="s">
        <v>4</v>
      </c>
      <c r="F103" s="21" t="s">
        <v>5</v>
      </c>
      <c r="G103" s="21" t="s">
        <v>6</v>
      </c>
      <c r="H103" s="21" t="s">
        <v>6</v>
      </c>
      <c r="I103" s="21"/>
      <c r="J103" s="21" t="s">
        <v>195</v>
      </c>
      <c r="K103" s="20">
        <v>1</v>
      </c>
      <c r="L103">
        <v>5</v>
      </c>
      <c r="M103" s="22">
        <v>750</v>
      </c>
      <c r="N103" s="22">
        <f>M103*K103</f>
        <v>750</v>
      </c>
      <c r="O103" s="23">
        <v>75</v>
      </c>
    </row>
    <row r="104" spans="1:15" x14ac:dyDescent="0.25">
      <c r="A104" s="14" t="s">
        <v>71</v>
      </c>
      <c r="B104" s="21" t="s">
        <v>193</v>
      </c>
      <c r="C104" s="19" t="s">
        <v>252</v>
      </c>
      <c r="D104" s="20">
        <v>35</v>
      </c>
      <c r="E104" s="20" t="s">
        <v>4</v>
      </c>
      <c r="F104" s="21" t="s">
        <v>5</v>
      </c>
      <c r="G104" s="21" t="s">
        <v>6</v>
      </c>
      <c r="H104" s="21" t="s">
        <v>6</v>
      </c>
      <c r="I104" s="21"/>
      <c r="J104" s="21" t="s">
        <v>215</v>
      </c>
      <c r="K104" s="20">
        <v>1</v>
      </c>
      <c r="L104">
        <v>2</v>
      </c>
      <c r="M104" s="22">
        <v>12.5</v>
      </c>
      <c r="N104" s="22">
        <f>M104*K104</f>
        <v>12.5</v>
      </c>
      <c r="O104" s="23">
        <v>24</v>
      </c>
    </row>
    <row r="105" spans="1:15" x14ac:dyDescent="0.25">
      <c r="A105" s="14" t="s">
        <v>71</v>
      </c>
      <c r="B105" s="21" t="s">
        <v>193</v>
      </c>
      <c r="C105" s="19" t="s">
        <v>305</v>
      </c>
      <c r="D105" s="20">
        <v>45</v>
      </c>
      <c r="E105" s="20" t="s">
        <v>4</v>
      </c>
      <c r="F105" s="21" t="s">
        <v>5</v>
      </c>
      <c r="G105" s="21" t="s">
        <v>6</v>
      </c>
      <c r="H105" s="21" t="s">
        <v>6</v>
      </c>
      <c r="I105" s="21"/>
      <c r="J105" s="21" t="s">
        <v>209</v>
      </c>
      <c r="K105" s="20">
        <v>1</v>
      </c>
      <c r="L105">
        <v>3</v>
      </c>
      <c r="M105" s="22">
        <v>50</v>
      </c>
      <c r="N105" s="22">
        <f>M105*K105</f>
        <v>50</v>
      </c>
      <c r="O105" s="23">
        <v>36</v>
      </c>
    </row>
    <row r="106" spans="1:15" x14ac:dyDescent="0.25">
      <c r="A106" s="14" t="s">
        <v>71</v>
      </c>
      <c r="B106" s="21" t="s">
        <v>193</v>
      </c>
      <c r="C106" s="19" t="s">
        <v>329</v>
      </c>
      <c r="D106" s="20">
        <v>55</v>
      </c>
      <c r="E106" s="20" t="s">
        <v>4</v>
      </c>
      <c r="F106" s="21" t="s">
        <v>5</v>
      </c>
      <c r="G106" s="21" t="s">
        <v>6</v>
      </c>
      <c r="H106" s="21" t="s">
        <v>6</v>
      </c>
      <c r="I106" s="21"/>
      <c r="J106" s="21" t="s">
        <v>199</v>
      </c>
      <c r="K106" s="20">
        <v>1</v>
      </c>
      <c r="L106">
        <v>4</v>
      </c>
      <c r="M106" s="22">
        <v>200</v>
      </c>
      <c r="N106" s="22">
        <f>M106*K106</f>
        <v>200</v>
      </c>
      <c r="O106" s="23">
        <v>60</v>
      </c>
    </row>
    <row r="107" spans="1:15" x14ac:dyDescent="0.25">
      <c r="A107" s="14" t="s">
        <v>71</v>
      </c>
      <c r="B107" s="21" t="s">
        <v>193</v>
      </c>
      <c r="C107" s="19" t="s">
        <v>279</v>
      </c>
      <c r="D107" s="20">
        <v>40</v>
      </c>
      <c r="E107" s="20" t="s">
        <v>4</v>
      </c>
      <c r="F107" s="21" t="s">
        <v>5</v>
      </c>
      <c r="G107" s="21" t="s">
        <v>6</v>
      </c>
      <c r="H107" s="21" t="s">
        <v>6</v>
      </c>
      <c r="I107" s="21"/>
      <c r="J107" s="21" t="s">
        <v>216</v>
      </c>
      <c r="K107" s="20">
        <v>1</v>
      </c>
      <c r="L107">
        <v>3</v>
      </c>
      <c r="M107" s="22">
        <v>50</v>
      </c>
      <c r="N107" s="22">
        <f>M107*K107</f>
        <v>50</v>
      </c>
      <c r="O107" s="23">
        <v>24</v>
      </c>
    </row>
    <row r="108" spans="1:15" x14ac:dyDescent="0.25">
      <c r="A108" s="14" t="s">
        <v>71</v>
      </c>
      <c r="B108" s="21" t="s">
        <v>193</v>
      </c>
      <c r="C108" s="19" t="s">
        <v>312</v>
      </c>
      <c r="D108" s="20">
        <v>50</v>
      </c>
      <c r="E108" s="20" t="s">
        <v>4</v>
      </c>
      <c r="F108" s="21" t="s">
        <v>5</v>
      </c>
      <c r="G108" s="21" t="s">
        <v>6</v>
      </c>
      <c r="H108" s="21" t="s">
        <v>6</v>
      </c>
      <c r="I108" s="21"/>
      <c r="J108" s="21" t="s">
        <v>210</v>
      </c>
      <c r="K108" s="20">
        <v>1</v>
      </c>
      <c r="L108">
        <v>4</v>
      </c>
      <c r="M108" s="22">
        <v>150</v>
      </c>
      <c r="N108" s="22">
        <f>M108*K108</f>
        <v>150</v>
      </c>
      <c r="O108" s="23">
        <v>36</v>
      </c>
    </row>
    <row r="109" spans="1:15" x14ac:dyDescent="0.25">
      <c r="A109" s="14" t="s">
        <v>71</v>
      </c>
      <c r="B109" s="21" t="s">
        <v>193</v>
      </c>
      <c r="C109" s="19" t="s">
        <v>331</v>
      </c>
      <c r="D109" s="20">
        <v>60</v>
      </c>
      <c r="E109" s="20" t="s">
        <v>4</v>
      </c>
      <c r="F109" s="21" t="s">
        <v>5</v>
      </c>
      <c r="G109" s="21" t="s">
        <v>6</v>
      </c>
      <c r="H109" s="21" t="s">
        <v>6</v>
      </c>
      <c r="I109" s="21"/>
      <c r="J109" s="21" t="s">
        <v>200</v>
      </c>
      <c r="K109" s="20">
        <v>1</v>
      </c>
      <c r="L109">
        <v>5</v>
      </c>
      <c r="M109" s="22">
        <v>500</v>
      </c>
      <c r="N109" s="22">
        <f>M109*K109</f>
        <v>500</v>
      </c>
      <c r="O109" s="23">
        <v>60</v>
      </c>
    </row>
    <row r="110" spans="1:15" x14ac:dyDescent="0.25">
      <c r="A110" s="14" t="s">
        <v>71</v>
      </c>
      <c r="B110" s="21" t="s">
        <v>194</v>
      </c>
      <c r="C110" s="19" t="s">
        <v>276</v>
      </c>
      <c r="D110" s="20">
        <v>45</v>
      </c>
      <c r="E110" s="20" t="s">
        <v>4</v>
      </c>
      <c r="F110" s="21" t="s">
        <v>5</v>
      </c>
      <c r="G110" s="21" t="s">
        <v>14</v>
      </c>
      <c r="H110" s="21" t="s">
        <v>15</v>
      </c>
      <c r="I110" s="21" t="s">
        <v>17</v>
      </c>
      <c r="J110" s="21" t="s">
        <v>16</v>
      </c>
      <c r="K110" s="20">
        <v>2</v>
      </c>
      <c r="L110">
        <v>4</v>
      </c>
      <c r="M110" s="22">
        <v>31</v>
      </c>
      <c r="N110" s="22">
        <f>M110*K110</f>
        <v>62</v>
      </c>
      <c r="O110" s="23">
        <v>10</v>
      </c>
    </row>
    <row r="111" spans="1:15" x14ac:dyDescent="0.25">
      <c r="A111" s="14" t="s">
        <v>71</v>
      </c>
      <c r="B111" s="21" t="s">
        <v>194</v>
      </c>
      <c r="C111" s="19" t="s">
        <v>309</v>
      </c>
      <c r="D111" s="20">
        <v>55</v>
      </c>
      <c r="E111" s="20" t="s">
        <v>4</v>
      </c>
      <c r="F111" s="21" t="s">
        <v>5</v>
      </c>
      <c r="G111" s="21" t="s">
        <v>14</v>
      </c>
      <c r="H111" s="21" t="s">
        <v>15</v>
      </c>
      <c r="I111" s="21" t="s">
        <v>17</v>
      </c>
      <c r="J111" s="21" t="s">
        <v>18</v>
      </c>
      <c r="K111" s="20">
        <v>2</v>
      </c>
      <c r="L111">
        <v>5</v>
      </c>
      <c r="M111" s="22">
        <v>75</v>
      </c>
      <c r="N111" s="22">
        <f>M111*K111</f>
        <v>150</v>
      </c>
      <c r="O111" s="23">
        <v>15</v>
      </c>
    </row>
    <row r="112" spans="1:15" x14ac:dyDescent="0.25">
      <c r="A112" s="14" t="s">
        <v>71</v>
      </c>
      <c r="B112" s="21" t="s">
        <v>194</v>
      </c>
      <c r="C112" s="19" t="s">
        <v>326</v>
      </c>
      <c r="D112" s="20">
        <v>65</v>
      </c>
      <c r="E112" s="20" t="s">
        <v>4</v>
      </c>
      <c r="F112" s="21" t="s">
        <v>5</v>
      </c>
      <c r="G112" s="21" t="s">
        <v>14</v>
      </c>
      <c r="H112" s="21" t="s">
        <v>15</v>
      </c>
      <c r="I112" s="21" t="s">
        <v>17</v>
      </c>
      <c r="J112" s="21" t="s">
        <v>19</v>
      </c>
      <c r="K112" s="20">
        <v>2</v>
      </c>
      <c r="L112">
        <v>6</v>
      </c>
      <c r="M112" s="22">
        <v>250</v>
      </c>
      <c r="N112" s="22">
        <f>M112*K112</f>
        <v>500</v>
      </c>
      <c r="O112" s="23">
        <v>25</v>
      </c>
    </row>
    <row r="113" spans="1:15" x14ac:dyDescent="0.25">
      <c r="A113" s="14" t="s">
        <v>72</v>
      </c>
      <c r="B113" s="21" t="s">
        <v>194</v>
      </c>
      <c r="C113" s="19" t="s">
        <v>268</v>
      </c>
      <c r="D113" s="20">
        <v>5</v>
      </c>
      <c r="E113" s="20" t="s">
        <v>4</v>
      </c>
      <c r="F113" s="21" t="s">
        <v>54</v>
      </c>
      <c r="G113" s="21" t="s">
        <v>6</v>
      </c>
      <c r="H113" s="21" t="s">
        <v>6</v>
      </c>
      <c r="I113" s="21" t="s">
        <v>17</v>
      </c>
      <c r="J113" s="21" t="s">
        <v>67</v>
      </c>
      <c r="K113" s="20">
        <v>3</v>
      </c>
      <c r="L113">
        <v>4</v>
      </c>
      <c r="M113" s="22">
        <v>50</v>
      </c>
      <c r="N113" s="22">
        <f>M113*K113</f>
        <v>150</v>
      </c>
      <c r="O113" s="23">
        <v>12</v>
      </c>
    </row>
    <row r="114" spans="1:15" x14ac:dyDescent="0.25">
      <c r="A114" s="14" t="s">
        <v>72</v>
      </c>
      <c r="B114" s="21" t="s">
        <v>194</v>
      </c>
      <c r="C114" s="19" t="s">
        <v>299</v>
      </c>
      <c r="D114" s="20">
        <v>15</v>
      </c>
      <c r="E114" s="20" t="s">
        <v>4</v>
      </c>
      <c r="F114" s="21" t="s">
        <v>54</v>
      </c>
      <c r="G114" s="21" t="s">
        <v>6</v>
      </c>
      <c r="H114" s="21" t="s">
        <v>6</v>
      </c>
      <c r="I114" s="21" t="s">
        <v>17</v>
      </c>
      <c r="J114" s="21" t="s">
        <v>68</v>
      </c>
      <c r="K114" s="20">
        <v>4</v>
      </c>
      <c r="L114">
        <v>5</v>
      </c>
      <c r="M114" s="22">
        <v>150</v>
      </c>
      <c r="N114" s="22">
        <f>M114*K114</f>
        <v>600</v>
      </c>
      <c r="O114" s="23">
        <v>18</v>
      </c>
    </row>
    <row r="115" spans="1:15" x14ac:dyDescent="0.25">
      <c r="A115" s="14" t="s">
        <v>72</v>
      </c>
      <c r="B115" s="21" t="s">
        <v>194</v>
      </c>
      <c r="C115" s="19" t="s">
        <v>341</v>
      </c>
      <c r="D115" s="20">
        <v>30</v>
      </c>
      <c r="E115" s="20" t="s">
        <v>4</v>
      </c>
      <c r="F115" s="21" t="s">
        <v>54</v>
      </c>
      <c r="G115" s="21" t="s">
        <v>6</v>
      </c>
      <c r="H115" s="21" t="s">
        <v>6</v>
      </c>
      <c r="I115" s="21" t="s">
        <v>17</v>
      </c>
      <c r="J115" s="21" t="s">
        <v>69</v>
      </c>
      <c r="K115" s="20">
        <v>5</v>
      </c>
      <c r="L115">
        <v>6</v>
      </c>
      <c r="M115" s="22">
        <v>500</v>
      </c>
      <c r="N115" s="22">
        <f>M115*K115</f>
        <v>2500</v>
      </c>
      <c r="O115" s="23">
        <v>30</v>
      </c>
    </row>
    <row r="116" spans="1:15" x14ac:dyDescent="0.25">
      <c r="A116" s="14" t="s">
        <v>71</v>
      </c>
      <c r="B116" s="21" t="s">
        <v>193</v>
      </c>
      <c r="C116" s="19" t="s">
        <v>21</v>
      </c>
      <c r="D116" s="20">
        <v>35</v>
      </c>
      <c r="E116" s="20" t="s">
        <v>4</v>
      </c>
      <c r="F116" s="21" t="s">
        <v>5</v>
      </c>
      <c r="G116" s="21" t="s">
        <v>224</v>
      </c>
      <c r="H116" s="21" t="s">
        <v>225</v>
      </c>
      <c r="I116" s="21" t="s">
        <v>17</v>
      </c>
      <c r="J116" s="21" t="s">
        <v>219</v>
      </c>
      <c r="K116" s="20">
        <v>2</v>
      </c>
      <c r="L116">
        <v>2</v>
      </c>
      <c r="M116" s="22">
        <v>25</v>
      </c>
      <c r="N116" s="22">
        <f>M116*K116</f>
        <v>50</v>
      </c>
      <c r="O116" s="23">
        <v>12</v>
      </c>
    </row>
    <row r="117" spans="1:15" x14ac:dyDescent="0.25">
      <c r="A117" s="14" t="s">
        <v>72</v>
      </c>
      <c r="B117" s="21" t="s">
        <v>194</v>
      </c>
      <c r="C117" s="28" t="s">
        <v>274</v>
      </c>
      <c r="D117" s="20">
        <v>5</v>
      </c>
      <c r="E117" s="20" t="s">
        <v>4</v>
      </c>
      <c r="F117" s="21" t="s">
        <v>54</v>
      </c>
      <c r="G117" s="21" t="s">
        <v>227</v>
      </c>
      <c r="H117" s="21" t="s">
        <v>230</v>
      </c>
      <c r="I117" s="21" t="s">
        <v>17</v>
      </c>
      <c r="J117" s="21" t="s">
        <v>58</v>
      </c>
      <c r="K117" s="20">
        <v>2</v>
      </c>
      <c r="L117">
        <v>2</v>
      </c>
      <c r="M117" s="22">
        <v>0.5</v>
      </c>
      <c r="N117" s="22">
        <f>M117*K117</f>
        <v>1</v>
      </c>
      <c r="O117" s="23">
        <v>12</v>
      </c>
    </row>
    <row r="118" spans="1:15" x14ac:dyDescent="0.25">
      <c r="A118" s="14" t="s">
        <v>72</v>
      </c>
      <c r="B118" s="21" t="s">
        <v>194</v>
      </c>
      <c r="C118" s="28" t="s">
        <v>303</v>
      </c>
      <c r="D118" s="20">
        <v>15</v>
      </c>
      <c r="E118" s="20" t="s">
        <v>4</v>
      </c>
      <c r="F118" s="21" t="s">
        <v>54</v>
      </c>
      <c r="G118" s="21" t="s">
        <v>227</v>
      </c>
      <c r="H118" s="21" t="s">
        <v>230</v>
      </c>
      <c r="I118" s="21" t="s">
        <v>17</v>
      </c>
      <c r="J118" s="21" t="s">
        <v>59</v>
      </c>
      <c r="K118" s="20">
        <v>3</v>
      </c>
      <c r="L118">
        <v>3</v>
      </c>
      <c r="M118" s="22">
        <v>1</v>
      </c>
      <c r="N118" s="22">
        <f>M118*K118</f>
        <v>3</v>
      </c>
      <c r="O118" s="23">
        <v>18</v>
      </c>
    </row>
    <row r="119" spans="1:15" x14ac:dyDescent="0.25">
      <c r="A119" s="14" t="s">
        <v>72</v>
      </c>
      <c r="B119" s="21" t="s">
        <v>194</v>
      </c>
      <c r="C119" s="28" t="s">
        <v>346</v>
      </c>
      <c r="D119" s="20">
        <v>30</v>
      </c>
      <c r="E119" s="20" t="s">
        <v>4</v>
      </c>
      <c r="F119" s="21" t="s">
        <v>54</v>
      </c>
      <c r="G119" s="21" t="s">
        <v>227</v>
      </c>
      <c r="H119" s="21" t="s">
        <v>230</v>
      </c>
      <c r="I119" s="21" t="s">
        <v>17</v>
      </c>
      <c r="J119" s="21" t="s">
        <v>60</v>
      </c>
      <c r="K119" s="20">
        <v>4</v>
      </c>
      <c r="L119">
        <v>4</v>
      </c>
      <c r="M119" s="22">
        <v>3</v>
      </c>
      <c r="N119" s="22">
        <f>M119*K119</f>
        <v>12</v>
      </c>
      <c r="O119" s="23">
        <v>30</v>
      </c>
    </row>
  </sheetData>
  <autoFilter ref="A1:O119" xr:uid="{00000000-0009-0000-0000-000000000000}">
    <sortState xmlns:xlrd2="http://schemas.microsoft.com/office/spreadsheetml/2017/richdata2" ref="A2:O119">
      <sortCondition ref="J1:J119"/>
    </sortState>
  </autoFilter>
  <phoneticPr fontId="1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1"/>
  <sheetViews>
    <sheetView zoomScale="130" zoomScaleNormal="130" workbookViewId="0">
      <selection activeCell="E12" sqref="E12"/>
    </sheetView>
  </sheetViews>
  <sheetFormatPr baseColWidth="10" defaultColWidth="9.140625" defaultRowHeight="15" x14ac:dyDescent="0.25"/>
  <cols>
    <col min="1" max="1" width="89" customWidth="1"/>
    <col min="2" max="2" width="16" customWidth="1"/>
    <col min="3" max="3" width="26.28515625" customWidth="1"/>
    <col min="4" max="4" width="16.140625" customWidth="1"/>
    <col min="5" max="5" width="15.28515625" bestFit="1" customWidth="1"/>
    <col min="6" max="7" width="13.5703125" bestFit="1" customWidth="1"/>
    <col min="8" max="8" width="15.7109375" bestFit="1" customWidth="1"/>
    <col min="9" max="9" width="4" bestFit="1" customWidth="1"/>
    <col min="10" max="10" width="7.5703125" bestFit="1" customWidth="1"/>
    <col min="11" max="11" width="4" bestFit="1" customWidth="1"/>
    <col min="12" max="12" width="7.5703125" bestFit="1" customWidth="1"/>
    <col min="13" max="13" width="4" bestFit="1" customWidth="1"/>
    <col min="14" max="14" width="7.5703125" bestFit="1" customWidth="1"/>
    <col min="15" max="15" width="4" bestFit="1" customWidth="1"/>
    <col min="16" max="16" width="7.5703125" bestFit="1" customWidth="1"/>
    <col min="17" max="17" width="4" bestFit="1" customWidth="1"/>
    <col min="18" max="18" width="7.5703125" bestFit="1" customWidth="1"/>
    <col min="19" max="19" width="5.42578125" bestFit="1" customWidth="1"/>
  </cols>
  <sheetData>
    <row r="1" spans="1:16" ht="25.5" x14ac:dyDescent="0.35">
      <c r="A1" s="2" t="s">
        <v>79</v>
      </c>
    </row>
    <row r="2" spans="1:16" ht="18" x14ac:dyDescent="0.25">
      <c r="A2" s="3" t="s">
        <v>80</v>
      </c>
    </row>
    <row r="3" spans="1:16" ht="18" x14ac:dyDescent="0.25">
      <c r="A3" s="3" t="s">
        <v>81</v>
      </c>
    </row>
    <row r="4" spans="1:16" ht="18" x14ac:dyDescent="0.25">
      <c r="A4" s="3" t="s">
        <v>82</v>
      </c>
    </row>
    <row r="5" spans="1:16" ht="18" x14ac:dyDescent="0.25">
      <c r="A5" s="3" t="s">
        <v>83</v>
      </c>
    </row>
    <row r="6" spans="1:16" ht="15.75" x14ac:dyDescent="0.25">
      <c r="A6" s="4" t="s">
        <v>84</v>
      </c>
    </row>
    <row r="7" spans="1:16" ht="18" x14ac:dyDescent="0.25">
      <c r="A7" s="3" t="s">
        <v>85</v>
      </c>
    </row>
    <row r="8" spans="1:16" ht="18" x14ac:dyDescent="0.25">
      <c r="A8" s="3" t="s">
        <v>86</v>
      </c>
    </row>
    <row r="10" spans="1:16" ht="18" x14ac:dyDescent="0.25">
      <c r="A10" s="3" t="s">
        <v>87</v>
      </c>
    </row>
    <row r="12" spans="1:16" ht="15.75" x14ac:dyDescent="0.25">
      <c r="A12" s="5" t="s">
        <v>88</v>
      </c>
      <c r="B12" s="5" t="s">
        <v>89</v>
      </c>
      <c r="C12" s="5" t="s">
        <v>90</v>
      </c>
      <c r="D12" s="5" t="s">
        <v>91</v>
      </c>
      <c r="E12" s="5" t="s">
        <v>92</v>
      </c>
      <c r="F12" s="5" t="s">
        <v>93</v>
      </c>
      <c r="H12" s="5" t="s">
        <v>94</v>
      </c>
      <c r="J12" s="5" t="s">
        <v>95</v>
      </c>
      <c r="L12" s="5" t="s">
        <v>96</v>
      </c>
      <c r="N12" s="5" t="s">
        <v>97</v>
      </c>
      <c r="P12" s="5" t="s">
        <v>98</v>
      </c>
    </row>
    <row r="13" spans="1:16" ht="15.75" x14ac:dyDescent="0.25">
      <c r="A13" s="5"/>
      <c r="B13" s="5" t="s">
        <v>99</v>
      </c>
      <c r="C13" s="6">
        <v>1.5</v>
      </c>
      <c r="D13" s="6">
        <v>1.75</v>
      </c>
      <c r="E13" s="6">
        <v>1.87</v>
      </c>
      <c r="F13" s="6">
        <v>1.93</v>
      </c>
      <c r="H13" s="6">
        <v>1.96</v>
      </c>
      <c r="J13" s="6">
        <v>1.97</v>
      </c>
      <c r="L13" s="6">
        <v>1.97</v>
      </c>
      <c r="N13" s="6">
        <v>1.97</v>
      </c>
      <c r="P13" s="6">
        <v>1.97</v>
      </c>
    </row>
    <row r="15" spans="1:16" ht="15.75" x14ac:dyDescent="0.25">
      <c r="A15" s="5" t="s">
        <v>100</v>
      </c>
      <c r="B15" s="5" t="s">
        <v>101</v>
      </c>
    </row>
    <row r="17" spans="1:2" ht="18" x14ac:dyDescent="0.25">
      <c r="A17" s="3" t="s">
        <v>102</v>
      </c>
    </row>
    <row r="18" spans="1:2" ht="15.75" x14ac:dyDescent="0.25">
      <c r="B18" s="5"/>
    </row>
    <row r="19" spans="1:2" ht="15.75" x14ac:dyDescent="0.25">
      <c r="A19" s="5" t="s">
        <v>103</v>
      </c>
      <c r="B19" s="5" t="s">
        <v>154</v>
      </c>
    </row>
    <row r="20" spans="1:2" ht="15.75" x14ac:dyDescent="0.25">
      <c r="A20" s="5"/>
    </row>
    <row r="21" spans="1:2" ht="15.75" x14ac:dyDescent="0.25">
      <c r="A21" s="5" t="s">
        <v>43</v>
      </c>
      <c r="B21" s="5" t="s">
        <v>157</v>
      </c>
    </row>
    <row r="22" spans="1:2" ht="15.75" x14ac:dyDescent="0.25">
      <c r="A22" s="5"/>
    </row>
    <row r="23" spans="1:2" ht="15.75" x14ac:dyDescent="0.25">
      <c r="A23" s="5" t="s">
        <v>54</v>
      </c>
      <c r="B23" s="5" t="s">
        <v>156</v>
      </c>
    </row>
    <row r="24" spans="1:2" ht="15.75" x14ac:dyDescent="0.25">
      <c r="A24" s="5"/>
    </row>
    <row r="25" spans="1:2" ht="15.75" x14ac:dyDescent="0.25">
      <c r="A25" s="5" t="s">
        <v>104</v>
      </c>
      <c r="B25" s="5" t="s">
        <v>155</v>
      </c>
    </row>
    <row r="26" spans="1:2" ht="15.75" x14ac:dyDescent="0.25">
      <c r="A26" s="5"/>
    </row>
    <row r="27" spans="1:2" ht="15.75" x14ac:dyDescent="0.25">
      <c r="A27" s="5" t="s">
        <v>34</v>
      </c>
      <c r="B27" s="5" t="s">
        <v>158</v>
      </c>
    </row>
    <row r="29" spans="1:2" ht="18" x14ac:dyDescent="0.25">
      <c r="A29" s="3" t="s">
        <v>105</v>
      </c>
    </row>
    <row r="31" spans="1:2" ht="15.75" x14ac:dyDescent="0.25">
      <c r="A31" s="5"/>
    </row>
    <row r="33" spans="1:1" ht="18" x14ac:dyDescent="0.25">
      <c r="A33" s="3" t="s">
        <v>106</v>
      </c>
    </row>
    <row r="35" spans="1:1" ht="15.75" x14ac:dyDescent="0.25">
      <c r="A35" s="5"/>
    </row>
    <row r="37" spans="1:1" ht="18" x14ac:dyDescent="0.25">
      <c r="A37" s="3" t="s">
        <v>107</v>
      </c>
    </row>
    <row r="39" spans="1:1" ht="15.75" x14ac:dyDescent="0.25">
      <c r="A39" s="5" t="s">
        <v>108</v>
      </c>
    </row>
    <row r="41" spans="1:1" ht="15.75" x14ac:dyDescent="0.25">
      <c r="A41" s="5"/>
    </row>
    <row r="43" spans="1:1" ht="18" x14ac:dyDescent="0.25">
      <c r="A43" s="3" t="s">
        <v>109</v>
      </c>
    </row>
    <row r="45" spans="1:1" ht="15.75" x14ac:dyDescent="0.25">
      <c r="A45" s="5"/>
    </row>
    <row r="47" spans="1:1" ht="18" x14ac:dyDescent="0.25">
      <c r="A47" s="3" t="s">
        <v>110</v>
      </c>
    </row>
    <row r="49" spans="1:3" ht="15.75" x14ac:dyDescent="0.25">
      <c r="A49" s="5" t="s">
        <v>111</v>
      </c>
    </row>
    <row r="51" spans="1:3" ht="15.75" x14ac:dyDescent="0.25">
      <c r="A51" s="5"/>
    </row>
    <row r="53" spans="1:3" ht="18" x14ac:dyDescent="0.25">
      <c r="A53" s="3" t="s">
        <v>112</v>
      </c>
    </row>
    <row r="54" spans="1:3" ht="15.75" x14ac:dyDescent="0.25">
      <c r="B54" s="5"/>
    </row>
    <row r="55" spans="1:3" ht="15.75" x14ac:dyDescent="0.25">
      <c r="A55" s="5">
        <v>1</v>
      </c>
      <c r="B55" s="5" t="s">
        <v>113</v>
      </c>
      <c r="C55" s="5" t="s">
        <v>114</v>
      </c>
    </row>
    <row r="56" spans="1:3" ht="15.75" x14ac:dyDescent="0.25">
      <c r="A56" s="5"/>
    </row>
    <row r="57" spans="1:3" ht="15.75" x14ac:dyDescent="0.25">
      <c r="A57" s="5">
        <v>2</v>
      </c>
      <c r="B57" s="5" t="s">
        <v>113</v>
      </c>
      <c r="C57" s="5" t="s">
        <v>115</v>
      </c>
    </row>
    <row r="58" spans="1:3" ht="15.75" x14ac:dyDescent="0.25">
      <c r="A58" s="5"/>
    </row>
    <row r="59" spans="1:3" ht="15.75" x14ac:dyDescent="0.25">
      <c r="A59" s="5">
        <v>3</v>
      </c>
      <c r="B59" s="5" t="s">
        <v>113</v>
      </c>
      <c r="C59" s="5" t="s">
        <v>116</v>
      </c>
    </row>
    <row r="60" spans="1:3" ht="15.75" x14ac:dyDescent="0.25">
      <c r="A60" s="5"/>
    </row>
    <row r="61" spans="1:3" ht="15.75" x14ac:dyDescent="0.25">
      <c r="A61" s="5">
        <v>4</v>
      </c>
      <c r="B61" s="5" t="s">
        <v>113</v>
      </c>
      <c r="C61" s="5" t="s">
        <v>117</v>
      </c>
    </row>
    <row r="62" spans="1:3" ht="15.75" x14ac:dyDescent="0.25">
      <c r="A62" s="5"/>
    </row>
    <row r="63" spans="1:3" ht="15.75" x14ac:dyDescent="0.25">
      <c r="A63" s="5">
        <v>5</v>
      </c>
      <c r="B63" s="5" t="s">
        <v>113</v>
      </c>
      <c r="C63" s="5" t="s">
        <v>118</v>
      </c>
    </row>
    <row r="64" spans="1:3" ht="15.75" x14ac:dyDescent="0.25">
      <c r="A64" s="5"/>
    </row>
    <row r="65" spans="1:3" ht="15.75" x14ac:dyDescent="0.25">
      <c r="A65" s="5">
        <v>6</v>
      </c>
      <c r="B65" s="5" t="s">
        <v>113</v>
      </c>
      <c r="C65" s="5" t="s">
        <v>119</v>
      </c>
    </row>
    <row r="66" spans="1:3" ht="15.75" x14ac:dyDescent="0.25">
      <c r="A66" s="5"/>
    </row>
    <row r="67" spans="1:3" ht="15.75" x14ac:dyDescent="0.25">
      <c r="A67" s="5">
        <v>7</v>
      </c>
      <c r="B67" s="5" t="s">
        <v>113</v>
      </c>
      <c r="C67" s="5" t="s">
        <v>120</v>
      </c>
    </row>
    <row r="69" spans="1:3" ht="15.75" x14ac:dyDescent="0.25">
      <c r="A69" s="5"/>
    </row>
    <row r="71" spans="1:3" ht="15.75" x14ac:dyDescent="0.25">
      <c r="A71" s="5" t="s">
        <v>121</v>
      </c>
    </row>
    <row r="73" spans="1:3" ht="18" x14ac:dyDescent="0.25">
      <c r="A73" s="3" t="s">
        <v>122</v>
      </c>
    </row>
    <row r="75" spans="1:3" ht="15.75" x14ac:dyDescent="0.25">
      <c r="A75" s="5" t="s">
        <v>123</v>
      </c>
    </row>
    <row r="77" spans="1:3" ht="15.75" x14ac:dyDescent="0.25">
      <c r="A77" s="5" t="s">
        <v>124</v>
      </c>
    </row>
    <row r="79" spans="1:3" ht="15.75" x14ac:dyDescent="0.25">
      <c r="A79" s="5" t="s">
        <v>125</v>
      </c>
    </row>
    <row r="80" spans="1:3" ht="15.75" x14ac:dyDescent="0.25">
      <c r="C80" s="7"/>
    </row>
    <row r="81" spans="1:4" ht="15.75" x14ac:dyDescent="0.25">
      <c r="A81" s="7" t="s">
        <v>126</v>
      </c>
      <c r="C81" s="5" t="s">
        <v>127</v>
      </c>
    </row>
    <row r="82" spans="1:4" ht="15.75" x14ac:dyDescent="0.25">
      <c r="A82" s="7"/>
    </row>
    <row r="83" spans="1:4" ht="15.75" x14ac:dyDescent="0.25">
      <c r="A83" s="7" t="s">
        <v>128</v>
      </c>
      <c r="C83" s="5" t="s">
        <v>129</v>
      </c>
    </row>
    <row r="84" spans="1:4" ht="15.75" x14ac:dyDescent="0.25">
      <c r="A84" s="7"/>
    </row>
    <row r="85" spans="1:4" ht="15.75" x14ac:dyDescent="0.25">
      <c r="A85" s="7" t="s">
        <v>130</v>
      </c>
      <c r="C85" s="5" t="s">
        <v>131</v>
      </c>
    </row>
    <row r="86" spans="1:4" ht="15.75" x14ac:dyDescent="0.25">
      <c r="A86" s="7"/>
      <c r="B86" s="5" t="s">
        <v>133</v>
      </c>
    </row>
    <row r="87" spans="1:4" ht="15.75" x14ac:dyDescent="0.25">
      <c r="A87" s="7" t="s">
        <v>132</v>
      </c>
      <c r="C87" s="5" t="s">
        <v>134</v>
      </c>
    </row>
    <row r="88" spans="1:4" ht="15.75" x14ac:dyDescent="0.25">
      <c r="A88" s="7"/>
    </row>
    <row r="89" spans="1:4" ht="15.75" x14ac:dyDescent="0.25">
      <c r="A89" s="7" t="s">
        <v>135</v>
      </c>
      <c r="C89" s="5" t="s">
        <v>136</v>
      </c>
    </row>
    <row r="90" spans="1:4" ht="15.75" x14ac:dyDescent="0.25">
      <c r="A90" s="7"/>
    </row>
    <row r="91" spans="1:4" ht="15.75" x14ac:dyDescent="0.25">
      <c r="A91" s="7" t="s">
        <v>137</v>
      </c>
      <c r="C91" s="5" t="s">
        <v>138</v>
      </c>
    </row>
    <row r="93" spans="1:4" ht="15.75" x14ac:dyDescent="0.25">
      <c r="A93" s="12" t="s">
        <v>139</v>
      </c>
      <c r="B93" s="1"/>
      <c r="C93" s="13" t="s">
        <v>140</v>
      </c>
      <c r="D93" s="1"/>
    </row>
    <row r="95" spans="1:4" ht="15.75" x14ac:dyDescent="0.25">
      <c r="A95" s="8"/>
    </row>
    <row r="97" spans="1:1" ht="18" x14ac:dyDescent="0.25">
      <c r="A97" s="3" t="s">
        <v>141</v>
      </c>
    </row>
    <row r="99" spans="1:1" ht="15.75" x14ac:dyDescent="0.25">
      <c r="A99" s="5" t="s">
        <v>142</v>
      </c>
    </row>
    <row r="101" spans="1:1" ht="15.75" x14ac:dyDescent="0.25">
      <c r="A101" s="5"/>
    </row>
    <row r="103" spans="1:1" ht="15.75" x14ac:dyDescent="0.25">
      <c r="A103" s="9" t="s">
        <v>143</v>
      </c>
    </row>
    <row r="105" spans="1:1" ht="15.75" x14ac:dyDescent="0.25">
      <c r="A105" s="10" t="s">
        <v>144</v>
      </c>
    </row>
    <row r="107" spans="1:1" ht="15.75" x14ac:dyDescent="0.25">
      <c r="A107" s="10" t="s">
        <v>145</v>
      </c>
    </row>
    <row r="109" spans="1:1" ht="15.75" x14ac:dyDescent="0.25">
      <c r="A109" s="10" t="s">
        <v>146</v>
      </c>
    </row>
    <row r="111" spans="1:1" ht="15.75" x14ac:dyDescent="0.25">
      <c r="A111" s="5"/>
    </row>
    <row r="113" spans="1:2" ht="15.75" x14ac:dyDescent="0.25">
      <c r="A113" s="11" t="s">
        <v>147</v>
      </c>
    </row>
    <row r="115" spans="1:2" ht="15.75" x14ac:dyDescent="0.25">
      <c r="A115" s="5" t="s">
        <v>148</v>
      </c>
    </row>
    <row r="116" spans="1:2" ht="15.75" x14ac:dyDescent="0.25">
      <c r="A116" s="7"/>
    </row>
    <row r="117" spans="1:2" ht="15.75" x14ac:dyDescent="0.25">
      <c r="A117" s="7" t="s">
        <v>149</v>
      </c>
      <c r="B117" s="7">
        <v>-1</v>
      </c>
    </row>
    <row r="118" spans="1:2" ht="15.75" x14ac:dyDescent="0.25">
      <c r="A118" s="7"/>
    </row>
    <row r="119" spans="1:2" ht="15.75" x14ac:dyDescent="0.25">
      <c r="A119" s="7" t="s">
        <v>150</v>
      </c>
      <c r="B119" s="7">
        <v>-2</v>
      </c>
    </row>
    <row r="120" spans="1:2" ht="15.75" x14ac:dyDescent="0.25">
      <c r="A120" s="7"/>
    </row>
    <row r="121" spans="1:2" ht="15.75" x14ac:dyDescent="0.25">
      <c r="A121" s="7" t="s">
        <v>151</v>
      </c>
      <c r="B121" s="7">
        <v>-3</v>
      </c>
    </row>
    <row r="123" spans="1:2" ht="15.75" x14ac:dyDescent="0.25">
      <c r="A123" s="5"/>
    </row>
    <row r="125" spans="1:2" ht="15.75" x14ac:dyDescent="0.25">
      <c r="A125" s="9" t="s">
        <v>152</v>
      </c>
    </row>
    <row r="127" spans="1:2" ht="15.75" x14ac:dyDescent="0.25">
      <c r="A127" s="10" t="s">
        <v>144</v>
      </c>
    </row>
    <row r="129" spans="1:1" ht="15.75" x14ac:dyDescent="0.25">
      <c r="A129" s="10" t="s">
        <v>145</v>
      </c>
    </row>
    <row r="131" spans="1:1" ht="15.75" x14ac:dyDescent="0.25">
      <c r="A131" s="10" t="s">
        <v>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22"/>
  <sheetViews>
    <sheetView zoomScale="175" zoomScaleNormal="175" workbookViewId="0">
      <selection activeCell="D6" sqref="D6"/>
    </sheetView>
  </sheetViews>
  <sheetFormatPr baseColWidth="10" defaultColWidth="9.140625" defaultRowHeight="15" x14ac:dyDescent="0.25"/>
  <sheetData>
    <row r="2" spans="1:11" x14ac:dyDescent="0.25">
      <c r="A2" t="s">
        <v>159</v>
      </c>
    </row>
    <row r="3" spans="1:11" x14ac:dyDescent="0.25">
      <c r="A3" t="s">
        <v>161</v>
      </c>
      <c r="B3" t="s">
        <v>160</v>
      </c>
    </row>
    <row r="5" spans="1:11" x14ac:dyDescent="0.25">
      <c r="A5" t="s">
        <v>162</v>
      </c>
    </row>
    <row r="6" spans="1:11" x14ac:dyDescent="0.25">
      <c r="A6" t="s">
        <v>163</v>
      </c>
    </row>
    <row r="7" spans="1:11" x14ac:dyDescent="0.25">
      <c r="A7" t="s">
        <v>164</v>
      </c>
    </row>
    <row r="8" spans="1:11" x14ac:dyDescent="0.25">
      <c r="A8" t="s">
        <v>165</v>
      </c>
    </row>
    <row r="10" spans="1:11" x14ac:dyDescent="0.25">
      <c r="B10" s="23" t="s">
        <v>166</v>
      </c>
      <c r="C10" s="30" t="s">
        <v>169</v>
      </c>
      <c r="D10" s="23" t="s">
        <v>170</v>
      </c>
      <c r="E10" s="23" t="s">
        <v>169</v>
      </c>
      <c r="F10" s="23" t="s">
        <v>174</v>
      </c>
      <c r="G10" s="23" t="s">
        <v>169</v>
      </c>
      <c r="H10" s="23" t="s">
        <v>178</v>
      </c>
      <c r="I10" s="23" t="s">
        <v>169</v>
      </c>
      <c r="J10" s="23" t="s">
        <v>179</v>
      </c>
      <c r="K10" s="23" t="s">
        <v>169</v>
      </c>
    </row>
    <row r="11" spans="1:11" x14ac:dyDescent="0.25">
      <c r="B11" s="29" t="s">
        <v>167</v>
      </c>
      <c r="C11" s="30">
        <v>12</v>
      </c>
      <c r="D11" s="29" t="s">
        <v>171</v>
      </c>
      <c r="E11" s="23">
        <v>6</v>
      </c>
      <c r="F11" s="29" t="s">
        <v>175</v>
      </c>
      <c r="G11" s="23">
        <v>6</v>
      </c>
      <c r="H11" s="29" t="s">
        <v>171</v>
      </c>
      <c r="I11" s="23">
        <v>12</v>
      </c>
      <c r="J11" s="29" t="s">
        <v>167</v>
      </c>
      <c r="K11" s="23">
        <v>12</v>
      </c>
    </row>
    <row r="12" spans="1:11" x14ac:dyDescent="0.25">
      <c r="B12" s="29" t="s">
        <v>168</v>
      </c>
      <c r="C12" s="30">
        <v>36</v>
      </c>
      <c r="D12" s="29" t="s">
        <v>172</v>
      </c>
      <c r="E12" s="23">
        <v>12</v>
      </c>
      <c r="F12" s="29" t="s">
        <v>176</v>
      </c>
      <c r="G12" s="23">
        <v>12</v>
      </c>
      <c r="H12" s="29" t="s">
        <v>172</v>
      </c>
      <c r="I12" s="23">
        <v>36</v>
      </c>
      <c r="J12" s="29" t="s">
        <v>168</v>
      </c>
      <c r="K12" s="23">
        <v>36</v>
      </c>
    </row>
    <row r="13" spans="1:11" x14ac:dyDescent="0.25">
      <c r="D13" s="29" t="s">
        <v>173</v>
      </c>
      <c r="E13" s="23">
        <v>24</v>
      </c>
      <c r="F13" s="23" t="s">
        <v>177</v>
      </c>
      <c r="G13" s="23">
        <v>24</v>
      </c>
      <c r="H13" s="29" t="s">
        <v>173</v>
      </c>
      <c r="I13" s="23">
        <v>60</v>
      </c>
      <c r="J13" s="29" t="s">
        <v>180</v>
      </c>
      <c r="K13" s="23">
        <v>60</v>
      </c>
    </row>
    <row r="16" spans="1:11" x14ac:dyDescent="0.25">
      <c r="A16" t="s">
        <v>181</v>
      </c>
    </row>
    <row r="17" spans="1:2" x14ac:dyDescent="0.25">
      <c r="A17" t="s">
        <v>186</v>
      </c>
      <c r="B17" t="s">
        <v>187</v>
      </c>
    </row>
    <row r="18" spans="1:2" x14ac:dyDescent="0.25">
      <c r="A18" t="s">
        <v>182</v>
      </c>
      <c r="B18">
        <v>-6</v>
      </c>
    </row>
    <row r="19" spans="1:2" x14ac:dyDescent="0.25">
      <c r="A19" t="s">
        <v>183</v>
      </c>
      <c r="B19">
        <v>6</v>
      </c>
    </row>
    <row r="20" spans="1:2" x14ac:dyDescent="0.25">
      <c r="A20" t="s">
        <v>184</v>
      </c>
      <c r="B20">
        <v>12</v>
      </c>
    </row>
    <row r="21" spans="1:2" x14ac:dyDescent="0.25">
      <c r="A21" t="s">
        <v>185</v>
      </c>
      <c r="B21">
        <v>18</v>
      </c>
    </row>
    <row r="22" spans="1:2" x14ac:dyDescent="0.25">
      <c r="A22" t="s">
        <v>188</v>
      </c>
      <c r="B22">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Alchemika</vt:lpstr>
      <vt:lpstr>Legende</vt:lpstr>
      <vt:lpstr>Herstellung</vt:lpstr>
    </vt:vector>
  </TitlesOfParts>
  <Company>MISSUIZATION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Randolph Birkenbeul</dc:creator>
  <cp:lastModifiedBy>Le Jö</cp:lastModifiedBy>
  <dcterms:created xsi:type="dcterms:W3CDTF">2014-05-10T15:05:25Z</dcterms:created>
  <dcterms:modified xsi:type="dcterms:W3CDTF">2026-07-19T12:04:37Z</dcterms:modified>
</cp:coreProperties>
</file>