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Das Western Rollenspiel\LLM\"/>
    </mc:Choice>
  </mc:AlternateContent>
  <xr:revisionPtr revIDLastSave="0" documentId="13_ncr:1_{3EFCAA61-31E2-45C0-A0A6-B0D2873E8486}" xr6:coauthVersionLast="47" xr6:coauthVersionMax="47" xr10:uidLastSave="{00000000-0000-0000-0000-000000000000}"/>
  <bookViews>
    <workbookView xWindow="-120" yWindow="-120" windowWidth="51840" windowHeight="21120" xr2:uid="{00000000-000D-0000-FFFF-FFFF00000000}"/>
  </bookViews>
  <sheets>
    <sheet name="Werte" sheetId="1" r:id="rId1"/>
    <sheet name="EP-Stufe-Kreis" sheetId="2" r:id="rId2"/>
    <sheet name="WHK-Spez-Kosten" sheetId="3" r:id="rId3"/>
    <sheet name="Eigenschaften-Kosten" sheetId="4" r:id="rId4"/>
    <sheet name="Voelker-Maxima" sheetId="5" r:id="rId5"/>
    <sheet name="PSI-Zauberstufen" sheetId="6" r:id="rId6"/>
    <sheet name="KI-Baum-Kanten" sheetId="7" r:id="rId7"/>
    <sheet name="Preisliste" sheetId="8" r:id="rId8"/>
    <sheet name="Alchemika" sheetId="9" r:id="rId9"/>
    <sheet name="Ruestungstabelle" sheetId="10" r:id="rId10"/>
    <sheet name="NK-Material" sheetId="11" r:id="rId11"/>
    <sheet name="NK-Anpassung" sheetId="12" r:id="rId12"/>
    <sheet name="NK-Schaftmaterial" sheetId="13" r:id="rId13"/>
    <sheet name="NK-Fertigung" sheetId="14" r:id="rId14"/>
    <sheet name="NK-Waffen-Basis" sheetId="15" r:id="rId15"/>
    <sheet name="Entwickeln" sheetId="16" r:id="rId16"/>
    <sheet name="Schild-Material" sheetId="17" r:id="rId17"/>
    <sheet name="Schild-Fertigung" sheetId="18" r:id="rId18"/>
    <sheet name="Schild-Bespannung" sheetId="19" r:id="rId19"/>
    <sheet name="Schild-Verplatung" sheetId="20" r:id="rId20"/>
    <sheet name="Artefakt-Magus-Faehigkeiten" sheetId="21" r:id="rId21"/>
    <sheet name="Artefakt-Seelensteine" sheetId="22" r:id="rId22"/>
    <sheet name="Artefakt-Manamultiplikator" sheetId="23" r:id="rId23"/>
    <sheet name="Artefakt-Basis" sheetId="24" r:id="rId24"/>
    <sheet name="Artefakt-Kosten" sheetId="25" r:id="rId25"/>
    <sheet name="Verfuegbarkeit-Modifikatoren" sheetId="26" r:id="rId26"/>
    <sheet name="Ruestung-Basis" sheetId="27" r:id="rId27"/>
    <sheet name="Ruestung-Addons" sheetId="28" r:id="rId28"/>
    <sheet name="Ruestung-Verarbeitung" sheetId="29" r:id="rId29"/>
    <sheet name="Ruestung-Anpassung" sheetId="30" r:id="rId30"/>
    <sheet name="Munition-Feuerwaffen" sheetId="31" r:id="rId31"/>
    <sheet name="Munition-Ressourcen" sheetId="32" r:id="rId32"/>
    <sheet name="Boegen-Basis" sheetId="33" r:id="rId33"/>
    <sheet name="Pfeile-Basis" sheetId="34" r:id="rId34"/>
    <sheet name="Armbrust-Basis" sheetId="35" r:id="rId35"/>
    <sheet name="Bolzen-Basis" sheetId="36" r:id="rId36"/>
    <sheet name="Runengewehr-Basis" sheetId="37" r:id="rId37"/>
    <sheet name="Runengewehr-Munition" sheetId="38" r:id="rId38"/>
    <sheet name="Runengewehr-Gewehrrunen" sheetId="39" r:id="rId39"/>
    <sheet name="Sprachstufe-Kosten" sheetId="40" r:id="rId40"/>
    <sheet name="Kulturstufe-Kosten" sheetId="41" r:id="rId41"/>
    <sheet name="Boegen" sheetId="42" r:id="rId42"/>
    <sheet name="Armbrust" sheetId="43" r:id="rId43"/>
    <sheet name="Feuerwaffen-Munition" sheetId="44" r:id="rId44"/>
    <sheet name="Pfeile" sheetId="45" r:id="rId45"/>
    <sheet name="Bolzen" sheetId="46" r:id="rId46"/>
    <sheet name="Feuerwaffen" sheetId="47" r:id="rId47"/>
    <sheet name="Feuerwaffen-Ressourcen" sheetId="48" r:id="rId48"/>
    <sheet name="Spruchmagie-Details" sheetId="49" r:id="rId49"/>
    <sheet name="Artefakt-Wirkungsstufen" sheetId="50" r:id="rId50"/>
    <sheet name="Geweihte-Wunder" sheetId="51" r:id="rId51"/>
  </sheets>
  <definedNames>
    <definedName name="test1">#REF!</definedName>
    <definedName name="test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48" l="1"/>
  <c r="AE87" i="47"/>
  <c r="AD87" i="47"/>
  <c r="AB87" i="47"/>
  <c r="AF87" i="47" s="1"/>
  <c r="AA87" i="47"/>
  <c r="Z87" i="47"/>
  <c r="Y87" i="47"/>
  <c r="X87" i="47"/>
  <c r="W87" i="47"/>
  <c r="V87" i="47"/>
  <c r="U87" i="47"/>
  <c r="T87" i="47"/>
  <c r="S87" i="47"/>
  <c r="R87" i="47"/>
  <c r="Q87" i="47"/>
  <c r="P87" i="47"/>
  <c r="O87" i="47"/>
  <c r="N87" i="47"/>
  <c r="M87" i="47"/>
  <c r="L87" i="47"/>
  <c r="K87" i="47"/>
  <c r="AE86" i="47"/>
  <c r="AC86" i="47" s="1"/>
  <c r="AD86" i="47"/>
  <c r="AB86" i="47"/>
  <c r="AF86" i="47" s="1"/>
  <c r="AA86" i="47"/>
  <c r="Z86" i="47"/>
  <c r="Y86" i="47"/>
  <c r="X86" i="47"/>
  <c r="W86" i="47"/>
  <c r="V86" i="47"/>
  <c r="U86" i="47"/>
  <c r="T86" i="47"/>
  <c r="S86" i="47"/>
  <c r="R86" i="47"/>
  <c r="Q86" i="47"/>
  <c r="P86" i="47"/>
  <c r="O86" i="47"/>
  <c r="N86" i="47"/>
  <c r="M86" i="47"/>
  <c r="L86" i="47"/>
  <c r="K86" i="47"/>
  <c r="AE85" i="47"/>
  <c r="AD85" i="47"/>
  <c r="AC85" i="47" s="1"/>
  <c r="AB85" i="47"/>
  <c r="AF85" i="47" s="1"/>
  <c r="AA85" i="47"/>
  <c r="Z85" i="47"/>
  <c r="Y85" i="47"/>
  <c r="X85" i="47"/>
  <c r="W85" i="47"/>
  <c r="V85" i="47"/>
  <c r="U85" i="47"/>
  <c r="T85" i="47"/>
  <c r="S85" i="47"/>
  <c r="R85" i="47"/>
  <c r="Q85" i="47"/>
  <c r="P85" i="47"/>
  <c r="O85" i="47"/>
  <c r="N85" i="47"/>
  <c r="M85" i="47"/>
  <c r="L85" i="47"/>
  <c r="K85" i="47"/>
  <c r="AE84" i="47"/>
  <c r="AD84" i="47"/>
  <c r="AB84" i="47"/>
  <c r="AF84" i="47" s="1"/>
  <c r="AA84" i="47"/>
  <c r="Z84" i="47"/>
  <c r="Y84" i="47"/>
  <c r="X84" i="47"/>
  <c r="W84" i="47"/>
  <c r="V84" i="47"/>
  <c r="U84" i="47"/>
  <c r="T84" i="47"/>
  <c r="S84" i="47"/>
  <c r="R84" i="47"/>
  <c r="Q84" i="47"/>
  <c r="P84" i="47"/>
  <c r="O84" i="47"/>
  <c r="N84" i="47"/>
  <c r="M84" i="47"/>
  <c r="L84" i="47"/>
  <c r="K84" i="47"/>
  <c r="AE83" i="47"/>
  <c r="AD83" i="47"/>
  <c r="AB83" i="47"/>
  <c r="AF83" i="47" s="1"/>
  <c r="AA83" i="47"/>
  <c r="Z83" i="47"/>
  <c r="Y83" i="47"/>
  <c r="X83" i="47"/>
  <c r="W83" i="47"/>
  <c r="V83" i="47"/>
  <c r="U83" i="47"/>
  <c r="T83" i="47"/>
  <c r="S83" i="47"/>
  <c r="R83" i="47"/>
  <c r="Q83" i="47"/>
  <c r="P83" i="47"/>
  <c r="O83" i="47"/>
  <c r="N83" i="47"/>
  <c r="M83" i="47"/>
  <c r="L83" i="47"/>
  <c r="K83" i="47"/>
  <c r="AR82" i="47"/>
  <c r="AQ82" i="47"/>
  <c r="AE82" i="47"/>
  <c r="AD82" i="47"/>
  <c r="AB82" i="47"/>
  <c r="AF82" i="47" s="1"/>
  <c r="AA82" i="47"/>
  <c r="Z82" i="47"/>
  <c r="Y82" i="47"/>
  <c r="X82" i="47"/>
  <c r="W82" i="47"/>
  <c r="V82" i="47"/>
  <c r="U82" i="47"/>
  <c r="T82" i="47"/>
  <c r="S82" i="47"/>
  <c r="R82" i="47"/>
  <c r="Q82" i="47"/>
  <c r="P82" i="47"/>
  <c r="O82" i="47"/>
  <c r="N82" i="47"/>
  <c r="M82" i="47"/>
  <c r="L82" i="47"/>
  <c r="K82" i="47"/>
  <c r="AR81" i="47"/>
  <c r="AQ81" i="47"/>
  <c r="AE81" i="47"/>
  <c r="AD81" i="47"/>
  <c r="AB81" i="47"/>
  <c r="AF81" i="47" s="1"/>
  <c r="AA81" i="47"/>
  <c r="Z81" i="47"/>
  <c r="Y81" i="47"/>
  <c r="X81" i="47"/>
  <c r="W81" i="47"/>
  <c r="V81" i="47"/>
  <c r="U81" i="47"/>
  <c r="T81" i="47"/>
  <c r="S81" i="47"/>
  <c r="R81" i="47"/>
  <c r="Q81" i="47"/>
  <c r="P81" i="47"/>
  <c r="O81" i="47"/>
  <c r="N81" i="47"/>
  <c r="M81" i="47"/>
  <c r="L81" i="47"/>
  <c r="K81" i="47"/>
  <c r="AR80" i="47"/>
  <c r="AQ80" i="47"/>
  <c r="AE80" i="47"/>
  <c r="AD80" i="47"/>
  <c r="AB80" i="47"/>
  <c r="AF80" i="47" s="1"/>
  <c r="AA80" i="47"/>
  <c r="Z80" i="47"/>
  <c r="Y80" i="47"/>
  <c r="X80" i="47"/>
  <c r="W80" i="47"/>
  <c r="V80" i="47"/>
  <c r="U80" i="47"/>
  <c r="T80" i="47"/>
  <c r="S80" i="47"/>
  <c r="R80" i="47"/>
  <c r="Q80" i="47"/>
  <c r="P80" i="47"/>
  <c r="O80" i="47"/>
  <c r="N80" i="47"/>
  <c r="M80" i="47"/>
  <c r="L80" i="47"/>
  <c r="K80" i="47"/>
  <c r="AR79" i="47"/>
  <c r="AQ79" i="47"/>
  <c r="AE79" i="47"/>
  <c r="AD79" i="47"/>
  <c r="AB79" i="47"/>
  <c r="AF79" i="47" s="1"/>
  <c r="AA79" i="47"/>
  <c r="Z79" i="47"/>
  <c r="Y79" i="47"/>
  <c r="X79" i="47"/>
  <c r="W79" i="47"/>
  <c r="V79" i="47"/>
  <c r="U79" i="47"/>
  <c r="T79" i="47"/>
  <c r="S79" i="47"/>
  <c r="R79" i="47"/>
  <c r="Q79" i="47"/>
  <c r="P79" i="47"/>
  <c r="O79" i="47"/>
  <c r="N79" i="47"/>
  <c r="M79" i="47"/>
  <c r="L79" i="47"/>
  <c r="K79" i="47"/>
  <c r="AE78" i="47"/>
  <c r="AD78" i="47"/>
  <c r="AC78" i="47" s="1"/>
  <c r="AB78" i="47"/>
  <c r="AF78" i="47" s="1"/>
  <c r="AA78" i="47"/>
  <c r="Z78" i="47"/>
  <c r="Y78" i="47"/>
  <c r="X78" i="47"/>
  <c r="W78" i="47"/>
  <c r="V78" i="47"/>
  <c r="U78" i="47"/>
  <c r="T78" i="47"/>
  <c r="S78" i="47"/>
  <c r="R78" i="47"/>
  <c r="Q78" i="47"/>
  <c r="P78" i="47"/>
  <c r="O78" i="47"/>
  <c r="N78" i="47"/>
  <c r="M78" i="47"/>
  <c r="L78" i="47"/>
  <c r="K78" i="47"/>
  <c r="AE77" i="47"/>
  <c r="AC77" i="47" s="1"/>
  <c r="AD77" i="47"/>
  <c r="AB77" i="47"/>
  <c r="AF77" i="47" s="1"/>
  <c r="AA77" i="47"/>
  <c r="Z77" i="47"/>
  <c r="Y77" i="47"/>
  <c r="X77" i="47"/>
  <c r="W77" i="47"/>
  <c r="V77" i="47"/>
  <c r="U77" i="47"/>
  <c r="T77" i="47"/>
  <c r="S77" i="47"/>
  <c r="R77" i="47"/>
  <c r="Q77" i="47"/>
  <c r="P77" i="47"/>
  <c r="O77" i="47"/>
  <c r="N77" i="47"/>
  <c r="M77" i="47"/>
  <c r="L77" i="47"/>
  <c r="K77" i="47"/>
  <c r="AE76" i="47"/>
  <c r="AD76" i="47"/>
  <c r="AB76" i="47"/>
  <c r="AF76" i="47" s="1"/>
  <c r="AA76" i="47"/>
  <c r="Z76" i="47"/>
  <c r="Y76" i="47"/>
  <c r="X76" i="47"/>
  <c r="W76" i="47"/>
  <c r="V76" i="47"/>
  <c r="U76" i="47"/>
  <c r="T76" i="47"/>
  <c r="S76" i="47"/>
  <c r="R76" i="47"/>
  <c r="Q76" i="47"/>
  <c r="P76" i="47"/>
  <c r="O76" i="47"/>
  <c r="N76" i="47"/>
  <c r="M76" i="47"/>
  <c r="L76" i="47"/>
  <c r="K76" i="47"/>
  <c r="AE75" i="47"/>
  <c r="AD75" i="47"/>
  <c r="AB75" i="47"/>
  <c r="AF75" i="47" s="1"/>
  <c r="AA75" i="47"/>
  <c r="Z75" i="47"/>
  <c r="Y75" i="47"/>
  <c r="X75" i="47"/>
  <c r="W75" i="47"/>
  <c r="V75" i="47"/>
  <c r="U75" i="47"/>
  <c r="T75" i="47"/>
  <c r="S75" i="47"/>
  <c r="R75" i="47"/>
  <c r="Q75" i="47"/>
  <c r="P75" i="47"/>
  <c r="O75" i="47"/>
  <c r="N75" i="47"/>
  <c r="M75" i="47"/>
  <c r="L75" i="47"/>
  <c r="K75" i="47"/>
  <c r="AE74" i="47"/>
  <c r="AD74" i="47"/>
  <c r="AC74" i="47"/>
  <c r="AB74" i="47"/>
  <c r="AF74" i="47" s="1"/>
  <c r="AA74" i="47"/>
  <c r="Z74" i="47"/>
  <c r="Y74" i="47"/>
  <c r="X74" i="47"/>
  <c r="W74" i="47"/>
  <c r="V74" i="47"/>
  <c r="U74" i="47"/>
  <c r="T74" i="47"/>
  <c r="S74" i="47"/>
  <c r="R74" i="47"/>
  <c r="Q74" i="47"/>
  <c r="P74" i="47"/>
  <c r="O74" i="47"/>
  <c r="N74" i="47"/>
  <c r="M74" i="47"/>
  <c r="L74" i="47"/>
  <c r="K74" i="47"/>
  <c r="AE73" i="47"/>
  <c r="AD73" i="47"/>
  <c r="AC73" i="47"/>
  <c r="AB73" i="47"/>
  <c r="AF73" i="47" s="1"/>
  <c r="AA73" i="47"/>
  <c r="Z73" i="47"/>
  <c r="Y73" i="47"/>
  <c r="X73" i="47"/>
  <c r="W73" i="47"/>
  <c r="V73" i="47"/>
  <c r="U73" i="47"/>
  <c r="T73" i="47"/>
  <c r="S73" i="47"/>
  <c r="R73" i="47"/>
  <c r="Q73" i="47"/>
  <c r="P73" i="47"/>
  <c r="O73" i="47"/>
  <c r="N73" i="47"/>
  <c r="M73" i="47"/>
  <c r="L73" i="47"/>
  <c r="K73" i="47"/>
  <c r="AE72" i="47"/>
  <c r="AD72" i="47"/>
  <c r="AB72" i="47"/>
  <c r="AF72" i="47" s="1"/>
  <c r="AA72" i="47"/>
  <c r="Z72" i="47"/>
  <c r="Y72" i="47"/>
  <c r="X72" i="47"/>
  <c r="W72" i="47"/>
  <c r="V72" i="47"/>
  <c r="U72" i="47"/>
  <c r="T72" i="47"/>
  <c r="S72" i="47"/>
  <c r="R72" i="47"/>
  <c r="Q72" i="47"/>
  <c r="P72" i="47"/>
  <c r="O72" i="47"/>
  <c r="N72" i="47"/>
  <c r="M72" i="47"/>
  <c r="L72" i="47"/>
  <c r="K72" i="47"/>
  <c r="AE71" i="47"/>
  <c r="AD71" i="47"/>
  <c r="AB71" i="47"/>
  <c r="AF71" i="47" s="1"/>
  <c r="AA71" i="47"/>
  <c r="Z71" i="47"/>
  <c r="Y71" i="47"/>
  <c r="X71" i="47"/>
  <c r="W71" i="47"/>
  <c r="V71" i="47"/>
  <c r="U71" i="47"/>
  <c r="T71" i="47"/>
  <c r="S71" i="47"/>
  <c r="R71" i="47"/>
  <c r="Q71" i="47"/>
  <c r="P71" i="47"/>
  <c r="O71" i="47"/>
  <c r="N71" i="47"/>
  <c r="M71" i="47"/>
  <c r="L71" i="47"/>
  <c r="K71" i="47"/>
  <c r="AE70" i="47"/>
  <c r="AC70" i="47" s="1"/>
  <c r="AD70" i="47"/>
  <c r="AB70" i="47"/>
  <c r="AF70" i="47" s="1"/>
  <c r="AA70" i="47"/>
  <c r="Z70" i="47"/>
  <c r="Y70" i="47"/>
  <c r="X70" i="47"/>
  <c r="W70" i="47"/>
  <c r="V70" i="47"/>
  <c r="U70" i="47"/>
  <c r="T70" i="47"/>
  <c r="S70" i="47"/>
  <c r="R70" i="47"/>
  <c r="Q70" i="47"/>
  <c r="P70" i="47"/>
  <c r="O70" i="47"/>
  <c r="N70" i="47"/>
  <c r="M70" i="47"/>
  <c r="L70" i="47"/>
  <c r="K70" i="47"/>
  <c r="AE69" i="47"/>
  <c r="AC69" i="47" s="1"/>
  <c r="AD69" i="47"/>
  <c r="AB69" i="47"/>
  <c r="AF69" i="47" s="1"/>
  <c r="AA69" i="47"/>
  <c r="Z69" i="47"/>
  <c r="Y69" i="47"/>
  <c r="X69" i="47"/>
  <c r="W69" i="47"/>
  <c r="V69" i="47"/>
  <c r="U69" i="47"/>
  <c r="T69" i="47"/>
  <c r="S69" i="47"/>
  <c r="R69" i="47"/>
  <c r="Q69" i="47"/>
  <c r="P69" i="47"/>
  <c r="O69" i="47"/>
  <c r="N69" i="47"/>
  <c r="M69" i="47"/>
  <c r="L69" i="47"/>
  <c r="K69" i="47"/>
  <c r="AQ68" i="47"/>
  <c r="AE68" i="47"/>
  <c r="AD68" i="47"/>
  <c r="AB68" i="47"/>
  <c r="AF68" i="47" s="1"/>
  <c r="AA68" i="47"/>
  <c r="Z68" i="47"/>
  <c r="Y68" i="47"/>
  <c r="X68" i="47"/>
  <c r="W68" i="47"/>
  <c r="V68" i="47"/>
  <c r="U68" i="47"/>
  <c r="T68" i="47"/>
  <c r="S68" i="47"/>
  <c r="R68" i="47"/>
  <c r="Q68" i="47"/>
  <c r="P68" i="47"/>
  <c r="O68" i="47"/>
  <c r="N68" i="47"/>
  <c r="M68" i="47"/>
  <c r="L68" i="47"/>
  <c r="K68" i="47"/>
  <c r="AQ67" i="47"/>
  <c r="AE67" i="47"/>
  <c r="AD67" i="47"/>
  <c r="AB67" i="47"/>
  <c r="AF67" i="47" s="1"/>
  <c r="AA67" i="47"/>
  <c r="Z67" i="47"/>
  <c r="Y67" i="47"/>
  <c r="X67" i="47"/>
  <c r="W67" i="47"/>
  <c r="V67" i="47"/>
  <c r="U67" i="47"/>
  <c r="T67" i="47"/>
  <c r="S67" i="47"/>
  <c r="R67" i="47"/>
  <c r="Q67" i="47"/>
  <c r="P67" i="47"/>
  <c r="O67" i="47"/>
  <c r="N67" i="47"/>
  <c r="M67" i="47"/>
  <c r="L67" i="47"/>
  <c r="K67" i="47"/>
  <c r="AQ66" i="47"/>
  <c r="AE66" i="47"/>
  <c r="AD66" i="47"/>
  <c r="AC66" i="47" s="1"/>
  <c r="AB66" i="47"/>
  <c r="AF66" i="47" s="1"/>
  <c r="AA66" i="47"/>
  <c r="Z66" i="47"/>
  <c r="Y66" i="47"/>
  <c r="X66" i="47"/>
  <c r="W66" i="47"/>
  <c r="V66" i="47"/>
  <c r="U66" i="47"/>
  <c r="T66" i="47"/>
  <c r="S66" i="47"/>
  <c r="R66" i="47"/>
  <c r="Q66" i="47"/>
  <c r="P66" i="47"/>
  <c r="O66" i="47"/>
  <c r="N66" i="47"/>
  <c r="M66" i="47"/>
  <c r="L66" i="47"/>
  <c r="K66" i="47"/>
  <c r="AQ65" i="47"/>
  <c r="AE65" i="47"/>
  <c r="AD65" i="47"/>
  <c r="AB65" i="47"/>
  <c r="AF65" i="47" s="1"/>
  <c r="AA65" i="47"/>
  <c r="Z65" i="47"/>
  <c r="Y65" i="47"/>
  <c r="X65" i="47"/>
  <c r="W65" i="47"/>
  <c r="V65" i="47"/>
  <c r="U65" i="47"/>
  <c r="T65" i="47"/>
  <c r="S65" i="47"/>
  <c r="R65" i="47"/>
  <c r="Q65" i="47"/>
  <c r="P65" i="47"/>
  <c r="O65" i="47"/>
  <c r="N65" i="47"/>
  <c r="M65" i="47"/>
  <c r="L65" i="47"/>
  <c r="K65" i="47"/>
  <c r="AQ64" i="47"/>
  <c r="AE64" i="47"/>
  <c r="AD64" i="47"/>
  <c r="AB64" i="47"/>
  <c r="AF64" i="47" s="1"/>
  <c r="AA64" i="47"/>
  <c r="Z64" i="47"/>
  <c r="Y64" i="47"/>
  <c r="X64" i="47"/>
  <c r="W64" i="47"/>
  <c r="V64" i="47"/>
  <c r="U64" i="47"/>
  <c r="T64" i="47"/>
  <c r="S64" i="47"/>
  <c r="R64" i="47"/>
  <c r="Q64" i="47"/>
  <c r="P64" i="47"/>
  <c r="O64" i="47"/>
  <c r="N64" i="47"/>
  <c r="M64" i="47"/>
  <c r="L64" i="47"/>
  <c r="K64" i="47"/>
  <c r="AE63" i="47"/>
  <c r="AD63" i="47"/>
  <c r="AB63" i="47"/>
  <c r="AF63" i="47" s="1"/>
  <c r="AA63" i="47"/>
  <c r="Z63" i="47"/>
  <c r="Y63" i="47"/>
  <c r="X63" i="47"/>
  <c r="W63" i="47"/>
  <c r="V63" i="47"/>
  <c r="U63" i="47"/>
  <c r="T63" i="47"/>
  <c r="S63" i="47"/>
  <c r="R63" i="47"/>
  <c r="Q63" i="47"/>
  <c r="P63" i="47"/>
  <c r="O63" i="47"/>
  <c r="N63" i="47"/>
  <c r="M63" i="47"/>
  <c r="L63" i="47"/>
  <c r="K63" i="47"/>
  <c r="AE62" i="47"/>
  <c r="AD62" i="47"/>
  <c r="AB62" i="47"/>
  <c r="AF62" i="47" s="1"/>
  <c r="AA62" i="47"/>
  <c r="Z62" i="47"/>
  <c r="Y62" i="47"/>
  <c r="X62" i="47"/>
  <c r="W62" i="47"/>
  <c r="V62" i="47"/>
  <c r="U62" i="47"/>
  <c r="T62" i="47"/>
  <c r="S62" i="47"/>
  <c r="R62" i="47"/>
  <c r="Q62" i="47"/>
  <c r="P62" i="47"/>
  <c r="O62" i="47"/>
  <c r="N62" i="47"/>
  <c r="M62" i="47"/>
  <c r="L62" i="47"/>
  <c r="K62" i="47"/>
  <c r="AE61" i="47"/>
  <c r="AD61" i="47"/>
  <c r="AC61" i="47" s="1"/>
  <c r="AB61" i="47"/>
  <c r="AF61" i="47" s="1"/>
  <c r="AA61" i="47"/>
  <c r="Z61" i="47"/>
  <c r="Y61" i="47"/>
  <c r="X61" i="47"/>
  <c r="W61" i="47"/>
  <c r="V61" i="47"/>
  <c r="U61" i="47"/>
  <c r="T61" i="47"/>
  <c r="S61" i="47"/>
  <c r="R61" i="47"/>
  <c r="Q61" i="47"/>
  <c r="P61" i="47"/>
  <c r="O61" i="47"/>
  <c r="N61" i="47"/>
  <c r="M61" i="47"/>
  <c r="L61" i="47"/>
  <c r="K61" i="47"/>
  <c r="AF60" i="47"/>
  <c r="AE60" i="47"/>
  <c r="AD60" i="47"/>
  <c r="AC60" i="47" s="1"/>
  <c r="AB60" i="47"/>
  <c r="AA60" i="47"/>
  <c r="Z60" i="47"/>
  <c r="Y60" i="47"/>
  <c r="X60" i="47"/>
  <c r="W60" i="47"/>
  <c r="V60" i="47"/>
  <c r="U60" i="47"/>
  <c r="T60" i="47"/>
  <c r="S60" i="47"/>
  <c r="R60" i="47"/>
  <c r="Q60" i="47"/>
  <c r="P60" i="47"/>
  <c r="O60" i="47"/>
  <c r="N60" i="47"/>
  <c r="M60" i="47"/>
  <c r="L60" i="47"/>
  <c r="K60" i="47"/>
  <c r="AR59" i="47"/>
  <c r="AQ59" i="47"/>
  <c r="AE59" i="47"/>
  <c r="AD59" i="47"/>
  <c r="AB59" i="47"/>
  <c r="AF59" i="47" s="1"/>
  <c r="AA59" i="47"/>
  <c r="Z59" i="47"/>
  <c r="Y59" i="47"/>
  <c r="X59" i="47"/>
  <c r="W59" i="47"/>
  <c r="V59" i="47"/>
  <c r="U59" i="47"/>
  <c r="T59" i="47"/>
  <c r="S59" i="47"/>
  <c r="R59" i="47"/>
  <c r="Q59" i="47"/>
  <c r="P59" i="47"/>
  <c r="O59" i="47"/>
  <c r="N59" i="47"/>
  <c r="M59" i="47"/>
  <c r="L59" i="47"/>
  <c r="K59" i="47"/>
  <c r="AR58" i="47"/>
  <c r="AQ58" i="47"/>
  <c r="AE58" i="47"/>
  <c r="AD58" i="47"/>
  <c r="AB58" i="47"/>
  <c r="AF58" i="47" s="1"/>
  <c r="AA58" i="47"/>
  <c r="Z58" i="47"/>
  <c r="Y58" i="47"/>
  <c r="X58" i="47"/>
  <c r="W58" i="47"/>
  <c r="V58" i="47"/>
  <c r="U58" i="47"/>
  <c r="T58" i="47"/>
  <c r="S58" i="47"/>
  <c r="R58" i="47"/>
  <c r="Q58" i="47"/>
  <c r="P58" i="47"/>
  <c r="O58" i="47"/>
  <c r="N58" i="47"/>
  <c r="M58" i="47"/>
  <c r="L58" i="47"/>
  <c r="K58" i="47"/>
  <c r="AR57" i="47"/>
  <c r="AQ57" i="47"/>
  <c r="AF57" i="47"/>
  <c r="AE57" i="47"/>
  <c r="AD57" i="47"/>
  <c r="AC57" i="47" s="1"/>
  <c r="AB57" i="47"/>
  <c r="AA57" i="47"/>
  <c r="Z57" i="47"/>
  <c r="Y57" i="47"/>
  <c r="X57" i="47"/>
  <c r="W57" i="47"/>
  <c r="V57" i="47"/>
  <c r="U57" i="47"/>
  <c r="T57" i="47"/>
  <c r="S57" i="47"/>
  <c r="R57" i="47"/>
  <c r="Q57" i="47"/>
  <c r="P57" i="47"/>
  <c r="O57" i="47"/>
  <c r="N57" i="47"/>
  <c r="M57" i="47"/>
  <c r="L57" i="47"/>
  <c r="K57" i="47"/>
  <c r="AR56" i="47"/>
  <c r="AQ56" i="47"/>
  <c r="AE56" i="47"/>
  <c r="AD56" i="47"/>
  <c r="AC56" i="47" s="1"/>
  <c r="AB56" i="47"/>
  <c r="AF56" i="47" s="1"/>
  <c r="AA56" i="47"/>
  <c r="Z56" i="47"/>
  <c r="Y56" i="47"/>
  <c r="X56" i="47"/>
  <c r="W56" i="47"/>
  <c r="V56" i="47"/>
  <c r="U56" i="47"/>
  <c r="T56" i="47"/>
  <c r="S56" i="47"/>
  <c r="R56" i="47"/>
  <c r="Q56" i="47"/>
  <c r="P56" i="47"/>
  <c r="O56" i="47"/>
  <c r="N56" i="47"/>
  <c r="M56" i="47"/>
  <c r="L56" i="47"/>
  <c r="K56" i="47"/>
  <c r="AQ55" i="47"/>
  <c r="AE55" i="47"/>
  <c r="AC55" i="47" s="1"/>
  <c r="AD55" i="47"/>
  <c r="AB55" i="47"/>
  <c r="AF55" i="47" s="1"/>
  <c r="AA55" i="47"/>
  <c r="Z55" i="47"/>
  <c r="Y55" i="47"/>
  <c r="X55" i="47"/>
  <c r="W55" i="47"/>
  <c r="V55" i="47"/>
  <c r="U55" i="47"/>
  <c r="T55" i="47"/>
  <c r="S55" i="47"/>
  <c r="R55" i="47"/>
  <c r="Q55" i="47"/>
  <c r="P55" i="47"/>
  <c r="O55" i="47"/>
  <c r="N55" i="47"/>
  <c r="M55" i="47"/>
  <c r="L55" i="47"/>
  <c r="K55" i="47"/>
  <c r="AQ54" i="47"/>
  <c r="AE54" i="47"/>
  <c r="AD54" i="47"/>
  <c r="AB54" i="47"/>
  <c r="AF54" i="47" s="1"/>
  <c r="AA54" i="47"/>
  <c r="Z54" i="47"/>
  <c r="Y54" i="47"/>
  <c r="X54" i="47"/>
  <c r="W54" i="47"/>
  <c r="V54" i="47"/>
  <c r="U54" i="47"/>
  <c r="T54" i="47"/>
  <c r="S54" i="47"/>
  <c r="R54" i="47"/>
  <c r="Q54" i="47"/>
  <c r="P54" i="47"/>
  <c r="O54" i="47"/>
  <c r="N54" i="47"/>
  <c r="M54" i="47"/>
  <c r="L54" i="47"/>
  <c r="K54" i="47"/>
  <c r="AQ53" i="47"/>
  <c r="AE53" i="47"/>
  <c r="AC53" i="47" s="1"/>
  <c r="AD53" i="47"/>
  <c r="AB53" i="47"/>
  <c r="AF53" i="47" s="1"/>
  <c r="AA53" i="47"/>
  <c r="Z53" i="47"/>
  <c r="Y53" i="47"/>
  <c r="X53" i="47"/>
  <c r="W53" i="47"/>
  <c r="V53" i="47"/>
  <c r="U53" i="47"/>
  <c r="T53" i="47"/>
  <c r="S53" i="47"/>
  <c r="R53" i="47"/>
  <c r="Q53" i="47"/>
  <c r="P53" i="47"/>
  <c r="O53" i="47"/>
  <c r="N53" i="47"/>
  <c r="M53" i="47"/>
  <c r="L53" i="47"/>
  <c r="K53" i="47"/>
  <c r="AQ52" i="47"/>
  <c r="AE52" i="47"/>
  <c r="AD52" i="47"/>
  <c r="AB52" i="47"/>
  <c r="AF52" i="47" s="1"/>
  <c r="AA52" i="47"/>
  <c r="Z52" i="47"/>
  <c r="Y52" i="47"/>
  <c r="X52" i="47"/>
  <c r="W52" i="47"/>
  <c r="V52" i="47"/>
  <c r="U52" i="47"/>
  <c r="T52" i="47"/>
  <c r="S52" i="47"/>
  <c r="R52" i="47"/>
  <c r="Q52" i="47"/>
  <c r="P52" i="47"/>
  <c r="O52" i="47"/>
  <c r="N52" i="47"/>
  <c r="M52" i="47"/>
  <c r="L52" i="47"/>
  <c r="K52" i="47"/>
  <c r="AQ51" i="47"/>
  <c r="AE51" i="47"/>
  <c r="AD51" i="47"/>
  <c r="AC51" i="47" s="1"/>
  <c r="AB51" i="47"/>
  <c r="AF51" i="47" s="1"/>
  <c r="AA51" i="47"/>
  <c r="Z51" i="47"/>
  <c r="Y51" i="47"/>
  <c r="X51" i="47"/>
  <c r="W51" i="47"/>
  <c r="V51" i="47"/>
  <c r="U51" i="47"/>
  <c r="T51" i="47"/>
  <c r="S51" i="47"/>
  <c r="R51" i="47"/>
  <c r="Q51" i="47"/>
  <c r="P51" i="47"/>
  <c r="O51" i="47"/>
  <c r="N51" i="47"/>
  <c r="M51" i="47"/>
  <c r="L51" i="47"/>
  <c r="K51" i="47"/>
  <c r="AQ50" i="47"/>
  <c r="AE50" i="47"/>
  <c r="AD50" i="47"/>
  <c r="AC50" i="47" s="1"/>
  <c r="AB50" i="47"/>
  <c r="AF50" i="47" s="1"/>
  <c r="AA50" i="47"/>
  <c r="Z50" i="47"/>
  <c r="Y50" i="47"/>
  <c r="X50" i="47"/>
  <c r="W50" i="47"/>
  <c r="V50" i="47"/>
  <c r="U50" i="47"/>
  <c r="T50" i="47"/>
  <c r="S50" i="47"/>
  <c r="R50" i="47"/>
  <c r="Q50" i="47"/>
  <c r="P50" i="47"/>
  <c r="O50" i="47"/>
  <c r="N50" i="47"/>
  <c r="M50" i="47"/>
  <c r="L50" i="47"/>
  <c r="K50" i="47"/>
  <c r="AE49" i="47"/>
  <c r="AD49" i="47"/>
  <c r="AC49" i="47" s="1"/>
  <c r="AB49" i="47"/>
  <c r="AF49" i="47" s="1"/>
  <c r="AA49" i="47"/>
  <c r="Z49" i="47"/>
  <c r="Y49" i="47"/>
  <c r="X49" i="47"/>
  <c r="W49" i="47"/>
  <c r="V49" i="47"/>
  <c r="U49" i="47"/>
  <c r="T49" i="47"/>
  <c r="S49" i="47"/>
  <c r="R49" i="47"/>
  <c r="Q49" i="47"/>
  <c r="P49" i="47"/>
  <c r="O49" i="47"/>
  <c r="N49" i="47"/>
  <c r="M49" i="47"/>
  <c r="L49" i="47"/>
  <c r="K49" i="47"/>
  <c r="AE48" i="47"/>
  <c r="AD48" i="47"/>
  <c r="AB48" i="47"/>
  <c r="AF48" i="47" s="1"/>
  <c r="AA48" i="47"/>
  <c r="Z48" i="47"/>
  <c r="Y48" i="47"/>
  <c r="X48" i="47"/>
  <c r="W48" i="47"/>
  <c r="V48" i="47"/>
  <c r="U48" i="47"/>
  <c r="T48" i="47"/>
  <c r="S48" i="47"/>
  <c r="R48" i="47"/>
  <c r="Q48" i="47"/>
  <c r="P48" i="47"/>
  <c r="O48" i="47"/>
  <c r="N48" i="47"/>
  <c r="M48" i="47"/>
  <c r="L48" i="47"/>
  <c r="K48" i="47"/>
  <c r="AE47" i="47"/>
  <c r="AD47" i="47"/>
  <c r="AB47" i="47"/>
  <c r="AF47" i="47" s="1"/>
  <c r="AA47" i="47"/>
  <c r="Z47" i="47"/>
  <c r="Y47" i="47"/>
  <c r="X47" i="47"/>
  <c r="W47" i="47"/>
  <c r="V47" i="47"/>
  <c r="U47" i="47"/>
  <c r="T47" i="47"/>
  <c r="S47" i="47"/>
  <c r="R47" i="47"/>
  <c r="Q47" i="47"/>
  <c r="P47" i="47"/>
  <c r="O47" i="47"/>
  <c r="N47" i="47"/>
  <c r="M47" i="47"/>
  <c r="L47" i="47"/>
  <c r="K47" i="47"/>
  <c r="AF46" i="47"/>
  <c r="AE46" i="47"/>
  <c r="AD46" i="47"/>
  <c r="AC46" i="47" s="1"/>
  <c r="AB46" i="47"/>
  <c r="AA46" i="47"/>
  <c r="Z46" i="47"/>
  <c r="Y46" i="47"/>
  <c r="X46" i="47"/>
  <c r="W46" i="47"/>
  <c r="V46" i="47"/>
  <c r="U46" i="47"/>
  <c r="T46" i="47"/>
  <c r="S46" i="47"/>
  <c r="R46" i="47"/>
  <c r="Q46" i="47"/>
  <c r="P46" i="47"/>
  <c r="O46" i="47"/>
  <c r="N46" i="47"/>
  <c r="M46" i="47"/>
  <c r="L46" i="47"/>
  <c r="K46" i="47"/>
  <c r="AQ45" i="47"/>
  <c r="AE45" i="47"/>
  <c r="AD45" i="47"/>
  <c r="AC45" i="47" s="1"/>
  <c r="AB45" i="47"/>
  <c r="AF45" i="47" s="1"/>
  <c r="AA45" i="47"/>
  <c r="Z45" i="47"/>
  <c r="Y45" i="47"/>
  <c r="X45" i="47"/>
  <c r="W45" i="47"/>
  <c r="V45" i="47"/>
  <c r="U45" i="47"/>
  <c r="T45" i="47"/>
  <c r="S45" i="47"/>
  <c r="R45" i="47"/>
  <c r="Q45" i="47"/>
  <c r="P45" i="47"/>
  <c r="O45" i="47"/>
  <c r="N45" i="47"/>
  <c r="M45" i="47"/>
  <c r="L45" i="47"/>
  <c r="K45" i="47"/>
  <c r="AE44" i="47"/>
  <c r="AD44" i="47"/>
  <c r="AC44" i="47" s="1"/>
  <c r="AB44" i="47"/>
  <c r="AF44" i="47" s="1"/>
  <c r="AA44" i="47"/>
  <c r="Z44" i="47"/>
  <c r="Y44" i="47"/>
  <c r="X44" i="47"/>
  <c r="W44" i="47"/>
  <c r="V44" i="47"/>
  <c r="U44" i="47"/>
  <c r="T44" i="47"/>
  <c r="S44" i="47"/>
  <c r="R44" i="47"/>
  <c r="Q44" i="47"/>
  <c r="P44" i="47"/>
  <c r="O44" i="47"/>
  <c r="N44" i="47"/>
  <c r="M44" i="47"/>
  <c r="L44" i="47"/>
  <c r="K44" i="47"/>
  <c r="AF43" i="47"/>
  <c r="AE43" i="47"/>
  <c r="AD43" i="47"/>
  <c r="AB43" i="47"/>
  <c r="AA43" i="47"/>
  <c r="Z43" i="47"/>
  <c r="Y43" i="47"/>
  <c r="X43" i="47"/>
  <c r="W43" i="47"/>
  <c r="V43" i="47"/>
  <c r="U43" i="47"/>
  <c r="T43" i="47"/>
  <c r="S43" i="47"/>
  <c r="R43" i="47"/>
  <c r="Q43" i="47"/>
  <c r="P43" i="47"/>
  <c r="O43" i="47"/>
  <c r="N43" i="47"/>
  <c r="M43" i="47"/>
  <c r="L43" i="47"/>
  <c r="K43" i="47"/>
  <c r="AF42" i="47"/>
  <c r="AE42" i="47"/>
  <c r="AD42" i="47"/>
  <c r="AB42" i="47"/>
  <c r="AA42" i="47"/>
  <c r="Z42" i="47"/>
  <c r="Y42" i="47"/>
  <c r="X42" i="47"/>
  <c r="W42" i="47"/>
  <c r="V42" i="47"/>
  <c r="U42" i="47"/>
  <c r="T42" i="47"/>
  <c r="S42" i="47"/>
  <c r="R42" i="47"/>
  <c r="Q42" i="47"/>
  <c r="P42" i="47"/>
  <c r="O42" i="47"/>
  <c r="N42" i="47"/>
  <c r="M42" i="47"/>
  <c r="L42" i="47"/>
  <c r="K42" i="47"/>
  <c r="AR41" i="47"/>
  <c r="AQ41" i="47"/>
  <c r="AE41" i="47"/>
  <c r="AD41" i="47"/>
  <c r="AC41" i="47" s="1"/>
  <c r="AB41" i="47"/>
  <c r="AF41" i="47" s="1"/>
  <c r="AA41" i="47"/>
  <c r="Z41" i="47"/>
  <c r="Y41" i="47"/>
  <c r="X41" i="47"/>
  <c r="W41" i="47"/>
  <c r="V41" i="47"/>
  <c r="U41" i="47"/>
  <c r="T41" i="47"/>
  <c r="S41" i="47"/>
  <c r="R41" i="47"/>
  <c r="Q41" i="47"/>
  <c r="P41" i="47"/>
  <c r="O41" i="47"/>
  <c r="N41" i="47"/>
  <c r="M41" i="47"/>
  <c r="L41" i="47"/>
  <c r="K41" i="47"/>
  <c r="AR40" i="47"/>
  <c r="AQ40" i="47"/>
  <c r="AE40" i="47"/>
  <c r="AD40" i="47"/>
  <c r="AB40" i="47"/>
  <c r="AF40" i="47" s="1"/>
  <c r="AA40" i="47"/>
  <c r="Z40" i="47"/>
  <c r="Y40" i="47"/>
  <c r="X40" i="47"/>
  <c r="W40" i="47"/>
  <c r="V40" i="47"/>
  <c r="U40" i="47"/>
  <c r="T40" i="47"/>
  <c r="S40" i="47"/>
  <c r="R40" i="47"/>
  <c r="Q40" i="47"/>
  <c r="P40" i="47"/>
  <c r="O40" i="47"/>
  <c r="N40" i="47"/>
  <c r="M40" i="47"/>
  <c r="L40" i="47"/>
  <c r="K40" i="47"/>
  <c r="AR39" i="47"/>
  <c r="AQ39" i="47"/>
  <c r="AF39" i="47"/>
  <c r="AE39" i="47"/>
  <c r="AD39" i="47"/>
  <c r="AB39" i="47"/>
  <c r="AA39" i="47"/>
  <c r="Z39" i="47"/>
  <c r="Y39" i="47"/>
  <c r="X39" i="47"/>
  <c r="W39" i="47"/>
  <c r="V39" i="47"/>
  <c r="U39" i="47"/>
  <c r="T39" i="47"/>
  <c r="S39" i="47"/>
  <c r="R39" i="47"/>
  <c r="Q39" i="47"/>
  <c r="P39" i="47"/>
  <c r="O39" i="47"/>
  <c r="N39" i="47"/>
  <c r="M39" i="47"/>
  <c r="L39" i="47"/>
  <c r="K39" i="47"/>
  <c r="AE38" i="47"/>
  <c r="AD38" i="47"/>
  <c r="AB38" i="47"/>
  <c r="AF38" i="47" s="1"/>
  <c r="AA38" i="47"/>
  <c r="Z38" i="47"/>
  <c r="Y38" i="47"/>
  <c r="X38" i="47"/>
  <c r="W38" i="47"/>
  <c r="V38" i="47"/>
  <c r="U38" i="47"/>
  <c r="T38" i="47"/>
  <c r="S38" i="47"/>
  <c r="R38" i="47"/>
  <c r="Q38" i="47"/>
  <c r="P38" i="47"/>
  <c r="O38" i="47"/>
  <c r="N38" i="47"/>
  <c r="M38" i="47"/>
  <c r="L38" i="47"/>
  <c r="K38" i="47"/>
  <c r="AE37" i="47"/>
  <c r="AD37" i="47"/>
  <c r="AC37" i="47" s="1"/>
  <c r="AB37" i="47"/>
  <c r="AF37" i="47" s="1"/>
  <c r="AA37" i="47"/>
  <c r="Z37" i="47"/>
  <c r="Y37" i="47"/>
  <c r="X37" i="47"/>
  <c r="W37" i="47"/>
  <c r="V37" i="47"/>
  <c r="U37" i="47"/>
  <c r="T37" i="47"/>
  <c r="S37" i="47"/>
  <c r="R37" i="47"/>
  <c r="Q37" i="47"/>
  <c r="P37" i="47"/>
  <c r="O37" i="47"/>
  <c r="N37" i="47"/>
  <c r="M37" i="47"/>
  <c r="L37" i="47"/>
  <c r="K37" i="47"/>
  <c r="AE36" i="47"/>
  <c r="AD36" i="47"/>
  <c r="AB36" i="47"/>
  <c r="AF36" i="47" s="1"/>
  <c r="AA36" i="47"/>
  <c r="Z36" i="47"/>
  <c r="Y36" i="47"/>
  <c r="X36" i="47"/>
  <c r="W36" i="47"/>
  <c r="V36" i="47"/>
  <c r="U36" i="47"/>
  <c r="T36" i="47"/>
  <c r="S36" i="47"/>
  <c r="R36" i="47"/>
  <c r="Q36" i="47"/>
  <c r="P36" i="47"/>
  <c r="O36" i="47"/>
  <c r="N36" i="47"/>
  <c r="M36" i="47"/>
  <c r="L36" i="47"/>
  <c r="K36" i="47"/>
  <c r="AE35" i="47"/>
  <c r="AD35" i="47"/>
  <c r="AB35" i="47"/>
  <c r="AF35" i="47" s="1"/>
  <c r="AA35" i="47"/>
  <c r="Z35" i="47"/>
  <c r="Y35" i="47"/>
  <c r="X35" i="47"/>
  <c r="W35" i="47"/>
  <c r="V35" i="47"/>
  <c r="U35" i="47"/>
  <c r="T35" i="47"/>
  <c r="S35" i="47"/>
  <c r="R35" i="47"/>
  <c r="Q35" i="47"/>
  <c r="P35" i="47"/>
  <c r="O35" i="47"/>
  <c r="N35" i="47"/>
  <c r="M35" i="47"/>
  <c r="L35" i="47"/>
  <c r="K35" i="47"/>
  <c r="AE34" i="47"/>
  <c r="AC34" i="47" s="1"/>
  <c r="AD34" i="47"/>
  <c r="AB34" i="47"/>
  <c r="AF34" i="47" s="1"/>
  <c r="AA34" i="47"/>
  <c r="Z34" i="47"/>
  <c r="Y34" i="47"/>
  <c r="X34" i="47"/>
  <c r="W34" i="47"/>
  <c r="V34" i="47"/>
  <c r="U34" i="47"/>
  <c r="T34" i="47"/>
  <c r="S34" i="47"/>
  <c r="R34" i="47"/>
  <c r="Q34" i="47"/>
  <c r="P34" i="47"/>
  <c r="O34" i="47"/>
  <c r="N34" i="47"/>
  <c r="M34" i="47"/>
  <c r="L34" i="47"/>
  <c r="K34" i="47"/>
  <c r="AE33" i="47"/>
  <c r="AD33" i="47"/>
  <c r="AC33" i="47" s="1"/>
  <c r="AB33" i="47"/>
  <c r="AF33" i="47" s="1"/>
  <c r="AA33" i="47"/>
  <c r="Z33" i="47"/>
  <c r="Y33" i="47"/>
  <c r="X33" i="47"/>
  <c r="W33" i="47"/>
  <c r="V33" i="47"/>
  <c r="U33" i="47"/>
  <c r="T33" i="47"/>
  <c r="S33" i="47"/>
  <c r="R33" i="47"/>
  <c r="Q33" i="47"/>
  <c r="P33" i="47"/>
  <c r="O33" i="47"/>
  <c r="N33" i="47"/>
  <c r="M33" i="47"/>
  <c r="L33" i="47"/>
  <c r="K33" i="47"/>
  <c r="AE32" i="47"/>
  <c r="AD32" i="47"/>
  <c r="AC32" i="47"/>
  <c r="AB32" i="47"/>
  <c r="AF32" i="47" s="1"/>
  <c r="AA32" i="47"/>
  <c r="Z32" i="47"/>
  <c r="Y32" i="47"/>
  <c r="X32" i="47"/>
  <c r="W32" i="47"/>
  <c r="V32" i="47"/>
  <c r="U32" i="47"/>
  <c r="T32" i="47"/>
  <c r="S32" i="47"/>
  <c r="R32" i="47"/>
  <c r="Q32" i="47"/>
  <c r="P32" i="47"/>
  <c r="O32" i="47"/>
  <c r="N32" i="47"/>
  <c r="M32" i="47"/>
  <c r="L32" i="47"/>
  <c r="K32" i="47"/>
  <c r="AE31" i="47"/>
  <c r="AD31" i="47"/>
  <c r="AB31" i="47"/>
  <c r="AF31" i="47" s="1"/>
  <c r="AA31" i="47"/>
  <c r="Z31" i="47"/>
  <c r="Y31" i="47"/>
  <c r="X31" i="47"/>
  <c r="W31" i="47"/>
  <c r="V31" i="47"/>
  <c r="U31" i="47"/>
  <c r="T31" i="47"/>
  <c r="S31" i="47"/>
  <c r="R31" i="47"/>
  <c r="Q31" i="47"/>
  <c r="P31" i="47"/>
  <c r="O31" i="47"/>
  <c r="N31" i="47"/>
  <c r="M31" i="47"/>
  <c r="L31" i="47"/>
  <c r="K31" i="47"/>
  <c r="AE30" i="47"/>
  <c r="AC30" i="47" s="1"/>
  <c r="AD30" i="47"/>
  <c r="AB30" i="47"/>
  <c r="AF30" i="47" s="1"/>
  <c r="AA30" i="47"/>
  <c r="Z30" i="47"/>
  <c r="Y30" i="47"/>
  <c r="X30" i="47"/>
  <c r="W30" i="47"/>
  <c r="V30" i="47"/>
  <c r="U30" i="47"/>
  <c r="T30" i="47"/>
  <c r="S30" i="47"/>
  <c r="R30" i="47"/>
  <c r="Q30" i="47"/>
  <c r="P30" i="47"/>
  <c r="O30" i="47"/>
  <c r="N30" i="47"/>
  <c r="M30" i="47"/>
  <c r="L30" i="47"/>
  <c r="K30" i="47"/>
  <c r="AE29" i="47"/>
  <c r="AD29" i="47"/>
  <c r="AC29" i="47" s="1"/>
  <c r="AB29" i="47"/>
  <c r="AF29" i="47" s="1"/>
  <c r="AA29" i="47"/>
  <c r="Z29" i="47"/>
  <c r="Y29" i="47"/>
  <c r="X29" i="47"/>
  <c r="W29" i="47"/>
  <c r="V29" i="47"/>
  <c r="U29" i="47"/>
  <c r="T29" i="47"/>
  <c r="S29" i="47"/>
  <c r="R29" i="47"/>
  <c r="Q29" i="47"/>
  <c r="P29" i="47"/>
  <c r="O29" i="47"/>
  <c r="N29" i="47"/>
  <c r="M29" i="47"/>
  <c r="L29" i="47"/>
  <c r="K29" i="47"/>
  <c r="AF28" i="47"/>
  <c r="AE28" i="47"/>
  <c r="AD28" i="47"/>
  <c r="AC28" i="47"/>
  <c r="AB28" i="47"/>
  <c r="AA28" i="47"/>
  <c r="Z28" i="47"/>
  <c r="Y28" i="47"/>
  <c r="X28" i="47"/>
  <c r="W28" i="47"/>
  <c r="V28" i="47"/>
  <c r="U28" i="47"/>
  <c r="T28" i="47"/>
  <c r="S28" i="47"/>
  <c r="R28" i="47"/>
  <c r="Q28" i="47"/>
  <c r="P28" i="47"/>
  <c r="O28" i="47"/>
  <c r="N28" i="47"/>
  <c r="M28" i="47"/>
  <c r="L28" i="47"/>
  <c r="K28" i="47"/>
  <c r="AF27" i="47"/>
  <c r="AE27" i="47"/>
  <c r="AD27" i="47"/>
  <c r="AB27" i="47"/>
  <c r="AA27" i="47"/>
  <c r="Z27" i="47"/>
  <c r="Y27" i="47"/>
  <c r="X27" i="47"/>
  <c r="W27" i="47"/>
  <c r="V27" i="47"/>
  <c r="U27" i="47"/>
  <c r="T27" i="47"/>
  <c r="S27" i="47"/>
  <c r="R27" i="47"/>
  <c r="Q27" i="47"/>
  <c r="P27" i="47"/>
  <c r="O27" i="47"/>
  <c r="N27" i="47"/>
  <c r="M27" i="47"/>
  <c r="L27" i="47"/>
  <c r="K27" i="47"/>
  <c r="AE26" i="47"/>
  <c r="AC26" i="47" s="1"/>
  <c r="AD26" i="47"/>
  <c r="AB26" i="47"/>
  <c r="AF26" i="47" s="1"/>
  <c r="AA26" i="47"/>
  <c r="Z26" i="47"/>
  <c r="Y26" i="47"/>
  <c r="X26" i="47"/>
  <c r="W26" i="47"/>
  <c r="V26" i="47"/>
  <c r="U26" i="47"/>
  <c r="T26" i="47"/>
  <c r="S26" i="47"/>
  <c r="R26" i="47"/>
  <c r="Q26" i="47"/>
  <c r="P26" i="47"/>
  <c r="O26" i="47"/>
  <c r="N26" i="47"/>
  <c r="M26" i="47"/>
  <c r="L26" i="47"/>
  <c r="K26" i="47"/>
  <c r="AE25" i="47"/>
  <c r="AD25" i="47"/>
  <c r="AC25" i="47"/>
  <c r="AB25" i="47"/>
  <c r="AF25" i="47" s="1"/>
  <c r="AA25" i="47"/>
  <c r="Z25" i="47"/>
  <c r="Y25" i="47"/>
  <c r="X25" i="47"/>
  <c r="W25" i="47"/>
  <c r="V25" i="47"/>
  <c r="U25" i="47"/>
  <c r="T25" i="47"/>
  <c r="S25" i="47"/>
  <c r="R25" i="47"/>
  <c r="Q25" i="47"/>
  <c r="P25" i="47"/>
  <c r="O25" i="47"/>
  <c r="N25" i="47"/>
  <c r="M25" i="47"/>
  <c r="L25" i="47"/>
  <c r="K25" i="47"/>
  <c r="AE24" i="47"/>
  <c r="AC24" i="47" s="1"/>
  <c r="AD24" i="47"/>
  <c r="AB24" i="47"/>
  <c r="AF24" i="47" s="1"/>
  <c r="AA24" i="47"/>
  <c r="Z24" i="47"/>
  <c r="Y24" i="47"/>
  <c r="X24" i="47"/>
  <c r="W24" i="47"/>
  <c r="V24" i="47"/>
  <c r="U24" i="47"/>
  <c r="T24" i="47"/>
  <c r="S24" i="47"/>
  <c r="R24" i="47"/>
  <c r="Q24" i="47"/>
  <c r="P24" i="47"/>
  <c r="O24" i="47"/>
  <c r="N24" i="47"/>
  <c r="M24" i="47"/>
  <c r="L24" i="47"/>
  <c r="K24" i="47"/>
  <c r="AE23" i="47"/>
  <c r="AD23" i="47"/>
  <c r="AB23" i="47"/>
  <c r="AF23" i="47" s="1"/>
  <c r="AA23" i="47"/>
  <c r="Z23" i="47"/>
  <c r="Y23" i="47"/>
  <c r="X23" i="47"/>
  <c r="W23" i="47"/>
  <c r="V23" i="47"/>
  <c r="U23" i="47"/>
  <c r="T23" i="47"/>
  <c r="S23" i="47"/>
  <c r="R23" i="47"/>
  <c r="Q23" i="47"/>
  <c r="P23" i="47"/>
  <c r="O23" i="47"/>
  <c r="N23" i="47"/>
  <c r="M23" i="47"/>
  <c r="L23" i="47"/>
  <c r="K23" i="47"/>
  <c r="AE22" i="47"/>
  <c r="AC22" i="47" s="1"/>
  <c r="AD22" i="47"/>
  <c r="AB22" i="47"/>
  <c r="AF22" i="47" s="1"/>
  <c r="AA22" i="47"/>
  <c r="Z22" i="47"/>
  <c r="Y22" i="47"/>
  <c r="X22" i="47"/>
  <c r="W22" i="47"/>
  <c r="V22" i="47"/>
  <c r="U22" i="47"/>
  <c r="T22" i="47"/>
  <c r="S22" i="47"/>
  <c r="R22" i="47"/>
  <c r="Q22" i="47"/>
  <c r="P22" i="47"/>
  <c r="O22" i="47"/>
  <c r="N22" i="47"/>
  <c r="M22" i="47"/>
  <c r="L22" i="47"/>
  <c r="K22" i="47"/>
  <c r="AE21" i="47"/>
  <c r="AC21" i="47" s="1"/>
  <c r="AD21" i="47"/>
  <c r="AB21" i="47"/>
  <c r="AF21" i="47" s="1"/>
  <c r="AA21" i="47"/>
  <c r="Z21" i="47"/>
  <c r="Y21" i="47"/>
  <c r="X21" i="47"/>
  <c r="W21" i="47"/>
  <c r="V21" i="47"/>
  <c r="U21" i="47"/>
  <c r="T21" i="47"/>
  <c r="S21" i="47"/>
  <c r="R21" i="47"/>
  <c r="Q21" i="47"/>
  <c r="P21" i="47"/>
  <c r="O21" i="47"/>
  <c r="N21" i="47"/>
  <c r="M21" i="47"/>
  <c r="L21" i="47"/>
  <c r="K21" i="47"/>
  <c r="AE20" i="47"/>
  <c r="AD20" i="47"/>
  <c r="AC20" i="47"/>
  <c r="AB20" i="47"/>
  <c r="AF20" i="47" s="1"/>
  <c r="AA20" i="47"/>
  <c r="Z20" i="47"/>
  <c r="Y20" i="47"/>
  <c r="X20" i="47"/>
  <c r="W20" i="47"/>
  <c r="V20" i="47"/>
  <c r="U20" i="47"/>
  <c r="T20" i="47"/>
  <c r="S20" i="47"/>
  <c r="R20" i="47"/>
  <c r="Q20" i="47"/>
  <c r="P20" i="47"/>
  <c r="O20" i="47"/>
  <c r="N20" i="47"/>
  <c r="M20" i="47"/>
  <c r="L20" i="47"/>
  <c r="K20" i="47"/>
  <c r="AE19" i="47"/>
  <c r="AD19" i="47"/>
  <c r="AB19" i="47"/>
  <c r="AF19" i="47" s="1"/>
  <c r="AA19" i="47"/>
  <c r="Z19" i="47"/>
  <c r="Y19" i="47"/>
  <c r="X19" i="47"/>
  <c r="W19" i="47"/>
  <c r="V19" i="47"/>
  <c r="U19" i="47"/>
  <c r="T19" i="47"/>
  <c r="S19" i="47"/>
  <c r="R19" i="47"/>
  <c r="Q19" i="47"/>
  <c r="P19" i="47"/>
  <c r="O19" i="47"/>
  <c r="N19" i="47"/>
  <c r="M19" i="47"/>
  <c r="L19" i="47"/>
  <c r="K19" i="47"/>
  <c r="AE18" i="47"/>
  <c r="AC18" i="47" s="1"/>
  <c r="AD18" i="47"/>
  <c r="AB18" i="47"/>
  <c r="AF18" i="47" s="1"/>
  <c r="AA18" i="47"/>
  <c r="Z18" i="47"/>
  <c r="Y18" i="47"/>
  <c r="X18" i="47"/>
  <c r="W18" i="47"/>
  <c r="V18" i="47"/>
  <c r="U18" i="47"/>
  <c r="T18" i="47"/>
  <c r="S18" i="47"/>
  <c r="R18" i="47"/>
  <c r="Q18" i="47"/>
  <c r="P18" i="47"/>
  <c r="O18" i="47"/>
  <c r="N18" i="47"/>
  <c r="M18" i="47"/>
  <c r="L18" i="47"/>
  <c r="K18" i="47"/>
  <c r="AE17" i="47"/>
  <c r="AD17" i="47"/>
  <c r="AC17" i="47" s="1"/>
  <c r="AB17" i="47"/>
  <c r="AF17" i="47" s="1"/>
  <c r="AA17" i="47"/>
  <c r="Z17" i="47"/>
  <c r="Y17" i="47"/>
  <c r="X17" i="47"/>
  <c r="W17" i="47"/>
  <c r="V17" i="47"/>
  <c r="U17" i="47"/>
  <c r="T17" i="47"/>
  <c r="S17" i="47"/>
  <c r="R17" i="47"/>
  <c r="Q17" i="47"/>
  <c r="P17" i="47"/>
  <c r="O17" i="47"/>
  <c r="N17" i="47"/>
  <c r="M17" i="47"/>
  <c r="L17" i="47"/>
  <c r="K17" i="47"/>
  <c r="AE16" i="47"/>
  <c r="AD16" i="47"/>
  <c r="AC16" i="47"/>
  <c r="AB16" i="47"/>
  <c r="AF16" i="47" s="1"/>
  <c r="AA16" i="47"/>
  <c r="Z16" i="47"/>
  <c r="Y16" i="47"/>
  <c r="X16" i="47"/>
  <c r="W16" i="47"/>
  <c r="V16" i="47"/>
  <c r="U16" i="47"/>
  <c r="T16" i="47"/>
  <c r="S16" i="47"/>
  <c r="R16" i="47"/>
  <c r="Q16" i="47"/>
  <c r="P16" i="47"/>
  <c r="O16" i="47"/>
  <c r="N16" i="47"/>
  <c r="M16" i="47"/>
  <c r="L16" i="47"/>
  <c r="K16" i="47"/>
  <c r="AE15" i="47"/>
  <c r="AD15" i="47"/>
  <c r="AB15" i="47"/>
  <c r="AF15" i="47" s="1"/>
  <c r="AA15" i="47"/>
  <c r="Z15" i="47"/>
  <c r="Y15" i="47"/>
  <c r="X15" i="47"/>
  <c r="W15" i="47"/>
  <c r="V15" i="47"/>
  <c r="U15" i="47"/>
  <c r="T15" i="47"/>
  <c r="S15" i="47"/>
  <c r="R15" i="47"/>
  <c r="Q15" i="47"/>
  <c r="P15" i="47"/>
  <c r="O15" i="47"/>
  <c r="N15" i="47"/>
  <c r="M15" i="47"/>
  <c r="L15" i="47"/>
  <c r="K15" i="47"/>
  <c r="AE14" i="47"/>
  <c r="AC14" i="47" s="1"/>
  <c r="AD14" i="47"/>
  <c r="AB14" i="47"/>
  <c r="AF14" i="47" s="1"/>
  <c r="AA14" i="47"/>
  <c r="Z14" i="47"/>
  <c r="Y14" i="47"/>
  <c r="X14" i="47"/>
  <c r="W14" i="47"/>
  <c r="V14" i="47"/>
  <c r="U14" i="47"/>
  <c r="T14" i="47"/>
  <c r="S14" i="47"/>
  <c r="R14" i="47"/>
  <c r="Q14" i="47"/>
  <c r="P14" i="47"/>
  <c r="O14" i="47"/>
  <c r="N14" i="47"/>
  <c r="M14" i="47"/>
  <c r="L14" i="47"/>
  <c r="K14" i="47"/>
  <c r="AE13" i="47"/>
  <c r="AD13" i="47"/>
  <c r="AC13" i="47" s="1"/>
  <c r="AB13" i="47"/>
  <c r="AF13" i="47" s="1"/>
  <c r="AA13" i="47"/>
  <c r="Z13" i="47"/>
  <c r="Y13" i="47"/>
  <c r="X13" i="47"/>
  <c r="W13" i="47"/>
  <c r="V13" i="47"/>
  <c r="U13" i="47"/>
  <c r="T13" i="47"/>
  <c r="S13" i="47"/>
  <c r="R13" i="47"/>
  <c r="Q13" i="47"/>
  <c r="P13" i="47"/>
  <c r="O13" i="47"/>
  <c r="N13" i="47"/>
  <c r="M13" i="47"/>
  <c r="L13" i="47"/>
  <c r="K13" i="47"/>
  <c r="AF12" i="47"/>
  <c r="AE12" i="47"/>
  <c r="AD12" i="47"/>
  <c r="AC12" i="47"/>
  <c r="AB12" i="47"/>
  <c r="AA12" i="47"/>
  <c r="Z12" i="47"/>
  <c r="Y12" i="47"/>
  <c r="X12" i="47"/>
  <c r="W12" i="47"/>
  <c r="V12" i="47"/>
  <c r="U12" i="47"/>
  <c r="T12" i="47"/>
  <c r="S12" i="47"/>
  <c r="R12" i="47"/>
  <c r="Q12" i="47"/>
  <c r="P12" i="47"/>
  <c r="O12" i="47"/>
  <c r="N12" i="47"/>
  <c r="M12" i="47"/>
  <c r="L12" i="47"/>
  <c r="K12" i="47"/>
  <c r="AF11" i="47"/>
  <c r="AE11" i="47"/>
  <c r="AD11" i="47"/>
  <c r="AB11" i="47"/>
  <c r="AA11" i="47"/>
  <c r="Z11" i="47"/>
  <c r="Y11" i="47"/>
  <c r="X11" i="47"/>
  <c r="W11" i="47"/>
  <c r="V11" i="47"/>
  <c r="U11" i="47"/>
  <c r="T11" i="47"/>
  <c r="S11" i="47"/>
  <c r="R11" i="47"/>
  <c r="Q11" i="47"/>
  <c r="P11" i="47"/>
  <c r="O11" i="47"/>
  <c r="N11" i="47"/>
  <c r="M11" i="47"/>
  <c r="L11" i="47"/>
  <c r="K11" i="47"/>
  <c r="AE10" i="47"/>
  <c r="AC10" i="47" s="1"/>
  <c r="AD10" i="47"/>
  <c r="AB10" i="47"/>
  <c r="AF10" i="47" s="1"/>
  <c r="AA10" i="47"/>
  <c r="Z10" i="47"/>
  <c r="Y10" i="47"/>
  <c r="X10" i="47"/>
  <c r="W10" i="47"/>
  <c r="V10" i="47"/>
  <c r="U10" i="47"/>
  <c r="T10" i="47"/>
  <c r="S10" i="47"/>
  <c r="R10" i="47"/>
  <c r="Q10" i="47"/>
  <c r="P10" i="47"/>
  <c r="O10" i="47"/>
  <c r="N10" i="47"/>
  <c r="M10" i="47"/>
  <c r="L10" i="47"/>
  <c r="K10" i="47"/>
  <c r="AE9" i="47"/>
  <c r="AD9" i="47"/>
  <c r="AC9" i="47"/>
  <c r="AB9" i="47"/>
  <c r="AF9" i="47" s="1"/>
  <c r="AA9" i="47"/>
  <c r="Z9" i="47"/>
  <c r="Y9" i="47"/>
  <c r="X9" i="47"/>
  <c r="W9" i="47"/>
  <c r="V9" i="47"/>
  <c r="U9" i="47"/>
  <c r="T9" i="47"/>
  <c r="S9" i="47"/>
  <c r="R9" i="47"/>
  <c r="Q9" i="47"/>
  <c r="P9" i="47"/>
  <c r="O9" i="47"/>
  <c r="N9" i="47"/>
  <c r="M9" i="47"/>
  <c r="L9" i="47"/>
  <c r="K9" i="47"/>
  <c r="AE8" i="47"/>
  <c r="AC8" i="47" s="1"/>
  <c r="AD8" i="47"/>
  <c r="AB8" i="47"/>
  <c r="AF8" i="47" s="1"/>
  <c r="AA8" i="47"/>
  <c r="Z8" i="47"/>
  <c r="Y8" i="47"/>
  <c r="X8" i="47"/>
  <c r="W8" i="47"/>
  <c r="V8" i="47"/>
  <c r="U8" i="47"/>
  <c r="T8" i="47"/>
  <c r="S8" i="47"/>
  <c r="R8" i="47"/>
  <c r="Q8" i="47"/>
  <c r="P8" i="47"/>
  <c r="O8" i="47"/>
  <c r="N8" i="47"/>
  <c r="M8" i="47"/>
  <c r="L8" i="47"/>
  <c r="K8" i="47"/>
  <c r="AE7" i="47"/>
  <c r="AD7" i="47"/>
  <c r="AB7" i="47"/>
  <c r="AF7" i="47" s="1"/>
  <c r="AA7" i="47"/>
  <c r="Z7" i="47"/>
  <c r="Y7" i="47"/>
  <c r="X7" i="47"/>
  <c r="W7" i="47"/>
  <c r="V7" i="47"/>
  <c r="U7" i="47"/>
  <c r="T7" i="47"/>
  <c r="S7" i="47"/>
  <c r="R7" i="47"/>
  <c r="Q7" i="47"/>
  <c r="P7" i="47"/>
  <c r="O7" i="47"/>
  <c r="N7" i="47"/>
  <c r="M7" i="47"/>
  <c r="L7" i="47"/>
  <c r="K7" i="47"/>
  <c r="AE6" i="47"/>
  <c r="AC6" i="47" s="1"/>
  <c r="AD6" i="47"/>
  <c r="AB6" i="47"/>
  <c r="AF6" i="47" s="1"/>
  <c r="AA6" i="47"/>
  <c r="Z6" i="47"/>
  <c r="Y6" i="47"/>
  <c r="X6" i="47"/>
  <c r="W6" i="47"/>
  <c r="V6" i="47"/>
  <c r="U6" i="47"/>
  <c r="T6" i="47"/>
  <c r="S6" i="47"/>
  <c r="R6" i="47"/>
  <c r="Q6" i="47"/>
  <c r="P6" i="47"/>
  <c r="O6" i="47"/>
  <c r="N6" i="47"/>
  <c r="M6" i="47"/>
  <c r="L6" i="47"/>
  <c r="K6" i="47"/>
  <c r="AE5" i="47"/>
  <c r="AC5" i="47" s="1"/>
  <c r="AD5" i="47"/>
  <c r="AB5" i="47"/>
  <c r="AF5" i="47" s="1"/>
  <c r="AA5" i="47"/>
  <c r="Z5" i="47"/>
  <c r="Y5" i="47"/>
  <c r="X5" i="47"/>
  <c r="W5" i="47"/>
  <c r="V5" i="47"/>
  <c r="U5" i="47"/>
  <c r="T5" i="47"/>
  <c r="S5" i="47"/>
  <c r="R5" i="47"/>
  <c r="Q5" i="47"/>
  <c r="P5" i="47"/>
  <c r="O5" i="47"/>
  <c r="N5" i="47"/>
  <c r="M5" i="47"/>
  <c r="L5" i="47"/>
  <c r="K5" i="47"/>
  <c r="AE4" i="47"/>
  <c r="AC4" i="47" s="1"/>
  <c r="AD4" i="47"/>
  <c r="AB4" i="47"/>
  <c r="AF4" i="47" s="1"/>
  <c r="AA4" i="47"/>
  <c r="Z4" i="47"/>
  <c r="Y4" i="47"/>
  <c r="X4" i="47"/>
  <c r="W4" i="47"/>
  <c r="V4" i="47"/>
  <c r="U4" i="47"/>
  <c r="T4" i="47"/>
  <c r="S4" i="47"/>
  <c r="R4" i="47"/>
  <c r="Q4" i="47"/>
  <c r="P4" i="47"/>
  <c r="O4" i="47"/>
  <c r="N4" i="47"/>
  <c r="M4" i="47"/>
  <c r="L4" i="47"/>
  <c r="K4" i="47"/>
  <c r="AE3" i="47"/>
  <c r="AD3" i="47"/>
  <c r="AB3" i="47"/>
  <c r="AF3" i="47" s="1"/>
  <c r="AA3" i="47"/>
  <c r="Z3" i="47"/>
  <c r="Y3" i="47"/>
  <c r="X3" i="47"/>
  <c r="W3" i="47"/>
  <c r="V3" i="47"/>
  <c r="U3" i="47"/>
  <c r="T3" i="47"/>
  <c r="S3" i="47"/>
  <c r="R3" i="47"/>
  <c r="Q3" i="47"/>
  <c r="P3" i="47"/>
  <c r="O3" i="47"/>
  <c r="N3" i="47"/>
  <c r="M3" i="47"/>
  <c r="L3" i="47"/>
  <c r="K3" i="47"/>
  <c r="AE2" i="47"/>
  <c r="AC2" i="47" s="1"/>
  <c r="AD2" i="47"/>
  <c r="AB2" i="47"/>
  <c r="AF2" i="47" s="1"/>
  <c r="AA2" i="47"/>
  <c r="Z2" i="47"/>
  <c r="Y2" i="47"/>
  <c r="X2" i="47"/>
  <c r="W2" i="47"/>
  <c r="V2" i="47"/>
  <c r="U2" i="47"/>
  <c r="T2" i="47"/>
  <c r="S2" i="47"/>
  <c r="R2" i="47"/>
  <c r="Q2" i="47"/>
  <c r="P2" i="47"/>
  <c r="O2" i="47"/>
  <c r="N2" i="47"/>
  <c r="M2" i="47"/>
  <c r="L2" i="47"/>
  <c r="K2" i="47"/>
  <c r="I87" i="44"/>
  <c r="G87" i="44"/>
  <c r="G86" i="44"/>
  <c r="I85" i="44"/>
  <c r="G85" i="44"/>
  <c r="G84" i="44"/>
  <c r="I83" i="44"/>
  <c r="G83" i="44"/>
  <c r="I82" i="44"/>
  <c r="G82" i="44"/>
  <c r="G81" i="44"/>
  <c r="I80" i="44"/>
  <c r="G80" i="44"/>
  <c r="G79" i="44"/>
  <c r="I78" i="44"/>
  <c r="G78" i="44"/>
  <c r="G77" i="44"/>
  <c r="I76" i="44"/>
  <c r="G76" i="44"/>
  <c r="I75" i="44"/>
  <c r="G75" i="44"/>
  <c r="I74" i="44"/>
  <c r="G74" i="44"/>
  <c r="I73" i="44"/>
  <c r="G73" i="44"/>
  <c r="G72" i="44"/>
  <c r="G71" i="44"/>
  <c r="I70" i="44"/>
  <c r="G70" i="44"/>
  <c r="G69" i="44"/>
  <c r="I68" i="44"/>
  <c r="G68" i="44"/>
  <c r="I67" i="44"/>
  <c r="G67" i="44"/>
  <c r="G66" i="44"/>
  <c r="I65" i="44"/>
  <c r="G65" i="44"/>
  <c r="I64" i="44"/>
  <c r="G64" i="44"/>
  <c r="I63" i="44"/>
  <c r="G63" i="44"/>
  <c r="G62" i="44"/>
  <c r="I61" i="44"/>
  <c r="G61" i="44"/>
  <c r="I60" i="44"/>
  <c r="G60" i="44"/>
  <c r="I59" i="44"/>
  <c r="G59" i="44"/>
  <c r="I58" i="44"/>
  <c r="G58" i="44"/>
  <c r="I57" i="44"/>
  <c r="G57" i="44"/>
  <c r="I56" i="44"/>
  <c r="G56" i="44"/>
  <c r="G55" i="44"/>
  <c r="I54" i="44"/>
  <c r="G54" i="44"/>
  <c r="I53" i="44"/>
  <c r="G53" i="44"/>
  <c r="I52" i="44"/>
  <c r="G52" i="44"/>
  <c r="I51" i="44"/>
  <c r="G51" i="44"/>
  <c r="G50" i="44"/>
  <c r="G49" i="44"/>
  <c r="I48" i="44"/>
  <c r="G48" i="44"/>
  <c r="I47" i="44"/>
  <c r="G47" i="44"/>
  <c r="I46" i="44"/>
  <c r="G46" i="44"/>
  <c r="G45" i="44"/>
  <c r="I44" i="44"/>
  <c r="G44" i="44"/>
  <c r="I43" i="44"/>
  <c r="G43" i="44"/>
  <c r="G42" i="44"/>
  <c r="G41" i="44"/>
  <c r="I40" i="44"/>
  <c r="G40" i="44"/>
  <c r="G39" i="44"/>
  <c r="I38" i="44"/>
  <c r="G38" i="44"/>
  <c r="G37" i="44"/>
  <c r="G36" i="44"/>
  <c r="I35" i="44"/>
  <c r="G35" i="44"/>
  <c r="G34" i="44"/>
  <c r="I33" i="44"/>
  <c r="G33" i="44"/>
  <c r="I32" i="44"/>
  <c r="G32" i="44"/>
  <c r="G31" i="44"/>
  <c r="G30" i="44"/>
  <c r="I29" i="44"/>
  <c r="G29" i="44"/>
  <c r="G28" i="44"/>
  <c r="I27" i="44"/>
  <c r="G27" i="44"/>
  <c r="G26" i="44"/>
  <c r="I25" i="44"/>
  <c r="G25" i="44"/>
  <c r="G24" i="44"/>
  <c r="I23" i="44"/>
  <c r="G23" i="44"/>
  <c r="G22" i="44"/>
  <c r="I21" i="44"/>
  <c r="G21" i="44"/>
  <c r="G20" i="44"/>
  <c r="G19" i="44"/>
  <c r="I18" i="44"/>
  <c r="G18" i="44"/>
  <c r="G17" i="44"/>
  <c r="I16" i="44"/>
  <c r="G16" i="44"/>
  <c r="G15" i="44"/>
  <c r="I14" i="44"/>
  <c r="G14" i="44"/>
  <c r="G13" i="44"/>
  <c r="G12" i="44"/>
  <c r="G11" i="44"/>
  <c r="I10" i="44"/>
  <c r="G10" i="44"/>
  <c r="G9" i="44"/>
  <c r="G8" i="44"/>
  <c r="I7" i="44"/>
  <c r="G7" i="44"/>
  <c r="I6" i="44"/>
  <c r="G6" i="44"/>
  <c r="I5" i="44"/>
  <c r="G5" i="44"/>
  <c r="I4" i="44"/>
  <c r="G4" i="44"/>
  <c r="I3" i="44"/>
  <c r="G3" i="44"/>
  <c r="I2" i="44"/>
  <c r="G2" i="44"/>
  <c r="C51" i="16"/>
  <c r="C49" i="16"/>
  <c r="C50" i="16" s="1"/>
  <c r="O119" i="9"/>
  <c r="O118" i="9"/>
  <c r="O117" i="9"/>
  <c r="O116" i="9"/>
  <c r="O115" i="9"/>
  <c r="O114" i="9"/>
  <c r="O113" i="9"/>
  <c r="O112" i="9"/>
  <c r="O111" i="9"/>
  <c r="O110" i="9"/>
  <c r="O109" i="9"/>
  <c r="O108" i="9"/>
  <c r="O107" i="9"/>
  <c r="O106" i="9"/>
  <c r="O105" i="9"/>
  <c r="O104" i="9"/>
  <c r="O103" i="9"/>
  <c r="O102" i="9"/>
  <c r="O101" i="9"/>
  <c r="O100" i="9"/>
  <c r="O99" i="9"/>
  <c r="O98" i="9"/>
  <c r="O97" i="9"/>
  <c r="O96" i="9"/>
  <c r="O95" i="9"/>
  <c r="O94" i="9"/>
  <c r="O93" i="9"/>
  <c r="O92" i="9"/>
  <c r="O91" i="9"/>
  <c r="O90" i="9"/>
  <c r="O89" i="9"/>
  <c r="O88" i="9"/>
  <c r="O87" i="9"/>
  <c r="O86" i="9"/>
  <c r="O85" i="9"/>
  <c r="O84" i="9"/>
  <c r="O83" i="9"/>
  <c r="O82" i="9"/>
  <c r="O81" i="9"/>
  <c r="O80" i="9"/>
  <c r="O79" i="9"/>
  <c r="O78" i="9"/>
  <c r="O77" i="9"/>
  <c r="O76" i="9"/>
  <c r="O75" i="9"/>
  <c r="O74" i="9"/>
  <c r="O73" i="9"/>
  <c r="O72" i="9"/>
  <c r="O71" i="9"/>
  <c r="O70" i="9"/>
  <c r="O69" i="9"/>
  <c r="O68" i="9"/>
  <c r="O67" i="9"/>
  <c r="O66" i="9"/>
  <c r="O65" i="9"/>
  <c r="O64" i="9"/>
  <c r="O63" i="9"/>
  <c r="O62" i="9"/>
  <c r="O61" i="9"/>
  <c r="O60" i="9"/>
  <c r="O59" i="9"/>
  <c r="O58" i="9"/>
  <c r="O57" i="9"/>
  <c r="O56" i="9"/>
  <c r="O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O6" i="9"/>
  <c r="O5" i="9"/>
  <c r="O4" i="9"/>
  <c r="O3" i="9"/>
  <c r="O2" i="9"/>
  <c r="AC43" i="47" l="1"/>
  <c r="AC58" i="47"/>
  <c r="AC64" i="47"/>
  <c r="AC76" i="47"/>
  <c r="AC79" i="47"/>
  <c r="AC19" i="47"/>
  <c r="AC35" i="47"/>
  <c r="AC38" i="47"/>
  <c r="AC67" i="47"/>
  <c r="AC82" i="47"/>
  <c r="AC3" i="47"/>
  <c r="AC47" i="47"/>
  <c r="AC39" i="47"/>
  <c r="AC7" i="47"/>
  <c r="AC23" i="47"/>
  <c r="AC59" i="47"/>
  <c r="AC65" i="47"/>
  <c r="AC80" i="47"/>
  <c r="AC36" i="47"/>
  <c r="AC48" i="47"/>
  <c r="AC54" i="47"/>
  <c r="AC62" i="47"/>
  <c r="AC68" i="47"/>
  <c r="AC71" i="47"/>
  <c r="AC83" i="47"/>
  <c r="AC11" i="47"/>
  <c r="AC27" i="47"/>
  <c r="AC42" i="47"/>
  <c r="AC40" i="47"/>
  <c r="AC63" i="47"/>
  <c r="AC72" i="47"/>
  <c r="AC75" i="47"/>
  <c r="AC81" i="47"/>
  <c r="AC84" i="47"/>
  <c r="AC87" i="47"/>
  <c r="AC15" i="47"/>
  <c r="AC31" i="47"/>
  <c r="AC52" i="4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L1" authorId="0" shapeId="0" xr:uid="{00000000-0006-0000-0000-000001000000}">
      <text>
        <r>
          <rPr>
            <sz val="11"/>
            <color theme="1"/>
            <rFont val="Calibri"/>
          </rPr>
          <t>EP-Kosten, um diesen Wert zu erreichen (Charaktererstellung) - nicht zu verwechseln mit 'Formel' (berechneter Spielwert während des Spiels, referenziert andere Zeilen). Neue Platzhalter 'wert' und 'grad' beziehen sich auf die EIGENE Zeile (eigener Wert / eigene Grad-Spalte), nicht auf eine andere Referenz - anders als sonst im Formel-Sheet üblich.</t>
        </r>
      </text>
    </comment>
    <comment ref="M1" authorId="0" shapeId="0" xr:uid="{00000000-0006-0000-0000-000002000000}">
      <text>
        <r>
          <rPr>
            <sz val="11"/>
            <color theme="1"/>
            <rFont val="Calibri"/>
          </rPr>
          <t>Wann waehlbar/absteigerbar: 'E' = nur bei Erschaffung. Zahl = ab Erreichen dieses Kreises, dann immer bei Stufenaufstieg. 'E&amp;N' = beides (bei Erschaffung UND ab Kreis N). Quelle: NN NPC-Rechner 0.75, Sheet 'NPC-Rechner', Spalten AC/AN.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0E00-000001000000}">
      <text>
        <r>
          <rPr>
            <sz val="11"/>
            <color theme="1"/>
            <rFont val="Calibri"/>
          </rPr>
          <t>NK-Waffenwerte = Basis (dieses Sheet) + gewaehlte Modifikatoren aus NK-Material, NK-Fertigung, NK-Anpassung, NK-Schaftmaterial (jede Kategorie ihre EIGENE Tabelle, nicht vermischt - Korrektur eines Fehlers im Original NN NK-Waffentabelle v1.12, das faelschlich alle vier Kategorien in einem gemeinsamen Bereich nachschlug und bei Namensueberschneidungen die falsche Kategorie treffen konnte).
AT = AT-Basis + Material[AT-] + Fertigung[AT-] + (Schaftmaterial[AT-] falls Holzschaft-Waffe)
PA = PA-Basis + Material[PA-] + Fertigung[PA-] + (Schaftmaterial[PA-] falls Holzschaft-Waffe)
WK = WK-Basis + Material[WK]
Min-Staerke 1H = AUFRUNDEN(Min-Staerke-1H-Basis * Material[1H min.Staerke])
Min-Staerke 2H = AUFRUNDEN(Min-Staerke-2H-Basis * Material[2H min.Staerke]) + Fertigung[2H min.Staerke] + (Schaftmaterial[Min.Staerke 2H] falls Holzschaft)
Klingenbrecher = MAX(0; Material[Klingen-Brecher] + Fertigung[Klingen-Brecher] + Klingenbrecher-Basis)
Klingenschutz = MAX(0; Material[Klingen-Schutz] + Fertigung[Klingen-Schutz] + (Schaftmaterial[Klingen Schutz] falls Holzschaft) + Klingenschutz-Basis)
Rezept-Erschwerung = Rezept-Mod-Basis + (falls Holzschaft: MAX(Material[Rezept-Mod], Schaftmaterial[Rezept-Mod]) + Fertigung[Rezept-Mod] + Anpassung[Rezept-Mod]; sonst nur Material[Rezept-Mod])
Preis = Materialpreis-Faktor * Material[Preis] + Fertigung[Preis] * (Anpassung[Arbeitszeit/d] + (Schaftmaterial[Arbeitszeit/d] falls Holzschaft) + Arbeitszeit-Tag-Basis) + (Laenge-m * Schaftmaterial[Preis/m] falls Holzschaft)
'Holzschaft' = Art-Specials-Wert 'Holzschaft' oder 'Holzschaft, schnell'. Staerke-Malus = Material[Staerke-Malus] + Staerke-Malus-Basis (Nutzerhinweis: dieselbe Basis+Material-Paarung wie bei den anderen Werten, ergaenzt Modifikatoren-Spalte 2 'Staerke-Malus').
Schaden = Schadenswuerfel-1 + Schadenswuerfel-2 + AUFRUNDEN(Charakter-Staerke / Staerke-Teiler) + Staerke-Malus (Staerke-Malus = Material[Staerke-Malus] + Staerke-Malus-Basis, siehe oben). Beispiel Handhellebarde bei Charakter-Staerke 20, Standard-Konfiguration: AUFRUNDEN(20/3)+(-8) = 7-8 = -1, Schaden = W20+W6-1. Verifiziert vom Nutzer.
ZWEITER BUG im Original gefunden und korrigiert: Die Holzschaft-Bedingung war als 'IF(Y2=OR(AA2="Holzschaft",...))' geschrieben - Y2 ist die Waffenlaenge (Zahl), kein Wahrheitswert, daher war 'Y2=OR(...)' praktisch immer FALSCH und der Schaftmaterial-Bonus griff im Original NIE, auch nicht bei echten Holzschaft-Waffen (vermutlich Tippfehler beim Herunterziehen der Formel). Hier korrigiert: Schaftmaterial-Bonus wird angewendet, wenn Art-Specials='Holzschaft' oder 'Holzschaft, schnell' ist - wie offensichtlich urspruenglich beabsichtigt. Betrifft AT, PA, Min-Staerke 2H, Klingenschutz, Rezept-Erschwerung und Preis. Beispiel Handhellebarde/Faltstahl/Grossmeisterarbeit/Perfekt angepasst/Mithril Verstaerkt: AT=-3, PA=-2 (Original-Datei liefert wegen des Bugs faelschlich PA=-1).
14 Zeilen (alle Schilde, Panzerhandschuhe, Panzerschienen, Eisenkappenstiefel, Orkischer Kampfhandschuh, Unbewaffnet) haben Rezept-Mod-Basis='X' statt einer Zahl - das ist kein Formelfehler, sondern ein Platzhalter des Original-Autors fuer 'Rezeptschwierigkeit noch nicht bestimmt'. Deshalb ergab die Original-Formel dort #WERT!. Fuer die App: 'X' als 'unbekannt' behandeln, nicht rechnen - keine Zahl erfinden.
--- Unbewaffnete Kampftechniken (ergaenzt) ---
Quelle: 'Nahkampftabelle Unbewaffnet.doc' (Erstelldatum 2004-04-16, Fundort: Waffen, Ruestung und Ausruestung/Waffen/NK), vom Nutzer manuell nach .docx konvertiert und bereitgestellt.
Zeile 'Unbewaffnet (andere Voelker)' war zuvor die einzige generische 'Unbewaffnet'-Zeile (Spezialisierung 'Ruestungsmodifikator') - jetzt in 6 Rassenvarianten aufgeteilt (andere/Gnom/Ork/Troll/Zentaur/Katzenmensch), je mit eigenem Schadenswuerfel/Staerke-Teiler/-Malus, aber gleichem WK-Basis=-2, AT-Basis=0, PA-Basis=0 (= 'n-Mod=0/0' laut Quelle, gilt fuer alle Voelker) und Fert-Spez-Maximum=20.
Ork/Troll/Zentaur/Katzenmensch haben zusaetzlich optionale Zusatzangriffe (Biss/Huftritt) als eigene Zeilen (Spezialisierung 'Biss/Huftritt'), die den normalen Unbewaffnet-Schaden ersetzen koennen.
7 volksgebundene Kampfstile ergaenzt (Spalte 'Volk' neu, Spalte 'Fert-Spez-Maximum' neu, Rohwert '20/20' etc. aus Quelle uebernommen, Bedeutung ungeklaert): Boxen, Elfische Kunst der Selbstverteidigung, Goblinische Kampfkunst, Katzenmenschen Kampfkunst, Orkisch' Raufen, Ringen (kein Volk-Limit), Schattenkampf. Boxen/Ringen haben Schaden 'wie unbewaffnet' (rassenabhaengig, siehe oben), Elfische Kunst hat Schaden 'gegnerischer' (spiegelt Gegner) - beides als Text hinterlegt, NICHT als Formel aufgeloest.
Rezept-Mod-Basis/Materialpreis-Faktor/Arbeitszeit-Tag-Basis bei all diesen neuen Zeilen bewusst leer gelassen (nicht 'X'/'x'): es handelt sich nicht um herstellbare Ausruestung.
Voelkerbeschraenkungen dieser Kampfstile sowie deren Balance/Aktualitaet sind vom Nutzer ausdruecklich als ungeprueft markiert -&gt; siehe Sheet 'Entwickeln'.
Die 'Verfuegbarkeit'-Werte hier sind Grund-Verfuegbarkeiten (X) im Sinne der Wuerfelformel in Sheet 'Verfuegbarkeit-Modifikatoren' (Herstellungsort/Siedlungsgroesse/Handelsstufe/Haendler-Faktoren + Glueck, W100 &lt; Probenwert), kein fertiger Kauf-Freigabewert.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000-000001000000}">
      <text>
        <r>
          <rPr>
            <sz val="11"/>
            <color theme="1"/>
            <rFont val="Calibri"/>
          </rPr>
          <t>Quelle: 'Schilde v1.4.docx', Tabelle 'Waffen Materialien' (Fundort: Waffen, Ruestung und Ausruestung/Waffen/NK), vom Nutzer als .docx bereitgestellt.
Gilt fuer Schilde (Schild-Basis in NK-Waffen-Basis, Spezialisierung 'Schild'). Feineisen ist das Referenzmaterial (Standard = alle Mods 0, Faktoren 1.0).
Preis-Faktor multipliziert den Preis-Basis-Wert des Schilds (siehe NK-Waffen-Basis Spalte 'Preis-Basis'), NICHT additiv wie bei normalen Waffen (NK-Material). Schilde haben also ein eigenes, multiplikatives Preissystem - siehe auch Schild-Fertigung und Schild-Bespannung.
Formel (Vorschlag, noch nicht als Werte-Formel umgesetzt):
  Preis = Preis-Basis * Preis-Faktor(Material) * Preis-Faktor(Fertigung) + Preis(Bespannung, falls gewaehlt)
  RS = RS-Basis + RS-Mod(Material) + RS-Mod(Bespannung)
  Klingenbrecher = Klingenbrecher-Basis + KB-Mod(Material) + KB-Mod(Fertigung) + KB-Mod(Bespannung)
  Klingenschutz = analog Klingenbrecher
  Staerke-Malus = Staerke-Malus-Basis + Staerke-Malus-Mod(Material) (Teiler bleibt unveraendert)
  AT/PA = AT/PA-Basis + AT/PA-Mod(Material) (Fertigung/Bespannung aendern AT/PA nicht)
  WK = WK-Basis + WK-Mod(Material) (Fertigung/Bespannung aendern WK nicht)
  Min-Staerke = Min-Staerke-1H-Basis * Min-Staerke-Faktor(Material) * Min-Staerke-Faktor(Bespannung)
Bugfix: Staerke-Malus-Basis der 11 Schilde (alle ausser Faustschild/Buckler) war in NK-Waffen-Basis faelschlich positiv (+5) statt negativ (-5) eingetragen - laut Schilde v1.4 gilt fuer alle Schilde einheitlich Staerke-Teiler 3, Staerke-Malus -5. Korrigiert.
Chitin und Kolhartz haben in der Quelle eine Preis-Spanne statt eines Einzelwerts ('*2,5 - *4' bzw. '*0,1 - *1000') - nicht praezisierbar, siehe Sheet 'Entwickeln'.
Adamandit-Klingenschutz-Mod steht in der Quelle als '+50%' (Prozentformat), waehrend alle anderen Zeilen dieser Spalte Flachwerte haben - vermutlich Tippfehler in der Quelle, wortgetreu uebernommen, siehe Sheet 'Entwickeln'.
--- Kampfzeitliche Schild-Regeln (Legende aus Schilde v1.4.docx) ---
Fuer das geplante Kampfmodul, NICHT Teil der Charaktererstellung:
- Ein Schild muss bei jeder Parade einen Bruchtest ablegen.
- Der Ruestungsschutz eines Schildes wird auch bei misslungener Parade zu dem des linken Arms addiert (bei kleinen Schilden nur Unterarm).
- Eine erfolgreiche Schildparade wird wie eine gelungene Waffenparade gewertet.
- Mit Schilden koennen Wurf- und Schusswaffen pariert werden (siehe FK-AW-Tab. Meisterscreen S2). Bei einer erfolgreichen Parade wird der Ruestungsschutz des Schildes vom Schaden der Waffe abgerechnet, egal welche Trefferzone getroffen wurde.
- Schilde werden im Kampf behandelt wie der Kampf mit zwei Waffen. Ausnahmen sind die Angriffsmodi: (a) Angriff oder Parade - Schild hat die in Klammern stehende Waffenklasse, Kaempfer kaempft mit normalen, nicht halbierten Werten (zugaenglich fuer alle, Schild wird als Update der Hauptwaffe gefuehrt); (b) Angriff und Parade - Schild hat seine 'normale' Waffenklasse (nur Zweihand-Kampfsystem); (c) Zwei Paraden - wie (b) (nur Zweihand-Kampfsystem). Bei (b) und (c) wird der Attacke-N-Mod auch von der Hauptwaffe abgezogen.
- Bei bestimmten Materialien koennen Schilde ihren Bruchtest mit 2 oder mehreren Wuerfen ablegen und muessen nur einen bestehen, um nicht zu zerbrechen.
- Die Ruestungsbehinderung eines Schildes entspricht seiner normalen Waffenklasse.
- Die Hand des Arms, mit dem der Schild gefuehrt wird, kann keine Waffe mehr fuehren, wohl aber Gegenstaende wie Tuergriffe manipulieren.
- Gegen Kettenwaffen haben Schilde eine um die Waffenklasse der Kettenwaffe erschwerte Parade.
- Kampfzauber koennen auch pariert werden, genau wie FK-Waffen, mit dem Unterschied, dass bei jeder gelungenen Parade ein Bruchtest gewuerfelt wird. Der Zaubergrad*7 ist der Klingenbrecher des Zaubers. Ball-Zauber gelten als Wurfwaffen, Bolzen-Zauber als Schusswaffe, Blitz-Zauber als Feuerwaffe.
Die 'Verfuegbarkeit'-Werte hier sind Grund-Verfuegbarkeiten (X) im Sinne der Wuerfelformel in Sheet 'Verfuegbarkeit-Modifikatoren' (Herstellungsort/Siedlungsgroesse/Handelsstufe/Haendler-Faktoren + Glueck, W100 &lt; Probenwert), kein fertiger Kauf-Freigabewert.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100-000001000000}">
      <text>
        <r>
          <rPr>
            <sz val="11"/>
            <color theme="1"/>
            <rFont val="Calibri"/>
          </rPr>
          <t>Quelle: 'Schilde v1.4.docx', Tabelle 'Waffen Verbesserungen' &gt; 'Herstellung'.
Gesellenarbeit ist Standard (Faktor 1.0, keine Mods). Aendert nur Klingenbrecher/Klingenschutz und den Preis-Faktor - nicht AT/PA/WK/RS/Staerke.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200-000001000000}">
      <text>
        <r>
          <rPr>
            <sz val="11"/>
            <color theme="1"/>
            <rFont val="Calibri"/>
          </rPr>
          <t>Quelle: 'Schilde v1.4.docx', Tabelle 'Waffen Verbesserungen' &gt; 'Bespannung (alle Schilder)'. Preis ist ein FLACHER Dublonen-Betrag (Zuschlag), keine Preis-Faktor-Multiplikation wie bei Material/Fertigung.
Kohlharz hat in der Quelle eine Preisspanne (10-10000D) statt eines Einzelwerts - siehe Sheet 'Entwickeln'.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300-000001000000}">
      <text>
        <r>
          <rPr>
            <sz val="11"/>
            <color theme="1"/>
            <rFont val="Calibri"/>
          </rPr>
          <t>Quelle: 'Schilde v1.4.docx', Tabelle 'Waffen Verbesserungen' &gt; 'Verplatung (nur Holzschilder)'. Die Quelle listet nur diese 13 Materialnamen auf, alle Wertespalten sind in der Tabelle leer - keine Daten zum Uebernehmen vorhanden. 'Nur Holzschilder' bedeutet vermutlich: nur anwendbar auf Schilde mit Material 'Holz' oder 'Hart Holz'. Aktuell nicht nutzbar, siehe Sheet 'Entwickeln'.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400-000001000000}">
      <text>
        <r>
          <rPr>
            <sz val="11"/>
            <color theme="1"/>
            <rFont val="Calibri"/>
          </rPr>
          <t>Quelle: NN Artefakte 0.52.xlsx, Sheet 'Ressourcen', Bereich C8:H18 ('Faehigkeiten des Magus'). Rang 1-11 (Rang 1-2 namenlos '-', Rang 3 'Magus' ist die erste Stufe, die ueberhaupt Artefakte erschaffen kann - allerdings nur einmalige. Erst ab Rang 5 'Magus Major' sind auch permanente Artefakte moeglich (siehe Artefakt-Kosten: FP/FE-Untergrenzen 5/3).
'Angenommene-M' ist ein universeller Wirkungsstufen-Faktor, der je nach Artefakt fuer unterschiedliche In-Game-Effekte verwendet wird (Lichthelligkeit, Eigenschafts-Boost-Dauer etc.) - die konkrete Wirkung ist Kampfmodul-Scope, hier nur als Rohdaten fuer die Kostenformel relevant.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500-000001000000}">
      <text>
        <r>
          <rPr>
            <sz val="11"/>
            <color theme="1"/>
            <rFont val="Calibri"/>
          </rPr>
          <t>Quelle: NN Artefakte 0.52.xlsx, Sheet 'Ressourcen', Bereich B22:D31 ('Seelensteine'). Der Seelenstein ist der materielle Traeger jedes Artefakts; seine Groesse/sein Wert skaliert mit der Zauberstufe (= Artefakt-Grad).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600-000001000000}">
      <text>
        <r>
          <rPr>
            <sz val="11"/>
            <color theme="1"/>
            <rFont val="Calibri"/>
          </rPr>
          <t>Quelle: NN Artefakte 0.52.xlsx, Sheet 'Ressourcen', Bereich C36:D45 ('Wirkungsstufe/Faehigkeit-Differenz'). Kommt zum Tragen, wenn der Artefaktmagier (FE bzw. FP, mindestens Rang 3 bzw. 5) hoeherstufiger ist als der gewaehlte Artefakt-Grad L: die Manakosten werden dann NICHT einfach genommen, sondern mit Manamultiplikator[FE-L] multipliziert (=Rabatt fuer Ueberqualifikation). Formel = (2/3)^Differenz.</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700-000001000000}">
      <text>
        <r>
          <rPr>
            <sz val="11"/>
            <color theme="1"/>
            <rFont val="Calibri"/>
          </rPr>
          <t>Quelle: 'NN Artefakte 0.52.xlsx' (neueste Version, gepr�ft gegen 0.5/0.51/artefakte-und-foki-0-4 - 0.52 ist aktuell), Sheet 'Artefaktpreisliste'. 44 einzigartige Artefakte im Original, 'Koerperliche Eigenschaft erhoehen' (5 Attribute: Ath/Ges/Kon/Sch/Stae) und 'Geistige Eigenschaft erhoehen' (4 Attribute: Int/Mut/Sin/Wil) wurden je in eine Zeile pro Eigenschaft aufgeteilt (Nutzeranweisung), macht 51 Zeilen. 'Eigenschafts-Artefakt' (eigener Typ, unklarer Eigenschaftsumfang) bewusst NICHT aufgeteilt, siehe Sheet 'Entwickeln'.
'Vorbereitungszeit-sec' = Zaubergrad (Quelle: Formel G='=B', d.h. VZ ist immer identisch zum Zaubergrad).
'Zaubergrad' ist NICHT der 'Artefakt-Grad' (siehe Sheet Artefakt-Kosten) - es ist die feste Einstufung, aus der das Artefakt urspruenglich abgeleitet wurde (Nutzerbestaetigung). Beeinflusst nur die Vorbereitungszeit, nicht Preis/Verfuegbarkeit.
Wirkung/Wirkungsdauer sind teils grad-abhaengige Formeln im Original (ueber die 'Angenommene-M'-Spalte der Magus-Faehigkeiten-Tabelle), hier nur als Referenzwert bei Grad 7 uebernommen - exakte Grad-Skalierung der In-Game-Wirkung ist Kampfmodul-Scope, nicht Teil der Charaktererstellung.
Einmalige Artefakte sind nach einmaliger Nutzung zerstoert. Permanente Artefakte werden durch Nutzung nicht zerstoert und koennen einmal pro Tag ausgeloest werden (Nutzerangabe).
--- Attributs-Artefakte (ergaenzt) ---
Die urspruengliche Quellzeile 'Eigenschafts-Artefakt' (Grad 4, Mana 24, Wirkungsdauer 24h 'fuer einen magischen Tag') wurde durch Nutzerangabe geklaert: Es handelt sich um 'Attributs-Artefakte', die ALLE 10 Eigenschaften abdecken (Athletik/Geschicklichkeit/Konstitution/Schnelligkeit/Staerke/Ausstrahlung/Intelligenz/Mut/Sinnesschaerfe/Willenskraft), NUR als permanente Variante existieren (kein Einmal-Artefakt), in den Graden 1-7 wie alle anderen Artefakte, aber mit Verfuegbarkeit ausschliesslich ueber den Spielleiter (nicht ueber die normale Magus-Rang-Verfuegbarkeitstabelle erwerbbar) - daher in Artefakt-Kosten Verfuegbarkeit-permanent='Meister' statt einer Zahl, und keine Einmalig-Kosten/Verfuegbarkeit (Spalten leer).
--- KORREKTUR 2026-07-16 ---
Attributs-Artefakte bezogen sich faelschlich auf die 10 Eigenschaften (Athletik...Willenskraft, Kategorie 'Eigenschaften' im Werte-Sheet) statt auf die 7 echten 'Attribute' (Kategorie 'Attribute' im Werte-Sheet: Aura, Essenz, Glueck, Karma, Magie, Vitalitaet, Weisheit). Nutzer hat klargestellt: 'es gibt keine 10 attribute'. Korrigiert auf die 7 tatsaechlichen Attribute.</t>
        </r>
      </text>
    </comment>
    <comment ref="L1" authorId="0" shapeId="0" xr:uid="{00000000-0006-0000-1700-000002000000}">
      <text>
        <r>
          <rPr>
            <sz val="11"/>
            <color theme="1"/>
            <rFont val="Calibri"/>
          </rPr>
          <t>Spalte 'Eigenschaft' markiert Artefakte, die eine bestimmte Eigenschaft erhoehen (fuer die per-Eigenschaft aufgesplitteten Artefakttypen).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800-000001000000}">
      <text>
        <r>
          <rPr>
            <sz val="11"/>
            <color theme="1"/>
            <rFont val="Calibri"/>
          </rPr>
          <t>Vorberechnetes Kosten-/Verfuegbarkeits-Raster fuer jedes Artefakt (Sheet Artefakt-Basis) bei jedem waehlbaren Artefakt-Grad 1-7 (Nutzerbestaetigung: 'Artefakt-Grad' = Spalte L der Quelle, NICHT die Spalte 'Grad'/Zaubergrad).
Nachgebaute Formel aus NN Artefakte 0.52.xlsx (Ressourcen-Sheet-Lookups, siehe Artefakt-Magus-Faehigkeiten/-Seelensteine/-Manamultiplikator), verifiziert gegen die zwei einzigen unbeschaedigten Referenzwerte der Quelle (Licht bei Grad 7 -&gt; 8780/14080; Waffe erschaffen bei Grad 1 -&gt; 98/585 - beide exakt reproduziert).
Formel je Artefakt (K=Mana-Basis, L=gewaehlter Artefakt-Grad):
  EINMALIG:
    FE = MAX(L;3)  [Rang-Untergrenze: Magus ist die erste Stufe, die ueber-
                     haupt Artefakte erschaffen kann]
    ManaE = AUFRUNDEN(WENN(FE&gt;L; Manamultiplikator[FE-L]*K; K);0)
    ktE (Karat) = ManaE * 2 * Seelenstein[L].Karat-pro-Mana
    SSE (Seelenstein-Dublonen) = ManaE * 2 * Seelenstein[L].Dublonen-pro-Mana
    VKE = Magus[MAX(L;FE)].Gehalt*L + Magus[MAX(L;FE)].D-pro-Mana*20 + 2*2*ManaE
    Kosten-einmalig = SSE + VKE * (1/4 wenn L=1; 1/2 wenn L=2; sonst 1)
    Verfuegbarkeit-einmalig = Magus[FE].Verfuegbarkeit
  PERMANENT (analog, mit anderen Konstanten):
    FP = MAX(L;5)  [Rang-Untergrenze: Magus Major ist die erste Stufe, die
                     permanente statt nur einmalige Artefakte erschaffen kann]
    ManaP = AUFRUNDEN(WENN(FP&gt;L; Manamultiplikator[FP-L]*K; K);0)
    ktP = ManaP * 4 * Seelenstein[L].Karat-pro-Mana
    SSP = ManaP * 4 * Seelenstein[L].Dublonen-pro-Mana
    VKP = Magus[MAX(L;FP)].Gehalt*L + Magus[MAX(L;FP)].D-pro-Mana*40 + 20*4*ManaP
    Kosten-permanent = SSP + VKP * (1/2 wenn L=1; 3/4 wenn L=2; sonst 1)
    Verfuegbarkeit-permanent = Magus[FP].Verfuegbarkeit
BUGFIX gegenueber der Quelle: Die VKP-Formel (Spalte X) hatte in 41 von 44 Quellzeilen eine fehlende Multiplikation '*L' beim Gehalt-Term (nur bei den ersten 3 Zeilen 'Licht'/'Magisches Makeover'/'In Nahrung verwandeln' korrekt - klassischer Excel-Drag-Fehler: Formel wurde beim Runterziehen nicht konsistent kopiert). Hier durchgaengig die korrekte, symmetrische Form verwendet (wie VKE). Beispiel 'Koerperliche Eigenschaft erhoehen' bei Grad 7: Quelle (fehlerhaft) Kosten-permanent=13200, korrekt=16800.
Verfuegbarkeit ist eine 1-11-Rangstufe (Magus-Rang, siehe Artefakt-Magus-Faehigkeiten), NICHT das E/E&amp;Zahl-Format der Haupt-Werte-Tabelle - eigenstaendiges Subsystem (Nutzerentscheidung).
Attributs-Artefakte (10 Zeilen x 7 Grade = 70 Zeilen): permanent-only, Verfuegbarkeit-permanent='Meister' (kein numerischer Rang - nur ueber Spielleiter erhaeltlich), Kosten-einmalig/Verfuegbarkeit-einmalig bleiben leer, da es keine Einmal-Variante gibt.
--- Regulaere Ladenverfuegbarkeit (Nutzerkontext 2026-07-16) ---
Artefakte mit Verfuegbarkeit &lt;=3-4 gelten als 'im Laden erhaeltlich' (normaler Erwerb bei Charaktererstellung/im Spiel). Alles darueber ist schwer beschaffbar und bei Erstellung nur mit Zustimmung des Spielleiters moeglich.
Wichtig: Da FP (permanent) immer &gt;=5 ist (Rang 'Magus Major' ist die Mindeststufe fuer permanente Artefakte), haben PERMANENTE Artefakte NIE Verfuegbarkeit &lt;=4 - sie sind grundsaetzlich nie regulaer im Laden erhaeltlich, immer Spielleiter-Sache. Nur EINMALIGE Artefakte koennen bei Grad 1-3 (Verfuegbarkeit=3) bzw. Grad 4 (Verfuegbarkeit=4) reguleaer gekauft werden.
Die 'Verfuegbarkeit'-Werte hier sind Grund-Verfuegbarkeiten (X) im Sinne der Wuerfelformel in Sheet 'Verfuegbarkeit-Modifikatoren' (Herstellungsort/Siedlungsgroesse/Handelsstufe/Haendler-Faktoren + Glueck, W100 &lt; Probenwert), kein fertiger Kauf-Freigabewert.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900-000001000000}">
      <text>
        <r>
          <rPr>
            <sz val="11"/>
            <color theme="1"/>
            <rFont val="Calibri"/>
          </rPr>
          <t>Quelle: 'NN_Verfuegbarkeiten_1.0.docx' (Grundregeln-Ordner, 2014 - neueste von 3 Fundstellen, die anderen beiden liegen in z_alt/ bzw. Entwickelkrams/Entwurf und sind ueberholt).
Dies ist der Wuerfelmechanismus, der bestimmt, ob ein Gegenstand an einem konkreten Ort/bei einem konkreten Haendler ERHAELTLICH ist. Die 'Verfuegbarkeit'-Werte, die in NK-Waffen-Basis, Schild-*, Artefakt-Kosten, Preisliste etc. gespeichert sind, sind jeweils die GRUND-VERFUEGBARKEIT (X) eines Gegenstands - der Eingabewert fuer diese Formel, kein fertiges Ergebnis.
Ablauf:
  Schritt 1: Grund-Verfuegbarkeit des Gegenstands = X (aus der jeweiligen Ausruestungs-Tabelle)
  Schritt 2: Xy = X * Faktor(Herstellungsort) * Faktor(Siedlungsgroesse) * Faktor(Handelsstufe) * Faktor(Haendler)
  Schritt 3: Probenwert = Xy + att_glueck (Glueck des Charakters)
  Probe: W100 (2W10) wird gewuerfelt. Gegenstand ist erhaeltlich, wenn W100 &lt; Probenwert.
Wichtig: 'Siedlungsgroesse=Wildnis' hat Faktor 0 - in der Wildnis ist reguleare Kauf-Verfuegbarkeit grundsaetzlich ausgeschlossen (Xy=0), unabhaengig von der Grund-Verfuegbarkeit des Gegenstands.
Dies ist ein ANDERES System als die 'Verfuegbarkeit'-Spalte im Haupt-Werte-Sheet (dort z.B. 'E' bei Vor-/Nachteilen) - das betrifft Charaktererstellungs-Restriktionen, nicht den Einkauf von Ausruestung im Spiel. Nicht verwechseln.</t>
        </r>
      </text>
    </comment>
    <comment ref="A28" authorId="0" shapeId="0" xr:uid="{00000000-0006-0000-1900-000002000000}">
      <text>
        <r>
          <rPr>
            <sz val="11"/>
            <color theme="1"/>
            <rFont val="Calibri"/>
          </rPr>
          <t>Quelle: 'Nasus Nasus Verfuegbarkeiten Entwurf v0.3.docx' (Grundregeln-Ordner, 2010 - ein frueherer Entwurf, von Nutzer als 'die alte Liste' bezeichnet). Der Multiplikator-Mechanismus dieses Entwurfs (additive Modifikatoren nach 5 Schritten: Alte/Neue Welt, Siedlungsgroesse, Volk, Bekanntheit, Volk-Passt-Ruestung) wird NICHT verwendet - er ist durch das neuere 'NN_Verfuegbarkeiten_1.0.docx' (2014, siehe oben in diesem Sheet) ersetzt worden.
Diese Legende (was 1-7 inhaltlich bedeutet) bleibt aber gueltig, da der Entwurf selbst sagt: 'Das Alte Nasus Nasus Verfuegbarkeiten System von 1-7 bleibt bestehen... Neu entwickelte Ausruestung bekommt auch wieder eine Verfuegbarkeit von 1-7.' Das erklaert die Grund-Verfuegbarkeit-Werte (X) in NK-Waffen-Basis/Schild-*/Preisliste (nicht die Artefakt-Magus-Rang-Skala 1-11, die ein eigenes, hoeher aufgeloestes Subsystem ist).
Die alte, additive Schritt-Tabelle (5 Kategorien: Alte/Neue Welt, Siedlungsgroesse, Volk, Bekanntheit, Ruestungs-Volk-Passung) ist zur historischen Referenz im Sheet 'Entwickeln' vermerkt, falls Teile davon spaeter wiederbelebt werden sollen.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A00-000001000000}">
      <text>
        <r>
          <rPr>
            <sz val="11"/>
            <color theme="1"/>
            <rFont val="Calibri"/>
          </rPr>
          <t>Quelle: 'NN NPC-Rechner 0.76.xlsx', Sheet 'RS-Sheet', Bereich A43:I67 (Nutzeranweisung: 'die komplette Liste ist in der NN NPC Rechner gespeichert').
Lage = Ruestungsklasse (1=Stoff, 2=Leder, 3=Kette, 4=Platte) UND gleichzeitig die MINDEST-Behinderung (RBE) dieses Ruestungsteils - siehe Formel in Sheet Ruestung-Preisformel bzw. Legende unten.
Verfuegbarkeit-NW/-AW = Grund-Verfuegbarkeit 'Neue Welt' / 'Alte Welt' (siehe Sheet Verfuegbarkeit-Modifikatoren fuer die Bedeutung 1-7 und den Wuerfelmechanismus).
Legende aus der Quelle:
- Hals, Schultergelenk, Ellenbogen, Haende, Knie und Fuesse werden nur mit halbem RS geschuetzt. Augen werden nicht geschuetzt. Fuer alle nicht genannten kritischen Trefferzonen gilt der volle Ruestungswert.
- Jedes Ruestungsteil kann durch Verarbeitung UND Anpassung je einmalig modifiziert werden (siehe Sheets Ruestung-Verarbeitung/Ruestung-Anpassung).
- Jedes Ruestungsteil hat seine Lage als Mindest-RBE (Ausnahme: Lage 5 - Umhaenge/Aufpanzerungen, siehe Sheet Ruestung-Addons).
Kein Haende-/Fuesse-Slot vorhanden (nur Kopf/Torso/Arme/Beine als anlegbare Slots, siehe Sheet Ruestungstabelle) - Panzerhandschuhe/-schienen/Eisenkappenstiefel/Orkischer Kampfhandschuh bleiben daher weiterhin ungeklaert, siehe Sheet Entwickeln.
--- Vollstaendige Preis-/RS-/BE-/Verfuegbarkeits-Formel ---
Fuer ein Ruestungsteil mit Basiswerten aus Ruestung-Basis, gewaehlter Verarbeitung (Ruestung-Verarbeitung) und gewaehlter Anpassung (Ruestung-Anpassung):
  RS = WENN(Ruestungsteil = 'Keine Ruestung'; 0; RS-Basis + RS-Mod(Verarbeitung))
  [Anpassung beeinflusst RS NIE]
  BE = WENN(Ruestungsteil = 'Keine Ruestung'; 0; MAX(Lage; BE-Basis + BE-Mod(Verarbeitung) + BE-Mod(Anpassung)))
  [Lage ist die Mindest-Behinderung (RBE) - kann durch gute Verarbeitung/Anpassung NICHT unterschritten werden]
  Preis = Materialkosten + Lohn-pro-Tag(Verarbeitung) * (Arbeitszeit-Tag-Basis + Zusaetzliche-Tage(Anpassung))
  Verfuegbarkeit-NW = MAX(Verfuegbarkeit-NW(Ruestung); Verfuegbarkeit-NW(Verarbeitung); Verfuegbarkeit-NW(Anpassung))
  Verfuegbarkeit-AW = analog mit den AW-Spalten
  [Die schwerste/seltenste Komponente bestimmt die Gesamt-Verfuegbarkeit]
Lage-5-Addons (Ruestung-Addons) rechnen NICHT nach dieser Formel - sie liefern ihre RS/BE/Verfuegbarkeit direkt, ohne Verarbeitung/Anpassung-Kombination, und haben (noch) keine eigene Preis-Spalte.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B00-000001000000}">
      <text>
        <r>
          <rPr>
            <sz val="11"/>
            <color theme="1"/>
            <rFont val="Calibri"/>
          </rPr>
          <t>Quelle: 'NN NPC-Rechner 0.76.xlsx', Sheet 'RS-Sheet', Bereich K44:Q48 ('Addons'). Das sind Aufpanzerungen/Umhaenge in einem eigenen 5. Slot ('Lage 5'), der NICHT der Mindest-RBE-Regel unterliegt und NICHT durch Verarbeitung/Anpassung modifiziert wird (im Gegensatz zu den 4 normalen Ruestungsteilen).
Preis fehlt in dieser Tabelle - die Quelle merkt selbst an: 'Drachenschuppen und andere Aufpanzerungen verfuegen ueber bestimmte Boni, die derzeit noch in der alten Waffentabelle aufgefuehrt sind...' Tatsaechlich referenzieren NK-Material und Schild-Material bereits 'Drachensch.' als Material-Multiplikator - die Addon-Preise sind dort vermutlich (teilweise) abgebildet, aber nicht 1:1 auf diese RS/BE-Werte gemappt. Siehe Sheet Entwickeln.
Anomalie: In der Quellformel fuer den 'Lage 5'-Datensatz greifen sowohl Verfuegbarkeit-NW als auch Verfuegbarkeit-AW auf dieselbe Spalte zu (H- und I-Formel identisch, VLOOKUP(...,6,FALSE) statt 6/7) - die beiden Verfuegbarkeit-Spalten dieser Addon-Tabelle sind daher in den finalen Rechnungen praktisch identisch. Koennte ein Kopierfehler sein oder beabsichtigt (Addons unterscheiden nicht zwischen Neuer/Alter Welt) - hier trotzdem mit zwei (identischen) Werten uebernommen, siehe Sheet Entwickeln.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C00-000001000000}">
      <text>
        <r>
          <rPr>
            <sz val="11"/>
            <color theme="1"/>
            <rFont val="Calibri"/>
          </rPr>
          <t>Quelle: 'NN NPC-Rechner 0.76.xlsx', Sheet 'RS-Sheet', Bereich K51:R54 ('Verarbeitung'). Gesellenarbeit ist Standard/Baseline (keine Mods). 'Lohn-pro-Tag' ist der Tageslohn des Handwerkers, siehe Preisformel: Materialkosten(Ruestung) + Lohn-pro-Tag(Verarbeitung) * (Arbeitszeit-Tage(Ruestung) + Zusaetzliche-Tage(Anpassung)).</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D00-000001000000}">
      <text>
        <r>
          <rPr>
            <sz val="11"/>
            <color theme="1"/>
            <rFont val="Calibri"/>
          </rPr>
          <t>Quelle: 'NN NPC-Rechner 0.76.xlsx', Sheet 'RS-Sheet', Bereich K56:R60 ('Anpassung'). 'Von der Stange' ist Standard/Baseline. Anpassung beeinflusst laut Quellformel NIE den RS-Wert (RS-Mod-Spalte in der Quelle durchgaengig leer), nur BE und Preis (ueber Zusaetzliche-Tage).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E00-000001000000}">
      <text>
        <r>
          <rPr>
            <sz val="11"/>
            <color theme="1"/>
            <rFont val="Calibri"/>
          </rPr>
          <t>Quelle: 'NN_Feuerwaffen_1.1.xlsx', Sheet 'Munition' (=1:1 Kopie der Materialkosten-Zeilen aus Sheet 'Ressourcen-Munition', siehe Sheet 'Munition-Ressourcen' fuer die Kostenaufschluesselung).
'Geeignet fuer' = Lademechanik der Feuerwaffe (Vorderlader/Hinterlader/Patronenwaffen) - eine Waffe kann NUR mit Munition ihres eigenen Kalibers UND ihrer eigenen Lademechanik-Kategorie geladen werden (Legende der Quelle). Ausnahme: Vorderlader mit Glattlauf koennen Geschosse mit +-1mm Kaliberabweichung verwenden, dann Schuss um 1 erschwert.
'S.P.&amp;Blei' = Schwarzpulver und Bleikugel getrennt gehandhabt (klassischer Vorderlader). 'VL. Papierpatrone' = Vorderlader-Papierpatrone (Pulver+Kugel in Papierhuelse, reduziert Nachladezeit um 5 Sekunden). 'Papierpatrone' (ohne VL.) = Hinterlader-Papierpatrone mit Zuendmittel (Zuendnadelsystem). 'Messingpatrone' = moderne Einheitspatrone fuer Patronenwaffen.
Pfeile/Bolzen fuer Boegen/Armbrueste sind NICHT Teil dieses Systems - die sind bereits als einfache Koecher-Pauschalpreise in Sheet 'Preisliste' vorhanden (z.B. 'Koecher, 10 Bolzen, Holz', 'Koecher, 20 Pfeile, Leder').</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F00-000001000000}">
      <text>
        <r>
          <rPr>
            <sz val="11"/>
            <color theme="1"/>
            <rFont val="Calibri"/>
          </rPr>
          <t>Quelle: 'NN_Feuerwaffen_1.1.xlsx', Sheet 'Ressourcen-Munition'. Dokumentiert, wie die Preise in Sheet 'Munition-Feuerwaffen' zustande kommen: Materialkosten (Gewichtsanteile x Preis/kg je Rohstoff) + Herstellungskosten (Manufaktur-Tageskosten / Ausstoss-pro-Tag) = Gesamtkosten pro Schuss. Der finale 'Preis (1 Schuss)' in Munition-Feuerwaffen entspricht diesem 'Gesamtkosten-pro-Schuss' (z.B. Blei/Vorderlader Kaliber 12: 0,3822 = Basiswert, je Kaliber linear mit dem Kaliber-Durchmesser skaliert in der Originaltabelle - diese Skalierung selbst ist nicht als Formel hier hinterlegt, nur die fertig berechneten Preise pro Kaliber in Munition-Feuerwaffen).</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2000-000001000000}">
      <text>
        <r>
          <rPr>
            <sz val="11"/>
            <color theme="1"/>
            <rFont val="Calibri"/>
          </rPr>
          <t>Quelle: 'Bögen Tabelle v0.5.docx' (Waffen/FK-Ordner, vom Nutzer als .docx bereitgestellt). 41 Boegen ueber alle Voelker.
RW: Boegen verlieren NICHT wie Feuerwaffen TP ueber Entfernung - RW dient nur zur Ermittlung der maximalen Flugweite: Flugweite(m) = RW * Schaden(TP). Beispiel Quelle: Froggler-Bogen (Schadenswuerfel W6) + Eisenspitzen-Pfeil (+W8) = 9 TP, RW=27m -&gt; Flugweite 243m.
BE: Jeder Pfeil, der mehr als TS (Trefferschwelle) Schaden verursacht, bleibt stecken und verursacht die im Sheet 'Pfeile' angegebene BE. Zum schadenfreien Entfernen: [(Geschick+Medizin)-7] (Erschwerung x2 unter Kampfbedingungen), sonst W6+1 SP direkt auf die Trefferzone.
Verfuegbarkeit-NW/-AW/-Volk = 'Neue Welt Durchschnitt / Alte Welt Durchschnitt / Direkt beim Volk' (gleiche 1-7-Legende wie Sheet Verfuegbarkeit-Modifikatoren, aber DREI statt zwei Kontextwerte - eigene Konvention dieser Quelle, nicht identisch mit dem NW/AW-Paar aus Ruestung-Basis).
Mindeststaerke-Malus (bei Staerke unter Min-Staerke):
  -1: Schaden :2, Bespannzeit x2, Ladezeit +1 sec
  -2: Schaden :4, Bespannzeit x4, Ladezeit +3 sec
  -3: Schaden :6, Bespannzeit x6, Ladezeit +6 sec
  -4: Schaden :8, Bespannzeit x8, Ladezeit +10 sec
  -5: Bogen nicht mehr benutzbar
'Modifikatoren-roh': Liste von Werten (Slash-getrennt, 5 oder 6 Eintraege je nach Waffe, 'x' = nicht erreichbar), vermutlich Reichweiten-Erschwernisse analog zum 10/30/60/120/210m-Bandsystem der Feuerwaffen - aber die Quelle definiert NICHT, welche Entfernungsbaender den einzelnen Werten entsprechen, und die Eintragsanzahl ist nicht einheitlich (5 vs 6 Werte). Rohwert unveraendert uebernommen, Bedeutung ungeklaert - siehe Sheet Entwickeln.
Preis: 'nicht V.' = nicht verfuegbar/kein Marktpreis (z.B. traditionelle Stammes-Waffen). '+' Suffix = Mindestpreis, tatsaechlicher Preis Meistersache. Waehrungseinheit 'D' = Dublonen.</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2100-000001000000}">
      <text>
        <r>
          <rPr>
            <sz val="11"/>
            <color theme="1"/>
            <rFont val="Calibri"/>
          </rPr>
          <t>Quelle: 'Bögen Tabelle v0.5.docx', Tabelle 2 ('Pfeile'). Diese Werte sind ZUSAETZLICH zum Bogen-Schaden/RB des gewaehlten Bogens (siehe Sheet Boegen-Basis) zu addieren.
ANOMALIE: Die Quelltabelle hat zwei mit 'RW' beschriftete Spalten ohne Unterscheidung. Bei Pfeilen 'mit normaler Spitze' sind beide Spalten identisch (vermutlich eine Merge-Zellen-Formatierung im Original-Word-Dokument). Bei Pfeilen 'mit spezial Spitze' unterscheiden sich beide Spalten UND die erste 'RW'-Spalte ist bei mehreren Zeilen identisch mit der RB-Spalte (z.B. Breitkopfspitzen-Pfeil: RB=-1, RW-Spalte1=-1) - moeglicherweise ein weiterer Merge-Artefakt, bei dem RB ueber 2 Rasterspalten gespannt war. Nicht aufgeloest, beide Spalten wortgetreu uebernommen - siehe Sheet Entwickeln.
Waehrungseinheit 'FZ' (bei billigeren Pfeilen) - Umrechnungskurs FZ zu Dublonen (D) ist nirgends in diesem System dokumentiert, siehe Sheet Entwickeln.
Waehrungskurs geklaert (Nutzerangabe 2026-07-16): 1000 FZ ('Fuffzisch') = 1 Dublone (D).</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2200-000001000000}">
      <text>
        <r>
          <rPr>
            <sz val="11"/>
            <color theme="1"/>
            <rFont val="Calibri"/>
          </rPr>
          <t>Quelle: 'Ambrust Tabelle v0.3.docx' (Waffen/FK-Ordner, vom Nutzer als .docx bereitgestellt). 38 Armbrueste. Voellig fehlende Rassen-Abschnitte in der Quelle selbst (keine einzige Zeile, nur die Ueberschrift): Indianer, Katzenmenschen, Trolle, Zentauren - keine Armbrust-Modelle fuer diese Voelker vorhanden, im Gegensatz zu Boegen (dort haben alle 4 Voelker eigene Bogenmodelle). Siehe Sheet Entwickeln.
'Spanntechnik-roh': Rohtext mit bis zu 3 Spannmethoden (Hand/Geissfuss/Winde), Format je Methode 'MinStaerke,LadezeitSek:NachladeTeiler' - bei Repetier-Armbruesten stattdessen 'Repetiern:MinStae,LadezeitSek:Teiler / 5xBolzen nachladen:MinStae,LadezeitSek:Teiler(Erg:X fuer 1)' (komplett anderes Format). Wegen dieser Formatinkonsistenz NICHT in Spalten aufgesplittet, sondern als Rohtext uebernommen - Aufschluesselung kann spaeter erfolgen, wenn die genaue Bedeutung/Verwendung geklaert ist.
RW: Im Gegensatz zu Boegen verliert der Bolzen WIE bei Feuerwaffen pro RW-Intervall 1 SP; bei 0 SP faellt er zu Boden (Quelle nennt das Intervall nicht exakt beziffert, 'pro XX RW 1SP').
BE-Mechanik fuer Bolzen identisch zu Pfeilen (siehe Sheet Bolzen): [(Geschick+Medizin)-7] zum schadenfreien Entfernen, sonst W6+1 SP.
Mindeststaerke-Malus (Armbrust hat KEINEN Schadens-Malus, nur Bespann-/Ladezeit):
  -1: Bespannzeit x2, Ladezeit +2 sec
  -2: Bespannzeit x4, Ladezeit +6 sec
  -3: Bespannzeit x6, Ladezeit +12 sec
  -4: Bespannzeit x8, Ladezeit +20 sec
  -5: nicht mehr bespann-/nachladbar
Repetier-Armbrust: nur normale Bolzen mit normaler Spitze koennen ins 5-Schuss-Magazin geladen werden; nach Magazin-Nachladen muss der Repetier-Mechanismus einmal separat betaetigt werden, bevor der naechste Schuss moeglich ist.
Balläster: zur Steinschleuder umgebaute Armbrust fuer die Vogeljagd (Adlige); Munition kullert leicht aus der Abschusshalterung, daher nach dem Laden nicht mehr umherlaufen oder die Waffe nach unten richten.
'Modifikatoren-roh' hat dieselbe ungeklaerte Bedeutung wie bei Boegen, siehe Sheet Boegen-Basis und Entwickeln.</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2300-000001000000}">
      <text>
        <r>
          <rPr>
            <sz val="11"/>
            <color theme="1"/>
            <rFont val="Calibri"/>
          </rPr>
          <t>Quelle: 'Ambrust Tabelle v0.3.docx', Bolzen-Tabelle (Teil derselben Word-Tabelle wie Armbrust-Basis, ab '--- Bolzen ---'-Zeile). Diese Werte sind ZUSAETZLICH zum Armbrust-Schaden/RB der gewaehlten Armbrust (siehe Sheet Armbrust-Basis) zu addieren. Gleiche RW-Spalten-Anomalie und FZ-Waehrungsfrage wie bei Sheet Pfeile, siehe dortigen Kommentar und Sheet Entwickeln.
Waehrungskurs geklaert (Nutzerangabe 2026-07-16): 1000 FZ ('Fuffzisch') = 1 Dublone (D).</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2400-000001000000}">
      <text>
        <r>
          <rPr>
            <sz val="11"/>
            <color theme="1"/>
            <rFont val="Calibri"/>
          </rPr>
          <t>Quelle: 'Das Runengewehr.docx' (Waffen/FK-Ordner, vom Nutzer als .docx bereitgestellt). Eigenstaendiges Waffensystem, KEIN normales Feuerwaffen-System (Nutzerangabe: 'eigene Waffe mit eigenem System').
Funktionsweise: Wie ein normales Gewehr bedient (zielen, abdruecken). Zum Schiessen werden benoetigt: (1) das Runengewehr, (2) eine Gewehrrune (siehe Sheet Runengewehr-Gewehrrunen), (3) mindestens eine Munitionsrune (siehe Sheet Runengewehr-Munition). Grundsaetzlich ist jede Munitionsrune mit jeder Gewehrrune und jedem Runengewehr kompatibel. Weder Magie noch Aura sind zum Abfeuern noetig.
Nach jedem Schuss geht IMMER NUR die Munitionsrune kaputt (Gewehrrune und Gewehr bleiben erhalten, wiederverwendbar).
Der Schuss verpufft wirkungslos, wenn die Abweichung (Abw.) ueberschritten wird. Bei einem Patzer mit Abw.-Malus wird dieser Malus PERMANENT fuer jeden weiteren Schuss angerechnet (kein automatisches Zuruecksetzen erwaehnt).
Schaden = [Schaden-Formel der Munitionsrune, siehe Sheet Runengewehr-Munition] + Stufe der eingesetzten Gewehrrune. ACHTUNG: Die Munitions-Schadensformeln selbst enthalten teils bereits ein 'St.' (vermutlich Staerke-Bonus, z.B. 'W8+ St.') - das ist ein ANDERER Bonus als die 'Stufe der Gewehrrune' aus dieser Regel. Beide Boni sind wortgetreu aus der Quelle uebernommen, aber nicht gegeneinander abgeglichen - siehe Sheet Entwickeln.
Erweiterung: Ein Zusatzslot kann fuer 32D+ ans Gewehr angebracht werden, um zusaetzlich z.B. eine Unterwasserschussrune (65D+) oder eine Segnen-Rune (110D+) hineinzustecken - beide nur genannt, nicht naeher beschrieben in der Quelle.
Mod-10m bis Mod-210m: Reichweiten-Erschwernismodifikatoren analog zum Feuerwaffen-System (siehe NN_Feuerwaffen_1.1.xlsx-Legende: gilt fuer den jeweiligen Entfernungsbereich bis zum naechsten Band). Leere Zellen = Waffe erreicht dieses Band nicht (RW-max wird vorher unterschritten).</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2500-000001000000}">
      <text>
        <r>
          <rPr>
            <sz val="11"/>
            <color theme="1"/>
            <rFont val="Calibri"/>
          </rPr>
          <t>Quelle: 'Das Runengewehr.docx', Tabelle 'Die Munition'. 'St.' = vermutlich Staerke (Attribut) - wortgetreu aus der Quelle uebernommen, nicht mit der 'Stufe der Gewehrrune' zu verwechseln (siehe Kommentar auf Sheet Runengewehr-Basis).</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2600-000001000000}">
      <text>
        <r>
          <rPr>
            <sz val="11"/>
            <color theme="1"/>
            <rFont val="Calibri"/>
          </rPr>
          <t>Quelle: 'Das Runengewehr.docx', Tabelle 'Gewehrrunen'. Die Stufe wird laut Regeltext direkt zum Schaden addiert (siehe Sheet Runengewehr-Basis).</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Claude Review</author>
    <author>Bruder Grabag</author>
  </authors>
  <commentList>
    <comment ref="Y1" authorId="0" shapeId="0" xr:uid="{00000000-0006-0000-2900-000001000000}">
      <text>
        <r>
          <rPr>
            <sz val="11"/>
            <color theme="1"/>
            <rFont val="Calibri"/>
          </rPr>
          <t>NK-Waffenwerte = Basis (dieses Sheet) + gewaehlte Modifikatoren aus NK-Material, NK-Fertigung, NK-Anpassung, NK-Schaftmaterial (jede Kategorie ihre EIGENE Tabelle, nicht vermischt - Korrektur eines Fehlers im Original NN NK-Waffentabelle v1.12, das faelschlich alle vier Kategorien in einem gemeinsamen Bereich nachschlug und bei Namensueberschneidungen die falsche Kategorie treffen konnte).
AT = AT-Basis + Material[AT-] + Fertigung[AT-] + (Schaftmaterial[AT-] falls Holzschaft-Waffe)
PA = PA-Basis + Material[PA-] + Fertigung[PA-] + (Schaftmaterial[PA-] falls Holzschaft-Waffe)
WK = WK-Basis + Material[WK]
Min-Staerke 1H = AUFRUNDEN(Min-Staerke-1H-Basis * Material[1H min.Staerke])
Min-Staerke 2H = AUFRUNDEN(Min-Staerke-2H-Basis * Material[2H min.Staerke]) + Fertigung[2H min.Staerke] + (Schaftmaterial[Min.Staerke 2H] falls Holzschaft)
Klingenbrecher = MAX(0; Material[Klingen-Brecher] + Fertigung[Klingen-Brecher] + Klingenbrecher-Basis)
Klingenschutz = MAX(0; Material[Klingen-Schutz] + Fertigung[Klingen-Schutz] + (Schaftmaterial[Klingen Schutz] falls Holzschaft) + Klingenschutz-Basis)
Rezept-Erschwerung = Rezept-Mod-Basis + (falls Holzschaft: MAX(Material[Rezept-Mod], Schaftmaterial[Rezept-Mod]) + Fertigung[Rezept-Mod] + Anpassung[Rezept-Mod]; sonst nur Material[Rezept-Mod])
Preis = Materialpreis-Faktor * Material[Preis] + Fertigung[Preis] * (Anpassung[Arbeitszeit/d] + (Schaftmaterial[Arbeitszeit/d] falls Holzschaft) + Arbeitszeit-Tag-Basis) + (Laenge-m * Schaftmaterial[Preis/m] falls Holzschaft)
'Holzschaft' = Art-Specials-Wert 'Holzschaft' oder 'Holzschaft, schnell'. Staerke-Malus = Material[Staerke-Malus] + Staerke-Malus-Basis (Nutzerhinweis: dieselbe Basis+Material-Paarung wie bei den anderen Werten, ergaenzt Modifikatoren-Spalte 2 'Staerke-Malus').
Schaden = Schadenswuerfel-1 + Schadenswuerfel-2 + AUFRUNDEN(Charakter-Staerke / Staerke-Teiler) + Staerke-Malus (Staerke-Malus = Material[Staerke-Malus] + Staerke-Malus-Basis, siehe oben). Beispiel Handhellebarde bei Charakter-Staerke 20, Standard-Konfiguration: AUFRUNDEN(20/3)+(-8) = 7-8 = -1, Schaden = W20+W6-1. Verifiziert vom Nutzer.
ZWEITER BUG im Original gefunden und korrigiert: Die Holzschaft-Bedingung war als 'IF(Y2=OR(AA2="Holzschaft",...))' geschrieben - Y2 ist die Waffenlaenge (Zahl), kein Wahrheitswert, daher war 'Y2=OR(...)' praktisch immer FALSCH und der Schaftmaterial-Bonus griff im Original NIE, auch nicht bei echten Holzschaft-Waffen (vermutlich Tippfehler beim Herunterziehen der Formel). Hier korrigiert: Schaftmaterial-Bonus wird angewendet, wenn Art-Specials='Holzschaft' oder 'Holzschaft, schnell' ist - wie offensichtlich urspruenglich beabsichtigt. Betrifft AT, PA, Min-Staerke 2H, Klingenschutz, Rezept-Erschwerung und Preis. Beispiel Handhellebarde/Faltstahl/Grossmeisterarbeit/Perfekt angepasst/Mithril Verstaerkt: AT=-3, PA=-2 (Original-Datei liefert wegen des Bugs faelschlich PA=-1).
14 Zeilen (alle Schilde, Panzerhandschuhe, Panzerschienen, Eisenkappenstiefel, Orkischer Kampfhandschuh, Unbewaffnet) haben Rezept-Mod-Basis='X' statt einer Zahl - das ist kein Formelfehler, sondern ein Platzhalter des Original-Autors fuer 'Rezeptschwierigkeit noch nicht bestimmt'. Deshalb ergab die Original-Formel dort #WERT!. Fuer die App: 'X' als 'unbekannt' behandeln, nicht rechnen - keine Zahl erfinden.
--- Unbewaffnete Kampftechniken (ergaenzt) ---
Quelle: 'Nahkampftabelle Unbewaffnet.doc' (Erstelldatum 2004-04-16, Fundort: Waffen, Ruestung und Ausruestung/Waffen/NK), vom Nutzer manuell nach .docx konvertiert und bereitgestellt.
Zeile 'Unbewaffnet (andere Voelker)' war zuvor die einzige generische 'Unbewaffnet'-Zeile (Spezialisierung 'Ruestungsmodifikator') - jetzt in 6 Rassenvarianten aufgeteilt (andere/Gnom/Ork/Troll/Zentaur/Katzenmensch), je mit eigenem Schadenswuerfel/Staerke-Teiler/-Malus, aber gleichem WK-Basis=-2, AT-Basis=0, PA-Basis=0 (= 'n-Mod=0/0' laut Quelle, gilt fuer alle Voelker) und Fert-Spez-Maximum=20.
Ork/Troll/Zentaur/Katzenmensch haben zusaetzlich optionale Zusatzangriffe (Biss/Huftritt) als eigene Zeilen (Spezialisierung 'Biss/Huftritt'), die den normalen Unbewaffnet-Schaden ersetzen koennen.
7 volksgebundene Kampfstile ergaenzt (Spalte 'Volk' neu, Spalte 'Fert-Spez-Maximum' neu, Rohwert '20/20' etc. aus Quelle uebernommen, Bedeutung ungeklaert): Boxen, Elfische Kunst der Selbstverteidigung, Goblinische Kampfkunst, Katzenmenschen Kampfkunst, Orkisch' Raufen, Ringen (kein Volk-Limit), Schattenkampf. Boxen/Ringen haben Schaden 'wie unbewaffnet' (rassenabhaengig, siehe oben), Elfische Kunst hat Schaden 'gegnerischer' (spiegelt Gegner) - beides als Text hinterlegt, NICHT als Formel aufgeloest.
Rezept-Mod-Basis/Materialpreis-Faktor/Arbeitszeit-Tag-Basis bei all diesen neuen Zeilen bewusst leer gelassen (nicht 'X'/'x'): es handelt sich nicht um herstellbare Ausruestung.
Voelkerbeschraenkungen dieser Kampfstile sowie deren Balance/Aktualitaet sind vom Nutzer ausdruecklich als ungeprueft markiert -&gt; siehe Sheet 'Entwickeln'.
Die 'Verfuegbarkeit'-Werte hier sind Grund-Verfuegbarkeiten (X) im Sinne der Wuerfelformel in Sheet 'Verfuegbarkeit-Modifikatoren' (Herstellungsort/Siedlungsgroesse/Handelsstufe/Haendler-Faktoren + Glueck, W100 &lt; Probenwert), kein fertiger Kauf-Freigabewert.</t>
        </r>
      </text>
    </comment>
    <comment ref="AI1" authorId="1" shapeId="0" xr:uid="{00000000-0006-0000-2900-000002000000}">
      <text>
        <r>
          <rPr>
            <sz val="11"/>
            <color theme="1"/>
            <rFont val="Calibri"/>
          </rPr>
          <t xml:space="preserve">Bruder Grabag:
min stä 1H*0,75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O1" authorId="0" shapeId="0" xr:uid="{00000000-0006-0000-2A00-000001000000}">
      <text>
        <r>
          <rPr>
            <sz val="11"/>
            <color theme="1"/>
            <rFont val="Calibri"/>
          </rPr>
          <t>NK-Waffenwerte = Basis (dieses Sheet) + gewaehlte Modifikatoren aus NK-Material, NK-Fertigung, NK-Anpassung, NK-Schaftmaterial (jede Kategorie ihre EIGENE Tabelle, nicht vermischt - Korrektur eines Fehlers im Original NN NK-Waffentabelle v1.12, das faelschlich alle vier Kategorien in einem gemeinsamen Bereich nachschlug und bei Namensueberschneidungen die falsche Kategorie treffen konnte).
AT = AT-Basis + Material[AT-] + Fertigung[AT-] + (Schaftmaterial[AT-] falls Holzschaft-Waffe)
PA = PA-Basis + Material[PA-] + Fertigung[PA-] + (Schaftmaterial[PA-] falls Holzschaft-Waffe)
WK = WK-Basis + Material[WK]
Min-Staerke 1H = AUFRUNDEN(Min-Staerke-1H-Basis * Material[1H min.Staerke])
Min-Staerke 2H = AUFRUNDEN(Min-Staerke-2H-Basis * Material[2H min.Staerke]) + Fertigung[2H min.Staerke] + (Schaftmaterial[Min.Staerke 2H] falls Holzschaft)
Klingenbrecher = MAX(0; Material[Klingen-Brecher] + Fertigung[Klingen-Brecher] + Klingenbrecher-Basis)
Klingenschutz = MAX(0; Material[Klingen-Schutz] + Fertigung[Klingen-Schutz] + (Schaftmaterial[Klingen Schutz] falls Holzschaft) + Klingenschutz-Basis)
Rezept-Erschwerung = Rezept-Mod-Basis + (falls Holzschaft: MAX(Material[Rezept-Mod], Schaftmaterial[Rezept-Mod]) + Fertigung[Rezept-Mod] + Anpassung[Rezept-Mod]; sonst nur Material[Rezept-Mod])
Preis = Materialpreis-Faktor * Material[Preis] + Fertigung[Preis] * (Anpassung[Arbeitszeit/d] + (Schaftmaterial[Arbeitszeit/d] falls Holzschaft) + Arbeitszeit-Tag-Basis) + (Laenge-m * Schaftmaterial[Preis/m] falls Holzschaft)
'Holzschaft' = Art-Specials-Wert 'Holzschaft' oder 'Holzschaft, schnell'. Staerke-Malus = Material[Staerke-Malus] + Staerke-Malus-Basis (Nutzerhinweis: dieselbe Basis+Material-Paarung wie bei den anderen Werten, ergaenzt Modifikatoren-Spalte 2 'Staerke-Malus').
Schaden = Schadenswuerfel-1 + Schadenswuerfel-2 + AUFRUNDEN(Charakter-Staerke / Staerke-Teiler) + Staerke-Malus (Staerke-Malus = Material[Staerke-Malus] + Staerke-Malus-Basis, siehe oben). Beispiel Handhellebarde bei Charakter-Staerke 20, Standard-Konfiguration: AUFRUNDEN(20/3)+(-8) = 7-8 = -1, Schaden = W20+W6-1. Verifiziert vom Nutzer.
ZWEITER BUG im Original gefunden und korrigiert: Die Holzschaft-Bedingung war als 'IF(Y2=OR(AA2="Holzschaft",...))' geschrieben - Y2 ist die Waffenlaenge (Zahl), kein Wahrheitswert, daher war 'Y2=OR(...)' praktisch immer FALSCH und der Schaftmaterial-Bonus griff im Original NIE, auch nicht bei echten Holzschaft-Waffen (vermutlich Tippfehler beim Herunterziehen der Formel). Hier korrigiert: Schaftmaterial-Bonus wird angewendet, wenn Art-Specials='Holzschaft' oder 'Holzschaft, schnell' ist - wie offensichtlich urspruenglich beabsichtigt. Betrifft AT, PA, Min-Staerke 2H, Klingenschutz, Rezept-Erschwerung und Preis. Beispiel Handhellebarde/Faltstahl/Grossmeisterarbeit/Perfekt angepasst/Mithril Verstaerkt: AT=-3, PA=-2 (Original-Datei liefert wegen des Bugs faelschlich PA=-1).
14 Zeilen (alle Schilde, Panzerhandschuhe, Panzerschienen, Eisenkappenstiefel, Orkischer Kampfhandschuh, Unbewaffnet) haben Rezept-Mod-Basis='X' statt einer Zahl - das ist kein Formelfehler, sondern ein Platzhalter des Original-Autors fuer 'Rezeptschwierigkeit noch nicht bestimmt'. Deshalb ergab die Original-Formel dort #WERT!. Fuer die App: 'X' als 'unbekannt' behandeln, nicht rechnen - keine Zahl erfinden.
--- Unbewaffnete Kampftechniken (ergaenzt) ---
Quelle: 'Nahkampftabelle Unbewaffnet.doc' (Erstelldatum 2004-04-16, Fundort: Waffen, Ruestung und Ausruestung/Waffen/NK), vom Nutzer manuell nach .docx konvertiert und bereitgestellt.
Zeile 'Unbewaffnet (andere Voelker)' war zuvor die einzige generische 'Unbewaffnet'-Zeile (Spezialisierung 'Ruestungsmodifikator') - jetzt in 6 Rassenvarianten aufgeteilt (andere/Gnom/Ork/Troll/Zentaur/Katzenmensch), je mit eigenem Schadenswuerfel/Staerke-Teiler/-Malus, aber gleichem WK-Basis=-2, AT-Basis=0, PA-Basis=0 (= 'n-Mod=0/0' laut Quelle, gilt fuer alle Voelker) und Fert-Spez-Maximum=20.
Ork/Troll/Zentaur/Katzenmensch haben zusaetzlich optionale Zusatzangriffe (Biss/Huftritt) als eigene Zeilen (Spezialisierung 'Biss/Huftritt'), die den normalen Unbewaffnet-Schaden ersetzen koennen.
7 volksgebundene Kampfstile ergaenzt (Spalte 'Volk' neu, Spalte 'Fert-Spez-Maximum' neu, Rohwert '20/20' etc. aus Quelle uebernommen, Bedeutung ungeklaert): Boxen, Elfische Kunst der Selbstverteidigung, Goblinische Kampfkunst, Katzenmenschen Kampfkunst, Orkisch' Raufen, Ringen (kein Volk-Limit), Schattenkampf. Boxen/Ringen haben Schaden 'wie unbewaffnet' (rassenabhaengig, siehe oben), Elfische Kunst hat Schaden 'gegnerischer' (spiegelt Gegner) - beides als Text hinterlegt, NICHT als Formel aufgeloest.
Rezept-Mod-Basis/Materialpreis-Faktor/Arbeitszeit-Tag-Basis bei all diesen neuen Zeilen bewusst leer gelassen (nicht 'X'/'x'): es handelt sich nicht um herstellbare Ausruestung.
Voelkerbeschraenkungen dieser Kampfstile sowie deren Balance/Aktualitaet sind vom Nutzer ausdruecklich als ungeprueft markiert -&gt; siehe Sheet 'Entwickeln'.
Die 'Verfuegbarkeit'-Werte hier sind Grund-Verfuegbarkeiten (X) im Sinne der Wuerfelformel in Sheet 'Verfuegbarkeit-Modifikatoren' (Herstellungsort/Siedlungsgroesse/Handelsstufe/Haendler-Faktoren + Glueck, W100 &lt; Probenwert), kein fertiger Kauf-Freigabewert.</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H1" authorId="0" shapeId="0" xr:uid="{00000000-0006-0000-2E00-000001000000}">
      <text>
        <r>
          <rPr>
            <sz val="11"/>
            <color theme="1"/>
            <rFont val="Calibri"/>
          </rPr>
          <t>NK-Waffenwerte = Basis (dieses Sheet) + gewaehlte Modifikatoren aus NK-Material, NK-Fertigung, NK-Anpassung, NK-Schaftmaterial (jede Kategorie ihre EIGENE Tabelle, nicht vermischt - Korrektur eines Fehlers im Original NN NK-Waffentabelle v1.12, das faelschlich alle vier Kategorien in einem gemeinsamen Bereich nachschlug und bei Namensueberschneidungen die falsche Kategorie treffen konnte).
AT = AT-Basis + Material[AT-] + Fertigung[AT-] + (Schaftmaterial[AT-] falls Holzschaft-Waffe)
PA = PA-Basis + Material[PA-] + Fertigung[PA-] + (Schaftmaterial[PA-] falls Holzschaft-Waffe)
WK = WK-Basis + Material[WK]
Min-Staerke 1H = AUFRUNDEN(Min-Staerke-1H-Basis * Material[1H min.Staerke])
Min-Staerke 2H = AUFRUNDEN(Min-Staerke-2H-Basis * Material[2H min.Staerke]) + Fertigung[2H min.Staerke] + (Schaftmaterial[Min.Staerke 2H] falls Holzschaft)
Klingenbrecher = MAX(0; Material[Klingen-Brecher] + Fertigung[Klingen-Brecher] + Klingenbrecher-Basis)
Klingenschutz = MAX(0; Material[Klingen-Schutz] + Fertigung[Klingen-Schutz] + (Schaftmaterial[Klingen Schutz] falls Holzschaft) + Klingenschutz-Basis)
Rezept-Erschwerung = Rezept-Mod-Basis + (falls Holzschaft: MAX(Material[Rezept-Mod], Schaftmaterial[Rezept-Mod]) + Fertigung[Rezept-Mod] + Anpassung[Rezept-Mod]; sonst nur Material[Rezept-Mod])
Preis = Materialpreis-Faktor * Material[Preis] + Fertigung[Preis] * (Anpassung[Arbeitszeit/d] + (Schaftmaterial[Arbeitszeit/d] falls Holzschaft) + Arbeitszeit-Tag-Basis) + (Laenge-m * Schaftmaterial[Preis/m] falls Holzschaft)
'Holzschaft' = Art-Specials-Wert 'Holzschaft' oder 'Holzschaft, schnell'. Staerke-Malus = Material[Staerke-Malus] + Staerke-Malus-Basis (Nutzerhinweis: dieselbe Basis+Material-Paarung wie bei den anderen Werten, ergaenzt Modifikatoren-Spalte 2 'Staerke-Malus').
Schaden = Schadenswuerfel-1 + Schadenswuerfel-2 + AUFRUNDEN(Charakter-Staerke / Staerke-Teiler) + Staerke-Malus (Staerke-Malus = Material[Staerke-Malus] + Staerke-Malus-Basis, siehe oben). Beispiel Handhellebarde bei Charakter-Staerke 20, Standard-Konfiguration: AUFRUNDEN(20/3)+(-8) = 7-8 = -1, Schaden = W20+W6-1. Verifiziert vom Nutzer.
ZWEITER BUG im Original gefunden und korrigiert: Die Holzschaft-Bedingung war als 'IF(Y2=OR(AA2="Holzschaft",...))' geschrieben - Y2 ist die Waffenlaenge (Zahl), kein Wahrheitswert, daher war 'Y2=OR(...)' praktisch immer FALSCH und der Schaftmaterial-Bonus griff im Original NIE, auch nicht bei echten Holzschaft-Waffen (vermutlich Tippfehler beim Herunterziehen der Formel). Hier korrigiert: Schaftmaterial-Bonus wird angewendet, wenn Art-Specials='Holzschaft' oder 'Holzschaft, schnell' ist - wie offensichtlich urspruenglich beabsichtigt. Betrifft AT, PA, Min-Staerke 2H, Klingenschutz, Rezept-Erschwerung und Preis. Beispiel Handhellebarde/Faltstahl/Grossmeisterarbeit/Perfekt angepasst/Mithril Verstaerkt: AT=-3, PA=-2 (Original-Datei liefert wegen des Bugs faelschlich PA=-1).
14 Zeilen (alle Schilde, Panzerhandschuhe, Panzerschienen, Eisenkappenstiefel, Orkischer Kampfhandschuh, Unbewaffnet) haben Rezept-Mod-Basis='X' statt einer Zahl - das ist kein Formelfehler, sondern ein Platzhalter des Original-Autors fuer 'Rezeptschwierigkeit noch nicht bestimmt'. Deshalb ergab die Original-Formel dort #WERT!. Fuer die App: 'X' als 'unbekannt' behandeln, nicht rechnen - keine Zahl erfinden.
--- Unbewaffnete Kampftechniken (ergaenzt) ---
Quelle: 'Nahkampftabelle Unbewaffnet.doc' (Erstelldatum 2004-04-16, Fundort: Waffen, Ruestung und Ausruestung/Waffen/NK), vom Nutzer manuell nach .docx konvertiert und bereitgestellt.
Zeile 'Unbewaffnet (andere Voelker)' war zuvor die einzige generische 'Unbewaffnet'-Zeile (Spezialisierung 'Ruestungsmodifikator') - jetzt in 6 Rassenvarianten aufgeteilt (andere/Gnom/Ork/Troll/Zentaur/Katzenmensch), je mit eigenem Schadenswuerfel/Staerke-Teiler/-Malus, aber gleichem WK-Basis=-2, AT-Basis=0, PA-Basis=0 (= 'n-Mod=0/0' laut Quelle, gilt fuer alle Voelker) und Fert-Spez-Maximum=20.
Ork/Troll/Zentaur/Katzenmensch haben zusaetzlich optionale Zusatzangriffe (Biss/Huftritt) als eigene Zeilen (Spezialisierung 'Biss/Huftritt'), die den normalen Unbewaffnet-Schaden ersetzen koennen.
7 volksgebundene Kampfstile ergaenzt (Spalte 'Volk' neu, Spalte 'Fert-Spez-Maximum' neu, Rohwert '20/20' etc. aus Quelle uebernommen, Bedeutung ungeklaert): Boxen, Elfische Kunst der Selbstverteidigung, Goblinische Kampfkunst, Katzenmenschen Kampfkunst, Orkisch' Raufen, Ringen (kein Volk-Limit), Schattenkampf. Boxen/Ringen haben Schaden 'wie unbewaffnet' (rassenabhaengig, siehe oben), Elfische Kunst hat Schaden 'gegnerischer' (spiegelt Gegner) - beides als Text hinterlegt, NICHT als Formel aufgeloest.
Rezept-Mod-Basis/Materialpreis-Faktor/Arbeitszeit-Tag-Basis bei all diesen neuen Zeilen bewusst leer gelassen (nicht 'X'/'x'): es handelt sich nicht um herstellbare Ausruestung.
Voelkerbeschraenkungen dieser Kampfstile sowie deren Balance/Aktualitaet sind vom Nutzer ausdruecklich als ungeprueft markiert -&gt; siehe Sheet 'Entwickeln'.
Die 'Verfuegbarkeit'-Werte hier sind Grund-Verfuegbarkeiten (X) im Sinne der Wuerfelformel in Sheet 'Verfuegbarkeit-Modifikatoren' (Herstellungsort/Siedlungsgroesse/Handelsstufe/Haendler-Faktoren + Glueck, W100 &lt; Probenwert), kein fertiger Kauf-Freigabewert.</t>
        </r>
      </text>
    </comment>
  </commentList>
</comments>
</file>

<file path=xl/sharedStrings.xml><?xml version="1.0" encoding="utf-8"?>
<sst xmlns="http://schemas.openxmlformats.org/spreadsheetml/2006/main" count="37858" uniqueCount="9409">
  <si>
    <t>Referenz</t>
  </si>
  <si>
    <t>Kategorie</t>
  </si>
  <si>
    <t>Beschreibung</t>
  </si>
  <si>
    <t>Abkürzung</t>
  </si>
  <si>
    <t>Info</t>
  </si>
  <si>
    <t>Parent</t>
  </si>
  <si>
    <t>Art</t>
  </si>
  <si>
    <t>Formel</t>
  </si>
  <si>
    <t>Pool</t>
  </si>
  <si>
    <t>Flag</t>
  </si>
  <si>
    <t>Grad</t>
  </si>
  <si>
    <t>Kosten</t>
  </si>
  <si>
    <t>Verfuegbarkeit</t>
  </si>
  <si>
    <t>Mindest-TaW</t>
  </si>
  <si>
    <t>Eig-Bonus</t>
  </si>
  <si>
    <t>Wirkung</t>
  </si>
  <si>
    <t>#spruchmagie_erdbeschwoerung_1_splitterwand</t>
  </si>
  <si>
    <t>Spruchmagie</t>
  </si>
  <si>
    <t>Splitterwand</t>
  </si>
  <si>
    <t>Erdbeschwörung</t>
  </si>
  <si>
    <t>Wert</t>
  </si>
  <si>
    <t>ACHTUNG: In der Quelle (NN_Spruchmagie_0.57) gibt es mehrere Zeilen mit gleichem Schule+Grad+Name aber abweichendem Wirkungstext (vermutlich alte+neue Version nebeneinander stehen geblieben) - hier wurde die letzte Version uebernommen, bitte pruefen.</t>
  </si>
  <si>
    <t>WENN(wert=0;0;10+(wert-1)*grad)</t>
  </si>
  <si>
    <t>eig_bonus_k_staerke</t>
  </si>
  <si>
    <t>Der Magier erschafft eine Wand aus Erde. Die Wahrnehmung durch diese Wand ist stark erschwert bis unmöglich: Alle FK-Attacken sind um {Aura}*2 erschwert. Wer versucht, die Wand zu durchdringen, erleidet Elementarschaden auf jeder TZ. Während der Effektdauer entfaltet die Wand nur die halbe Wirkung. Schaden: W4+{Magie}, RB 6 auf jede TZ.</t>
  </si>
  <si>
    <t>#spruchmagie_erdbeschwoerung_2_splitterstrahl</t>
  </si>
  <si>
    <t>Splitterstrahl</t>
  </si>
  <si>
    <t>Aus der Handfläche des Magiers schießt ein {M} cm dicker Strahl aus Erde. Schaden: W10+{Magie}, RB 3, pro sec, Treffer auf eine FK-TZ mit 1 zusätzlichen TZ-Reroll.</t>
  </si>
  <si>
    <t>#spruchmagie_erdbeschwoerung_3_steinschlag</t>
  </si>
  <si>
    <t>Steinschlag</t>
  </si>
  <si>
    <t>Der Magus erschafft um das Opfer eine Kugel aus Erde.  Treffer auf FK-TZ mit 2 TZ-Rerolls auf die gewünschte Trefferzone. Schaden: 2W6 + {Magie}, RB 6.</t>
  </si>
  <si>
    <t>#spruchmagie_erdbeschwoerung_4_grosse_splitterwand</t>
  </si>
  <si>
    <t>Große Splitterwand</t>
  </si>
  <si>
    <t>Der Magier erschafft eine Wand aus Erde. Die Wahrnehmung durch diese Wand ist stark erschwert bis unmöglich: Alle FK-Attacken sind um {Aura}*2 erschwert. Wer versucht, die Wand zu durchdringen, erleidet Elementarschaden auf jeder TZ. Während der Effektdauer entfaltet die Wand nur die halbe Wirkung. Schaden: 2W6 + {Magie}, RB 6. Länge max. {M} m, Breite max. {M}*5cm</t>
  </si>
  <si>
    <t>#spruchmagie_erdbeschwoerung_5_grosse_splitteraura</t>
  </si>
  <si>
    <t>Große Splitteraura</t>
  </si>
  <si>
    <t>Der Magus hüllt sich in eine kugelförmige  Aura aus Erde. Wer sich in die Aura begibt, erleidet auf jeder TZ innerhalb dieses Gebietes Elementarschaden. Der Magier kann aus der Aura heraus normal zielen, FK-Angriffe sind um {Aura}*2 erschwert. Feindliche Magie ist mit Ziel Aura hiervon nicht betroffen. Schaden: 2W6+{Magie}, RB 6, auf jede TZ.</t>
  </si>
  <si>
    <t>#spruchmagie_erdbeschwoerung_5_grosser_steinschuss</t>
  </si>
  <si>
    <t>Großer Steinschuss</t>
  </si>
  <si>
    <t>Der Magus erschafft einen Bolzen aus Erde. Treffer auf FK-TZ. Schaden: 2W10 + {Magie}; RB: 6 + {M}:2</t>
  </si>
  <si>
    <t>#spruchmagie_erdbeschwoerung_5_splittersturm</t>
  </si>
  <si>
    <t>Splittersturm</t>
  </si>
  <si>
    <t>Eine vom Magus ausgehende kugelförmige Explosion verursacht Elementarschaden. Es ist unmöglich, dem Schaden zu entgehen. Jede TZ wird getroffen. Schaden: W8 + {Magie}, RB 3.</t>
  </si>
  <si>
    <t>#spruchmagie_erdbeschwoerung_6_grosser_splitterstrahl</t>
  </si>
  <si>
    <t>Großer Splitterstrahl</t>
  </si>
  <si>
    <t>Aus der Handfläche des Magiers schießt ein {M} cm dicker Strahl aus Erde. Schaden: 2W10 + {Magie}, RB 6, pro sec, Treffer auf eine FK-TZ mit 1 zusätzlichen TZ-Reroll.</t>
  </si>
  <si>
    <t>#spruchmagie_erdbeschwoerung_6_grosser_steinschlag</t>
  </si>
  <si>
    <t>Großer Steinschlag</t>
  </si>
  <si>
    <t>Der Magus erschafft um das Opfer eine Kugel aus Erde. Treffer auf FK-TZ mit 2 TZ-Rerolls auf die gewünschte Trefferzone. Schaden: 2W12 + {Magie}, RB 9.</t>
  </si>
  <si>
    <t>#spruchmagie_erdbeschwoerung_7_grosser_splittersturm</t>
  </si>
  <si>
    <t>Großer Splittersturm</t>
  </si>
  <si>
    <t xml:space="preserve">Eine vom Magus ausgehende kugelförmige Explosion verursacht Elementarschaden. Es ist unmöglich, dem Schaden zu entgehen. Jede TZ wird getroffen. Schaden: 2W15 + {Magie}, RB 15. </t>
  </si>
  <si>
    <t>#spruchmagie_feuerbeschwoerung_1_flammenwand</t>
  </si>
  <si>
    <t>Flammenwand</t>
  </si>
  <si>
    <t>Feuerbeschwörung</t>
  </si>
  <si>
    <t>eig_bonus_g_mut</t>
  </si>
  <si>
    <t>Der Magier erschafft eine Wand aus Feuer. Die Wahrnehmung durch diese Wand ist stark erschwert bis unmöglich: Alle FK-Attacken sind um {Aura}*2 erschwert. Wer versucht, die Wand zu durchdringen, erleidet Elementarschaden auf jeder TZ. Während der Effektdauer entfaltet die Wand nur die halbe Wirkung. Schaden: W6+{Magie} auf jede TZ.</t>
  </si>
  <si>
    <t>#spruchmagie_feuerbeschwoerung_2_flammenaura</t>
  </si>
  <si>
    <t>Flammenaura</t>
  </si>
  <si>
    <t>Der Magus hüllt sich in eine kugelförmige  Aura aus Feuer. Wer sich in die Aura begibt, erleidet auf jeder TZ innerhalb dieses Gebietes Elementarschaden. Der Magier kann aus der Aura heraus normal zielen, FK-Angriffe sind um {Aura}*2 erschwert. Feindliche Magie ist mit Ziel Aura hiervon nicht betroffen. Schaden: W6+{Magie} auf jede TZ.</t>
  </si>
  <si>
    <t>#spruchmagie_feuerbeschwoerung_2_flammenstrahl</t>
  </si>
  <si>
    <t>Flammenstrahl</t>
  </si>
  <si>
    <t>Aus der Handfläche des Magiers schießt ein {M} cm dicker Strahl aus Feuer. Schaden: W12+{Magie} pro sec, Treffer auf eine FK-TZ mit 1 zusätzlichen TZ-Reroll.</t>
  </si>
  <si>
    <t>#spruchmagie_feuerbeschwoerung_3_feuerblitz</t>
  </si>
  <si>
    <t>Feuerblitz</t>
  </si>
  <si>
    <t>Der Magus erschafft um das Opfer eine Kugel aus Feuer.  Treffer auf FK-TZ mit 2 TZ-Rerolls auf die gewünschte Trefferzone. Schaden: 2W8 + {Magie}.</t>
  </si>
  <si>
    <t>#spruchmagie_feuerbeschwoerung_4_grosse_flammenwand</t>
  </si>
  <si>
    <t>Große Flammenwand</t>
  </si>
  <si>
    <t>Der Magier erschafft eine Wand aus Feuer. Die Wahrnehmung durch diese Wand ist stark erschwert bis unmöglich: Alle FK-Attacken sind um {Aura}*2 erschwert. Wer versucht, die Wand zu durchdringen, erleidet Elementarschaden auf jeder TZ. Während der Effektdauer entfaltet die Wand nur die halbe Wirkung. Schaden: 2W8+{Magie}. Länge max. {M} m, Breite max. {M}*5cm</t>
  </si>
  <si>
    <t>#spruchmagie_feuerbeschwoerung_5_flammenmeer</t>
  </si>
  <si>
    <t>Flammenmeer</t>
  </si>
  <si>
    <t>Eine vom Magus ausgehende kugelförmige Explosion verursacht Elementarschaden. Es ist unmöglich, dem Schaden zu entgehen. Jede TZ wird getroffen. Schaden: W10 + {Magie} : 2</t>
  </si>
  <si>
    <t>#spruchmagie_feuerbeschwoerung_5_grosse_flammenaura</t>
  </si>
  <si>
    <t>Große Flammenaura</t>
  </si>
  <si>
    <t>Der Magus hüllt sich in eine kugelförmige  Aura aus Feuer. Wer sich in die Aura begibt, erleidet auf jeder TZ innerhalb dieses Gebietes Elementarschaden. Der Magier kann aus der Aura heraus normal zielen, FK-Angriffe sind um {Aura}*2 erschwert. Feindliche Magie ist mit Ziel Aura hiervon nicht betroffen. Schaden: 2W8+{Magie} auf jede TZ.</t>
  </si>
  <si>
    <t>#spruchmagie_feuerbeschwoerung_5_grosser_feuerpfeil</t>
  </si>
  <si>
    <t>Großer Feuerpfeil</t>
  </si>
  <si>
    <t>Der Magus erschafft einen Bolzen aus Feuer. Treffer auf FK-TZ. Schaden: 2W12 + {Magie}; RB: {M}:2</t>
  </si>
  <si>
    <t>#spruchmagie_feuerbeschwoerung_6_grosser_feuerblitz</t>
  </si>
  <si>
    <t>Großer Feuerblitz</t>
  </si>
  <si>
    <t>Der Magus erschafft um das Opfer eine Kugel aus Eis.  Treffer auf FK-TZ mit 2 TZ-Rerolls auf die gewünschte Trefferzone. Schaden: 2W15 + {Magie}.</t>
  </si>
  <si>
    <t>#spruchmagie_feuerbeschwoerung_6_grosser_flammenstrahl</t>
  </si>
  <si>
    <t>Großer Flammenstrahl</t>
  </si>
  <si>
    <t>Aus der Handfläche des Magiers schießt ein {M} cm dicker Strahl aus Feuer. Schaden: 2W12 + {Magie} pro sec, Treffer auf eine FK-TZ mit 1 zusätzlichen TZ-Reroll.</t>
  </si>
  <si>
    <t>#spruchmagie_feuerbeschwoerung_7_inferno</t>
  </si>
  <si>
    <t>Inferno</t>
  </si>
  <si>
    <t>Eine vom Magus ausgehende kugelförmige Explosion verursacht Elementarschaden. Es ist unmöglich, dem Schaden zu entgehen. Jede TZ wird getroffen. Schaden: 2W20 + {Magie}</t>
  </si>
  <si>
    <t>#spruchmagie_luftbeschwoerung_1_sturmwand</t>
  </si>
  <si>
    <t>Sturmwand</t>
  </si>
  <si>
    <t>Luftbeschwörung</t>
  </si>
  <si>
    <t>eig_bonus_k_schnelligkeit</t>
  </si>
  <si>
    <t>Der Magier erschafft eine Wand aus Luft. Die Wahrnehmung durch diese Wand ist stark erschwert bis unmöglich: Alle FK-Attacken sind um {Aura}*2 erschwert. Wer versucht, die Wand zu durchdringen, erleidet Elementarschaden auf jeder TZ. Während der Effektdauer entfaltet die Wand nur die halbe Wirkung. Das Opfer muss eine KB-Probeablegen, um nicht in der selben KR um so viele Meter zurückgeschleudert zu werden, wie der Schadenswürfel anzeigt. Schaden: W4+{Magie} auf jede TZ, Erschwerung der KB-Probe: -TP -42.</t>
  </si>
  <si>
    <t>#spruchmagie_luftbeschwoerung_2_sturmaura</t>
  </si>
  <si>
    <t>Sturmaura</t>
  </si>
  <si>
    <t>Der Magus hüllt sich in eine kugelförmige  Aura aus Luft. Wer sich in die Aura begibt, erleidet auf jeder TZ innerhalb dieses Gebietes Elementarschaden. Der Magier kann aus der Aura heraus normal zielen, FK-Angriffe sind um {Aura}*2 erschwert. Feindliche Magie ist mit Ziel Aura hiervon nicht betroffen. Das Opfer muss eine KB-Probeablegen, um nicht in der selben KR um so viele Meter zurückgeschleudert zu werden, wie der Schadenswürfel anzeigt. Schaden: W4+{Magie} auf jede TZ, Erschwerung der KB-Probe: -TP -21.</t>
  </si>
  <si>
    <t>#spruchmagie_luftbeschwoerung_2_sturmstrahl</t>
  </si>
  <si>
    <t>Sturmstrahl</t>
  </si>
  <si>
    <t xml:space="preserve">Aus der Handfläche des Magiers schießt ein {M} cm dicker Strahl aus Luft. Treffer auf eine FK-TZ mit 1 zusätzlichen TZ-Reroll. Das Opfer muss eine KB-Probeablegen, um nicht in der selben KR um so viele Meter zurückgeschleudert zu werden, wie der Schadenswürfel anzeigt. Schaden: W10+{Magie} pro sec, Erschwerung der KB-Probe: -TP -3. </t>
  </si>
  <si>
    <t>#spruchmagie_luftbeschwoerung_3_sturmblitz</t>
  </si>
  <si>
    <t>Sturmblitz</t>
  </si>
  <si>
    <t>Der Magus erschafft um das Opfer eine Kugel aus Luft. Treffer auf FK-TZ mit 2 TZ-Rerolls auf die gewünschte Trefferzone. Das Opfer muss eine KB-Probeablegen, um nicht in der selben KR um so viele Meter zurückgeschleudert zu werden, wie der höchste Schadenswürfel anzeigt. Schaden: 2W6 + {Magie}, Erschwerung der KB-Probe: -TP -6.</t>
  </si>
  <si>
    <t>#spruchmagie_luftbeschwoerung_4_grosse_sturmwand</t>
  </si>
  <si>
    <t>Große Sturmwand</t>
  </si>
  <si>
    <t>Der Magier erschafft eine Wand aus Luft. Die Wahrnehmung durch diese Wand ist stark erschwert bis unmöglich: Alle FK-Attacken sind um {Aura}*2 erschwert. Wer versucht, die Wand zu durchdringen, erleidet Elementarschaden auf jeder TZ. Länge max. {M} m, Breite {M}*5cm. Während der Effektdauer entfaltet die Wand nur die halbe Wirkung. Das Opfer muss eine KB-Probeablegen, um nicht in der selben KR um so viele Meter zurückgeschleudert zu werden, wie der höchste Schadenswürfel anzeigt. Schaden: 2W6 + {Magie}, Erschwerung der KB-Probe: -TP -42.</t>
  </si>
  <si>
    <t>#spruchmagie_luftbeschwoerung_5_grosse_sturmaura</t>
  </si>
  <si>
    <t>Große Sturmaura</t>
  </si>
  <si>
    <t>Der Magus hüllt sich in eine kugelförmige  Aura aus Luft. Wer sich in die Aura begibt, erleidet auf jeder TZ innerhalb dieses Gebietes Elementarschaden. Der Magier kann aus der Aura heraus normal zielen, FK-Angriffe sind um {Aura}*2 erschwert. Feindliche Magie ist mit Ziel Aura hiervon nicht betroffen. Das Opfer muss eine KB-Probeablegen, um nicht in der selben KR um so viele Meter zurückgeschleudert zu werden, wie der höchste Schadenswürfel anzeigt. Schaden: 2W6+{Magie} auf jede TZ, Erschwerung der KB-Probe: -TP -42.</t>
  </si>
  <si>
    <t>#spruchmagie_luftbeschwoerung_5_grosser_sturmpfeil</t>
  </si>
  <si>
    <t>Großer Sturmpfeil</t>
  </si>
  <si>
    <t>Der Magus erschafft einen Bolzen aus Luft. Treffer auf FK-TZ. Das Opfer muss eine KB-Probeablegen, um nicht in der selben KR um so viele Meter zurückgeschleudert zu werden, wie der höchste Schadenswürfel anzeigt. Schaden: 2W10 + {Magie}; RB {M}:2, Erschwerung der KB-Probe: -TP -6.</t>
  </si>
  <si>
    <t>#spruchmagie_luftbeschwoerung_5_tornado</t>
  </si>
  <si>
    <t>Tornado</t>
  </si>
  <si>
    <t>Eine vom Magus ausgehende kugelförmige Explosion verursacht Elementarschaden. Es ist unmöglich, dem Schaden zu entgehen. Jede TZ wird getroffen. Das Opfer muss eine KB-Probeablegen, um nicht in der selben KR um so viele Meter zurückgeschleudert zu werden, wie der Schadenswürfel anzeigt. Schaden: W8 + {Magie}, Erschwerung der KB-Probe: -TP -21.</t>
  </si>
  <si>
    <t>#spruchmagie_luftbeschwoerung_6_grosser_sturmblitz</t>
  </si>
  <si>
    <t>Großer Sturmblitz</t>
  </si>
  <si>
    <t>Der Magus erschafft um das Opfer eine Kugel aus Luft. Treffer auf FK-TZ mit 2 TZ-Rerolls auf die gewünschte Trefferzone. Das Opfer muss eine KB-Probeablegen, um nicht in der selben KR um so viele Meter zurückgeschleudert zu werden, wie der höchste Schadenswürfel anzeigt. Schaden: 2W12 + {Magie}, Erschwerung der KB-Probe: -TP -9.</t>
  </si>
  <si>
    <t>#spruchmagie_luftbeschwoerung_6_grosser_sturmstrahl</t>
  </si>
  <si>
    <t>Großer Sturmstrahl</t>
  </si>
  <si>
    <t>Aus der Handfläche des Magiers schießt ein {M} cm dicker Strahl aus Luft. Treffer auf eine FK-TZ mit 1 TZ-Reroll. Das Opfer muss eine KB-Probeablegen, um nicht in der selben KR um so viele Meter zurückgeschleudert zu werden, wie der höchste Schadenswürfel anzeigt. Schaden: 2W10 + {Magie} pro sec, Erschwerung der KB-Probe: -TP -6.</t>
  </si>
  <si>
    <t>#spruchmagie_luftbeschwoerung_7_grosser_tornado</t>
  </si>
  <si>
    <t>Großer Tornado</t>
  </si>
  <si>
    <t>Eine vom Magus ausgehende kugelförmige Explosion verursacht Elementarschaden. Es ist unmöglich, dem Schaden zu entgehen. Das Opfer muss eine KB-Probeablegen, um nicht in der selben KR um so viele Meter zurückgeschleudert zu werden, wie der höchste Schadenswürfel anzeigt. Schaden: 2W15 + {Magie} auf jede TZ, Erschwerung der KB-Probe: -TP -105.</t>
  </si>
  <si>
    <t>#spruchmagie_magiebeschwoerung_1_wand_aus_magie</t>
  </si>
  <si>
    <t>Wand aus Magie</t>
  </si>
  <si>
    <t>Magiebeschwörung</t>
  </si>
  <si>
    <t>eig_bonus_g_ausstrahlung</t>
  </si>
  <si>
    <t>Der Magier erschafft eine Wand aus Magie. Die Wahrnehmung durch diese Wand ist stark erschwert bis unmöglich: Alle FK-Attacken sind um {Aura}*2 erschwert. Wer versucht, die Wand zu durchdringen, erleidet Elementarschaden auf jeder TZ. Während der Effektdauer entfaltet die Wand nur die halbe Wirkung. Schaden: W4+{Magie} auf jede TZ, zusätzliche Erschwerung der SB-Probe -42, wenn min. 1 SP erzielt wird.</t>
  </si>
  <si>
    <t>#spruchmagie_magiebeschwoerung_2_magische_aura</t>
  </si>
  <si>
    <t>Magische Aura</t>
  </si>
  <si>
    <t>Der Magus hüllt sich in eine kugelförmige  Aura aus Magie. Wer sich in die Aura begibt, erleidet auf jeder TZ innerhalb dieses Gebietes Elementarschaden. Der Magier kann aus der Aura heraus normal zielen, FK-Angriffe sind um {Aura}*2 erschwert. Feindliche Magie ist mit Ziel Aura hiervon nicht betroffen. Schaden: W4+{Magie} auf jede TZ, zusätzliche Erschwerung der SB-Probe -21, wenn min. 1 SP erzielt wird.</t>
  </si>
  <si>
    <t>#spruchmagie_magiebeschwoerung_2_magischer_strahl</t>
  </si>
  <si>
    <t>Magischer Strahl</t>
  </si>
  <si>
    <t>Aus der Handfläche des Magiers schießt ein {M} cm dicker Strahl aus Magie. Schaden: W10+{Magie} pro sec, zusätzliche Erschwerung der SB-Probe -3. Treffer auf eine FK-TZ mit 1 zusätzlichen TZ-Reroll, wenn min. 1 SP erzielt wird.</t>
  </si>
  <si>
    <t>#spruchmagie_magiebeschwoerung_3_magische_entladung</t>
  </si>
  <si>
    <t>Magische Entladung</t>
  </si>
  <si>
    <t xml:space="preserve">Der Magus erschafft um das Opfer eine Kugel aus Magie.  Treffer auf FK (W30). Zwei Trefferzonen-Rerolls auf die gewünschte Trefferzone. Schaden: 2W12 + {Magie}, SB-Proben um 4 erschwert. Gegenprobe: Gück. </t>
  </si>
  <si>
    <t>#spruchmagie_magiebeschwoerung_4_grosse_wand_aus_magie</t>
  </si>
  <si>
    <t>Große Wand aus Magie</t>
  </si>
  <si>
    <t>Der Magier erschafft eine Wand aus Magie. Die Wahrnehmung durch diese Wand ist stark erschwert bis unmöglich: Alle FK-Attacken sind um {Aura}*2 erschwert. Wer versucht, die Wand zu durchdringen, erleidet Elementarschaden auf jeder TZ. Länge max. {M} m, Breite {M}*5cm. Während der Effektdauer entfaltet die Wand nur die halbe Wirkung. Schaden: 2W6 + {Magie}, zusätzliche Erschwerung der SB-Probe -42, wenn min. 1 SP erzielt wird.</t>
  </si>
  <si>
    <t>#spruchmagie_magiebeschwoerung_5_grosse_magische_aura</t>
  </si>
  <si>
    <t>Große Magische Aura</t>
  </si>
  <si>
    <t xml:space="preserve">Der Magus hüllt sich in eine kugelförmige  Aura aus Magie,die sich mit ihm mitbewegt. Wer sich in dieser Aura befindet, erleidet auf jeder TZ innerhalb dieses Gebietes Elementarschaden. Der Magier kann aus der Aura heraus normal zielen, FK-Angriffe sind um {Aura}*4 erschwert. Feindliche Magie ist hiervon nicht betroffen (zielt auf Aura des Magiers). Schaden: 2W15 + {Magie}  SB-Proben um 12 erschwert. </t>
  </si>
  <si>
    <t>#spruchmagie_magiebeschwoerung_5_grosses_magisches_geschoss</t>
  </si>
  <si>
    <t>Großes Magisches Geschoss</t>
  </si>
  <si>
    <t>Der Magus erschafft einen Bolzen aus Magie. Treffer auf FK-TZ. Schaden: 2W10 + {Magie}; RB {M}:2, zusätzliche Erschwerung der SB-Probe -6, wenn min. 1 SP erzielt wird.</t>
  </si>
  <si>
    <t>#spruchmagie_magiebeschwoerung_5_statisches_feld</t>
  </si>
  <si>
    <t>Statisches Feld</t>
  </si>
  <si>
    <t xml:space="preserve">Eine vom Magus ausgehende kugelförmige Explosion verursacht Elementarschaden. Es ist unmöglich, dem Schaden zu entgehen. Alle TZ werden getroffen. Schaden: W10 + {Magie} : 2 SB-Proben um 14 erschwert. </t>
  </si>
  <si>
    <t>#spruchmagie_magiebeschwoerung_6_grosse_magische_entladung</t>
  </si>
  <si>
    <t>Große Magische Entladung</t>
  </si>
  <si>
    <t>Der Magus erschafft um das Opfer eine Kugel aus Magie. Treffer auf FK-TZ mit 2 TZ-Rerolls auf die gewünschte Trefferzone. Schaden: 2W12 + {Magie}, zusätzliche Erschwerung der SB-Probe -9, wenn min. 1 SP erzielt wird.</t>
  </si>
  <si>
    <t>#spruchmagie_magiebeschwoerung_6_grosser_magischer_strahl</t>
  </si>
  <si>
    <t>Großer Magischer Strahl</t>
  </si>
  <si>
    <t>Aus der Handfläche des Magiers schießt ein {M} cm dicker Strahl aus Magie. Treffer auf eine FK-TZ mit 1 TZ-Reroll. Schaden: 2W10 + {Magie} pro sec, zusätzliche Erschwerung der SB-Probe -6, wenn min. 1 SP erzielt wird.</t>
  </si>
  <si>
    <t>#spruchmagie_magiebeschwoerung_7_grosses_statisches_feld</t>
  </si>
  <si>
    <t>Großes statisches Feld</t>
  </si>
  <si>
    <t xml:space="preserve">Eine vom Magus ausgehende kugelförmige Explosion verursacht Elementarschaden. Es ist unmöglich, dem Schaden zu entgehen. Alle TZ werden getroffen. Schaden: W15 + {M}:2 SB-Proben um 42 erschwert. </t>
  </si>
  <si>
    <t>#spruchmagie_wasserbeschwoerung_1_frostwand</t>
  </si>
  <si>
    <t>Frostwand</t>
  </si>
  <si>
    <t>Wasserbeschwörung</t>
  </si>
  <si>
    <t>eig_bonus_k_athletik</t>
  </si>
  <si>
    <t xml:space="preserve">Der Magier erschafft eine Wand aus Wasser. Die Wahrnehmung durch diese Wand ist stark erschwert bis unmöglich: Alle FK-Attacken sind um {Aura}*2 erschwert. Wer versucht, die Wand zu durchdringen, erleidet Elementarschaden auf jeder TZ. Während der Effektdauer entfaltet die Wand nur die halbe Wirkung. Schaden: W4+{Magie} auf jede TZ. Pro 5 TP erleidet das Opfer zusätzliche BE 1, nur die höchste so erzielte BE zählt. </t>
  </si>
  <si>
    <t>#spruchmagie_wasserbeschwoerung_2_eisstrahl</t>
  </si>
  <si>
    <t>Eisstrahl</t>
  </si>
  <si>
    <t>Aus der Handfläche des Magiers schießt ein {M} cm dicker Strahl aus Wasser. Treffer auf eine FK-TZ mit 1 zusätzlichen TZ-Reroll. Schaden: W10+{Magie} pro sec. Pro 5 TP erleidet das Opfer zusätzliche BE 1, nur die höchste so erzielte BE zählt.</t>
  </si>
  <si>
    <t>#spruchmagie_wasserbeschwoerung_3_eisblitz</t>
  </si>
  <si>
    <t>Eisblitz</t>
  </si>
  <si>
    <t>Der Magus erschafft um das Opfer eine Kugel aus Wasser.  Treffer auf FK-TZ mit 2 TZ-Rerolls auf die gewünschte Trefferzone. Schaden: 2W6 + {Magie}. Pro 5 TP erleidet das Opfer zusätzliche BE 1, nur die höchste so erzielte BE zählt.</t>
  </si>
  <si>
    <t>#spruchmagie_wasserbeschwoerung_4_grosse_frostwand</t>
  </si>
  <si>
    <t>Große Frostwand</t>
  </si>
  <si>
    <t>Der Magier erschafft eine Wand aus Wasser. Die Wahrnehmung durch diese Wand ist stark erschwert bis unmöglich: Alle FK-Attacken sind um {Aura}*2 erschwert. Wer versucht, die Wand zu durchdringen, erleidet Elementarschaden auf jeder TZ. Länge max. {M} m, Breite {M}*5cm. Während der Effektdauer entfaltet die Wand nur die halbe Wirkung. Schaden: 2W6 + {Magie}. Pro 5 TP erleidet das Opfer zusätzliche BE 1, nur die höchste so erzielte BE zählt.</t>
  </si>
  <si>
    <t>#spruchmagie_wasserbeschwoerung_5_blizzard</t>
  </si>
  <si>
    <t>Blizzard</t>
  </si>
  <si>
    <t>Eine vom Magus ausgehende kugelförmige Explosion verursacht Elementarschaden. Es ist unmöglich, dem Schaden zu entgehen. Jede TZ wird getroffen. Schaden: W8 + {Magie}. Pro 5 TP erleidet das Opfer zusätzliche BE 1, nur die höchste so erzielte BE zählt.</t>
  </si>
  <si>
    <t>#spruchmagie_wasserbeschwoerung_5_grosse_eisaura</t>
  </si>
  <si>
    <t>Große Eisaura</t>
  </si>
  <si>
    <t>Der Magus hüllt sich in eine kugelförmige  Aura aus Wasser. Wer sich in die Aura begibt, erleidet auf jeder TZ innerhalb dieses Gebietes Elementarschaden. Der Magier kann aus der Aura heraus normal zielen, FK-Angriffe sind um {Aura}*2 erschwert. Feindliche Magie ist mit Ziel Aura hiervon nicht betroffen. Schaden: 2W6+{Magie} auf jede TZ. Pro 5 TP erleidet das Opfer zusätzliche BE 1, nur die höchste so erzielte BE zählt.</t>
  </si>
  <si>
    <t>#spruchmagie_wasserbeschwoerung_5_grosser_frostbolzen</t>
  </si>
  <si>
    <t>Großer Frostbolzen</t>
  </si>
  <si>
    <t>Der Magus erschafft einen Bolzen aus Wasser. Treffer auf FK-TZ. Schaden: 2W10 + {Magie}; RB: {M}:2. Pro 5 TP erleidet das Opfer zusätzliche BE 1, nur die höchste so erzielte BE zählt.</t>
  </si>
  <si>
    <t>#spruchmagie_wasserbeschwoerung_6_grosser_eisblitz</t>
  </si>
  <si>
    <t>Großer Eisblitz</t>
  </si>
  <si>
    <t>Der Magus erschafft um das Opfer eine Kugel aus Wasser. Treffer auf FK-TZ mit 2 TZ-Rerolls auf die gewünschte Trefferzone. Schaden: 2W12 + {Magie}. Pro 5 TP erleidet das Opfer zusätzliche BE 1, nur die höchste so erzielte BE zählt.</t>
  </si>
  <si>
    <t>#spruchmagie_wasserbeschwoerung_6_grosser_eisstrahl</t>
  </si>
  <si>
    <t>Großer Eisstrahl</t>
  </si>
  <si>
    <t>Aus der Handfläche des Magiers schießt ein {M} cm dicker Strahl aus Wasser. Treffer auf eine FK-TZ mit 1 zusätzlichen TZ-Reroll. Schaden: 2W10 + {Magie} pro sec. Pro 5 TP erleidet das Opfer zusätzliche BE 1, nur die höchste so erzielte BE zählt.</t>
  </si>
  <si>
    <t>#spruchmagie_wasserbeschwoerung_7_grosser_blizzard</t>
  </si>
  <si>
    <t>Großer Blizzard</t>
  </si>
  <si>
    <t>Eine vom Magus ausgehende kugelförmige Explosion verursacht Elementarschaden. Es ist unmöglich, dem Schaden zu entgehen. Jede TZ wird getroffen. Schaden: 2W15 + {Magie}. Pro 5 TP erleidet das Opfer zusätzliche BE 1, nur die höchste so erzielte BE zählt.</t>
  </si>
  <si>
    <t>#spruchmagie_erdbeschwoerung_2_splitter_aura</t>
  </si>
  <si>
    <t>Splitter-Aura</t>
  </si>
  <si>
    <t>ACHTUNG: In der Quelle (NN_Spruchmagie_0.57) gibt es mehrere Zeilen mit gleichem Schule+Grad+Name aber abweichendem Wirkungstext (vermutlich alte+neue Version nebeneinander stehen geblieben) - hier wurde die letzte Version uebernommen, bitte pruefen. | Referenz enthielt Bindestrich (mehrdeutig mit Subtraktion) - zu Unterstrich normalisiert.</t>
  </si>
  <si>
    <t>Der Magus hüllt sich in eine kugelförmige  Aura aus Erde. Wer sich in die Aura begibt, erleidet auf jeder TZ innerhalb dieses Gebietes Elementarschaden. Der Magier kann aus der Aura heraus normal zielen, FK-Angriffe sind um {Aura}*2 erschwert. Feindliche Magie ist mit Ziel Aura hiervon nicht betroffen. Schaden: W4+{Magie}, RB 3 auf jede TZ.</t>
  </si>
  <si>
    <t>#spruchmagie_erdbeschwoerung_3_erd_klinge</t>
  </si>
  <si>
    <t>Erd-Klinge</t>
  </si>
  <si>
    <t>Eine Waffe erhält zusätzliche Schadenswirkung entsprechend der Magie des Magus: 1=W3, RB 2; 2=W4, RB 3; 3=W6, RB 3; 4=W8, RB 3; 5=W10, RB 3; 6=W12, RB 5; 7=W15, RB 8; 8=W20, RB 15; 9=W30, RB 15; 10=2W20, RB 15; 11=W50, RB 15. Bei guter oder besserer Probe können die KK-Punkte zum Erhöhen der Wirkung nur dafür eingesetzt werden, die W-Klasse zu erhöhen.</t>
  </si>
  <si>
    <t>#spruchmagie_erdbeschwoerung_3_splitter_pfeil</t>
  </si>
  <si>
    <t>Splitter-Pfeil</t>
  </si>
  <si>
    <t>Ein Pfeil erhält eine zusätzliche Schadenswirkung entsprechend der Magie des Magus: 1=W3, RB 2; 2=W4, RB 3; 3=W6, RB 3; 4=W8, RB 3; 5=W10, RB 3; 6=W12, RB 5; 7=W15, RB 8; 8=W20, RB 15; 9=W30, RB 15; 10=2W20, RB 15; 11=W50, RB 15. Bei guter oder besserer Probe können die KK-Punkte zum Erhöhen der Wirkung nur dafür eingesetzt werden, die W-Klasse zu erhöhen.  </t>
  </si>
  <si>
    <t>#spruchmagie_erdbeschwoerung_7_grosse_steinschuss_salve</t>
  </si>
  <si>
    <t>Große Steinschuss-Salve</t>
  </si>
  <si>
    <t xml:space="preserve">Der Magus erschafft {Magie} : 2 Bolzen aus Erde. Jeweils Treffer auf FK-TZ. Schaden: 2W10 + {Magie}; RB: 6 + {M}:2 </t>
  </si>
  <si>
    <t>#spruchmagie_feuerbeschwoerung_3_feuer_klinge</t>
  </si>
  <si>
    <t>Feuer-Klinge</t>
  </si>
  <si>
    <t>Eine Waffe erhält zusätzliche Schadenswirkung entsprechend der Magie des Magus: 1=W4, 2=W6, 3=W8, 4=W10, 5=W12, 6=W15, 7=W20, 8=W30, 9=2W20, 10=W50, 11=2W30. Bei guter oder besserer Probe können die KK-Punkte zum Erhöhen der Wirkung nur dafür eingesetzt werden, die W-Klasse zu erhöhen.  </t>
  </si>
  <si>
    <t>#spruchmagie_feuerbeschwoerung_3_flammen_pfeil</t>
  </si>
  <si>
    <t>Flammen-Pfeil</t>
  </si>
  <si>
    <t>Ein Pfeil erhält eine zusätzliche Schadenswirkung entsprechend der Magie des Magus:1=W4, 2=W6, 3=W8, 4=W10, 5=W12, 6=W15, 7=W20, 8=W30, 9=2W20, 10=W50, 11=2W30. Bei guter oder besserer Probe können die KK-Punkte zum Erhöhen der Wirkung nur dafür eingesetzt werden, die W-Klasse zu erhöhen.  </t>
  </si>
  <si>
    <t>#spruchmagie_feuerbeschwoerung_7_grosse_feuerpfeil_salve</t>
  </si>
  <si>
    <t>Große Feuerpfeil-Salve</t>
  </si>
  <si>
    <t xml:space="preserve">Der Magus erschafft {Magie} : 2 Bolzen aus Feuer. Jeweils Treffer auf FK-TZ. Schaden: 2W12 + {Magie}; RB: {M}:2 </t>
  </si>
  <si>
    <t>#spruchmagie_luftbeschwoerung_3_luft_klinge</t>
  </si>
  <si>
    <t>Luft-Klinge</t>
  </si>
  <si>
    <t>Eine Waffe erhält zusätzliche Schadenswirkung entsprechend der Magie des Magus. Das Opfer muss eine KB-Probeablegen, um nicht in der selben KR um so viele Meter zurückgeschleudert zu werden, wie der Zauber-Schadenswürfel anzeigt. Schaden: 1=W3, SB -2; 2=W4, SB -3; 3=W6, SB -3; 4=W8, SB -3; 5=W10, SB -3; 6=W12, SB -5; 7=W15, SB -8; 8=W20, SB -15; 9=W30, SB -15; 10=2W20, SB -15; 11=W50, SB -15. Bei guter oder besserer Probe können die KK-Punkte zum Erhöhen der Wirkung nur dafür eingesetzt werden, die W-Klasse zu erhöhen.</t>
  </si>
  <si>
    <t>#spruchmagie_luftbeschwoerung_3_sturm_pfeil</t>
  </si>
  <si>
    <t>Sturm-Pfeil</t>
  </si>
  <si>
    <t>Ein Pfeil erhält eine zusätzliche Schadenswirkung entsprechend der Magie des Magus Das Opfer muss eine KB-Probeablegen, um nicht in der selben KR um so viele Meter zurückgeschleudert zu werden, wie der Zauber-Schadenswürfel anzeigt. Schaden: 1=W3, SB -2; 2=W4, SB -3; 3=W6, SB -3; 4=W8, SB -3; 5=W10, SB -3; 6=W12, SB -5; 7=W15, SB -8; 8=W20, SB -15; 9=W30, SB -15; 10=2W20, SB -15; 11=W50, SB -15. Bei guter oder besserer Probe können die KK-Punkte zum Erhöhen der Wirkung nur dafür eingesetzt werden, die W-Klasse zu erhöhen.</t>
  </si>
  <si>
    <t>#spruchmagie_luftbeschwoerung_7_grosse_sturmpfeil_salve</t>
  </si>
  <si>
    <t>Große Sturmpfeil-Salve</t>
  </si>
  <si>
    <t>Der Magus erschafft {Magie} : 2 Bolzen aus Luft. Jeweils Treffer auf FK-TZ. Das Opfer muss eine KB-Probeablegen, um nicht in der selben KR um so viele Meter zurückgeschleudert zu werden, wie der jeweils höchste Schadenswürfel anzeigt. Schaden: 2W10 + {Magie}, RB {M}:2, Erschwerung der KB-Probe: -TP -6.</t>
  </si>
  <si>
    <t>#spruchmagie_magiebeschwoerung_3_blitz_klinge</t>
  </si>
  <si>
    <t>Blitz-Klinge</t>
  </si>
  <si>
    <t>Eine Waffe erhält zusätzliche Schadenswirkung entsprechend der Magie des Magus mit zusätzlicher Erschwerung der SB-Probe: 1=W3, SB -2; 2=W4, SB -3; 3=W6, SB -3; 4=W8, SB -3; 5=W10, SB -3; 6=W12, SB -5; 7=W15, SB -8; 8=W20, SB -15; 9=W30, SB -15; 10=2W20, SB -15; 11=W50, SB -15. Bei guter oder besserer Probe können die KK-Punkte zum Erhöhen der Wirkung nur dafür eingesetzt werden, die W-Klasse zu erhöhen, wenn min. 1 SP erzielt wird.</t>
  </si>
  <si>
    <t>#spruchmagie_magiebeschwoerung_3_schock_pfeil</t>
  </si>
  <si>
    <t>Schock-Pfeil</t>
  </si>
  <si>
    <t>Ein Pfeil erhält eine zusätzliche Schadenswirkung entsprechend der Magie des Magus mit zusätzlicher Erschwerung der SB-Probe, wenn min. 1 SP erzielt wird: 1=W3, SB -2; 2=W4, SB -3; 3=W6, SB -3; 4=W8, SB -3; 5=W10, SB -3; 6=W12, SB -5; 7=W15, SB -8; 8=W20, SB -15; 9=W30, SB -15; 10=2W20, SB -15; 11=W50, SB -15. Bei guter oder besserer Probe können die KK-Punkte zum Erhöhen der Wirkung nur dafür eingesetzt werden, die W-Klasse zu erhöhen.</t>
  </si>
  <si>
    <t>#spruchmagie_magiebeschwoerung_7_grosse_magische_geschoss_salve</t>
  </si>
  <si>
    <t>Große Magische Geschoss-Salve</t>
  </si>
  <si>
    <t>Der Magus erschafft {Magie} : 2 Bolzen aus Magie. Jeweils Treffer auf FK-TZ. Schaden: 2W10 + {Magie}, RB {M}:2, zusätzliche Erschwerung der SB-Probe -6, wenn min. 1 SP erzielt wird.</t>
  </si>
  <si>
    <t>#spruchmagie_wasserbeschwoerung_2_eis_aura</t>
  </si>
  <si>
    <t>Eis-Aura</t>
  </si>
  <si>
    <t>Der Magus hüllt sich in eine kugelförmige  Aura aus Wasser. Wer sich in die Aura begibt, erleidet auf jeder TZ innerhalb dieses Gebietes Elementarschaden. Der Magier kann aus der Aura heraus normal zielen, FK-Angriffe sind um {Aura}*2 erschwert. Feindliche Magie ist mit Ziel Aura hiervon nicht betroffen. Schaden: W4+{Magie} auf jede TZ. Pro 5 TP erleidet das Opfer zusätzliche BE 1, nur die höchste so erzielte BE zählt.</t>
  </si>
  <si>
    <t>#spruchmagie_wasserbeschwoerung_3_frost_klinge</t>
  </si>
  <si>
    <t>Frost-Klinge</t>
  </si>
  <si>
    <t>Eine Waffe erhält zusätzliche Schadenswirkung entsprechend der Magie des Magus: 1=W3; 2=W4; 3=W6; 4=W8; 5=W10; 6=W12; 7=W15; 8=W20; 9=W30; 10=2W20; 11=W50. Pro 5 TP erleidet das Opfer zusätzliche BE 1, nur die höchste so erzielte BE zählt. Bei guter oder besserer Probe können die KK-Punkte zum Erhöhen der Wirkung nur dafür eingesetzt werden, die W-Klasse zu erhöhen.</t>
  </si>
  <si>
    <t>#spruchmagie_wasserbeschwoerung_3_frost_pfeil</t>
  </si>
  <si>
    <t>Frost-Pfeil</t>
  </si>
  <si>
    <t>Ein Pfeil erhält eine zusätzliche Schadenswirkung entsprechend der Magie des Magus: 1=W3; 2=W4; 3=W6; 4=W8; 5=W10; 6=W12; 7=W15; 8=W20; 9=W30; 10=2W20; 11=W50. Pro 5 TP erleidet das Opfer zusätzliche BE 1, nur die höchste so erzielte BE zählt. Bei guter oder besserer Probe können die KK-Punkte zum Erhöhen der Wirkung nur dafür eingesetzt werden, die W-Klasse zu erhöhen.  </t>
  </si>
  <si>
    <t>#spruchmagie_wasserbeschwoerung_7_grosse_frostbolzen_salve</t>
  </si>
  <si>
    <t>Große Frostbolzen-Salve</t>
  </si>
  <si>
    <t>Der Magus erschafft {Magie} : 2 Bolzen aus Wasser. Jeweils Treffer auf FK-TZ. Schaden: 2W10 + {Magie}; RB: {M}:2. Pro 5 TP erleidet das Opfer zusätzliche BE 1, nur die höchste so erzielte BE zählt.</t>
  </si>
  <si>
    <t>ep_abenteuer</t>
  </si>
  <si>
    <t>Charakterwerte</t>
  </si>
  <si>
    <t>EP zum Abenteuerende</t>
  </si>
  <si>
    <t>S.1</t>
  </si>
  <si>
    <t>ep_gesamt-ep_start</t>
  </si>
  <si>
    <t>le_leberschutz</t>
  </si>
  <si>
    <t>Kampf</t>
  </si>
  <si>
    <t>Leberschutz</t>
  </si>
  <si>
    <t>S.3</t>
  </si>
  <si>
    <t>ep_gesamt</t>
  </si>
  <si>
    <t>Gesamte Erfahrungspunke</t>
  </si>
  <si>
    <t>ep_start</t>
  </si>
  <si>
    <t>EP bei Abenteuerbeginn</t>
  </si>
  <si>
    <t>bewegung_f_schnell_schwimmen</t>
  </si>
  <si>
    <t>Bewegung</t>
  </si>
  <si>
    <t>Schnell Schwimmen</t>
  </si>
  <si>
    <t>Meisterscreen S.3</t>
  </si>
  <si>
    <t>(eig_k_konstitution+eig_k_athletik+gr_schwimmen)/30</t>
  </si>
  <si>
    <t>bewegung_f_sprinten</t>
  </si>
  <si>
    <t>Sprinten</t>
  </si>
  <si>
    <t>(eig_k_athletik+eig_k_schnelligkeit+gr_laufen)/7+4</t>
  </si>
  <si>
    <t>#spruchmagie_beherrschung_4_einschlaefern</t>
  </si>
  <si>
    <t>Einschläfern</t>
  </si>
  <si>
    <t>Beherrschung</t>
  </si>
  <si>
    <t>Das Opfer schläft ein. Der Schlaf ist, wenn auch unnatürlich tief, wie normaler schlaf zu Behandeln. Sollte das Opfer also gerade stehen, so fällt es um und wacht durch den Sturz natürlich wieder auf. Auch das abfeuern einer Feuerwaffe in seiner nähe wird wohl, ohne Probe, zum Aufwachen führen. Gewohnte Geräusche gehören natürlich nicht dazu. Ein Heizer einer Dampfmaschine wird durch eben jene nicht Aufwachen.</t>
  </si>
  <si>
    <t>#spruchmagie_beherrschung_7_maechtige_f_daemonen_herrschaft</t>
  </si>
  <si>
    <t>Mächtige f.Dämonen Herrschaft</t>
  </si>
  <si>
    <t>Ein freier (nicht von einem anderen Magus beherrschter) Dämon hat eine Willenskraft-Probe erschwert um die Differenz von der {M} des Margus (Macht x2) und des Opfers (Macht x1). Und alle 24 Stunden eine weitere. Wenn sie gelingt fällt der Zauber.1 und 29 sind immer ein Erfolg. Ansonsten wird der Dämon zu einem Willenskraftenlosen Sklaven des Magus. Es wird aufs Wort hören, ganz so als währe es ein Absolut untertäniger Diner. Der Dämon weis zwar immer genau was der Magus von ihm Willenskraft ist aber nicht Intelligenzelligenter als vorher oder verfügt nicht über neue Fertigkeiten. Eine Stroh dummer Dämon wird es wohl nicht schaffen den Banksafe ohne Gewalt zu öffnen.</t>
  </si>
  <si>
    <t>#spruchmagie_beherrschung_5_massen_besaenftigung</t>
  </si>
  <si>
    <t>Massen Besänftigung</t>
  </si>
  <si>
    <t xml:space="preserve">Die Opfer werden ruhig und gelassen, sie verlieren jeglichen drang zu Töten (außer Einer ist ein Sadist und macht es aus Spaß). Sie wissen zwar noch alles, es ist aber nicht mehr so Dramatisch für Sie.  Nach dem der Zauber vorbei ist, sind die Opfer immer noch ruhig, es hält Sie aber nichts davon ab wieder Wütend zu werden. Was natürlich auch sofort geschehen kann aber nicht muss, wenn sie sich daran erinnern dass man gerade ihr Dorf nieder gebrannt hat. </t>
  </si>
  <si>
    <t>#spruchmagie_beherrschung_3_schmerzt_unterdruecken</t>
  </si>
  <si>
    <t>Schmerzt unterdrücken</t>
  </si>
  <si>
    <t>eig_bonus_g_willenskraft</t>
  </si>
  <si>
    <t>Die Gefühle und Schmerzen des Opfers werden unterdrückt. Das Opfer fühlt sich so als würde es unter dem Einfluss eines Betäubungsmittels stehen. Es bekommt eine Generelle Behinderung von 1. Seine TS steigt um das 4 fache an und alle Behinderungen die das Opfer durch Kampfschäden bekommt oder bekommen hat sind gleich null.</t>
  </si>
  <si>
    <t>#spruchmagie_beherrschung_2_zoegern</t>
  </si>
  <si>
    <t>Zögern</t>
  </si>
  <si>
    <t>eig_bonus_g_intelligenz</t>
  </si>
  <si>
    <t>Das Opfer zögert, das zu tun, was es gerade wollte. Es greift nicht mehr an, sondern verteidigt sich nur noch. Sollte gerade keine Kampf Situation sein so bleibt es sehn und hält inne um seinen nächsten schritt noch mal zu überdenken. Das Opfer zögert maximal 1W4+{Magie} Sekunden lang.</t>
  </si>
  <si>
    <t>vn_angst_magie_10</t>
  </si>
  <si>
    <t>Vor- und Nachteile</t>
  </si>
  <si>
    <t>Nervosität: Magie</t>
  </si>
  <si>
    <t>Auswahlgruppe angst_magie; maximal 1 Stufe; Angstwert 10; direkte Konfrontation: bei jeder erneuten direkten Konfrontation; bloße Gegenwart: BE -1.</t>
  </si>
  <si>
    <t>Angst: Magie</t>
  </si>
  <si>
    <t>Auswahl</t>
  </si>
  <si>
    <t>EP-Rate für 'magie' aus NN NPC-Rechner 0.75, Sheet 'NPC-Rechner' Formel '=AOxx*-10' (Zeile 52ff). Kosten = Stufenwert(10) * Rate(-10). | EXKLUSIV_ANGST=angst_magie | ANGST_INTERVALL=NEUE_KONFRONTATION | ANGST_DIREKTE_KONFRONTATION=1 | ANGST_BE=-1</t>
  </si>
  <si>
    <t>S</t>
  </si>
  <si>
    <t>Der Charakter reagiert auf alle Magie mit Nervosität und ist nicht in der Lage, irgendeine Form von Magie außer KI zu wirken. Bei direkter Konfrontation mit Magie, insbesondere wenn er gegen einen Magiewirker vorgeht, muss er bei jeder erneuten direkten Konfrontation eine um 10 erschwerte Mut-Probe bestehen, um handlungsfähig zu bleiben. Um Verzauberungen oder magische Heilung zuzulassen, ein Artefakt zu benutzen oder bewusst mit Magie zu interagieren, muss er einmalig eine um 10 erschwerte Willenskraft-Probe bestehen. Ist Magie zwar gegenwärtig, aber weder direkter Gegner noch Gegenstand, Wesen oder sonstiges Ziel, mit dem sich der Charakter aktuell befasst, sind keine Angst-Proben erforderlich; der Charakter erhält BE -1.</t>
  </si>
  <si>
    <t>vn_angst_magie_15</t>
  </si>
  <si>
    <t>Furcht: Magie</t>
  </si>
  <si>
    <t>Auswahlgruppe angst_magie; maximal 1 Stufe; Angstwert 15; direkte Konfrontation: sofort, danach alle 10 KR; bloße Gegenwart: BE -2.</t>
  </si>
  <si>
    <t>EP-Rate für 'magie' aus NN NPC-Rechner 0.75, Sheet 'NPC-Rechner' Formel '=AOxx*-10' (Zeile 52ff). Kosten = Stufenwert(15) * Rate(-10). | EXKLUSIV_ANGST=angst_magie | ANGST_INTERVALL=10_KR | ANGST_DIREKTE_KONFRONTATION=1 | ANGST_BE=-2</t>
  </si>
  <si>
    <t>Der Charakter reagiert auf alle Magie mit Furcht und ist nicht in der Lage, irgendeine Form von Magie außer KI zu wirken. Bei direkter Konfrontation mit Magie, insbesondere wenn er gegen einen Magiewirker vorgeht, muss er sofort, danach alle 10 KR eine um 15 erschwerte Mut-Probe bestehen, um handlungsfähig zu bleiben. Um Verzauberungen oder magische Heilung zuzulassen, ein Artefakt zu benutzen oder bewusst mit Magie zu interagieren, muss er einmalig eine um 15 erschwerte Willenskraft-Probe bestehen. Ist Magie zwar gegenwärtig, aber weder direkter Gegner noch Gegenstand, Wesen oder sonstiges Ziel, mit dem sich der Charakter aktuell befasst, sind keine Angst-Proben erforderlich; der Charakter erhält BE -2.</t>
  </si>
  <si>
    <t>vn_angst_magie_20</t>
  </si>
  <si>
    <t>Auswahlgruppe angst_magie; maximal 1 Stufe; Angstwert 20; direkte Konfrontation: sofort, danach alle 5 KR; bloße Gegenwart: BE -3.</t>
  </si>
  <si>
    <t>EP-Rate für 'magie' aus NN NPC-Rechner 0.75, Sheet 'NPC-Rechner' Formel '=AOxx*-10' (Zeile 52ff). Kosten = Stufenwert(20) * Rate(-10). | EXKLUSIV_ANGST=angst_magie | ANGST_INTERVALL=5_KR | ANGST_DIREKTE_KONFRONTATION=1 | ANGST_BE=-3</t>
  </si>
  <si>
    <t>Der Charakter reagiert auf alle Magie mit Angst und ist nicht in der Lage, irgendeine Form von Magie außer KI zu wirken. Bei direkter Konfrontation mit Magie, insbesondere wenn er gegen einen Magiewirker vorgeht, muss er sofort, danach alle 5 KR eine um 20 erschwerte Mut-Probe bestehen, um handlungsfähig zu bleiben. Um Verzauberungen oder magische Heilung zuzulassen, ein Artefakt zu benutzen oder bewusst mit Magie zu interagieren, muss er einmalig eine um 20 erschwerte Willenskraft-Probe bestehen. Ist Magie zwar gegenwärtig, aber weder direkter Gegner noch Gegenstand, Wesen oder sonstiges Ziel, mit dem sich der Charakter aktuell befasst, sind keine Angst-Proben erforderlich; der Charakter erhält BE -3.</t>
  </si>
  <si>
    <t>vn_angst_magie_30</t>
  </si>
  <si>
    <t>Phobie: Magie</t>
  </si>
  <si>
    <t>Auswahlgruppe angst_magie; maximal 1 Stufe; Angstwert 30; direkte Konfrontation: sofort, danach jede KR; bloße Gegenwart: BE -5.</t>
  </si>
  <si>
    <t>EP-Rate für 'magie' aus NN NPC-Rechner 0.75, Sheet 'NPC-Rechner' Formel '=AOxx*-10' (Zeile 52ff). Kosten = Stufenwert(30) * Rate(-10). | EXKLUSIV_ANGST=angst_magie | ANGST_INTERVALL=1_KR | ANGST_DIREKTE_KONFRONTATION=1 | ANGST_BE=-5</t>
  </si>
  <si>
    <t>Der Charakter leidet unter einer Phobie gegenüber aller Magie und ist nicht in der Lage, irgendeine Form von Magie außer KI zu wirken. Bei direkter Konfrontation mit Magie, insbesondere wenn er gegen einen Magiewirker vorgeht, muss er sofort, danach jede KR eine um 30 erschwerte Mut-Probe bestehen, um handlungsfähig zu bleiben. Um Verzauberungen oder magische Heilung zuzulassen, ein Artefakt zu benutzen oder bewusst mit Magie zu interagieren, muss er einmalig eine um 30 erschwerte Willenskraft-Probe bestehen. Ist Magie zwar gegenwärtig, aber weder direkter Gegner noch Gegenstand, Wesen oder sonstiges Ziel, mit dem sich der Charakter aktuell befasst, sind keine Angst-Proben erforderlich; der Charakter erhält BE -5.</t>
  </si>
  <si>
    <t>vn_angst_magie_5</t>
  </si>
  <si>
    <t>Unbehagen: Magie</t>
  </si>
  <si>
    <t>Auswahlgruppe angst_magie; maximal 1 Stufe; Angstwert 5; direkte Konfrontation: einmal pro Situation; bloße Gegenwart: BE 0.</t>
  </si>
  <si>
    <t>EP-Rate für 'magie' aus NN NPC-Rechner 0.75, Sheet 'NPC-Rechner' Formel '=AOxx*-10' (Zeile 52ff). Kosten = Stufenwert(5) * Rate(-10). | EXKLUSIV_ANGST=angst_magie | ANGST_INTERVALL=SITUATION | ANGST_DIREKTE_KONFRONTATION=1 | ANGST_BE=0</t>
  </si>
  <si>
    <t>Der Charakter empfindet Unbehagen gegenüber aller Magie und ist nicht in der Lage, irgendeine Form von Magie außer KI zu wirken. Bei direkter Konfrontation mit Magie, insbesondere wenn er gegen einen Magiewirker vorgeht, muss er einmal pro Situation eine um 5 erschwerte Mut-Probe bestehen, um handlungsfähig zu bleiben. Um Verzauberungen oder magische Heilung zuzulassen, ein Artefakt zu benutzen oder bewusst mit Magie zu interagieren, muss er einmalig eine um 5 erschwerte Willenskraft-Probe bestehen.</t>
  </si>
  <si>
    <t>vn_schlechte_eigenschaft_ausstrahlung</t>
  </si>
  <si>
    <t>Schlechte Eigenschaft: Ausstrahlung</t>
  </si>
  <si>
    <t>Max=9 (ab Kreis 3); Erstellungs-Max=7; nicht uebersteigerbar</t>
  </si>
  <si>
    <t>Ersetzt die normale Voelker-Maxima-Tabelle fuer diese Eigenschaft komplett (nicht MIN() mit dem Volkswert - die Regel ignoriert explizit die Erstellungs-/Kreis-3-Minima/Maxima und setzt eigene feste Werte).</t>
  </si>
  <si>
    <t>E</t>
  </si>
  <si>
    <t>Dieser Charakter hat eine unterdurchschnittliche Ausstrahlung. Das absolute Maximum dieser Eigenschaft ist 9 (ab Kreis 3, davor darf die Eigenschaft 7 nicht übersteigen). Dieser Nachteil überschreibt die Spezies-Vorgaben. Die Eigenschaft ist grundsätzlich nicht übersteigerbar.</t>
  </si>
  <si>
    <t>vn_schlechte_eigenschaft_intelligenz</t>
  </si>
  <si>
    <t>Schlechte Eigenschaft: Intelligenz</t>
  </si>
  <si>
    <t>Dieser Charakter hat eine unterdurchschnittliche Intelligenz. Das absolute Maximum dieser Eigenschaft ist 9 (ab Kreis 3, davor darf die Eigenschaft 7 nicht übersteigen). Dieser Nachteil überschreibt die Spezies-Vorgaben. Die Eigenschaft ist grundsätzlich nicht übersteigerbar.</t>
  </si>
  <si>
    <t>vn_schlechte_eigenschaft_mut</t>
  </si>
  <si>
    <t>Schlechte Eigenschaft: Mut</t>
  </si>
  <si>
    <t>Dieser Charakter hat einen unterdurchschnittlichen Mut. Das absolute Maximum dieser Eigenschaft ist 9 (ab Kreis 3, davor darf die Eigenschaft 7 nicht übersteigen). Dieser Nachteil überschreibt die Spezies-Vorgaben. Die Eigenschaft ist grundsätzlich nicht übersteigerbar.</t>
  </si>
  <si>
    <t>vn_schlechte_eigenschaft_sinnesschaerfe</t>
  </si>
  <si>
    <t>Schlechte Eigenschaft: Sinnesschaerfe</t>
  </si>
  <si>
    <t>Dieser Charakter hat eine unterdurchschnittliche Sinnesschärfe. Das absolute Maximum dieser Eigenschaft ist 9 (ab Kreis 3, davor darf die Eigenschaft 7 nicht übersteigen). Dieser Nachteil überschreibt die Spezies-Vorgaben. Die Eigenschaft ist grundsätzlich nicht übersteigerbar.</t>
  </si>
  <si>
    <t>vn_schlechte_eigenschaft_willenskraft</t>
  </si>
  <si>
    <t>Schlechte Eigenschaft: Willenskraft</t>
  </si>
  <si>
    <t>Dieser Charakter hat eine unterdurchschnittliche Willenskraft. Das absolute Maximum dieser Eigenschaft ist 9 (ab Kreis 3, davor darf die Eigenschaft 7 nicht übersteigen). Dieser Nachteil überschreibt die Spezies-Vorgaben. Die Eigenschaft ist grundsätzlich nicht übersteigerbar.</t>
  </si>
  <si>
    <t>vn_schlechte_eigenschaft_athletik</t>
  </si>
  <si>
    <t>Schlechte Eigenschaft: Athletik</t>
  </si>
  <si>
    <t>Dieser Charakter hat eine unterdurchschnittliche Athletik. Das absolute Maximum dieser Eigenschaft ist 9 (ab Kreis 3, davor darf die Eigenschaft 7 nicht übersteigen). Dieser Nachteil überschreibt die Spezies-Vorgaben. Die Eigenschaft ist grundsätzlich nicht übersteigerbar.</t>
  </si>
  <si>
    <t>vn_schlechte_eigenschaft_geschicklichkeit</t>
  </si>
  <si>
    <t>Schlechte Eigenschaft: Geschicklichkeit</t>
  </si>
  <si>
    <t>Dieser Charakter hat eine unterdurchschnittliche Geschicklichkeit. Das absolute Maximum dieser Eigenschaft ist 9 (ab Kreis 3, davor darf die Eigenschaft 7 nicht übersteigen). Dieser Nachteil überschreibt die Spezies-Vorgaben. Die Eigenschaft ist grundsätzlich nicht übersteigerbar.</t>
  </si>
  <si>
    <t>vn_schlechte_eigenschaft_konstitution</t>
  </si>
  <si>
    <t>Schlechte Eigenschaft: Konstitution</t>
  </si>
  <si>
    <t>Dieser Charakter hat eine unterdurchschnittliche Konstitution. Das absolute Maximum dieser Eigenschaft ist 9 (ab Kreis 3, davor darf die Eigenschaft 7 nicht übersteigen). Dieser Nachteil überschreibt die Spezies-Vorgaben. Die Eigenschaft ist grundsätzlich nicht übersteigerbar.</t>
  </si>
  <si>
    <t>vn_schlechte_eigenschaft_schnelligkeit</t>
  </si>
  <si>
    <t>Schlechte Eigenschaft: Schnelligkeit</t>
  </si>
  <si>
    <t>Dieser Charakter hat eine unterdurchschnittliche Schnelligkeit. Das absolute Maximum dieser Eigenschaft ist 9 (ab Kreis 3, davor darf die Eigenschaft 7 nicht übersteigen). Dieser Nachteil überschreibt die Spezies-Vorgaben. Die Eigenschaft ist grundsätzlich nicht übersteigerbar.</t>
  </si>
  <si>
    <t>vn_schlechte_eigenschaft_staerke</t>
  </si>
  <si>
    <t>Schlechte Eigenschaft: Staerke</t>
  </si>
  <si>
    <t>Dieser Charakter hat eine unterdurchschnittliche Stärke. Das absolute Maximum dieser Eigenschaft ist 9 (ab Kreis 3, davor darf die Eigenschaft 7 nicht übersteigen). Dieser Nachteil überschreibt die Spezies-Vorgaben. Die Eigenschaft ist grundsätzlich nicht übersteigerbar.</t>
  </si>
  <si>
    <t>nk_pool_unbewaffnet</t>
  </si>
  <si>
    <t>Nahkampf</t>
  </si>
  <si>
    <t>Pool Unbewaffnet</t>
  </si>
  <si>
    <t>MAX(0;(eig_g_mut+eig_k_schnelligkeit+nk_unbewaffnet)/3-20)+MAX(0;(eig_k_athletik+eig_k_schnelligkeit+nk_unbewaffnet)/3-20)</t>
  </si>
  <si>
    <t>Formel hatte nur den Attacke-seitigen MAX-Term. Alle anderen 'Pool &lt;Gruppe&gt;'-Zeilen (198,203,207,212) kombinieren Attacke- und Parade-seitigen Überschuss - fehlenden Parade-Term ergänzt.</t>
  </si>
  <si>
    <t>f_ausdauer</t>
  </si>
  <si>
    <t>Ausdauer</t>
  </si>
  <si>
    <t>Ausd.</t>
  </si>
  <si>
    <t>S.2</t>
  </si>
  <si>
    <t>eig_k_athletik+2*eig_k_konstitution+(eig_k_staerke/2)+3*att_vitalitaet+stufe</t>
  </si>
  <si>
    <t>Formel referenzierte 'att_vitalität' (alte Umlautschreibweise) statt der aktuellen Referenz 'att_vitalitaet' - korrigiert.</t>
  </si>
  <si>
    <t>f_alchemieresistenz</t>
  </si>
  <si>
    <t>Alchemieresistenz</t>
  </si>
  <si>
    <t>AR</t>
  </si>
  <si>
    <t>eig_k_konstitution+3*att_vitalitaet+sf_alchemieresistenz</t>
  </si>
  <si>
    <t>Formel referenzierte 'att_vitalität' (alte Umlautschreibweise) statt der aktuellen Referenz 'att_vitalitaet' - korrigiert. | Formel referenzierte veraltete Gro�-/Kleinschreibung (sf_Alchemieresistenz) - an aktuelle (kleingeschriebene) Referenz angepasst.</t>
  </si>
  <si>
    <t>selbstbeherrschung</t>
  </si>
  <si>
    <t>Selbstbeherrschung</t>
  </si>
  <si>
    <t>SB</t>
  </si>
  <si>
    <t>(eig_g_mut+eig_g_willenskraft+eig_k_konstitution+eig_k_staerke+sf_selbstbeherrschung)/7+att_vitalitaet+12</t>
  </si>
  <si>
    <t>Formel referenzierte 'att_vitalität' (alte Umlautschreibweise) statt der aktuellen Referenz 'att_vitalitaet' - korrigiert. | Formel referenzierte veraltete Gro�-/Kleinschreibung (sf_Selbstbeherrschung) - an aktuelle (kleingeschriebene) Referenz angepasst.</t>
  </si>
  <si>
    <t>fk_basis_blasrohre</t>
  </si>
  <si>
    <t>Fernkampf</t>
  </si>
  <si>
    <t>Fernkampf-Basis-Wert Blasrohre</t>
  </si>
  <si>
    <t>(eig_g_sinneschaerfe+eig_k_geschicklichkeit+fk_blasrohre)/4</t>
  </si>
  <si>
    <t>Formel referenzierte veraltete Gro�-/Kleinschreibung (fk_blasrohre) - an aktuelle (kleingeschriebene) Referenz angepasst.</t>
  </si>
  <si>
    <t>fk_basis_spez_blasrohre_blasrohre</t>
  </si>
  <si>
    <t>Fernkampf-Spezialisierungs-Wert Blasrohre</t>
  </si>
  <si>
    <t>(eig_g_sinneschaerfe+eig_k_geschicklichkeit+fk_blasrohre+fk_spez_blasrohre_blasrohre)/4</t>
  </si>
  <si>
    <t>Formel referenzierte veraltete Gro�-/Kleinschreibung (fk_spez_Blasrohre_blasrohre, fk_blasrohre) - an aktuelle (kleingeschriebene) Referenz angepasst.</t>
  </si>
  <si>
    <t>aw_def_normal</t>
  </si>
  <si>
    <t>Defensives Ausweichen</t>
  </si>
  <si>
    <t>def. nAW</t>
  </si>
  <si>
    <t>(eig_k_athletik+eig_k_schnelligkeit+att_glueck+sf_ausweichen)/5+6-gewichtsbelastung</t>
  </si>
  <si>
    <t>Formel referenzierte veraltete Gro�-/Kleinschreibung (Gewichtsbelastung, sf_Ausweichen) - an aktuelle (kleingeschriebene) Referenz angepasst.</t>
  </si>
  <si>
    <t>aw_off_normal</t>
  </si>
  <si>
    <t>Offensives Ausweichen</t>
  </si>
  <si>
    <t>off. nAW</t>
  </si>
  <si>
    <t>(eig_k_athletik+eig_k_schnelligkeit+att_glueck+sf_ausweichen)/5+2-gewichtsbelastung</t>
  </si>
  <si>
    <t>aw_gut</t>
  </si>
  <si>
    <t>Gutes Ausweichen</t>
  </si>
  <si>
    <t>gAW</t>
  </si>
  <si>
    <t>(eig_bonus_k_athletik+sf_gutes_aw)/5+1</t>
  </si>
  <si>
    <t>Formel referenzierte veraltete Gro�-/Kleinschreibung (sf_Gutes_AW) - an aktuelle (kleingeschriebene) Referenz angepasst.</t>
  </si>
  <si>
    <t>mana</t>
  </si>
  <si>
    <t>Mana</t>
  </si>
  <si>
    <t>att_aura*7+att_magie*3+3*eig_g_willenskraft-30+eig_bonus_g_intelligenz*att_weisheit+stufe+sf_mana_talent*2</t>
  </si>
  <si>
    <t>Formel referenzierte veraltete Gro�-/Kleinschreibung (sf_Mana_Talent) - an aktuelle (kleingeschriebene) Referenz angepasst.</t>
  </si>
  <si>
    <t>aw_meisterlich</t>
  </si>
  <si>
    <t>Meisterliches Ausweichen</t>
  </si>
  <si>
    <t>mAW</t>
  </si>
  <si>
    <t>(eig_bonus_k_schnelligkeit+sf_meisterliches_ausweichen)/5+21</t>
  </si>
  <si>
    <t>Formel referenzierte veraltete Gro�-/Kleinschreibung (sf_Meisterliches_ausweichen) - an aktuelle (kleingeschriebene) Referenz angepasst.</t>
  </si>
  <si>
    <t>gbe_ausgeruestet</t>
  </si>
  <si>
    <t>Gewichtsbelastung</t>
  </si>
  <si>
    <t>Ausgerüstet</t>
  </si>
  <si>
    <t>eig_k_staerke+sf_tragen*1,5</t>
  </si>
  <si>
    <t>Formel referenzierte veraltete Gro�-/Kleinschreibung (sf_Tragen) - an aktuelle (kleingeschriebene) Referenz angepasst.</t>
  </si>
  <si>
    <t>gbe_leichtes_marschgepaeck</t>
  </si>
  <si>
    <t>Leichtes Marschgepäck</t>
  </si>
  <si>
    <t>eig_k_staerke+sf_tragen*3</t>
  </si>
  <si>
    <t>gbe_max_hebelast</t>
  </si>
  <si>
    <t>max. Hebelast</t>
  </si>
  <si>
    <t>eig_k_staerke+sf_tragen*15</t>
  </si>
  <si>
    <t>gbe_mittel_ueberladen</t>
  </si>
  <si>
    <t>Mittel Überladen</t>
  </si>
  <si>
    <t>eig_k_staerke+sf_tragen*7</t>
  </si>
  <si>
    <t>gbe_schwer_schleppend</t>
  </si>
  <si>
    <t>Schwer schleppend</t>
  </si>
  <si>
    <t>eig_k_staerke+sf_tragen*11</t>
  </si>
  <si>
    <t>gbe_schweres_marschgepaeck</t>
  </si>
  <si>
    <t>Schweres Marschgepäck</t>
  </si>
  <si>
    <t>eig_k_staerke+sf_tragen*5</t>
  </si>
  <si>
    <t>gbe_unbelastet</t>
  </si>
  <si>
    <t>Unbelastet</t>
  </si>
  <si>
    <t>eig_k_staerke+sf_tragen*0,5</t>
  </si>
  <si>
    <t>fk_gute_spez_schusswaffen_armbrueste</t>
  </si>
  <si>
    <t>Fernkampf-Spezialisierungs-Gute-Wert Armbrust</t>
  </si>
  <si>
    <t>Diese Formel geht von der VOLLSTAENDIGEN Probe aus (Basiswert + Waffen-Modifikator + Entfernungs-Modifikator, siehe Waffentabellen z.B. NN_Feuerwaffen_1.1.xlsx). Die Berechnung dieser vollstaendigen Probe sowie die Sonderregel bei Probe&lt;=0 (nur Meisterlich=normaler Treffer bzw. Froehlich=guter Treffer moeglich) gehoeren ins zukuenftige Kampfmodul, nicht in den Charakterbogen - hier steht nur der Basismechanismus.</t>
  </si>
  <si>
    <t>WENN(talente_fernkampfgeschick_stufe_2&gt;0;1+AUFRUNDEN(fk_basis_spez_schusswaffen_armbrueste/3;0);WENN(talente_fernkampfgeschick_stufe_1&gt;0;1+AUFRUNDEN(fk_basis_spez_schusswaffen_armbrueste/4;0);1))</t>
  </si>
  <si>
    <t>Gleiches Muster wie fk_gute_* (Basiswaffe), nur auf den Spezialisierungs-Basiswert angewandt - Nutzerbestaetigung: 'Spezialisierungen sollten als simples +Spez in der /4 Formel gefuehrt sein'.</t>
  </si>
  <si>
    <t>fk_gute_spez_blasrohre_blasrohre</t>
  </si>
  <si>
    <t>Fernkampf-Spezialisierungs-Gute-Wert Blasrohre</t>
  </si>
  <si>
    <t>WENN(talente_fernkampfgeschick_stufe_2&gt;0;1+AUFRUNDEN(fk_basis_spez_blasrohre_blasrohre/3;0);WENN(talente_fernkampfgeschick_stufe_1&gt;0;1+AUFRUNDEN(fk_basis_spez_blasrohre_blasrohre/4;0);1))</t>
  </si>
  <si>
    <t>fk_gute_spez_feuerwaffen_musketen</t>
  </si>
  <si>
    <t>Fernkampf-Spezialisierungs-Gute-Wert Musketen</t>
  </si>
  <si>
    <t>WENN(talente_fernkampfgeschick_stufe_2&gt;0;1+AUFRUNDEN(fk_basis_spez_feuerwaffen_musketen/3;0);WENN(talente_fernkampfgeschick_stufe_1&gt;0;1+AUFRUNDEN(fk_basis_spez_feuerwaffen_musketen/4;0);1))</t>
  </si>
  <si>
    <t>fk_gute_spez_feuerwaffen_pistolen</t>
  </si>
  <si>
    <t>Fernkampf-Spezialisierungs-Gute-Wert Pistolen</t>
  </si>
  <si>
    <t>WENN(talente_fernkampfgeschick_stufe_2&gt;0;1+AUFRUNDEN(fk_basis_spez_feuerwaffen_pistolen/3;0);WENN(talente_fernkampfgeschick_stufe_1&gt;0;1+AUFRUNDEN(fk_basis_spez_feuerwaffen_pistolen/4;0);1))</t>
  </si>
  <si>
    <t>fk_gute_spez_boegen_boegen</t>
  </si>
  <si>
    <t>Fernkampf-Spezialisierungs-Gute-Wert Bögen</t>
  </si>
  <si>
    <t>WENN(talente_fernkampfgeschick_stufe_2&gt;0;1+AUFRUNDEN(fk_basis_spez_boegen_boegen/3;0);WENN(talente_fernkampfgeschick_stufe_1&gt;0;1+AUFRUNDEN(fk_basis_spez_boegen_boegen/4;0);1))</t>
  </si>
  <si>
    <t>fk_meisterlich_spez_schusswaffen_armbrueste</t>
  </si>
  <si>
    <t>Fernkampf-Spezialisierungs-Meisterliche-Wert Armbrust</t>
  </si>
  <si>
    <t>WENN(talente_fernkampfgeschick_stufe_3&gt;0;21+AUFRUNDEN(fk_basis_spez_schusswaffen_armbrueste/20;0);21)</t>
  </si>
  <si>
    <t>Gleiches Muster wie fk_meisterlich_* (Basiswaffe), nur auf den Spezialisierungs-Basiswert angewandt.</t>
  </si>
  <si>
    <t>fk_meisterlich_spez_blasrohre_blasrohre</t>
  </si>
  <si>
    <t>Fernkampf-Spezialisierungs-Meisterliche-Wert Blasrohre</t>
  </si>
  <si>
    <t>WENN(talente_fernkampfgeschick_stufe_3&gt;0;21+AUFRUNDEN(fk_basis_spez_blasrohre_blasrohre/20;0);21)</t>
  </si>
  <si>
    <t>fk_meisterlich_spez_feuerwaffen_musketen</t>
  </si>
  <si>
    <t>Fernkampf-Spezialisierungs-Meisterliche-Wert Musketen</t>
  </si>
  <si>
    <t>WENN(talente_fernkampfgeschick_stufe_3&gt;0;21+AUFRUNDEN(fk_basis_spez_feuerwaffen_musketen/20;0);21)</t>
  </si>
  <si>
    <t>fk_meisterlich_spez_feuerwaffen_pistolen</t>
  </si>
  <si>
    <t>Fernkampf-Spezialisierungs-Meisterliche-Wert Pistolen</t>
  </si>
  <si>
    <t>WENN(talente_fernkampfgeschick_stufe_3&gt;0;21+AUFRUNDEN(fk_basis_spez_feuerwaffen_pistolen/20;0);21)</t>
  </si>
  <si>
    <t>fk_meisterlich_spez_boegen_boegen</t>
  </si>
  <si>
    <t>Fernkampf-Spezialisierungs-Meisterliche-Wert Bögen</t>
  </si>
  <si>
    <t>WENN(talente_fernkampfgeschick_stufe_3&gt;0;21+AUFRUNDEN(fk_basis_spez_boegen_boegen/20;0);21)</t>
  </si>
  <si>
    <t>rs_arme</t>
  </si>
  <si>
    <t>Rüstungsschutz Arme</t>
  </si>
  <si>
    <t>SUMME(RS der 5 Ruestungslagen in Zone arme)</t>
  </si>
  <si>
    <t>Jede Koerperzone hat 5 Lagen (Stoff/Leder/Kette/Platte/Addon, siehe Sheets Ruestung-Basis/-Verarbeitung/-Anpassung/-Addons), deren RS sich aufaddieren (Nutzerangabe 2026-07-16, bestaetigt durch das Beispiel-Set in Sheet Ruestungstabelle: Kopf RS = 3+4+6+6+0 = 19). Einzel-Lagen-RS = RS-Basis(Ruestungsteil) + RS-Mod(Verarbeitung) [Anpassung wirkt nie auf RS, siehe Ruestung-Basis-Formel]. Welche Ruestung pro Lage/Zone gewaehlt ist, ist noch keine Referenz in diesem Sheet (keine Auswahl-Mechanik vorhanden) - Aufloesung der SUMME(...) obliegt der App/Charakterbogen-Logik, siehe Entwickeln.</t>
  </si>
  <si>
    <t>rs_beine</t>
  </si>
  <si>
    <t>Rüstungsschutz Beine</t>
  </si>
  <si>
    <t>SUMME(RS der 5 Ruestungslagen in Zone beine)</t>
  </si>
  <si>
    <t>rs_kopf</t>
  </si>
  <si>
    <t>Rüstungsschutz Kopf</t>
  </si>
  <si>
    <t>SUMME(RS der 5 Ruestungslagen in Zone kopf)</t>
  </si>
  <si>
    <t>rs_torso</t>
  </si>
  <si>
    <t>Rüstungsschutz Torso</t>
  </si>
  <si>
    <t>SUMME(RS der 5 Ruestungslagen in Zone torso)</t>
  </si>
  <si>
    <t>talente_gefahrensinn</t>
  </si>
  <si>
    <t>Talente</t>
  </si>
  <si>
    <t>Gefahrensinn</t>
  </si>
  <si>
    <t>Abenteurer</t>
  </si>
  <si>
    <t>Kein exakter Namenstreffer in NN NPC-Rechner 0.75/Talente - dort heißt das Talent 'Gefahreninstinkt' (Kategorie=Abenteurer). Vermutlich dasselbe Talent unter leicht anderem Namen, Parent trotzdem gesetzt.</t>
  </si>
  <si>
    <t>Erhöht das Maximum der Sonderfertigkeit "Gefahreninstinkt" um 6 Punkte.</t>
  </si>
  <si>
    <t>bewegung_f_leiter_steigen_schnell</t>
  </si>
  <si>
    <t>Leiter steigen schnell</t>
  </si>
  <si>
    <t>FEHLT</t>
  </si>
  <si>
    <t>kein Formeltext vorhanden</t>
  </si>
  <si>
    <t>bewegung_f_seil_hochklettern</t>
  </si>
  <si>
    <t>Seil hochklettern</t>
  </si>
  <si>
    <t>f_gefahreninstinkt</t>
  </si>
  <si>
    <t>Gefahreninstinkt</t>
  </si>
  <si>
    <t>GI</t>
  </si>
  <si>
    <t>eig_g_sinneschaerfe+sf_gefahreninstinkt</t>
  </si>
  <si>
    <t>kein Formeltext vorhanden | Formel = Sinnesschaerfe + SF Gefahreninstinkt (Nutzerangabe 2026-07-16). Einfache Probe, Probenwert = diese Formel, kann vom Meister situativ erschwert werden. Standard-Offsets fuer evtl. spaetere Gute/Meisterliche-Varianten waeren 1 bzw. 21 (Systemstandard, siehe aw_gut/aw_meisterlich), hier aber keine Sonderwerte noetig.</t>
  </si>
  <si>
    <t>bewegung_f_lesegeschwindigkeit</t>
  </si>
  <si>
    <t>Lesegeschwindigkeit (Wörter/min)</t>
  </si>
  <si>
    <t>kein Formeltext vorhanden | Referenz (Spalte G) enthält Klammern und Schrägstrich '(.../...)' unverändert aus der Beschreibung übernommen.</t>
  </si>
  <si>
    <t>ep_verbraucht</t>
  </si>
  <si>
    <t>Verbrauchte EP</t>
  </si>
  <si>
    <t>SUMME(Kosten aller gewaehlten Werte)</t>
  </si>
  <si>
    <t>Kein normaler Zeilen-Verweis wie sonst ueblich, sondern eine Summe UEBER DEN GESAMTEN Charakterbogen: alle Kosten-Werte jeder Zeile, die der Spieler tatsaechlich gewaehlt/erhoeht hat (Eigenschaften, Attribute, Grundfertigkeiten, Talente, Vor-/Nachteile, Spruchmagie, ...). Muss von der App als aggregierte Summe berechnet werden, nicht als einzelne Referenz aufloesbar.</t>
  </si>
  <si>
    <t>startbudget_ausruestung</t>
  </si>
  <si>
    <t>Startbudget Ausruestung</t>
  </si>
  <si>
    <t>In Dublonen. 1 Dublone = 1000 Fuffzisch. Meister kann Kosten mit % anpassen (App-Verhalten, nicht Formel).</t>
  </si>
  <si>
    <t>Fixwert</t>
  </si>
  <si>
    <t>5000</t>
  </si>
  <si>
    <t>KORRIGIERT 2026-07-16 (Nutzerangabe): 5000 Dublonen Startbudget fuer Ausruestung bei Erschaffung (vorher faelschlich 4000 eingetragen).</t>
  </si>
  <si>
    <t>gr_betoeren</t>
  </si>
  <si>
    <t>Grundfertigkeit</t>
  </si>
  <si>
    <t>Betören</t>
  </si>
  <si>
    <t>Geistige Grundfertigkeiten: Betören steht für die Fähigkeit, jemand anderem zu imponieren, es zu verführen oder sich einzuschmeicheln. Dies kann gegebenenfalls ausgenutzt werden, um eine Person zu beeinflussen.</t>
  </si>
  <si>
    <t>Kosten = statisch 9 EP/Punkt (Nutzerangabe).</t>
  </si>
  <si>
    <t>wert*9</t>
  </si>
  <si>
    <t>gr_einschuechtern</t>
  </si>
  <si>
    <t>Einschüchtern</t>
  </si>
  <si>
    <t>Geistige Grundfertigkeiten: Einschüchtern ist die Fähigkeit, andere auf subtile Art einzuschüchtern, Angst zu machen, über das Ausmaß an Furcht hinaus, für das es einen objektiven Grund gibt.</t>
  </si>
  <si>
    <t>gr_faehrtensuche</t>
  </si>
  <si>
    <t>Fährtensuche</t>
  </si>
  <si>
    <t>Geistige Grundfertigkeiten: Fährtensuche ist die Fähigkeit, Fährten oder Spuren, die durch Wesen verursacht wurden, aufzufinden. Das Analysieren dieser Spuren geschieht mit der WHK-Fertigkeit Spuren Lesen.</t>
  </si>
  <si>
    <t>gr_fliegen</t>
  </si>
  <si>
    <t>Fliegen</t>
  </si>
  <si>
    <t>Körperliche Grundfertigkeiten: Fliegen beschreibt die Fähigkeit eines Charakters, selbst zu fliegen (sofern er einen Weg dazu beherrscht), oder sich auf einem lebenden Reitflugtier zu halten und es so gut es geht zu steuern, oder sich auf einem fliegenden Magiekorpus zu halten. Große Flugobjekte wie Luftschiffe werden hingegen über die WHK-Fertigkeit Luftschifffahrt gesteuert.</t>
  </si>
  <si>
    <t>gr_klettern</t>
  </si>
  <si>
    <t>Klettern</t>
  </si>
  <si>
    <t>Körperliche Grundfertigkeiten: Klettern kommt zum Tragen, wenn der Charakter in irgendeiner Form klettert und darauf eine Grundfertigkeits-Probe ablegen muss.</t>
  </si>
  <si>
    <t>gr_koerperbeherrschung</t>
  </si>
  <si>
    <t>Körperbeherrschung</t>
  </si>
  <si>
    <t>KB</t>
  </si>
  <si>
    <t>Körperliche Grundfertigkeiten: Körperbeherrschung ist die Fähigkeit eines Charakters, sich abzurollen, die Balance zu halten, nach einem Sturz aufzustehen und ähnliches. Außerdem zählt Körperbeherrschung zum Probenwert bei einer Ath-Probe wegen eines Sturzes laut Patzer-Tabelle oder SB-Tabelle.</t>
  </si>
  <si>
    <t>gr_laufen</t>
  </si>
  <si>
    <t>Laufen</t>
  </si>
  <si>
    <t>Körperliche Grundfertigkeiten: Laufen ist die Fähigkeit eines Charakters, schneller zu laufen. Dazu wird die Fertigkeit Laufen in die Formeln für Sprinten und Dauerlauf eingerechnet.</t>
  </si>
  <si>
    <t>gr_luft_anhalten</t>
  </si>
  <si>
    <t>Luft anhalten</t>
  </si>
  <si>
    <t>Körperliche Grundfertigkeiten: Luft anhalten beschreibt die Fähigkeit des Helden, über längere Zeit ohne Frischluftzufuhr auszukommen.</t>
  </si>
  <si>
    <t>gr_luegen</t>
  </si>
  <si>
    <t>Lügen</t>
  </si>
  <si>
    <t>Geistige Grundfertigkeiten: Lügen ist die Fähigkeit, glaubwürdig die Unwahrheit zu sagen.</t>
  </si>
  <si>
    <t>gr_menschenkenntnis</t>
  </si>
  <si>
    <t>Menschenkenntnis</t>
  </si>
  <si>
    <t>Geistige Grundfertigkeiten: Menschenkenntnis ist die Fähigkeit, einzelne Personen oder sogar Gruppen zu lesen und kleine Feinheiten in ihrem Verhalten wahrzunehmen, die es erlauben, Beeinflussungsversuche, Lügen und ähnliches zu durchschauen.</t>
  </si>
  <si>
    <t>gr_orientierung</t>
  </si>
  <si>
    <t>Orientierung</t>
  </si>
  <si>
    <t>Geistige Grundfertigkeiten: Orientierung beschreibt die Fähigkeit, sich die Umgebung gut einzuprägen, kleine Details wahrzunehmen, die bei der Navigation helfen, sich intuitiv zu orientieren.</t>
  </si>
  <si>
    <t>gr_reiten</t>
  </si>
  <si>
    <t>Reiten</t>
  </si>
  <si>
    <t>Körperliche Grundfertigkeiten: Reiten erhöht die Sicherheit, mit der der Charakter im Sattel sitzt, und verbessert seine Fähigkeit, das Reittier zu lenken. Besondere andressierte Aktionen wie Springen, Kampfmanöver reiten, kontrolliertes Hochsteigen, still zu sein oder ohne Reiter auf Kommandos zu hören erfordern allerdings die WHK-Fertigkeiten Abrichten. Reiten als Grundfertigkeit ist das rein körperliche Reiten, ohne Dressur, Kunststücke, besondere Kontrolle etc. Die Reiten-Werte der Charaktere sollten dem Meister vor einer längeren Reise mitgeteilt werden, damit er die Erschöpfung und eventuelle Missgeschicke beschreiben kann.</t>
  </si>
  <si>
    <t>gr_rudern</t>
  </si>
  <si>
    <t>Rudern</t>
  </si>
  <si>
    <t>Körperliche Grundfertigkeiten: Rudern zählt zum Probenwert hinzu, wenn eine Probe abgelegt wird, um ein Wasserfahrzeug in irgendeiner Form zu rudern.</t>
  </si>
  <si>
    <t>gr_schaetzen</t>
  </si>
  <si>
    <t>Schätzen</t>
  </si>
  <si>
    <t>Geistige Grundfertigkeiten: Schätzen beschreibt die Fähigkeit, Distanzen, Gewichte, Höhen etc. ohne Hilfsmittel einzuschätzen. Für den Geldwert von Waren benötigt man außerdem die passende WHK.</t>
  </si>
  <si>
    <t>gr_schleichen</t>
  </si>
  <si>
    <t>Schleichen</t>
  </si>
  <si>
    <t>Körperliche Grundfertigkeiten: Schleichen ermöglicht es, bei der Fortbewegung weitestgehend lautlos zu sein.</t>
  </si>
  <si>
    <t>gr_schwimmen</t>
  </si>
  <si>
    <t>Schwimmen</t>
  </si>
  <si>
    <t>Körperliche Grundfertigkeiten: Schwimmen erhöht die Sicherheit und Geschwindigkeit der Bewegung des Charakters in Flüssigkeiten. Ein Charakter mit Schwimmen 0 kann auch Schwimmen, wenn die Eigenchaft+SchwimmenProbe gelingt.</t>
  </si>
  <si>
    <t>gr_springen</t>
  </si>
  <si>
    <t>Springen</t>
  </si>
  <si>
    <t>Körperliche Grundfertigkeiten: Springen: Diese Fertigkeit beschreibt die Fähigkeit, besonders weit oder hoch zu springen.</t>
  </si>
  <si>
    <t>gr_ueberzeugen</t>
  </si>
  <si>
    <t>Überzeugen</t>
  </si>
  <si>
    <t>Geistige Grundfertigkeiten: Überzeugen steht für die Fähigkeit, jemand andere überzeugend klar zu machen, dass die vertretene Position die richtige ist.</t>
  </si>
  <si>
    <t>gr_verstecken</t>
  </si>
  <si>
    <t>Verstecken</t>
  </si>
  <si>
    <t>Körperliche Grundfertigkeiten: Verstecken kommt zum Tragen, wenn der Charakter sich selbst oder etwas anderes verstecken oder tarnen möchte.</t>
  </si>
  <si>
    <t>gr_werfen</t>
  </si>
  <si>
    <t>Werfen</t>
  </si>
  <si>
    <t>Körperliche Grundfertigkeiten: Werfen beschreibt die Fähigkeit, Dinge nicht nur wegzuschleudern, sondern gezielt durch die Luft an den gewünschten Ort zu befördern. Werfen zählt zusätzlich als Bonus auf Stärke (bzw. Schnelligkeit beim Wurfspeer) in die Wurfweiten-Formeln ein.</t>
  </si>
  <si>
    <t>psi_deformation</t>
  </si>
  <si>
    <t>PSI</t>
  </si>
  <si>
    <t>Deformation</t>
  </si>
  <si>
    <t>Zauberwert (zur Laufzeit, nicht Charaktererstellung) = wert + [Eig-Bonus] + att_aura + att_magie - Erschwerung(gewaehlte Stufe). Erschwerung, MbS und Wirkung je Stufe sowie die übrigen Referenzwerte siehe Sheet 'PSI-Zauberstufen'. Quelle: PSI_Magie_Zaubertabelle_1_421.xlsx. Basis-Maximum=24, durch Talente 'PSI Psinetik Stufe 1/2/3' um +6/+12/+18 erhoehbar (max. 42).</t>
  </si>
  <si>
    <t>psi_hoehere_telekinese</t>
  </si>
  <si>
    <t>psi_destruktion</t>
  </si>
  <si>
    <t>Destruktion</t>
  </si>
  <si>
    <t>psi_pyrokinese</t>
  </si>
  <si>
    <t>psi_geschosse_ablenken</t>
  </si>
  <si>
    <t>Geschosse ablenken</t>
  </si>
  <si>
    <t>Höhere Telekinese</t>
  </si>
  <si>
    <t>psi_telekinese</t>
  </si>
  <si>
    <t>psi_im_schatten_verstecken</t>
  </si>
  <si>
    <t>Im Schatten verstecken</t>
  </si>
  <si>
    <t>psi_suggestion</t>
  </si>
  <si>
    <t>psi_im_wald_verstecken</t>
  </si>
  <si>
    <t>Im Wald verstecken</t>
  </si>
  <si>
    <t>psi_in_der_ferne_verstecken</t>
  </si>
  <si>
    <t>In der Ferne verstecken</t>
  </si>
  <si>
    <t>psi_in_der_menge_verstecken</t>
  </si>
  <si>
    <t>In der Menge verstecken</t>
  </si>
  <si>
    <t>psi_kryokinese</t>
  </si>
  <si>
    <t>Kryokinese</t>
  </si>
  <si>
    <t>Pyrokinese</t>
  </si>
  <si>
    <t>psi_telekinese_griff</t>
  </si>
  <si>
    <t>Telekinese Griff</t>
  </si>
  <si>
    <t>psi_telekinetisches_geschoss</t>
  </si>
  <si>
    <t>Telekinetisches Geschoss</t>
  </si>
  <si>
    <t>sf_alchemieresistenz</t>
  </si>
  <si>
    <t>Sonderfertigkeit</t>
  </si>
  <si>
    <t>Alchemieresistenz zählt in die Formel auf der Seite „Gifte und Tränke“. Nur mit dem Vorteil „SF: Alchemieresistenz“ verfügbar. Maximum 12.</t>
  </si>
  <si>
    <t>Kosten = statisch 9 EP/Punkt (Nutzerangabe). | VORAUSSETZUNG_VORTEIL=vn_sf_alchemieresistenz | MAXIMUM=12</t>
  </si>
  <si>
    <t>sf_ausdauer</t>
  </si>
  <si>
    <t>Ausdauer zählt in die Ausdauer-Formel.</t>
  </si>
  <si>
    <t>sf_ausweichen</t>
  </si>
  <si>
    <t>Ausweichen</t>
  </si>
  <si>
    <t>AW</t>
  </si>
  <si>
    <t>Ausweichen zählt sowohl in die Formel für offensives als auch in die Formel für defensives Ausweichen.</t>
  </si>
  <si>
    <t>sf_fliehen</t>
  </si>
  <si>
    <t>Fliehen</t>
  </si>
  <si>
    <t>Fliehen gilt als Bonus bei allen Fliehen-Proben, auch bei einer Verfolgungsjagd.</t>
  </si>
  <si>
    <t>sf_gefahreninstinkt</t>
  </si>
  <si>
    <t>Gefahreninstinkt zählt in die Gefahreninstinkt-Formel. Deren Probenwert ergibt sich aus Sinneschärfe plus Gefahreninstinkt.</t>
  </si>
  <si>
    <t>sf_gutes_aw</t>
  </si>
  <si>
    <t>Gutes AW</t>
  </si>
  <si>
    <t>Gutes Ausweichen zählt in die Gutes-Ausweichen-Formel.</t>
  </si>
  <si>
    <t>sf_ladeschuetze_armbrust</t>
  </si>
  <si>
    <t>Ladeschütze Armbrust</t>
  </si>
  <si>
    <t>Ladeschütze Armbrust verringert die Ladezeit um (Ges.-Bon. + Sonderfertigkeit Ladeschütze Armbrust), geteilt durch den Ladezeit-Modifikator der jeweiligen Waffe, aufgerundet, in Sekunden. Die Ladezeit kann nicht unter eine Sekunde fallen.</t>
  </si>
  <si>
    <t>sf_ladeschuetze_blasrohr</t>
  </si>
  <si>
    <t>Ladeschütze Blasrohr</t>
  </si>
  <si>
    <t>Ladeschütze Blasrohr verringert die Ladezeit um (Ges.-Bon. + Sonderfertigkeit Ladeschütze Blasrohr), geteilt durch den Ladezeit-Modifikator der jeweiligen Waffe, aufgerundet, in Sekunden. Die Ladezeit kann nicht unter eine Sekunde fallen.</t>
  </si>
  <si>
    <t>sf_ladeschuetze_bogen</t>
  </si>
  <si>
    <t>Ladeschütze Bogen</t>
  </si>
  <si>
    <t>Ladeschütze Bogen verringert die Ladezeit um (Ges.-Bon. + Sonderfertigkeit Ladeschütze Bogen), geteilt durch den Ladezeit-Modifikator der jeweiligen Waffe, aufgerundet, in Sekunden. Die Ladezeit kann nicht unter eine Sekunde fallen.</t>
  </si>
  <si>
    <t>sf_ladeschuetze_kanone</t>
  </si>
  <si>
    <t>Ladeschütze Kanone</t>
  </si>
  <si>
    <t>Ladeschütze Kanone verringert die Ladezeit um (Ges.-Bon. + Sonderfertigkeit Ladeschütze Kanone), geteilt durch den Ladezeit-Modifikator der jeweiligen Waffe, aufgerundet, in Sekunden. Die Ladezeit kann nicht unter eine Sekunde fallen.</t>
  </si>
  <si>
    <t>sf_ladeschuetze_patrone</t>
  </si>
  <si>
    <t>Ladeschütze Patrone</t>
  </si>
  <si>
    <t>Ladeschütze Patrone verringert die Ladezeit um (Ges.-Bon. + Sonderfertigkeit Ladeschütze Patrone), geteilt durch den Ladezeit-Modifikator der jeweiligen Waffe, aufgerundet, in Sekunden. Die Ladezeit kann nicht unter eine Sekunde fallen.</t>
  </si>
  <si>
    <t>sf_ladeschuetze_rune</t>
  </si>
  <si>
    <t>Ladeschütze Rune</t>
  </si>
  <si>
    <t>Ladeschütze Rune verringert die Ladezeit um (Ges.-Bon. + Sonderfertigkeit Ladeschütze Rune), geteilt durch den Ladezeit-Modifikator der jeweiligen Waffe, aufgerundet, in Sekunden. Die Ladezeit kann nicht unter eine Sekunde fallen.</t>
  </si>
  <si>
    <t>#sf_ladeschuetze_schleuder</t>
  </si>
  <si>
    <t>Ladeschütze Schleuder</t>
  </si>
  <si>
    <t>sf_ladeschuetze_vorderlader</t>
  </si>
  <si>
    <t>Ladeschütze Vorderlader</t>
  </si>
  <si>
    <t>Ladeschütze Vorderlader verringert die Ladezeit um (Ges.-Bon. + Sonderfertigkeit Ladeschütze Vorderlader), geteilt durch den Ladezeit-Modifikator der jeweiligen Waffe, aufgerundet, in Sekunden. Die Ladezeit kann nicht unter eine Sekunde fallen. Hat ein Charakter hier mindestens Fertigkeit 1, darf er seine Vorderlader besonders gut nachstopfen (siehe FK-Regeln). Dafür muss er eine Einfache Probe auf (Ges. + Ladeschütze Vorderlader) würfeln.</t>
  </si>
  <si>
    <t>sf_ladeschuetze_wurfmesser</t>
  </si>
  <si>
    <t>Ladeschütze Wurfmesser</t>
  </si>
  <si>
    <t>Mit Ladeschütze Wurfmesser können pro Sekunde (Ges.-Bon. + Fertigkeit) : 10 Messer oder Wurfsterne gezogen und einzeln geworfen werden, jeweils mit einem Hüftschuss. Alternativ können (Ges.-Bon. + Fertigkeit) : 10 − 1 Wurfdolche oder ähnlich kleine Wurfwaffen gezogen und in derselben Sekunde geworfen werden, maximal jedoch eine pro Sekunde, jeweils mit einem Hüftschuss. Größere Wurfwaffen benötigen eine Sekunde zum Ziehen und eine weitere zum Werfen, dann bestenfalls mit Sofortschuss. Für größere Wurfwaffen gibt es daher keine Ladeschützen-Fertigkeit.</t>
  </si>
  <si>
    <t>sf_mana_talent</t>
  </si>
  <si>
    <t>Mana-Talent</t>
  </si>
  <si>
    <t>Mana-Talent erhöht das Mana um 2 Punkte pro Fertigkeitspunkt.</t>
  </si>
  <si>
    <t>sf_meditation</t>
  </si>
  <si>
    <t>Meditation</t>
  </si>
  <si>
    <t>Meditation ermöglicht es einem Charakter, sich während einer Meditation in die Astralsphäre zu versenken und so halbstündlich Manapunkte in Höhe seines Fertigkeitswertes zu regenerieren.</t>
  </si>
  <si>
    <t>sf_meisterliches_ausweichen</t>
  </si>
  <si>
    <t>Meisterliches Ausweichen zählt in die Meisterliches-Ausweichen-Formel.</t>
  </si>
  <si>
    <t>sf_mentale_kapazitaet</t>
  </si>
  <si>
    <t>Mentale Kapazität</t>
  </si>
  <si>
    <t>MK</t>
  </si>
  <si>
    <t>Mentale Kapazität erhöht die Mentale Kapazität für KI-Fähigkeiten um 1 Punkt pro Fertigkeitspunkt.</t>
  </si>
  <si>
    <t>sf_mentaler_fokus</t>
  </si>
  <si>
    <t>Mentaler Fokus</t>
  </si>
  <si>
    <t>MF</t>
  </si>
  <si>
    <t>Mentaler Fokus zählt in die Mentaler-Fokus-Formel (KI). Deren Probenwert ergibt sich aus Willenskraft plus Mentaler Fokus.</t>
  </si>
  <si>
    <t>sf_ruestungsmanoever</t>
  </si>
  <si>
    <t>Rüstungsmanöver</t>
  </si>
  <si>
    <t>RSM</t>
  </si>
  <si>
    <t>Rüstungsmanöver kompensiert bei der Berechnung der RBE pro Punkt einen Punkt Hinderlichkeit.</t>
  </si>
  <si>
    <t>sf_selbstbeherrschung</t>
  </si>
  <si>
    <t>Selbstbeherrschung zählt in die Selbstbeherrschungs-Formel.</t>
  </si>
  <si>
    <t>sf_tragen</t>
  </si>
  <si>
    <t>Tragen</t>
  </si>
  <si>
    <t>Tragen gilt in der GBE-Belastungsstufen-Tabelle als Bonus auf Stärke und bestimmt so die maximale Last.</t>
  </si>
  <si>
    <t>Suggestion</t>
  </si>
  <si>
    <t>psi_empathie</t>
  </si>
  <si>
    <t>Kosten = statisch 9 EP/Punkt (Nutzerangabe). | Beschreibung hatte Leerzeichen am Rand ('Suggestion ') - getrimmt.</t>
  </si>
  <si>
    <t>Empathie</t>
  </si>
  <si>
    <t>Kosten = statisch 9 EP/Punkt (Nutzerangabe). | Startpunkt des PSI-Zauberbaums (Telekinese/Empathie) - keine Vorbedingung.</t>
  </si>
  <si>
    <t>Telekinese</t>
  </si>
  <si>
    <t>att_aura</t>
  </si>
  <si>
    <t>Attribute</t>
  </si>
  <si>
    <t>Aura</t>
  </si>
  <si>
    <t>Aur</t>
  </si>
  <si>
    <t>Aura beschreibt die magische Ausstrahlung eines Charakters und fließt in Formeln wie Mana, Macht und (bei KI-Fähigkeiten) Mentale Kapazität ein.</t>
  </si>
  <si>
    <t>10*wert*wert+70*wert</t>
  </si>
  <si>
    <t>#att_essenz</t>
  </si>
  <si>
    <t>Essenz</t>
  </si>
  <si>
    <t>Ess</t>
  </si>
  <si>
    <t>80+wert*20</t>
  </si>
  <si>
    <t>att_glueck</t>
  </si>
  <si>
    <t>Glück</t>
  </si>
  <si>
    <t>Glü</t>
  </si>
  <si>
    <t>Glück ist die häufig entscheidende, göttliche Fügung, die allen Helden gemein ist. Glück hilft nicht nur auf dem Schlachtfeld, sondern auch in den Saloons, Kasinos und bei der Suche nach just dem richtigen Ausrüstungsgegenstand. Außerdem fließt Glück als Bonus in die Ausweichen-Formeln (offensiv und defensiv) ein und beschreibt den Zufallsfaktor, der einem Charakter zugutekommt.</t>
  </si>
  <si>
    <t>att_karma</t>
  </si>
  <si>
    <t>Karma</t>
  </si>
  <si>
    <t>Kar</t>
  </si>
  <si>
    <t>Karma beschreibt die spirituelle Verbindung eines Charakters zu seiner Gottheit. Nur Paladine oder Geweihte haben einen Karma-Wert.</t>
  </si>
  <si>
    <t>att_magie</t>
  </si>
  <si>
    <t>Magie</t>
  </si>
  <si>
    <t>Mag</t>
  </si>
  <si>
    <t>Magie beschreibt die grundsätzliche magische Begabung eines Charakters, sich in den Astralraum zu tauchen und aus ihm Kräfte zu bündeln.</t>
  </si>
  <si>
    <t>att_vitalitaet</t>
  </si>
  <si>
    <t>Vitalität</t>
  </si>
  <si>
    <t>Vit</t>
  </si>
  <si>
    <t>Vitalität beschreibt die körperliche Lebenskraft eines Charakters und fließt in zahlreiche Formeln ein (Ausdauer, Gesundheit, Lebensenergie Kopf/Brust/Unterleib, Trefferschwelle).</t>
  </si>
  <si>
    <t>att_weisheit</t>
  </si>
  <si>
    <t>Weisheit</t>
  </si>
  <si>
    <t>Wei</t>
  </si>
  <si>
    <t>Weisheit gibt Auskunft über die Lebenserfahrung eines Charakters. Manche Dinge kann nur verstehen, wer schon genügend Dunkelheit erfahren hat.</t>
  </si>
  <si>
    <t>kreis+1</t>
  </si>
  <si>
    <t>eig_g_intelligenz</t>
  </si>
  <si>
    <t>Eigenschaft</t>
  </si>
  <si>
    <t>Intelligenz</t>
  </si>
  <si>
    <t>Int</t>
  </si>
  <si>
    <t>Intelligenz beschreibt die geistige Auffassungsgabe und Leistungsfähigkeit. Philosophen, Staatsmänner, Rechtsgelehrte und auch Magier profitieren sind auf schnelles und präzises Denken angewiesen. Intelligenz fließt u.a. in die Initiative, die Mana-Formel (über den Intelligenz-Bonus) und bestimmt maßgeblich, welche Spruchzauber erlernt werden können.</t>
  </si>
  <si>
    <t>SVERWEIS(wert;'Eigenschaften-Kosten';2;0)</t>
  </si>
  <si>
    <t>eig_g_mut</t>
  </si>
  <si>
    <t>Mut</t>
  </si>
  <si>
    <t>Mut beschreibt die Entschlossenheit und Angriffslust eines Charakters und ist die zentrale Eigenschaft für die Nahkampf-Attacke-Werte sowie die Initiative.</t>
  </si>
  <si>
    <t>eig_g_sinneschaerfe</t>
  </si>
  <si>
    <t>Sinnesschärfe</t>
  </si>
  <si>
    <t>Sin</t>
  </si>
  <si>
    <t>Sinnesschärfe beschreibt die Wahrnehmungsfähigkeit eines Charakters und fließt in die meisten Fernkampf-Formeln sowie in den Gefahreninstinkt ein.</t>
  </si>
  <si>
    <t>eig_g_willenskraft</t>
  </si>
  <si>
    <t>Willenskraft</t>
  </si>
  <si>
    <t>Wil</t>
  </si>
  <si>
    <t>Willenskraft beschreibt die geistige Widerstandskraft eines Charakters und fließt in Mana, Mentale Kapazität (KI) und Gesundheit ein.</t>
  </si>
  <si>
    <t>eig_k_athletik</t>
  </si>
  <si>
    <t>Athletik</t>
  </si>
  <si>
    <t>Ath</t>
  </si>
  <si>
    <t>Athletik beschreibt die allgemeine körperliche Leistungsfähigkeit und fließt u.a. in Ausdauer, Ausweichen, Bewegungs-Formeln (Sprinten, Dauerlauf, Klettern) und Werfen ein.</t>
  </si>
  <si>
    <t>eig_g_ausstrahlung</t>
  </si>
  <si>
    <t>Ausstrahlung</t>
  </si>
  <si>
    <t>Aus</t>
  </si>
  <si>
    <t>Ausstrahlung beschreibt die Wirkung eines Charakters auf andere und dient als Eigenschafts-Basis für soziale Grundfertigkeiten wie Betören, Einschüchtern und Überzeugen.</t>
  </si>
  <si>
    <t>eig_k_geschicklichkeit</t>
  </si>
  <si>
    <t>Geschicklichkeit</t>
  </si>
  <si>
    <t>Ges</t>
  </si>
  <si>
    <t>Geschicklichkeit beschreibt die Feinmotorik eines Charakters und fließt in alle Fernkampf-Formeln, die Initiative sowie den Geschicklichkeits-Bonus ein.</t>
  </si>
  <si>
    <t>eig_k_konstitution</t>
  </si>
  <si>
    <t>Konstitution</t>
  </si>
  <si>
    <t>Kon</t>
  </si>
  <si>
    <t>Konstitution beschreibt die körperliche Widerstandskraft eines Charakters und fließt in Ausdauer, Gesundheit und die Lebensenergie-Formeln ein.</t>
  </si>
  <si>
    <t>eig_k_schnelligkeit</t>
  </si>
  <si>
    <t>Schnelligkeit</t>
  </si>
  <si>
    <t>Sch</t>
  </si>
  <si>
    <t>Schnelligkeit beschreibt die Reaktions- und Bewegungsgeschwindigkeit eines Charakters und fließt in Ausweichen, Initiative, Sprinten und einige Nahkampf-Attacke-Formeln ein.</t>
  </si>
  <si>
    <t>eig_k_staerke</t>
  </si>
  <si>
    <t>Stärke</t>
  </si>
  <si>
    <t>Stä</t>
  </si>
  <si>
    <t>Stärke beschreibt die körperliche Kraft eines Charakters und fließt in Ausdauer, Lebensenergie Brust und die Werfen-Formeln ein.</t>
  </si>
  <si>
    <t>ki_abhaertung</t>
  </si>
  <si>
    <t>KI</t>
  </si>
  <si>
    <t>Abhärtung</t>
  </si>
  <si>
    <t>KI Fertigkeits-Maximum=24, mit Talent 'KI-Meister' insgesamt 42.</t>
  </si>
  <si>
    <t>WENN(wert=0;0;10+(wert-1)*wert/2)</t>
  </si>
  <si>
    <t>eig_bonus_k_konstitution</t>
  </si>
  <si>
    <t>TS+1 pro+2 und 1LE pro+1. Die durch Abhärtung gewonnenen LE werden als Puffer behandelt, werden also nach Abzug von RS vor allen TZ gesenkt, und verfallen nach Ende der Wirkungsdauer mitsamt dem Schaden. Erhöht zusätzlich die Alchemieresistenz um 1 pro+2.</t>
  </si>
  <si>
    <t>ki_adlerauge</t>
  </si>
  <si>
    <t>Adlerauge</t>
  </si>
  <si>
    <t>eig_bonus_g_sinneschaerfe</t>
  </si>
  <si>
    <t>Sehen: Sin+2 pro+1 und FK-Basis-Werte+1 pro+2  und +20Wörter/Minute Lesen pro+1.</t>
  </si>
  <si>
    <t>ki_charisma</t>
  </si>
  <si>
    <t>Charisma</t>
  </si>
  <si>
    <t>Aus+2 pro+1.</t>
  </si>
  <si>
    <t>ki_erleuchtung</t>
  </si>
  <si>
    <t>Erleuchtung</t>
  </si>
  <si>
    <t>Int+2 pro+1 und Initiative+1 pro+3 und +20Wörter/Minute Lesen pro+1.</t>
  </si>
  <si>
    <t>ki_ewige_erinnerung</t>
  </si>
  <si>
    <t>Ewige Erinnerung</t>
  </si>
  <si>
    <t>Der Magus prägt seine Sinneswahrnehmungen für immer in sein Gedächtnis. Er kann sich 1 sec pro +1 merken(ca. eine DIN A4-Seite).</t>
  </si>
  <si>
    <t>ki_fledermausohr_aalnase</t>
  </si>
  <si>
    <t>Fledermausohr &amp; Aalnase (aka Luchsenohr)</t>
  </si>
  <si>
    <t>Gehör-, Geruchs- und Geschmackssinn: Sin+2 pro+1 und eine Stufe entsprechender selektiver Sinnesfilter pro+6. Der Einsatz des Filters zum Dämpfen zu starker Sinneseindrücke erfolgt automatisch.</t>
  </si>
  <si>
    <t>ki_froschlunge</t>
  </si>
  <si>
    <t>Froschlunge</t>
  </si>
  <si>
    <t>Der KI-Magier kommt diese Zeit zusätzlich ohne Luft aus.</t>
  </si>
  <si>
    <t>ki_geschossen_ausweichen</t>
  </si>
  <si>
    <t>Geschossen ausweichen</t>
  </si>
  <si>
    <t>Geschossen ausweichen mit Glück+1 bzw. Ausweichen+1 pro+2.</t>
  </si>
  <si>
    <t>ki_gleichgewicht_&amp;_feingefuehl</t>
  </si>
  <si>
    <t>Gleichgewicht &amp; Feingefühl</t>
  </si>
  <si>
    <t>eig_bonus_k_geschicklichkeit</t>
  </si>
  <si>
    <t>Ges+2 pro+1 und FK-Basis-Werte+1 pro+2 und Initiative+1 pro+3 und Freiklettern + 0,006m/s pro+1.</t>
  </si>
  <si>
    <t>ki_heilender_schlaf</t>
  </si>
  <si>
    <t>Heilender Schlaf</t>
  </si>
  <si>
    <t>Alle TZ+GES regenerieren während des Schlafes je 1LE  pro+1. Der Magier ist während des Schlafes nur durch Schmerzen oder extrem laute Geräusche zu wecken.</t>
  </si>
  <si>
    <t>ki_kampfrausch</t>
  </si>
  <si>
    <t>Kampfrausch</t>
  </si>
  <si>
    <t>Mut+2 pro+1 und Initiative+1 pro+1  und  nAT +1 pro+2.</t>
  </si>
  <si>
    <t>ki_katzenauge</t>
  </si>
  <si>
    <t>Katzenauge</t>
  </si>
  <si>
    <t>Im Dunkeln wird die Sin um +4 pro+1  angepasst; der FK-Basis-Wert um +1 pro+1 , aber nur soweit, dass er Mali durch Lichtverhältnisse kompensiert. Blendeffekte werden mit +1 pro+1 reduziert.</t>
  </si>
  <si>
    <t>ki_konterattacke</t>
  </si>
  <si>
    <t>Konterattacke</t>
  </si>
  <si>
    <t xml:space="preserve">Die nächste erfolgreiche Parade löst eine (NUR EINE) blitzartige NORMALE Konterattacke aus. Die AT gilt als normal geschafft, wenn die Parade normal oder besser geschafft wurde. Konter können pariert werden, wenn das Ziel noch eine Parade frei hat.      1 Konter pro+7    </t>
  </si>
  <si>
    <t>ki_kraftakt</t>
  </si>
  <si>
    <t>Kraftakt</t>
  </si>
  <si>
    <t>Stä+2 pro+1 und NK/Wurfwaffen-TP+1 pro+2 und Rückstoß-1 pro+1.  (Traglast + 8kg; maximal Heben +22kg; Sprung hoch +0,05m; Sprung aus dem Stand +0,15m; Sprung weit +0,25m; Sprung weitest +0,33m; Wurfreichweite 1kg +3m) pro+1.</t>
  </si>
  <si>
    <t>ki_magie_aufspueren</t>
  </si>
  <si>
    <t>Magie aufspüren</t>
  </si>
  <si>
    <t>Der KI-Adept ist in der Lage zu erkennen, ob ein Gegenstand oder Lebewesen irgendeine Form von Magie oder KI wirken kann. Die normale Wahrnehmung wird hierdurch nicht beinträchtigt. Sichtweite ist (Erschwerung)² * m.</t>
  </si>
  <si>
    <t>ki_paradeserie</t>
  </si>
  <si>
    <t>Paradeserie</t>
  </si>
  <si>
    <t>Zusätzliche Paraden pro KR: 1PA/KR: +5;  2PA/KR: +15;  3PA/KR: +30</t>
  </si>
  <si>
    <t>ki_regeneration</t>
  </si>
  <si>
    <t>Regeneration</t>
  </si>
  <si>
    <t>Während der Wirkungsdauer regeneriert der Magier pro sec 1LE auf alle TZ verteilt pro +3. Gliedmaßen wachsen nach, Gesundheit wird nicht wiederhergestellt!</t>
  </si>
  <si>
    <t>ki_selbstheilung</t>
  </si>
  <si>
    <t>Selbstheilung</t>
  </si>
  <si>
    <t>Eine TZ regeneriert innerhalb der Meditation alle 2 Sekunden 1LE pro+1. Pro+5 verteilt sich die Heilung auf eine weitere TZ. Gesundheit wird nicht wiederhergestellt!</t>
  </si>
  <si>
    <t>ki_sprint</t>
  </si>
  <si>
    <t>Sprint</t>
  </si>
  <si>
    <t>Laufen+3 pro+1 und Geschwindigkeit +1m/s pro+2.</t>
  </si>
  <si>
    <t>ki_sprung</t>
  </si>
  <si>
    <t>Sprung</t>
  </si>
  <si>
    <t>Der KI-Magier springt mit gleicher Kraft aber geringerer Gravitation und Luftwiderstand höher: +50cm pro+1  oder weiter: +1m pro+1.</t>
  </si>
  <si>
    <t>ki_steinhaut</t>
  </si>
  <si>
    <t>Steinhaut</t>
  </si>
  <si>
    <t>Alle TZ: RS+1 pro+3.</t>
  </si>
  <si>
    <t>ki_abwehr</t>
  </si>
  <si>
    <t>Abwehr</t>
  </si>
  <si>
    <t>PA-Basis-Werte+1 pro+2  und Ausweichen+1 pro+4.</t>
  </si>
  <si>
    <t>ki_eigenanziehung_verringern</t>
  </si>
  <si>
    <t>Eigenanziehung verringern</t>
  </si>
  <si>
    <t xml:space="preserve">Die Gravitation verringert sich für den Magus, die natürlichen Sprungreichweiten und Fallgeschwindigkeiten verändern sich im selben Maße.     25% +5    50% +15   75% +30 </t>
  </si>
  <si>
    <t>ki_wuchtschlag</t>
  </si>
  <si>
    <t>Wuchtschlag</t>
  </si>
  <si>
    <t>NK/Wurfwaffen-TP+3 pro+2</t>
  </si>
  <si>
    <t>ki_meister_der_grundfertigkeiten</t>
  </si>
  <si>
    <t>Meister der Grundfertigkeiten</t>
  </si>
  <si>
    <t>1+AUFRUNDEN(wert/5;0)</t>
  </si>
  <si>
    <t>Eine fest ausgewählte Grundfertigkeit+3 pro+1. Pro Fertigkeitswert von 5 kann eine weitere Grundfertigkeit fest hinzu gewählt werden.</t>
  </si>
  <si>
    <t>ki_f_mentale_kapazitaet</t>
  </si>
  <si>
    <t>eig_g_willenskraft+att_aura+stufe+sf_mentale_kapazitaet</t>
  </si>
  <si>
    <t>ki_f_mentaler_fokus</t>
  </si>
  <si>
    <t>eig_g_willenskraft+sf_mentaler_fokus</t>
  </si>
  <si>
    <t>ki_dauerlauf</t>
  </si>
  <si>
    <t>Dauerlauf</t>
  </si>
  <si>
    <t>Die Zeit, die man von 1 Punkt Ausdauer laufen kann, erhöht sich um 25% pro +1.</t>
  </si>
  <si>
    <t>#ki_ki_faehigkeiten</t>
  </si>
  <si>
    <t>KI-Fähigkeiten</t>
  </si>
  <si>
    <t>ki_ki_schutz</t>
  </si>
  <si>
    <t>KI-Schutz</t>
  </si>
  <si>
    <t>Eine TZ: RS+1 pro+1.</t>
  </si>
  <si>
    <t>ki_konzentration</t>
  </si>
  <si>
    <t>Konzentration</t>
  </si>
  <si>
    <t>Willenskraft+2 pro+1 und Selbstbeherrschung+2 pro+1 und Trefferschwelle+1 pro+2.</t>
  </si>
  <si>
    <t>stufe</t>
  </si>
  <si>
    <t>Stufe</t>
  </si>
  <si>
    <t>Lookup</t>
  </si>
  <si>
    <t>SVERWEIS(ep_gesamt;'EP-Stufe-Kreis';2;1)</t>
  </si>
  <si>
    <t>kreis</t>
  </si>
  <si>
    <t>Kreis</t>
  </si>
  <si>
    <t>SVERWEIS(ep_gesamt;'EP-Stufe-Kreis';3;1)</t>
  </si>
  <si>
    <t>talentpunkte</t>
  </si>
  <si>
    <t>Talentpunkte</t>
  </si>
  <si>
    <t>20+stufe*5</t>
  </si>
  <si>
    <t>ssk_kultur_dalkini</t>
  </si>
  <si>
    <t>Sprache &amp; Kultur</t>
  </si>
  <si>
    <t>Daikinische Kultur</t>
  </si>
  <si>
    <t>SVERWEIS(wert;'Kulturstufe-Kosten';2;0)</t>
  </si>
  <si>
    <t>ssk_kultur_draw</t>
  </si>
  <si>
    <t>Drawsche Kultur</t>
  </si>
  <si>
    <t>ssk_kultur_elfen</t>
  </si>
  <si>
    <t>Elfische Kultur</t>
  </si>
  <si>
    <t>ssk_kultur_gnome</t>
  </si>
  <si>
    <t>Gnomische Kultur</t>
  </si>
  <si>
    <t>ssk_kultur_goblins</t>
  </si>
  <si>
    <t>Goblinsche Kultur</t>
  </si>
  <si>
    <t>ssk_kultur_indianer</t>
  </si>
  <si>
    <t>Indianische Kultur</t>
  </si>
  <si>
    <t>ssk_kultur_katzen</t>
  </si>
  <si>
    <t>Kultur der Katzenmenschen</t>
  </si>
  <si>
    <t>ssk_kultur_orks</t>
  </si>
  <si>
    <t>Orkische Kultur</t>
  </si>
  <si>
    <t>ssk_kultur_trolle</t>
  </si>
  <si>
    <t>Trollische Kultur</t>
  </si>
  <si>
    <t>ssk_kultur_zentauren</t>
  </si>
  <si>
    <t>Zentaurische Kultur</t>
  </si>
  <si>
    <t>ssk_kultur_zwerge</t>
  </si>
  <si>
    <t>Zwergische Kultur</t>
  </si>
  <si>
    <t>rerolls</t>
  </si>
  <si>
    <t>Rerolls</t>
  </si>
  <si>
    <t>fk_gute_blasrohre</t>
  </si>
  <si>
    <t>Fernkampf-Gute-Wert Blasrohre</t>
  </si>
  <si>
    <t>WENN(talente_fernkampfgeschick_stufe_2&gt;0;1+AUFRUNDEN(fk_basis_blasrohre/3;0);WENN(talente_fernkampfgeschick_stufe_1&gt;0;1+AUFRUNDEN(fk_basis_blasrohre/4;0);1))</t>
  </si>
  <si>
    <t>Nur mit Talent 'Fernkampfgeschick Stufe 1/2' ueber die Basis 1 steigerbar. Quelle: NN NPC-Rechner 0.76 Talente + Nutzerbestaetigung. Kein MIN()-Deckel.</t>
  </si>
  <si>
    <t>fk_gute_boegen</t>
  </si>
  <si>
    <t>Fernkampf-Gute-Wert Bögen</t>
  </si>
  <si>
    <t>WENN(talente_fernkampfgeschick_stufe_2&gt;0;1+AUFRUNDEN(fk_basis_boegen/3;0);WENN(talente_fernkampfgeschick_stufe_1&gt;0;1+AUFRUNDEN(fk_basis_boegen/4;0);1))</t>
  </si>
  <si>
    <t>fk_gute_schusswaffen</t>
  </si>
  <si>
    <t>Fernkampf-Gute-Wert Schusswaffen</t>
  </si>
  <si>
    <t>WENN(talente_fernkampfgeschick_stufe_2&gt;0;1+AUFRUNDEN(fk_basis_schusswaffen/3;0);WENN(talente_fernkampfgeschick_stufe_1&gt;0;1+AUFRUNDEN(fk_basis_schusswaffen/4;0);1))</t>
  </si>
  <si>
    <t>fk_gute_wurfwaffen</t>
  </si>
  <si>
    <t>Fernkampf-Gute-Wert Wurfwaffen</t>
  </si>
  <si>
    <t>WENN(talente_fernkampfgeschick_stufe_2&gt;0;1+AUFRUNDEN(fk_basis_wurfwaffen/3;0);WENN(talente_fernkampfgeschick_stufe_1&gt;0;1+AUFRUNDEN(fk_basis_wurfwaffen/4;0);1))</t>
  </si>
  <si>
    <t>fk_meisterlich_blasrohre</t>
  </si>
  <si>
    <t>Fernkampf-Meisterliche-Wert Blasrohre</t>
  </si>
  <si>
    <t>WENN(talente_fernkampfgeschick_stufe_3&gt;0;21+AUFRUNDEN(fk_basis_blasrohre/20;0);21)</t>
  </si>
  <si>
    <t>Nur mit Talent 'Fernkampfgeschick Stufe 3' ueber die Basis 21 steigerbar. Quelle: NN NPC-Rechner 0.76 Talente + Nutzerbestaetigung. Kein MIN()-Deckel.</t>
  </si>
  <si>
    <t>fk_meisterlich_boegen</t>
  </si>
  <si>
    <t>Fernkampf-Meisterliche-Wert Bögen</t>
  </si>
  <si>
    <t>WENN(talente_fernkampfgeschick_stufe_3&gt;0;21+AUFRUNDEN(fk_basis_boegen/20;0);21)</t>
  </si>
  <si>
    <t>fk_meisterlich_schusswaffen</t>
  </si>
  <si>
    <t>Fernkampf-Meisterliche-Wert Schusswaffen</t>
  </si>
  <si>
    <t>WENN(talente_fernkampfgeschick_stufe_3&gt;0;21+AUFRUNDEN(fk_basis_schusswaffen/20;0);21)</t>
  </si>
  <si>
    <t>fk_meisterlich_wurfwaffen</t>
  </si>
  <si>
    <t>Fernkampf-Meisterliche-Wert Wurfwaffen</t>
  </si>
  <si>
    <t>WENN(talente_fernkampfgeschick_stufe_3&gt;0;21+AUFRUNDEN(fk_basis_wurfwaffen/20;0);21)</t>
  </si>
  <si>
    <t>#gewichtsbelastung</t>
  </si>
  <si>
    <t>GBE</t>
  </si>
  <si>
    <t>MAX(0;RBE)</t>
  </si>
  <si>
    <t>Nutzerangabe 2026-07-16, per Regelkorrektur 2026-07-17 aktualisiert: GBE (Gewichtsbelastung) ist die Summe aus ZWEI Quellen. Ausruestungs-Gewichts-Komponente fehlt komplett. (1) Ruestungs-Komponente: eine Ruestungslage verursacht keine direkte Behinderung, sondern RH (Ruestungshinderlichkeit) - Einzel-Lagen-RH = RH-Basis(Ruestungsteil) + RH-Mod(Verarbeitung) + RH-Mod(Anpassung), je MAX(Lage; ...) - siehe Ruestung-Basis-Formel. RHg = Summe aller RH-Werte ueber alle 4 Koerperzonen. Daraus: RBE = (RHg - ((Kon/5 + Staerke)/2 + sf_ruestungsmanoever)) / 6 = die tatsaechliche Ruestungsbehinderung. (2) Ausruestungs-Komponente: Gewicht der getragenen/mitgefuehrten Gegenstaende (Preisliste-Gewichte), Schwellenwerte siehe gbe_unbelastet...gbe_ausgeruestet. BEIDE Komponenten sowie ihre Summe sind laut Nutzer Kampfmodul-Scope (setzt Laufzeit-Inventar/-Ruestungswahl voraus), nicht Teil der Charaktererstellung.</t>
  </si>
  <si>
    <t>startbudget_ausruestung_gehoben</t>
  </si>
  <si>
    <t>Startbudget Ausruestung (gehobener Start)</t>
  </si>
  <si>
    <t>In Dublonen. Gilt bei 'gehobenem Start' auf Stufe 15 statt des regulaeren Startbudgets. 1 Dublone = 1000 Fuffzisch. Meister kann Kosten mit % anpassen (App-Verhalten, nicht Formel).</t>
  </si>
  <si>
    <t>6000</t>
  </si>
  <si>
    <t>nk_spez_hiebwaffen_beidhand_hiebwaffen</t>
  </si>
  <si>
    <t>-&gt; Beidhand-Hiebwaffen</t>
  </si>
  <si>
    <t>nk_hiebwaffen</t>
  </si>
  <si>
    <t>nk_pool_hiebwaffen_beidhand_hiebwaffen</t>
  </si>
  <si>
    <t>Pool Beidhand-Hiebwaffen</t>
  </si>
  <si>
    <t>nk_spez_hiebwaffen_beidhand_hiebwaffen+MAX(0;(eig_g_mut+eig_k_athletik+nk_hiebwaffen)/3-20)+MAX(0;(eig_k_athletik+eig_k_schnelligkeit+nk_hiebwaffen)/3-20)</t>
  </si>
  <si>
    <t>#spruchmagie_erdbeschwoerung_3_steinkugel_salve</t>
  </si>
  <si>
    <t>Steinkugel-Salve</t>
  </si>
  <si>
    <t>Der Magus erschafft {Magie} : 2 Bälle aus Erde. Schaden: 2W4 + {Magie}, RB 6.</t>
  </si>
  <si>
    <t>#spruchmagie_erdbeschwoerung_3_steinkugel_salve_nr</t>
  </si>
  <si>
    <t>Steinkugel-Salve NR</t>
  </si>
  <si>
    <t>Der Magus erschafft {Magie} : 2 Bälle aus einem Element. Bis {M}:2 m Glücks-Probe, ab {M}:2 m Ausweichen-Probe, um dem Schaden zu entgehen. Treffer auf FK-TZ (W30). Fluggeschwindigkeit ist {M}:2 m/s. Schaden: 2W6 + {Magie}; RB 3 Pro 2 sec zusätzlicher Zauberdauer (max. {Magie}+1 sec) kann der Magus den Schaden um 1W6 und RB 3 erhöhen.</t>
  </si>
  <si>
    <t>#spruchmagie_erdbeschwoerung_4_steinschuss_salve</t>
  </si>
  <si>
    <t>Steinschuss-Salve</t>
  </si>
  <si>
    <t>Der Magus erschafft {Magie} : 2 Bolzen aus Erde. Treffer auf FK-TZ, Schaden: 2W6 + {Magie}; RB: 6 + {Magie}*2</t>
  </si>
  <si>
    <t>#spruchmagie_erdbeschwoerung_4_steinschuss_salve_nr</t>
  </si>
  <si>
    <t>Steinschuss-Salve NR</t>
  </si>
  <si>
    <t>Der Magus erschafft {Magie} : 2 Bolzen aus einem Element. Bis {M}m Glücks-Probe, bis {M}*2m AW:2, danach AW, um dem Schaden zu entgehen. Fluggeschwindigkeit ist {M}m/s. Treffer auf FK (W30). Schaden: 2W8 + {Magie}; RB: {Magie}*2 + 4</t>
  </si>
  <si>
    <t>#spruchmagie_erdbeschwoerung_6_grosse_steinkugel_salve</t>
  </si>
  <si>
    <t>Große Steinkugel-Salve</t>
  </si>
  <si>
    <t>Der Magus erschafft {Magie} : 2 Bälle aus Erde. W12 + {Magie}, RB 5, auf jede Trefferzone.</t>
  </si>
  <si>
    <t>#spruchmagie_erdbeschwoerung_6_grosse_steinkugel_salve_nr</t>
  </si>
  <si>
    <t>Große Steinkugel-Salve NR</t>
  </si>
  <si>
    <t>Der Magus erschafft {Magie} : 2 Bälle aus einem Element. Bis {M}:2 m Glücks-Probe, ab {M}:2 m Ausweichen-Probe, um dem Schaden zu entgehen. Treffer auf FK-TZ (W30). Fluggeschwindigkeit ist {M}:2 m/s. Schaden: W15 + {Magie}*2, RB 21 auf jede Trefferzone.</t>
  </si>
  <si>
    <t>#spruchmagie_feuerbeschwoerung_3_feuerball_salve</t>
  </si>
  <si>
    <t>Feuerball-Salve</t>
  </si>
  <si>
    <t>Der Magus erschafft {Magie} : 2 Bälle aus Feuer. Schaden: 2W6 + {Magie}.</t>
  </si>
  <si>
    <t>#spruchmagie_feuerbeschwoerung_3_feuerball_salve_nr</t>
  </si>
  <si>
    <t>Feuerball-Salve NR</t>
  </si>
  <si>
    <t>Der Magus erschafft {Magie} : 2 Bälle aus Feue.  Bis {M}:2 m Glücks-Probe, ab {M}:2 m Ausweichen-Probe, um dem Schaden zu entgehen. Treffer auf FK-TZ (W30). Fluggeschwindigkeit ist {M}:2 m/s.   Schaden: 2W8 + {Magie} Pro 2 sec zusätzlicher Zauberdauer (max. {Magie}+1 sec) kann der Magus den Schaden um 1W8 erhöhen.</t>
  </si>
  <si>
    <t>#spruchmagie_feuerbeschwoerung_4_feuerpfeil_salve</t>
  </si>
  <si>
    <t>Feuerpfeil-Salve</t>
  </si>
  <si>
    <t>Der Magus erschafft {Magie} : 2 Bolzen aus Feuer. Treffer auf FK-TZ, Schaden: 2W8 + {Magie}; RB: {Magie}*2</t>
  </si>
  <si>
    <t>#spruchmagie_feuerbeschwoerung_4_feuerpfeil_salve_nr</t>
  </si>
  <si>
    <t>Feuerpfeil-Salve NR</t>
  </si>
  <si>
    <t>Der Magus erschafft {Magie} : 2 Bolzen aus Feuer. Bis {M}m Glücks-Probe, bis {M}*2m AW:2, danach AW, um dem Schaden zu entgehen. Fluggeschwindigkeit ist {M}m/s. Treffer auf FK (W30). Schaden: 2W10 + {Magie}; RB: {Magie}*2</t>
  </si>
  <si>
    <t>#spruchmagie_feuerbeschwoerung_6_grosse_feuerball_salve</t>
  </si>
  <si>
    <t>Große Feuerball-Salve</t>
  </si>
  <si>
    <t>Der Magus erschafft {Magie} : 2 Bälle aus Feuer. W15 + {Magie} auf jede Trefferzone.</t>
  </si>
  <si>
    <t>#spruchmagie_feuerbeschwoerung_6_grosse_feuerball_salve_nr</t>
  </si>
  <si>
    <t>Große Feuerball-Salve NR</t>
  </si>
  <si>
    <t xml:space="preserve">Der Magus erschafft {Magie} : 2 Bälle aus Feuer.  Bis {M}:2 m Glücks-Probe, ab {M}:2 m Ausweichen-Probe, um dem Schaden zu entgehen. Treffer auf FK-TZ (W30). Fluggeschwindigkeit ist {M}:2 m/s.  Schaden: W20 + {Magie}*2 auf jede Trefferzone. </t>
  </si>
  <si>
    <t>#spruchmagie_luftbeschwoerung_3_sturmball_salve</t>
  </si>
  <si>
    <t>Sturmball-Salve</t>
  </si>
  <si>
    <t>Der Magus erschafft {Magie} : 2 Bälle aus Luft. Das Opfer muss eine KB-Probeablegen, um nicht in der selben KR um so viele Meter zurückgeschleudert zu werden, wie der jeweils höchste Schadenswürfel anzeigt. Schaden: 2W4 + {Magie}, Erschwerung der KB-Probe: -TP -6.</t>
  </si>
  <si>
    <t>#spruchmagie_luftbeschwoerung_3_sturmball_salve_nr</t>
  </si>
  <si>
    <t>Sturmball-Salve NR</t>
  </si>
  <si>
    <t>Der Magus erschafft {Magie} : 2 Bälle aus Luft.  Bis {M}:2 m Glücks-Probe, ab {M}:2 m Ausweichen-Probe, um dem Schaden zu entgehen. Treffer auf FK-TZ (W30). Fluggeschwindigkeit ist {M}:2 m/s.   Schaden: 2W4 + {Magie} Ziel wird TP*m weggeschleudert; Ath-Probe erschwert um TP, sonst W8 Sturzschaden auf FK-TZ (W30). Pro 2 sec zusätzlicher Zauberdauer (max. {Magie}+1 sec) kann der Magus den Schaden um 1W4 erhöhen.</t>
  </si>
  <si>
    <t>#spruchmagie_luftbeschwoerung_4_sturmpfeil_salve</t>
  </si>
  <si>
    <t>Sturmpfeil-Salve</t>
  </si>
  <si>
    <t>Der Magus erschafft {Magie} : 2 Bolzen aus Luft. Treffer auf FK-TZ. Das Opfer muss eine KB-Probeablegen, um nicht in der selben KR um so viele Meter zurückgeschleudert zu werden, wie der jeweils höchste Schadenswürfel anzeigt. Schaden: 2W6 + {Magie}; RB {Magie}*2, Erschwerung der KB-Probe: -TP -6.</t>
  </si>
  <si>
    <t>#spruchmagie_luftbeschwoerung_4_sturmpfeil_salve_nr</t>
  </si>
  <si>
    <t>Sturmpfeil-Salve NR</t>
  </si>
  <si>
    <t>Der Magus erschafft {Magie} : 2 Bolzen aus Luft. Bis {M}m Glücks-Probe, bis {M}*2m AW:2, danach AW, um dem Schaden zu entgehen. Fluggeschwindigkeit ist {M}m/s. Treffer auf FK (W30). Schaden: 2W6 + {Magie}; RB: {Magie}*2 Ziel wird TP*m weggeschleudert; Ath-Probe erschwert um TP, sonst W8 Sturzschaden auf FK-TZ (W30).</t>
  </si>
  <si>
    <t>#spruchmagie_luftbeschwoerung_6_grosse_sturmball_salve</t>
  </si>
  <si>
    <t>Große Sturmball-Salve</t>
  </si>
  <si>
    <t>Der Magus erschafft {Magie} : 2 Bälle aus Luft. Das Opfer muss eine KB-Probeablegen, um nicht in der selben KR um so viele Meter zurückgeschleudert zu werden, wie der jeweilige Schadenswürfel anzeigt. Schaden: W12 + {Magie} auf jede Trefferzone, Erschwerung der KB-Probe: -TP -35.</t>
  </si>
  <si>
    <t>#spruchmagie_luftbeschwoerung_6_grosse_sturmball_salve_nr</t>
  </si>
  <si>
    <t>Große Sturmball-Salve NR</t>
  </si>
  <si>
    <t>Der Magus erschafft {Magie} : 2 Bälle aus Luft.  Bis {M}:2 m Glücks-Probe, ab {M}:2 m Ausweichen-Probe, um dem Schaden zu entgehen. Treffer auf FK-TZ (W30). Fluggeschwindigkeit ist {M}:2 m/s.  Schaden: W12 + {Magie}*2 auf jede Trefferzone  Ziel wird TP*m weggeschleudert; Ath-Probe erschwert um TP, sonst W8 Sturzschaden auf FK-TZ (W30).</t>
  </si>
  <si>
    <t>#spruchmagie_magiebeschwoerung_3_magische_ball_salve</t>
  </si>
  <si>
    <t>Magische Ball-Salve</t>
  </si>
  <si>
    <t>Der Magus erschafft {Magie} : 2 Bälle aus Magie. Schaden: 2W4 + {Magie}, zusätzliche Erschwerung der SB-Probe -6, wenn min. 1 SP erzielt wird.</t>
  </si>
  <si>
    <t>#spruchmagie_magiebeschwoerung_3_magische_ball_salve_nr</t>
  </si>
  <si>
    <t>Magische Ball-Salve NR</t>
  </si>
  <si>
    <t>Der Magus erschafft {Magie} : 2 Bälle aus Magie.  Bis {M}:2 m Glücks-Probe, ab {M}:2 m Ausweichen-Probe, um dem Schaden zu entgehen. Treffer auf FK-TZ (W30). Fluggeschwindigkeit ist {M}:2 m/s.  Schaden: 2W6 + {Magie}; SB-Proben um 4 erschwert. Pro 2 sec zusätzlicher Zauberdauer (max. {Magie}+1 sec) kann der Magus den Schaden um 1W6 erhöhen und SB-Proben um 4 erschweren.</t>
  </si>
  <si>
    <t>#spruchmagie_magiebeschwoerung_4_magische_geschoss_salve</t>
  </si>
  <si>
    <t>Magische Geschoss-Salve</t>
  </si>
  <si>
    <t>Der Magus erschafft {Magie} : 2 Bolzen aus Magie. Treffer auf FK-TZ, Schaden: 2W6 + {Magie}; RB {Magie}*2, zusätzliche Erschwerung der SB-Probe -6, wenn min. 1 SP erzielt wird.</t>
  </si>
  <si>
    <t>#spruchmagie_magiebeschwoerung_4_magische_geschoss_salve_nr</t>
  </si>
  <si>
    <t>Magische Geschoss-Salve NR</t>
  </si>
  <si>
    <t>Der Magus erschafft {Magie} : 2 Bolzen aus Magie. Bis {M}m Glücks-Probe, bis {M}*2m AW:2, danach AW, um dem Schaden zu entgehen. Fluggeschwindigkeit ist {M}m/s. Treffer auf FK (W30). Schaden: 2W8 + {Magie}; RB: {Magie}*2 SB-Proben um 4 erschwert.</t>
  </si>
  <si>
    <t>#spruchmagie_magiebeschwoerung_6_grosse_magische_ball_salve</t>
  </si>
  <si>
    <t>Große Magische Ball-Salve</t>
  </si>
  <si>
    <t>Der Magus erschafft {Magie} : 2 Bälle aus Magie. W12 + {Magie} auf jede Trefferzone, zusätzliche Erschwerung der SB-Probe -35, wenn min. 1 SP erzielt wird.</t>
  </si>
  <si>
    <t>#spruchmagie_magiebeschwoerung_6_grosse_magische_ball_salve_nr</t>
  </si>
  <si>
    <t>Große Magische Ball-Salve NR</t>
  </si>
  <si>
    <t>Der Magus erschafft {Magie} : 2 Bälle aus Magie.  Bis {M}:2 m Glücks-Probe, ab {M}:2 m Ausweichen-Probe, um dem Schaden zu entgehen. Treffer auf FK-TZ (W30). Fluggeschwindigkeit ist {M}:2 m/s.  Schaden: W15 + {Magie}*2 auf jede Trefferzone,  SB-Proben um 42 erschwert.</t>
  </si>
  <si>
    <t>#spruchmagie_verzauberung_2_mana_fernspende</t>
  </si>
  <si>
    <t>Mana-Fernspende</t>
  </si>
  <si>
    <t>Verzauberung</t>
  </si>
  <si>
    <t xml:space="preserve">Der Magus überträgt dem Ziel 10 Mana/sec, max. {M}*2 Mana. Das übertragene Mana ist astral als Verbindung zwischen den Köpfen von Magus und Ziel sichtbar. Das Mana, das vom Ziel nicht mehr aufgenommen werden kann, verfällt. </t>
  </si>
  <si>
    <t>#spruchmagie_verzauberung_3_blitz_klinge_v</t>
  </si>
  <si>
    <t>Blitz-Klinge (V)</t>
  </si>
  <si>
    <t>Eine Waffe erhält zusätzliche Schadenswirkung entsprechend der Magie des Magus:1=W4 SB 3, 2=W6 SB 3, 3=W8 SB 3, 4=W10 SB 3, 5=W12 SB 4, 6=W15 SB 7, 7=W20 SB 13, 8=W30 SB 14; alle +{Magie}</t>
  </si>
  <si>
    <t>#spruchmagie_verzauberung_3_erd_klinge_v</t>
  </si>
  <si>
    <t>Erd-Klinge (V)</t>
  </si>
  <si>
    <t>Eine Waffe erhält zusätzliche Schadenswirkung entsprechend der Magie des Magus:1=W4 RB 2, 2=W6 RB 2, 3=W8 RB 2, 4=W10 RB 2, 5=W12 RB 3, 6=W15 RB 4, 7=W20 RB 8, 8=W30 RB 9; alle +{Magie}</t>
  </si>
  <si>
    <t>#spruchmagie_verzauberung_3_feuer_klinge_v</t>
  </si>
  <si>
    <t>Feuer-Klinge (V)</t>
  </si>
  <si>
    <t>Eine Waffe erhält zusätzliche Schadenswirkung entsprechend der Magie des Magus:1=W6, 2=W8, 3=W10, 4=W12, 5=W15, 6=W20, 7=W30, 8=2W20; alle +{Magie}</t>
  </si>
  <si>
    <t>#spruchmagie_verzauberung_3_flammen_pfeil_v</t>
  </si>
  <si>
    <t>Flammen-Pfeil (V)</t>
  </si>
  <si>
    <t>Ein Pfeil erhält zusätzliche Schadenswirkung entsprechend der Magie des Magus:1=W6, 2=W8, 3=W10, 4=W12, 5=W15, 6=W20, 7=W30, 8=2W20; alle +{Magie}</t>
  </si>
  <si>
    <t>#spruchmagie_verzauberung_3_frost_klinge_v</t>
  </si>
  <si>
    <t>Frost-Klinge (V)</t>
  </si>
  <si>
    <t>Eine Waffe erhält zusätzliche Schadenswirkung entsprechend der Magie des Magus:1=W4, 2=W6, 3=W8, 4=W10, 5=W12, 6=W15, 7=W20, 8=W30; alle +{Magie}. Pro 5 TP erleidet das Opfer eine BE von 1.</t>
  </si>
  <si>
    <t>#spruchmagie_verzauberung_3_frost_pfeil_v</t>
  </si>
  <si>
    <t>Frost-Pfeil (V)</t>
  </si>
  <si>
    <t>Ein Pfeil erhält eine zusätzliche Schadenswirkung entsprechend der Magie des Magus:1=W4, 2=W6, 3=W8, 4=W10, 5=W12, 6=W15, 7=W20, 8=W30; alle +MagiePro 5 TP erleidet das Opfer eine BE von 1.</t>
  </si>
  <si>
    <t>#spruchmagie_verzauberung_3_luft_klinge_v</t>
  </si>
  <si>
    <t>Luft-Klinge (V)</t>
  </si>
  <si>
    <t>Eine Waffe erhält zusätzliche Schadenswirkung entsprechend der Magie des Magus: 1=W3, 2=W4, 3=W6, 4=W8, 5=W10, 6=W12, 7=W15, 8=W20; alle +{Magie}. Ziel wird TP*m weggeschleudert; Ath-Probe erschwert um TP, sonst W8 Sturzschaden auf FK-TZ (W30).</t>
  </si>
  <si>
    <t>#spruchmagie_verzauberung_3_schock_pfeil_v</t>
  </si>
  <si>
    <t>Schock-Pfeil (V)</t>
  </si>
  <si>
    <t>Ein Pfeil erhält zusätzliche Schadenswirkung entsprechend der Magie des Magus: 1=W4 SB 3, 2=W6 SB 3, 3=W8 SB 3, 4=W10 SB 3, 5=W12 SB 4, 6=W15 SB 7, 7=W20 SB 13, 8=W30 SB 14; alle +{Magie}</t>
  </si>
  <si>
    <t>#spruchmagie_verzauberung_3_splitter_pfeil_v</t>
  </si>
  <si>
    <t>Splitter-Pfeil (V)</t>
  </si>
  <si>
    <t>Ein Pfeil erhält zusätzliche Schadenswirkung entsprechend der Magie des Magus: 1=W4 RB 2, 2=W6 RB 2, 3=W8 RB 2, 4=W10 RB 2, 5=W12 RB 3, 6=W15 RB 4, 7=W20 RB 8, 8=W30 RB 9; alle +{Magie}</t>
  </si>
  <si>
    <t>#spruchmagie_verzauberung_3_sturm_pfeil_v</t>
  </si>
  <si>
    <t>Sturm-Pfeil (V)</t>
  </si>
  <si>
    <t>Ein Pfeil erhält zusätzliche Schadenswirkung entsprechend der Magie des Magus: 1=W3, 2=W4, 3=W6, 4=W8, 5=W10, 6=W12, 7=W15, 8=W20; alle +{Magie}. Ziel wird TP*m weggeschleudert; Ath-Probe erschwert um TP, sonst W8 Sturzschaden auf FK-TZ (W30).</t>
  </si>
  <si>
    <t>#spruchmagie_wasserbeschwoerung_3_eisball_salve</t>
  </si>
  <si>
    <t>Eisball-Salve</t>
  </si>
  <si>
    <t>Der Magus erschafft {Magie} : 2 Bälle aus Wasser. Schaden: 2W4 + {Magie}. Pro 5 TP erleidet das Opfer zusätzliche BE 1, nur die höchste so erzielte BE zählt.</t>
  </si>
  <si>
    <t>#spruchmagie_wasserbeschwoerung_3_eisball_salve_nr</t>
  </si>
  <si>
    <t>Eisball-Salve NR</t>
  </si>
  <si>
    <t>Der Magus erschafft {Magie} : 2 Bälle aus Eis.  Bis {M}:2 m Glücks-Probe, ab {M}:2 m Ausweichen-Probe, um dem Schaden zu entgehen. Treffer auf FK-TZ (W30). Fluggeschwindigkeit ist {M}:2 m/s.  Schaden: 2W6 + {Magie} Pro 2 sec zusätzlicher Zauberdauer (max. {Magie}+1 sec) kann der Magus den Schaden um 1W6 erhöhen. Pro 5 TP erleidet das Opfer BE 1 für {M} sec.</t>
  </si>
  <si>
    <t>#spruchmagie_wasserbeschwoerung_4_frostbolzen_salve</t>
  </si>
  <si>
    <t>Frostbolzen-Salve</t>
  </si>
  <si>
    <t>Der Magus erschafft {Magie} : 2 Bolzen aus Wasser. Treffer auf FK-TZ, Schaden: 2W6 + {Magie}; RB: {Magie}*2. Pro 5 TP erleidet das Opfer zusätzliche BE 1, nur die höchste so erzielte BE zählt.</t>
  </si>
  <si>
    <t>#spruchmagie_wasserbeschwoerung_4_frostbolzen_salve_nr</t>
  </si>
  <si>
    <t>Frostbolzen-Salve NR</t>
  </si>
  <si>
    <t>Der Magus erschafft {Magie} : 2 Bolzen aus Eis. Bis {M}m Glücks-Probe, bis {M}*2m AW:2, danach AW, um dem Schaden zu entgehen. Fluggeschwindigkeit ist {M}m/s. Treffer auf FK (W30). Schaden: 2W8 + {Magie}; RB: {Magie}*2 Pro 5 TP erleidet das Opfer BE 1 für {M} sec.</t>
  </si>
  <si>
    <t>#spruchmagie_wasserbeschwoerung_6_grosse_eisball_salve</t>
  </si>
  <si>
    <t>Große Eisball-Salve</t>
  </si>
  <si>
    <t>Der Magus erschafft {Magie} : 2 Bälle aus Wasser. W12 + {Magie} auf jede Trefferzone. Pro 5 TP erleidet das Opfer zusätzliche BE 1, nur die höchste so erzielte BE zählt.</t>
  </si>
  <si>
    <t>#spruchmagie_wasserbeschwoerung_6_grosse_eisball_salve_nr</t>
  </si>
  <si>
    <t>Große Eisball-Salve NR</t>
  </si>
  <si>
    <t xml:space="preserve">Der Magus erschafft {Magie} : 2 Bälle aus Eis.  Bis {M}:2 m Glücks-Probe, ab {M}:2 m Ausweichen-Probe, um dem Schaden zu entgehen. Treffer auf FK-TZ (W30). Fluggeschwindigkeit ist {M}:2 m/s.  Schaden: W15 + {Magie}*2 auf jede Trefferzone. Pro 5 TP erleidet das Opfer BE 1 für {M} sec.  </t>
  </si>
  <si>
    <t>#spruchmagie_z_beherrschung_entwicklung_3_massen_aufmerksamkeit</t>
  </si>
  <si>
    <t>Massen-Aufmerksamkeit</t>
  </si>
  <si>
    <t>z_beherrschung_entwicklung</t>
  </si>
  <si>
    <t>Alle Ziele im Wirkungsbereich richten ihre gesamte Aufmerksamkeit schlagartig auf den Magier. Andere Ziele werden für die Zauberdauer vergessen. Ist der Magus ein Feind, so greift das Opfer nur den Magus an. Sobald das Opfer Schaden erleidet oder erkennt, dass es sich in Lebensgefahr befindet, fällt der Zauber.  Widerstandswurf: Intelligenz; alle {Magie} * sec eine weitere.</t>
  </si>
  <si>
    <t>#spruchmagie_z_beherrschung_entwicklung_3_massen_beruhigung</t>
  </si>
  <si>
    <t>Massen-Beruhigung</t>
  </si>
  <si>
    <t xml:space="preserve">Alle Ziele im Wirkungsbereich werden ruhig und gelassen und verlieren jegliches Interesse an Gewalt. Konflikte werden eher mit Worten ausgetragen. Manche Personen sind aufgrund bestimmter Psychosen immun gegen die Zauberwirkung. Nach einer erfolgreichen Gegenprobe oder nach Ende der Wirkungsdauer verhält sich das Opfer wieder normal. Dieser Zauber hat keinerlei Einfluss auf das Gedächtnis. Widerstandswurf: Willenskraft ; alle {Magie} min eine weitere. </t>
  </si>
  <si>
    <t>#spruchmagie_z_beherrschung_entwicklung_3_massen_entscheidungshilfe</t>
  </si>
  <si>
    <t>Massen-Entscheidungshilfe</t>
  </si>
  <si>
    <t xml:space="preserve">Alle Ziele im Wirkungsbereich werden vom Magus bei einer „Ja oder Nein“-Entscheidung beeinflusst, bei der das Opfer sich über die Antwort unsicher ist. Dieser Zauber hat keinen Einfluss auf schon gefasste Entscheidungen.  Widerstandswurf: Willenskraft </t>
  </si>
  <si>
    <t>#spruchmagie_z_beherrschung_entwicklung_3_massen_verwirrung</t>
  </si>
  <si>
    <t>Massen-Verwirrung</t>
  </si>
  <si>
    <t>Alle Ziele im Wirkungsbereich vergessen für die Wirkungsdauer ihre Intentionen. Die Einstellung anderen gegenüber ändert sich nicht, einzig die beabsichtigte Handlung wird vergessen. Befindet sich das Opfer im Kampf, kann es nur noch parieren. Widerstandswurf: Intelligenz ; alle {Magie} : 2 sec eine weitere.</t>
  </si>
  <si>
    <t>#spruchmagie_z_beherrschung_entwicklung_4_massen_angst</t>
  </si>
  <si>
    <t>Massen-Angst</t>
  </si>
  <si>
    <t xml:space="preserve">Alle Ziele im Wirkungsbereich werden von panischer Angst vor dem Magus oder einem vom Magus bestimmten Gegenstand erfüllt. Das Opfer handelt seiner Natur entsprechend: Meist versuchen Opfer so schnell wie möglich das Weite zu suchen, bis sie sich sicher fühlen (frühestens nach {Magie} min). In einer ausweglosen Situation greifen sie nach einer bestandenen Mut-Bonus-Probe an, ansonsten erstarren sie vor Angst. Widerstandswurf:  Intelligenz ; alle {Magie} * sec eine weitere. </t>
  </si>
  <si>
    <t>#spruchmagie_z_beherrschung_entwicklung_4_massen_konfusion</t>
  </si>
  <si>
    <t>Massen-Konfusion</t>
  </si>
  <si>
    <t>Alle Ziele im Wirkungsbereich vergessen vollkommen, wer seine Freunde oder Feinde sind und greifen ein zufälliges Ziel an, wenn sie sich bereits im Kampf befinden. Widerstandswurf: Willenskraft ; alle {Magie} * sec eine weitere.</t>
  </si>
  <si>
    <t>#spruchmagie_z_beherrschung_entwicklung_4_menschen_befehl</t>
  </si>
  <si>
    <t>Menschen-Befehl</t>
  </si>
  <si>
    <t xml:space="preserve">Das Opfer muss sofort einen Befehl des Magiers befolgen. Der Befehl muss sofort ausführbar sein. Der Befehl darf das Opfer nicht in direkte Lebensgefahr bringen. Gerät das Opfer in Panik, fällt der Zauber automatisch. Widerstandswurf:  Willenskraft ; alle {Magie} * h eine weitere. </t>
  </si>
  <si>
    <t>#spruchmagie_z_beherrschung_entwicklung_5_massen_tierbefehl</t>
  </si>
  <si>
    <t>Massen-Tierbefehl</t>
  </si>
  <si>
    <t xml:space="preserve">Alle Ziele mit Intelligenz &lt;6 im Wirkungsbereich befolgen einen Befehl des Magiers erteilen. Die Tiere müssen den Befehl sofort ausführen. Ob das Tier den Befehl ausführen kann, bestimmen die Fähigkeiten des Tieres. Gerät das Tier in Panik, fällt der Zauber automatisch. Widerstandswurf: Willenskraft ; alle {Magie} * h eine weitere. </t>
  </si>
  <si>
    <t>#spruchmagie_z_beherrschung_entwicklung_5_massen_wut</t>
  </si>
  <si>
    <t>Massen-Wut</t>
  </si>
  <si>
    <t xml:space="preserve">Alle Ziele im Wirkungsbereich sind von unbändiger Wut erfüllt und greifen bei der kleinsten Provokation ein Ziel an, das ihm als feindlich erscheint. Ist kein solches Ziel vorhanden, richtet das Opfer seine Wut gewalttätig gegen Gegenstände oder gar Freunde (Intelligenz-Probe). Widerstandswurf: Willenskraft ; alle {Magie} * sec eine weitere. </t>
  </si>
  <si>
    <t>#spruchmagie_z_beherrschung_entwicklung_5_massen_zwang</t>
  </si>
  <si>
    <t>Massen-Zwang</t>
  </si>
  <si>
    <t xml:space="preserve">Allen Zielen im Wirkungsbereich wird eine Zwangshandlung auferlegt: Dem Opfer juckt der ganze Körper, es muss permanent husten oder lachen oder schreien usw. Das Opfer erleidet hierdurch eine Behinderung von {Magie}. Widerstandswurf: Willenskraft ; alle {Magie} min eine weitere. </t>
  </si>
  <si>
    <t>#spruchmagie_z_beherrschung_entwicklung_6_massen_feindschaft</t>
  </si>
  <si>
    <t>Massen-Feindschaft</t>
  </si>
  <si>
    <t>Alle Ziele im Wirkungsbereich werden von brennendem Hass gegenüber einem vom Magier bestimmten Ziel erfüllt. Je nach Veranlagung des Opfers wird es bei Provokationen gewalttätig. Widerstandswurf: Intelligenz ; alle {Magie} * sec eine weitere.</t>
  </si>
  <si>
    <t>#spruchmagie_z_beherrschung_entwicklung_6_massen_gier</t>
  </si>
  <si>
    <t>Massen-Gier</t>
  </si>
  <si>
    <t>Alle Ziele im Wirkungsbereich versuchen mit allen Mitteln, in den Besitz des vom Magier bestimmten Gegenstands zu kommen. Ob das Opfer Leib und Leben dafür aufs Spiel setzt, hängt von seiner Gesinnung ab. Widerstandswurf: Willenskraft ; alle {Magie} * sec eine weitere.</t>
  </si>
  <si>
    <t>#spruchmagie_z_beherrschung_entwicklung_6_massen_zonenzwang</t>
  </si>
  <si>
    <t>Massen-Zonenzwang</t>
  </si>
  <si>
    <t>Alle Ziele im Wirkungsbereich können einen Bereich von {M} m Radius nicht aus freiem Willenskraften verlassen. Wird es dazu gezwungen, wehrt es sich. Wird es mit Gewalt über die Zonengrenze befördert, erleidet es eine Behinderung von {Magie}, die pro 15 min um einen Punkt reduziert wird. Widerstandswurf: Willenskraft ; alle {Magie} min eine weitere.</t>
  </si>
  <si>
    <t>#spruchmagie_z_beherrschung_entwicklung_7_massen_paralyse</t>
  </si>
  <si>
    <t>Massen-Paralyse</t>
  </si>
  <si>
    <t>Alle Ziele im Wirkungsbereich sind vollständig paralysiert. Lebensnotwendige Organe arbeiten weiterhin. Opfer nehmen weiterhin alles wahr, was um es passiert. Befindet es sich in Bewegung, erleidet es Fallschaden nach Maßgabe des Meisters. Widerstandswurf: Stärke ; alle {Magie} * sec eine weitere.</t>
  </si>
  <si>
    <t>#spruchmagie_z_beherrschung_entwicklung_7_massen_sinneseinschraenkung</t>
  </si>
  <si>
    <t>Massen-Sinneseinschränkung</t>
  </si>
  <si>
    <t>Alle Ziele im Wirkungsbereich sind entweder vollständig Blind oder vollständig Taub, je nach Maßgabe des Magiers. Widerstandswurf: Sinnesschärfe ; alle {Magie} * sec eine weitere.</t>
  </si>
  <si>
    <t>talente_attributs_maximum_erhoehen__aura</t>
  </si>
  <si>
    <t>Attributs-Maximum erhöhen +1 AURA</t>
  </si>
  <si>
    <t>Das Attributs-Maximum wird um 1 erhöht.</t>
  </si>
  <si>
    <t>talente_attributs_maximum_erhoehen__glueck</t>
  </si>
  <si>
    <t>Attributs-Maximum erhöhen +1 GLÜCK</t>
  </si>
  <si>
    <t>talente_attributs_maximum_erhoehen__karma</t>
  </si>
  <si>
    <t>Attributs-Maximum erhöhen +1 KARMA</t>
  </si>
  <si>
    <t>talente_attributs_maximum_erhoehen__magie</t>
  </si>
  <si>
    <t>Attributs-Maximum erhöhen +1 MAGIE</t>
  </si>
  <si>
    <t>talente_attributs_maximum_erhoehen__vitalitaet</t>
  </si>
  <si>
    <t>Attributs-Maximum erhöhen +1 VITALITÄT</t>
  </si>
  <si>
    <t>talente_ki_meister</t>
  </si>
  <si>
    <t>KI-Meister</t>
  </si>
  <si>
    <t>KI-Adept</t>
  </si>
  <si>
    <t>Erhöht das Maximum aller KI-Fähigkeiten um +18</t>
  </si>
  <si>
    <t>talente_magus_stufe_1_antimagie_magus</t>
  </si>
  <si>
    <t>Magus Stufe 1: Antimagie-Magus</t>
  </si>
  <si>
    <t>Magier</t>
  </si>
  <si>
    <t>Zaubermaximum +6 für eine Schule. Kann für jede Schule einmal gekauft werden.</t>
  </si>
  <si>
    <t>talente_magus_stufe_1_beherrschungs_magus</t>
  </si>
  <si>
    <t>Magus Stufe 1: Beherrschungs-Magus</t>
  </si>
  <si>
    <t>talente_magus_stufe_1_erdbeschwoerungs_magus</t>
  </si>
  <si>
    <t>Magus Stufe 1: Erdbeschwörungs-Magus</t>
  </si>
  <si>
    <t>talente_magus_stufe_1_feuerbeschwoerungs_magus</t>
  </si>
  <si>
    <t>Magus Stufe 1: Feuerbeschwörungs-Magus</t>
  </si>
  <si>
    <t>talente_magus_stufe_1_heilungs_magus</t>
  </si>
  <si>
    <t>Magus Stufe 1: Heilungs-Magus</t>
  </si>
  <si>
    <t>talente_magus_stufe_1_hellsicht_magus</t>
  </si>
  <si>
    <t>Magus Stufe 1: Hellsicht-Magus</t>
  </si>
  <si>
    <t>talente_magus_stufe_1_illusions_magus</t>
  </si>
  <si>
    <t>Magus Stufe 1: Illusions-Magus</t>
  </si>
  <si>
    <t>talente_magus_stufe_1_luftbeschwoerungs_magus</t>
  </si>
  <si>
    <t>Magus Stufe 1: Luftbeschwörungs-Magus</t>
  </si>
  <si>
    <t>talente_magus_stufe_1_magiebeschwoerungs_magus</t>
  </si>
  <si>
    <t>Magus Stufe 1: Magiebeschwörungs-Magus</t>
  </si>
  <si>
    <t>talente_magus_stufe_1_veraenderungs_magus</t>
  </si>
  <si>
    <t>Magus Stufe 1: Veränderungs-Magus</t>
  </si>
  <si>
    <t>talente_magus_stufe_1_verzauberungs_magus</t>
  </si>
  <si>
    <t>Magus Stufe 1: Verzauberungs-Magus</t>
  </si>
  <si>
    <t>talente_magus_stufe_1_wasserbeschwoerungs_magus</t>
  </si>
  <si>
    <t>Magus Stufe 1: Wasserbeschwörungs-Magus</t>
  </si>
  <si>
    <t>talente_magus_stufe_2_antimagies_grossmagus</t>
  </si>
  <si>
    <t>Magus Stufe 2: Antimagies-Großmagus</t>
  </si>
  <si>
    <t>Zaubermaximum +12 für eine Schule. Kann für jede Schule einmal gekauft werden.</t>
  </si>
  <si>
    <t>talente_magus_stufe_2_beherrschungs_grossmagus</t>
  </si>
  <si>
    <t>Magus Stufe 2: Beherrschungs-Großmagus</t>
  </si>
  <si>
    <t>talente_magus_stufe_2_erdbeschwoerungs_grossmagus</t>
  </si>
  <si>
    <t>Magus Stufe 2: Erdbeschwörungs-Großmagus</t>
  </si>
  <si>
    <t>talente_magus_stufe_2_feuerbeschwoerungs_grossmagus</t>
  </si>
  <si>
    <t>Magus Stufe 2: Feuerbeschwörungs-Großmagus</t>
  </si>
  <si>
    <t>talente_magus_stufe_2_heilungs_grossmagus</t>
  </si>
  <si>
    <t>Magus Stufe 2: Heilungs-Großmagus</t>
  </si>
  <si>
    <t>talente_magus_stufe_2_hellsicht_grossmagus</t>
  </si>
  <si>
    <t>Magus Stufe 2: Hellsicht-Großmagus</t>
  </si>
  <si>
    <t>talente_magus_stufe_2_illusions_grossmagus</t>
  </si>
  <si>
    <t>Magus Stufe 2: Illusions-Großmagus</t>
  </si>
  <si>
    <t>talente_magus_stufe_2_luftbeschwoerungs_grossmagus</t>
  </si>
  <si>
    <t>Magus Stufe 2: Luftbeschwörungs-Großmagus</t>
  </si>
  <si>
    <t>talente_magus_stufe_2_magiebeschwoerungs_grossmagus</t>
  </si>
  <si>
    <t>Magus Stufe 2: Magiebeschwörungs-Großmagus</t>
  </si>
  <si>
    <t>talente_magus_stufe_2_veraenderungs_grossmagus</t>
  </si>
  <si>
    <t>Magus Stufe 2: Veränderungs-Großmagus</t>
  </si>
  <si>
    <t>talente_magus_stufe_2_verzauberungs_grossmagus</t>
  </si>
  <si>
    <t>Magus Stufe 2: Verzauberungs-Großmagus</t>
  </si>
  <si>
    <t>talente_magus_stufe_2_wasserbeschwoerungs_grossmagus</t>
  </si>
  <si>
    <t>Magus Stufe 2: Wasserbeschwörungs-Großmagus</t>
  </si>
  <si>
    <t>talente_magus_stufe_3_antimagies_erzmagus</t>
  </si>
  <si>
    <t>Magus Stufe 3: Antimagies-Erzmagus</t>
  </si>
  <si>
    <t>Zaubermaximum +18 für eine Schule. Kann für jede Schule einmal gekauft werden.</t>
  </si>
  <si>
    <t>talente_magus_stufe_3_beherrschungs_erzmagus</t>
  </si>
  <si>
    <t>Magus Stufe 3: Beherrschungs-Erzmagus</t>
  </si>
  <si>
    <t>talente_magus_stufe_3_erdbeschwoerungs_erzmagus</t>
  </si>
  <si>
    <t>Magus Stufe 3: Erdbeschwörungs-Erzmagus</t>
  </si>
  <si>
    <t>talente_magus_stufe_3_feuerbeschwoerungs_erzmagus</t>
  </si>
  <si>
    <t>Magus Stufe 3: Feuerbeschwörungs-Erzmagus</t>
  </si>
  <si>
    <t>talente_magus_stufe_3_heilungs_erzmagus</t>
  </si>
  <si>
    <t>Magus Stufe 3: Heilungs-Erzmagus</t>
  </si>
  <si>
    <t>talente_magus_stufe_3_hellsicht_erzmagus</t>
  </si>
  <si>
    <t>Magus Stufe 3: Hellsicht-Erzmagus</t>
  </si>
  <si>
    <t>talente_magus_stufe_3_illusions_erzmagus</t>
  </si>
  <si>
    <t>Magus Stufe 3: Illusions-Erzmagus</t>
  </si>
  <si>
    <t>talente_magus_stufe_3_luftbeschwoerungs_erzmagus</t>
  </si>
  <si>
    <t>Magus Stufe 3: Luftbeschwörungs-Erzmagus</t>
  </si>
  <si>
    <t>talente_magus_stufe_3_magiebeschwoerungs_erzmagus</t>
  </si>
  <si>
    <t>Magus Stufe 3: Magiebeschwörungs-Erzmagus</t>
  </si>
  <si>
    <t>talente_magus_stufe_3_veraenderungs_erzmagus</t>
  </si>
  <si>
    <t>Magus Stufe 3: Veränderungs-Erzmagus</t>
  </si>
  <si>
    <t>talente_magus_stufe_3_verzauberungs_erzmagus</t>
  </si>
  <si>
    <t>Magus Stufe 3: Verzauberungs-Erzmagus</t>
  </si>
  <si>
    <t>talente_magus_stufe_3_wasserbeschwoerungs_erzmagus</t>
  </si>
  <si>
    <t>Magus Stufe 3: Wasserbeschwörungs-Erzmagus</t>
  </si>
  <si>
    <t>talente_point_blank_shot</t>
  </si>
  <si>
    <t>Point-Blank Shot</t>
  </si>
  <si>
    <t>Schütze</t>
  </si>
  <si>
    <t>Wenn der Schütze im Nahkampf schießt, tut er dies mit einem Sofortschuss statt einem Hüftschuss, das Ziel ist hakenschlagend (insgesamt erschwert um 16).</t>
  </si>
  <si>
    <t>ssk_schrift_felinisch</t>
  </si>
  <si>
    <t>Feline Hieroglyphen</t>
  </si>
  <si>
    <t>SVERWEIS(wert;'Sprachstufe-Kosten';2;0)</t>
  </si>
  <si>
    <t>ssk_sprache_drow</t>
  </si>
  <si>
    <t>Drow</t>
  </si>
  <si>
    <t>ssk_sprache_elfisch</t>
  </si>
  <si>
    <t>Elfisch</t>
  </si>
  <si>
    <t>ssk_sprache_gnomisch</t>
  </si>
  <si>
    <t>Gnomisch</t>
  </si>
  <si>
    <t>ssk_sprache_goblinisch</t>
  </si>
  <si>
    <t>Goblinisch</t>
  </si>
  <si>
    <t>ssk_sprache_indianisch_10</t>
  </si>
  <si>
    <t>Indianisch 10</t>
  </si>
  <si>
    <t>ssk_sprache_indianisch_11</t>
  </si>
  <si>
    <t>Indianisch 11</t>
  </si>
  <si>
    <t>ssk_sprache_indianisch_12</t>
  </si>
  <si>
    <t>Indianisch 12</t>
  </si>
  <si>
    <t>ssk_sprache_indianisch_5</t>
  </si>
  <si>
    <t>Indianisch 5</t>
  </si>
  <si>
    <t>ssk_sprache_indianisch_6</t>
  </si>
  <si>
    <t>Indianisch 6</t>
  </si>
  <si>
    <t>ssk_sprache_indianisch_7</t>
  </si>
  <si>
    <t>Indianisch 7</t>
  </si>
  <si>
    <t>ssk_sprache_indianisch_8</t>
  </si>
  <si>
    <t>Indianisch 8</t>
  </si>
  <si>
    <t>ssk_sprache_indianisch_9</t>
  </si>
  <si>
    <t>Indianisch 9</t>
  </si>
  <si>
    <t>ssk_sprache_felinisch</t>
  </si>
  <si>
    <t>Felinisch</t>
  </si>
  <si>
    <t>ssk_sprache_orkisch</t>
  </si>
  <si>
    <t>Orkisch</t>
  </si>
  <si>
    <t>ssk_sprache_trollisch</t>
  </si>
  <si>
    <t>Trollisch</t>
  </si>
  <si>
    <t>ssk_sprache_zwergisch</t>
  </si>
  <si>
    <t>Zwergisch</t>
  </si>
  <si>
    <t>ssk_sprache_straitmor_indianisch</t>
  </si>
  <si>
    <t>Straitmor-Indianisch</t>
  </si>
  <si>
    <t>ssk_sprache_doxmox_indianisch</t>
  </si>
  <si>
    <t>Doxmox-Indianisch</t>
  </si>
  <si>
    <t>ssk_sprache_pakagee_indianisch</t>
  </si>
  <si>
    <t>Pakagee-Indianisch</t>
  </si>
  <si>
    <t>ssk_sprache_sindyala_indianisch</t>
  </si>
  <si>
    <t>Sindyala-Indianisch</t>
  </si>
  <si>
    <t>ssk_sprache_insel_dalkin</t>
  </si>
  <si>
    <t>Insel-Dalkin</t>
  </si>
  <si>
    <t>ssk_sprache_insel_dalkinisch</t>
  </si>
  <si>
    <t>Insel-Dalkinisch</t>
  </si>
  <si>
    <t>ssk_sprache_reichs_dalkin</t>
  </si>
  <si>
    <t>Reichs-Dalkin</t>
  </si>
  <si>
    <t>ssk_schrift_dalkini</t>
  </si>
  <si>
    <t>Dalkinische Schrift</t>
  </si>
  <si>
    <t>ssk_schrift_elfen</t>
  </si>
  <si>
    <t>Elfische Schrift</t>
  </si>
  <si>
    <t>ssk_schrift_gnome</t>
  </si>
  <si>
    <t>Gnomische Schrift</t>
  </si>
  <si>
    <t>ssk_schrift_zwerge</t>
  </si>
  <si>
    <t>Zwergische Schrift</t>
  </si>
  <si>
    <t>vn_krankheit_asthma</t>
  </si>
  <si>
    <t>Krankheit: Asthma</t>
  </si>
  <si>
    <t>Wird vom Meister vergeben, kein EP-Gewinn für den Spieler. Platzhalter - konkrete Krankheit muss noch inhaltlich entwickelt werden.</t>
  </si>
  <si>
    <t>bewegung_f_hochsprung</t>
  </si>
  <si>
    <t>Hochsprung</t>
  </si>
  <si>
    <t>(eig_k_staerke+eig_k_schnelligkeit+gr_springen)/40</t>
  </si>
  <si>
    <t>bewegung_f_weitsprung_aus_dem_stand</t>
  </si>
  <si>
    <t>Weitsprung aus dem Stand</t>
  </si>
  <si>
    <t>(eig_k_staerke+eig_k_schnelligkeit+gr_springen)/13+1</t>
  </si>
  <si>
    <t>bewegung_f_weitsprung_kurzer_anlauf</t>
  </si>
  <si>
    <t>Weitsprung kurzer Anlauf</t>
  </si>
  <si>
    <t>(eig_k_staerke+eig_k_schnelligkeit+gr_springen)/8+1</t>
  </si>
  <si>
    <t>bewegung_f_weitsprung_optimaler_anlauf</t>
  </si>
  <si>
    <t>Weitsprung optimaler Anlauf</t>
  </si>
  <si>
    <t>(eig_k_staerke+eig_k_athletik+gr_springen)/6+1</t>
  </si>
  <si>
    <t>bewegung_f_freiklettern</t>
  </si>
  <si>
    <t>Freiklettern</t>
  </si>
  <si>
    <t>(eig_k_staerke+eig_bonus_k_geschicklichkeit+eig_k_schnelligkeit+8*gr_klettern)/300</t>
  </si>
  <si>
    <t>bewegung_f_geschirrklettern</t>
  </si>
  <si>
    <t>Geschirrklettern</t>
  </si>
  <si>
    <t>(eig_k_staerke+eig_bonus_k_geschicklichkeit+eig_g_intelligenz+63*gr_klettern)/9000</t>
  </si>
  <si>
    <t>bewegung_f_dauerlauf</t>
  </si>
  <si>
    <t>(eig_k_konstitution+eig_k_athletik+gr_laufen)/9+1</t>
  </si>
  <si>
    <t>bewegung_fix_langsam_schwimmen</t>
  </si>
  <si>
    <t>Langsam Schwimmen</t>
  </si>
  <si>
    <t>0,3 m/s</t>
  </si>
  <si>
    <t>bewegung_fix_marschieren</t>
  </si>
  <si>
    <t>Marschieren</t>
  </si>
  <si>
    <t>1,5 m/s</t>
  </si>
  <si>
    <t>bewegung_fix_reiten_galopp</t>
  </si>
  <si>
    <t>Reiten Galopp</t>
  </si>
  <si>
    <t>je nach Pferd, ca. 10-15</t>
  </si>
  <si>
    <t>bewegung_fix_reiten_reisetempo</t>
  </si>
  <si>
    <t>Reiten Reisetempo</t>
  </si>
  <si>
    <t>2 m/s</t>
  </si>
  <si>
    <t>bewegung_fix_schnell_gehen</t>
  </si>
  <si>
    <t>Schnell Gehen</t>
  </si>
  <si>
    <t>2,5 m/s</t>
  </si>
  <si>
    <t>bewegung_fix_ueber_wasser_bleiben</t>
  </si>
  <si>
    <t>Über Wasser bleiben</t>
  </si>
  <si>
    <t>0,01 m/s</t>
  </si>
  <si>
    <t>macht</t>
  </si>
  <si>
    <t>Macht</t>
  </si>
  <si>
    <t>(M)</t>
  </si>
  <si>
    <t>att_aura+att_magie+att_weisheit+att_karma+kreis+eig_bonus_g_willenskraft</t>
  </si>
  <si>
    <t>dublonen_bank</t>
  </si>
  <si>
    <t>Dublonen bei der Bank</t>
  </si>
  <si>
    <t>S.1 1 Dublone = 1000 Fuffzisch.</t>
  </si>
  <si>
    <t>dublonen_bar</t>
  </si>
  <si>
    <t>Dublonen in bar</t>
  </si>
  <si>
    <t>ep_steigerungspunkte</t>
  </si>
  <si>
    <t>Steigerungspunkte</t>
  </si>
  <si>
    <t>ep_gesamt-ep_verbraucht</t>
  </si>
  <si>
    <t>ep_meister_erhalten</t>
  </si>
  <si>
    <t>Erhaltene Meister-EP</t>
  </si>
  <si>
    <t>Jeder Spieler kann selbst Meister sein und erhaelt dafuer Meister-EP, die er frei auf seine eigenen Charaktere verteilen darf - getrennt von den regulaeren Abenteuer-EP. Diese Zeile haelt fest, wie viele Meister-EP dieser Charakter insgesamt erhalten hat, damit Abenteuer-EP ('Gesamte Erfahrungspunkte') und Meister-EP nachvollziehbar auseinandergehalten werden koennen. (Nutzerangabe)</t>
  </si>
  <si>
    <t>gesundheit</t>
  </si>
  <si>
    <t>Gesundheit</t>
  </si>
  <si>
    <t>GES</t>
  </si>
  <si>
    <t>(eig_g_willenskraft+eig_k_konstitution+kreis)/3+att_vitalitaet</t>
  </si>
  <si>
    <t>le_arm_l</t>
  </si>
  <si>
    <t>Lebensenergie linker Arm</t>
  </si>
  <si>
    <t>(eig_k_konstitution/2+eig_k_staerke)/2+5</t>
  </si>
  <si>
    <t>le_arm_r</t>
  </si>
  <si>
    <t>Lebensenergie rechter Arm</t>
  </si>
  <si>
    <t>le_bein_l</t>
  </si>
  <si>
    <t>Lebensenergie linkes Bein</t>
  </si>
  <si>
    <t>eig_k_konstitution+8</t>
  </si>
  <si>
    <t>le_bein_r</t>
  </si>
  <si>
    <t>Lebensenergie rechtes Bein</t>
  </si>
  <si>
    <t>le_brust</t>
  </si>
  <si>
    <t>Lebensenergie Brust</t>
  </si>
  <si>
    <t>LE Brust</t>
  </si>
  <si>
    <t>(eig_k_staerke*2/5+eig_k_konstitution+att_vitalitaet)/2+10</t>
  </si>
  <si>
    <t>le_kopf</t>
  </si>
  <si>
    <t>Lebensenergie Kopf</t>
  </si>
  <si>
    <t>eig_k_konstitution/4+att_vitalitaet+4</t>
  </si>
  <si>
    <t>le_unterleib</t>
  </si>
  <si>
    <t>Lebensenergie Unterleib</t>
  </si>
  <si>
    <t>(eig_k_konstitution+att_vitalitaet)/2+8</t>
  </si>
  <si>
    <t>luft_anhalten</t>
  </si>
  <si>
    <t>(eig_g_willenskraft+eig_k_konstitution+gr_luft_anhalten*12)*3</t>
  </si>
  <si>
    <t>werfen_s</t>
  </si>
  <si>
    <t>Werfen: Gegenstand 0,1-0,5kg</t>
  </si>
  <si>
    <t>(eig_k_athletik+eig_k_staerke+gr_werfen)*2</t>
  </si>
  <si>
    <t>werfen_m</t>
  </si>
  <si>
    <t>Werfen: Gegenstand 0,5-1kg</t>
  </si>
  <si>
    <t>(eig_k_athletik+eig_k_staerke+gr_werfen)*1,5</t>
  </si>
  <si>
    <t>werfen_l</t>
  </si>
  <si>
    <t>Werfen: Gegenstand 1-2kg</t>
  </si>
  <si>
    <t>(eig_k_athletik+eig_k_staerke+gr_werfen)</t>
  </si>
  <si>
    <t>werfen_speer</t>
  </si>
  <si>
    <t>Werfen: Wurfspeer</t>
  </si>
  <si>
    <t>(eig_k_athletik+eig_k_schnelligkeit+gr_werfen)*1,5</t>
  </si>
  <si>
    <t>trefferschwelle</t>
  </si>
  <si>
    <t>Trefferschwelle</t>
  </si>
  <si>
    <t>att_vitalitaet+5</t>
  </si>
  <si>
    <t>Eigenschaftsbonus</t>
  </si>
  <si>
    <t>Intelligenz-Bonus</t>
  </si>
  <si>
    <t>Int.Bon</t>
  </si>
  <si>
    <t>AUFRUNDEN(eig_g_intelligenz/2;0)-5</t>
  </si>
  <si>
    <t>Mut-Bonus</t>
  </si>
  <si>
    <t>Mut.Bon</t>
  </si>
  <si>
    <t>AUFRUNDEN(eig_g_mut/2;0)-5</t>
  </si>
  <si>
    <t>Sinnesschärfe-Bonus</t>
  </si>
  <si>
    <t>Sin.Bon</t>
  </si>
  <si>
    <t>AUFRUNDEN(eig_g_sinneschaerfe/2;0)-5</t>
  </si>
  <si>
    <t>Willenskraft-Bonus</t>
  </si>
  <si>
    <t>Wil.Bon</t>
  </si>
  <si>
    <t>AUFRUNDEN(eig_g_willenskraft/2;0)-5</t>
  </si>
  <si>
    <t>Athletik-Bonus</t>
  </si>
  <si>
    <t>Ath.Bon</t>
  </si>
  <si>
    <t>AUFRUNDEN(eig_k_athletik/2;0)-5</t>
  </si>
  <si>
    <t>Ausstrahlungs-Bonus</t>
  </si>
  <si>
    <t>Aus.Bon</t>
  </si>
  <si>
    <t>AUFRUNDEN(eig_g_ausstrahlung/2;0)-5</t>
  </si>
  <si>
    <t>Geschicklichkeits-Bonus</t>
  </si>
  <si>
    <t>Ges.Bon</t>
  </si>
  <si>
    <t>AUFRUNDEN(eig_k_geschicklichkeit/2;0)-5</t>
  </si>
  <si>
    <t>Konstitutions-Bonus</t>
  </si>
  <si>
    <t>Kon.Bon</t>
  </si>
  <si>
    <t>AUFRUNDEN(eig_k_konstitution/2;0)-5</t>
  </si>
  <si>
    <t>Schnelligkeits-Bonus</t>
  </si>
  <si>
    <t>Sch.Bon</t>
  </si>
  <si>
    <t>AUFRUNDEN(eig_k_schnelligkeit/2;0)-5</t>
  </si>
  <si>
    <t>Stärke-Bonus</t>
  </si>
  <si>
    <t>Stä.Bon</t>
  </si>
  <si>
    <t>AUFRUNDEN(eig_k_staerke/2;0)-5</t>
  </si>
  <si>
    <t>fk_basis_spez_schusswaffen_armbrueste</t>
  </si>
  <si>
    <t>Fernkampf-Spezialisierungs-Wert Armbrust</t>
  </si>
  <si>
    <t>(eig_g_sinneschaerfe+eig_k_geschicklichkeit+fk_schusswaffen+fk_spez_schusswaffen_armbrueste)/4</t>
  </si>
  <si>
    <t>fk_basis_spez_feuerwaffen_musketen</t>
  </si>
  <si>
    <t>Fernkampf-Spezialisierungs-Wert Musketen</t>
  </si>
  <si>
    <t>(eig_g_sinneschaerfe+eig_k_geschicklichkeit+fk_feuerwaffen+fk_spez_feuerwaffen_musketen)/4</t>
  </si>
  <si>
    <t>fk_basis_spez_feuerwaffen_pistolen</t>
  </si>
  <si>
    <t>Fernkampf-Spezialisierungs-Wert Pistolen</t>
  </si>
  <si>
    <t>(eig_g_sinneschaerfe+eig_k_geschicklichkeit+fk_feuerwaffen+fk_spez_feuerwaffen_pistolen)/4</t>
  </si>
  <si>
    <t>fk_basis_spez_boegen_boegen</t>
  </si>
  <si>
    <t>Fernkampf-Spezialisierungs-Wert Bögen</t>
  </si>
  <si>
    <t>(eig_g_sinneschaerfe+eig_k_geschicklichkeit+fk_boegen+fk_spez_boegen_boegen)/4</t>
  </si>
  <si>
    <t>fk_basis_boegen</t>
  </si>
  <si>
    <t>Fernkampf-Basis-Wert Bögen</t>
  </si>
  <si>
    <t>(eig_g_sinneschaerfe+eig_k_geschicklichkeit+fk_boegen)/4</t>
  </si>
  <si>
    <t>fk_basis_schusswaffen</t>
  </si>
  <si>
    <t>Fernkampf-Basis-Wert Schusswaffen</t>
  </si>
  <si>
    <t>(eig_g_sinneschaerfe+eig_k_geschicklichkeit+fk_schusswaffen)/4</t>
  </si>
  <si>
    <t>fk_blasrohre</t>
  </si>
  <si>
    <t>Blasrohre</t>
  </si>
  <si>
    <t>wert*18</t>
  </si>
  <si>
    <t>fk_boegen</t>
  </si>
  <si>
    <t>Bögen</t>
  </si>
  <si>
    <t>fk_schusswaffen</t>
  </si>
  <si>
    <t>Schusswaffen</t>
  </si>
  <si>
    <t>fk_spez_blasrohre_blasrohre</t>
  </si>
  <si>
    <t>-&gt; Blasrohre</t>
  </si>
  <si>
    <t>fk_spez_boegen_boegen</t>
  </si>
  <si>
    <t>-&gt; Bögen</t>
  </si>
  <si>
    <t>fk_spez_schusswaffen_armbrueste</t>
  </si>
  <si>
    <t>-&gt; Armbrüste</t>
  </si>
  <si>
    <t>fk_spez_feuerwaffen_musketen</t>
  </si>
  <si>
    <t>-&gt; Musketen</t>
  </si>
  <si>
    <t>fk_feuerwaffen</t>
  </si>
  <si>
    <t>fk_spez_feuerwaffen_pistolen</t>
  </si>
  <si>
    <t>-&gt; Pistole</t>
  </si>
  <si>
    <t>fk_wurfwaffen</t>
  </si>
  <si>
    <t>Wurfwaffen</t>
  </si>
  <si>
    <t>fk_basis_wurfwaffen</t>
  </si>
  <si>
    <t>Fernkampf-Basis-Wert Wurfwaffen</t>
  </si>
  <si>
    <t>(eig_g_sinneschaerfe+eig_k_geschicklichkeit+fk_wurfwaffen)/4</t>
  </si>
  <si>
    <t>ini</t>
  </si>
  <si>
    <t>Initiative</t>
  </si>
  <si>
    <t>Ini</t>
  </si>
  <si>
    <t>(eig_g_mut+eig_k_schnelligkeit)/2+(eig_g_intelligenz+eig_k_geschicklichkeit+eig_k_athletik)/6</t>
  </si>
  <si>
    <t>at_hiebwaffen</t>
  </si>
  <si>
    <t>Attacke-Basis-Wert Hiebwaffen</t>
  </si>
  <si>
    <t>MIN(20;(eig_g_mut+eig_k_athletik+nk_hiebwaffen)/3)</t>
  </si>
  <si>
    <t>at_klingenwaffen</t>
  </si>
  <si>
    <t>Attacke-Basis-Wert Klingenwaffen</t>
  </si>
  <si>
    <t>MIN(20;(eig_g_mut+eig_k_athletik+nk_klingenwaffen)/3)</t>
  </si>
  <si>
    <t>at_stangenwaffen</t>
  </si>
  <si>
    <t>Attacke-Basis-Wert Stangenwaffen</t>
  </si>
  <si>
    <t>MIN(20;(eig_g_mut+eig_k_athletik+nk_stangenwaffen)/3)</t>
  </si>
  <si>
    <t>at_stichwaffen</t>
  </si>
  <si>
    <t>Attacke-Basis-Wert Stichwaffen</t>
  </si>
  <si>
    <t>MIN(20;(eig_g_mut+eig_k_schnelligkeit+nk_stichwaffen)/3)</t>
  </si>
  <si>
    <t>at_unbewaffnet</t>
  </si>
  <si>
    <t>Attacke-Basis-Wert Unbewaffnet</t>
  </si>
  <si>
    <t>MIN(20;(eig_g_mut+eig_k_schnelligkeit+nk_unbewaffnet)/3)</t>
  </si>
  <si>
    <t>Hiebwaffen</t>
  </si>
  <si>
    <t>wert*25</t>
  </si>
  <si>
    <t>nk_klingenwaffen</t>
  </si>
  <si>
    <t>Klingenwaffen</t>
  </si>
  <si>
    <t>nk_stangenwaffen</t>
  </si>
  <si>
    <t>Stangenwaffen</t>
  </si>
  <si>
    <t>nk_stichwaffen</t>
  </si>
  <si>
    <t>Stichwaffen</t>
  </si>
  <si>
    <t>nk_unbewaffnet</t>
  </si>
  <si>
    <t>Unbewaffnet</t>
  </si>
  <si>
    <t>nk_spez_hiebwaffen_aexte</t>
  </si>
  <si>
    <t>-&gt; Äxte</t>
  </si>
  <si>
    <t>nk_spez_hiebwaffen_kettenwaffen</t>
  </si>
  <si>
    <t>-&gt; Kettenwaffen</t>
  </si>
  <si>
    <t>nk_spez_hiebwaffen_stumpfe_hiebwaffen</t>
  </si>
  <si>
    <t>-&gt; Stumpfe Hiebwaffen</t>
  </si>
  <si>
    <t>nk_spez_klingenwaffen_kurzschwerter</t>
  </si>
  <si>
    <t>-&gt; Kurzschwerter</t>
  </si>
  <si>
    <t>nk_spez_klingenwaffen_schwerter</t>
  </si>
  <si>
    <t>-&gt; Schwerter</t>
  </si>
  <si>
    <t>nk_spez_klingenwaffen_zweihaender</t>
  </si>
  <si>
    <t>-&gt; Zweihänder</t>
  </si>
  <si>
    <t>nk_spez_stangenwaffen_hellebarden</t>
  </si>
  <si>
    <t>-&gt; Hellebarden</t>
  </si>
  <si>
    <t>nk_spez_stangenwaffen_lanzen</t>
  </si>
  <si>
    <t>-&gt; Lanzen</t>
  </si>
  <si>
    <t>nk_spez_stangenwaffen_speere</t>
  </si>
  <si>
    <t>-&gt; Speere</t>
  </si>
  <si>
    <t>nk_spez_stangenwaffen_staebe</t>
  </si>
  <si>
    <t>-&gt; Stäbe</t>
  </si>
  <si>
    <t>nk_spez_stichwaffen_dolche</t>
  </si>
  <si>
    <t>-&gt; Dolche</t>
  </si>
  <si>
    <t>nk_spez_stichwaffen_fechtwaffen</t>
  </si>
  <si>
    <t>-&gt; Fechtwaffen</t>
  </si>
  <si>
    <t>nk_spez_unbewaffnet_armklingen</t>
  </si>
  <si>
    <t>-&gt; Armklingen</t>
  </si>
  <si>
    <t>nk_spez_unbewaffnet_messer</t>
  </si>
  <si>
    <t>-&gt; Messer</t>
  </si>
  <si>
    <t>nk_spez_unbewaffnet_peitschen</t>
  </si>
  <si>
    <t>-&gt; Peitschen</t>
  </si>
  <si>
    <t>nk_spez_unbewaffnet_unbewaffnet</t>
  </si>
  <si>
    <t>-&gt; Unbewaffnet</t>
  </si>
  <si>
    <t>nk_spez_unbewaffnet_schild</t>
  </si>
  <si>
    <t>-&gt; Schild</t>
  </si>
  <si>
    <t>pa_hiebwaffen</t>
  </si>
  <si>
    <t>Parade-Basis-Wert Hiebwaffen</t>
  </si>
  <si>
    <t>MIN(20;(eig_k_athletik+eig_k_schnelligkeit+nk_hiebwaffen)/3)</t>
  </si>
  <si>
    <t>pa_klingenwaffen</t>
  </si>
  <si>
    <t>Parade-Basis-Wert Klingenwaffen</t>
  </si>
  <si>
    <t>MIN(20;(eig_k_athletik+eig_k_schnelligkeit+nk_klingenwaffen)/3)</t>
  </si>
  <si>
    <t>pa_stangenwaffen</t>
  </si>
  <si>
    <t>Parade-Basis-Wert Stangenwaffen</t>
  </si>
  <si>
    <t>MIN(20;(eig_k_athletik+eig_k_schnelligkeit+nk_stangenwaffen)/3)</t>
  </si>
  <si>
    <t>pa_stichwaffen</t>
  </si>
  <si>
    <t>Parade-Basis-Wert Stichwaffen</t>
  </si>
  <si>
    <t>MIN(20;(eig_k_athletik+eig_k_schnelligkeit+nk_stichwaffen)/3)</t>
  </si>
  <si>
    <t>pa_unbewaffnet</t>
  </si>
  <si>
    <t>Parade-Basis-Wert Unbewaffnet</t>
  </si>
  <si>
    <t>MIN(20;(eig_k_athletik+eig_k_schnelligkeit+nk_unbewaffnet)/3)</t>
  </si>
  <si>
    <t>nk_pool_hiebwaffen</t>
  </si>
  <si>
    <t>Pool Hiebwaffen</t>
  </si>
  <si>
    <t>MAX(0;(eig_g_mut+eig_k_athletik+nk_hiebwaffen)/3-20)+MAX(0;(eig_k_athletik+eig_k_schnelligkeit+nk_hiebwaffen)/3-20)</t>
  </si>
  <si>
    <t>nk_pool_hiebwaffen_aexte</t>
  </si>
  <si>
    <t>Pool Äxte</t>
  </si>
  <si>
    <t>nk_spez_hiebwaffen_aexte+MAX(0;(eig_g_mut+eig_k_athletik+nk_hiebwaffen)/3-20)+MAX(0;(eig_k_athletik+eig_k_schnelligkeit+nk_hiebwaffen)/3-20)</t>
  </si>
  <si>
    <t>nk_pool_hiebwaffen_kettenwaffen</t>
  </si>
  <si>
    <t>Pool Kettenwaffen</t>
  </si>
  <si>
    <t>nk_spez_hiebwaffen_kettenwaffen+MAX(0;(eig_g_mut+eig_k_athletik+nk_hiebwaffen)/3-20)+MAX(0;(eig_k_athletik+eig_k_schnelligkeit+nk_hiebwaffen)/3-20)</t>
  </si>
  <si>
    <t>nk_pool_hiebwaffen_stumpfe_hiebwaffen</t>
  </si>
  <si>
    <t>Pool Stumpfe Hiebwaffen</t>
  </si>
  <si>
    <t>nk_spez_hiebwaffen_stumpfe_hiebwaffen+MAX(0;(eig_g_mut+eig_k_athletik+nk_hiebwaffen)/3-20)+MAX(0;(eig_k_athletik+eig_k_schnelligkeit+nk_hiebwaffen)/3-20)</t>
  </si>
  <si>
    <t>nk_pool_klingenwaffen</t>
  </si>
  <si>
    <t>Pool Klingenwaffen</t>
  </si>
  <si>
    <t>MAX(0;(eig_g_mut+eig_k_athletik+nk_klingenwaffen)/3-20)+MAX(0;(eig_k_athletik+eig_k_schnelligkeit+nk_klingenwaffen)/3-20)</t>
  </si>
  <si>
    <t>nk_pool_klingenwaffen_zweihaender</t>
  </si>
  <si>
    <t>Pool Zweihänder</t>
  </si>
  <si>
    <t>nk_spez_klingenwaffen_zweihaender+MAX(0;(eig_g_mut+eig_k_athletik+nk_klingenwaffen)/3-20)+MAX(0;(eig_k_athletik+eig_k_schnelligkeit+nk_klingenwaffen)/3-20)</t>
  </si>
  <si>
    <t>nk_pool_klingenwaffen_kurzschwerter</t>
  </si>
  <si>
    <t>Pool Kurzschwerter</t>
  </si>
  <si>
    <t>nk_spez_klingenwaffen_kurzschwerter+MAX(0;(eig_g_mut+eig_k_athletik+nk_klingenwaffen)/3-20)+MAX(0;(eig_k_athletik+eig_k_schnelligkeit+nk_klingenwaffen)/3-20)</t>
  </si>
  <si>
    <t>nk_pool_klingenwaffen_schwerter</t>
  </si>
  <si>
    <t>Pool Schwerter</t>
  </si>
  <si>
    <t>nk_spez_klingenwaffen_schwerter+MAX(0;(eig_g_mut+eig_k_athletik+nk_klingenwaffen)/3-20)+MAX(0;(eig_k_athletik+eig_k_schnelligkeit+nk_klingenwaffen)/3-20)</t>
  </si>
  <si>
    <t>nk_pool_stangenwaffen</t>
  </si>
  <si>
    <t>Pool Stangenwaffen</t>
  </si>
  <si>
    <t>MAX(0;(eig_g_mut+eig_k_athletik+nk_stangenwaffen)/3-20)+MAX(0;(eig_k_athletik+eig_k_schnelligkeit+nk_stangenwaffen)/3-20)</t>
  </si>
  <si>
    <t>nk_pool_stangenwaffen_hellebarden</t>
  </si>
  <si>
    <t>Pool Hellebarden</t>
  </si>
  <si>
    <t>nk_spez_stangenwaffen_hellebarden+MAX(0;(eig_g_mut+eig_k_athletik+nk_stangenwaffen)/3-20)+MAX(0;(eig_k_athletik+eig_k_schnelligkeit+nk_stangenwaffen)/3-20)</t>
  </si>
  <si>
    <t>nk_pool_stangenwaffen_lanzen</t>
  </si>
  <si>
    <t>Pool Lanzen</t>
  </si>
  <si>
    <t>nk_spez_stangenwaffen_lanzen+MAX(0;(eig_g_mut+eig_k_athletik+nk_stangenwaffen)/3-20)+MAX(0;(eig_k_athletik+eig_k_schnelligkeit+nk_stangenwaffen)/3-20)</t>
  </si>
  <si>
    <t>nk_pool_stangenwaffen_speere</t>
  </si>
  <si>
    <t>Pool Speere</t>
  </si>
  <si>
    <t>nk_spez_stangenwaffen_speere+MAX(0;(eig_g_mut+eig_k_athletik+nk_stangenwaffen)/3-20)+MAX(0;(eig_k_athletik+eig_k_schnelligkeit+nk_stangenwaffen)/3-20)</t>
  </si>
  <si>
    <t>nk_pool_stangenwaffen_staebe</t>
  </si>
  <si>
    <t>Pool Stäbe</t>
  </si>
  <si>
    <t>nk_spez_stangenwaffen_staebe+MAX(0;(eig_g_mut+eig_k_athletik+nk_stangenwaffen)/3-20)+MAX(0;(eig_k_athletik+eig_k_schnelligkeit+nk_stangenwaffen)/3-20)</t>
  </si>
  <si>
    <t>nk_pool_stichwaffen</t>
  </si>
  <si>
    <t>Pool Stichwaffen</t>
  </si>
  <si>
    <t>MAX(0;(eig_g_mut+eig_k_schnelligkeit+nk_stichwaffen)/3-20)+MAX(0;(eig_k_athletik+eig_k_schnelligkeit+nk_stichwaffen)/3-20)</t>
  </si>
  <si>
    <t>nk_pool_stichwaffen_dolche</t>
  </si>
  <si>
    <t>Pool Dolche</t>
  </si>
  <si>
    <t>nk_spez_stichwaffen_dolche+MAX(0;(eig_g_mut+eig_k_schnelligkeit+nk_stichwaffen)/3-20)+MAX(0;(eig_k_athletik+eig_k_schnelligkeit+nk_stichwaffen)/3-20)</t>
  </si>
  <si>
    <t>nk_pool_stichwaffen_fechtwaffen</t>
  </si>
  <si>
    <t>Pool Fechtwaffen</t>
  </si>
  <si>
    <t>nk_spez_stichwaffen_fechtwaffen+MAX(0;(eig_g_mut+eig_k_schnelligkeit+nk_stichwaffen)/3-20)+MAX(0;(eig_k_athletik+eig_k_schnelligkeit+nk_stichwaffen)/3-20)</t>
  </si>
  <si>
    <t>nk_pool_unbewaffnet_armklingen</t>
  </si>
  <si>
    <t>Pool Armklingen</t>
  </si>
  <si>
    <t>nk_spez_unbewaffnet_armklingen+MAX(0;(eig_g_mut+eig_k_schnelligkeit+nk_unbewaffnet)/3-20)+MAX(0;(eig_k_athletik+eig_k_schnelligkeit+nk_unbewaffnet)/3-20)</t>
  </si>
  <si>
    <t>nk_pool_unbewaffnet_messer</t>
  </si>
  <si>
    <t>Pool Messer</t>
  </si>
  <si>
    <t>nk_spez_unbewaffnet_messer+MAX(0;(eig_g_mut+eig_k_schnelligkeit+nk_unbewaffnet)/3-20)+MAX(0;(eig_k_athletik+eig_k_schnelligkeit+nk_unbewaffnet)/3-20)</t>
  </si>
  <si>
    <t>nk_pool_unbewaffnet_peitschen</t>
  </si>
  <si>
    <t>Pool Peitschen</t>
  </si>
  <si>
    <t>nk_spez_unbewaffnet_peitschen+MAX(0;(eig_g_mut+eig_k_schnelligkeit+nk_unbewaffnet)/3-20)+MAX(0;(eig_k_athletik+eig_k_schnelligkeit+nk_unbewaffnet)/3-20)</t>
  </si>
  <si>
    <t>nk_pool_unbewaffnet_unbewaffnet</t>
  </si>
  <si>
    <t>nk_spez_unbewaffnet_unbewaffnet+MAX(0;(eig_g_mut+eig_k_schnelligkeit+nk_unbewaffnet)/3-20)</t>
  </si>
  <si>
    <t>nk_pool_unbewaffnet_schild</t>
  </si>
  <si>
    <t>Pool Schild</t>
  </si>
  <si>
    <t>nk_spez_unbewaffnet_schild+MAX(0;(eig_g_mut+eig_k_schnelligkeit+nk_unbewaffnet)/3-20)+MAX(0;(eig_k_athletik+eig_k_schnelligkeit+nk_unbewaffnet)/3-20)</t>
  </si>
  <si>
    <t>nk_spez_unbewaffnet_boxen</t>
  </si>
  <si>
    <t>-&gt; Boxen</t>
  </si>
  <si>
    <t>Nur Volk: Dalkini, Zwerg, Ork. Details (Schaden, Specials) siehe Sheet 'NK-Waffen-Basis'. Quelle: Nahkampftabelle Unbewaffnet (2004). Voelkerbeschraenkung ungeprueft, siehe Sheet 'Entwickeln'.</t>
  </si>
  <si>
    <t>nk_spez_unbewaffnet_elfische_kunst_der_selbstverteidigung</t>
  </si>
  <si>
    <t>-&gt; Elfische Kunst der Selbstverteidigung</t>
  </si>
  <si>
    <t>Nur Volk: Elf. Details (Schaden, Specials) siehe Sheet 'NK-Waffen-Basis'. Quelle: Nahkampftabelle Unbewaffnet (2004). Voelkerbeschraenkung ungeprueft, siehe Sheet 'Entwickeln'.</t>
  </si>
  <si>
    <t>nk_spez_unbewaffnet_goblinische_kampfkunst</t>
  </si>
  <si>
    <t>-&gt; Goblinische Kampfkunst</t>
  </si>
  <si>
    <t>Nur Volk: Goblin. Details (Schaden, Specials) siehe Sheet 'NK-Waffen-Basis'. Quelle: Nahkampftabelle Unbewaffnet (2004). Voelkerbeschraenkung ungeprueft, siehe Sheet 'Entwickeln'.</t>
  </si>
  <si>
    <t>nk_spez_unbewaffnet_katzenmenschen_kampfkunst</t>
  </si>
  <si>
    <t>-&gt; Katzenmenschen Kampfkunst</t>
  </si>
  <si>
    <t>Nur Volk: Katzenmensch. Details (Schaden, Specials) siehe Sheet 'NK-Waffen-Basis'. Quelle: Nahkampftabelle Unbewaffnet (2004). Voelkerbeschraenkung ungeprueft, siehe Sheet 'Entwickeln'.</t>
  </si>
  <si>
    <t>nk_spez_unbewaffnet_orkisch_raufen</t>
  </si>
  <si>
    <t>-&gt; Orkisch' Raufen</t>
  </si>
  <si>
    <t>Nur Volk: Ork. Details (Schaden, Specials) siehe Sheet 'NK-Waffen-Basis'. Quelle: Nahkampftabelle Unbewaffnet (2004). Voelkerbeschraenkung ungeprueft, siehe Sheet 'Entwickeln'.</t>
  </si>
  <si>
    <t>nk_spez_unbewaffnet_ringen</t>
  </si>
  <si>
    <t>-&gt; Ringen</t>
  </si>
  <si>
    <t>Alle Voelker. Details (Schaden, Specials) siehe Sheet 'NK-Waffen-Basis'. Quelle: Nahkampftabelle Unbewaffnet (2004). Voelkerbeschraenkung ungeprueft, siehe Sheet 'Entwickeln'.</t>
  </si>
  <si>
    <t>nk_spez_unbewaffnet_schattenkampf</t>
  </si>
  <si>
    <t>-&gt; Schattenkampf</t>
  </si>
  <si>
    <t>Nur Volk: Drow. Details (Schaden, Specials) siehe Sheet 'NK-Waffen-Basis'. Quelle: Nahkampftabelle Unbewaffnet (2004). Voelkerbeschraenkung ungeprueft, siehe Sheet 'Entwickeln'.</t>
  </si>
  <si>
    <t>nk_pool_unbewaffnet_boxen</t>
  </si>
  <si>
    <t>Pool Boxen</t>
  </si>
  <si>
    <t>nk_spez_unbewaffnet_boxen+MAX(0;(eig_g_mut+eig_k_schnelligkeit+nk_unbewaffnet)/3-20)+MAX(0;(eig_k_athletik+eig_k_schnelligkeit+nk_unbewaffnet)/3-20)</t>
  </si>
  <si>
    <t>nk_pool_unbewaffnet_elfische_kunst_der_selbstverteidigung</t>
  </si>
  <si>
    <t>Pool Elfische Kunst der Selbstverteidigung</t>
  </si>
  <si>
    <t>nk_spez_unbewaffnet_elfische_kunst_der_selbstverteidigung+MAX(0;(eig_g_mut+eig_k_schnelligkeit+nk_unbewaffnet)/3-20)+MAX(0;(eig_k_athletik+eig_k_schnelligkeit+nk_unbewaffnet)/3-20)</t>
  </si>
  <si>
    <t>nk_pool_unbewaffnet_goblinische_kampfkunst</t>
  </si>
  <si>
    <t>Pool Goblinische Kampfkunst</t>
  </si>
  <si>
    <t>nk_spez_unbewaffnet_goblinische_kampfkunst+MAX(0;(eig_g_mut+eig_k_schnelligkeit+nk_unbewaffnet)/3-20)+MAX(0;(eig_k_athletik+eig_k_schnelligkeit+nk_unbewaffnet)/3-20)</t>
  </si>
  <si>
    <t>nk_pool_unbewaffnet_katzenmenschen_kampfkunst</t>
  </si>
  <si>
    <t>Pool Katzenmenschen Kampfkunst</t>
  </si>
  <si>
    <t>nk_spez_unbewaffnet_katzenmenschen_kampfkunst+MAX(0;(eig_g_mut+eig_k_schnelligkeit+nk_unbewaffnet)/3-20)+MAX(0;(eig_k_athletik+eig_k_schnelligkeit+nk_unbewaffnet)/3-20)</t>
  </si>
  <si>
    <t>nk_pool_unbewaffnet_orkisch_raufen</t>
  </si>
  <si>
    <t>Pool Orkisch' Raufen</t>
  </si>
  <si>
    <t>nk_spez_unbewaffnet_orkisch_raufen+MAX(0;(eig_g_mut+eig_k_schnelligkeit+nk_unbewaffnet)/3-20)+MAX(0;(eig_k_athletik+eig_k_schnelligkeit+nk_unbewaffnet)/3-20)</t>
  </si>
  <si>
    <t>nk_pool_unbewaffnet_ringen</t>
  </si>
  <si>
    <t>Pool Ringen</t>
  </si>
  <si>
    <t>nk_spez_unbewaffnet_ringen+MAX(0;(eig_g_mut+eig_k_schnelligkeit+nk_unbewaffnet)/3-20)+MAX(0;(eig_k_athletik+eig_k_schnelligkeit+nk_unbewaffnet)/3-20)</t>
  </si>
  <si>
    <t>nk_pool_unbewaffnet_schattenkampf</t>
  </si>
  <si>
    <t>Pool Schattenkampf</t>
  </si>
  <si>
    <t>nk_spez_unbewaffnet_schattenkampf+MAX(0;(eig_g_mut+eig_k_schnelligkeit+nk_unbewaffnet)/3-20)+MAX(0;(eig_k_athletik+eig_k_schnelligkeit+nk_unbewaffnet)/3-20)</t>
  </si>
  <si>
    <t>#spruchmagie_antimagie_1_artefakt_analysieren</t>
  </si>
  <si>
    <t>Artefakt analysieren</t>
  </si>
  <si>
    <t>Antimagie</t>
  </si>
  <si>
    <t>Der auf dem Artefakt liegende Zauber wird analysiert. Der Magus kann max. Zauber bis (Wei + 3) erkennen. Alle nachfolgenden Brechungszauber werden zusätzlich um (Wei + 2) erleichtert. Bei allen höheren Zaubern erkennt er nur Schule und Grad, folgende Brechungszauber werden nur um (Wei + 1) erleichtert.</t>
  </si>
  <si>
    <t>#spruchmagie_antimagie_1_magische_wand</t>
  </si>
  <si>
    <t>Magische Wand</t>
  </si>
  <si>
    <t>Der Magus erschafft eine Wand aus Magie. Diese ist undurchdringlich und verfügt über einen RS und LE von {M}*4. Die Wand gilt als Magiekorpus. Länge max. W6 +{Magie}+{Aura} m, Breite max. {M}*2cm</t>
  </si>
  <si>
    <t>#spruchmagie_antimagie_2_artefakt_stoeren</t>
  </si>
  <si>
    <t>Artefakt stören</t>
  </si>
  <si>
    <t>Einem Artefakt mit dem höchsten Zaubergrad (Wei+3) wird alles Mana entzogen und alle Zauberwirkungen werden beendet; Einmalige Artefakte werden zerstört; Permanente Artefakte bis zum nächsten magischen Tag gestört, können aber durch das Aufbringen fünffacher Manakosten zerstört werden.</t>
  </si>
  <si>
    <t>#spruchmagie_antimagie_2_bipolare_schere</t>
  </si>
  <si>
    <t>Bipolare Schere</t>
  </si>
  <si>
    <t>Ein Bipolarer Zauber bis Grad (Wei+2) wird gebrochen. Wenn der Zauber während der Vorbereitungsdauer gebrochen wird, entstehen dem gegnerischen Magus nur halbe Manakosten.</t>
  </si>
  <si>
    <t>#spruchmagie_antimagie_2_magische_kuppel</t>
  </si>
  <si>
    <t>Magische Kuppel</t>
  </si>
  <si>
    <t>Der Magier erschafft eine magische Barriere in Form einer monodirektionalen Kugel. Die Kugel hat einen Radius von {M}:2m und RS|LE von {M}*4. Alle Magie und Materie können die Kugel verlassen, zum Eindringen muss RS überwunden werden. Der Magus kann die Form der Barriere frei festlegen. Die Barriere gilt als Magiekorpus.</t>
  </si>
  <si>
    <t>#spruchmagie_antimagie_2_magische_reinigung</t>
  </si>
  <si>
    <t>Magische Reinigung</t>
  </si>
  <si>
    <t>Ein Anhaltender oder Bipolarer Zauber mit maximalem Zaubergrad von (Wei+3) nach Wahl des Magiers wird beendet.</t>
  </si>
  <si>
    <t>#spruchmagie_antimagie_3_magische_barriere</t>
  </si>
  <si>
    <t>Magische Barriere</t>
  </si>
  <si>
    <t>Der Magus erschafft um einen fest durch Materie definierten Raum (z. B. Ein Haus) eine magische Barriere mit einer LE|RS von {M} * 8. Die Barriere gilt als Magiekorpus, daher verursachen FK-Attacken halben Schaden, NK-Attacken normalen Schaden und magische Attacken doppelten Schaden. Der Magus kann die Barriere beliebig oft und lange durchlässig machen, ohne den Zauber fallen zu lassen. Wird häufig das selbe Gebäude geschützt, kann der Meister diese Routine mit Manakosten-Ersparnis honorieren.</t>
  </si>
  <si>
    <t>#spruchmagie_antimagie_3_magischer_schild</t>
  </si>
  <si>
    <t>Magischer Schild</t>
  </si>
  <si>
    <t>Die Aura des Zieles wird von einem unsichtbaren Schild geschützt. Es kann pro KR maximal {M} TP und insgesamt {M} * 2 TP abhalten.</t>
  </si>
  <si>
    <t>#spruchmagie_antimagie_3_schule_erschweren_antimagie</t>
  </si>
  <si>
    <t>Schule erschweren: Antimagie</t>
  </si>
  <si>
    <t>Der Magus erschafft eine kreisförmige Zone mit {M} m Radius, in der das Wirken von [Schule]-Spruchzaubern auf Stufe 1 um {Magie}, auf Stufe 2 um {Magie}*2 und auf Stufe 3 um {Magie}*4 zusätzlich erschwert ist. Beherrscht der Magier die [Schule] selbst, erhöhen sich die Erschwerungen auf Stufe 1 um {Magie}*1,5, auf Stufe 2 um {Magie}*3 und auf Stufe 3 um {Magie}*6.</t>
  </si>
  <si>
    <t>#spruchmagie_antimagie_3_schule_erschweren_beherrschung</t>
  </si>
  <si>
    <t>Schule erschweren: Beherrschung</t>
  </si>
  <si>
    <t>#spruchmagie_antimagie_3_schule_erschweren_erdbeschwoerung</t>
  </si>
  <si>
    <t>Schule erschweren: Erdbeschwörung</t>
  </si>
  <si>
    <t>#spruchmagie_antimagie_3_schule_erschweren_feuerbeschwoerung</t>
  </si>
  <si>
    <t>Schule erschweren: Feuerbeschwörung</t>
  </si>
  <si>
    <t>#spruchmagie_antimagie_3_schule_erschweren_heilung</t>
  </si>
  <si>
    <t>Schule erschweren: Heilung</t>
  </si>
  <si>
    <t>#spruchmagie_antimagie_3_schule_erschweren_hellsicht</t>
  </si>
  <si>
    <t>Schule erschweren: Hellsicht</t>
  </si>
  <si>
    <t>#spruchmagie_antimagie_3_schule_erschweren_illusion</t>
  </si>
  <si>
    <t>Schule erschweren: Illusion</t>
  </si>
  <si>
    <t>#spruchmagie_antimagie_3_schule_erschweren_luftbeschwoerung</t>
  </si>
  <si>
    <t>Schule erschweren: Luftbeschwörung</t>
  </si>
  <si>
    <t>#spruchmagie_antimagie_3_schule_erschweren_magiebeschwoerung</t>
  </si>
  <si>
    <t>Schule erschweren: Magiebeschwörung</t>
  </si>
  <si>
    <t>#spruchmagie_antimagie_3_schule_erschweren_veraenderung</t>
  </si>
  <si>
    <t>Schule erschweren: Veränderung</t>
  </si>
  <si>
    <t>#spruchmagie_antimagie_3_schule_erschweren_verzauberung</t>
  </si>
  <si>
    <t>Schule erschweren: Verzauberung</t>
  </si>
  <si>
    <t>#spruchmagie_antimagie_3_schule_erschweren_wasserbeschwoerung</t>
  </si>
  <si>
    <t>Schule erschweren: Wasserbeschwörung</t>
  </si>
  <si>
    <t>#spruchmagie_antimagie_4_magische_bresche</t>
  </si>
  <si>
    <t>Magische Bresche</t>
  </si>
  <si>
    <t>Alle Anhaltenden und Bipolaren Zauber bis Grad (Wei+1) die auf der Aura liegen, werden gebrochen.</t>
  </si>
  <si>
    <t>#spruchmagie_antimagie_4_mobile_barriere</t>
  </si>
  <si>
    <t>Mobile Barriere</t>
  </si>
  <si>
    <t>Der Magier erschafft eine bewegliche Barriere mit LE|RS {M}*4. Diese Barriere entsteht entweder als Kugel um den Magus oder als „Verstärkung“ um ein materiell fest definiertes Objekt (z.B. ein Auto).</t>
  </si>
  <si>
    <t>#spruchmagie_antimagie_5_aura_verhuellen</t>
  </si>
  <si>
    <t>Aura verhüllen</t>
  </si>
  <si>
    <t>Der Magus verhüllt seine Aura. Die Zauber Blick aufs Wesen, Blick durch fremde Augen, Blick in die Gedanken und Aura erkennen mit dem Ziel Magus sind zusätzlich um {M} erschwert. Um den Magus im Astralraum oder mit Astralsicht  zu entdecken ist eine Sinnesschärfe-Probe erschwert um {M}:2 abzulegen, dies gilt besonders für Elementare+Watcher.</t>
  </si>
  <si>
    <t>#spruchmagie_antimagie_5_korpi_ignorieren</t>
  </si>
  <si>
    <t>Korpi ignorieren</t>
  </si>
  <si>
    <t xml:space="preserve">Der Magus ermöglicht es einem Gegenstand, magische Korpi zu ignorieren. So ist es dem Gegenstand möglich, durch jede Art von Barriere zu dringen, als wäre sie nicht existent. Diese Gegenstände können von Magiekorpi nicht wahrgenommen werden. </t>
  </si>
  <si>
    <t>#spruchmagie_antimagie_5_schule_hemmen_antimagie</t>
  </si>
  <si>
    <t>Schule hemmen: Antimagie</t>
  </si>
  <si>
    <t>Der Magus erschafft eine kreisförmige Zone mit {M} m Radius, in der alle Wirkungen von [Schule]-Spruchzaubern oder natürlichen Effekten um 25% reduziert werden. Beherrscht der Magier die [Schule] selbst, wird die Wirkung um 50% reduziert.</t>
  </si>
  <si>
    <t>#spruchmagie_antimagie_5_schule_hemmen_beherrschung</t>
  </si>
  <si>
    <t>Schule hemmen: Beherrschung</t>
  </si>
  <si>
    <t>#spruchmagie_antimagie_5_schule_hemmen_erdbeschwoerung</t>
  </si>
  <si>
    <t>Schule hemmen: Erdbeschwörung</t>
  </si>
  <si>
    <t>#spruchmagie_antimagie_5_schule_hemmen_feuerbeschwoerung</t>
  </si>
  <si>
    <t>Schule hemmen: Feuerbeschwörung</t>
  </si>
  <si>
    <t>#spruchmagie_antimagie_5_schule_hemmen_heilung</t>
  </si>
  <si>
    <t>Schule hemmen: Heilung</t>
  </si>
  <si>
    <t>#spruchmagie_antimagie_5_schule_hemmen_hellsicht</t>
  </si>
  <si>
    <t>Schule hemmen: Hellsicht</t>
  </si>
  <si>
    <t>#spruchmagie_antimagie_5_schule_hemmen_illusion</t>
  </si>
  <si>
    <t>Schule hemmen: Illusion</t>
  </si>
  <si>
    <t>#spruchmagie_antimagie_5_schule_hemmen_luftbeschwoerung</t>
  </si>
  <si>
    <t>Schule hemmen: Luftbeschwörung</t>
  </si>
  <si>
    <t>#spruchmagie_antimagie_5_schule_hemmen_magiebeschwoerung</t>
  </si>
  <si>
    <t>Schule hemmen: Magiebeschwörung</t>
  </si>
  <si>
    <t>#spruchmagie_antimagie_5_schule_hemmen_veraenderung</t>
  </si>
  <si>
    <t>Schule hemmen: Veränderung</t>
  </si>
  <si>
    <t>#spruchmagie_antimagie_5_schule_hemmen_verzauberung</t>
  </si>
  <si>
    <t>Schule hemmen: Verzauberung</t>
  </si>
  <si>
    <t>#spruchmagie_antimagie_5_schule_hemmen_wasserbeschwoerung</t>
  </si>
  <si>
    <t>Schule hemmen: Wasserbeschwörung</t>
  </si>
  <si>
    <t>#spruchmagie_antimagie_5_schutz</t>
  </si>
  <si>
    <t>Schutz</t>
  </si>
  <si>
    <t>Der Magus verschafft einem Ziel Schutz vor Schadenswirkungen. Pro KR kann dieser Schutz max. {M}*2 TP verhindern. Der Magus kann das Ziel ein Mal pro KR ändern. Erhält das Opfer noch in dieser Runde Schaden und der Magus hat seine Zieländerung nicht schon in der vorherigen KR angesagt, muss der Magus eine Sinnesschärfe-Probe ablegen, um das Ziel rechtzeitig zu ändern.</t>
  </si>
  <si>
    <t>#spruchmagie_antimagie_6_antimagisches_feld</t>
  </si>
  <si>
    <t>Antimagisches Feld</t>
  </si>
  <si>
    <t>Der Magus erschafft eine kreisförmige Fläche mit Radius {M} m, in der jeder Magiekorpus pro KR {M} Schaden erleidet. Das Wirken von Spruchmagie ist auf Stufe 1 um {Magie}, auf Stufe 2 um {Magie}*2 und auf Stufe 3 um {Magie}*4 zusätzlich erschwert. Alle Wirkungen von Spruchzaubern werden halbiert.</t>
  </si>
  <si>
    <t>#spruchmagie_antimagie_6_schutz_vor_schule_antimagie</t>
  </si>
  <si>
    <t>Schutz vor Schule: Antimagie</t>
  </si>
  <si>
    <t>Der Magus schützt sich kraft seines Wissens um die Wirkungsweise der [Schule] vollständig gegen alle Wirkungen der  entsprechenden Magie. Um diesen Zauber steigern zu können, muss der Magus die entsprechende Spruchmagie-Schule beherrschen.</t>
  </si>
  <si>
    <t>#spruchmagie_antimagie_6_schutz_vor_schule_beherrschung</t>
  </si>
  <si>
    <t>Schutz vor Schule: Beherrschung</t>
  </si>
  <si>
    <t>#spruchmagie_antimagie_6_schutz_vor_schule_erdbeschwoerung</t>
  </si>
  <si>
    <t>Schutz vor Schule: Erdbeschwörung</t>
  </si>
  <si>
    <t>#spruchmagie_antimagie_6_schutz_vor_schule_feuerbeschwoerung</t>
  </si>
  <si>
    <t>Schutz vor Schule: Feuerbeschwörung</t>
  </si>
  <si>
    <t>#spruchmagie_antimagie_6_schutz_vor_schule_heilung</t>
  </si>
  <si>
    <t>Schutz vor Schule: Heilung</t>
  </si>
  <si>
    <t>#spruchmagie_antimagie_6_schutz_vor_schule_hellsicht</t>
  </si>
  <si>
    <t>Schutz vor Schule: Hellsicht</t>
  </si>
  <si>
    <t>#spruchmagie_antimagie_6_schutz_vor_schule_illusion</t>
  </si>
  <si>
    <t>Schutz vor Schule: Illusion</t>
  </si>
  <si>
    <t>#spruchmagie_antimagie_6_schutz_vor_schule_luftbeschwoerung</t>
  </si>
  <si>
    <t>Schutz vor Schule: Luftbeschwörung</t>
  </si>
  <si>
    <t>#spruchmagie_antimagie_6_schutz_vor_schule_magiebeschwoerung</t>
  </si>
  <si>
    <t>Schutz vor Schule: Magiebeschwörung</t>
  </si>
  <si>
    <t>#spruchmagie_antimagie_6_schutz_vor_schule_verzauberung</t>
  </si>
  <si>
    <t>Schutz vor Schule: Verzauberung</t>
  </si>
  <si>
    <t>#spruchmagie_antimagie_6_schutz_vor_schule_wasserbeschwoerung</t>
  </si>
  <si>
    <t>Schutz vor Schule: Wasserbeschwörung</t>
  </si>
  <si>
    <t>#spruchmagie_antimagie_6_subjektives_manaloch</t>
  </si>
  <si>
    <t>Subjektives Manaloch</t>
  </si>
  <si>
    <t>Alle Anhaltenden und Bipolaren Zauber bis Grad (Wei + 1), die auf dem Ziel liegen, werden gebrochen.  Allen Artefakten bis Grad (Wei + 1) wird bis zum nächsten magischen Tag das Mana entzogen. Einmalige Artefakte werden zerstört. Das Opfer verliert alles Mana. Wenn es eine Probe auf Aura schafft, verliert es nur die Hälfte. Außerdem muss das Ziel, falls es gerade einen Zauber wirkt, eine (Aura)-Probe schaffen, sonst misslingt der Zauber.</t>
  </si>
  <si>
    <t>#spruchmagie_antimagie_7_aura_entkernen</t>
  </si>
  <si>
    <t>Aura entkernen</t>
  </si>
  <si>
    <t>Die Aura des Opfers wird für den Bruchteil einer Sekunde zerstört. Dadurch fallen alle Zauber vom Ziel, alle aktiven Artefakte verlieren ihre Wirkung und das Ziel büßt all sein Mana ein. Zaubervorbereitungen werden unterbrochen.</t>
  </si>
  <si>
    <t>#spruchmagie_antimagie_7_manaloch</t>
  </si>
  <si>
    <t>Manaloch</t>
  </si>
  <si>
    <t>Vom Magus ausgehend fährt eine durch dunkle Blitze und Schatten zu erkennende Kugel in alle Richtungen und verpufft dann. Alle aktiven Zauber werden gebrochen. Einmalige Artefakte werden zerstört.Permanente Artefakte verlieren bis zum nächsten magischen Tag ihre Wirkung. Alles Mana im Wirkungsradius wird zerstört.  Dämonen/Untote: Mag x 1000 SP; Vampire: Mag x 100 verteilt auf alle TZ.</t>
  </si>
  <si>
    <t>#spruchmagie_antimagie_7_spiegeltrick</t>
  </si>
  <si>
    <t>Spiegeltrick</t>
  </si>
  <si>
    <t>Ein beliebiger Zauber, der auf den Magus gezielt wird, wird mit voller Stärke auf den Gegner zurückgeworfen. Der Magus erleidet nur die halbierte Wirkung.</t>
  </si>
  <si>
    <t>#spruchmagie_beherrschung_1_ermutigen</t>
  </si>
  <si>
    <t>Ermutigen</t>
  </si>
  <si>
    <t xml:space="preserve">Das Opfer wird zu einer Tat ermutigt, bei der es gezögert hat, es zu tun. Dieser Zauber geht nicht bei Dingen die das Opfer schon entschlossen hat nicht zu tun oder überwiegend dagegen ist. Dieser Zauber kann nur Mut einflößen etwas zu tun. Bei einer Entscheidung Bleiben oder Laufen also nur zum bleiben.  </t>
  </si>
  <si>
    <t>#spruchmagie_beherrschung_1_freundschaft</t>
  </si>
  <si>
    <t>Freundschaft</t>
  </si>
  <si>
    <t>Das Ansehen des Magus steigt bei dem Opfer um eine Stufe. Bester Freund---Freund---neutral---Böse/Gefahr---Feind Nach {M}:2 Stunden erinnert sich das Opfer wieder warum es das Opfer doch nicht so gerne mochte.</t>
  </si>
  <si>
    <t>#spruchmagie_beherrschung_1_respekt_einfloessen</t>
  </si>
  <si>
    <t>Respekt einflößen</t>
  </si>
  <si>
    <t xml:space="preserve">Der Magus wirkt dem Opfer gegenüber wesentlich imposanter und seine Worte sind wesentlich zwingender als vorher. Ein Wunsch von ihm ist jetzt ehr wie ein Befehl eines Generals an einen einfachen Soldaten. Er bekommt dem Opfer gegenüber einen Ausstrahlungsbonus von +2* {Magie} </t>
  </si>
  <si>
    <t>#spruchmagie_beherrschung_1_tiere_befehligen</t>
  </si>
  <si>
    <t>Tiere Befehligen</t>
  </si>
  <si>
    <t xml:space="preserve">Das Tier muss dem Befehl des Magus sofort folge leisten. Egal was es gerade tut, es wird damit aufhören um seinen neuen Lebensinhalt nach zu gehen.  Das Tier weiß zwar genau was der Magier von ihm will, kann aber nur mit seiner Eigenen Intelligenz versuchen den Auftrag zu erfüllen. Eine Nacktschnecke wird wohl keine Algebra Aufgabe lösen können. Sobald der Auftrag erfüllt ist, ist das Tier wieder absolut frei und verspürt nicht mehr Freundschaft als vor dem Zauber zum Magus.   </t>
  </si>
  <si>
    <t>#spruchmagie_beherrschung_2_besaenftigen</t>
  </si>
  <si>
    <t>Besänftigen</t>
  </si>
  <si>
    <t xml:space="preserve">Das Opfer wird ruhig und gelassen, es verliert jeglichen drang zu Töten (außer Es ist ein Sadist und macht es aus Spaß). Es weiß zwar noch alles, es ist aber nicht mehr so Dramatisch für ihn.  Nach dem der Zauber vorbei ist, ist das Opfer immer noch ruhig es hält ihm aber nichts davon ab wieder Wütend zu werden. Was natürlich auch sofort geschehen kann aber nicht muss, wenn er sich daran erinnert, das man z.B. Gerade mit seiner Frau geschlafen hat und er einen in Flagrante erwischt hat. ;-)  </t>
  </si>
  <si>
    <t>#spruchmagie_beherrschung_2_entmutigen</t>
  </si>
  <si>
    <t>Entmutigen</t>
  </si>
  <si>
    <t>Das Opfer wird sich gegen eine Tat entscheiden, bei der es gezögert hat. Dieser Zauber geht nicht bei Dingen die das Opfer schon entschlossen hat zu tun oder überwiegend dafür ist. Dieser Zauber kann nur entmutigen etwas nicht zu tun. Bei einer Entscheidung Bleiben oder Laufen also nur zum Laufen.</t>
  </si>
  <si>
    <t>#spruchmagie_beherrschung_2_lachanfall</t>
  </si>
  <si>
    <t>Lachanfall</t>
  </si>
  <si>
    <t>Das Opfer fängt lauthals an, zu Lachen. Das Opfer ist wie auf einem Drogentrip und findet alles und jeden zum schief lachen. Sollte das Opfer sich aber gerade oder plötzlich wehrend des Lachanfalls in Akuter Lebensgefahr Gefahr befinden ( Auge in Auge mit dem Tot) so läst der Adrenalinpegel und die Angst den Zauber ohne Probe Brechen.</t>
  </si>
  <si>
    <t>#spruchmagie_beherrschung_2_stumm</t>
  </si>
  <si>
    <t>Stumm</t>
  </si>
  <si>
    <t>Das Opfer bringt keinen Ton raus. Man hört zwar wie die Luft die Lungen durch den Mund verlässt aber das ist auch schon alles. Das sprechen von Zaubern geht nur noch auf ST2, also ohne Formel.</t>
  </si>
  <si>
    <t>#spruchmagie_beherrschung_2_traurigkeit</t>
  </si>
  <si>
    <t>Traurigkeit</t>
  </si>
  <si>
    <t>Das Opfer fängt an zu heulen wie ein Schlosshund. Auf einmal ist alles was er sieht einfach zu Traurig um wahr zu sein. Sollte das Opfer sich aber gerade oder plötzlich wehrend des Weinens in Akuter Lebensgefahr Gefahr befinden ( Auge in Auge mit dem Tot) so läst der Adrenalinpegel und die Angst den Zauber ohne Probe Brechen.</t>
  </si>
  <si>
    <t>#spruchmagie_beherrschung_3_elementare_befehligen</t>
  </si>
  <si>
    <t>Elementare Befehligen</t>
  </si>
  <si>
    <t>Ein freier (nicht von einem anderen Magus beherrschter) Elementar hat eine Intelligenz-Probe erschwert um die Differenz von der {M} des Margus und des Opfers. Wenn sie gelingt fällt der Zauber. 1 und 29 sind immer ein Erfolg. Ansonsten muss der Elementar dem Befehl des Magus sofort folge leisten. Egal was er gerade tut, er wird damit aufhören um seinen neuen Lebensinhalt nach zu gehen.  Der Elementar weiß zwar genau was der Magier von ihm Willenskraft, kann aber nur mit seiner Eigenen Intelligenz versuchen den Auftrag zu erfüllen. Ein Feuerelementar wird wohl kaum ein Brennendes haus löschen können. So ballt der Auftrag erfüllt ist, ist der Elementar wieder absolut Frei und verspürt nicht mehr Freundschaft als vor dem Zauber zum Magus.</t>
  </si>
  <si>
    <t>#spruchmagie_beherrschung_3_herrschaft_ueber_tiere</t>
  </si>
  <si>
    <t>Herrschaft über Tiere</t>
  </si>
  <si>
    <t>Das Tier wird zu einem Willenskraftenlosen Sklaven des Magus. Es wird auf Wort hören, ganz so als währe es ein Absolut Perfekt ausgebildeter Muster Hund. Das Tier weis zwar immer genau was der Magus von ihm Willenskraft ist aber nicht Intelligenzelligenter als vorher oder verfügt nicht über neue Fertigkeiten. Eine Ratte wird es wohl nicht schaffen das Zauberbuch des Magus abzuschreiben.</t>
  </si>
  <si>
    <t>#spruchmagie_beherrschung_3_konfus</t>
  </si>
  <si>
    <t>Konfus</t>
  </si>
  <si>
    <t xml:space="preserve">Das Opfer kann nicht mehr zwischen Freund oder Feind unterscheiden und Greift Zufällig eine Feind/Freund an. Das Opfer wird nicht zum Kampf gezwungen, befindet es sich gerade nicht im Kampf so passiert solange nichts biss es zum Kampf kommt. Erleidet das Opfer während der Wirkungsdauer Schaden über seiner TS so fällt der Z.  </t>
  </si>
  <si>
    <t>#spruchmagie_beherrschung_3_tick_verursachen</t>
  </si>
  <si>
    <t>Tick Verursachen</t>
  </si>
  <si>
    <t xml:space="preserve">Der Magus kann sich eine Spezialisierbare Grund.- oder Optionalfertigkeit Aussuchen und an stelle dieser Fertigkeit muss das Opfer irgendeine andere simple, nicht direkt lebensbedrohliche Sache tun. Z.B an stelle zu falschen sagt das Opfer immer Arschloch oder an stelle zu klettern springt es. Adrenalin und Angst unterdrücken den Tick aber so lange bis die Gefahr vorbei ist. Das hilft allerdings nichts, wenn der Orkische Händler schon, wegen der Beleidigung, seine Axt schwingt oder man bereits vom Baum gefallen ist. </t>
  </si>
  <si>
    <t>#spruchmagie_beherrschung_3_zorn</t>
  </si>
  <si>
    <t>Zorn</t>
  </si>
  <si>
    <t xml:space="preserve">Das Opfer greift das nächstliegende Ziel , was er/es am wenigsten Mag an. Sollten alle Ziele in Reichweiten für ihn Neutral oder Freundlich sein, so passiert nichts bis ein Ziel in sicht kommt, das er nicht mag oder gar ein Feind ist. </t>
  </si>
  <si>
    <t>#spruchmagie_beherrschung_4_aufmerksamkeit</t>
  </si>
  <si>
    <t>Aufmerksamkeit</t>
  </si>
  <si>
    <t xml:space="preserve">Die Opfer richten ihre Aufmerksamkeit schlagartig auf den Magier. Egal was sie gerade getan haben, jetzt halten sie inne und Starren auf den Magus. Sie hängen an seinen Lippen und saugen jedes Wort von ihm auf. Die Opfer sind zwar immer noch im voll besitz ihrer Gedanken, es gibt im Moment aber nichts Intelligenzeressanteres als den Magus. Sollten sie allerdings angegriffen werden oder in irgendeiner anderen Akuten Lebensgefahr sein so fällt der Zauber ohne Probe.   </t>
  </si>
  <si>
    <t>#spruchmagie_beherrschung_4_berserker</t>
  </si>
  <si>
    <t>Berserker</t>
  </si>
  <si>
    <t xml:space="preserve">Das Opfer dreht total durch und greift das nächstliegende Ziel , was er/es am wenigsten Mag an. Das Opfer kann sich sein Ziel selbst aussuchen, muss aber jemanden Angreifen. Das Opfer ist blind vor Zorn und kann sich nicht mehr Konzentrieren, jegliche Magische Handlung ist unmöglich. Es bekommt Ini und Mut+3. </t>
  </si>
  <si>
    <t>#spruchmagie_beherrschung_4_freie_daemonen_befehligen</t>
  </si>
  <si>
    <t>Freie Dämonen Befehligen</t>
  </si>
  <si>
    <t>Ein freier (nicht von einem anderen Magus beherrschter) Dämon hat eine Intelligenz-Probe erschwert um die Differenz von der {M} des Margus und des Opfers. Wenn sie gelingt fällt der Zauber. 1 und 29 sind immer ein Erfolg. Ansonsten Muss der Dämon dem Befehl des Magus sofort folge leisten. Egal was Er gerade tut, er wird damit aufhören um seinen neuen Lebensinhalt nach zu gehen.  Der Dämon weiß zwar genau was der Magier von ihm Willenskraft, kann aber nur mit seiner Eigenen Intelligenz versuchen den Auftrag zu erfüllen. Ein Wurmdämon wird wohl keine Algebra Aufgabe lösen können. So ballt der Auftrag erfüllt ist, ist der Dämon wieder absolut Frei und verspürt nicht mehr Freundschaft als vor dem Zauber zum Magus.</t>
  </si>
  <si>
    <t>#spruchmagie_beherrschung_4_furcht</t>
  </si>
  <si>
    <t>Furcht</t>
  </si>
  <si>
    <t>Das Opfer gerät in Panik und läuft so schnell es kann vom Magus weg. Dabei rennt es so lange bis Es vor Erschöpfung Bewusstlos wird, dann fällt der Zauber von selbst. Außerdem wirft Es alles von sich was ihm am laufen hindert.</t>
  </si>
  <si>
    <t>#spruchmagie_beherrschung_4_verwirrung</t>
  </si>
  <si>
    <t>Verwirrung</t>
  </si>
  <si>
    <t xml:space="preserve">Das Opfer vergisst für W6+3x {Magie} Sekunden wer Er ist, wo Er ist, was Er gerade dort tut und all die Leute die Er in seinem Leben kennen gelernt hat ,sind nur noch fremde. Er verliert all seine Optional Fertigkeiten (außer Sprache). Kampf und Optional bleiben Ihm aber erhalten! Sollte er sich gerade im Kampf befinden, so verliert er die Initiative und kann 1 Kampfrunde lang nur mit PA und AW Klasse -1 Parieren oder Ausweichen. Und dann 2 weitere Kampfrunden lang nur ganz normal Parieren und Ausweichen.       </t>
  </si>
  <si>
    <t>#spruchmagie_beherrschung_5_herrschaft_ueber_elementare</t>
  </si>
  <si>
    <t>Herrschaft über Elementare</t>
  </si>
  <si>
    <t>Ein freier (nicht von einem anderen Magus beherrschter) Elementar hat eine Intelligenz-Probe erschwert um die Differenz von der {M} des Margus und des Opfers. Und alle 12 Stunden eine weitere. Wenn sie gelingt fällt der Zauber.1 und 29 sind immer ein Erfolg. Ansonsten wird der Elementar zu einem Willenskraftenlosen Sklaven des Magus. Es wird auf Wort hören, ganz so als währe es ein Absolut untertäniger Diner. Der Elementar weis zwar immer genau was der Magus von ihm Willenskraft ist aber nicht Intelligenzelligenter als vorher oder verfügt nicht über neue Fertigkeiten. Eine Stroh dummer Elementar wird es wohl nicht schaffen den Banksafe ohne Gewalt zu öffnen.</t>
  </si>
  <si>
    <t>#spruchmagie_beherrschung_5_massenfurcht</t>
  </si>
  <si>
    <t>Massenfurcht</t>
  </si>
  <si>
    <t>Die Opfer geraten in Panik und laufen so schnell sie können vom Magus weg. Dabei rennen Sie so lange bis Sie vor Erschöpfung Bewusstlos werden, dann fällt der Zauber von selbst. Außerdem werfen Sie alles von sich was Sie am laufen hindert.</t>
  </si>
  <si>
    <t>#spruchmagie_beherrschung_5_paralyse</t>
  </si>
  <si>
    <t>Paralyse</t>
  </si>
  <si>
    <t xml:space="preserve">Das Opfer erstarrt während der Wirkungsdauer vollständig ist aber bewegbar. Der Magus kann versuchen Maximal {Magie} Lebewesen in Sicht und Reichweite gleichzeitig zu Paralysieren, allerdings addiert sich die {M} aller Opfer bei der Beherrschungsprobe gegen die {M} des Magus auf. </t>
  </si>
  <si>
    <t>#spruchmagie_beherrschung_6_herrschaft_ueber_freie_daemonen</t>
  </si>
  <si>
    <t>Herrschaft über freie Dämonen</t>
  </si>
  <si>
    <t>Ein freier (nicht von einem anderen Magus beherrschter) Dämon hat eine Intelligenz-Probe erschwert um die Differenz von der {M} des Margus und des Opfers. Und alle 12 Stunden eine weitere. Wenn sie gelingt fällt der Zauber.1 und 29 sind immer ein Erfolg. Ansonsten wird der Dämon zu einem Willenskraftenlosen Sklaven des Magus. Es wird aufs Wort hören, ganz so als währe es ein Absolut untertäniger Diner. Der Dämon weis zwar immer genau was der Magus von ihm Willenskraft ist aber nicht Intelligenzelligenter als vorher oder verfügt nicht über neue Fertigkeiten. Eine Stroh dummer Dämon wird es wohl nicht schaffen den Banksafe ohne Gewalt zu öffnen. Kontrollreichweite= {M} *10m</t>
  </si>
  <si>
    <t>#spruchmagie_beherrschung_6_maechtige_tierherrschaft</t>
  </si>
  <si>
    <t>Mächtige Tierherrschaft</t>
  </si>
  <si>
    <t>Das Tier wird zu einem Willenskraftenlosen Sklaven des Magus. Es wird auf Wort hören, ganz so als währe es ein Absolut Perfekt ausgebildeter Muster Hund. Das Tier weis zwar immer genau was der Magus von ihm Willenskraft ist aber nicht Intelligenzelligenter als vorher oder verfügt nicht über neue Fertigkeiten. Eine Ratte wird es wohl nicht schaffen das Zauberbuch des Magus abzuschreiben, ein Drache aber wohl schon.</t>
  </si>
  <si>
    <t>#spruchmagie_beherrschung_6_totale_kontrolle</t>
  </si>
  <si>
    <t>Totale Kontrolle</t>
  </si>
  <si>
    <t xml:space="preserve">Der Magus übernimmt die Kontrolle über den Körper des Opfers. Er sieht durch die Augen des Opfers wie durch seine eigenen und kann sich ganz normal im Körper seines Opfers bewegen. Die Schmerzen seines Opfers fühlt der magus auch, allerdings nur sehr schwach niemals über TS des Magus. Der Körper des magus befindet sich solange in einer art Schlafzustand. Sollte der Magus angegriffen werden oder jemand neben ihm eine Feuerwaffe abfeuern. Wacht er auf und der Zauber fällt.    </t>
  </si>
  <si>
    <t>#spruchmagie_beherrschung_6_totale_tier_kontrolle</t>
  </si>
  <si>
    <t>Totale Tier Kontrolle</t>
  </si>
  <si>
    <t>Der Magus übernimmt die Kontrolle über den Körper des Opfers. Er sieht durch die Augen des Opfers wie durch seine eigenen und kann sich ganz normal im Körper seines Opfers bewegen. Die Schmerzen seines Opfers fühlt der magus auch, allerdings nur sehr schwach niemals über TS des Magus. Der Körper des magus befindet sich solange in einer art Schlafzustand. Sollte der Magus angegriffen werden oder jemand neben ihm eine Feuerwaffe abfeuern. Wacht er auf und der Zauber fällt.    Kontrollreichweite= {M} *10m</t>
  </si>
  <si>
    <t>#spruchmagie_beherrschung_7_maechtige_elementar_herrschaft</t>
  </si>
  <si>
    <t>Mächtige Elementar Herrschaft</t>
  </si>
  <si>
    <t>Ein freier (nicht von einem anderen Magus beherrschter) Elementar hat eine Willenskraft-Probe erschwert um die Differenz von der {M} des Margus (Macht x2) und des Opfers (Macht x1). Und alle 24 Stunden eine weitere. Wenn sie gelingt fällt der Zauber.1 und 29 sind immer ein Erfolg. Ansonsten wird der Elementar zu einem Willenskraftenlosen Sklaven des Magus. Es wird auf Wort hören, ganz so als währe es ein Absolut untertäniger Diner. Der Elementar weis zwar immer genau was der Magus von ihm Willenskraft ist aber nicht Intelligenzelligenter als vorher oder verfügt nicht über neue Fertigkeiten. Eine Stroh dummer Elementar wird es wohl nicht schaffen den Banksafe ohne Gewalt zu öffnen.</t>
  </si>
  <si>
    <t>#spruchmagie_beherrschung_7_massen_raserei</t>
  </si>
  <si>
    <t>Massen Raserei</t>
  </si>
  <si>
    <t>Die Opfer drehen total durch und greift das nächstliegende Ziel , was Sie am wenigsten Mögen an. Die Opfer können sich sein Ziel selbst aussuchen, müssen aber jemanden Angreifen. Die Opfer sind blind vor Zorn und können sich nicht mehr Konzentrieren, jegliche Magische Handlung ist unmöglich. Es bekommt Ini und Mut+3.</t>
  </si>
  <si>
    <t>#spruchmagie_beherrschung_7_menschen_befehligen</t>
  </si>
  <si>
    <t>Menschen befehligen</t>
  </si>
  <si>
    <t xml:space="preserve">Das Opfer muss dem Befehl des Magus sofort folge leisten. Egal was er gerade tut, er wird damit aufhören um seinen neuen Lebensinhalt nach zu gehen.  Der Mensch weiß zwar genau was der Magier von ihm Willenskraft, kann aber nur mit seiner Eigenen Intelligenz versuchen den Auftrag zu erfüllen. Ein Torfkopf  wird wohl keine Algebra Aufgabe lösen können. So ballt der Auftrag erfüllt ist, ist der Mensch wieder absolut Frei. Der Zauber funktioniert nicht wenn sich das Opfer selbst umbringen soll. (Unbewaffnet gegen Bulwar antreten zählt dazu.) </t>
  </si>
  <si>
    <t>#spruchmagie_erdbeschwoerung_1_steinfaust</t>
  </si>
  <si>
    <t>Steinfaust</t>
  </si>
  <si>
    <t>Die Fäuste des Magiers verursachen zusätzlichen Elementarschaden. Schaden: W8 + {Magie}, RB 3.</t>
  </si>
  <si>
    <t>#spruchmagie_erdbeschwoerung_1_steinfaust_nr</t>
  </si>
  <si>
    <t>Steinfaust NR</t>
  </si>
  <si>
    <t xml:space="preserve">Die Fäuste des Magiers verursachen zusätzlichen Erde-Elementarschaden. Schaden: W10 + {Magie}; RB 4 </t>
  </si>
  <si>
    <t>#spruchmagie_erdbeschwoerung_1_steinkugel</t>
  </si>
  <si>
    <t>Steinkugel</t>
  </si>
  <si>
    <t>Der Magus erschafft einen Ball aus Erde. Schaden: 2W4 + {Magie}, RB 6.</t>
  </si>
  <si>
    <t>#spruchmagie_erdbeschwoerung_1_steinkugel_nr</t>
  </si>
  <si>
    <t>Steinkugel NR</t>
  </si>
  <si>
    <t>Der Magus erschafft einen Ball aus Stein. Bis {M} m Glücks-Probe, ab {M} m Ausweichen-Probe, um dem Schaden zu entgehen. Treffer auf FK-TZ (W30). Fluggeschwindigkeit ist {M}:2 m/s. Schaden: 2W6 + {Magie}; RB 3 Pro 2 sec zusätzlicher Zauberdauer (max. {Magie}+1 sec) kann der Magus den Schaden um 1W6 und RB 3 erhöhen.</t>
  </si>
  <si>
    <t>#spruchmagie_erdbeschwoerung_2_steinschuss</t>
  </si>
  <si>
    <t>Steinschuss</t>
  </si>
  <si>
    <t>Der Magus erschafft einen Bolzen aus Erde. Treffer auf FK-TZ. Schaden: 2W6 + {Magie}; RB: 6 + {Magie}*2</t>
  </si>
  <si>
    <t>#spruchmagie_erdbeschwoerung_2_steinschuss_nr</t>
  </si>
  <si>
    <t>Steinschuss NR</t>
  </si>
  <si>
    <t>Der Magus erschafft einen Bolzen aus Stein. Bis {M}m Glücks-Probe, bis {M}*2m AW:2, danach AW, um dem Schaden zu entgehen. Fluggeschwindigkeit ist {M}m/s. Treffer auf FK (W30). Schaden: 2W8 + {Magie}; RB: {Magie}*2 + 4</t>
  </si>
  <si>
    <t>#spruchmagie_erdbeschwoerung_3_grosse_steinfaust</t>
  </si>
  <si>
    <t>Große Steinfaust</t>
  </si>
  <si>
    <t>Die Fäuste des Magiers verursachen zusätzlichen Elementarschaden von   2W12+{Magie}, RB 9.</t>
  </si>
  <si>
    <t>#spruchmagie_erdbeschwoerung_3_grosse_steinfaust_nr</t>
  </si>
  <si>
    <t>Große Steinfaust NR</t>
  </si>
  <si>
    <t xml:space="preserve">Die Fäuste des Magiers verursachen zusätzlichen Elementarschaden von 2W15+{Magie}, RB 9 </t>
  </si>
  <si>
    <t>#spruchmagie_erdbeschwoerung_4_grosse_steinkugel</t>
  </si>
  <si>
    <t>Große Steinkugel</t>
  </si>
  <si>
    <t>Der Magus erschafft einen Ball aus Erde. Schaden: W12 + {Magie}, RB 5, auf jede Trefferzone.</t>
  </si>
  <si>
    <t>#spruchmagie_erdbeschwoerung_4_grosse_steinkugel_nr</t>
  </si>
  <si>
    <t>Große Steinkugel NR</t>
  </si>
  <si>
    <t xml:space="preserve">Der Magus erschafft einen Ball aus einem Element. Bis {M}:2 m Glücks-Probe, ab {M}:2 m Ausweichen-Probe, um dem Schaden zu entgehen. Fluggeschwindigkeit ist {M}:2 m/s. Schaden: W15 + {Magie}*2, RB 21 auf jede Trefferzone. </t>
  </si>
  <si>
    <t>#spruchmagie_feuerbeschwoerung_1_feuerball</t>
  </si>
  <si>
    <t>Feuerball</t>
  </si>
  <si>
    <t>Der Magus erschafft einen Ball aus Feuer. Schaden: 2W6 + {Magie}.</t>
  </si>
  <si>
    <t>#spruchmagie_feuerbeschwoerung_1_feuerball_nr</t>
  </si>
  <si>
    <t>Feuerball NR</t>
  </si>
  <si>
    <t>Der Magus erschafft einen Ball aus Feuer.  Bis {M}:2 m Glücks-Probe, ab {M}:2 m Ausweichen-Probe, um dem Schaden zu entgehen. Treffer auf FK-TZ (W30). Fluggeschwindigkeit ist {M}:2 m/s.   Schaden: 2W8 + {Magie} Pro 2 sec zusätzlicher Zauberdauer (max. {Magie}+1 sec) kann der Magus den Schaden um max.1W8 erhöhen.</t>
  </si>
  <si>
    <t>#spruchmagie_feuerbeschwoerung_1_flammenfaust</t>
  </si>
  <si>
    <t>Flammenfaust</t>
  </si>
  <si>
    <t>Die Fäuste des Magiers verursachen zusätzlichen Elementarschaden.   Schaden:   W10 + {Magie}</t>
  </si>
  <si>
    <t>#spruchmagie_feuerbeschwoerung_1_flammenfaust_nr</t>
  </si>
  <si>
    <t>Flammenfaust NR</t>
  </si>
  <si>
    <t xml:space="preserve">Die Fäuste des Magiers verursachen zusätzlichen Feuer-Elementarschaden.   Schaden:  W15 + {Magie}   </t>
  </si>
  <si>
    <t>#spruchmagie_feuerbeschwoerung_2_feuerpfeil</t>
  </si>
  <si>
    <t>Feuerpfeil</t>
  </si>
  <si>
    <t>Der Magus erschafft einen Bolzen aus Feuer. Treffer auf FK-TZ. Schaden: 2W8 + {Magie}; RB: {Magie}*2</t>
  </si>
  <si>
    <t>#spruchmagie_feuerbeschwoerung_2_feuerpfeil_nr</t>
  </si>
  <si>
    <t>Feuerpfeil NR</t>
  </si>
  <si>
    <t>Der Magus erschafft einen Bolzen aus Feuer. Bis {M}m Glücks-Probe, bis {M}*2m AW:2, danach AW, um dem Schaden zu entgehen. Fluggeschwindigkeit ist {M}m/s. Treffer auf FK (W30). Schaden: 2W10 + {Magie}; RB: {Magie}*2</t>
  </si>
  <si>
    <t>#spruchmagie_feuerbeschwoerung_3_grosse_flammenfaust</t>
  </si>
  <si>
    <t>Große Flammenfaust</t>
  </si>
  <si>
    <t>Die Fäuste des Magiers verursachen zusätzlichen Elementarschaden von   2W15+{Magie}</t>
  </si>
  <si>
    <t>#spruchmagie_feuerbeschwoerung_3_grosse_flammenfaust_nr</t>
  </si>
  <si>
    <t>Große Flammenfaust NR</t>
  </si>
  <si>
    <t xml:space="preserve">Die Fäuste des Magiers verursachen zusätzlichen Feuer-Elementarschaden von   2W20+{Magie}  </t>
  </si>
  <si>
    <t>#spruchmagie_feuerbeschwoerung_4_grosser_feuerball</t>
  </si>
  <si>
    <t>Großer Feuerball</t>
  </si>
  <si>
    <t>Der Magus erschafft einen Ball aus Feuer. Schaden: W15 + {Magie} auf jede Trefferzone.</t>
  </si>
  <si>
    <t>#spruchmagie_feuerbeschwoerung_4_grosser_feuerball_nr</t>
  </si>
  <si>
    <t>Großer Feuerball NR</t>
  </si>
  <si>
    <t xml:space="preserve">Der Magus erschafft einen Ball aus Feuer.  Bis {M}:2 m Glücks-Probe, ab {M}:2 m Ausweichen-Probe, um dem Schaden zu entgehen. Fluggeschwindigkeit ist {M}:2 m/s.  Schaden: W20 + {Magie}*2 auf jede Trefferzone.  </t>
  </si>
  <si>
    <t>#spruchmagie_heilung_1_ruhiger_schlaf</t>
  </si>
  <si>
    <t>Ruhiger Schlaf</t>
  </si>
  <si>
    <t>Heilung</t>
  </si>
  <si>
    <t>Der Magus schenkt seinem Ziel einen ruhigen, traumlosen Schlaf. Die Regeneration wird um eine W-Stufe erhöht, wenn das Ziel mindestens 6 Stunden schläft. Der Schlaf ist tiefer als gewöhnlicher Schlaf, weshalb Sinnesschärfen-Proben zum Aufwachen zusätzlich um 6 erschwert sind.</t>
  </si>
  <si>
    <t>#spruchmagie_heilung_1_schmerz_unterdruecken</t>
  </si>
  <si>
    <t>Schmerz unterdrücken</t>
  </si>
  <si>
    <t>Der Magus senkt Behinderungen, die durch beliebige Schadenswirkungen entstanden sind, um maximal {Magie} * 2 Punkte.</t>
  </si>
  <si>
    <t>#spruchmagie_heilung_1_wunden_schliessen</t>
  </si>
  <si>
    <t>Wunden schließen</t>
  </si>
  <si>
    <t>Der Magus schließt eine Wunde (1 Blutung stoppen) und heilt auf der selben Trefferzone W6 (maximal {Magie}) LE.</t>
  </si>
  <si>
    <t>#spruchmagie_heilung_1_zwang_unterdruecken</t>
  </si>
  <si>
    <t>Zwang unterdrücken</t>
  </si>
  <si>
    <t>Der Magus hilft dem Opfer, einem psychischen Zwang für die Wirkungsdauer zu entgehen. Dies schließt alle psychischen Drogenabhängigkeiten und Süchte ein, magische Zwänge sind hiervon nicht betroffen.</t>
  </si>
  <si>
    <t>#spruchmagie_heilung_2_ausdauer_wiederherstellen</t>
  </si>
  <si>
    <t>Ausdauer wiederherstellen</t>
  </si>
  <si>
    <t>Das Ziel regeneriert auf der Stelle {M} Ausdauer.</t>
  </si>
  <si>
    <t>#spruchmagie_heilung_2_entzug_lindern</t>
  </si>
  <si>
    <t>Entzug lindern</t>
  </si>
  <si>
    <t xml:space="preserve">Alle Entzugserscheinungen, die durch physische Abhängigkeiten entstehen, werden hierdurch um die Hälfte reduziert. </t>
  </si>
  <si>
    <t>#spruchmagie_heilung_2_kleine_heilung</t>
  </si>
  <si>
    <t>Kleine Heilung</t>
  </si>
  <si>
    <t xml:space="preserve">Der Magus schließt eine Wunde (1 Blutung stoppen) und heilt 2W6 + {Magie} Lebensenergie auf einer Trefferzone. Überschüssige LE verfallen. </t>
  </si>
  <si>
    <t>#spruchmagie_heilung_2_schlaf_der_heilung</t>
  </si>
  <si>
    <t>Schlaf der Heilung</t>
  </si>
  <si>
    <t>Der Magus kann seinem Ziel einen ruhigen, traumlosen Schlaf schenken. Die Regeneration wird um zwei W-Stufen + {Magie}*2 erhöht, wenn das Ziel mindestens 6 Stunden schläft. Der Schlaf ist tiefer als gewöhnlicher Schlaf, weshalb Sinnesschärfen-Proben zum Aufwachen um 12 erschwert.</t>
  </si>
  <si>
    <t>#spruchmagie_heilung_3_gift_lindern</t>
  </si>
  <si>
    <t>Gift lindern</t>
  </si>
  <si>
    <t>Die Wirkung aller Gifte im Organismus des Ziels wird halbiert, während sich die Wirkzeit des Giftes verdoppelt. Nach Ablauf der Wirkungsdauer normalisieen sich Wirkzeit und Wirkung von Giften.</t>
  </si>
  <si>
    <t>#spruchmagie_heilung_3_koma_der_heilung</t>
  </si>
  <si>
    <t>Koma der Heilung</t>
  </si>
  <si>
    <t>Der Magus versetzt sein Ziel in ein Koma, aus dem das Opfer nicht vor Ablauf der Wirkungs-dauer aufwachen kann. Sollte das Ziel an der Schwelle zum Tod stehen, verfünffachen sich alle Fristen. Alle Wunden schließen sich. Die Regeneration beträgt W30+{Magie}*3. Das Opfer liegt pro 3 Punkte LE-Regeneration eine Stunde im Koma.</t>
  </si>
  <si>
    <t>#spruchmagie_heilung_3_krankheit_heilen</t>
  </si>
  <si>
    <t>Krankheit heilen</t>
  </si>
  <si>
    <t>Eine unmagische Krankheit wird geheilt. Dies bedeutet, dass der Auslöser der Krankheit unwirksam geworden ist und Begleiterscheinungen wie z. B. Fieber erst abklingen müssen, damit eine vollständige Heilung aller Symptome eintritt.</t>
  </si>
  <si>
    <t>#spruchmagie_heilung_3_mittlere_heilung</t>
  </si>
  <si>
    <t>Mittlere Heilung</t>
  </si>
  <si>
    <t xml:space="preserve">Der Magus schließt eine Wunde (1 Blutung stoppen) und heilt 2W10 + {Magie} Lebensenergie auf einer Trefferzone. Überschüssige LE verfallen. </t>
  </si>
  <si>
    <t>#spruchmagie_heilung_4_defibrillator</t>
  </si>
  <si>
    <t>Defibrillator</t>
  </si>
  <si>
    <t xml:space="preserve">Der Magus kann das Herz seines Zieles wieder zum Schlagen bringen. Nach Anwendung des Zaubers lebt das Ziel garantiert weitere {Magie} min. Ist das Herz zerstört (durch Schadenseinwirkung auf TZ Herz oder durch natürliche Herzprobleme), erzielt der Zauber keinen Erfolg. Dieser Zauber kann bei Herzinfarkten oder durch beliebige Schockwirkungen entstandenen Herzstillständen das Leben des Ziels verlängern. Muss der Defibrillator ein zweites Mal binnen eines Tages eingesetzt werden, verdoppeln sich die Erschwerungen. </t>
  </si>
  <si>
    <t>#spruchmagie_heilung_4_entseuchung</t>
  </si>
  <si>
    <t>Entseuchung</t>
  </si>
  <si>
    <t>Das Ziel wird von den Einflüssen unmagischer Giftstoffe befreit. Gifte beenden ihre Wirkung mit Ablauf der Effektdauer.</t>
  </si>
  <si>
    <t>#spruchmagie_heilung_4_gesundheit_wiederherstellen</t>
  </si>
  <si>
    <t>Gesundheit wiederherstellen</t>
  </si>
  <si>
    <t>Das Ziel regeneriert W8 Gesundheit. Überschüssige Punkte verfallen, alle Wunden schließen sich.</t>
  </si>
  <si>
    <t>#spruchmagie_heilung_4_grosse_heilung</t>
  </si>
  <si>
    <t>Große Heilung</t>
  </si>
  <si>
    <t xml:space="preserve">Der Magus kann alle Wunden schließen und Blutungen stoppen. Das Ziel regeneriert 2W15 + {Magie} Lebensenergie auf allen Trefferzonen verteilt. Überschüssige LE verfallen. </t>
  </si>
  <si>
    <t>#spruchmagie_heilung_4_kleine_fernheilung</t>
  </si>
  <si>
    <t>Kleine Fernheilung</t>
  </si>
  <si>
    <t xml:space="preserve">Das Ziel regeneriert 2W6 + {Magie} Lebensenergie auf alle Trefferzonen verteilt. Überschüssige LE verfallen. </t>
  </si>
  <si>
    <t>#spruchmagie_heilung_5_gliedmassen_nachwachsen_lassen</t>
  </si>
  <si>
    <t>Gliedmaßen nachwachsen lassen</t>
  </si>
  <si>
    <t>Ein abgetrenntes Gliedmaß des Ziels wächst in seiner natürlichen Form nach. Die Lebensenergie des nachgewachsenen Körperteils beträgt ein Viertel der vollen Lebensenergie. Pro Minute Effektdauer muss das Opfer eine SB-Probe erschwert um die gesamte LE des Körperteils ablegen.</t>
  </si>
  <si>
    <t>#spruchmagie_heilung_5_grosser_gesundheit_wiederherstellen</t>
  </si>
  <si>
    <t>Großer Gesundheit wiederherstellen</t>
  </si>
  <si>
    <t>Der Magus kann alle Wunden schließen und Blutungen stoppen. Das Ziel regeneriert W12 Gesundheit. Überschüssige Punkte verfallen.</t>
  </si>
  <si>
    <t>#spruchmagie_heilung_5_maechtige_heilung</t>
  </si>
  <si>
    <t>Mächtige Heilung</t>
  </si>
  <si>
    <t xml:space="preserve">Der Magus kann alle Wunden schließen und Blutungen stoppen. Das Ziel regeneriert 2W30 + {Magie} Lebensenergie auf allen Trefferzonen verteilt. Überschüssige LE verfallen. </t>
  </si>
  <si>
    <t>#spruchmagie_heilung_5_mittlere_fernheilung</t>
  </si>
  <si>
    <t>Mittlere Fernheilung</t>
  </si>
  <si>
    <t xml:space="preserve">Das Ziel regeneriert 2W10 + {Magie} Lebensenergie auf alle Trefferzonen verteilt. Überschüssige LE verfallen. </t>
  </si>
  <si>
    <t>#spruchmagie_heilung_5_selbstbeherrschung_erhoehen</t>
  </si>
  <si>
    <t>Selbstbeherrschung erhöhen</t>
  </si>
  <si>
    <t>Die Selbstbeherrschung des Ziels wird um {M} Punkte erhöht.</t>
  </si>
  <si>
    <t>#spruchmagie_heilung_6_gesundheit_erhoehen</t>
  </si>
  <si>
    <t>Gesundheit erhöhen</t>
  </si>
  <si>
    <t xml:space="preserve">Die Gesundheit des Ziels wird um {Magie} * 2 Punkte erhöht. Sollte das Ziel während der Wirkungsdauer Schaden auf die Gesundheit bekommen, wird zuerst die magische Erhöhung abgezogen, die Wirkung des Zaubers endet mit Verlust des letzten Bonuspunkts automatisch.  </t>
  </si>
  <si>
    <t>#spruchmagie_heilung_6_grosse_fernheilung</t>
  </si>
  <si>
    <t>Große Fernheilung</t>
  </si>
  <si>
    <t xml:space="preserve">Das Ziel regeneriert 2W15 + {Magie} Lebensenergie auf alle Trefferzonen verteilt. Überschüssige LE verfallen. </t>
  </si>
  <si>
    <t>#spruchmagie_heilung_6_maechtige_entseuchung</t>
  </si>
  <si>
    <t>Mächtige Entseuchung</t>
  </si>
  <si>
    <t>Das Ziel wird von den Einflüssen unmagischer und magischer Giftstoffe befreit. Gifte beenden ihre Wirkung mit Ablauf der Effektdauer.</t>
  </si>
  <si>
    <t>#spruchmagie_heilung_6_magische_krankheit_heilen</t>
  </si>
  <si>
    <t>Magische Krankheit heilen</t>
  </si>
  <si>
    <t>Eine magische Krankheit wird geheilt. Dies bedeutet, dass der Auslöser der Krankheit unwirksam geworden ist und Begleiterscheinungen wie z. B. Fieber erst abklingen muss, damit eine vollständige Heilung eintritt.</t>
  </si>
  <si>
    <t>#spruchmagie_heilung_6_regeneration_im_kampf</t>
  </si>
  <si>
    <t>Regeneration im Kampf</t>
  </si>
  <si>
    <t>Der Magus regeneriert pro KR {Magie} LE auf alle Trefferzonen verteilt oder verschließt eine Wunde pro KR.</t>
  </si>
  <si>
    <t>#spruchmagie_heilung_6_tod_verzoegern</t>
  </si>
  <si>
    <t>Tod verzögern</t>
  </si>
  <si>
    <t>Der Zeitpunkt, zu dem der Tod eines Ziels Eintreten würde, wird um {Magie}*3 min herausgezögert. Der Magus darf die Verbindung zum Ziel nicht lösen, sonst fällt der Zauber und die natürliche Todesfrist setzt wieder ein.</t>
  </si>
  <si>
    <t>#spruchmagie_heilung_7_maechtige_fernheilung</t>
  </si>
  <si>
    <t>Mächtige Fernheilung</t>
  </si>
  <si>
    <t xml:space="preserve">Das Ziel regeneriert 2W30 + {Magie} Lebensenergie auf alle Trefferzonen verteilt. Überschüssige LE verfallen. </t>
  </si>
  <si>
    <t>#spruchmagie_heilung_7_totale_regeneration</t>
  </si>
  <si>
    <t>Totale Regeneration</t>
  </si>
  <si>
    <t>Das Ziel regeneriert alle verlorenen LE auf allen noch vorhandenen Trefferzonen und die volle Gesundheit, alle Wunden schließen sich.</t>
  </si>
  <si>
    <t>#spruchmagie_heilung_7_trefferschwelle_erhoehen</t>
  </si>
  <si>
    <t>Trefferschwelle erhöhen</t>
  </si>
  <si>
    <t>Die Trefferschwelle des Ziels wird um {Magie} erhöht.</t>
  </si>
  <si>
    <t>#spruchmagie_heilung_7_wiederbelebung</t>
  </si>
  <si>
    <t>Wiederbelebung</t>
  </si>
  <si>
    <t>Das Ziel regeneriert alle Wunden; Tote können nur bis zum Beginn des nächsten Mondes aber max. {M} Tage nach ihrem Tod wiedererweckt werden. Anwachsen des Kopfes/Rumpfes bis zur Wiederbelebung. Nur wenn der Tod weniger als 24h zurückliegt, entstehen keine permanenten EP-Kosten, ansonsten verliert das Opfer 10% seiner EP.</t>
  </si>
  <si>
    <t>#spruchmagie_hellsicht_1_artefakt_erkennen</t>
  </si>
  <si>
    <t>Artefakt erkennen</t>
  </si>
  <si>
    <t>Hellsicht</t>
  </si>
  <si>
    <t>#spruchmagie_hellsicht_1_daemmerungssicht</t>
  </si>
  <si>
    <t>Dämmerungssicht</t>
  </si>
  <si>
    <t xml:space="preserve">Der Anwender kann in der Dunkelheit so gut sehen wie am hellichten Tag. Damit dieser Effekt eintreten kann, muss Restlicht vorhanden sein. In vollkommener Dunkelheit ist dieser Zauber keine Hilfe. </t>
  </si>
  <si>
    <t>#spruchmagie_hellsicht_2_durchblick</t>
  </si>
  <si>
    <t>Durchblick</t>
  </si>
  <si>
    <t>Der Magus kann durch eine unbewegliche,      {M} * 2 cm durchmessende Röhre durch beliebige Materie schauen. Diese darf eine maximale Dicke von {M} * 6 cm haben. Entdeckte Ziele können normal anvisiert werden.</t>
  </si>
  <si>
    <t>#spruchmagie_hellsicht_2_infrarotsicht</t>
  </si>
  <si>
    <t>Infrarotsicht</t>
  </si>
  <si>
    <t>Das Ziel verliert seine derzeitige Wahrnehmung und gewinnt stattdessen Infrarotsicht.</t>
  </si>
  <si>
    <t>#spruchmagie_hellsicht_3_astralsicht</t>
  </si>
  <si>
    <t>Astralsicht</t>
  </si>
  <si>
    <t>Der Magier verliert seine natürliche Wahrnehmung, gewinnt dafür aber Astralsicht. Er erkennt Auren in den Abstufungen schwach/mittel/stark/heilig (bis Grad 3/5/7/7+). Abhängig von der natürlichen magischen Hintergrundstrahlung sind alle Bewegungen, NK|FK-Aktionen erschwert (Meisterentscheid).Unbelebte Materie kann nur schemenhaft wahrgenommen werden.</t>
  </si>
  <si>
    <t>#spruchmagie_hellsicht_3_blick_aufs_wesen</t>
  </si>
  <si>
    <t>Blick aufs Wesen</t>
  </si>
  <si>
    <t>Der Magus gewinnt einen Eindruck von dem Wesen seines Opfers. Das bedeutet, dass er einen kurzen Blick auf den „Gesinnungsbogen“ des Opfers werfen darf. Der Meister hat darauf zu achten, dass die Zeit der Wirkungsdauer des Zaubers entspricht. Bei Tieren oder Elementaren müssen Kategorien wie Freundlich/Feindlich/Satt/Hungrig etc ausreichen.</t>
  </si>
  <si>
    <t>#spruchmagie_hellsicht_4_aura_analysieren</t>
  </si>
  <si>
    <t>Aura analysieren</t>
  </si>
  <si>
    <t>Der Magus kann Fähigkeiten und Artefakte einer anderen Aura erkennen. Das bedeutet, dass er einen kurzen Blick auf den „Hauptseite des Charakterblatts“ sowie den Artefaktbogen des Opfers werfen darf. Der Meister hat darauf zu achten, dass die Zeit der Wirkungsdauer des Zaubers entspricht.</t>
  </si>
  <si>
    <t>#spruchmagie_hellsicht_4_blick_durch_fremde_augen</t>
  </si>
  <si>
    <t>Blick durch fremde Augen</t>
  </si>
  <si>
    <t>Der Magus kann durch die Augen einer Person blicken, von der er einen Fokus (ein Haar/Fingernagel etc.) besitzt. Besitzt er keinen Fokus, werden alle Proben erschwert: Enge persönliche Bindung *1,5; Vertrautheit *2; gute Bekannte *2,5; Bekannte *3; flüchtige Bekannte *3,5. Hat er die Person noch nie berührt, ist das Wirken des Zaubers unmöglich. Der Magus nimmt alles genauso wahr wie das Opfer, nimmt das Opfer Schaden, muss der Magus die selben SB-Proben wie das Opfer ablegen. Während der gesamten Effekt- und Wirkungsdauer ist der Magus bewegungsunfähig und nimmt den eigenen Körper nicht wahr. Der Magus kann durch Astralsicht entdeckt werden. Er benötigt sowohl auf dem Hin- als auch auf dem Rückweg eine gewisse Zeit, um sich zurecht zu finden (Effektdauer!)</t>
  </si>
  <si>
    <t>#spruchmagie_hellsicht_5_blick_in_die_gedanken</t>
  </si>
  <si>
    <t>Blick in die Gedanken</t>
  </si>
  <si>
    <t>Der Magus konzentriert sich auf sein Opfer und kann dessen oberflächliche Gedanken lesen, aber keinerlei Einfluss auf sie nehmen. Weiß das Opfer, dass seine Gedanken belauscht werden, kann es an etwas anderes denken. Natürlich kann der Magus während der Wirkungsdauer zielführende Fragen stellen.</t>
  </si>
  <si>
    <t>#spruchmagie_hellsicht_6_kampfmaschine</t>
  </si>
  <si>
    <t>Kampfmaschine</t>
  </si>
  <si>
    <t>Der Magus verschmilzt mit der Waffe, die er gerade führt. Dies führt zu einer Erleichterung von {Magie} auf alle kampfrelevanten Proben, bei denen die Waffe zum Einsatz kommt. Der Zauber wirkt nur auf eine Waffe, die innerhalb der Aura des Magus ist. Verliert der Magus die Waffe, fällt der Zauber.</t>
  </si>
  <si>
    <t>#spruchmagie_hellsicht_7_blick_in_die_zukunft</t>
  </si>
  <si>
    <t>Blick in die Zukunft</t>
  </si>
  <si>
    <t>Der Magus vermag eine KR in die Zukunft zu blicken. Hierdurch ist er automatisch als Erster an der Initiative und hat alle kampfrelevanten Proben um {Magie} erleichtert. Nach Ende der Wirkungsdauer muss der Magus die Initiative neu bestimmen.</t>
  </si>
  <si>
    <t>#spruchmagie_illusion_1_funkentanz</t>
  </si>
  <si>
    <t>Funkentanz</t>
  </si>
  <si>
    <t>Illusion</t>
  </si>
  <si>
    <t xml:space="preserve">Der Magus erzeugt viele kleine Lichtfunken, die rund um seinen Körper fliegen. Hierdurch wird es für jeden Gegner um {Magie} schwerer, ihn mit einer Nahkampf- oder Fernkampf-Attacke zu treffen. </t>
  </si>
  <si>
    <t>#spruchmagie_illusion_1_licht</t>
  </si>
  <si>
    <t>Licht</t>
  </si>
  <si>
    <t>Ein Gegenstand fängt in einer bei der Erlernung des Zaubers fest ausgesuchten Farbe an zu leuchten. Der leuchtende Gegenstand wird dabei maximal so hell wie {M}*2 Fackeln.Der Gegenstand darf ein maximales Volumen von {Magie}*3 Litern haben.Der Magus muss beim Erschaffen Lichtstärke und Strahlungswinkel (Rundumleucht, Kegelform, Strahl) festlegen.</t>
  </si>
  <si>
    <t>#spruchmagie_illusion_1_magische_schriftzeichen</t>
  </si>
  <si>
    <t>Magische Schriftzeichen</t>
  </si>
  <si>
    <t xml:space="preserve">An der vom Magus bestimmten Stelle erscheinen stationäre Schriftzeichen, deren Größe, Form und Erscheinungsbild vom Magus frei gewählt werden können. Es können maximal {M}*5 Zeichen abgebildet werden, die maximal {Magie} * {Magie} m Fläche einnehmen dürfen. </t>
  </si>
  <si>
    <t>#spruchmagie_illusion_1_magische_verkleidung</t>
  </si>
  <si>
    <t>Magische Verkleidung</t>
  </si>
  <si>
    <t xml:space="preserve">Der Magus kann die Illusion erzeugen, dass seine Kleidung, seine Nägel und sein Haar in den gewünschten Zustand versetzt sind. </t>
  </si>
  <si>
    <t>#spruchmagie_illusion_2_blitzlicht</t>
  </si>
  <si>
    <t>Blitzlicht</t>
  </si>
  <si>
    <t>Ein Körperteil des Magus  blitzt grell auf. Jedes ungewarnte Opfer hat eine Glücks-Probe, jedes gewarnte Opfer hat eine Schnelligkeits-Probe, ansonsten ist es für W6 sec blind.(AT|PA-Klasse je -1; BE 10, außer Magie mit Ziel selbst)</t>
  </si>
  <si>
    <t>#spruchmagie_illusion_2_geraeuschillusion</t>
  </si>
  <si>
    <t>Geräuschillusion</t>
  </si>
  <si>
    <t>Der Magus kann seine Stimme oder einfache Laute an einen anderen Ort projizieren. Hierfür muss er seine Stimmbänder nicht einsetzen.</t>
  </si>
  <si>
    <t>#spruchmagie_illusion_2_nebelwand</t>
  </si>
  <si>
    <t>Nebelwand</t>
  </si>
  <si>
    <t>Eine Wand aus Nebel entsteht aus dem Nichts.Länge {M} m, Breite und Höhe {Magie} m. Proben sind entsprechend des Meisterscreens erschwert. Wärmesicht und Astralsicht können diese Wand ohne Einbußen durchdringen. Die Wand bleibt {Magie} sec garantiert bestehen, danach unterliegt sie den Gesetzen der Natur.</t>
  </si>
  <si>
    <t>#spruchmagie_illusion_2_stimme_veraendern</t>
  </si>
  <si>
    <t>Stimme verändern</t>
  </si>
  <si>
    <t>Die Stimme des Magiers verändert sich nach seinem Willen. Es ist nicht möglich, die Stimme eines anderen exakt zu reproduzieren. Akzente und Mundarten werden hierdurch nicht simuliert, dafür benötigt der Magier die entsprechenden Sprachfertigkeiten. Während der Effektdauer ist der Magier im Stimmbruch.</t>
  </si>
  <si>
    <t>#spruchmagie_illusion_2_zweites_gesicht</t>
  </si>
  <si>
    <t>Zweites Gesicht</t>
  </si>
  <si>
    <t>Der Magier legt eine bewegte Illusion über sein Gesicht. Ein Aufmerksamer und misstrauischer Beobachter hat eine um {Magie} * 3 erschwerte Sinnesschärfe-Probe, um die Illusion zu erkennen. Bei einer Berührung des Gesichts können Abweichungen vom optischen Eindruck mit einer Sinnesschärfe-Probe erschwert um {Magie} entdeckt werden.</t>
  </si>
  <si>
    <t>#spruchmagie_illusion_3_dunkelheit</t>
  </si>
  <si>
    <t>Dunkelheit</t>
  </si>
  <si>
    <t>Alle Oberflächen im Radius von {Magie} * 2 m reflektieren kein Licht mehr, was vom Auge als komplette Dunkelheit wahrgenommen wird. (AT|PA-Klasse -1, BE=10) Lichtquellen sind als matte Punkte zu erkennen. Wärmesicht und Astralsicht werden von diesem Zauber nicht beeinträchtigt.</t>
  </si>
  <si>
    <t>#spruchmagie_illusion_3_durchsichtiger_gegenstand</t>
  </si>
  <si>
    <t>Durchsichtiger Gegenstand</t>
  </si>
  <si>
    <t>Ein Gegenstand von maximal {M} l wird durchsichtig. Aus bestimmten Blickwinkeln kann ein durchsichtiger Gegenstand mit einer um {Magie} * 4 erschwerten Sinnesschärfe-Probe entdeckt werden. Wird ein durchsichtiger Gegenstand bewegt, ist zum Entdecken nur eine Sinnesschärfe-Probe erschwert um {Magie} nötig. Auf astraler Ebene ist der Gegenstand normal zu sehen.</t>
  </si>
  <si>
    <t>#spruchmagie_illusion_3_trugbild_der_haesslichkeit</t>
  </si>
  <si>
    <t>Trugbild der Hässlichkeit</t>
  </si>
  <si>
    <t>Die Ausstrahlung des Opfers reduziert sich um {Magie} * 2 Punkte. Das Opfer wirkt abstoßend und fremd. Anweisungen des Opfers müssen eventuell mit Ausstrahlungs+TaW-Proben belegt werden.Die Ausstrahlung kann nicht unter 1 sinken.</t>
  </si>
  <si>
    <t>#spruchmagie_illusion_3_unbewegte_illusion</t>
  </si>
  <si>
    <t>Unbewegte Illusion</t>
  </si>
  <si>
    <t>Der Magus erschafft eine unbewegte dreidimensionale optische Illusion von maximal {Magie} m³. Um die Illusion zu durchschauen, ist eine Sinnesschärfe-Probe erschwert um {Magie} * 3 nötig. Wird die Illusion bewusst berührt, kann der Meister eine Intelligenz-Probe verlangen (muss er aber nicht), um die Illusion zu durchschauen.</t>
  </si>
  <si>
    <t>#spruchmagie_illusion_4_grosser_funkentanz</t>
  </si>
  <si>
    <t>Großer Funkentanz</t>
  </si>
  <si>
    <t xml:space="preserve">Der Magus erzeugt viele kleine Lichtfunken, die rund um seinen sowie um maximal Aura befreundete Körper in Reichweite fliegen. Hierdurch wird es für jeden Gegner um {Magie} schwerer, ihn mit einer Nahkampf- oder Fernkampf-Attacke zu treffen. </t>
  </si>
  <si>
    <t>#spruchmagie_illusion_4_nebel</t>
  </si>
  <si>
    <t>Nebel</t>
  </si>
  <si>
    <t>Der Magus erschafft im Radius von {M} m um den Zielpunkt Nebel. Sichtweite in desem Nebel ist (7 - {Magie}) m. Der Magus kann sich ohne Behinderung im Nebel orientieren. Wärmesicht und Astralsicht sind leicht erschwert (wie Dämmerung).Nach Ablauf der Wirkungsdauer verschwindet der Nebel, während der Wirkungsdauer ist er stationär.</t>
  </si>
  <si>
    <t>#spruchmagie_illusion_4_unsichtbarer_gegenstand</t>
  </si>
  <si>
    <t>Unsichtbarer Gegenstand</t>
  </si>
  <si>
    <t>Ein Gegenstand von maximal {M} l Volumen wird unsichtbar, kann allerdings mit Astralsicht wahrgenommen werden. Wird der Gegenstand bewegt, fällt der Zauber.</t>
  </si>
  <si>
    <t>#spruchmagie_illusion_5_bewegte_illusion</t>
  </si>
  <si>
    <t>Bewegte Illusion</t>
  </si>
  <si>
    <t>Der Magus erschafft eine fest definierte bewegte Illusion von maximal Trollgröße. Diese kann beliebige Laute (von normaler Lautstärke) verursachen und maximal {Magie} festgelegte Aktionen ausführen. Die Illusion kann durch eine Sinnesschärfe-Probe erschwert um {Magie} * 3 entdeckt werden, bei Berührung kann der Meister eine Intelligenz-Probe verlangen (muss er aber nicht).</t>
  </si>
  <si>
    <t>#spruchmagie_illusion_5_chamaeleon</t>
  </si>
  <si>
    <t>Chamäleon</t>
  </si>
  <si>
    <t>Das Ziel und alle Gegenstände, die sich innerhalb seiner Aura befinden, werden durchsichtig.Um das Ziel zu Erkennen, ist eine um {Magie} * 4 erschwerte Sinnesschärfe-Probe nötig. Schleicht/geht/läuft/sprintet/attackiert das Ziel, sind Sinnesschärfe-Proben um {Magie}*4|{Magie}*3|{Magie}*2|{Magie}|{Magie} erschwert.</t>
  </si>
  <si>
    <t>#spruchmagie_illusion_5_vollsensorische_illusion</t>
  </si>
  <si>
    <t>Vollsensorische Illusion</t>
  </si>
  <si>
    <t>Der Magus erschafft eine mit allen Sinnen wahrnehmbare, unbewegte Illusion von maximal {M} l Volumen. Wird diese beschossen oder sonstwie berührt, verhält sie sich wie zu erwarten wäre. Um die Illusion zu durchschauen, muss eine Sinnesschärfe-Probe erschwert um {M} gelingen.</t>
  </si>
  <si>
    <t>#spruchmagie_illusion_6_magischer_nebel</t>
  </si>
  <si>
    <t>Magischer Nebel</t>
  </si>
  <si>
    <t>Der Magus erschafft einen magischen Nebel mit {M} m Radius und mit (7 - {Magie}) m Sichtweite, der für die Wirkungsdauer stationär ist und sich danach vollständig auflöst. Der Nebel kann weder durch natürliche, noch durch magische oder Wärme-Sicht durchdrungen werden. Einzig der Magus kann sich ohne Einschränkung in dem Nebel bewegen.</t>
  </si>
  <si>
    <t>#spruchmagie_illusion_6_unauffindbarkeit</t>
  </si>
  <si>
    <t>Unauffindbarkeit</t>
  </si>
  <si>
    <t>Das Ziel und Ausrüstung in seiner Aura verursachen keinerlei Geräusche, hinterlassen keine Spuren und erzeugen keinerlei Gerüche. Schleichen-Proben sind um {Magie}*4 erleichtert, Gefahrensinn-Proben des Gegners um {Magie}*3 erschwert.Optisch, astral und mit Wärmesicht ist das Ziel unmodifiziert zu entdecken.</t>
  </si>
  <si>
    <t>#spruchmagie_illusion_6_unsichtbarkeit</t>
  </si>
  <si>
    <t>Unsichtbarkeit</t>
  </si>
  <si>
    <t>Das Ziel und alle Ausrüstung in seiner Aura sind vollkommen unsichtbar und weder astral, optisch oder mit Wärmesicht zu entdecken. Alle Gefahreninstinkt-Proben, um den Magus zu erkennen, sind um {Magie} * 5 erschwert.Bewegt sich das Ziel schneller als gehend oder beginnt es, an einem Kampf teilzunehmen, fällt der Zauber.</t>
  </si>
  <si>
    <t>#spruchmagie_illusion_7_bewegte_vollsensorische_illusion</t>
  </si>
  <si>
    <t>Bewegte vollsensorische Illusion</t>
  </si>
  <si>
    <t>Der Magus erschafft eine fest definierte, mit allen Sinnen wahrnehmbare Illusion. Diese kann {Magie} * 2 fest definierte Aktionen ausführen. Um als Illusion erkannt zu werden, muss eine um {Magie} * 4 erschwerte Sinnesschärfe-Probe abgelegt werden. Schäden, die im NK von der Illusion verursacht werden, werden voll angerechnet, verfallen allerdings nach Ablauf der Wirkungsdauer vollständig.</t>
  </si>
  <si>
    <t>#spruchmagie_luftbeschwoerung_1_sturmball</t>
  </si>
  <si>
    <t>Sturmball</t>
  </si>
  <si>
    <t>Der Magus erschafft einen Ball aus Luft. Das Opfer muss eine KB-Probeablegen, um nicht in der selben KR um so viele Meter zurückgeschleudert zu werden, wie der höchste Schadenswürfel anzeigt. Schaden: 2W4 + {Magie}, Erschwerung der KB-Probe: -TP -6.</t>
  </si>
  <si>
    <t>#spruchmagie_luftbeschwoerung_1_sturmball_nr</t>
  </si>
  <si>
    <t>Sturmball NR</t>
  </si>
  <si>
    <t>Der Magus erschafft einen Ball aus Luft.  Bis {M}:2 m Glücks-Probe, ab {M}:2 m Ausweichen-Probe, um dem Schaden zu entgehen. Treffer auf FK-TZ (W30). Fluggeschwindigkeit ist {M}:2 m/s.   Schaden: 2W4 + {Magie} Ziel wird TP*m weggeschleudert; Ath-Probe erschwert um TP, sonst W8 Sturzschaden auf FK-TZ (W30). Pro 2 sec zusätzlicher Zauberdauer (max. {Magie}+1 sec) kann der Magus den Schaden um 1W4 erhöhen.</t>
  </si>
  <si>
    <t>#spruchmagie_luftbeschwoerung_1_sturmfaust</t>
  </si>
  <si>
    <t>Sturmfaust</t>
  </si>
  <si>
    <t>Die Fäuste des Magiers verursachen zusätzlichen Elementarschaden. Das Opfer muss eine KB-Probeablegen, um nicht in der selben KR um so viele Meter zurückgeschleudert zu werden, wie der Schadenswürfel anzeigt. Schaden: W8 + {Magie}, Erschwerung der KB-Probe: -TP -3.</t>
  </si>
  <si>
    <t>#spruchmagie_luftbeschwoerung_1_sturmfaust_nr</t>
  </si>
  <si>
    <t>Sturmfaust NR</t>
  </si>
  <si>
    <t xml:space="preserve">Die Fäuste des Magiers verursachen zusätzlichen Luft-Elementarschaden.   Schaden:   W8 + {Magie}  Ziel wird TP*m weggeschleudert; Ath-Probe erschwert um TP, sonst W8 Sturzschaden auf FK-TZ (W30). </t>
  </si>
  <si>
    <t>#spruchmagie_luftbeschwoerung_2_sturmpfeil</t>
  </si>
  <si>
    <t>Sturmpfeil</t>
  </si>
  <si>
    <t>Der Magus erschafft einen Bolzen aus Luft. Treffer auf FK-TZ. Das Opfer muss eine KB-Probeablegen, um nicht in der selben KR um so viele Meter zurückgeschleudert zu werden, wie der höchste Schadenswürfel anzeigt. Schaden: 2W6 + {Magie}, RB {Magie}*2, Erschwerung der KB-Probe: -TP -6.</t>
  </si>
  <si>
    <t>#spruchmagie_luftbeschwoerung_2_sturmpfeil_nr</t>
  </si>
  <si>
    <t>Sturmpfeil NR</t>
  </si>
  <si>
    <t>Der Magus erschafft einen Bolzen aus Luft. Bis {M}m Glücks-Probe, bis {M}*2m AW:2, danach AW, um dem Schaden zu entgehen. Fluggeschwindigkeit ist {M}m/s. Treffer auf FK (W30). Schaden: 2W6 + {Magie}; RB: {Magie}*2 Ziel wird TP*m weggeschleudert; Ath-Probe erschwert um TP, sonst W8 Sturzschaden auf FK-TZ (W30).</t>
  </si>
  <si>
    <t>#spruchmagie_luftbeschwoerung_3_grosse_sturmfaust</t>
  </si>
  <si>
    <t>Große Sturmfaust</t>
  </si>
  <si>
    <t>Die Fäuste des Magiers verursachen zusätzlichen Elementarschaden. Das Opfer muss eine KB-Probeablegen, um nicht in der selben KR um so viele Meter zurückgeschleudert zu werden, wie der höchste Schadenswürfel anzeigt. Schaden: 2W12+{Magie}, Erschwerung der KB-Probe: -TP -9.</t>
  </si>
  <si>
    <t>#spruchmagie_luftbeschwoerung_3_grosse_sturmfaust_nr</t>
  </si>
  <si>
    <t>Große Sturmfaust NR</t>
  </si>
  <si>
    <t>Die Fäuste des Magiers verursachen zusätzlichen Luft-Elementarschaden von   2W12+{Magie}  Ziel wird TP*m weggeschleudert; Ath-Probe erschwert um TP, sonst W8 Sturzschaden auf FK-TZ (W30).</t>
  </si>
  <si>
    <t>#spruchmagie_luftbeschwoerung_4_grosser_sturmball</t>
  </si>
  <si>
    <t>Großer Sturmball</t>
  </si>
  <si>
    <t>Der Magus erschafft einen Ball aus Luft. Das Opfer muss eine KB-Probeablegen, um nicht in der selben KR um so viele Meter zurückgeschleudert zu werden, wie der Schadenswürfel anzeigt. Schaden: W12 + {Magie} auf jede TZ, Erschwerung der KB-Probe: -TP -35.</t>
  </si>
  <si>
    <t>#spruchmagie_luftbeschwoerung_4_grosser_sturmball_nr</t>
  </si>
  <si>
    <t>Großer Sturmball NR</t>
  </si>
  <si>
    <t>Der Magus erschafft einen Ball aus Luft.  Bis {M}:2 m Glücks-Probe, ab {M}:2 m Ausweichen-Probe, um dem Schaden zu entgehen. Fluggeschwindigkeit ist {M}:2 m/s.  Schaden: W12 + {Magie}*2 auf jede Trefferzone Ziel wird TP*m weggeschleudert; Ath-Probe erschwert um TP, sonst W8 Sturzschaden auf FK-TZ (W30).</t>
  </si>
  <si>
    <t>#spruchmagie_magiebeschwoerung_1_magische_faust</t>
  </si>
  <si>
    <t>Magische Faust</t>
  </si>
  <si>
    <t>Die Fäuste des Magiers verursachen zusätzlichen Elementarschaden. Schaden: W8 + {Magie}, zusätzliche Erschwerung der SB-Probe -3, wenn min. 1 SP erzielt wird.</t>
  </si>
  <si>
    <t>#spruchmagie_magiebeschwoerung_1_magische_faust_nr</t>
  </si>
  <si>
    <t>Magische Faust NR</t>
  </si>
  <si>
    <t>Die Fäuste des Magiers verursachen zusätzlichen {Magie}-Elementarschaden.   Schaden:   W10 + {Magie},  SB-Proben um 5 erschwert.</t>
  </si>
  <si>
    <t>#spruchmagie_magiebeschwoerung_1_magischer_ball</t>
  </si>
  <si>
    <t>Magischer Ball</t>
  </si>
  <si>
    <t>Der Magus erschafft einen Ball aus Magie. Schaden: 2W4 + {Magie}, zusätzliche Erschwerung der SB-Probe -6, wenn min. 1 SP erzielt wird.</t>
  </si>
  <si>
    <t>#spruchmagie_magiebeschwoerung_1_magischer_ball_nr</t>
  </si>
  <si>
    <t>Magischer Ball NR</t>
  </si>
  <si>
    <t>Der Magus erschafft einen Ball aus Magie.  Bis {M}:2 m Glücks-Probe, ab {M}:2 m Ausweichen-Probe, um dem Schaden zu entgehen. Treffer auf FK-TZ (W30). Fluggeschwindigkeit ist {M}:2 m/s.  Schaden: 2W6 + {Magie}; SB-Proben um 4 erschwert. Pro 2 sec zusätzlicher Zauberdauer (max. {Magie}+1 sec) kann der Magus den Schaden um 1W6 erhöhen und SB-Proben um 4 erschweren.</t>
  </si>
  <si>
    <t>#spruchmagie_magiebeschwoerung_2_magisches_geschoss</t>
  </si>
  <si>
    <t>Magisches Geschoss</t>
  </si>
  <si>
    <t>Der Magus erschafft einen Bolzen aus Magie. Treffer auf FK-TZ. Schaden: 2W6 + {Magie}, RB {Magie}*2, zusätzliche Erschwerung der SB-Probe -6, wenn min. 1 SP erzielt wird.</t>
  </si>
  <si>
    <t>#spruchmagie_magiebeschwoerung_2_magisches_geschoss_nr</t>
  </si>
  <si>
    <t>Magisches Geschoss NR</t>
  </si>
  <si>
    <t>Der Magus erschafft einen Bolzen aus Magie. Bis {M}m Glücks-Probe, bis {M}*2m AW:2, danach AW, um dem Schaden zu entgehen. Fluggeschwindigkeit ist {M}m/s. Treffer auf FK (W30). Schaden: 2W8 + {Magie}; RB: {Magie}*2 SB-Proben um 4 erschwert.</t>
  </si>
  <si>
    <t>#spruchmagie_magiebeschwoerung_3_grosse_magische_faust</t>
  </si>
  <si>
    <t>Große Magische Faust</t>
  </si>
  <si>
    <t>Die Fäuste des Magiers verursachen zusätzlichen Elementarschaden von   2W12+{Magie}, zusätzliche Erschwerung der SB-Probe -9, wenn min. 1 SP erzielt wird.</t>
  </si>
  <si>
    <t>#spruchmagie_magiebeschwoerung_3_grosse_magische_faust_nr</t>
  </si>
  <si>
    <t>Große Magische Faust NR</t>
  </si>
  <si>
    <t xml:space="preserve">Die Fäuste des Magiers verursachen zusätzlichen Elementarschaden von   2W15+{Magie}, SB-Proben um 12 erschwert.  </t>
  </si>
  <si>
    <t>#spruchmagie_magiebeschwoerung_4_grosser_magischer_ball</t>
  </si>
  <si>
    <t>Großer Magischer Ball</t>
  </si>
  <si>
    <t>Der Magus erschafft einen Ball aus Magie. Schaden: W12 + {Magie} auf jede TZ, zusätzliche Erschwerung der SB-Probe -35, wenn min. 1 SP erzielt wird.</t>
  </si>
  <si>
    <t>#spruchmagie_magiebeschwoerung_4_grosser_magischer_ball_nr</t>
  </si>
  <si>
    <t>Großer Magischer Ball NR</t>
  </si>
  <si>
    <t xml:space="preserve">Der Magus erschafft einen Ball aus Magie.  Bis {M}:2 m Glücks-Probe, ab {M}:2 m Ausweichen-Probe, um dem Schaden zu entgehen. Fluggeschwindigkeit ist {M}:2 m/s.  Schaden: W15 + {Magie}*2 auf jede Trefferzone,  SB-Proben um 42 erschwert.  </t>
  </si>
  <si>
    <t>#spruchmagie_veraenderung_1_in_nahrung_verwandeln</t>
  </si>
  <si>
    <t>In Nahrung verwandeln</t>
  </si>
  <si>
    <t>Veränderung</t>
  </si>
  <si>
    <t>Der Magier verwandelt max. {Magie} kg beliebige un´magische Materie in Nahrung. Diese Nahrung ist nahezu geschmacklos, deckt aber alle Bedürfnisse des Organismus ab. Es ist möglich, sich ausschließlich von magischer Nahrung zu ernähren.</t>
  </si>
  <si>
    <t>#spruchmagie_veraenderung_1_magisches_makeover</t>
  </si>
  <si>
    <t>Magisches Makeover</t>
  </si>
  <si>
    <t>Der Magus kann seine Kleidung, seine Nägel und sein Haar in den gewünschten Zustand versetzen. Wurde mehr als {M} % der Kleidung zerstört, werden maximal {M} % der Kleidung wiederhergestellt. Das Haar kann um maximal {M} : cm verlängert werden. Sämtliche Verunreinigungen oder unangenehmen Gerüche werden entfernt. Verwundungen und Vergiftungen werden hiervon nicht beeinflusst.</t>
  </si>
  <si>
    <t>#spruchmagie_veraenderung_1_wasserwandeln</t>
  </si>
  <si>
    <t>Wasserwandeln</t>
  </si>
  <si>
    <t>Der Magus kann sich auf allen Oberflächen, die zu mindestens 50% aus Wasser bestehen, ohne einzusinken fortbewegen, als stünde er auf festem Boden.Wird der Spruch unter Wasser gewirkt, kann sich der Magus mit einer Athletik+Körperbeherrschung-Probe auf die Oberfläche ziehen.</t>
  </si>
  <si>
    <t>#spruchmagie_veraenderung_2_blankwaffe_erschaffen</t>
  </si>
  <si>
    <t>Blankwaffe erschaffen</t>
  </si>
  <si>
    <t xml:space="preserve">In den Händen des Magus erscheint eine beliebige normale Listen-Nahkampfwaffe oder ein beliebiger Listen-Schild, das vollständig aus Eisen besteht. Am Ende der Wirkungsdauer zerfällt die Waffe zu Staub, ebenso, wenn sie die Aura des Magus für mehr als {M}sec verlässt. Während der Effektdauer hat die Waffe normale Werte, aber AT|PA-Klasse -1. </t>
  </si>
  <si>
    <t>#spruchmagie_veraenderung_2_material_erweichen</t>
  </si>
  <si>
    <t>Material erweichen</t>
  </si>
  <si>
    <t>Ein beliebiger Gegenstand von max. {M} l wird formbar wie Wachs. Nach Ablauf der Wirkungsdauer behält der Gegenstand seine Form.</t>
  </si>
  <si>
    <t>#spruchmagie_veraenderung_2_material_schwaechen</t>
  </si>
  <si>
    <t>Material schwächen</t>
  </si>
  <si>
    <t>Ein beliebiger Gegenstand (Aurabann) von maximal {M} l wird für {M} sec stark in seiner Struktur geschwächt. Der nötige Kraftaufwand sinkt um {M}.Alle mit diesem Zauber behandelten Materialien splittern leicht.Klingenschutz und Klingenbrecher sinken um {M} : 3.</t>
  </si>
  <si>
    <t>#spruchmagie_veraenderung_2_mechanik_schmieren</t>
  </si>
  <si>
    <t>Mechanik schmieren</t>
  </si>
  <si>
    <t>Ein beliebiger Mechanismus von max. {Magie} m³ erscheint als wäre er frisch geölt und gesäubert. Lose Kleinteile werden nicht beseitigt.Mit diesem Zauber ist es möglich, eine Tür zu schmieren, eine Waffe zu reinigen oder ähnliches. Es ist nicht möglich, einen zerstörten Mechanismus zu reparieren.</t>
  </si>
  <si>
    <t>#spruchmagie_veraenderung_3_gegenstand_fixieren</t>
  </si>
  <si>
    <t>Gegenstand fixieren</t>
  </si>
  <si>
    <t>Ein beliebiger Gegenstand von max {Magie} m³ wird mit künstlicher Schwerkraft versehen. Will jemand außer dem Magier einen solchen Gegenstand bewegen, so muss er eine Stärke-Probe erschwert um {M} * 2 erschwert schaffen. Hiermit ist es möglich, eine Münze unverrückbar auf dem Tisch zu fixieren, wendet man den Zauber auf einen Autoreifen an, ist es nicht schwer, die Wirkung zu übertreffen. Sobald der Gegenstand von seinem Standort bewegt wird, fällt der Zauber.</t>
  </si>
  <si>
    <t>#spruchmagie_veraenderung_3_in_pflanze_verwandeln</t>
  </si>
  <si>
    <t>In Pflanze verwandeln</t>
  </si>
  <si>
    <t>Der Magus verwandelt das Ziel in eine Pflanze seiner Wahl. Der Magus muss das Ziel während der gesamten Vorbereitungszeit berühren. Das Ziel erleidet während der Effektdauer starke Schmerzen, kann aber nicht bewusstlos werden. Während der Wirkungsdauer hat das Ziel die Wahrnehmung der Pflanze. Nach Ende der Wirkungsdauer findet eine Rückverwandlung statt, die genauso lange dauert wie die Effektdauer. Die Masse der zu verwandelnden Person bleibt gleich!</t>
  </si>
  <si>
    <t>#spruchmagie_veraenderung_3_material_verhaerten</t>
  </si>
  <si>
    <t>Material verhärten</t>
  </si>
  <si>
    <t>Eine beliebiges Material von maximal {M} l wird für {M} sec verhärtet. Flüssigkeiten verhalten sich wie Feststoffe. Es ist möglich, einen Würfel Wasser aus dem Meer zu nehmen.</t>
  </si>
  <si>
    <t>#spruchmagie_veraenderung_3_material_verstaerken</t>
  </si>
  <si>
    <t>Material verstärken</t>
  </si>
  <si>
    <t>Ein beliebiger Gegenstand von maximal {M} l wird für {M} min stark in seiner Struktur gestärkt. Der nötige Kraftaufwand ssteigt um {M} * 2.Klingenschutz und Klingenbrecher erhöhen sich um {M} : 3.</t>
  </si>
  <si>
    <t>#spruchmagie_veraenderung_3_temperatur_veraendern</t>
  </si>
  <si>
    <t>Temperatur verändern</t>
  </si>
  <si>
    <t>Der Magus kann einen Gegenstand (Aurabann) schlagartig erhitzen oder erkalten lassen. Nach Ablauf der Wirkungsdauer unterliegt der Gegenstand den Naturgesetzen.Der Magus kann die Temperatur des Gegenstands um maximal {M} * 10 °C erhöhen und maximal um  {M} * 5 °C senken.</t>
  </si>
  <si>
    <t>#spruchmagie_veraenderung_4_gift_neutralisieren</t>
  </si>
  <si>
    <t>Gift neutralisieren</t>
  </si>
  <si>
    <t>Jedwede Form von Verseuchung oder Gift wird aus beliebiger Materie (kein Lebewesen) von maximal {Magie} m³ entfernt und das Material wandelt sich in einen gänzlich ungiftigen Stoff um, bleibt dabei allerdings in seiner Beschaffenheit gleich.</t>
  </si>
  <si>
    <t>#spruchmagie_veraenderung_4_material_stabilisieren_konservieren</t>
  </si>
  <si>
    <t>Material Stabilisieren, Konservieren</t>
  </si>
  <si>
    <t xml:space="preserve">Ein beliebiger unbelebter Gegenstand von maximal {M}l wird permanent  verzaubert, so dass normale Witterung und üblicher Gebrauch ihn nicht mehr verschleißen können. Die Verzauberung schützt nicht vor Kampfschäden oder anderen Schäden durch Gebrauch oder extreme Umwelteinflüsse. Diese permanente Verzauberung kann auf normalen Wege gebrochen werden.  </t>
  </si>
  <si>
    <t>#spruchmagie_veraenderung_4_mechanik_blockieren</t>
  </si>
  <si>
    <t>Mechanik blockieren</t>
  </si>
  <si>
    <t>Ein beliebiger Mechanismus von maximal m³ Größe wird blockiert. Der Mechanismus wird nicht zerstört. Der Mechanismus kann eine um {M} * 5 erschwerte Stärke-Probe würfeln, um den Zauber zu überwinden.</t>
  </si>
  <si>
    <t>#spruchmagie_veraenderung_4_ruestung_verstaerken</t>
  </si>
  <si>
    <t>Rüstung verstärken</t>
  </si>
  <si>
    <t>Der Rüstungsschutz von Rüstungsteilen in der Aura des Ziels wird um den Faktor {Magie}/3+{Aura}/3 verstärkt. Magische Rüstung wird hiervon nicht beeinflusst.</t>
  </si>
  <si>
    <t>#spruchmagie_veraenderung_4_verwandlung_in_[element]</t>
  </si>
  <si>
    <t>Verwandlung in [Element]</t>
  </si>
  <si>
    <t>Ein Gegenstand (Aurabann) von maximal {Magie} * dm³ verwandelt sich in [Element], verursacht dabei allerdings keinen festgelegten Schaden.</t>
  </si>
  <si>
    <t>#spruchmagie_veraenderung_5_magnetismus</t>
  </si>
  <si>
    <t>Magnetismus</t>
  </si>
  <si>
    <t xml:space="preserve">Ein beliebiger metallischer Gegenstand von maximal {M} m³ wird zu einem Magneten, der alles Metall im Radius von {M} m anzieht. Charaktere, die metallene Rüstungsteile tragen, müssen jede Runde eine Stärke-Probe erschwert um Gesamt-RS ablegen, um nicht vom Gegenstand angezogen zu werden. Charaktere, die metallene Waffen führen, müssen eine Stärke-Probe erschwert um {M} bestehen, um die Waffe nicht zu verlieren, NK-Attacken sind um {Magie} * 2 erschwert. Alle FK-Proben sind um {Magie} * 3 erschwert, wenn eine Magietheorie-Probe geschafft wird, ansonsten trifft kein Projektil sein Ziel. </t>
  </si>
  <si>
    <t>#spruchmagie_veraenderung_5_ruestung_schwaechen</t>
  </si>
  <si>
    <t>Rüstung schwächen</t>
  </si>
  <si>
    <t>Der Rüstungsschutz aller Rüstungsteile des Ziels wird um {Magie} * 2 gesenkt.Dies hat keine Auswirkung auf magische Rüstung.</t>
  </si>
  <si>
    <t>#spruchmagie_veraenderung_5_schwerkraft_erhoehen</t>
  </si>
  <si>
    <t>Schwerkraft erhöhen</t>
  </si>
  <si>
    <t>Der Magier erschafft eine {M}*m Radius große Zone mit stark erhöhter Schwerkraft, in der er sich als einziger ohne Behinderung bewegen kann. Alle anderen Ziele in der Zone erleiden eine Behinderung in Höhe ihrer vollen RS-BE. NK-Attacken sind zusätzlich um WK erschwert. FK-Attacken verfehlen ihr Ziel, es sei denn der Schütze schafft eine Magietheorie-Probe; dann sind alle FK-Attacken um {Magie} * 2 + Waffengewicht erschwert.</t>
  </si>
  <si>
    <t>#spruchmagie_veraenderung_6_unbelebte_materie_zerstoeren</t>
  </si>
  <si>
    <t>Unbelebte Materie zerstören</t>
  </si>
  <si>
    <t>Der Magus zerstört alle nichtlebendige unmagische Materie (auch Ausrüstung, kein Aurabann!) permanent, auf die er mit einem {M} : 2 m langen und {M} cm durchmessenden Strahl zielt (W30, 1 TZ-Reroll). Lebende Materie hält den Strahl auf.</t>
  </si>
  <si>
    <t>#spruchmagie_veraenderung_6_weg_aus_licht</t>
  </si>
  <si>
    <t>Weg aus Licht</t>
  </si>
  <si>
    <t>Der Magus erschafft einen Weg oder eine Treppe aus dem Nichts, die nur von oben durch leichte Reflektionen zu erkennen ist (Sinnesschärfe erschwert um {Magie} * 2). Die Bücke darf maximal von {M} * 20 kg pro m² belastet werden, ansonsten fällt das Gewicht durch die Brücke, als wäre sie nicht da. Objekte oder Auren, die die Brücke aus einer anderen Richtung als von oben berühren, werden von ihr in keinster Weise beeinflusst.Die Brücke hat eine maximale Breite von {Magie} m und eine maximale Länge von {M} * 10 m.</t>
  </si>
  <si>
    <t>#spruchmagie_veraenderung_6_wettermeisterschaft</t>
  </si>
  <si>
    <t>Wettermeisterschaft</t>
  </si>
  <si>
    <t>Der Magus muss unter freiem Himmel stehen. Dann kann er das Wetter in {Magie} km Radius um jeweils eine Stufe verändern:Windstille/leichte Brise/Brise/steife Brise/Sturm/Orkan/HurricanundFreier Himmel/leichter Regen/ Landregen/ starker Regen/Sturzbach/Hagel/Sintflut</t>
  </si>
  <si>
    <t>#spruchmagie_veraenderung_7_fleisch_zu_stein</t>
  </si>
  <si>
    <t>Fleisch zu Stein</t>
  </si>
  <si>
    <t>Alle lebende Materie in der Aura des Opfers verwandelt sich während der Effektdauer in Stein. Pro sec Effektdauer erleidet das Opfer eine Behinderung von 1. Nach Ende der Wirkungsdauer verwandelt es sich in der selben Zeit wieder zurück. Eventuelle Schäden an dem Stein sind auch an der lebendigen Materie vorhanden.</t>
  </si>
  <si>
    <t>#spruchmagie_veraenderung_7_materie_zerstoeren</t>
  </si>
  <si>
    <t>Materie zerstören</t>
  </si>
  <si>
    <t>Der Magus zerstört alle unmagische Materie (auch Ausrüstung und Implantate) permanent, auf die er mit einem {M} : 2 m langen und {M} cm durchmessenden Strahl zielt (W30, 1 TZ-Reroll). Lebende Materie hält den Strahl auf.</t>
  </si>
  <si>
    <t>#spruchmagie_veraenderung_7_stillstand</t>
  </si>
  <si>
    <t>Stillstand</t>
  </si>
  <si>
    <t>Der Magus erschafft eine Zone mit Radius {Magie} * 2 m, in der alle Bewegungen um den Faktor 1000 verlangsamt sind. Er ist der einzige, der sich normal bewegen kann. Gegenstände in fremden Auren sind für ihn unbeweglich, fremde Auren unverwundbar. Gegenstände, die er berührt, verhalten sich normal. Berührt er zum Beispiel ein Projektil, so erhält er den entsprechenden Schaden.</t>
  </si>
  <si>
    <t>#spruchmagie_verzauberung_1_ausstrahlung_erhoehen</t>
  </si>
  <si>
    <t>Ausstrahlung erhöhen</t>
  </si>
  <si>
    <t>Die Ausstrahlung des Magus erhöht sich um {Magie} * 2. Ausstrahlung kann nur einmal magisch erhöht werden.</t>
  </si>
  <si>
    <t>#spruchmagie_verzauberung_1_grundfertigkeit_erhoehen</t>
  </si>
  <si>
    <t>Grundfertigkeit erhöhen</t>
  </si>
  <si>
    <t xml:space="preserve">Eine fest gewählte Grundfertigkeit wird um {Magie} * 2 Punkte erhöht. Ab einem Spruch-TaW von 15 kann eine zweite, ab 20 eine dritte, ab 24 eine vierte, ab 27 eine fünfte und ab 30 eine sechste Grundfertigkeit gewählt werden. Der Magus muss diese mindestens auf TaW 5 haben. Sonderfertigkeiten können nicht erhöht werden. Dieser Zauber kann mehrfach erlernt werden. </t>
  </si>
  <si>
    <t>#spruchmagie_verzauberung_1_kleine_telekinese</t>
  </si>
  <si>
    <t>Kleine Telekinese</t>
  </si>
  <si>
    <t>Ein Gegenstand von maximal {M} * 100g kann vom Magus frei im Raum bewegt werden (kein Aurabann). Die Stärke, die der Magus dabei entfalten kann, um eventuelle Hindernisse zu überwinden, beträgt Willenskraft-Bonus. Der Gegenstand kann auf maximal {Magie} m/s beschleunigt werden.</t>
  </si>
  <si>
    <t>#spruchmagie_verzauberung_1_manaspende</t>
  </si>
  <si>
    <t>Manaspende</t>
  </si>
  <si>
    <t xml:space="preserve">Der Magus überträgt dem Ziel max. {M}*2 Mana. Damit das Ziel mehr als sein maximales Mana verwenden kann, kann die Verbindung zum Magus max. {M} min aufrechterhalten werden, sonst verfällt das überschüssige Mana. </t>
  </si>
  <si>
    <t>#spruchmagie_verzauberung_1_whk_erhoehen</t>
  </si>
  <si>
    <t>WHK erhöhen</t>
  </si>
  <si>
    <t>Eine fest gewählte WHK wird um {Magie} * 3 Punkte erhöht. Ab einem Spruch-TaW von 15 kann eine zweite, ab 20 eine dritte, ab 24 eine vierte, ab 27 eine fünfte und ab 30 eine sechste WHK gewählt werden. Der Magus muss diese jeweils mindestens auf TaW 5 haben.  Dieser Zauber kann mehrfach erlernt werden.</t>
  </si>
  <si>
    <t>#spruchmagie_verzauberung_2_explosionsfalle</t>
  </si>
  <si>
    <t>Explosionsfalle</t>
  </si>
  <si>
    <t>Ein unmagischer Gegenstand (Aurabann) wird mit magischer Energie aufgeladen und explodiert wie eine Granate, wenn eine Aura außer dem Magus ihn berührt oder er mehr als 0.5 cm bewegt wird. Berührt der Gegenstand nicht den Boden, explodiert er sofort nach der Vorbereitungszeit.Schaden: W20+{M} verteilt auf 3 TZ (W30), RB:0. Die direkt getroffene TZ bekommt Schaden x 2. Explosionsreichweite: Schaden / 2 alle 2m. Endet die Wirkungsdauer oder wünscht es der Magus, dann explodiert die Falle.</t>
  </si>
  <si>
    <t>#spruchmagie_verzauberung_2_kiemen</t>
  </si>
  <si>
    <t>Kiemen</t>
  </si>
  <si>
    <t xml:space="preserve">Auf den Halsschlagadern des Opfers bilden sich Kiemen. Dies ist ein schmerzhafter Prozess, bei dem eine einfache Selbstbeherrschungsprobe abgelegt werden muss. Das Opfer kann nach dem Ende der Effektdauer unter Wasser durch die Kiemen atmen. Atmet er in die Lunge, ertrinkt er. Giftstoffe im Wasser dringen über die Kiemen in den Blutkreislauf ein. </t>
  </si>
  <si>
    <t>#spruchmagie_verzauberung_2_koerperliche_eigenschaft_erhoehen</t>
  </si>
  <si>
    <t>Körperliche Eigenschaft erhöhen</t>
  </si>
  <si>
    <t>Das Ziel erhält einen Bonus von {Magie} * 2 auf eine körperliche Eigenschaft (Athletik, Geschicklichkeit Konstitution, Schnelligkeit, Stärke). Jede Eigenschaft kann nur einmal magisch verstärkt werden.</t>
  </si>
  <si>
    <t>#spruchmagie_verzauberung_2_leben_einhauchen</t>
  </si>
  <si>
    <t>Leben Einhauchen</t>
  </si>
  <si>
    <t>Ein unmagischer und unbelebter Gegenstand bekommt ein Eigenleben, z.B. fängt ein Stein auf den Befehl des Magus zu rollen an oder eine Tür öffnet sich von selbst. Der Gegenstand kann sich dabei sogar auf unnatürliche Weise verformen: Ein Stuhl benutzt z.B. seine Beine, um zum Magus hin zu laufen. Die Intelligenz = {Magie}, nur zweckbezogen - z.B. ist ein Stuhl zum Sitzen da, nicht zum Putzen. Max. Geschwindigkeit: (Mag :2) m/sec.  Stärke={Magie}. Kontrollreichweite= {M}m</t>
  </si>
  <si>
    <t>#spruchmagie_verzauberung_3_beschleuniger</t>
  </si>
  <si>
    <t>Beschleuniger</t>
  </si>
  <si>
    <t>Der Magus bewegt sich unnatürlich schnell. Joggen: + {Magie} m/s; Sprinten: + {Magie}*1,5 m/s; Hochsprung: + {Magie} : 2 m; Weitsprung: + {Magie} * 2 m; Initiative: + {Magie}. Alle Attacken gegen den Magus sind um {Magie} erschwert.</t>
  </si>
  <si>
    <t>#spruchmagie_verzauberung_3_einmaliges_artefakt_erschaffen</t>
  </si>
  <si>
    <t>Einmaliges Artefakt erschaffen</t>
  </si>
  <si>
    <t>In einen Seelenstein beliebigen Grades wird ein beliebiger Zauber der Antimagie oder Verzauberung mit einmaliger Wirkung gebannt. Der Grad des gewählten Zaubers darf max. (Weisheit -1) sein.Das Artefakt kann mit einem frei zu wählenden Auslösewort ausgelöst werden. Sobald das Auslösewort einmal ausgesprochen wurde, beginnt nach (Grad des Artefaktes) sec die Effektdauer. Nach Ablauf der Wirkungsdauer fällt der Zauber vom Seelenstein.Der Magus verliert [(Kosten des Zaubers) x2] Mana bis zur Zerstörung des Artefaktes permanent, dann wird das Mana normal regeneriert.</t>
  </si>
  <si>
    <t>#spruchmagie_verzauberung_3_geistesbund</t>
  </si>
  <si>
    <t>Geistesbund</t>
  </si>
  <si>
    <t>Der Magier verbindet sich mit anderen Magiern, die auch den „Geistesbund“ zaubern. Die Magier dürfen sich maximal {M} m voneinander entfernen, sonst fällt der Zauber.Während der Verbindung addieren sich {M} und Manavorrat aller beteiligten Magier. Sie können gemeinsam mächtigere Zauber wirken, deren Probe jeder von ihnen schaffen muss. Jeder Magier muss die halben Manakosten des Spruches tragen, egal wie viele Magier sich vereinen.</t>
  </si>
  <si>
    <t>#spruchmagie_verzauberung_3_geistige_eigenschaft_erhoehen</t>
  </si>
  <si>
    <t>Geistige Eigenschaft erhöhen</t>
  </si>
  <si>
    <t>Das Ziel erhält einen Bonus von {Magie} * 2 auf eine geistige Eigenschaft (Intelligenz, Mut, Sinnesschärfe, Willenskraft). Jede Eigenschaft kann nur einmal magisch verstärkt werden.</t>
  </si>
  <si>
    <t>#spruchmagie_verzauberung_3_haesslichkeit</t>
  </si>
  <si>
    <t>Hässlichkeit</t>
  </si>
  <si>
    <t>#spruchmagie_verzauberung_3_koerperliche_eigenschaft_senken</t>
  </si>
  <si>
    <t>Körperliche Eigenschaft senken</t>
  </si>
  <si>
    <t>Das Ziel verliert {Magie}*2 Punke einer körperlichen Eigenschaft (Athletik, Geschicklichkeit, Konstitution, Schnelligkeit oder Stärke). Für jede Eigenschaft gilt nur die stärkste Reduktion. Betroffene Eigenschaften fallen nicht unter 1. Das Ziel bemerkt die Verzauberung sofort.</t>
  </si>
  <si>
    <t>#spruchmagie_verzauberung_3_sinne_verbessern</t>
  </si>
  <si>
    <t>Sinne verbessern</t>
  </si>
  <si>
    <t xml:space="preserve">Der Magus verbessert entweder seinen Geruchssinn, seinen Geschmackssinn, sein Gehör, sein Sehvermögen oder seinen Tastsinn. Sinnesschärfe-Proben sind um {M} erleichtert. </t>
  </si>
  <si>
    <t>#spruchmagie_verzauberung_3_unbelebtes_teleportieren</t>
  </si>
  <si>
    <t>Unbelebtes Teleportieren</t>
  </si>
  <si>
    <t xml:space="preserve">Der Magus teleportiert einen Gegenstand aus seiner Aura mit maximal {M}*kg Gewicht zu einem Punkt, den er sieht. Er löst sich in Dampf auf, genauso materialisiert er wieder. Abweichung vom Zielpunkt: (Distanz in m/10) = Wx; Wx -Kreis =Abweichung in m; Abw. immer horizontal, nicht in Gegenstände hinein, sondern auf/neben ihnen. Patzer: Pech-Probe erschw.um Distanz/10. -&gt; Pech: Gegenstand verschwindet permanent. Kein Pech: Gegenstand wird an eine zufällige Stelle teleportiert, die sich innerhalb von Radius {M} * 3m um den Magus befindet.  </t>
  </si>
  <si>
    <t>#spruchmagie_verzauberung_4_eigenschaften_erhoehen</t>
  </si>
  <si>
    <t>Eigenschaften erhöhen</t>
  </si>
  <si>
    <t>Eine beliebige Eigenschaft wird um {Magie} erhöht. Eigenschaften können nur einmal erhöht werden.</t>
  </si>
  <si>
    <t>#spruchmagie_verzauberung_4_geistige_eigenschaft_senken</t>
  </si>
  <si>
    <t>Geistige Eigenschaft senken</t>
  </si>
  <si>
    <t>Das Ziel verliert {Magie}*2 Punke einer geistigen Eigenschaft (Intelligenz, Mut, Sinnesschärfe, Willenskraft).. Für jede Eigenschaft gilt nur die stärkste Reduktion. Betroffene Eigenschaften fallen nicht unter 1. Das Ziel bemerkt die Verzauberung sofort.</t>
  </si>
  <si>
    <t>#spruchmagie_verzauberung_4_golem_diener</t>
  </si>
  <si>
    <t>Golem Diener</t>
  </si>
  <si>
    <t>Der Magus fügt mit diesem Zauber beliebig viele Gegenstände von mindestens {M} kg und maximal {M} * 7 kg Gewicht zusammen. Der Golem kann nur Ausweichen={Magie}, nicht parieren oder attakieren. Ansonsten ist er der treue Diener des Magus. Er kann einfache körperliche Arbeiten ausführen. Mit komplexen Aufgaben ist er allerdings überfordert, wie z.B Eine Waffen Nachladen, Schmieden oder etwas Reparieren. Er kann nicht sprechen. Alle Eigenschaften des Golems haben einen Wert von ({Magie}+{Aura}), außer Intelligenz = ({Magie}) und Stärke = {M}. Alle Grundfertigkeiten haben einen Wert von {Magie}. Er hat eine LE von 4*{M} und RS={Aura}.  Die Kontrollreichweite ist {M}*20m. Geschwindigkeit=2m/s.</t>
  </si>
  <si>
    <t>#spruchmagie_verzauberung_4_grosse_telekinese</t>
  </si>
  <si>
    <t>Große Telekinese</t>
  </si>
  <si>
    <t>Ein Gegenstand von maximal {M} * 2 kg kann vom Magus frei im Raum bewegt werden. Die Stärke, die der Magus dabei entfalten kann, um eventuelle Hindernisse zu überwinden, beträgt Willenskraft-Bonus. Der Gegenstand kann auf maximal {Magie} * 2 m/s beschleunigt werden.</t>
  </si>
  <si>
    <t>#spruchmagie_verzauberung_4_in_[tier]_verwandeln</t>
  </si>
  <si>
    <t>In [Tier] verwandeln</t>
  </si>
  <si>
    <t>Das Opfer wird in ein fest ausgewähltes Tier verwandelt. Dieses Tier verfügt über die selben Werte wie das Ziel. In Tierform können keinerlei Zauber gewirkt werden, Sprachfertigkeiten entsprechen den Fähigkeiten des Tieres. Die Verwandlung selbst ist äußerst schmerzhaft (keine Handlung während der Effektdauer) und kann nicht vor Ablauf der Wirkungsdauer beendet werden (außer durch Antimagie). Die Masse des Ziels bleibt gleich!</t>
  </si>
  <si>
    <t>#spruchmagie_verzauberung_4_verlangsamen</t>
  </si>
  <si>
    <t>Verlangsamen</t>
  </si>
  <si>
    <t xml:space="preserve">Ein Lebewesen wird durch diesen Zauber so weit verlangsamt, dass es keinen Sturzschaden erfahren kann. </t>
  </si>
  <si>
    <t>#spruchmagie_verzauberung_4_wachstum_beeinflussen</t>
  </si>
  <si>
    <t>Wachstum beeinflussen</t>
  </si>
  <si>
    <t xml:space="preserve">Ein Lebewesen kann durch diesen Zauber in seinem Wachstum beeinflusst werden. Das Ziel kann in seiner Entwicklung maximal {M} monate beschleunigt werden. Es ist nicht möglich, mit diesem Zauber ein Ziel altern zu lassen, sondern lediglich die volle Entwicklung zu erreichen. Das Wachstum kann beliebig gestaltet werden. Das Opfer muss während des gesamten Zaubers vollkommen bewegungslos sein, sonst fällt der Zauber. </t>
  </si>
  <si>
    <t>#spruchmagie_verzauberung_5_gecko</t>
  </si>
  <si>
    <t>Gecko</t>
  </si>
  <si>
    <t>Das Ziel kann mit Händen und Füßen an jeder beliebigen festen Oberfläche haften und dabei seine Maximallast tragen. Klettern-Proben sind um {M} erleichtert.</t>
  </si>
  <si>
    <t>#spruchmagie_verzauberung_5_golem_kaempfer</t>
  </si>
  <si>
    <t>Golem Kämpfer</t>
  </si>
  <si>
    <t>Der Magus fügt mit diesem Zauber beliebig viele Gegenstände von maximal {M} * 3 kg Gewicht zusammen. Der Golem kann keinerlei komplexe Handlungen ausführen und folgt lediglich den in dieser KR erteilten Befehlen des Magus.Alle Eigenschaften des Golems haben einen Wert von ({Magie} + {Aura}), NK-AT|PA von {M}|1|21 mit 2W8+{Aura} Schaden, WK={Magie}, AW= {Magie}|1|21, Ini=Ini des Magus, RS={Aura} und LE von 4*{M}. Grunfertigkeiten haben den Wert {Magie}. Der Golem gilt als Magiekorpus. Geschwindigkeit: ({Magie}+5) m/s. Springen: max. 1m hoch, 6m weit.</t>
  </si>
  <si>
    <t>#spruchmagie_verzauberung_5_mechanismus_antreiben</t>
  </si>
  <si>
    <t>Mechanismus antreiben</t>
  </si>
  <si>
    <t>Der Magus kann einen beliebigen Mechanismus von maximal {Magie} m³ mit einer maximalen Kraft von {M} * 20 PS antreiben. Er muss dazu verstehen, welcher Bestandteil des Mechanismus den Rest antreibt, um die hier angegebene Effektivität zu erzielen. Hierzu muss er eine WHK-Probe schaffen, die dem Mechanismus entspricht. Misslingt diese, ist die Kraftausbeute Meisterentscheid.</t>
  </si>
  <si>
    <t>#spruchmagie_verzauberung_5_nebelleib</t>
  </si>
  <si>
    <t>Nebelleib</t>
  </si>
  <si>
    <t>Der Körper des Magus verwandelt sich mitsamt aller in seiner Aura befindlichen Ausrüstung in einen Leib aus Nebel, der nur mit natürlicher (Sinnesschärfe-Probe erschwert um {Magie}*2) oder magischer Sicht (Sinnesschärfe-Probe) wahrnehmbar ist. In Nebelform gilt er als Magiekorpus und kann jedes Hindernis passieren, das von Luft passierbar wäre.</t>
  </si>
  <si>
    <t>#spruchmagie_verzauberung_5_permanentes_artefakt_erschaffen</t>
  </si>
  <si>
    <t>Permanentes Artefakt erschaffen</t>
  </si>
  <si>
    <t>In einen Seelenstein beliebigen Grades wird ein beliebiger Zauber der Antimagie oder Verzauberung mit wiederholbarer Wirkung gebannt. Der Grad des gebannten Zaubers darf max. (Weisheit -1) sein.Das Artefakt kann mit einem frei zu wählenden Auslösewort einmal pro magischen Tag ausgelöst werden. Sobald das Auslösewort einmal ausgesprochen wurde, beginnt nach (Grad des Artefaktes) sec die Effektdauer. Der Magus verliert [(Kosten des Zaubers) x4] Mana bis zur Zerstörung des Artefaktes permanent, dann wird das Mana normal regeneriert.</t>
  </si>
  <si>
    <t>#spruchmagie_verzauberung_5_schwaeche</t>
  </si>
  <si>
    <t>Schwäche</t>
  </si>
  <si>
    <t>Alle körperlichen Eigenschaften (Athletik, Geschicklichkeit Konstitution, Schnelligkeit, Stärke) des Ziels werden um {Magie} * 2 gesenkt. Eigenschaften können nicht unter 1 fallen.Das Opfer bemerkt die Verzauberung sofort.</t>
  </si>
  <si>
    <t>#spruchmagie_verzauberung_5_verwandlung</t>
  </si>
  <si>
    <t>Verwandlung</t>
  </si>
  <si>
    <t>Das Ziel verändert sein Aussehen, wie der Magus es wünscht. Dies schließt biometrische Merkmale außer der DNA ein. Das Ziel muss während der gesamten Effektdauer bewegungslos bleiben, sonst fällt der Zauber und verursacht unter Umständen ein grauenhaftes Resultat (Ausstrahlungs-Malus von 3 pro min). Die Verwandlung ist ein äußerst schmerzhafter und anstrengender Prozess, bei dem pro min Effektdauer eine SB-Probe erschwert um 15 abzulegen ist. Die Masse bleibt gleich.</t>
  </si>
  <si>
    <t>#spruchmagie_verzauberung_5_warp</t>
  </si>
  <si>
    <t>Warp</t>
  </si>
  <si>
    <t xml:space="preserve">Der Magus teleportiert zu einem Punkt, den er sieht. Er löst sich von Fuß zum Kopf hin in Dampf auf, genauso materialisiert er wieder. Er materialisiert immer stehend, Arme angelegt. Abweichung vom Zielpunkt: (Distanz in m/10) = Wx; Wx -Kreis =Abweichung in m; Abw. immer horizontal, nicht in Gegenstände hinein, sondern auf/neben ihnen. Patzer: Pech-Probe erschw.um Distanz/10. -&gt;pro 1 Punkt Pech: 1W20 auf alle TZ verteilt, alles ignorierend. Der Magus befindet sich während der Reise 1 sec in der Astralsphäre und benötigt 1 sec um wieder zu materialisieren. Um eine andere Person zu teleportieren, muss der Magus sie berühren. </t>
  </si>
  <si>
    <t>#spruchmagie_verzauberung_6_dummheit</t>
  </si>
  <si>
    <t>Dummheit</t>
  </si>
  <si>
    <t>Alle geistigen Eigenschaften (Intelligenz, Mut, Sinnesschärfe, Willenskraft) des Opfers werden um {Magie} * 2 gesenkt. Eigenschaften können nicht unter 1 fallen.Das Opfer bemerkt die Verzauberung sofort.</t>
  </si>
  <si>
    <t>#spruchmagie_verzauberung_6_eisenhaut</t>
  </si>
  <si>
    <t>Eisenhaut</t>
  </si>
  <si>
    <t>Die Haut des Magiers wird widerstandsfähiger.Er erhält zusätzlichen Rüstungsschutz von {Magie}/2+{Aura}/2 auf allen TZ.</t>
  </si>
  <si>
    <t>#spruchmagie_verzauberung_6_last_des_alters</t>
  </si>
  <si>
    <t>Last des Alters</t>
  </si>
  <si>
    <t>Das Ziel altert um maximal {M}*2 Jahre, und erfährt die Leiden des Alters in voller Stärke. Das Erscheinungsbild, die Beweglichkeit und die Wahrnehmung erleiden die Einbußen, die das Opfer bei natürlicher Alterung erleiden würde. Auf Vitalfunktionen hat dieser Zauber keinerlei Einfluss. Am Ende der Wirkungsdauer verwandelt sich das Opfer in seinen Ursprungszustand zurück. Beide Effektdauern sind äußerst schmerzhaft.</t>
  </si>
  <si>
    <t>#spruchmagie_verzauberung_7_grosser_golem</t>
  </si>
  <si>
    <t>Großer Golem</t>
  </si>
  <si>
    <t>Der Magus fügt mit diesem Zauber beliebig viele Gegenstände von maximal {M} * 10 kg Gewicht zusammen. Der Golem kann keinerlei komplexe Handlungen ausführen und folgt lediglich den Befehlen „Greife X an“ und „Gehe zu X“.Alle Eigenschaften des Golems haben einen Wert von {Magie}*2+{Aura}*2, NK-AT|PA von {M}|1+{Magie}|21+{Aura} mit 2W15+{Aura} Schaden und LE von 6*{Magie}+30*{Aura}+2*{M}. Der Golem gilt als Magiekorpus.</t>
  </si>
  <si>
    <t>#spruchmagie_verzauberung_7_krueppel</t>
  </si>
  <si>
    <t>Krüppel</t>
  </si>
  <si>
    <t>Alle Eigenschaften des Opfers werden um {Magie} * 2 Punkte gesenkt.Eigenschaften können nicht unter 1 fallen.Das Opfer bemerkt die Verzauberung sofort.</t>
  </si>
  <si>
    <t>#spruchmagie_verzauberung_7_leib_aus_[element]</t>
  </si>
  <si>
    <t>Leib aus [Element]</t>
  </si>
  <si>
    <t>Der Körper (und nur der Körper!) des Magus verwandelt sich in [Element], mit allen Vor- und Nachteilen, die ein Elementar hat. Während der Wirkungsdauer gilt der Magus als Magiekorpus.Um diesen Zauber zu erlernen, benötigt der Magier den [Element]-Beschwörungs oder Kampfmagie-Startpunkt.</t>
  </si>
  <si>
    <t>#spruchmagie_verzauberung_7_tod_nn</t>
  </si>
  <si>
    <t>Tod (NN)</t>
  </si>
  <si>
    <t>Das Opfer erleidet Kammerflimmern und wird bewusstlos. Das Opfer darf sofort eine Vitalitäts-Probe würfeln, um wieder zu erwachen; jede Minute eine weitere. Gelingt die Probe, erwacht das Opfer. Es erleidet eine BE von {Magie}*2. Die Behinderung geht um 1 pro min zurück. Misslingt die Vitalitäts-Probe drei Mal, stirbt das Opfer.</t>
  </si>
  <si>
    <t>#spruchmagie_verzauberung_7_tod_nr</t>
  </si>
  <si>
    <t>Tod NR</t>
  </si>
  <si>
    <t>Das Opfer erleidet Kammerflimmern und wird bewusstlos. Wird es nicht binnen drei Minuten reanimiert, stirbt es.Wird das Opfer nach einer Minute wiederbelebt, hat es eine Kreisprobe, um nicht alle Sprachfertigkeiten und Optionalen Talentwerte halbiert zu bekommen. Wird das Opfer nach zwei Minuten wiederbelebt, hat es eine Kreisprobe, um nicht alle Eigenschaften halbiert zu bekommen.</t>
  </si>
  <si>
    <t>#spruchmagie_verzauberung_7_verjuengung</t>
  </si>
  <si>
    <t>Verjüngung</t>
  </si>
  <si>
    <t>Das Ziel verjüngt sich um maximal {M}*2 Jahre, und erfährt die Jugend in voller Stärke. Das Erscheinungsbild, die Beweglichkeit und die Wahrnehmung entsprechen dem erzielten Lebensalter. Auf Vitalfunktionen hat dieser Zauber keinerlei Einfluss. Am Ende der Wirkungsdauer verwandelt sich das Opfer in seinen Ursprungszustand zurück. Beide Effektdauern sind äußerst schmerzhaft. Es ist nicht möglich, ein Entwicklungsstadium vor der Geburt zu erzielen.</t>
  </si>
  <si>
    <t>#spruchmagie_wasserbeschwoerung_1_eisball</t>
  </si>
  <si>
    <t>Eisball</t>
  </si>
  <si>
    <t>Der Magus erschafft einen Ball aus Wasser. Schaden: 2W4 + {Magie}. Pro 5 TP erleidet das Opfer zusätzliche BE 1, nur die höchste so erzielte BE zählt.</t>
  </si>
  <si>
    <t>#spruchmagie_wasserbeschwoerung_1_eisball_nr</t>
  </si>
  <si>
    <t>Eisball NR</t>
  </si>
  <si>
    <t>Der Magus erschafft einen Ball aus Eis.  Bis {M}:2 m Glücks-Probe, ab {M}:2 m Ausweichen-Probe, um dem Schaden zu entgehen. Treffer auf FK-TZ (W30). Fluggeschwindigkeit ist {M}:2 m/s.  Schaden: 2W6 + {Magie} Pro 2 sec zusätzlicher Zauberdauer (max. {Magie}+1 sec) kann der Magus den Schaden um 1W6 erhöhen. Pro 5 TP erleidet das Opfer BE 1 für {M} sec.</t>
  </si>
  <si>
    <t>#spruchmagie_wasserbeschwoerung_1_frostfaust</t>
  </si>
  <si>
    <t>Frostfaust</t>
  </si>
  <si>
    <t>Die Fäuste des Magiers verursachen zusätzlichen Elementarschaden. Schaden: W8 + {Magie}. Pro 5 TP erleidet das Opfer zusätzliche BE 1, nur die höchste so erzielte BE zählt.</t>
  </si>
  <si>
    <t>#spruchmagie_wasserbeschwoerung_1_frostfaust_nr</t>
  </si>
  <si>
    <t>Frostfaust NR</t>
  </si>
  <si>
    <t>Die Fäuste des Magiers verursachen zusätzlichen Elementarschaden.   Schaden:   W10 + {Magie}  Pro 5 TP erleidet das Opfer BE 1 für {M} sec.</t>
  </si>
  <si>
    <t>#spruchmagie_wasserbeschwoerung_2_frostbolzen</t>
  </si>
  <si>
    <t>Frostbolzen</t>
  </si>
  <si>
    <t>Der Magus erschafft einen Bolzen aus Wasser. Treffer auf FK-TZ. Schaden: 2W6 + {Magie}, RB: {Magie}*2. Pro 5 TP erleidet das Opfer zusätzliche BE 1, nur die höchste so erzielte BE zählt.</t>
  </si>
  <si>
    <t>#spruchmagie_wasserbeschwoerung_2_frostbolzen_nr</t>
  </si>
  <si>
    <t>Frostbolzen NR</t>
  </si>
  <si>
    <t>Der Magus erschafft einen Bolzen aus Eis. Bis {M}m Glücks-Probe, bis {M}*2m AW:2, danach AW, um dem Schaden zu entgehen. Fluggeschwindigkeit ist {M}m/s. Treffer auf FK (W30). Schaden: 2W8 + {Magie}; RB: {Magie}*2 Pro 5 TP erleidet das Opfer BE 1 für {M} sec.</t>
  </si>
  <si>
    <t>#spruchmagie_wasserbeschwoerung_3_grosse_frostfaust</t>
  </si>
  <si>
    <t>Große Frostfaust</t>
  </si>
  <si>
    <t>Die Fäuste des Magiers verursachen zusätzlichen Elementarschaden von 2W12+{Magie}. Pro 5 TP erleidet das Opfer zusätzliche BE 1, nur die höchste so erzielte BE zählt.</t>
  </si>
  <si>
    <t>#spruchmagie_wasserbeschwoerung_3_grosse_frostfaust_nr</t>
  </si>
  <si>
    <t>Große Frostfaust NR</t>
  </si>
  <si>
    <t>Die Fäuste des Magiers verursachen zusätzlichen Elementarschaden von   2W15+{Magie}  Pro 5 TP erleidet das Opfer BE 1 für {M} sec.</t>
  </si>
  <si>
    <t>#spruchmagie_wasserbeschwoerung_4_grosser_eisball</t>
  </si>
  <si>
    <t>Großer Eisball</t>
  </si>
  <si>
    <t>Der Magus erschafft einen Ball aus Wasser. Schaden: W12 + {Magie} auf jede Trefferzone. Pro 5 TP erleidet das Opfer zusätzliche BE 1, nur die höchste so erzielte BE zählt.</t>
  </si>
  <si>
    <t>#spruchmagie_wasserbeschwoerung_4_grosser_eisball_nr</t>
  </si>
  <si>
    <t>Großer Eisball NR</t>
  </si>
  <si>
    <t>Der Magus erschafft einen Ball aus Eis.  Bis {M}:2 m Glücks-Probe, ab {M}:2 m Ausweichen-Probe, um dem Schaden zu entgehen. Fluggeschwindigkeit ist {M}:2 m/s.  Schaden: W15 + {Magie}*2 auf jede Trefferzone  Pro 5 TP erleidet das Opfer BE 1 für {M} sec.</t>
  </si>
  <si>
    <t>#spruchmagie_z_beherrschung_entwicklung_1_aufmerksamkeit2</t>
  </si>
  <si>
    <t>Aufmerksamkeit2</t>
  </si>
  <si>
    <t>Das Opfer richtet seine gesamte Aufmerksamkeit schlagartig auf den Magier. Andere Ziele werden für die Zauberdauer vergessen. Ist der Magus ein Feind, so greift das Opfer nur den Magus an. Sobald das Opfer Schaden erleidet oder erkennt, dass es sich in Lebensgefahr befindet, fällt der Zauber.  Widerstandswurf: Intelligenz; alle {Magie} * sec eine weitere.</t>
  </si>
  <si>
    <t>#spruchmagie_z_beherrschung_entwicklung_1_beruhigung</t>
  </si>
  <si>
    <t>Beruhigung</t>
  </si>
  <si>
    <t>Das Opfer ruhig und gelassen, es verliert jegliches Interesse an Gewalt. Konflikte werden eher mit Worten ausgetragen. Manche Personen sind aufgrund bestimmter Psychosen immun gegen die Zauberwirkung. Nach einem erfolgreichen Widerstandswurf oder nach Ende der Wirkungsdauer verhält sich das Opfer wieder normal.Dieser Zauber hat keinerlei Einfluss auf das Gedächtnis. Widerstandswurf:  Willenskraft ; alle {Magie} min eine weitere.</t>
  </si>
  <si>
    <t>#spruchmagie_z_beherrschung_entwicklung_1_entscheidungshilfe</t>
  </si>
  <si>
    <t>Entscheidungshilfe</t>
  </si>
  <si>
    <t>Das Opfer wird vom Magus bei einer „Ja oder Nein“-Entscheidung beeinflusst, bei der das Opfer sich über die Antwort unsicher ist. Dieser Zauber hat keinen Einfluss auf schon gefasste Entscheidungen.   Widerstandswurf:  Willenskraft.</t>
  </si>
  <si>
    <t>#spruchmagie_z_beherrschung_entwicklung_1_tierkontrolle</t>
  </si>
  <si>
    <t>Tierkontrolle</t>
  </si>
  <si>
    <t>Der Magus berührt ein Tier während der gesamten Vorbereitungsdauer. Dann löst sich der Geist des Magus vom Körper und fährt in das Tier ein.  Es ist dem Magus unmöglich zu zaubern oder die physischen Möglichkeiten des Tieres zu überschreiten, wohl aber ist es möglich ein Tier zu intelligenten Handlungen zu zwingen. Stirbt das Opfer während der Wirkungsdauer, verliert der Magus W6-VIT seiner Gesundheit, mindestens 1. Widerstandswurf:  Intelligenz ; alle {Magie}*10 min eine weitere.</t>
  </si>
  <si>
    <t>#spruchmagie_z_beherrschung_entwicklung_1_verwirrung2</t>
  </si>
  <si>
    <t>Verwirrung2</t>
  </si>
  <si>
    <t xml:space="preserve">Das Opfer vergisst für die Wirkungsdauer seine Intentionen. Die Einstellung anderen gegenüber ändert sich nicht, einzig die beabsichtigte Handlung wird vergessen. Befindet sich das Opfer im Kampf, kann es nur noch parieren. Widerstandswurf Intelligenz ; alle {Magie} : 2 sec eine weitere. </t>
  </si>
  <si>
    <t>#spruchmagie_z_beherrschung_entwicklung_2_angst</t>
  </si>
  <si>
    <t>Angst</t>
  </si>
  <si>
    <t xml:space="preserve">Das Opfer wird von panischer Angst vor dem Magus oder einem vom Magus bestimmten Gegenstand erfüllt. Das Opfer handelt seiner Natur entsprechend: Meist versuchen Opfer so schnell wie möglich das Weite zu suchen, bis sie sich sicher fühlen (frühestens nach {Magie} min). In einer ausweglosen Situation greifen sie nach einer bestandenen Mut-Bonus-Probe an, ansonsten erstarren sie vor Angst. Widerstandswurf:  Intelligenz ; alle {Magie} * sec eine weitere. </t>
  </si>
  <si>
    <t>#spruchmagie_z_beherrschung_entwicklung_2_flucht</t>
  </si>
  <si>
    <t>Flucht</t>
  </si>
  <si>
    <t xml:space="preserve">Das Opfer flieht vor dem Magus. Alle beim Laufen belastenden Gegenstände wirft es weg. Dabei entfernt es sich so weit vom Magus, bis es sich sicher fühlt. Widerstandswurf:  Willenskraft ; alle {Magie} * sec eine weitere. </t>
  </si>
  <si>
    <t>#spruchmagie_z_beherrschung_entwicklung_2_harmlos</t>
  </si>
  <si>
    <t>Harmlos</t>
  </si>
  <si>
    <t xml:space="preserve">Der Magus erscheint dem Opfer als eine vollkommen unbedrohliche, gewöhnliche Person. Es ist sehr unwahrscheinlich, dass er den Magus angreift. Widerstandswurf:  Sinnesschärfe ; alle {Magie} * sec eine weitere. </t>
  </si>
  <si>
    <t>#spruchmagie_z_beherrschung_entwicklung_2_konfus2</t>
  </si>
  <si>
    <t>Konfus2</t>
  </si>
  <si>
    <t>Das Opfer vergisst vollkommen, wer seine Freunde oder Feinde sind und greift ein zufälliges Ziel an, wenn es sich bereits im Kampf befindet. Widerstandswurf:  Willenskraft ; alle {Magie} * sec eine weitere.</t>
  </si>
  <si>
    <t>#spruchmagie_z_beherrschung_entwicklung_2_tierfreundschaft</t>
  </si>
  <si>
    <t>Tierfreundschaft</t>
  </si>
  <si>
    <t xml:space="preserve">Das Tier betrachtet den Magus als einen freundlich gesinnten Artgenossen oder Rudelmitglied. Es ist nicht möglich, wilden Tieren Befehle zu erteilen. Es ist möglich, dressierten Tieren ihnen bekannte Befehle zu erteilen. Sollte der Magus angegriffen werden, verhalten sich die Tiere ihrer Art entsprechend: Flucht oder Verteidigung. Der Magus kann das Tier „bitten“, ihm im Ausmaß der natürlichen Fähigkeiten zu helfen: Hierfür ist eine einfache Ausstrahlungsprobe nötig. Widerstandswurf:  Willenskraft ; alle {Magie} min eine weitere. </t>
  </si>
  <si>
    <t>#spruchmagie_z_beherrschung_entwicklung_2_wut</t>
  </si>
  <si>
    <t>Wut</t>
  </si>
  <si>
    <t xml:space="preserve">Das Opfer ist unbändiger Wut erfüllt und greift bei der kleinsten Provokation ein Ziel an, das ihm als feindlich erscheint. Ist kein solches Ziel vorhanden, richtet das Opfer seine Wut gewalttätig gegen Gegenstände oder gar Freunde (Intelligenz-Probe). Widerstandswurf:  Willenskraft ; alle {Magie} * sec eine weitere. </t>
  </si>
  <si>
    <t>#spruchmagie_z_beherrschung_entwicklung_3_feindschaft</t>
  </si>
  <si>
    <t>Feindschaft</t>
  </si>
  <si>
    <t>Das Opfer wird von brennendem Hass gegenüber einem vom Magier bestimmten Ziel erfüllt. Je nach Veranlagung des Opfers wird es bei Provokationen gewalttätig. Widerstandswurf:  Intelligenz ; alle {Magie} * sec eine weitere.</t>
  </si>
  <si>
    <t>#spruchmagie_z_beherrschung_entwicklung_3_fremde_zungen</t>
  </si>
  <si>
    <t>Fremde Zungen</t>
  </si>
  <si>
    <t xml:space="preserve">Das Opfer versteht ihm bekannte Mitteilungsformen nicht mehr. Dies schließt Sprache, Schriften, Zeichen und Zeichensprache ein. Widerstandswurf:  Intelligenz ; alle {Magie} * sec eine weitere. </t>
  </si>
  <si>
    <t>#spruchmagie_z_beherrschung_entwicklung_3_insektenruf</t>
  </si>
  <si>
    <t>Insektenruf</t>
  </si>
  <si>
    <t>Alle Insekten im Wirkungsbereich versuchen so schnell wie möglich, zu dem vom Magier bestimmten Ziel zu gelangen und es anzugreifen. Die Anzahl der Insekten bestimmt der Meister. Im Frühling/Herbst ist mit Hunderten Insekten zu rechnen, im Sommer mit Tausenden, im Winter mit Dutzenden. Ist das Ziel ein Insektenphobiker, flieht es panisch. Jedes Opfer erleidet eine Behinderung von [Insekten]:50 zusätzlich zu den eventuellen Behinderungen aus Angriffen der Insekten.</t>
  </si>
  <si>
    <t>#spruchmagie_z_beherrschung_entwicklung_3_konzentration_stoeren</t>
  </si>
  <si>
    <t>Konzentration stören</t>
  </si>
  <si>
    <t xml:space="preserve">Das Opfer wird bei allen Zaubervorbereitungen (KI, PSI, Spruchmagie) um {M} : 2 Punkte erschwert. Widerstandswurf:  Willenskraft ; alle {Magie} * sec eine weitere. </t>
  </si>
  <si>
    <t>#spruchmagie_z_beherrschung_entwicklung_3_schmerz</t>
  </si>
  <si>
    <t>Schmerz</t>
  </si>
  <si>
    <t xml:space="preserve">Das Opfer erleidet unbeschreibliche Schmerzen und muss jede Sekunde eine Selbstbeherrschungs-Probe erschwert um die {M} des Magiers ablegen. Widerstandswurf:  Konstitution ; alle {Magie} * sec eine weitere. </t>
  </si>
  <si>
    <t>#spruchmagie_z_beherrschung_entwicklung_3_schmerzfrei</t>
  </si>
  <si>
    <t>Schmerzfrei</t>
  </si>
  <si>
    <t xml:space="preserve">Alle Selbstbeherrschungsproben des Opfers werden um {M} erleichtert und alle durch Schmerz oder Wunden entstandenen Behinderungen um die Hälfte reduziert. Widerstandswurf:  Konstitution ; alle {Magie} min eine weitere. </t>
  </si>
  <si>
    <t>#spruchmagie_z_beherrschung_entwicklung_3_tierbefehl</t>
  </si>
  <si>
    <t>Tierbefehl</t>
  </si>
  <si>
    <t>Der Magier erteilt dem Tier einen Befehl. Das Tier muss den Befehl sofort ausführen. Ob das Tier den Befehl ausführen kann, bestimmen die Fähigkeiten des Tieres. Gerät das Tier in Panik, fällt der Zauber automatisch. Widerstandswurf:  Willenskraft ; alle {Magie} * h eine weitere.</t>
  </si>
  <si>
    <t>#spruchmagie_z_beherrschung_entwicklung_3_zwang</t>
  </si>
  <si>
    <t>Zwang</t>
  </si>
  <si>
    <t xml:space="preserve">Der Magier kann dem Ziel eine Zwangshandlung auferlegen: Dem Opfer juckt der ganze Körper, es muss permanent husten oder lachen oder schreien usw. Das Opfer erleidet hierdurch eine Behinderung von {Magie}. Widerstandswurf:  Willenskraft ; alle {Magie} min eine weitere. </t>
  </si>
  <si>
    <t>#spruchmagie_z_beherrschung_entwicklung_4_freundschaft2</t>
  </si>
  <si>
    <t>Freundschaft2</t>
  </si>
  <si>
    <t xml:space="preserve">Das Opfer ist dem Magus in tiefer Freundschaft zugetan. In Kampfsituationen wird das Opfer den Magus im Rahmen seiner Fähigkeiten unterstützen. Es wird dem Magus kleinere Geheimnisse verraten, mit erfolgreichen Überreden-Proben wird das Opfer auch lebenswichtige Geheimnisse ausplaudern. Solange der Zauber wirkt, kann der Magus nicht vom Ziel angegriffen werden. Widerstandswurf:  Ausstrahlung ; alle {Magie} min eine weitere. </t>
  </si>
  <si>
    <t>#spruchmagie_z_beherrschung_entwicklung_4_gier</t>
  </si>
  <si>
    <t>Gier</t>
  </si>
  <si>
    <t xml:space="preserve">Das Opfer versucht mit allen Mitteln, in den Besitz des vom Magier bestimmten Gegenstands zu kommen. Ob das Opfer Leib und Leben dafür aufs Spiel setzt, hängt von seiner Gesinnung ab. Widerstandswurf:  Willenskraft ; alle {Magie} * sec eine weitere. </t>
  </si>
  <si>
    <t>#spruchmagie_z_beherrschung_entwicklung_4_grosse_harmlosigkeit</t>
  </si>
  <si>
    <t>Große Harmlosigkeit</t>
  </si>
  <si>
    <t xml:space="preserve">Allen Ziele im Wirkungsbereich erscheinen der Magus und {Magie} * zuvor bestimmte Gefährten, als vollkommen unbedrohliche, gewöhnliche Personen. Es ist sehr unwahrscheinlich, dass es den Magus und seine Gefährten angreift. Widerstandswurf: Sinnesschärfe ; alle {Magie} * sec eine weitere. </t>
  </si>
  <si>
    <t>#spruchmagie_z_beherrschung_entwicklung_4_grosse_tierfreundschaft</t>
  </si>
  <si>
    <t>Große Tierfreundschaft</t>
  </si>
  <si>
    <t>Alle Ziele mit Intelligenz &lt;6 im Wirkungsbereich betrachten den Magus und max. {Magie} zuvor bestimmte Gefährten, als freundlich gesinnte Artgenossen oder Rudelmitglieder. Es ist nicht möglich, wilden Tieren Befehle zu erteilen. Es ist möglich, dressierten Tieren ihnen bekannte Befehle zu erteilen. Sollte der Magus angegriffen werden, verhalten sich die Tiere ihrer Art entsprechend: Flucht oder Verteidigung. Der Magus kann das Tier „bitten“, ihm im Ausmaß der natürlichen Fähigkeiten zu helfen: Hierfür ist eine einfache Ausstrahlungsprobe nötig. Widerstandswurf: Willenskraft ; alle {Magie} min eine weitere.</t>
  </si>
  <si>
    <t>#spruchmagie_z_beherrschung_entwicklung_4_massenflucht</t>
  </si>
  <si>
    <t>Massenflucht</t>
  </si>
  <si>
    <t>Alle Ziele im Wirkungsbereich werden von panischer Angst vor dem Magus oder einem vom Magus bestimmten Gegenstand erfüllt. Das Opfer handelt seiner Natur entsprechend: Meist versuchen Opfer so schnell wie möglich das Weite zu suchen, bis sie sich sicher fühlen (frühestens nach {Magie} min). In einer ausweglosen Situation greifen sie nach einer bestandenen Mut-Bonus-Probe an, ansonsten erstarren sie vor Angst. Widerstandswurf: Intelligenz ; alle {Magie} * sec eine weitere.</t>
  </si>
  <si>
    <t>#spruchmagie_z_beherrschung_entwicklung_4_mimose</t>
  </si>
  <si>
    <t>Mimose</t>
  </si>
  <si>
    <t xml:space="preserve">Das Opfer muss bei erlittenem Schaden immer eine Selbstbeherrschungsprobe werfen, die um {Magie}*2 erschwert ist. Alle effektiven Behinderungen wirken doppelt. Widerstandswurf:  Konstitution ; alle {Magie} min eine weitere. </t>
  </si>
  <si>
    <t>#spruchmagie_z_beherrschung_entwicklung_4_stumm2</t>
  </si>
  <si>
    <t>Stumm2</t>
  </si>
  <si>
    <t>Das Opfer ist zu keiner gewollten Lautäußerung imstande. Widerstandswurf:  Willenskraft ; alle {Magie} * sec eine weitere.</t>
  </si>
  <si>
    <t>#spruchmagie_z_beherrschung_entwicklung_4_tiere_rufen</t>
  </si>
  <si>
    <t>Tiere rufen</t>
  </si>
  <si>
    <t>Alle Lebewesen mit Intelligenz &lt;6 im im Wirkungsbereich versuchen so schnell wie möglich, zu dem vom Magier bestimmten Ziel zu gelangen. Dort angekommen, verhalten sie sich unnatürlich still, nach Ende der Wirkungsdauer fallen sie in ihr natürliches Verhalten zurück.</t>
  </si>
  <si>
    <t>#spruchmagie_z_beherrschung_entwicklung_4_zonenzwang</t>
  </si>
  <si>
    <t>Zonenzwang</t>
  </si>
  <si>
    <t xml:space="preserve">Das Opfer kann einen Bereich von {M} m Radius nicht aus freiem Willenskraften verlassen. Wird es dazu gezwungen, wehrt es sich. Wird es mit Gewalt über die Zonengrenze befördert, erleidet es eine Behinderung von {Magie}, die pro 15 min um einen Punkt reduziert wird. Widerstandswurf:  Willenskraft ; alle {Magie} min eine weitere. </t>
  </si>
  <si>
    <t>#spruchmagie_z_beherrschung_entwicklung_5_babel</t>
  </si>
  <si>
    <t>Babel</t>
  </si>
  <si>
    <t xml:space="preserve">Alle Ziele im Wirkungsbereich verstehen ihnen bekannte Mitteilungsformen nicht mehr. Dies schließt Sprache, Schriften, Zeichen und Zeichensprache ein. Widerstandswurf: Intelligenz ; alle {Magie} * sec eine weitere. </t>
  </si>
  <si>
    <t>#spruchmagie_z_beherrschung_entwicklung_5_freien_elementar_beherrschen</t>
  </si>
  <si>
    <t>Freien Elementar beherrschen</t>
  </si>
  <si>
    <t>Das Opfer muss eine Beherrschungsprobe auf [XXX] ablegen und alle [{Magie}] sec eine weitere. Gelingt die Probe, fällt der Zauber. Misslingt die Probe,</t>
  </si>
  <si>
    <t>#spruchmagie_z_beherrschung_entwicklung_5_menschen_rufen</t>
  </si>
  <si>
    <t>Menschen rufen</t>
  </si>
  <si>
    <t xml:space="preserve">Alle Ziele im Wirkungsbereich versuchen so schnell wie möglich, zu dem vom Magus bestimmten Ort zu gelangen. Dort angekommen, betrachten sie das Ziel mit großem Interesse. Widerstandsprobe: Willenskraft ; alle {Magie} min eine weitere. </t>
  </si>
  <si>
    <t>#spruchmagie_z_beherrschung_entwicklung_5_schwere_glieder</t>
  </si>
  <si>
    <t>Schwere Glieder</t>
  </si>
  <si>
    <t xml:space="preserve">Das Opfer wird von unnatürlicher Gliederschwere befallen und erleidet eine Behinderung von {Magie}. Zusätzlich wird ein Drittel der Rüstungsbehinderung zusätzlich verursacht. Widerstandswurf:  Athletik ; alle {Magie} * sec eine weitere. </t>
  </si>
  <si>
    <t>#spruchmagie_z_beherrschung_entwicklung_5_sinneseinschraenkung</t>
  </si>
  <si>
    <t>Sinneseinschränkung</t>
  </si>
  <si>
    <t>Das ist Opfer entweder vollständig Blind oder vollständig Taub, je nach Maßgabe des Magiers. Widerstandswurf:  Sinesschärfe ; alle {Magie} * sec eine weitere.</t>
  </si>
  <si>
    <t>#spruchmagie_z_beherrschung_entwicklung_5_tierherrschaft</t>
  </si>
  <si>
    <t>Tierherrschaft</t>
  </si>
  <si>
    <t xml:space="preserve">Der Magus kann dem Tier einen sofort ausführbaren Befehl erteilen. Ob das Tier den Befehl tatsächlich ausführen kann, hängt von seinen natürlichen Fähigkeiten ab. Widerstandswurf: Willenskraft ; alle {Magie} min eine weitere. </t>
  </si>
  <si>
    <t>#spruchmagie_z_beherrschung_entwicklung_6_atemnot</t>
  </si>
  <si>
    <t>Atemnot</t>
  </si>
  <si>
    <t xml:space="preserve">Das Opfer glaubt zu ersticken. Pro sec Wirkungsdauer erleidet es eine Behinderung von 1, alle Ausdauerkosten erhöhen sich um das dreifache. Steigt die Behinderung über den Wert der Trefferschwelle, wird das Opfer bewusstlos. Erhält der Magus den Zauber weiterhin aufrecht, verliert das Opfer pro sec 1 Punkt Gesundheit. Widerstandswurf:  Konstitution ; alle 1 sec. </t>
  </si>
  <si>
    <t>#spruchmagie_z_beherrschung_entwicklung_6_herrschaft_ueber_menschen</t>
  </si>
  <si>
    <t>Herrschaft über Menschen</t>
  </si>
  <si>
    <t>Der Magus kann dem Opfer einen sofort ausführbaren Befehl erteilen. Widerstandswurf:  Willenskraft ; alle {Magie} * sec eine weitere.</t>
  </si>
  <si>
    <t>#spruchmagie_z_beherrschung_entwicklung_6_massen_befehligen</t>
  </si>
  <si>
    <t>Massen befehligen</t>
  </si>
  <si>
    <t>Alle Ziele im Wirkungsbereich müssen einen Befehl des Magiers befolgen. Der Befehl muss sofort ausführbar sein. Der Befehl darf das Opfer nicht in Lebensgefahr bringen. Gerät das Opfer in Panik, fällt der Zauber automatisch. Widerstandswurf: Willenskraft ; alle {Magie} * h eine weitere.</t>
  </si>
  <si>
    <t>#spruchmagie_z_beherrschung_entwicklung_6_paralyse2</t>
  </si>
  <si>
    <t>Paralyse2</t>
  </si>
  <si>
    <t>Das Opfer ist vollständig paralysiert. Lebensnotwendige Organe arbeiten weiterhin. Das Opfer nimmt weiterhin alles wahr, was um es passiert. Befindet es sich in Bewegung, erleidet es Fallschaden nach Maßgabe des Meisters. Widerstandswurf:  Stärke ; alle {Magie} * sec eine weitere.</t>
  </si>
  <si>
    <t>#spruchmagie_z_beherrschung_entwicklung_6_schlaf</t>
  </si>
  <si>
    <t>Schlaf</t>
  </si>
  <si>
    <t xml:space="preserve">Das Opfer fällt auf der Stelle in einen unnatürlich tiefen Schlaf. Es ist nicht möglich, das Opfer zu wecken. Das Opfer empfindet während der Wirkungsdauer keinen Schmerz und hat keine Wahrnehmung. Widerstandswurf:  Willenskraft ; alle {Magie} * h eine weitere. </t>
  </si>
  <si>
    <t>#spruchmagie_z_beherrschung_entwicklung_6_stille_masse</t>
  </si>
  <si>
    <t>Stille Masse</t>
  </si>
  <si>
    <t>#spruchmagie_z_beherrschung_entwicklung_7_backstreet_boy</t>
  </si>
  <si>
    <t>Backstreet Boy</t>
  </si>
  <si>
    <t xml:space="preserve">Alle Ziele im Wirkungsbereich sind dem Magus in tiefer Freundschaft zugetan. In Kampfsituationen wird ein Opfer den Magus im Rahmen seiner Fähigkeiten unterstützen. Es wird dem Magus kleinere Geheimnisse verraten, mit erfolgreichen Überreden-Proben wird das Opfer auch lebenswichtige Geheimnisse ausplaudern. Solange der Zauber wirkt, kann der Magus nicht vom Ziel angegriffen werden. Widerstandswurf: Ausstrahlung ; alle {Magie} min eine weitere. </t>
  </si>
  <si>
    <t>#spruchmagie_z_beherrschung_entwicklung_7_neues_leben</t>
  </si>
  <si>
    <t>Neues Leben</t>
  </si>
  <si>
    <t xml:space="preserve">Der Magus kann bestimmte oder alle Erinnerungen des Opfers auslöschen oder durch andere ersetzen. Gelingt dem Opfer die Gegenprobe, nachdem sie einmal misslungen ist, kehren die Erinnerungen binnen [vergangene Tage] immer vollständiger zurück. Widerstandswurf:  Intelligenz ; alle {Magie} * Tage eine weitere. </t>
  </si>
  <si>
    <t>#spruchmagie_z_beherrschung_entwicklung_7_totale_kontrolle2</t>
  </si>
  <si>
    <t>Totale Kontrolle2</t>
  </si>
  <si>
    <t>Der Magus berührt das Opfer während der gesamten Vorbereitungsdauer. Dann löst sich der Geist des Magus vom Körper und fährt in das Opfer ein.  Es ist dem Magus unmöglich zu zaubern oder die physischen Möglichkeiten des Opfers zu überschreiten. Stirbt das Opfer während der Wirkungsdauer, verliert der Magus die Hälfte seiner Gesundheit. Widerstandswurf:  Intelligenz ; alle {Magie}*10 min eine weitere.</t>
  </si>
  <si>
    <t>talente_alchemieresistenz_stufe_1</t>
  </si>
  <si>
    <t>Alchemieresistenz Stufe 1</t>
  </si>
  <si>
    <t>Erhöht das Maximum der Sonderfertigkeit "Alchemiresistenz" um 6 Punkte.</t>
  </si>
  <si>
    <t>talente_zaeher_bursche_stufe_1</t>
  </si>
  <si>
    <t>Zäher Bursche Stufe 1</t>
  </si>
  <si>
    <t>Krieger</t>
  </si>
  <si>
    <t>Die die Selbstbeherrschung des Charakters erhöht sich um 1 und die Gesundheit um 2.</t>
  </si>
  <si>
    <t>talente_zaeher_bursche_stufe_2</t>
  </si>
  <si>
    <t>Zäher Bursche Stufe 2</t>
  </si>
  <si>
    <t>Die Trefferschwelle des Charakters erhöht sich um 1, die Selbstbeherrschung um 3 und die Gesundheit um 4.</t>
  </si>
  <si>
    <t>talente_zaeher_bursche_stufe_3</t>
  </si>
  <si>
    <t>Zäher Bursche Stufe 3</t>
  </si>
  <si>
    <t>Die Trefferschwelle des Charakters erhöht sich um 2, die Selbstbeherrschung um 6 und die Gesundheit um 7.</t>
  </si>
  <si>
    <t>talente_alchemieresistenz_stufe_2</t>
  </si>
  <si>
    <t>Alchemieresistenz Stufe 2</t>
  </si>
  <si>
    <t>Erhöht das Maximum der Sonderfertigkeit "Alchemiresistenz" um 12 Punkte.</t>
  </si>
  <si>
    <t>talente_ausdauer_stufe_1</t>
  </si>
  <si>
    <t>Ausdauer Stufe 1</t>
  </si>
  <si>
    <t>Erhöht das Maximum der Sonderfertigkeit "Ausdauer" um 6 Punkte.</t>
  </si>
  <si>
    <t>talente_ausdauer_stufe_2</t>
  </si>
  <si>
    <t>Ausdauer Stufe 2</t>
  </si>
  <si>
    <t>Erhöht das Maximum der Sonderfertigkeit "Ausdauer" um 12 Punkte.</t>
  </si>
  <si>
    <t>talente_ausdauer_stufe_3</t>
  </si>
  <si>
    <t>Ausdauer Stufe 3</t>
  </si>
  <si>
    <t>Erhöht das Maximum der Sonderfertigkeit "Ausdauer" um 18 Punkte.</t>
  </si>
  <si>
    <t>talente_ausweichen_stufe_1</t>
  </si>
  <si>
    <t>Ausweichen Stufe 1</t>
  </si>
  <si>
    <t>Erhöht das Maximum der Sonderfertigkeit "Ausweichen" um 6 Punkte.</t>
  </si>
  <si>
    <t>talente_ausweichen_stufe_2</t>
  </si>
  <si>
    <t>Ausweichen Stufe 2</t>
  </si>
  <si>
    <t>Erhöht das Maximum der Sonderfertigkeit "Ausweichen" um 12 Punkte.</t>
  </si>
  <si>
    <t>talente_berittenes_armbrustschiessen_stufe_1</t>
  </si>
  <si>
    <t>Berittenes Armbrustschießen Stufe 1</t>
  </si>
  <si>
    <t>Veringert den FK-Modifikator für "vom laufenden Pferd" beim Armbrustschießen um 3.</t>
  </si>
  <si>
    <t>talente_berittenes_armbrustschiessen_stufe_2</t>
  </si>
  <si>
    <t>Berittenes Armbrustschießen Stufe 2</t>
  </si>
  <si>
    <t>Veringert den FK-Modifikator für "vom laufenden Pferd" beim Armbrustschießen um 7.</t>
  </si>
  <si>
    <t>talente_berittenes_bogenschiessen_stufe_1</t>
  </si>
  <si>
    <t>Berittenes Bogenschießen Stufe 1</t>
  </si>
  <si>
    <t>Veringert den FK-Modifikator für "vom laufenden Pferd" beim Bogenschießen um 3.</t>
  </si>
  <si>
    <t>talente_berittenes_bogenschiessen_stufe_2</t>
  </si>
  <si>
    <t>Berittenes Bogenschießen Stufe 2</t>
  </si>
  <si>
    <t>Veringert den FK-Modifikator für "vom laufenden Pferd" beim Bogenschießen um 7.</t>
  </si>
  <si>
    <t>talente_berittenes_musketenschiessen_stufe_1</t>
  </si>
  <si>
    <t>Berittenes Musketenschießen Stufe 1</t>
  </si>
  <si>
    <t>Veringert den FK-Modifikator für "vom laufenden Pferd" beim Musketenschießen um 3.</t>
  </si>
  <si>
    <t>talente_berittenes_musketenschiessen_stufe_2</t>
  </si>
  <si>
    <t>Berittenes Musketenschießen Stufe 2</t>
  </si>
  <si>
    <t>Veringert den FK-Modifikator für "vom laufenden Pferd" beim Musketenschießen um 7.</t>
  </si>
  <si>
    <t>talente_berittenes_pistolenschiessen_stufe_1</t>
  </si>
  <si>
    <t>Berittenes Pistolenschießen Stufe 1</t>
  </si>
  <si>
    <t>Verringert den FK-Modifikator für "vom laufenden Pferd" beim Pistolenschießen auf 3.</t>
  </si>
  <si>
    <t>talente_berittenes_pistolenschiessen_stufe_2</t>
  </si>
  <si>
    <t>Berittenes Pistolenschießen Stufe 2</t>
  </si>
  <si>
    <t>Verringert den FK-Modifikator für "vom laufenden Pferd" beim Pistolenschießen auf 7.</t>
  </si>
  <si>
    <t>talente_berittenes_werfen_stufe_1</t>
  </si>
  <si>
    <t>Berittenes Werfen Stufe 1</t>
  </si>
  <si>
    <t>Verringert den FK-Modifikator für "vom laufenden Pferd" beim Werfen von Wurfwaffen um 3.</t>
  </si>
  <si>
    <t>talente_berittenes_werfen_stufe_2</t>
  </si>
  <si>
    <t>Berittenes Werfen Stufe 2</t>
  </si>
  <si>
    <t>Verringert den FK-Modifikator für "vom laufenden Pferd" beim Werfen von Wurfwaffen um 7.</t>
  </si>
  <si>
    <t>talente_blutmagie_stufe_1</t>
  </si>
  <si>
    <t>Blutmagie Stufe 1</t>
  </si>
  <si>
    <t xml:space="preserve">Der Einsatz der Blutmagie-Fähigkeit erfordert eine blutende Wunde mit einem Punkt Blutung, und in jedem Fall eine Mut-Probe. Die Mut-Probe kann jede Sekunde wiederholt werden. Der Magier kann, wenn er sich eine blutende Wunde zufügt (ein Punkt Blutung), oder eine solche bereits hat, seine gute Spruchzauberprobe ohne weitere zeitliche Verzögerung um 1 Punkt pro Gesundheitspunkt, den er freiwillig opfert, erhöhen. Dabei kann seine gute Probe bis zur normalen Probe steigen. Er kann bis zu seiner gesamten momentanen Gesundheit + Vitalität opfern. Die Punkte werden erst nach Ende der Effektdauer bzw. Scheitern der Spruchprobe von der Gesundheit abgezogen. Wenn er dabei mehr als TS an Gesundheit verliert, muss er eine SB-Probe und ggf. eine Konzentrationsprobe würfeln. </t>
  </si>
  <si>
    <t>talente_blutmagie_stufe_2</t>
  </si>
  <si>
    <t>Blutmagie Stufe 2</t>
  </si>
  <si>
    <t xml:space="preserve">Der Einsatz der Blutmagie-Fähigkeit erfordert eine blutende Wunde mit einem Punkt Blutung, und in jedem Fall eine Mut-Probe. Die Mut-Probe kann jede Sekunde wiederholt werden. Der Magier kann, wenn er sich eine blutende Wunde zufügt (ein Punkt Blutung), oder eine solche bereits hat, seine gute Spruchzauberprobe ohne weitere zeitliche Verzögerung um 2 Punkte pro Gesundheitspunkt, den er freiwillig opfert, erhöhen. Dabei kann seine gute Probe bis zur normalen Probe steigen. Er kann bis zu seiner gesamten momentanen Gesundheit + Vitalität opfern. Die Punkte werden erst nach Ende der Effektdauer bzw. Scheitern der Spruchprobe von der Gesundheit abgezogen. Wenn er dabei mehr als TS an Gesundheit verliert, muss er eine SB-Probe und ggf. eine Konzentrationsprobe würfeln. </t>
  </si>
  <si>
    <t>talente_blutmagie_stufe_3</t>
  </si>
  <si>
    <t>Blutmagie Stufe 3</t>
  </si>
  <si>
    <t xml:space="preserve">Der Einsatz der Blutmagie-Fähigkeit erfordert eine blutende Wunde mit einem Punkt Blutung, und in jedem Fall eine Mut-Probe. Die Mut-Probe kann jede Sekunde wiederholt werden. Der Magier kann, wenn er sich eine blutende Wunde zufügt (ein Punkt Blutung), oder eine solche bereits hat, seine gute Spruchzauberprobe ohne weitere zeitliche Verzögerung um 3 Punkte pro Gesundheitspunkt, den er freiwillig opfert, erhöhen. Dabei kann seine gute Probe bis zur normalen Probe steigen. Er kann bis zu seiner gesamten momentanen Gesundheit + Vitalität opfern. Die Punkte werden erst nach Ende der Effektdauer bzw. Scheitern der Spruchprobe von der Gesundheit abgezogen. Wenn er dabei mehr als TS an Gesundheit verliert, muss er eine SB-Probe und ggf. eine Konzentrationsprobe würfeln. </t>
  </si>
  <si>
    <t>talente_charismatischer_fuehrer</t>
  </si>
  <si>
    <t>Charismatischer Führer</t>
  </si>
  <si>
    <t>Erhöht die Maxima Grundfertigkeiten Überreden &amp; Überzeugen zusätzlich um +6 Punkte.</t>
  </si>
  <si>
    <t>talente_eigenschaften_erhoehen_athletik</t>
  </si>
  <si>
    <t>Eigenschaften erhöhen: Athletik</t>
  </si>
  <si>
    <t>Erhöht das Maximum der Eigenschaft um 5 Punkte.</t>
  </si>
  <si>
    <t>talente_eigenschaften_erhoehen_ausstrahlung</t>
  </si>
  <si>
    <t>Eigenschaften erhöhen: Ausstrahlung</t>
  </si>
  <si>
    <t>talente_eigenschaften_erhoehen_geschicklichkeit</t>
  </si>
  <si>
    <t>Eigenschaften erhöhen: Geschicklichkeit</t>
  </si>
  <si>
    <t>talente_eigenschaften_erhoehen_intelligenz</t>
  </si>
  <si>
    <t>Eigenschaften erhöhen: Intelligenz</t>
  </si>
  <si>
    <t>talente_eigenschaften_erhoehen_konstitution</t>
  </si>
  <si>
    <t>Eigenschaften erhöhen: Konstitution</t>
  </si>
  <si>
    <t>talente_eigenschaften_erhoehen_mut</t>
  </si>
  <si>
    <t>Eigenschaften erhöhen: Mut</t>
  </si>
  <si>
    <t>talente_eigenschaften_erhoehen_schnelligkeit</t>
  </si>
  <si>
    <t>Eigenschaften erhöhen: Schnelligkeit</t>
  </si>
  <si>
    <t>talente_eigenschaften_erhoehen_sinnesschaerfe</t>
  </si>
  <si>
    <t>Eigenschaften erhöhen: Sinnesschärfe</t>
  </si>
  <si>
    <t>talente_eigenschaften_erhoehen_staerke</t>
  </si>
  <si>
    <t>Eigenschaften erhöhen: Stärke</t>
  </si>
  <si>
    <t>talente_eigenschaften_erhoehen_willenskraft</t>
  </si>
  <si>
    <t>Eigenschaften erhöhen: Willenskraft</t>
  </si>
  <si>
    <t>talente_entwaffnen</t>
  </si>
  <si>
    <t>Entwaffnen</t>
  </si>
  <si>
    <t>Wird im Nahkampf erst angesagt, nach dem der Verteidiger seine Aktion gewählt hat. Ermöglicht es, dem Gegner die Waffe aus der Hand zu schlagen, durch um X erschwerte AT. Die Erschwerung muss mindestens 6 betragen, der Gegner muss bei einer PA der gleichen oder einer schlechter PA-Kl. als die AT-Kl. (und nur bei einer solchen PA) eine um X erschwerte Geschicklichtkeits-Probe ablegen, um seine Waffe nicht fallenzulassen. Gute oder meisterliche AT hat keine weitere Auswirkung auf die Ges-Probe. Die Waffe fällt immer so, dass sie innerhalb von W4 KR wieder aufgehoben werden kann ährend des Aufhebens AT/PA/AW-Klasse -1)</t>
  </si>
  <si>
    <t>talente_fernkampfgeschick_stufe_1</t>
  </si>
  <si>
    <t>Fernkampfgeschick Stufe 1</t>
  </si>
  <si>
    <t>Die FK-Gute beträgt automatisch 1+Probe:4.</t>
  </si>
  <si>
    <t>talente_fernkampfgeschick_stufe_2</t>
  </si>
  <si>
    <t>Fernkampfgeschick Stufe 2</t>
  </si>
  <si>
    <t>Die FK-Gute beträgt automatisch 1+Probe:3.</t>
  </si>
  <si>
    <t>talente_fernkampfgeschick_stufe_3</t>
  </si>
  <si>
    <t>Fernkampfgeschick Stufe 3</t>
  </si>
  <si>
    <t>Die FK-Gute beträgt automatisch 1+Probe:3. Die FK-Meisterliche beträgt automatisch 21+Probe:20.</t>
  </si>
  <si>
    <t>talente_finte</t>
  </si>
  <si>
    <t>Finte</t>
  </si>
  <si>
    <t>Der Angreifer erschwert sich seine AT-Probe um X Punkte. Man kann nicht mehrere Finten hintereinander schlagen. Gelingt die Finte, verursacht der Angriff keinen Schaden und der Fintierte hat in der nächsten Sekunde seine nPA und nAW erschwert um 2*X bei einer normalen AT, bei einer guten um 3*X, bei einer meisterlichen um 4*X, bei einer fröhlichen Finte um 6*X. Egal wie die Ini. in der nächsten Sekunde ausfällt, und egal ob pariert oder def./off. ausgewichen wurde, der Fintierte hat diese Erschwerung auf seine nPA und nAW, aber nur gegen den Angreifer der die Finte geschlagen hat. (Wenn der Angreifer laut n/g/mAT/PA-Tab an der Ini. bleibt, so bleibt er an der Ini. und eventuelle zusätzliche Wirkungen zugunsten des Angreifers treten nicht in Kraft. Wenn er die Ini. verlieren sollte, so verliert er die Ini. und eventuelle zusätzliche Wirkungen zugunsten des Fintierten treten in Kraft. (Eine Stä-Vgl.Probe tritt immer in Kraft.) Wenn die Ini. neu bestimmt wird ist es egal ob der Angreifer sie gewinnt oder verliert, der Fintierte hat den Finten-Malus von letzter Sekunde noch.)</t>
  </si>
  <si>
    <t>talente_fliegend_schiessen</t>
  </si>
  <si>
    <t>Fliegend Schießen</t>
  </si>
  <si>
    <t>Verändert den FK-Modifikator für "Schütze fliegend" mit allen Waffen auf 0/+1.</t>
  </si>
  <si>
    <t>talente_fliehen_stufe_1</t>
  </si>
  <si>
    <t>Fliehen Stufe 1</t>
  </si>
  <si>
    <t>Erhöht das Maximum der Sonderfertigkeit "Fliehen" um 4 Punkte.</t>
  </si>
  <si>
    <t>talente_fliehen_stufe_2</t>
  </si>
  <si>
    <t>Fliehen Stufe 2</t>
  </si>
  <si>
    <t>Erhöht das Maximum der Sonderfertigkeit "Fliehen" um 8 Punkte.</t>
  </si>
  <si>
    <t>talente_fliehen_stufe_3</t>
  </si>
  <si>
    <t>Fliehen Stufe 3</t>
  </si>
  <si>
    <t>Erhöht das Maximum der Sonderfertigkeit "Fliehen" um 12 Punkte.</t>
  </si>
  <si>
    <t>talente_gezielter_schuss</t>
  </si>
  <si>
    <t>Gezielter Schuss</t>
  </si>
  <si>
    <t>Ermöglicht es dem Schützen, sich die FK-Probe um 3 zu erschweren, und dafür 2 TZ-Rerolls auf kritische TZ zu erhalten.</t>
  </si>
  <si>
    <t>talente_grundfertigkeiten_stufe_1</t>
  </si>
  <si>
    <t>Grundfertigkeiten Stufe 1</t>
  </si>
  <si>
    <t>Grundfertigkeitenmaximum +2</t>
  </si>
  <si>
    <t>talente_grundfertigkeiten_stufe_2</t>
  </si>
  <si>
    <t>Grundfertigkeiten Stufe 2</t>
  </si>
  <si>
    <t>Grundfertigkeitenmaximum +4</t>
  </si>
  <si>
    <t>talente_grundfertigkeiten_stufe_3</t>
  </si>
  <si>
    <t>Grundfertigkeiten Stufe 3</t>
  </si>
  <si>
    <t>Grundfertigkeitenmaximum +6</t>
  </si>
  <si>
    <t>talente_grundfertigkeiten_stufe_4</t>
  </si>
  <si>
    <t>Grundfertigkeiten Stufe 4</t>
  </si>
  <si>
    <t>Grundfertigkeitenmaximum +8</t>
  </si>
  <si>
    <t>talente_kampf_mit_zwei_waffen_stufe_1</t>
  </si>
  <si>
    <t>Kampf mit zwei Waffen Stufe 1</t>
  </si>
  <si>
    <t>Erlaubt dem Charakter, zwei Waffen mit max. WK 3,5 (unmodifizierter Listenwert) im Kampf zu führen und unbewaffnete Extra-Aktionen mit der Nebenhand auszuführen. Waffen der Spezialisierung Schild und Stangenwaffen sind ausgeschlossen.
Die n-Mods und Mindeststärken beider Waffen werden addiert.
Bei Attacken gilt die 1,5-fache WK der Waffe mit der höheren WK, bei Paraden werden beide WK addiert. Die gemeinsame AT- und PA-WK kann niemals unter die höhere aktuelle Einzel-WK sinken.
Der Charakter attackiert mit den Werten der Waffe, die jeweils zum Angriff genutzt wird, und pariert immer mit dem besseren Paradewert beider Waffen.</t>
  </si>
  <si>
    <t>talente_kampf_mit_zwei_waffen_stufe_2</t>
  </si>
  <si>
    <t>Kampf mit zwei Waffen Stufe 2</t>
  </si>
  <si>
    <t>Erlaubt dem Charakter, zwei Waffen mit max. WK 4,5 (unmodifizierter Listenwert) im Kampf zu führen. Waffen der Spezialisierung Schild und Stangenwaffen sind ausgeschlossen. Die gemeinsame AT- und PA-WK kann niemals unter die höhere aktuelle Einzel-WK sinken.</t>
  </si>
  <si>
    <t>talente_kampf_mit_zwei_waffen_stufe_3</t>
  </si>
  <si>
    <t>Kampf mit zwei Waffen Stufe 3</t>
  </si>
  <si>
    <t>Erlaubt dem Charakter, zwei Waffen mit max. WK 5,5 (unmodifizierter Listenwert) im Kampf zu führen. Waffen der Spezialisierung Schild und Stangenwaffen sind ausgeschlossen. Die gemeinsame AT- und PA-WK kann niemals unter die höhere aktuelle Einzel-WK sinken.</t>
  </si>
  <si>
    <t>talente_kampf_mit_zwei_waffen_stufe_4</t>
  </si>
  <si>
    <t>Kampf mit zwei Waffen Stufe 4</t>
  </si>
  <si>
    <t>Erlaubt dem Charakter, zwei Waffen mit max. WK 6,5 (unmodifizierter Listenwert) im Kampf zu führen. Waffen der Spezialisierung Schild und Stangenwaffen sind ausgeschlossen. Die gemeinsame AT- und PA-WK kann niemals unter die höhere aktuelle Einzel-WK sinken.</t>
  </si>
  <si>
    <t>talente_kampffertigkeit_erhoehen_boegen</t>
  </si>
  <si>
    <t>Kampffertigkeit erhöhen: Bögen</t>
  </si>
  <si>
    <t>Erhöht das Maximum der Kampffertigkeit um 6 Punkte.</t>
  </si>
  <si>
    <t>talente_kampffertigkeit_erhoehen_hiebwaffen</t>
  </si>
  <si>
    <t>Kampffertigkeit erhöhen: Hiebwaffen</t>
  </si>
  <si>
    <t>talente_kampffertigkeit_erhoehen_klingenwaffen</t>
  </si>
  <si>
    <t>Kampffertigkeit erhöhen: Klingenwaffen</t>
  </si>
  <si>
    <t>talente_kampffertigkeit_erhoehen_schusswaffen</t>
  </si>
  <si>
    <t>Kampffertigkeit erhöhen: Schusswaffen</t>
  </si>
  <si>
    <t>talente_kampffertigkeit_erhoehen_stangenwaffen</t>
  </si>
  <si>
    <t>Kampffertigkeit erhöhen: Stangenwaffen</t>
  </si>
  <si>
    <t>talente_kampffertigkeit_erhoehen_stichwaffen</t>
  </si>
  <si>
    <t>Kampffertigkeit erhöhen: Stichwaffen</t>
  </si>
  <si>
    <t>talente_kampffertigkeit_erhoehen_unbewaffnet</t>
  </si>
  <si>
    <t>Kampffertigkeit erhöhen: Unbewaffnet</t>
  </si>
  <si>
    <t>talente_ki_gute_stufe_1</t>
  </si>
  <si>
    <t>KI gute Stufe 1</t>
  </si>
  <si>
    <t>Gute KI-Probe = Magie. Die höchstmögliche Gute ist Normale :2.</t>
  </si>
  <si>
    <t>talente_ki_gute_stufe_2</t>
  </si>
  <si>
    <t>KI gute Stufe 2</t>
  </si>
  <si>
    <t>Gute KI-Probe = Magie + Aura. Die höchstmögliche Gute ist Normale :2.</t>
  </si>
  <si>
    <t>talente_ki_mentale_kapazitaet_stufe_1</t>
  </si>
  <si>
    <t>KI Mentale Kapazität Stufe 1</t>
  </si>
  <si>
    <t>Mentale Kapazität Fertigkeitsmaximum +4</t>
  </si>
  <si>
    <t>talente_ki_mentale_kapazitaet_stufe_2</t>
  </si>
  <si>
    <t>KI Mentale Kapazität Stufe 2</t>
  </si>
  <si>
    <t>Mentale Kapazität Fertigkeitsmaximum +8</t>
  </si>
  <si>
    <t>talente_ki_mentale_kapazitaet_stufe_3</t>
  </si>
  <si>
    <t>KI Mentale Kapazität Stufe 3</t>
  </si>
  <si>
    <t>Mentale Kapazität Fertigkeitsmaximum +12</t>
  </si>
  <si>
    <t>talente_konter</t>
  </si>
  <si>
    <t>Konter</t>
  </si>
  <si>
    <t>Ermöglicht dem Krieger nach einer um 15 erschwerten Parade, die um eine Klasse höher war als die Attacke, eine Konterattacke mit AT-Klasse -1.</t>
  </si>
  <si>
    <t>talente_konzentration_stufe_1</t>
  </si>
  <si>
    <t>Konzentration Stufe 1</t>
  </si>
  <si>
    <t>Konzentration Fertigkeitsmaximum +4</t>
  </si>
  <si>
    <t>talente_konzentration_stufe_2</t>
  </si>
  <si>
    <t>Konzentration Stufe 2</t>
  </si>
  <si>
    <t>Konzentration Fertigkeitsmaximum +8</t>
  </si>
  <si>
    <t>talente_konzentration_stufe_3</t>
  </si>
  <si>
    <t>Konzentration Stufe 3</t>
  </si>
  <si>
    <t>Konzentration Fertigkeitsmaximum +12</t>
  </si>
  <si>
    <t>talente_ladeschuetze_armbrust</t>
  </si>
  <si>
    <t>Erhöht das Maximum der Sonderfertigkeit "Ladeschütze Armbrust" um 6 Punkte.</t>
  </si>
  <si>
    <t>talente_ladeschuetze_blasrohr</t>
  </si>
  <si>
    <t>Erhöht das Maximum der Sonderfertigkeit "Ladeschütze Blasrohr" um 6 Punkte.</t>
  </si>
  <si>
    <t>talente_ladeschuetze_bogen</t>
  </si>
  <si>
    <t>Erhöht das Maximum der Sonderfertigkeit "Ladeschütze Bogen" um 6 Punkte.</t>
  </si>
  <si>
    <t>talente_ladeschuetze_kanone</t>
  </si>
  <si>
    <t>Erhöht das Maximum der Sonderfertigkeit "Ladeschütze Kanone" um 6 Punkte.</t>
  </si>
  <si>
    <t>talente_ladeschuetze_patrone</t>
  </si>
  <si>
    <t>Erhöht das Maximum der Sonderfertigkeit "Ladeschütze Patrone" um 6 Punkte.</t>
  </si>
  <si>
    <t>talente_ladeschuetze_rune</t>
  </si>
  <si>
    <t>Erhöht das Maximum der Sonderfertigkeit "Ladeschütze Rune" um 6 Punkte.</t>
  </si>
  <si>
    <t>#talente_ladeschuetze_schleuder</t>
  </si>
  <si>
    <t>Erhöht das Maximum der Sonderfertigkeit "Ladeschütze Schleuder" um 6 Punkte.</t>
  </si>
  <si>
    <t>talente_ladeschuetze_wurfmesser</t>
  </si>
  <si>
    <t>Erhöht das Maximum der Sonderfertigkeit "Ladeschütze Wurfmesser" um 6 Punkte.</t>
  </si>
  <si>
    <t>talente_linkshaendig_pistolenschiessen</t>
  </si>
  <si>
    <t>Linkshändig Pistolenschießen</t>
  </si>
  <si>
    <t>Ermöglicht es dem Schützen wenn er nur mit der linken Hand mit einer Pistole schießt, statt auf seinen halben auf seinen vollen Probenwert zu würfeln.</t>
  </si>
  <si>
    <t>talente_mana_meditation_stufe_1</t>
  </si>
  <si>
    <t>Mana Meditation Stufe 1</t>
  </si>
  <si>
    <t>Mana Meditation Fertigkeitsmaximum +6</t>
  </si>
  <si>
    <t>talente_mana_meditation_stufe_2</t>
  </si>
  <si>
    <t>Mana Meditation Stufe 2</t>
  </si>
  <si>
    <t>Mana Meditation Fertigkeitsmaximum +12</t>
  </si>
  <si>
    <t>talente_mana_meditation_stufe_3</t>
  </si>
  <si>
    <t>Mana Meditation Stufe 3</t>
  </si>
  <si>
    <t>Mana Meditation Fertigkeitsmaximum +18</t>
  </si>
  <si>
    <t>talente_mana_regeneration_stufe_1</t>
  </si>
  <si>
    <t>Mana Regeneration Stufe 1</t>
  </si>
  <si>
    <t>Erhöht die natürliche Mana Regeneration um 50% (faktor 1,5)</t>
  </si>
  <si>
    <t>talente_mana_regeneration_stufe_2</t>
  </si>
  <si>
    <t>Mana Regeneration Stufe 2</t>
  </si>
  <si>
    <t>Erhöht die natürliche Mana Regeneration um 100% (faktor 2,0)</t>
  </si>
  <si>
    <t>talente_mana_talent_stufe_1</t>
  </si>
  <si>
    <t>Mana Talent Stufe 1</t>
  </si>
  <si>
    <t>Mana Talentwert Fertigkeitsmaximum +6</t>
  </si>
  <si>
    <t>talente_mana_talent_stufe_2</t>
  </si>
  <si>
    <t>Mana Talent Stufe 2</t>
  </si>
  <si>
    <t>Mana Talentwert Fertigkeitsmaximum +12</t>
  </si>
  <si>
    <t>talente_mana_talent_stufe_3</t>
  </si>
  <si>
    <t>Mana Talent Stufe 3</t>
  </si>
  <si>
    <t>Mana Talentwert Fertigkeitsmaximum +18</t>
  </si>
  <si>
    <t>talente_mana_talent_stufe_4</t>
  </si>
  <si>
    <t>Mana Talent Stufe 4</t>
  </si>
  <si>
    <t>Mana Talentwert Fertigkeitsmaximum +24</t>
  </si>
  <si>
    <t>talente_me_sparen</t>
  </si>
  <si>
    <t>ME sparen</t>
  </si>
  <si>
    <t>Immer halbe ME.</t>
  </si>
  <si>
    <t>talente_mehrfachschuss_stufe_1_doppelschuss</t>
  </si>
  <si>
    <t>Mehrfachschuss Stufe 1 "Doppelschuss"</t>
  </si>
  <si>
    <t>Ermöglicht nicht-spezialisierbare FK-Fertigkeiten [Bogenart]-Doppelschuss (18 St.p. pro Punkt)  -  FK-Formel für Doppelschuss wird zu (Ges+Sin+Fert+Spez+Doppelschuss):4. Bei Anwendung eines Doppelschusses wird der Probenwert halbiert.</t>
  </si>
  <si>
    <t>talente_mehrfachschuss_stufe_2_tripelschuss</t>
  </si>
  <si>
    <t>Mehrfachschuss Stufe 2 "Tripelschuss"</t>
  </si>
  <si>
    <t xml:space="preserve">Tripelschuss ermöglicht nicht-spezialisierbare FK-Fertigkeiten [Bogenart]-Tripelschuss (18 St.p. pro Punkt)  -  FK-Formel für Tripelschuss wird zu (Ges+Sin+Fert+Spez+Doppelschuss+Tripelschuss):4. Bei Anwendung eines Tripelschusses wird der Probenwert gedrittelt. </t>
  </si>
  <si>
    <t>talente_meuchler</t>
  </si>
  <si>
    <t>Meuchler</t>
  </si>
  <si>
    <t>Ermöglicht es dem Charakter, bei einer unbemerkten AT (Gefahrensinn-Probe nicht geschafft) doppelten Schaden zu verursachen und bei guter oder meisterlicher AT die Rüstung zu ignorieren. 
 In einem normalen Nahkampf ermöglicht dieses Talent dem Anwender, bei einer guten oder besseren AT für einen Bonuspunkt Rüstungsignorierend für seine AT zu wählen, dies schließt dann allerdings bei meisterlichen oder besseren AT aus, dass der Anwender schadenserhöhende Boni (höchster W, doppelte TP, etc.) wählt. Wird die Auswahl "2 normale Attacken" gewählt, so gilt "Rüstungsignorierend" nur für eine dieser zwei Attacken. 
Das Talent Meuchler kann nur mit den Kampffertigkeits-Spezialisierungen Messer, Dolche und Fechtwaffen angewendet werden.</t>
  </si>
  <si>
    <t>talente_mit_schild_umwerfen</t>
  </si>
  <si>
    <t>Mit Schild umwerfen</t>
  </si>
  <si>
    <t>Vorraussetzung Schild: Wird im Nahkampf erst angesagt, nach dem der Verteidiger seine Aktion gewählt hat. Ermöglicht es, den Gegner mit einer um X erschwerten AT umzuwerfen. Die Erschwerung muss mindestens 6 betragen. Wenn der Gegner mit gleicher oder schlechterer PA-Kl. pariert als die AT-Kl. des Angreifers (was keinen Schaden verursacht) oder getroffen wird (was dann halben Schaden des Schilds verursacht), muss er eine KB-Probe (GF Körperbeherrschung + Eigenschaft Athletik) ablegen, erschwert um X × 3, um nicht zu fallen. Gute oder meisterliche AT haben keine weitere Auswirkung. Bei Misserfolg geht der Verteidiger direkt in Status: Sturz (KK -2) über. Wenn der Verteider erfolgreich ausweicht oder mit besserer PA-Kl. pariert, so wird die ngmATPA-Tabelle konsultiert und das Umwerfen schlägt fehl.</t>
  </si>
  <si>
    <t>talente_offensiver_kampfstil_stufe_1</t>
  </si>
  <si>
    <t>Offensiver Kampfstil Stufe 1</t>
  </si>
  <si>
    <t>alle nAT+1 und nPA-1</t>
  </si>
  <si>
    <t>talente_offensiver_kampfstil_stufe_2</t>
  </si>
  <si>
    <t>Offensiver Kampfstil Stufe 2</t>
  </si>
  <si>
    <t>alle nAT+2 und nPA-2</t>
  </si>
  <si>
    <t>talente_offensiver_kampfstil_stufe_3</t>
  </si>
  <si>
    <t>Offensiver Kampfstil Stufe 3</t>
  </si>
  <si>
    <t>alle nAT+3 und nPA-3</t>
  </si>
  <si>
    <t>talente_psi_gute_stufe_1</t>
  </si>
  <si>
    <t>PSI gute Stufe 1</t>
  </si>
  <si>
    <t>PSI-Magier</t>
  </si>
  <si>
    <t>Gute PSI-Probe = Magie. Die höchstmögliche Gute ist Normale:2.</t>
  </si>
  <si>
    <t>talente_psi_gute_stufe_2</t>
  </si>
  <si>
    <t>PSI gute Stufe 2</t>
  </si>
  <si>
    <t>Gute PSI-Probe = Magie + Eigenschaftsbonus. Die höchstmögliche Gute ist Normale:2.</t>
  </si>
  <si>
    <t>talente_psi_psinetik_stufe_1</t>
  </si>
  <si>
    <t>PSI Psinetik Stufe 1</t>
  </si>
  <si>
    <t>PSI Fertigkeitsmaximmum +6</t>
  </si>
  <si>
    <t>talente_psi_psinetik_stufe_2</t>
  </si>
  <si>
    <t>PSI Psinetik Stufe 2</t>
  </si>
  <si>
    <t>PSI Fertigkeitsmaximmum +12</t>
  </si>
  <si>
    <t>talente_psi_psinetik_stufe_3</t>
  </si>
  <si>
    <t>PSI Psinetik Stufe 3</t>
  </si>
  <si>
    <t>PSI Fertigkeitsmaximmum +18</t>
  </si>
  <si>
    <t>talente_ruestungsmanoever_stufe_1</t>
  </si>
  <si>
    <t>Rüstungsmanöver Stufe 1</t>
  </si>
  <si>
    <t>Rüstungsmanöver Fertigkeitsmaximum +4</t>
  </si>
  <si>
    <t>talente_ruestungsmanoever_stufe_2</t>
  </si>
  <si>
    <t>Rüstungsmanöver Stufe 2</t>
  </si>
  <si>
    <t>Rüstungsmanöver Fertigkeitsmaximum +8</t>
  </si>
  <si>
    <t>talente_ruestungsmanoever_stufe_3</t>
  </si>
  <si>
    <t>Rüstungsmanöver Stufe 3</t>
  </si>
  <si>
    <t>Rüstungsmanöver Fertigkeitsmaximum +12</t>
  </si>
  <si>
    <t>talente_schnell_schiessen</t>
  </si>
  <si>
    <t>Schnell Schießen</t>
  </si>
  <si>
    <t>Verändert die Zielen-Modifikatoren für "Hüftschuss" auf -8 und für "Sofortschuss" auf -4.</t>
  </si>
  <si>
    <t>talente_schnell_zaubern_stufe_1</t>
  </si>
  <si>
    <t>Schnell Zaubern Stufe 1</t>
  </si>
  <si>
    <t>Die Zauberzeitverkürzungen der Zauberstufen 1/2/3 werden zu :2/:3/:4.</t>
  </si>
  <si>
    <t>talente_schnell_zaubern_stufe_2</t>
  </si>
  <si>
    <t>Schnell Zaubern Stufe 2</t>
  </si>
  <si>
    <t>Die Zauberzeitverkürzungen der Zauberstufen 1/2/3 werden zu :3/:4/:5. Nicht kumulativ mit anderen Stufen dieses Vorteils.</t>
  </si>
  <si>
    <t>talente_schnell_zaubern_stufe_3</t>
  </si>
  <si>
    <t>Schnell Zaubern Stufe 3</t>
  </si>
  <si>
    <t>Die Zauberzeitverkürzungen der Zauberstufen 1/2/3 werden zu :4/:5/:6. Nicht kumulativ mit anderen Stufen dieses Vorteils.</t>
  </si>
  <si>
    <t>talente_schnell_ziehen_armbrust</t>
  </si>
  <si>
    <t>Schnell Ziehen Armbrust</t>
  </si>
  <si>
    <t>In derselben Sekunde in der man die Waffe zieht, kann damit noch agiert werden, zum Beispiel mit Hüftschuss oder dem Laden. Dies setzt eine geeignete Halterung voraus.</t>
  </si>
  <si>
    <t>talente_schnell_ziehen_bogen</t>
  </si>
  <si>
    <t>Schnell Ziehen Bogen</t>
  </si>
  <si>
    <t>In derselben Sekunde in der man die Waffe zieht, kann damit noch agiert werden, zum Beispiel mit Laden des Bogens. Dies setzt eine geeignete Halterung voraus.</t>
  </si>
  <si>
    <t>talente_schnell_ziehen_muskete</t>
  </si>
  <si>
    <t>Schnell Ziehen Muskete</t>
  </si>
  <si>
    <t>talente_schnell_ziehen_pistole</t>
  </si>
  <si>
    <t>Schnell Ziehen Pistole</t>
  </si>
  <si>
    <t>talente_schnell_ziehen_wurfwaffe</t>
  </si>
  <si>
    <t>Schnell Ziehen Wurfwaffe</t>
  </si>
  <si>
    <t>In derselben Sekunde in der man die Waffe zieht, kann damit noch agiert werden, zum Beispiel mit Hüftschuss. Dies setzt eine geeignete Halterung voraus.</t>
  </si>
  <si>
    <t>talente_schnellziehen_hiebwaffen</t>
  </si>
  <si>
    <t>Schnellziehen Hiebwaffen</t>
  </si>
  <si>
    <t>In derselben Sekunde in der man die Waffe zieht, kann damit ohne jegliche Erschwerung agiert werden. Dies setzt eine geeignete Halterung voraus.</t>
  </si>
  <si>
    <t>talente_schnellziehen_klingenwaffen</t>
  </si>
  <si>
    <t>Schnellziehen Klingenwaffen</t>
  </si>
  <si>
    <t>talente_schnellziehen_stangenwaffen</t>
  </si>
  <si>
    <t>Schnellziehen Stangenwaffen</t>
  </si>
  <si>
    <t>talente_schnellziehen_stichwaffen</t>
  </si>
  <si>
    <t>Schnellziehen Stichwaffen</t>
  </si>
  <si>
    <t>talente_selbstbeherrschung_stufe_1</t>
  </si>
  <si>
    <t>Selbstbeherrschung Stufe 1</t>
  </si>
  <si>
    <t>Selbstbeherrschung Fertigkeitsmaximum +7</t>
  </si>
  <si>
    <t>talente_selbstbeherrschung_stufe_2</t>
  </si>
  <si>
    <t>Selbstbeherrschung Stufe 2</t>
  </si>
  <si>
    <t>Selbstbeherrschung Fertigkeitsmaximum +14</t>
  </si>
  <si>
    <t>talente_selbstbeherrschung_stufe_3</t>
  </si>
  <si>
    <t>Selbstbeherrschung Stufe 3</t>
  </si>
  <si>
    <t>Selbstbeherrschung Fertigkeitsmaximum +20</t>
  </si>
  <si>
    <t>talente_sorgfaeltiges_zielen_stufe_1</t>
  </si>
  <si>
    <t>Sorgfältiges Zielen Stufe 1</t>
  </si>
  <si>
    <t>Verändert die Zielen-Modifikatoren für "1sec lang gezielt"  auf 0, für jede weitere Sekunde +1 (bis +7 für 8 Sekunden).</t>
  </si>
  <si>
    <t>talente_sorgfaeltiges_zielen_stufe_2</t>
  </si>
  <si>
    <t>Sorgfältiges Zielen Stufe 2</t>
  </si>
  <si>
    <t>Verändert die Zielen-Modifikatoren für "1sec lang gezielt"  auf +1, für jede weitere Sekunde +1 (bis +8 für 8 Sekunden).</t>
  </si>
  <si>
    <t>talente_spruchgute_stufe_1</t>
  </si>
  <si>
    <t>Spruchgute Stufe 1</t>
  </si>
  <si>
    <t>In allen Zauberschulen Gute Spruchzauberprobe = Weisheit. Die höchstmögliche Gute ist Normale:2.</t>
  </si>
  <si>
    <t>talente_spruchgute_stufe_2</t>
  </si>
  <si>
    <t>Spruchgute Stufe 2</t>
  </si>
  <si>
    <t>In allen Zauberschulen Gute Spruchzauberprobe = Weisheit + Eigenschaftsbonus. Die höchstmögliche Gute ist Normale:2.</t>
  </si>
  <si>
    <t>talente_spruchmagie_stufe_2_zaubern</t>
  </si>
  <si>
    <t>Spruchmagie Stufe 2 zaubern</t>
  </si>
  <si>
    <t>In allen Zauberschulen ist es möglich, Sprüche auf Stufe 2 zu sprechen.</t>
  </si>
  <si>
    <t>talente_spruchmagie_stufe_3_zaubern</t>
  </si>
  <si>
    <t>Spruchmagie Stufe 3 zaubern</t>
  </si>
  <si>
    <t>In allen Zauberschulen ist es möglich, Sprüche auf Stufe 3 zu sprechen.</t>
  </si>
  <si>
    <t>talente_verteidiger_stufe_1</t>
  </si>
  <si>
    <t>Verteidiger Stufe 1</t>
  </si>
  <si>
    <t>alle nAT-1 und nPA+1</t>
  </si>
  <si>
    <t>talente_verteidiger_stufe_2</t>
  </si>
  <si>
    <t>Verteidiger Stufe 2</t>
  </si>
  <si>
    <t>alle nAT-2 und nPA+2</t>
  </si>
  <si>
    <t>talente_verteidiger_stufe_3</t>
  </si>
  <si>
    <t>Verteidiger Stufe 3</t>
  </si>
  <si>
    <t>alle nAT-3 und nPA+3</t>
  </si>
  <si>
    <t>talente_vorderlader_ladeschuetze_stufe1</t>
  </si>
  <si>
    <t>Vorderlader Ladeschütze Stufe 1</t>
  </si>
  <si>
    <t>Fertigkeitsmaximum der Sonderfertigkeit "Ladeschütze Vorderlader" +7</t>
  </si>
  <si>
    <t>talente_vorderlader_ladeschuetze_stufe2</t>
  </si>
  <si>
    <t>Vorderlader Ladeschütze Stufe 2</t>
  </si>
  <si>
    <t>Fertigkeitsmaximum der Sonderfertigkeit "Ladeschütze Vorderlader" +15</t>
  </si>
  <si>
    <t>talente_whk_stufe_1</t>
  </si>
  <si>
    <t>Wissens,- Handwerks,- Kulturfähigkeiten Stufe 1</t>
  </si>
  <si>
    <t>Wissens,- Handwerks,- Kulturfertigkeitenmaximum +3</t>
  </si>
  <si>
    <t>talente_whk_stufe_2</t>
  </si>
  <si>
    <t>Wissens,- Handwerks,- Kulturfähigkeiten Stufe 2</t>
  </si>
  <si>
    <t>Wissens,- Handwerks,- Kulturfertigkeitenmaximum +6</t>
  </si>
  <si>
    <t>talente_wuchtschlag</t>
  </si>
  <si>
    <t>Nur bestimmte Charakterklassen: ermöglicht eine AT mit dreifachem Schaden wenn man vorher ein Sekunde steht (keine andere Aktion möglich), oder eine AT mit halbiertem nAT-Wert mit dreifachem Schaden aus dem Laufen (nur gerader Ansturm). Schließt sich mit AT-Kl.+1 in jedem Fall aus. Man muss wählen ob man die AT-Kl.+1 oder den Schadensmultiplikator des Wuchtschlags nimmt.</t>
  </si>
  <si>
    <t>vn_leicht_anfaelligkeit_gegen_alchemie</t>
  </si>
  <si>
    <t>Leichte Anfälligkeit gegen Alchemie</t>
  </si>
  <si>
    <t>Proben auf Alchemieresistenz sind um 5 Punkte erschwert. Die Sonderfertigkeit „Alchemieresistenz“ kann nicht gesteigert werden.</t>
  </si>
  <si>
    <t>vn_mittel_anfaelligkeit_gegen_alchemie</t>
  </si>
  <si>
    <t>Mittlere Anfälligkeit gegen Alchemie</t>
  </si>
  <si>
    <t>Proben auf Alchemieresistenz sind um 10 Punkte erschwert. Die Sonderfertigkeit „Alchemieresistenz“ kann nicht gesteigert werden.</t>
  </si>
  <si>
    <t>vn_schwer_anfaelligkeit_gegen_alchemie</t>
  </si>
  <si>
    <t>Schwere Anfälligkeit gegen Alchemie</t>
  </si>
  <si>
    <t>Proben auf Alchemieresistenz sind um 15 Punkte erschwert. Die Sonderfertigkeit „Alchemieresistenz“ kann nicht gesteigert werden.</t>
  </si>
  <si>
    <t>vn_sehr_schwer_anfaelligkeit_gegen_alchemie</t>
  </si>
  <si>
    <t>Sehr schwere Anfälligkeit gegen Alchemie</t>
  </si>
  <si>
    <t>Proben auf Alchemieresistenz sind um 20 Punkte erschwert. Die Sonderfertigkeit „Alchemieresistenz“ kann nicht gesteigert werden.</t>
  </si>
  <si>
    <t>vn_extrem_anfaelligkeit_gegen_alchemie</t>
  </si>
  <si>
    <t>Extreme Anfälligkeit gegen Alchemie</t>
  </si>
  <si>
    <t>Proben auf Alchemieresistenz sind um 30 Punkte erschwert. Die Sonderfertigkeit „Alchemieresistenz“ kann nicht gesteigert werden.</t>
  </si>
  <si>
    <t>vn_anfaelligkeit_gegen_beherrschung_1</t>
  </si>
  <si>
    <t>Anfälligkeit gegen Beherrschung 1</t>
  </si>
  <si>
    <t>Auswahlgruppe: Anfälligkeit gegen Beherrschung; maximal 1 Stufe</t>
  </si>
  <si>
    <t>EXKLUSIV_ANFAELLIGKEIT=anfaelligkeit_beherrschung</t>
  </si>
  <si>
    <t>Der Charakter erleidet durch Beherrschung SP × 1,5. Aus der Gruppe „Anfälligkeit gegen Beherrschung“ kann nur eine Stufe gewählt werden.</t>
  </si>
  <si>
    <t>vn_anfaelligkeit_gegen_beherrschung_2</t>
  </si>
  <si>
    <t>Anfälligkeit gegen Beherrschung 2</t>
  </si>
  <si>
    <t>Der Charakter erleidet durch Beherrschung SP × 2. Aus der Gruppe „Anfälligkeit gegen Beherrschung“ kann nur eine Stufe gewählt werden.</t>
  </si>
  <si>
    <t>vn_anfaelligkeit_gegen_erdbeschwoerung_1</t>
  </si>
  <si>
    <t>Anfälligkeit gegen Erdbeschwörung 1</t>
  </si>
  <si>
    <t>Auswahlgruppe: Anfälligkeit gegen Erdbeschwörung; maximal 1 Stufe</t>
  </si>
  <si>
    <t>EXKLUSIV_ANFAELLIGKEIT=anfaelligkeit_erdbeschwoerung</t>
  </si>
  <si>
    <t>Der Charakter erleidet durch Erdbeschwörung SP × 1,5. Aus der Gruppe „Anfälligkeit gegen Erdbeschwörung“ kann nur eine Stufe gewählt werden.</t>
  </si>
  <si>
    <t>vn_anfaelligkeit_gegen_erdbeschwoerung_2</t>
  </si>
  <si>
    <t>Anfälligkeit gegen Erdbeschwörung 2</t>
  </si>
  <si>
    <t>Der Charakter erleidet durch Erdbeschwörung SP × 2. Aus der Gruppe „Anfälligkeit gegen Erdbeschwörung“ kann nur eine Stufe gewählt werden.</t>
  </si>
  <si>
    <t>vn_anfaelligkeit_gegen_feuerbeschwoerung_1</t>
  </si>
  <si>
    <t>Anfälligkeit gegen Feuerbeschwörung 1</t>
  </si>
  <si>
    <t>Auswahlgruppe: Anfälligkeit gegen Feuerbeschwörung; maximal 1 Stufe</t>
  </si>
  <si>
    <t>EXKLUSIV_ANFAELLIGKEIT=anfaelligkeit_feuerbeschwoerung</t>
  </si>
  <si>
    <t>Der Charakter erleidet durch Feuerbeschwörung SP × 1,5. Aus der Gruppe „Anfälligkeit gegen Feuerbeschwörung“ kann nur eine Stufe gewählt werden.</t>
  </si>
  <si>
    <t>vn_anfaelligkeit_gegen_feuerbeschwoerung_2</t>
  </si>
  <si>
    <t>Anfälligkeit gegen Feuerbeschwörung 2</t>
  </si>
  <si>
    <t>Der Charakter erleidet durch Feuerbeschwörung SP × 2. Aus der Gruppe „Anfälligkeit gegen Feuerbeschwörung“ kann nur eine Stufe gewählt werden.</t>
  </si>
  <si>
    <t>vn_anfaelligkeit_gegen_luftbeschwoerung_1</t>
  </si>
  <si>
    <t>Anfälligkeit gegen Luftbeschwörung 1</t>
  </si>
  <si>
    <t>Auswahlgruppe: Anfälligkeit gegen Luftbeschwörung; maximal 1 Stufe</t>
  </si>
  <si>
    <t>EXKLUSIV_ANFAELLIGKEIT=anfaelligkeit_luftbeschwoerung</t>
  </si>
  <si>
    <t>Der Charakter erleidet durch Luftbeschwörung SP × 1,5. Aus der Gruppe „Anfälligkeit gegen Luftbeschwörung“ kann nur eine Stufe gewählt werden.</t>
  </si>
  <si>
    <t>vn_anfaelligkeit_gegen_luftbeschwoerung_2</t>
  </si>
  <si>
    <t>Anfälligkeit gegen Luftbeschwörung 2</t>
  </si>
  <si>
    <t>Der Charakter erleidet durch Luftbeschwörung SP × 2. Aus der Gruppe „Anfälligkeit gegen Luftbeschwörung“ kann nur eine Stufe gewählt werden.</t>
  </si>
  <si>
    <t>vn_anfaelligkeit_gegen_magiebeschwoerung_1</t>
  </si>
  <si>
    <t>Anfälligkeit gegen Magiebeschwörung 1</t>
  </si>
  <si>
    <t>Auswahlgruppe: Anfälligkeit gegen Magiebeschwörung; maximal 1 Stufe</t>
  </si>
  <si>
    <t>EXKLUSIV_ANFAELLIGKEIT=anfaelligkeit_magiebeschwoerung</t>
  </si>
  <si>
    <t>Der Charakter erleidet durch Magiebeschwörung SP × 1,5. Aus der Gruppe „Anfälligkeit gegen Magiebeschwörung“ kann nur eine Stufe gewählt werden.</t>
  </si>
  <si>
    <t>vn_anfaelligkeit_gegen_magiebeschwoerung_2</t>
  </si>
  <si>
    <t>Anfälligkeit gegen Magiebeschwörung 2</t>
  </si>
  <si>
    <t>Der Charakter erleidet durch Magiebeschwörung SP × 2. Aus der Gruppe „Anfälligkeit gegen Magiebeschwörung“ kann nur eine Stufe gewählt werden.</t>
  </si>
  <si>
    <t>vn_anfaelligkeit_gegen_profane_waffen</t>
  </si>
  <si>
    <t>Anfälligkeit gegen profane Waffen</t>
  </si>
  <si>
    <t>Auswahlgruppe: Anfälligkeit gegen profane Waffen; maximal 1</t>
  </si>
  <si>
    <t>Der Charakter erleidet durch profane Waffen SP × 2. Aus der Gruppe „Anfälligkeit gegen profane Waffen“ kann nur ein Eintrag gewählt werden.</t>
  </si>
  <si>
    <t>#vn_anfaelligkeit_gegen_verzauberung_1</t>
  </si>
  <si>
    <t>Anfälligkeit gegen Verzauberung 1</t>
  </si>
  <si>
    <t>#vn_anfaelligkeit_gegen_verzauberung_2</t>
  </si>
  <si>
    <t>Anfälligkeit gegen Verzauberung 2</t>
  </si>
  <si>
    <t>vn_anfaelligkeit_gegen_wasserbeschwoerung_1</t>
  </si>
  <si>
    <t>Anfälligkeit gegen Wasserbeschwörung 1</t>
  </si>
  <si>
    <t>Auswahlgruppe: Anfälligkeit gegen Wasserbeschwörung; maximal 1 Stufe</t>
  </si>
  <si>
    <t>EXKLUSIV_ANFAELLIGKEIT=anfaelligkeit_wasserbeschwoerung</t>
  </si>
  <si>
    <t>Der Charakter erleidet durch Wasserbeschwörung SP × 1,5. Aus der Gruppe „Anfälligkeit gegen Wasserbeschwörung“ kann nur eine Stufe gewählt werden.</t>
  </si>
  <si>
    <t>vn_anfaelligkeit_gegen_wasserbeschwoerung_2</t>
  </si>
  <si>
    <t>Anfälligkeit gegen Wasserbeschwörung 2</t>
  </si>
  <si>
    <t>Der Charakter erleidet durch Wasserbeschwörung SP × 2. Aus der Gruppe „Anfälligkeit gegen Wasserbeschwörung“ kann nur eine Stufe gewählt werden.</t>
  </si>
  <si>
    <t>vn_angst_verlusten_humanoide_5</t>
  </si>
  <si>
    <t>Unbehagen: Verlusten (Humanoide)</t>
  </si>
  <si>
    <t>Auswahlgruppe angst_verlusten_humanoide; maximal 1 Stufe; Angstwert 5; direkte Konfrontation: einmal pro Situation; bloße Gegenwart: BE 0.</t>
  </si>
  <si>
    <t>Angst: Verlusten (Humanoide)</t>
  </si>
  <si>
    <t>EXKLUSIV_ANGST=angst_verlusten_humanoide | ANGST_INTERVALL=SITUATION | ANGST_DIREKTE_KONFRONTATION=1 | ANGST_BE=0</t>
  </si>
  <si>
    <t>Der Charakter reagiert auf Verlusten (Humanoide) mit Unbehagen. Bei direkter Konfrontation mit Verlusten (Humanoide) muss er einmal pro Situation eine um 5 erschwerte Mut-Probe bestehen, um handlungsfähig zu bleiben. Um sich Verlusten (Humanoide) freiwillig zu nähern, die Angstquelle zu berühren oder bewusst mit ihr zu interagieren, muss er einmalig eine um 5 erschwerte Willenskraft-Probe bestehen.</t>
  </si>
  <si>
    <t>vn_angst_verlusten_humanoide_10</t>
  </si>
  <si>
    <t>Nervosität: Verlusten (Humanoide)</t>
  </si>
  <si>
    <t>Auswahlgruppe angst_verlusten_humanoide; maximal 1 Stufe; Angstwert 10; direkte Konfrontation: bei jeder erneuten direkten Konfrontation; bloße Gegenwart: BE -1.</t>
  </si>
  <si>
    <t>EXKLUSIV_ANGST=angst_verlusten_humanoide | ANGST_INTERVALL=NEUE_KONFRONTATION | ANGST_DIREKTE_KONFRONTATION=1 | ANGST_BE=-1</t>
  </si>
  <si>
    <t>Der Charakter reagiert auf Verlusten (Humanoide) mit Nervosität. Bei direkter Konfrontation mit Verlusten (Humanoide) muss er bei jeder erneuten direkten Konfrontation eine um 10 erschwerte Mut-Probe bestehen, um handlungsfähig zu bleiben. Um sich Verlusten (Humanoide) freiwillig zu nähern, die Angstquelle zu berühren oder bewusst mit ihr zu interagieren, muss er einmalig eine um 10 erschwerte Willenskraft-Probe bestehen. Ist Verlusten (Humanoide) zwar gegenwärtig, aber weder direkter Gegner noch Gegenstand, Wesen oder sonstiges Ziel, mit dem sich der Charakter aktuell befasst, sind keine Angst-Proben erforderlich; der Charakter erhält BE -1.</t>
  </si>
  <si>
    <t>vn_angst_verlusten_humanoide_15</t>
  </si>
  <si>
    <t>Furcht: Verlusten (Humanoide)</t>
  </si>
  <si>
    <t>Auswahlgruppe angst_verlusten_humanoide; maximal 1 Stufe; Angstwert 15; direkte Konfrontation: sofort, danach alle 10 KR; bloße Gegenwart: BE -2.</t>
  </si>
  <si>
    <t>EXKLUSIV_ANGST=angst_verlusten_humanoide | ANGST_INTERVALL=10_KR | ANGST_DIREKTE_KONFRONTATION=1 | ANGST_BE=-2</t>
  </si>
  <si>
    <t>Der Charakter reagiert auf Verlusten (Humanoide) mit Furcht. Bei direkter Konfrontation mit Verlusten (Humanoide) muss er sofort, danach alle 10 KR eine um 15 erschwerte Mut-Probe bestehen, um handlungsfähig zu bleiben. Um sich Verlusten (Humanoide) freiwillig zu nähern, die Angstquelle zu berühren oder bewusst mit ihr zu interagieren, muss er einmalig eine um 15 erschwerte Willenskraft-Probe bestehen. Ist Verlusten (Humanoide) zwar gegenwärtig, aber weder direkter Gegner noch Gegenstand, Wesen oder sonstiges Ziel, mit dem sich der Charakter aktuell befasst, sind keine Angst-Proben erforderlich; der Charakter erhält BE -2.</t>
  </si>
  <si>
    <t>vn_angst_verlusten_humanoide_20</t>
  </si>
  <si>
    <t>Auswahlgruppe angst_verlusten_humanoide; maximal 1 Stufe; Angstwert 20; direkte Konfrontation: sofort, danach alle 5 KR; bloße Gegenwart: BE -3.</t>
  </si>
  <si>
    <t>EXKLUSIV_ANGST=angst_verlusten_humanoide | ANGST_INTERVALL=5_KR | ANGST_DIREKTE_KONFRONTATION=1 | ANGST_BE=-3</t>
  </si>
  <si>
    <t>Der Charakter reagiert auf Verlusten (Humanoide) mit Angst. Bei direkter Konfrontation mit Verlusten (Humanoide) muss er sofort, danach alle 5 KR eine um 20 erschwerte Mut-Probe bestehen, um handlungsfähig zu bleiben. Um sich Verlusten (Humanoide) freiwillig zu nähern, die Angstquelle zu berühren oder bewusst mit ihr zu interagieren, muss er einmalig eine um 20 erschwerte Willenskraft-Probe bestehen. Ist Verlusten (Humanoide) zwar gegenwärtig, aber weder direkter Gegner noch Gegenstand, Wesen oder sonstiges Ziel, mit dem sich der Charakter aktuell befasst, sind keine Angst-Proben erforderlich; der Charakter erhält BE -3.</t>
  </si>
  <si>
    <t>vn_angst_verlusten_humanoide_30</t>
  </si>
  <si>
    <t>Phobie: Verlusten (Humanoide)</t>
  </si>
  <si>
    <t>Auswahlgruppe angst_verlusten_humanoide; maximal 1 Stufe; Angstwert 30; direkte Konfrontation: sofort, danach jede KR; bloße Gegenwart: BE -5.</t>
  </si>
  <si>
    <t>EXKLUSIV_ANGST=angst_verlusten_humanoide | ANGST_INTERVALL=1_KR | ANGST_DIREKTE_KONFRONTATION=1 | ANGST_BE=-5</t>
  </si>
  <si>
    <t>Der Charakter leidet unter einer Phobie gegenüber Verlusten (Humanoide). Bei direkter Konfrontation mit Verlusten (Humanoide) muss er sofort, danach jede KR eine um 30 erschwerte Mut-Probe bestehen, um handlungsfähig zu bleiben. Um sich Verlusten (Humanoide) freiwillig zu nähern, die Angstquelle zu berühren oder bewusst mit ihr zu interagieren, muss er einmalig eine um 30 erschwerte Willenskraft-Probe bestehen. Ist Verlusten (Humanoide) zwar gegenwärtig, aber weder direkter Gegner noch Gegenstand, Wesen oder sonstiges Ziel, mit dem sich der Charakter aktuell befasst, sind keine Angst-Proben erforderlich; der Charakter erhält BE -5.</t>
  </si>
  <si>
    <t>vn_angst_arachnophobie_5</t>
  </si>
  <si>
    <t>Unbehagen: Arachnophobie</t>
  </si>
  <si>
    <t>Auswahlgruppe angst_arachnophobie; maximal 1 Stufe; Angstwert 5; direkte Konfrontation: einmal pro Situation; bloße Gegenwart: BE 0.</t>
  </si>
  <si>
    <t>Angst: Arachnophobie</t>
  </si>
  <si>
    <t>EXKLUSIV_ANGST=angst_arachnophobie | ANGST_INTERVALL=SITUATION | ANGST_DIREKTE_KONFRONTATION=1 | ANGST_BE=0</t>
  </si>
  <si>
    <t>Der Charakter reagiert auf Arachnophobie mit Unbehagen. Bei direkter Konfrontation mit Arachnophobie muss er einmal pro Situation eine um 5 erschwerte Mut-Probe bestehen, um handlungsfähig zu bleiben. Um sich Arachnophobie freiwillig zu nähern, die Angstquelle zu berühren oder bewusst mit ihr zu interagieren, muss er einmalig eine um 5 erschwerte Willenskraft-Probe bestehen.</t>
  </si>
  <si>
    <t>vn_angst_arachnophobie_10</t>
  </si>
  <si>
    <t>Nervosität: Arachnophobie</t>
  </si>
  <si>
    <t>Auswahlgruppe angst_arachnophobie; maximal 1 Stufe; Angstwert 10; direkte Konfrontation: bei jeder erneuten direkten Konfrontation; bloße Gegenwart: BE -1.</t>
  </si>
  <si>
    <t>EXKLUSIV_ANGST=angst_arachnophobie | ANGST_INTERVALL=NEUE_KONFRONTATION | ANGST_DIREKTE_KONFRONTATION=1 | ANGST_BE=-1</t>
  </si>
  <si>
    <t>Der Charakter reagiert auf Arachnophobie mit Nervosität. Bei direkter Konfrontation mit Arachnophobie muss er bei jeder erneuten direkten Konfrontation eine um 10 erschwerte Mut-Probe bestehen, um handlungsfähig zu bleiben. Um sich Arachnophobie freiwillig zu nähern, die Angstquelle zu berühren oder bewusst mit ihr zu interagieren, muss er einmalig eine um 10 erschwerte Willenskraft-Probe bestehen. Ist Arachnophobie zwar gegenwärtig, aber weder direkter Gegner noch Gegenstand, Wesen oder sonstiges Ziel, mit dem sich der Charakter aktuell befasst, sind keine Angst-Proben erforderlich; der Charakter erhält BE -1.</t>
  </si>
  <si>
    <t>vn_angst_arachnophobie_15</t>
  </si>
  <si>
    <t>Furcht: Arachnophobie</t>
  </si>
  <si>
    <t>Auswahlgruppe angst_arachnophobie; maximal 1 Stufe; Angstwert 15; direkte Konfrontation: sofort, danach alle 10 KR; bloße Gegenwart: BE -2.</t>
  </si>
  <si>
    <t>EXKLUSIV_ANGST=angst_arachnophobie | ANGST_INTERVALL=10_KR | ANGST_DIREKTE_KONFRONTATION=1 | ANGST_BE=-2</t>
  </si>
  <si>
    <t>Der Charakter reagiert auf Arachnophobie mit Furcht. Bei direkter Konfrontation mit Arachnophobie muss er sofort, danach alle 10 KR eine um 15 erschwerte Mut-Probe bestehen, um handlungsfähig zu bleiben. Um sich Arachnophobie freiwillig zu nähern, die Angstquelle zu berühren oder bewusst mit ihr zu interagieren, muss er einmalig eine um 15 erschwerte Willenskraft-Probe bestehen. Ist Arachnophobie zwar gegenwärtig, aber weder direkter Gegner noch Gegenstand, Wesen oder sonstiges Ziel, mit dem sich der Charakter aktuell befasst, sind keine Angst-Proben erforderlich; der Charakter erhält BE -2.</t>
  </si>
  <si>
    <t>vn_angst_arachnophobie_20</t>
  </si>
  <si>
    <t>Auswahlgruppe angst_arachnophobie; maximal 1 Stufe; Angstwert 20; direkte Konfrontation: sofort, danach alle 5 KR; bloße Gegenwart: BE -3.</t>
  </si>
  <si>
    <t>EXKLUSIV_ANGST=angst_arachnophobie | ANGST_INTERVALL=5_KR | ANGST_DIREKTE_KONFRONTATION=1 | ANGST_BE=-3</t>
  </si>
  <si>
    <t>Der Charakter reagiert auf Arachnophobie mit Angst. Bei direkter Konfrontation mit Arachnophobie muss er sofort, danach alle 5 KR eine um 20 erschwerte Mut-Probe bestehen, um handlungsfähig zu bleiben. Um sich Arachnophobie freiwillig zu nähern, die Angstquelle zu berühren oder bewusst mit ihr zu interagieren, muss er einmalig eine um 20 erschwerte Willenskraft-Probe bestehen. Ist Arachnophobie zwar gegenwärtig, aber weder direkter Gegner noch Gegenstand, Wesen oder sonstiges Ziel, mit dem sich der Charakter aktuell befasst, sind keine Angst-Proben erforderlich; der Charakter erhält BE -3.</t>
  </si>
  <si>
    <t>vn_angst_arachnophobie_30</t>
  </si>
  <si>
    <t>Phobie: Arachnophobie</t>
  </si>
  <si>
    <t>Auswahlgruppe angst_arachnophobie; maximal 1 Stufe; Angstwert 30; direkte Konfrontation: sofort, danach jede KR; bloße Gegenwart: BE -5.</t>
  </si>
  <si>
    <t>EXKLUSIV_ANGST=angst_arachnophobie | ANGST_INTERVALL=1_KR | ANGST_DIREKTE_KONFRONTATION=1 | ANGST_BE=-5</t>
  </si>
  <si>
    <t>Der Charakter leidet unter einer Phobie gegenüber Arachnophobie. Bei direkter Konfrontation mit Arachnophobie muss er sofort, danach jede KR eine um 30 erschwerte Mut-Probe bestehen, um handlungsfähig zu bleiben. Um sich Arachnophobie freiwillig zu nähern, die Angstquelle zu berühren oder bewusst mit ihr zu interagieren, muss er einmalig eine um 30 erschwerte Willenskraft-Probe bestehen. Ist Arachnophobie zwar gegenwärtig, aber weder direkter Gegner noch Gegenstand, Wesen oder sonstiges Ziel, mit dem sich der Charakter aktuell befasst, sind keine Angst-Proben erforderlich; der Charakter erhält BE -5.</t>
  </si>
  <si>
    <t>vn_angst_bestimmtes_domestiziertes_tier_5</t>
  </si>
  <si>
    <t>Unbehagen: Bestimmtes domestiziertes Tier</t>
  </si>
  <si>
    <t>Auswahlgruppe angst_bestimmtes_domestiziertes_tier; maximal 1 Stufe; Angstwert 5; direkte Konfrontation: einmal pro Situation; bloße Gegenwart: BE 0.</t>
  </si>
  <si>
    <t>Angst: Bestimmtes domestiziertes Tier</t>
  </si>
  <si>
    <t>EXKLUSIV_ANGST=angst_bestimmtes_domestiziertes_tier | ANGST_INTERVALL=SITUATION | ANGST_DIREKTE_KONFRONTATION=1 | ANGST_BE=0</t>
  </si>
  <si>
    <t>Der Charakter reagiert auf Bestimmtes domestiziertes Tier mit Unbehagen. Bei direkter Konfrontation mit Bestimmtes domestiziertes Tier muss er einmal pro Situation eine um 5 erschwerte Mut-Probe bestehen, um handlungsfähig zu bleiben. Um sich Bestimmtes domestiziertes Tier freiwillig zu nähern, die Angstquelle zu berühren oder bewusst mit ihr zu interagieren, muss er einmalig eine um 5 erschwerte Willenskraft-Probe bestehen.</t>
  </si>
  <si>
    <t>vn_angst_bestimmtes_domestiziertes_tier_10</t>
  </si>
  <si>
    <t>Nervosität: Bestimmtes domestiziertes Tier</t>
  </si>
  <si>
    <t>Auswahlgruppe angst_bestimmtes_domestiziertes_tier; maximal 1 Stufe; Angstwert 10; direkte Konfrontation: bei jeder erneuten direkten Konfrontation; bloße Gegenwart: BE -1.</t>
  </si>
  <si>
    <t>EXKLUSIV_ANGST=angst_bestimmtes_domestiziertes_tier | ANGST_INTERVALL=NEUE_KONFRONTATION | ANGST_DIREKTE_KONFRONTATION=1 | ANGST_BE=-1</t>
  </si>
  <si>
    <t>Der Charakter reagiert auf Bestimmtes domestiziertes Tier mit Nervosität. Bei direkter Konfrontation mit Bestimmtes domestiziertes Tier muss er bei jeder erneuten direkten Konfrontation eine um 10 erschwerte Mut-Probe bestehen, um handlungsfähig zu bleiben. Um sich Bestimmtes domestiziertes Tier freiwillig zu nähern, die Angstquelle zu berühren oder bewusst mit ihr zu interagieren, muss er einmalig eine um 10 erschwerte Willenskraft-Probe bestehen. Ist Bestimmtes domestiziertes Tier zwar gegenwärtig, aber weder direkter Gegner noch Gegenstand, Wesen oder sonstiges Ziel, mit dem sich der Charakter aktuell befasst, sind keine Angst-Proben erforderlich; der Charakter erhält BE -1.</t>
  </si>
  <si>
    <t>vn_angst_bestimmtes_domestiziertes_tier_15</t>
  </si>
  <si>
    <t>Furcht: Bestimmtes domestiziertes Tier</t>
  </si>
  <si>
    <t>Auswahlgruppe angst_bestimmtes_domestiziertes_tier; maximal 1 Stufe; Angstwert 15; direkte Konfrontation: sofort, danach alle 10 KR; bloße Gegenwart: BE -2.</t>
  </si>
  <si>
    <t>EXKLUSIV_ANGST=angst_bestimmtes_domestiziertes_tier | ANGST_INTERVALL=10_KR | ANGST_DIREKTE_KONFRONTATION=1 | ANGST_BE=-2</t>
  </si>
  <si>
    <t>Der Charakter reagiert auf Bestimmtes domestiziertes Tier mit Furcht. Bei direkter Konfrontation mit Bestimmtes domestiziertes Tier muss er sofort, danach alle 10 KR eine um 15 erschwerte Mut-Probe bestehen, um handlungsfähig zu bleiben. Um sich Bestimmtes domestiziertes Tier freiwillig zu nähern, die Angstquelle zu berühren oder bewusst mit ihr zu interagieren, muss er einmalig eine um 15 erschwerte Willenskraft-Probe bestehen. Ist Bestimmtes domestiziertes Tier zwar gegenwärtig, aber weder direkter Gegner noch Gegenstand, Wesen oder sonstiges Ziel, mit dem sich der Charakter aktuell befasst, sind keine Angst-Proben erforderlich; der Charakter erhält BE -2.</t>
  </si>
  <si>
    <t>vn_angst_bestimmtes_domestiziertes_tier_20</t>
  </si>
  <si>
    <t>Auswahlgruppe angst_bestimmtes_domestiziertes_tier; maximal 1 Stufe; Angstwert 20; direkte Konfrontation: sofort, danach alle 5 KR; bloße Gegenwart: BE -3.</t>
  </si>
  <si>
    <t>EXKLUSIV_ANGST=angst_bestimmtes_domestiziertes_tier | ANGST_INTERVALL=5_KR | ANGST_DIREKTE_KONFRONTATION=1 | ANGST_BE=-3</t>
  </si>
  <si>
    <t>Der Charakter reagiert auf Bestimmtes domestiziertes Tier mit Angst. Bei direkter Konfrontation mit Bestimmtes domestiziertes Tier muss er sofort, danach alle 5 KR eine um 20 erschwerte Mut-Probe bestehen, um handlungsfähig zu bleiben. Um sich Bestimmtes domestiziertes Tier freiwillig zu nähern, die Angstquelle zu berühren oder bewusst mit ihr zu interagieren, muss er einmalig eine um 20 erschwerte Willenskraft-Probe bestehen. Ist Bestimmtes domestiziertes Tier zwar gegenwärtig, aber weder direkter Gegner noch Gegenstand, Wesen oder sonstiges Ziel, mit dem sich der Charakter aktuell befasst, sind keine Angst-Proben erforderlich; der Charakter erhält BE -3.</t>
  </si>
  <si>
    <t>vn_angst_bestimmtes_domestiziertes_tier_30</t>
  </si>
  <si>
    <t>Phobie: Bestimmtes domestiziertes Tier</t>
  </si>
  <si>
    <t>Auswahlgruppe angst_bestimmtes_domestiziertes_tier; maximal 1 Stufe; Angstwert 30; direkte Konfrontation: sofort, danach jede KR; bloße Gegenwart: BE -5.</t>
  </si>
  <si>
    <t>EXKLUSIV_ANGST=angst_bestimmtes_domestiziertes_tier | ANGST_INTERVALL=1_KR | ANGST_DIREKTE_KONFRONTATION=1 | ANGST_BE=-5</t>
  </si>
  <si>
    <t>Der Charakter leidet unter einer Phobie gegenüber Bestimmtes domestiziertes Tier. Bei direkter Konfrontation mit Bestimmtes domestiziertes Tier muss er sofort, danach jede KR eine um 30 erschwerte Mut-Probe bestehen, um handlungsfähig zu bleiben. Um sich Bestimmtes domestiziertes Tier freiwillig zu nähern, die Angstquelle zu berühren oder bewusst mit ihr zu interagieren, muss er einmalig eine um 30 erschwerte Willenskraft-Probe bestehen. Ist Bestimmtes domestiziertes Tier zwar gegenwärtig, aber weder direkter Gegner noch Gegenstand, Wesen oder sonstiges Ziel, mit dem sich der Charakter aktuell befasst, sind keine Angst-Proben erforderlich; der Charakter erhält BE -5.</t>
  </si>
  <si>
    <t>vn_angst_hundeartige_5</t>
  </si>
  <si>
    <t>Unbehagen: Hundeartige</t>
  </si>
  <si>
    <t>Auswahlgruppe angst_hundeartige; maximal 1 Stufe; Angstwert 5; direkte Konfrontation: einmal pro Situation; bloße Gegenwart: BE 0.</t>
  </si>
  <si>
    <t>Angst: Hundeartige</t>
  </si>
  <si>
    <t>EXKLUSIV_ANGST=angst_hundeartige | ANGST_INTERVALL=SITUATION | ANGST_DIREKTE_KONFRONTATION=1 | ANGST_BE=0</t>
  </si>
  <si>
    <t>Der Charakter reagiert auf Hundeartige mit Unbehagen. Bei direkter Konfrontation mit Hundeartige muss er einmal pro Situation eine um 5 erschwerte Mut-Probe bestehen, um handlungsfähig zu bleiben. Um sich Hundeartige freiwillig zu nähern, die Angstquelle zu berühren oder bewusst mit ihr zu interagieren, muss er einmalig eine um 5 erschwerte Willenskraft-Probe bestehen.</t>
  </si>
  <si>
    <t>vn_angst_hundeartige_10</t>
  </si>
  <si>
    <t>Nervosität: Hundeartige</t>
  </si>
  <si>
    <t>Auswahlgruppe angst_hundeartige; maximal 1 Stufe; Angstwert 10; direkte Konfrontation: bei jeder erneuten direkten Konfrontation; bloße Gegenwart: BE -1.</t>
  </si>
  <si>
    <t>EXKLUSIV_ANGST=angst_hundeartige | ANGST_INTERVALL=NEUE_KONFRONTATION | ANGST_DIREKTE_KONFRONTATION=1 | ANGST_BE=-1</t>
  </si>
  <si>
    <t>Der Charakter reagiert auf Hundeartige mit Nervosität. Bei direkter Konfrontation mit Hundeartige muss er bei jeder erneuten direkten Konfrontation eine um 10 erschwerte Mut-Probe bestehen, um handlungsfähig zu bleiben. Um sich Hundeartige freiwillig zu nähern, die Angstquelle zu berühren oder bewusst mit ihr zu interagieren, muss er einmalig eine um 10 erschwerte Willenskraft-Probe bestehen. Ist Hundeartige zwar gegenwärtig, aber weder direkter Gegner noch Gegenstand, Wesen oder sonstiges Ziel, mit dem sich der Charakter aktuell befasst, sind keine Angst-Proben erforderlich; der Charakter erhält BE -1.</t>
  </si>
  <si>
    <t>vn_angst_hundeartige_15</t>
  </si>
  <si>
    <t>Furcht: Hundeartige</t>
  </si>
  <si>
    <t>Auswahlgruppe angst_hundeartige; maximal 1 Stufe; Angstwert 15; direkte Konfrontation: sofort, danach alle 10 KR; bloße Gegenwart: BE -2.</t>
  </si>
  <si>
    <t>EXKLUSIV_ANGST=angst_hundeartige | ANGST_INTERVALL=10_KR | ANGST_DIREKTE_KONFRONTATION=1 | ANGST_BE=-2</t>
  </si>
  <si>
    <t>Der Charakter reagiert auf Hundeartige mit Furcht. Bei direkter Konfrontation mit Hundeartige muss er sofort, danach alle 10 KR eine um 15 erschwerte Mut-Probe bestehen, um handlungsfähig zu bleiben. Um sich Hundeartige freiwillig zu nähern, die Angstquelle zu berühren oder bewusst mit ihr zu interagieren, muss er einmalig eine um 15 erschwerte Willenskraft-Probe bestehen. Ist Hundeartige zwar gegenwärtig, aber weder direkter Gegner noch Gegenstand, Wesen oder sonstiges Ziel, mit dem sich der Charakter aktuell befasst, sind keine Angst-Proben erforderlich; der Charakter erhält BE -2.</t>
  </si>
  <si>
    <t>vn_angst_hundeartige_20</t>
  </si>
  <si>
    <t>Auswahlgruppe angst_hundeartige; maximal 1 Stufe; Angstwert 20; direkte Konfrontation: sofort, danach alle 5 KR; bloße Gegenwart: BE -3.</t>
  </si>
  <si>
    <t>EXKLUSIV_ANGST=angst_hundeartige | ANGST_INTERVALL=5_KR | ANGST_DIREKTE_KONFRONTATION=1 | ANGST_BE=-3</t>
  </si>
  <si>
    <t>Der Charakter reagiert auf Hundeartige mit Angst. Bei direkter Konfrontation mit Hundeartige muss er sofort, danach alle 5 KR eine um 20 erschwerte Mut-Probe bestehen, um handlungsfähig zu bleiben. Um sich Hundeartige freiwillig zu nähern, die Angstquelle zu berühren oder bewusst mit ihr zu interagieren, muss er einmalig eine um 20 erschwerte Willenskraft-Probe bestehen. Ist Hundeartige zwar gegenwärtig, aber weder direkter Gegner noch Gegenstand, Wesen oder sonstiges Ziel, mit dem sich der Charakter aktuell befasst, sind keine Angst-Proben erforderlich; der Charakter erhält BE -3.</t>
  </si>
  <si>
    <t>vn_angst_hundeartige_30</t>
  </si>
  <si>
    <t>Phobie: Hundeartige</t>
  </si>
  <si>
    <t>Auswahlgruppe angst_hundeartige; maximal 1 Stufe; Angstwert 30; direkte Konfrontation: sofort, danach jede KR; bloße Gegenwart: BE -5.</t>
  </si>
  <si>
    <t>EXKLUSIV_ANGST=angst_hundeartige | ANGST_INTERVALL=1_KR | ANGST_DIREKTE_KONFRONTATION=1 | ANGST_BE=-5</t>
  </si>
  <si>
    <t>Der Charakter leidet unter einer Phobie gegenüber Hundeartige. Bei direkter Konfrontation mit Hundeartige muss er sofort, danach jede KR eine um 30 erschwerte Mut-Probe bestehen, um handlungsfähig zu bleiben. Um sich Hundeartige freiwillig zu nähern, die Angstquelle zu berühren oder bewusst mit ihr zu interagieren, muss er einmalig eine um 30 erschwerte Willenskraft-Probe bestehen. Ist Hundeartige zwar gegenwärtig, aber weder direkter Gegner noch Gegenstand, Wesen oder sonstiges Ziel, mit dem sich der Charakter aktuell befasst, sind keine Angst-Proben erforderlich; der Charakter erhält BE -5.</t>
  </si>
  <si>
    <t>vn_angst_hunger_5</t>
  </si>
  <si>
    <t>Unbehagen: Hunger</t>
  </si>
  <si>
    <t>Auswahlgruppe angst_hunger; maximal 1 Stufe; Angstwert 5; direkte Konfrontation: einmal pro Situation; bloße Gegenwart: BE 0.</t>
  </si>
  <si>
    <t>Angst: Hunger</t>
  </si>
  <si>
    <t>EXKLUSIV_ANGST=angst_hunger | ANGST_INTERVALL=SITUATION | ANGST_DIREKTE_KONFRONTATION=1 | ANGST_BE=0</t>
  </si>
  <si>
    <t>Der Charakter reagiert auf Hunger mit Unbehagen. Bei direkter Konfrontation mit Hunger muss er einmal pro Situation eine um 5 erschwerte Mut-Probe bestehen, um handlungsfähig zu bleiben. Um sich Hunger freiwillig zu nähern, die Angstquelle zu berühren oder bewusst mit ihr zu interagieren, muss er einmalig eine um 5 erschwerte Willenskraft-Probe bestehen.</t>
  </si>
  <si>
    <t>vn_angst_hunger_10</t>
  </si>
  <si>
    <t>Nervosität: Hunger</t>
  </si>
  <si>
    <t>Auswahlgruppe angst_hunger; maximal 1 Stufe; Angstwert 10; direkte Konfrontation: bei jeder erneuten direkten Konfrontation; bloße Gegenwart: BE -1.</t>
  </si>
  <si>
    <t>EXKLUSIV_ANGST=angst_hunger | ANGST_INTERVALL=NEUE_KONFRONTATION | ANGST_DIREKTE_KONFRONTATION=1 | ANGST_BE=-1</t>
  </si>
  <si>
    <t>Der Charakter reagiert auf Hunger mit Nervosität. Bei direkter Konfrontation mit Hunger muss er bei jeder erneuten direkten Konfrontation eine um 10 erschwerte Mut-Probe bestehen, um handlungsfähig zu bleiben. Um sich Hunger freiwillig zu nähern, die Angstquelle zu berühren oder bewusst mit ihr zu interagieren, muss er einmalig eine um 10 erschwerte Willenskraft-Probe bestehen. Ist Hunger zwar gegenwärtig, aber weder direkter Gegner noch Gegenstand, Wesen oder sonstiges Ziel, mit dem sich der Charakter aktuell befasst, sind keine Angst-Proben erforderlich; der Charakter erhält BE -1.</t>
  </si>
  <si>
    <t>vn_angst_hunger_15</t>
  </si>
  <si>
    <t>Furcht: Hunger</t>
  </si>
  <si>
    <t>Auswahlgruppe angst_hunger; maximal 1 Stufe; Angstwert 15; direkte Konfrontation: sofort, danach alle 10 KR; bloße Gegenwart: BE -2.</t>
  </si>
  <si>
    <t>EXKLUSIV_ANGST=angst_hunger | ANGST_INTERVALL=10_KR | ANGST_DIREKTE_KONFRONTATION=1 | ANGST_BE=-2</t>
  </si>
  <si>
    <t>Der Charakter reagiert auf Hunger mit Furcht. Bei direkter Konfrontation mit Hunger muss er sofort, danach alle 10 KR eine um 15 erschwerte Mut-Probe bestehen, um handlungsfähig zu bleiben. Um sich Hunger freiwillig zu nähern, die Angstquelle zu berühren oder bewusst mit ihr zu interagieren, muss er einmalig eine um 15 erschwerte Willenskraft-Probe bestehen. Ist Hunger zwar gegenwärtig, aber weder direkter Gegner noch Gegenstand, Wesen oder sonstiges Ziel, mit dem sich der Charakter aktuell befasst, sind keine Angst-Proben erforderlich; der Charakter erhält BE -2.</t>
  </si>
  <si>
    <t>vn_angst_hunger_20</t>
  </si>
  <si>
    <t>Auswahlgruppe angst_hunger; maximal 1 Stufe; Angstwert 20; direkte Konfrontation: sofort, danach alle 5 KR; bloße Gegenwart: BE -3.</t>
  </si>
  <si>
    <t>EXKLUSIV_ANGST=angst_hunger | ANGST_INTERVALL=5_KR | ANGST_DIREKTE_KONFRONTATION=1 | ANGST_BE=-3</t>
  </si>
  <si>
    <t>Der Charakter reagiert auf Hunger mit Angst. Bei direkter Konfrontation mit Hunger muss er sofort, danach alle 5 KR eine um 20 erschwerte Mut-Probe bestehen, um handlungsfähig zu bleiben. Um sich Hunger freiwillig zu nähern, die Angstquelle zu berühren oder bewusst mit ihr zu interagieren, muss er einmalig eine um 20 erschwerte Willenskraft-Probe bestehen. Ist Hunger zwar gegenwärtig, aber weder direkter Gegner noch Gegenstand, Wesen oder sonstiges Ziel, mit dem sich der Charakter aktuell befasst, sind keine Angst-Proben erforderlich; der Charakter erhält BE -3.</t>
  </si>
  <si>
    <t>vn_angst_hunger_30</t>
  </si>
  <si>
    <t>Phobie: Hunger</t>
  </si>
  <si>
    <t>Auswahlgruppe angst_hunger; maximal 1 Stufe; Angstwert 30; direkte Konfrontation: sofort, danach jede KR; bloße Gegenwart: BE -5.</t>
  </si>
  <si>
    <t>EXKLUSIV_ANGST=angst_hunger | ANGST_INTERVALL=1_KR | ANGST_DIREKTE_KONFRONTATION=1 | ANGST_BE=-5</t>
  </si>
  <si>
    <t>Der Charakter leidet unter einer Phobie gegenüber Hunger. Bei direkter Konfrontation mit Hunger muss er sofort, danach jede KR eine um 30 erschwerte Mut-Probe bestehen, um handlungsfähig zu bleiben. Um sich Hunger freiwillig zu nähern, die Angstquelle zu berühren oder bewusst mit ihr zu interagieren, muss er einmalig eine um 30 erschwerte Willenskraft-Probe bestehen. Ist Hunger zwar gegenwärtig, aber weder direkter Gegner noch Gegenstand, Wesen oder sonstiges Ziel, mit dem sich der Charakter aktuell befasst, sind keine Angst-Proben erforderlich; der Charakter erhält BE -5.</t>
  </si>
  <si>
    <t>vn_angst_laecherlichkeit_5</t>
  </si>
  <si>
    <t>Unbehagen: Lächerlichkeit</t>
  </si>
  <si>
    <t>Auswahlgruppe angst_laecherlichkeit; maximal 1 Stufe; Angstwert 5; direkte Konfrontation: einmal pro Situation; bloße Gegenwart: BE 0.</t>
  </si>
  <si>
    <t>Angst: Lächerlichkeit</t>
  </si>
  <si>
    <t>EXKLUSIV_ANGST=angst_laecherlichkeit | ANGST_INTERVALL=SITUATION | ANGST_DIREKTE_KONFRONTATION=1 | ANGST_BE=0</t>
  </si>
  <si>
    <t>Der Charakter reagiert auf Lächerlichkeit mit Unbehagen. Bei direkter Konfrontation mit Lächerlichkeit muss er einmal pro Situation eine um 5 erschwerte Mut-Probe bestehen, um handlungsfähig zu bleiben. Um sich Lächerlichkeit freiwillig zu nähern, die Angstquelle zu berühren oder bewusst mit ihr zu interagieren, muss er einmalig eine um 5 erschwerte Willenskraft-Probe bestehen.</t>
  </si>
  <si>
    <t>vn_angst_laecherlichkeit_10</t>
  </si>
  <si>
    <t>Nervosität: Lächerlichkeit</t>
  </si>
  <si>
    <t>Auswahlgruppe angst_laecherlichkeit; maximal 1 Stufe; Angstwert 10; direkte Konfrontation: bei jeder erneuten direkten Konfrontation; bloße Gegenwart: BE -1.</t>
  </si>
  <si>
    <t>EXKLUSIV_ANGST=angst_laecherlichkeit | ANGST_INTERVALL=NEUE_KONFRONTATION | ANGST_DIREKTE_KONFRONTATION=1 | ANGST_BE=-1</t>
  </si>
  <si>
    <t>Der Charakter reagiert auf Lächerlichkeit mit Nervosität. Bei direkter Konfrontation mit Lächerlichkeit muss er bei jeder erneuten direkten Konfrontation eine um 10 erschwerte Mut-Probe bestehen, um handlungsfähig zu bleiben. Um sich Lächerlichkeit freiwillig zu nähern, die Angstquelle zu berühren oder bewusst mit ihr zu interagieren, muss er einmalig eine um 10 erschwerte Willenskraft-Probe bestehen. Ist Lächerlichkeit zwar gegenwärtig, aber weder direkter Gegner noch Gegenstand, Wesen oder sonstiges Ziel, mit dem sich der Charakter aktuell befasst, sind keine Angst-Proben erforderlich; der Charakter erhält BE -1.</t>
  </si>
  <si>
    <t>vn_angst_laecherlichkeit_15</t>
  </si>
  <si>
    <t>Furcht: Lächerlichkeit</t>
  </si>
  <si>
    <t>Auswahlgruppe angst_laecherlichkeit; maximal 1 Stufe; Angstwert 15; direkte Konfrontation: sofort, danach alle 10 KR; bloße Gegenwart: BE -2.</t>
  </si>
  <si>
    <t>EXKLUSIV_ANGST=angst_laecherlichkeit | ANGST_INTERVALL=10_KR | ANGST_DIREKTE_KONFRONTATION=1 | ANGST_BE=-2</t>
  </si>
  <si>
    <t>Der Charakter reagiert auf Lächerlichkeit mit Furcht. Bei direkter Konfrontation mit Lächerlichkeit muss er sofort, danach alle 10 KR eine um 15 erschwerte Mut-Probe bestehen, um handlungsfähig zu bleiben. Um sich Lächerlichkeit freiwillig zu nähern, die Angstquelle zu berühren oder bewusst mit ihr zu interagieren, muss er einmalig eine um 15 erschwerte Willenskraft-Probe bestehen. Ist Lächerlichkeit zwar gegenwärtig, aber weder direkter Gegner noch Gegenstand, Wesen oder sonstiges Ziel, mit dem sich der Charakter aktuell befasst, sind keine Angst-Proben erforderlich; der Charakter erhält BE -2.</t>
  </si>
  <si>
    <t>vn_angst_laecherlichkeit_20</t>
  </si>
  <si>
    <t>Auswahlgruppe angst_laecherlichkeit; maximal 1 Stufe; Angstwert 20; direkte Konfrontation: sofort, danach alle 5 KR; bloße Gegenwart: BE -3.</t>
  </si>
  <si>
    <t>EXKLUSIV_ANGST=angst_laecherlichkeit | ANGST_INTERVALL=5_KR | ANGST_DIREKTE_KONFRONTATION=1 | ANGST_BE=-3</t>
  </si>
  <si>
    <t>Der Charakter reagiert auf Lächerlichkeit mit Angst. Bei direkter Konfrontation mit Lächerlichkeit muss er sofort, danach alle 5 KR eine um 20 erschwerte Mut-Probe bestehen, um handlungsfähig zu bleiben. Um sich Lächerlichkeit freiwillig zu nähern, die Angstquelle zu berühren oder bewusst mit ihr zu interagieren, muss er einmalig eine um 20 erschwerte Willenskraft-Probe bestehen. Ist Lächerlichkeit zwar gegenwärtig, aber weder direkter Gegner noch Gegenstand, Wesen oder sonstiges Ziel, mit dem sich der Charakter aktuell befasst, sind keine Angst-Proben erforderlich; der Charakter erhält BE -3.</t>
  </si>
  <si>
    <t>vn_angst_laecherlichkeit_30</t>
  </si>
  <si>
    <t>Phobie: Lächerlichkeit</t>
  </si>
  <si>
    <t>Auswahlgruppe angst_laecherlichkeit; maximal 1 Stufe; Angstwert 30; direkte Konfrontation: sofort, danach jede KR; bloße Gegenwart: BE -5.</t>
  </si>
  <si>
    <t>EXKLUSIV_ANGST=angst_laecherlichkeit | ANGST_INTERVALL=1_KR | ANGST_DIREKTE_KONFRONTATION=1 | ANGST_BE=-5</t>
  </si>
  <si>
    <t>Der Charakter leidet unter einer Phobie gegenüber Lächerlichkeit. Bei direkter Konfrontation mit Lächerlichkeit muss er sofort, danach jede KR eine um 30 erschwerte Mut-Probe bestehen, um handlungsfähig zu bleiben. Um sich Lächerlichkeit freiwillig zu nähern, die Angstquelle zu berühren oder bewusst mit ihr zu interagieren, muss er einmalig eine um 30 erschwerte Willenskraft-Probe bestehen. Ist Lächerlichkeit zwar gegenwärtig, aber weder direkter Gegner noch Gegenstand, Wesen oder sonstiges Ziel, mit dem sich der Charakter aktuell befasst, sind keine Angst-Proben erforderlich; der Charakter erhält BE -5.</t>
  </si>
  <si>
    <t>vn_angst_magische_gegenstaende_5</t>
  </si>
  <si>
    <t>Unbehagen: Magische Gegenstände</t>
  </si>
  <si>
    <t>Auswahlgruppe angst_magische_gegenstaende; maximal 1 Stufe; Angstwert 5; direkte Konfrontation: einmal pro Situation; bloße Gegenwart: BE 0.</t>
  </si>
  <si>
    <t>Angst: Magische Gegenstände</t>
  </si>
  <si>
    <t>EXKLUSIV_ANGST=angst_magische_gegenstaende | ANGST_INTERVALL=SITUATION | ANGST_DIREKTE_KONFRONTATION=1 | ANGST_BE=0</t>
  </si>
  <si>
    <t>Der Charakter reagiert auf Magische Gegenstände mit Unbehagen. Bei direkter Konfrontation mit Magische Gegenstände muss er einmal pro Situation eine um 5 erschwerte Mut-Probe bestehen, um handlungsfähig zu bleiben. Um sich Magische Gegenstände freiwillig zu nähern, die Angstquelle zu berühren oder bewusst mit ihr zu interagieren, muss er einmalig eine um 5 erschwerte Willenskraft-Probe bestehen.</t>
  </si>
  <si>
    <t>vn_angst_magische_gegenstaende_10</t>
  </si>
  <si>
    <t>Nervosität: Magische Gegenstände</t>
  </si>
  <si>
    <t>Auswahlgruppe angst_magische_gegenstaende; maximal 1 Stufe; Angstwert 10; direkte Konfrontation: bei jeder erneuten direkten Konfrontation; bloße Gegenwart: BE -1.</t>
  </si>
  <si>
    <t>EXKLUSIV_ANGST=angst_magische_gegenstaende | ANGST_INTERVALL=NEUE_KONFRONTATION | ANGST_DIREKTE_KONFRONTATION=1 | ANGST_BE=-1</t>
  </si>
  <si>
    <t>Der Charakter reagiert auf Magische Gegenstände mit Nervosität. Bei direkter Konfrontation mit Magische Gegenstände muss er bei jeder erneuten direkten Konfrontation eine um 10 erschwerte Mut-Probe bestehen, um handlungsfähig zu bleiben. Um sich Magische Gegenstände freiwillig zu nähern, die Angstquelle zu berühren oder bewusst mit ihr zu interagieren, muss er einmalig eine um 10 erschwerte Willenskraft-Probe bestehen. Ist Magische Gegenstände zwar gegenwärtig, aber weder direkter Gegner noch Gegenstand, Wesen oder sonstiges Ziel, mit dem sich der Charakter aktuell befasst, sind keine Angst-Proben erforderlich; der Charakter erhält BE -1.</t>
  </si>
  <si>
    <t>vn_angst_magische_gegenstaende_15</t>
  </si>
  <si>
    <t>Furcht: Magische Gegenstände</t>
  </si>
  <si>
    <t>Auswahlgruppe angst_magische_gegenstaende; maximal 1 Stufe; Angstwert 15; direkte Konfrontation: sofort, danach alle 10 KR; bloße Gegenwart: BE -2.</t>
  </si>
  <si>
    <t>EXKLUSIV_ANGST=angst_magische_gegenstaende | ANGST_INTERVALL=10_KR | ANGST_DIREKTE_KONFRONTATION=1 | ANGST_BE=-2</t>
  </si>
  <si>
    <t>Der Charakter reagiert auf Magische Gegenstände mit Furcht. Bei direkter Konfrontation mit Magische Gegenstände muss er sofort, danach alle 10 KR eine um 15 erschwerte Mut-Probe bestehen, um handlungsfähig zu bleiben. Um sich Magische Gegenstände freiwillig zu nähern, die Angstquelle zu berühren oder bewusst mit ihr zu interagieren, muss er einmalig eine um 15 erschwerte Willenskraft-Probe bestehen. Ist Magische Gegenstände zwar gegenwärtig, aber weder direkter Gegner noch Gegenstand, Wesen oder sonstiges Ziel, mit dem sich der Charakter aktuell befasst, sind keine Angst-Proben erforderlich; der Charakter erhält BE -2.</t>
  </si>
  <si>
    <t>vn_angst_magische_gegenstaende_20</t>
  </si>
  <si>
    <t>Auswahlgruppe angst_magische_gegenstaende; maximal 1 Stufe; Angstwert 20; direkte Konfrontation: sofort, danach alle 5 KR; bloße Gegenwart: BE -3.</t>
  </si>
  <si>
    <t>EXKLUSIV_ANGST=angst_magische_gegenstaende | ANGST_INTERVALL=5_KR | ANGST_DIREKTE_KONFRONTATION=1 | ANGST_BE=-3</t>
  </si>
  <si>
    <t>Der Charakter reagiert auf Magische Gegenstände mit Angst. Bei direkter Konfrontation mit Magische Gegenstände muss er sofort, danach alle 5 KR eine um 20 erschwerte Mut-Probe bestehen, um handlungsfähig zu bleiben. Um sich Magische Gegenstände freiwillig zu nähern, die Angstquelle zu berühren oder bewusst mit ihr zu interagieren, muss er einmalig eine um 20 erschwerte Willenskraft-Probe bestehen. Ist Magische Gegenstände zwar gegenwärtig, aber weder direkter Gegner noch Gegenstand, Wesen oder sonstiges Ziel, mit dem sich der Charakter aktuell befasst, sind keine Angst-Proben erforderlich; der Charakter erhält BE -3.</t>
  </si>
  <si>
    <t>vn_angst_magische_gegenstaende_30</t>
  </si>
  <si>
    <t>Phobie: Magische Gegenstände</t>
  </si>
  <si>
    <t>Auswahlgruppe angst_magische_gegenstaende; maximal 1 Stufe; Angstwert 30; direkte Konfrontation: sofort, danach jede KR; bloße Gegenwart: BE -5.</t>
  </si>
  <si>
    <t>EXKLUSIV_ANGST=angst_magische_gegenstaende | ANGST_INTERVALL=1_KR | ANGST_DIREKTE_KONFRONTATION=1 | ANGST_BE=-5</t>
  </si>
  <si>
    <t>Der Charakter leidet unter einer Phobie gegenüber Magische Gegenstände. Bei direkter Konfrontation mit Magische Gegenstände muss er sofort, danach jede KR eine um 30 erschwerte Mut-Probe bestehen, um handlungsfähig zu bleiben. Um sich Magische Gegenstände freiwillig zu nähern, die Angstquelle zu berühren oder bewusst mit ihr zu interagieren, muss er einmalig eine um 30 erschwerte Willenskraft-Probe bestehen. Ist Magische Gegenstände zwar gegenwärtig, aber weder direkter Gegner noch Gegenstand, Wesen oder sonstiges Ziel, mit dem sich der Charakter aktuell befasst, sind keine Angst-Proben erforderlich; der Charakter erhält BE -5.</t>
  </si>
  <si>
    <t>vn_angst_magische_wesen_5</t>
  </si>
  <si>
    <t>Unbehagen: Magische Wesen</t>
  </si>
  <si>
    <t>Auswahlgruppe angst_magische_wesen; maximal 1 Stufe; Angstwert 5; direkte Konfrontation: einmal pro Situation; bloße Gegenwart: BE 0.</t>
  </si>
  <si>
    <t>Angst: Magische Wesen</t>
  </si>
  <si>
    <t>EXKLUSIV_ANGST=angst_magische_wesen | ANGST_INTERVALL=SITUATION | ANGST_DIREKTE_KONFRONTATION=1 | ANGST_BE=0</t>
  </si>
  <si>
    <t>Der Charakter reagiert auf Magische Wesen mit Unbehagen. Bei direkter Konfrontation mit Magische Wesen muss er einmal pro Situation eine um 5 erschwerte Mut-Probe bestehen, um handlungsfähig zu bleiben. Um sich Magische Wesen freiwillig zu nähern, die Angstquelle zu berühren oder bewusst mit ihr zu interagieren, muss er einmalig eine um 5 erschwerte Willenskraft-Probe bestehen.</t>
  </si>
  <si>
    <t>vn_angst_magische_wesen_10</t>
  </si>
  <si>
    <t>Nervosität: Magische Wesen</t>
  </si>
  <si>
    <t>Auswahlgruppe angst_magische_wesen; maximal 1 Stufe; Angstwert 10; direkte Konfrontation: bei jeder erneuten direkten Konfrontation; bloße Gegenwart: BE -1.</t>
  </si>
  <si>
    <t>EXKLUSIV_ANGST=angst_magische_wesen | ANGST_INTERVALL=NEUE_KONFRONTATION | ANGST_DIREKTE_KONFRONTATION=1 | ANGST_BE=-1</t>
  </si>
  <si>
    <t>Der Charakter reagiert auf Magische Wesen mit Nervosität. Bei direkter Konfrontation mit Magische Wesen muss er bei jeder erneuten direkten Konfrontation eine um 10 erschwerte Mut-Probe bestehen, um handlungsfähig zu bleiben. Um sich Magische Wesen freiwillig zu nähern, die Angstquelle zu berühren oder bewusst mit ihr zu interagieren, muss er einmalig eine um 10 erschwerte Willenskraft-Probe bestehen. Ist Magische Wesen zwar gegenwärtig, aber weder direkter Gegner noch Gegenstand, Wesen oder sonstiges Ziel, mit dem sich der Charakter aktuell befasst, sind keine Angst-Proben erforderlich; der Charakter erhält BE -1.</t>
  </si>
  <si>
    <t>vn_angst_magische_wesen_15</t>
  </si>
  <si>
    <t>Furcht: Magische Wesen</t>
  </si>
  <si>
    <t>Auswahlgruppe angst_magische_wesen; maximal 1 Stufe; Angstwert 15; direkte Konfrontation: sofort, danach alle 10 KR; bloße Gegenwart: BE -2.</t>
  </si>
  <si>
    <t>EXKLUSIV_ANGST=angst_magische_wesen | ANGST_INTERVALL=10_KR | ANGST_DIREKTE_KONFRONTATION=1 | ANGST_BE=-2</t>
  </si>
  <si>
    <t>Der Charakter reagiert auf Magische Wesen mit Furcht. Bei direkter Konfrontation mit Magische Wesen muss er sofort, danach alle 10 KR eine um 15 erschwerte Mut-Probe bestehen, um handlungsfähig zu bleiben. Um sich Magische Wesen freiwillig zu nähern, die Angstquelle zu berühren oder bewusst mit ihr zu interagieren, muss er einmalig eine um 15 erschwerte Willenskraft-Probe bestehen. Ist Magische Wesen zwar gegenwärtig, aber weder direkter Gegner noch Gegenstand, Wesen oder sonstiges Ziel, mit dem sich der Charakter aktuell befasst, sind keine Angst-Proben erforderlich; der Charakter erhält BE -2.</t>
  </si>
  <si>
    <t>vn_angst_magische_wesen_20</t>
  </si>
  <si>
    <t>Auswahlgruppe angst_magische_wesen; maximal 1 Stufe; Angstwert 20; direkte Konfrontation: sofort, danach alle 5 KR; bloße Gegenwart: BE -3.</t>
  </si>
  <si>
    <t>EXKLUSIV_ANGST=angst_magische_wesen | ANGST_INTERVALL=5_KR | ANGST_DIREKTE_KONFRONTATION=1 | ANGST_BE=-3</t>
  </si>
  <si>
    <t>Der Charakter reagiert auf Magische Wesen mit Angst. Bei direkter Konfrontation mit Magische Wesen muss er sofort, danach alle 5 KR eine um 20 erschwerte Mut-Probe bestehen, um handlungsfähig zu bleiben. Um sich Magische Wesen freiwillig zu nähern, die Angstquelle zu berühren oder bewusst mit ihr zu interagieren, muss er einmalig eine um 20 erschwerte Willenskraft-Probe bestehen. Ist Magische Wesen zwar gegenwärtig, aber weder direkter Gegner noch Gegenstand, Wesen oder sonstiges Ziel, mit dem sich der Charakter aktuell befasst, sind keine Angst-Proben erforderlich; der Charakter erhält BE -3.</t>
  </si>
  <si>
    <t>vn_angst_magische_wesen_30</t>
  </si>
  <si>
    <t>Phobie: Magische Wesen</t>
  </si>
  <si>
    <t>Auswahlgruppe angst_magische_wesen; maximal 1 Stufe; Angstwert 30; direkte Konfrontation: sofort, danach jede KR; bloße Gegenwart: BE -5.</t>
  </si>
  <si>
    <t>EXKLUSIV_ANGST=angst_magische_wesen | ANGST_INTERVALL=1_KR | ANGST_DIREKTE_KONFRONTATION=1 | ANGST_BE=-5</t>
  </si>
  <si>
    <t>Der Charakter leidet unter einer Phobie gegenüber Magische Wesen. Bei direkter Konfrontation mit Magische Wesen muss er sofort, danach jede KR eine um 30 erschwerte Mut-Probe bestehen, um handlungsfähig zu bleiben. Um sich Magische Wesen freiwillig zu nähern, die Angstquelle zu berühren oder bewusst mit ihr zu interagieren, muss er einmalig eine um 30 erschwerte Willenskraft-Probe bestehen. Ist Magische Wesen zwar gegenwärtig, aber weder direkter Gegner noch Gegenstand, Wesen oder sonstiges Ziel, mit dem sich der Charakter aktuell befasst, sind keine Angst-Proben erforderlich; der Charakter erhält BE -5.</t>
  </si>
  <si>
    <t>vn_angst_meer_5</t>
  </si>
  <si>
    <t>Unbehagen: Meer</t>
  </si>
  <si>
    <t>Auswahlgruppe angst_meer; maximal 1 Stufe; Angstwert 5; direkte Konfrontation: einmal pro Situation; bloße Gegenwart: BE 0.</t>
  </si>
  <si>
    <t>Angst: Meer</t>
  </si>
  <si>
    <t>EXKLUSIV_ANGST=angst_meer | ANGST_INTERVALL=SITUATION | ANGST_DIREKTE_KONFRONTATION=1 | ANGST_BE=0</t>
  </si>
  <si>
    <t>Der Charakter reagiert auf Meer mit Unbehagen. Bei direkter Konfrontation mit Meer muss er einmal pro Situation eine um 5 erschwerte Mut-Probe bestehen, um handlungsfähig zu bleiben. Um sich Meer freiwillig zu nähern, die Angstquelle zu berühren oder bewusst mit ihr zu interagieren, muss er einmalig eine um 5 erschwerte Willenskraft-Probe bestehen.</t>
  </si>
  <si>
    <t>vn_angst_meer_10</t>
  </si>
  <si>
    <t>Nervosität: Meer</t>
  </si>
  <si>
    <t>Auswahlgruppe angst_meer; maximal 1 Stufe; Angstwert 10; direkte Konfrontation: bei jeder erneuten direkten Konfrontation; bloße Gegenwart: BE -1.</t>
  </si>
  <si>
    <t>EXKLUSIV_ANGST=angst_meer | ANGST_INTERVALL=NEUE_KONFRONTATION | ANGST_DIREKTE_KONFRONTATION=1 | ANGST_BE=-1</t>
  </si>
  <si>
    <t>Der Charakter reagiert auf Meer mit Nervosität. Bei direkter Konfrontation mit Meer muss er bei jeder erneuten direkten Konfrontation eine um 10 erschwerte Mut-Probe bestehen, um handlungsfähig zu bleiben. Um sich Meer freiwillig zu nähern, die Angstquelle zu berühren oder bewusst mit ihr zu interagieren, muss er einmalig eine um 10 erschwerte Willenskraft-Probe bestehen. Ist Meer zwar gegenwärtig, aber weder direkter Gegner noch Gegenstand, Wesen oder sonstiges Ziel, mit dem sich der Charakter aktuell befasst, sind keine Angst-Proben erforderlich; der Charakter erhält BE -1.</t>
  </si>
  <si>
    <t>vn_angst_meer_15</t>
  </si>
  <si>
    <t>Furcht: Meer</t>
  </si>
  <si>
    <t>Auswahlgruppe angst_meer; maximal 1 Stufe; Angstwert 15; direkte Konfrontation: sofort, danach alle 10 KR; bloße Gegenwart: BE -2.</t>
  </si>
  <si>
    <t>EXKLUSIV_ANGST=angst_meer | ANGST_INTERVALL=10_KR | ANGST_DIREKTE_KONFRONTATION=1 | ANGST_BE=-2</t>
  </si>
  <si>
    <t>Der Charakter reagiert auf Meer mit Furcht. Bei direkter Konfrontation mit Meer muss er sofort, danach alle 10 KR eine um 15 erschwerte Mut-Probe bestehen, um handlungsfähig zu bleiben. Um sich Meer freiwillig zu nähern, die Angstquelle zu berühren oder bewusst mit ihr zu interagieren, muss er einmalig eine um 15 erschwerte Willenskraft-Probe bestehen. Ist Meer zwar gegenwärtig, aber weder direkter Gegner noch Gegenstand, Wesen oder sonstiges Ziel, mit dem sich der Charakter aktuell befasst, sind keine Angst-Proben erforderlich; der Charakter erhält BE -2.</t>
  </si>
  <si>
    <t>vn_angst_meer_20</t>
  </si>
  <si>
    <t>Auswahlgruppe angst_meer; maximal 1 Stufe; Angstwert 20; direkte Konfrontation: sofort, danach alle 5 KR; bloße Gegenwart: BE -3.</t>
  </si>
  <si>
    <t>EXKLUSIV_ANGST=angst_meer | ANGST_INTERVALL=5_KR | ANGST_DIREKTE_KONFRONTATION=1 | ANGST_BE=-3</t>
  </si>
  <si>
    <t>Der Charakter reagiert auf Meer mit Angst. Bei direkter Konfrontation mit Meer muss er sofort, danach alle 5 KR eine um 20 erschwerte Mut-Probe bestehen, um handlungsfähig zu bleiben. Um sich Meer freiwillig zu nähern, die Angstquelle zu berühren oder bewusst mit ihr zu interagieren, muss er einmalig eine um 20 erschwerte Willenskraft-Probe bestehen. Ist Meer zwar gegenwärtig, aber weder direkter Gegner noch Gegenstand, Wesen oder sonstiges Ziel, mit dem sich der Charakter aktuell befasst, sind keine Angst-Proben erforderlich; der Charakter erhält BE -3.</t>
  </si>
  <si>
    <t>vn_angst_meer_30</t>
  </si>
  <si>
    <t>Phobie: Meer</t>
  </si>
  <si>
    <t>Auswahlgruppe angst_meer; maximal 1 Stufe; Angstwert 30; direkte Konfrontation: sofort, danach jede KR; bloße Gegenwart: BE -5.</t>
  </si>
  <si>
    <t>EXKLUSIV_ANGST=angst_meer | ANGST_INTERVALL=1_KR | ANGST_DIREKTE_KONFRONTATION=1 | ANGST_BE=-5</t>
  </si>
  <si>
    <t>Der Charakter leidet unter einer Phobie gegenüber Meer. Bei direkter Konfrontation mit Meer muss er sofort, danach jede KR eine um 30 erschwerte Mut-Probe bestehen, um handlungsfähig zu bleiben. Um sich Meer freiwillig zu nähern, die Angstquelle zu berühren oder bewusst mit ihr zu interagieren, muss er einmalig eine um 30 erschwerte Willenskraft-Probe bestehen. Ist Meer zwar gegenwärtig, aber weder direkter Gegner noch Gegenstand, Wesen oder sonstiges Ziel, mit dem sich der Charakter aktuell befasst, sind keine Angst-Proben erforderlich; der Charakter erhält BE -5.</t>
  </si>
  <si>
    <t>vn_angst_raubkatzen_5</t>
  </si>
  <si>
    <t>Unbehagen: Raubkatzen</t>
  </si>
  <si>
    <t>Auswahlgruppe angst_raubkatzen; maximal 1 Stufe; Angstwert 5; direkte Konfrontation: einmal pro Situation; bloße Gegenwart: BE 0.</t>
  </si>
  <si>
    <t>Angst: Raubkatzen</t>
  </si>
  <si>
    <t>EXKLUSIV_ANGST=angst_raubkatzen | ANGST_INTERVALL=SITUATION | ANGST_DIREKTE_KONFRONTATION=1 | ANGST_BE=0</t>
  </si>
  <si>
    <t>Der Charakter reagiert auf Raubkatzen mit Unbehagen. Bei direkter Konfrontation mit Raubkatzen muss er einmal pro Situation eine um 5 erschwerte Mut-Probe bestehen, um handlungsfähig zu bleiben. Um sich Raubkatzen freiwillig zu nähern, die Angstquelle zu berühren oder bewusst mit ihr zu interagieren, muss er einmalig eine um 5 erschwerte Willenskraft-Probe bestehen.</t>
  </si>
  <si>
    <t>vn_angst_raubkatzen_10</t>
  </si>
  <si>
    <t>Nervosität: Raubkatzen</t>
  </si>
  <si>
    <t>Auswahlgruppe angst_raubkatzen; maximal 1 Stufe; Angstwert 10; direkte Konfrontation: bei jeder erneuten direkten Konfrontation; bloße Gegenwart: BE -1.</t>
  </si>
  <si>
    <t>EXKLUSIV_ANGST=angst_raubkatzen | ANGST_INTERVALL=NEUE_KONFRONTATION | ANGST_DIREKTE_KONFRONTATION=1 | ANGST_BE=-1</t>
  </si>
  <si>
    <t>Der Charakter reagiert auf Raubkatzen mit Nervosität. Bei direkter Konfrontation mit Raubkatzen muss er bei jeder erneuten direkten Konfrontation eine um 10 erschwerte Mut-Probe bestehen, um handlungsfähig zu bleiben. Um sich Raubkatzen freiwillig zu nähern, die Angstquelle zu berühren oder bewusst mit ihr zu interagieren, muss er einmalig eine um 10 erschwerte Willenskraft-Probe bestehen. Ist Raubkatzen zwar gegenwärtig, aber weder direkter Gegner noch Gegenstand, Wesen oder sonstiges Ziel, mit dem sich der Charakter aktuell befasst, sind keine Angst-Proben erforderlich; der Charakter erhält BE -1.</t>
  </si>
  <si>
    <t>vn_angst_raubkatzen_15</t>
  </si>
  <si>
    <t>Furcht: Raubkatzen</t>
  </si>
  <si>
    <t>Auswahlgruppe angst_raubkatzen; maximal 1 Stufe; Angstwert 15; direkte Konfrontation: sofort, danach alle 10 KR; bloße Gegenwart: BE -2.</t>
  </si>
  <si>
    <t>EXKLUSIV_ANGST=angst_raubkatzen | ANGST_INTERVALL=10_KR | ANGST_DIREKTE_KONFRONTATION=1 | ANGST_BE=-2</t>
  </si>
  <si>
    <t>Der Charakter reagiert auf Raubkatzen mit Furcht. Bei direkter Konfrontation mit Raubkatzen muss er sofort, danach alle 10 KR eine um 15 erschwerte Mut-Probe bestehen, um handlungsfähig zu bleiben. Um sich Raubkatzen freiwillig zu nähern, die Angstquelle zu berühren oder bewusst mit ihr zu interagieren, muss er einmalig eine um 15 erschwerte Willenskraft-Probe bestehen. Ist Raubkatzen zwar gegenwärtig, aber weder direkter Gegner noch Gegenstand, Wesen oder sonstiges Ziel, mit dem sich der Charakter aktuell befasst, sind keine Angst-Proben erforderlich; der Charakter erhält BE -2.</t>
  </si>
  <si>
    <t>vn_angst_raubkatzen_20</t>
  </si>
  <si>
    <t>Auswahlgruppe angst_raubkatzen; maximal 1 Stufe; Angstwert 20; direkte Konfrontation: sofort, danach alle 5 KR; bloße Gegenwart: BE -3.</t>
  </si>
  <si>
    <t>EXKLUSIV_ANGST=angst_raubkatzen | ANGST_INTERVALL=5_KR | ANGST_DIREKTE_KONFRONTATION=1 | ANGST_BE=-3</t>
  </si>
  <si>
    <t>Der Charakter reagiert auf Raubkatzen mit Angst. Bei direkter Konfrontation mit Raubkatzen muss er sofort, danach alle 5 KR eine um 20 erschwerte Mut-Probe bestehen, um handlungsfähig zu bleiben. Um sich Raubkatzen freiwillig zu nähern, die Angstquelle zu berühren oder bewusst mit ihr zu interagieren, muss er einmalig eine um 20 erschwerte Willenskraft-Probe bestehen. Ist Raubkatzen zwar gegenwärtig, aber weder direkter Gegner noch Gegenstand, Wesen oder sonstiges Ziel, mit dem sich der Charakter aktuell befasst, sind keine Angst-Proben erforderlich; der Charakter erhält BE -3.</t>
  </si>
  <si>
    <t>vn_angst_raubkatzen_30</t>
  </si>
  <si>
    <t>Phobie: Raubkatzen</t>
  </si>
  <si>
    <t>Auswahlgruppe angst_raubkatzen; maximal 1 Stufe; Angstwert 30; direkte Konfrontation: sofort, danach jede KR; bloße Gegenwart: BE -5.</t>
  </si>
  <si>
    <t>EXKLUSIV_ANGST=angst_raubkatzen | ANGST_INTERVALL=1_KR | ANGST_DIREKTE_KONFRONTATION=1 | ANGST_BE=-5</t>
  </si>
  <si>
    <t>Der Charakter leidet unter einer Phobie gegenüber Raubkatzen. Bei direkter Konfrontation mit Raubkatzen muss er sofort, danach jede KR eine um 30 erschwerte Mut-Probe bestehen, um handlungsfähig zu bleiben. Um sich Raubkatzen freiwillig zu nähern, die Angstquelle zu berühren oder bewusst mit ihr zu interagieren, muss er einmalig eine um 30 erschwerte Willenskraft-Probe bestehen. Ist Raubkatzen zwar gegenwärtig, aber weder direkter Gegner noch Gegenstand, Wesen oder sonstiges Ziel, mit dem sich der Charakter aktuell befasst, sind keine Angst-Proben erforderlich; der Charakter erhält BE -5.</t>
  </si>
  <si>
    <t>vn_angst_schmutz_5</t>
  </si>
  <si>
    <t>Unbehagen: Schmutz</t>
  </si>
  <si>
    <t>Auswahlgruppe angst_schmutz; maximal 1 Stufe; Angstwert 5; direkte Konfrontation: einmal pro Situation; bloße Gegenwart: BE 0.</t>
  </si>
  <si>
    <t>Angst: Schmutz</t>
  </si>
  <si>
    <t>EXKLUSIV_ANGST=angst_schmutz | ANGST_INTERVALL=SITUATION | ANGST_DIREKTE_KONFRONTATION=1 | ANGST_BE=0</t>
  </si>
  <si>
    <t>Der Charakter reagiert auf Schmutz mit Unbehagen. Bei direkter Konfrontation mit Schmutz muss er einmal pro Situation eine um 5 erschwerte Mut-Probe bestehen, um handlungsfähig zu bleiben. Um sich Schmutz freiwillig zu nähern, die Angstquelle zu berühren oder bewusst mit ihr zu interagieren, muss er einmalig eine um 5 erschwerte Willenskraft-Probe bestehen.</t>
  </si>
  <si>
    <t>vn_angst_schmutz_10</t>
  </si>
  <si>
    <t>Nervosität: Schmutz</t>
  </si>
  <si>
    <t>Auswahlgruppe angst_schmutz; maximal 1 Stufe; Angstwert 10; direkte Konfrontation: bei jeder erneuten direkten Konfrontation; bloße Gegenwart: BE -1.</t>
  </si>
  <si>
    <t>EXKLUSIV_ANGST=angst_schmutz | ANGST_INTERVALL=NEUE_KONFRONTATION | ANGST_DIREKTE_KONFRONTATION=1 | ANGST_BE=-1</t>
  </si>
  <si>
    <t>Der Charakter reagiert auf Schmutz mit Nervosität. Bei direkter Konfrontation mit Schmutz muss er bei jeder erneuten direkten Konfrontation eine um 10 erschwerte Mut-Probe bestehen, um handlungsfähig zu bleiben. Um sich Schmutz freiwillig zu nähern, die Angstquelle zu berühren oder bewusst mit ihr zu interagieren, muss er einmalig eine um 10 erschwerte Willenskraft-Probe bestehen. Ist Schmutz zwar gegenwärtig, aber weder direkter Gegner noch Gegenstand, Wesen oder sonstiges Ziel, mit dem sich der Charakter aktuell befasst, sind keine Angst-Proben erforderlich; der Charakter erhält BE -1.</t>
  </si>
  <si>
    <t>vn_angst_schmutz_15</t>
  </si>
  <si>
    <t>Furcht: Schmutz</t>
  </si>
  <si>
    <t>Auswahlgruppe angst_schmutz; maximal 1 Stufe; Angstwert 15; direkte Konfrontation: sofort, danach alle 10 KR; bloße Gegenwart: BE -2.</t>
  </si>
  <si>
    <t>EXKLUSIV_ANGST=angst_schmutz | ANGST_INTERVALL=10_KR | ANGST_DIREKTE_KONFRONTATION=1 | ANGST_BE=-2</t>
  </si>
  <si>
    <t>Der Charakter reagiert auf Schmutz mit Furcht. Bei direkter Konfrontation mit Schmutz muss er sofort, danach alle 10 KR eine um 15 erschwerte Mut-Probe bestehen, um handlungsfähig zu bleiben. Um sich Schmutz freiwillig zu nähern, die Angstquelle zu berühren oder bewusst mit ihr zu interagieren, muss er einmalig eine um 15 erschwerte Willenskraft-Probe bestehen. Ist Schmutz zwar gegenwärtig, aber weder direkter Gegner noch Gegenstand, Wesen oder sonstiges Ziel, mit dem sich der Charakter aktuell befasst, sind keine Angst-Proben erforderlich; der Charakter erhält BE -2.</t>
  </si>
  <si>
    <t>vn_angst_schmutz_20</t>
  </si>
  <si>
    <t>Auswahlgruppe angst_schmutz; maximal 1 Stufe; Angstwert 20; direkte Konfrontation: sofort, danach alle 5 KR; bloße Gegenwart: BE -3.</t>
  </si>
  <si>
    <t>EXKLUSIV_ANGST=angst_schmutz | ANGST_INTERVALL=5_KR | ANGST_DIREKTE_KONFRONTATION=1 | ANGST_BE=-3</t>
  </si>
  <si>
    <t>Der Charakter reagiert auf Schmutz mit Angst. Bei direkter Konfrontation mit Schmutz muss er sofort, danach alle 5 KR eine um 20 erschwerte Mut-Probe bestehen, um handlungsfähig zu bleiben. Um sich Schmutz freiwillig zu nähern, die Angstquelle zu berühren oder bewusst mit ihr zu interagieren, muss er einmalig eine um 20 erschwerte Willenskraft-Probe bestehen. Ist Schmutz zwar gegenwärtig, aber weder direkter Gegner noch Gegenstand, Wesen oder sonstiges Ziel, mit dem sich der Charakter aktuell befasst, sind keine Angst-Proben erforderlich; der Charakter erhält BE -3.</t>
  </si>
  <si>
    <t>vn_angst_schmutz_30</t>
  </si>
  <si>
    <t>Phobie: Schmutz</t>
  </si>
  <si>
    <t>Auswahlgruppe angst_schmutz; maximal 1 Stufe; Angstwert 30; direkte Konfrontation: sofort, danach jede KR; bloße Gegenwart: BE -5.</t>
  </si>
  <si>
    <t>EXKLUSIV_ANGST=angst_schmutz | ANGST_INTERVALL=1_KR | ANGST_DIREKTE_KONFRONTATION=1 | ANGST_BE=-5</t>
  </si>
  <si>
    <t>Der Charakter leidet unter einer Phobie gegenüber Schmutz. Bei direkter Konfrontation mit Schmutz muss er sofort, danach jede KR eine um 30 erschwerte Mut-Probe bestehen, um handlungsfähig zu bleiben. Um sich Schmutz freiwillig zu nähern, die Angstquelle zu berühren oder bewusst mit ihr zu interagieren, muss er einmalig eine um 30 erschwerte Willenskraft-Probe bestehen. Ist Schmutz zwar gegenwärtig, aber weder direkter Gegner noch Gegenstand, Wesen oder sonstiges Ziel, mit dem sich der Charakter aktuell befasst, sind keine Angst-Proben erforderlich; der Charakter erhält BE -5.</t>
  </si>
  <si>
    <t>vn_angst_tiere_5</t>
  </si>
  <si>
    <t>Unbehagen: Tiere</t>
  </si>
  <si>
    <t>Auswahlgruppe angst_tiere; maximal 1 Stufe; Angstwert 5; direkte Konfrontation: einmal pro Situation; bloße Gegenwart: BE 0.</t>
  </si>
  <si>
    <t>Angst: Tiere</t>
  </si>
  <si>
    <t>EXKLUSIV_ANGST=angst_tiere | ANGST_INTERVALL=SITUATION | ANGST_DIREKTE_KONFRONTATION=1 | ANGST_BE=0</t>
  </si>
  <si>
    <t>Der Charakter reagiert auf Tiere mit Unbehagen. Bei direkter Konfrontation mit Tiere muss er einmal pro Situation eine um 5 erschwerte Mut-Probe bestehen, um handlungsfähig zu bleiben. Um sich Tiere freiwillig zu nähern, die Angstquelle zu berühren oder bewusst mit ihr zu interagieren, muss er einmalig eine um 5 erschwerte Willenskraft-Probe bestehen.</t>
  </si>
  <si>
    <t>vn_angst_tiere_10</t>
  </si>
  <si>
    <t>Nervosität: Tiere</t>
  </si>
  <si>
    <t>Auswahlgruppe angst_tiere; maximal 1 Stufe; Angstwert 10; direkte Konfrontation: bei jeder erneuten direkten Konfrontation; bloße Gegenwart: BE -1.</t>
  </si>
  <si>
    <t>EXKLUSIV_ANGST=angst_tiere | ANGST_INTERVALL=NEUE_KONFRONTATION | ANGST_DIREKTE_KONFRONTATION=1 | ANGST_BE=-1</t>
  </si>
  <si>
    <t>Der Charakter reagiert auf Tiere mit Nervosität. Bei direkter Konfrontation mit Tiere muss er bei jeder erneuten direkten Konfrontation eine um 10 erschwerte Mut-Probe bestehen, um handlungsfähig zu bleiben. Um sich Tiere freiwillig zu nähern, die Angstquelle zu berühren oder bewusst mit ihr zu interagieren, muss er einmalig eine um 10 erschwerte Willenskraft-Probe bestehen. Ist Tiere zwar gegenwärtig, aber weder direkter Gegner noch Gegenstand, Wesen oder sonstiges Ziel, mit dem sich der Charakter aktuell befasst, sind keine Angst-Proben erforderlich; der Charakter erhält BE -1.</t>
  </si>
  <si>
    <t>vn_angst_tiere_15</t>
  </si>
  <si>
    <t>Furcht: Tiere</t>
  </si>
  <si>
    <t>Auswahlgruppe angst_tiere; maximal 1 Stufe; Angstwert 15; direkte Konfrontation: sofort, danach alle 10 KR; bloße Gegenwart: BE -2.</t>
  </si>
  <si>
    <t>EXKLUSIV_ANGST=angst_tiere | ANGST_INTERVALL=10_KR | ANGST_DIREKTE_KONFRONTATION=1 | ANGST_BE=-2</t>
  </si>
  <si>
    <t>Der Charakter reagiert auf Tiere mit Furcht. Bei direkter Konfrontation mit Tiere muss er sofort, danach alle 10 KR eine um 15 erschwerte Mut-Probe bestehen, um handlungsfähig zu bleiben. Um sich Tiere freiwillig zu nähern, die Angstquelle zu berühren oder bewusst mit ihr zu interagieren, muss er einmalig eine um 15 erschwerte Willenskraft-Probe bestehen. Ist Tiere zwar gegenwärtig, aber weder direkter Gegner noch Gegenstand, Wesen oder sonstiges Ziel, mit dem sich der Charakter aktuell befasst, sind keine Angst-Proben erforderlich; der Charakter erhält BE -2.</t>
  </si>
  <si>
    <t>vn_angst_tiere_20</t>
  </si>
  <si>
    <t>Auswahlgruppe angst_tiere; maximal 1 Stufe; Angstwert 20; direkte Konfrontation: sofort, danach alle 5 KR; bloße Gegenwart: BE -3.</t>
  </si>
  <si>
    <t>EXKLUSIV_ANGST=angst_tiere | ANGST_INTERVALL=5_KR | ANGST_DIREKTE_KONFRONTATION=1 | ANGST_BE=-3</t>
  </si>
  <si>
    <t>Der Charakter reagiert auf Tiere mit Angst. Bei direkter Konfrontation mit Tiere muss er sofort, danach alle 5 KR eine um 20 erschwerte Mut-Probe bestehen, um handlungsfähig zu bleiben. Um sich Tiere freiwillig zu nähern, die Angstquelle zu berühren oder bewusst mit ihr zu interagieren, muss er einmalig eine um 20 erschwerte Willenskraft-Probe bestehen. Ist Tiere zwar gegenwärtig, aber weder direkter Gegner noch Gegenstand, Wesen oder sonstiges Ziel, mit dem sich der Charakter aktuell befasst, sind keine Angst-Proben erforderlich; der Charakter erhält BE -3.</t>
  </si>
  <si>
    <t>vn_angst_tiere_30</t>
  </si>
  <si>
    <t>Phobie: Tiere</t>
  </si>
  <si>
    <t>Auswahlgruppe angst_tiere; maximal 1 Stufe; Angstwert 30; direkte Konfrontation: sofort, danach jede KR; bloße Gegenwart: BE -5.</t>
  </si>
  <si>
    <t>EXKLUSIV_ANGST=angst_tiere | ANGST_INTERVALL=1_KR | ANGST_DIREKTE_KONFRONTATION=1 | ANGST_BE=-5</t>
  </si>
  <si>
    <t>Der Charakter leidet unter einer Phobie gegenüber Tiere. Bei direkter Konfrontation mit Tiere muss er sofort, danach jede KR eine um 30 erschwerte Mut-Probe bestehen, um handlungsfähig zu bleiben. Um sich Tiere freiwillig zu nähern, die Angstquelle zu berühren oder bewusst mit ihr zu interagieren, muss er einmalig eine um 30 erschwerte Willenskraft-Probe bestehen. Ist Tiere zwar gegenwärtig, aber weder direkter Gegner noch Gegenstand, Wesen oder sonstiges Ziel, mit dem sich der Charakter aktuell befasst, sind keine Angst-Proben erforderlich; der Charakter erhält BE -5.</t>
  </si>
  <si>
    <t>vn_angst_untote_5</t>
  </si>
  <si>
    <t>Unbehagen: Untote</t>
  </si>
  <si>
    <t>Auswahlgruppe angst_untote; maximal 1 Stufe; Angstwert 5; direkte Konfrontation: einmal pro Situation; bloße Gegenwart: BE 0.</t>
  </si>
  <si>
    <t>Angst: Untote</t>
  </si>
  <si>
    <t>EXKLUSIV_ANGST=angst_untote | ANGST_INTERVALL=SITUATION | ANGST_DIREKTE_KONFRONTATION=1 | ANGST_BE=0</t>
  </si>
  <si>
    <t>Der Charakter reagiert auf Untote mit Unbehagen. Bei direkter Konfrontation mit Untote muss er einmal pro Situation eine um 5 erschwerte Mut-Probe bestehen, um handlungsfähig zu bleiben. Um sich Untote freiwillig zu nähern, die Angstquelle zu berühren oder bewusst mit ihr zu interagieren, muss er einmalig eine um 5 erschwerte Willenskraft-Probe bestehen.</t>
  </si>
  <si>
    <t>vn_angst_untote_10</t>
  </si>
  <si>
    <t>Nervosität: Untote</t>
  </si>
  <si>
    <t>Auswahlgruppe angst_untote; maximal 1 Stufe; Angstwert 10; direkte Konfrontation: bei jeder erneuten direkten Konfrontation; bloße Gegenwart: BE -1.</t>
  </si>
  <si>
    <t>EXKLUSIV_ANGST=angst_untote | ANGST_INTERVALL=NEUE_KONFRONTATION | ANGST_DIREKTE_KONFRONTATION=1 | ANGST_BE=-1</t>
  </si>
  <si>
    <t>Der Charakter reagiert auf Untote mit Nervosität. Bei direkter Konfrontation mit Untote muss er bei jeder erneuten direkten Konfrontation eine um 10 erschwerte Mut-Probe bestehen, um handlungsfähig zu bleiben. Um sich Untote freiwillig zu nähern, die Angstquelle zu berühren oder bewusst mit ihr zu interagieren, muss er einmalig eine um 10 erschwerte Willenskraft-Probe bestehen. Ist Untote zwar gegenwärtig, aber weder direkter Gegner noch Gegenstand, Wesen oder sonstiges Ziel, mit dem sich der Charakter aktuell befasst, sind keine Angst-Proben erforderlich; der Charakter erhält BE -1.</t>
  </si>
  <si>
    <t>vn_angst_untote_15</t>
  </si>
  <si>
    <t>Furcht: Untote</t>
  </si>
  <si>
    <t>Auswahlgruppe angst_untote; maximal 1 Stufe; Angstwert 15; direkte Konfrontation: sofort, danach alle 10 KR; bloße Gegenwart: BE -2.</t>
  </si>
  <si>
    <t>EXKLUSIV_ANGST=angst_untote | ANGST_INTERVALL=10_KR | ANGST_DIREKTE_KONFRONTATION=1 | ANGST_BE=-2</t>
  </si>
  <si>
    <t>Der Charakter reagiert auf Untote mit Furcht. Bei direkter Konfrontation mit Untote muss er sofort, danach alle 10 KR eine um 15 erschwerte Mut-Probe bestehen, um handlungsfähig zu bleiben. Um sich Untote freiwillig zu nähern, die Angstquelle zu berühren oder bewusst mit ihr zu interagieren, muss er einmalig eine um 15 erschwerte Willenskraft-Probe bestehen. Ist Untote zwar gegenwärtig, aber weder direkter Gegner noch Gegenstand, Wesen oder sonstiges Ziel, mit dem sich der Charakter aktuell befasst, sind keine Angst-Proben erforderlich; der Charakter erhält BE -2.</t>
  </si>
  <si>
    <t>vn_angst_untote_20</t>
  </si>
  <si>
    <t>Auswahlgruppe angst_untote; maximal 1 Stufe; Angstwert 20; direkte Konfrontation: sofort, danach alle 5 KR; bloße Gegenwart: BE -3.</t>
  </si>
  <si>
    <t>EXKLUSIV_ANGST=angst_untote | ANGST_INTERVALL=5_KR | ANGST_DIREKTE_KONFRONTATION=1 | ANGST_BE=-3</t>
  </si>
  <si>
    <t>Der Charakter reagiert auf Untote mit Angst. Bei direkter Konfrontation mit Untote muss er sofort, danach alle 5 KR eine um 20 erschwerte Mut-Probe bestehen, um handlungsfähig zu bleiben. Um sich Untote freiwillig zu nähern, die Angstquelle zu berühren oder bewusst mit ihr zu interagieren, muss er einmalig eine um 20 erschwerte Willenskraft-Probe bestehen. Ist Untote zwar gegenwärtig, aber weder direkter Gegner noch Gegenstand, Wesen oder sonstiges Ziel, mit dem sich der Charakter aktuell befasst, sind keine Angst-Proben erforderlich; der Charakter erhält BE -3.</t>
  </si>
  <si>
    <t>vn_angst_untote_30</t>
  </si>
  <si>
    <t>Phobie: Untote</t>
  </si>
  <si>
    <t>Auswahlgruppe angst_untote; maximal 1 Stufe; Angstwert 30; direkte Konfrontation: sofort, danach jede KR; bloße Gegenwart: BE -5.</t>
  </si>
  <si>
    <t>EXKLUSIV_ANGST=angst_untote | ANGST_INTERVALL=1_KR | ANGST_DIREKTE_KONFRONTATION=1 | ANGST_BE=-5</t>
  </si>
  <si>
    <t>Der Charakter leidet unter einer Phobie gegenüber Untote. Bei direkter Konfrontation mit Untote muss er sofort, danach jede KR eine um 30 erschwerte Mut-Probe bestehen, um handlungsfähig zu bleiben. Um sich Untote freiwillig zu nähern, die Angstquelle zu berühren oder bewusst mit ihr zu interagieren, muss er einmalig eine um 30 erschwerte Willenskraft-Probe bestehen. Ist Untote zwar gegenwärtig, aber weder direkter Gegner noch Gegenstand, Wesen oder sonstiges Ziel, mit dem sich der Charakter aktuell befasst, sind keine Angst-Proben erforderlich; der Charakter erhält BE -5.</t>
  </si>
  <si>
    <t>vn_angst_voegel_5</t>
  </si>
  <si>
    <t>Unbehagen: Vögel</t>
  </si>
  <si>
    <t>Auswahlgruppe angst_voegel; maximal 1 Stufe; Angstwert 5; direkte Konfrontation: einmal pro Situation; bloße Gegenwart: BE 0.</t>
  </si>
  <si>
    <t>Angst: Vögel</t>
  </si>
  <si>
    <t>EXKLUSIV_ANGST=angst_voegel | ANGST_INTERVALL=SITUATION | ANGST_DIREKTE_KONFRONTATION=1 | ANGST_BE=0</t>
  </si>
  <si>
    <t>Der Charakter reagiert auf Vögel mit Unbehagen. Bei direkter Konfrontation mit Vögel muss er einmal pro Situation eine um 5 erschwerte Mut-Probe bestehen, um handlungsfähig zu bleiben. Um sich Vögel freiwillig zu nähern, die Angstquelle zu berühren oder bewusst mit ihr zu interagieren, muss er einmalig eine um 5 erschwerte Willenskraft-Probe bestehen.</t>
  </si>
  <si>
    <t>vn_angst_voegel_10</t>
  </si>
  <si>
    <t>Nervosität: Vögel</t>
  </si>
  <si>
    <t>Auswahlgruppe angst_voegel; maximal 1 Stufe; Angstwert 10; direkte Konfrontation: bei jeder erneuten direkten Konfrontation; bloße Gegenwart: BE -1.</t>
  </si>
  <si>
    <t>EXKLUSIV_ANGST=angst_voegel | ANGST_INTERVALL=NEUE_KONFRONTATION | ANGST_DIREKTE_KONFRONTATION=1 | ANGST_BE=-1</t>
  </si>
  <si>
    <t>Der Charakter reagiert auf Vögel mit Nervosität. Bei direkter Konfrontation mit Vögel muss er bei jeder erneuten direkten Konfrontation eine um 10 erschwerte Mut-Probe bestehen, um handlungsfähig zu bleiben. Um sich Vögel freiwillig zu nähern, die Angstquelle zu berühren oder bewusst mit ihr zu interagieren, muss er einmalig eine um 10 erschwerte Willenskraft-Probe bestehen. Ist Vögel zwar gegenwärtig, aber weder direkter Gegner noch Gegenstand, Wesen oder sonstiges Ziel, mit dem sich der Charakter aktuell befasst, sind keine Angst-Proben erforderlich; der Charakter erhält BE -1.</t>
  </si>
  <si>
    <t>vn_angst_voegel_15</t>
  </si>
  <si>
    <t>Furcht: Vögel</t>
  </si>
  <si>
    <t>Auswahlgruppe angst_voegel; maximal 1 Stufe; Angstwert 15; direkte Konfrontation: sofort, danach alle 10 KR; bloße Gegenwart: BE -2.</t>
  </si>
  <si>
    <t>EXKLUSIV_ANGST=angst_voegel | ANGST_INTERVALL=10_KR | ANGST_DIREKTE_KONFRONTATION=1 | ANGST_BE=-2</t>
  </si>
  <si>
    <t>Der Charakter reagiert auf Vögel mit Furcht. Bei direkter Konfrontation mit Vögel muss er sofort, danach alle 10 KR eine um 15 erschwerte Mut-Probe bestehen, um handlungsfähig zu bleiben. Um sich Vögel freiwillig zu nähern, die Angstquelle zu berühren oder bewusst mit ihr zu interagieren, muss er einmalig eine um 15 erschwerte Willenskraft-Probe bestehen. Ist Vögel zwar gegenwärtig, aber weder direkter Gegner noch Gegenstand, Wesen oder sonstiges Ziel, mit dem sich der Charakter aktuell befasst, sind keine Angst-Proben erforderlich; der Charakter erhält BE -2.</t>
  </si>
  <si>
    <t>vn_angst_voegel_20</t>
  </si>
  <si>
    <t>Auswahlgruppe angst_voegel; maximal 1 Stufe; Angstwert 20; direkte Konfrontation: sofort, danach alle 5 KR; bloße Gegenwart: BE -3.</t>
  </si>
  <si>
    <t>EXKLUSIV_ANGST=angst_voegel | ANGST_INTERVALL=5_KR | ANGST_DIREKTE_KONFRONTATION=1 | ANGST_BE=-3</t>
  </si>
  <si>
    <t>Der Charakter reagiert auf Vögel mit Angst. Bei direkter Konfrontation mit Vögel muss er sofort, danach alle 5 KR eine um 20 erschwerte Mut-Probe bestehen, um handlungsfähig zu bleiben. Um sich Vögel freiwillig zu nähern, die Angstquelle zu berühren oder bewusst mit ihr zu interagieren, muss er einmalig eine um 20 erschwerte Willenskraft-Probe bestehen. Ist Vögel zwar gegenwärtig, aber weder direkter Gegner noch Gegenstand, Wesen oder sonstiges Ziel, mit dem sich der Charakter aktuell befasst, sind keine Angst-Proben erforderlich; der Charakter erhält BE -3.</t>
  </si>
  <si>
    <t>vn_angst_voegel_30</t>
  </si>
  <si>
    <t>Phobie: Vögel</t>
  </si>
  <si>
    <t>Auswahlgruppe angst_voegel; maximal 1 Stufe; Angstwert 30; direkte Konfrontation: sofort, danach jede KR; bloße Gegenwart: BE -5.</t>
  </si>
  <si>
    <t>EXKLUSIV_ANGST=angst_voegel | ANGST_INTERVALL=1_KR | ANGST_DIREKTE_KONFRONTATION=1 | ANGST_BE=-5</t>
  </si>
  <si>
    <t>Der Charakter leidet unter einer Phobie gegenüber Vögel. Bei direkter Konfrontation mit Vögel muss er sofort, danach jede KR eine um 30 erschwerte Mut-Probe bestehen, um handlungsfähig zu bleiben. Um sich Vögel freiwillig zu nähern, die Angstquelle zu berühren oder bewusst mit ihr zu interagieren, muss er einmalig eine um 30 erschwerte Willenskraft-Probe bestehen. Ist Vögel zwar gegenwärtig, aber weder direkter Gegner noch Gegenstand, Wesen oder sonstiges Ziel, mit dem sich der Charakter aktuell befasst, sind keine Angst-Proben erforderlich; der Charakter erhält BE -5.</t>
  </si>
  <si>
    <t>vn_angst_wasser_5</t>
  </si>
  <si>
    <t>Unbehagen: Wasser</t>
  </si>
  <si>
    <t>Auswahlgruppe angst_wasser; maximal 1 Stufe; Angstwert 5; direkte Konfrontation: einmal pro Situation; bloße Gegenwart: BE 0.</t>
  </si>
  <si>
    <t>Angst: Wasser</t>
  </si>
  <si>
    <t>EXKLUSIV_ANGST=angst_wasser | ANGST_INTERVALL=SITUATION | ANGST_DIREKTE_KONFRONTATION=1 | ANGST_BE=0</t>
  </si>
  <si>
    <t>Der Charakter reagiert auf Wasser mit Unbehagen. Bei direkter Konfrontation mit Wasser muss er einmal pro Situation eine um 5 erschwerte Mut-Probe bestehen, um handlungsfähig zu bleiben. Um sich Wasser freiwillig zu nähern, die Angstquelle zu berühren oder bewusst mit ihr zu interagieren, muss er einmalig eine um 5 erschwerte Willenskraft-Probe bestehen.</t>
  </si>
  <si>
    <t>vn_angst_wasser_10</t>
  </si>
  <si>
    <t>Nervosität: Wasser</t>
  </si>
  <si>
    <t>Auswahlgruppe angst_wasser; maximal 1 Stufe; Angstwert 10; direkte Konfrontation: bei jeder erneuten direkten Konfrontation; bloße Gegenwart: BE -1.</t>
  </si>
  <si>
    <t>EXKLUSIV_ANGST=angst_wasser | ANGST_INTERVALL=NEUE_KONFRONTATION | ANGST_DIREKTE_KONFRONTATION=1 | ANGST_BE=-1</t>
  </si>
  <si>
    <t>Der Charakter reagiert auf Wasser mit Nervosität. Bei direkter Konfrontation mit Wasser muss er bei jeder erneuten direkten Konfrontation eine um 10 erschwerte Mut-Probe bestehen, um handlungsfähig zu bleiben. Um sich Wasser freiwillig zu nähern, die Angstquelle zu berühren oder bewusst mit ihr zu interagieren, muss er einmalig eine um 10 erschwerte Willenskraft-Probe bestehen. Ist Wasser zwar gegenwärtig, aber weder direkter Gegner noch Gegenstand, Wesen oder sonstiges Ziel, mit dem sich der Charakter aktuell befasst, sind keine Angst-Proben erforderlich; der Charakter erhält BE -1.</t>
  </si>
  <si>
    <t>vn_angst_wasser_15</t>
  </si>
  <si>
    <t>Furcht: Wasser</t>
  </si>
  <si>
    <t>Auswahlgruppe angst_wasser; maximal 1 Stufe; Angstwert 15; direkte Konfrontation: sofort, danach alle 10 KR; bloße Gegenwart: BE -2.</t>
  </si>
  <si>
    <t>EXKLUSIV_ANGST=angst_wasser | ANGST_INTERVALL=10_KR | ANGST_DIREKTE_KONFRONTATION=1 | ANGST_BE=-2</t>
  </si>
  <si>
    <t>Der Charakter reagiert auf Wasser mit Furcht. Bei direkter Konfrontation mit Wasser muss er sofort, danach alle 10 KR eine um 15 erschwerte Mut-Probe bestehen, um handlungsfähig zu bleiben. Um sich Wasser freiwillig zu nähern, die Angstquelle zu berühren oder bewusst mit ihr zu interagieren, muss er einmalig eine um 15 erschwerte Willenskraft-Probe bestehen. Ist Wasser zwar gegenwärtig, aber weder direkter Gegner noch Gegenstand, Wesen oder sonstiges Ziel, mit dem sich der Charakter aktuell befasst, sind keine Angst-Proben erforderlich; der Charakter erhält BE -2.</t>
  </si>
  <si>
    <t>vn_angst_wasser_20</t>
  </si>
  <si>
    <t>Auswahlgruppe angst_wasser; maximal 1 Stufe; Angstwert 20; direkte Konfrontation: sofort, danach alle 5 KR; bloße Gegenwart: BE -3.</t>
  </si>
  <si>
    <t>EXKLUSIV_ANGST=angst_wasser | ANGST_INTERVALL=5_KR | ANGST_DIREKTE_KONFRONTATION=1 | ANGST_BE=-3</t>
  </si>
  <si>
    <t>Der Charakter reagiert auf Wasser mit Angst. Bei direkter Konfrontation mit Wasser muss er sofort, danach alle 5 KR eine um 20 erschwerte Mut-Probe bestehen, um handlungsfähig zu bleiben. Um sich Wasser freiwillig zu nähern, die Angstquelle zu berühren oder bewusst mit ihr zu interagieren, muss er einmalig eine um 20 erschwerte Willenskraft-Probe bestehen. Ist Wasser zwar gegenwärtig, aber weder direkter Gegner noch Gegenstand, Wesen oder sonstiges Ziel, mit dem sich der Charakter aktuell befasst, sind keine Angst-Proben erforderlich; der Charakter erhält BE -3.</t>
  </si>
  <si>
    <t>vn_angst_wasser_30</t>
  </si>
  <si>
    <t>Phobie: Wasser</t>
  </si>
  <si>
    <t>Auswahlgruppe angst_wasser; maximal 1 Stufe; Angstwert 30; direkte Konfrontation: sofort, danach jede KR; bloße Gegenwart: BE -5.</t>
  </si>
  <si>
    <t>EXKLUSIV_ANGST=angst_wasser | ANGST_INTERVALL=1_KR | ANGST_DIREKTE_KONFRONTATION=1 | ANGST_BE=-5</t>
  </si>
  <si>
    <t>Der Charakter leidet unter einer Phobie gegenüber Wasser. Bei direkter Konfrontation mit Wasser muss er sofort, danach jede KR eine um 30 erschwerte Mut-Probe bestehen, um handlungsfähig zu bleiben. Um sich Wasser freiwillig zu nähern, die Angstquelle zu berühren oder bewusst mit ihr zu interagieren, muss er einmalig eine um 30 erschwerte Willenskraft-Probe bestehen. Ist Wasser zwar gegenwärtig, aber weder direkter Gegner noch Gegenstand, Wesen oder sonstiges Ziel, mit dem sich der Charakter aktuell befasst, sind keine Angst-Proben erforderlich; der Charakter erhält BE -5.</t>
  </si>
  <si>
    <t>vn_angst_wilde_tiere_5</t>
  </si>
  <si>
    <t>Unbehagen: Wilde Tiere</t>
  </si>
  <si>
    <t>Auswahlgruppe angst_wilde_tiere; maximal 1 Stufe; Angstwert 5; direkte Konfrontation: einmal pro Situation; bloße Gegenwart: BE 0.</t>
  </si>
  <si>
    <t>Angst: Wilde Tiere</t>
  </si>
  <si>
    <t>EXKLUSIV_ANGST=angst_wilde_tiere | ANGST_INTERVALL=SITUATION | ANGST_DIREKTE_KONFRONTATION=1 | ANGST_BE=0</t>
  </si>
  <si>
    <t>Der Charakter reagiert auf Wilde Tiere mit Unbehagen. Bei direkter Konfrontation mit Wilde Tiere muss er einmal pro Situation eine um 5 erschwerte Mut-Probe bestehen, um handlungsfähig zu bleiben. Um sich Wilde Tiere freiwillig zu nähern, die Angstquelle zu berühren oder bewusst mit ihr zu interagieren, muss er einmalig eine um 5 erschwerte Willenskraft-Probe bestehen.</t>
  </si>
  <si>
    <t>vn_angst_wilde_tiere_10</t>
  </si>
  <si>
    <t>Nervosität: Wilde Tiere</t>
  </si>
  <si>
    <t>Auswahlgruppe angst_wilde_tiere; maximal 1 Stufe; Angstwert 10; direkte Konfrontation: bei jeder erneuten direkten Konfrontation; bloße Gegenwart: BE -1.</t>
  </si>
  <si>
    <t>EXKLUSIV_ANGST=angst_wilde_tiere | ANGST_INTERVALL=NEUE_KONFRONTATION | ANGST_DIREKTE_KONFRONTATION=1 | ANGST_BE=-1</t>
  </si>
  <si>
    <t>Der Charakter reagiert auf Wilde Tiere mit Nervosität. Bei direkter Konfrontation mit Wilde Tiere muss er bei jeder erneuten direkten Konfrontation eine um 10 erschwerte Mut-Probe bestehen, um handlungsfähig zu bleiben. Um sich Wilde Tiere freiwillig zu nähern, die Angstquelle zu berühren oder bewusst mit ihr zu interagieren, muss er einmalig eine um 10 erschwerte Willenskraft-Probe bestehen. Ist Wilde Tiere zwar gegenwärtig, aber weder direkter Gegner noch Gegenstand, Wesen oder sonstiges Ziel, mit dem sich der Charakter aktuell befasst, sind keine Angst-Proben erforderlich; der Charakter erhält BE -1.</t>
  </si>
  <si>
    <t>vn_angst_wilde_tiere_15</t>
  </si>
  <si>
    <t>Furcht: Wilde Tiere</t>
  </si>
  <si>
    <t>Auswahlgruppe angst_wilde_tiere; maximal 1 Stufe; Angstwert 15; direkte Konfrontation: sofort, danach alle 10 KR; bloße Gegenwart: BE -2.</t>
  </si>
  <si>
    <t>EXKLUSIV_ANGST=angst_wilde_tiere | ANGST_INTERVALL=10_KR | ANGST_DIREKTE_KONFRONTATION=1 | ANGST_BE=-2</t>
  </si>
  <si>
    <t>Der Charakter reagiert auf Wilde Tiere mit Furcht. Bei direkter Konfrontation mit Wilde Tiere muss er sofort, danach alle 10 KR eine um 15 erschwerte Mut-Probe bestehen, um handlungsfähig zu bleiben. Um sich Wilde Tiere freiwillig zu nähern, die Angstquelle zu berühren oder bewusst mit ihr zu interagieren, muss er einmalig eine um 15 erschwerte Willenskraft-Probe bestehen. Ist Wilde Tiere zwar gegenwärtig, aber weder direkter Gegner noch Gegenstand, Wesen oder sonstiges Ziel, mit dem sich der Charakter aktuell befasst, sind keine Angst-Proben erforderlich; der Charakter erhält BE -2.</t>
  </si>
  <si>
    <t>vn_angst_wilde_tiere_20</t>
  </si>
  <si>
    <t>Auswahlgruppe angst_wilde_tiere; maximal 1 Stufe; Angstwert 20; direkte Konfrontation: sofort, danach alle 5 KR; bloße Gegenwart: BE -3.</t>
  </si>
  <si>
    <t>EXKLUSIV_ANGST=angst_wilde_tiere | ANGST_INTERVALL=5_KR | ANGST_DIREKTE_KONFRONTATION=1 | ANGST_BE=-3</t>
  </si>
  <si>
    <t>Der Charakter reagiert auf Wilde Tiere mit Angst. Bei direkter Konfrontation mit Wilde Tiere muss er sofort, danach alle 5 KR eine um 20 erschwerte Mut-Probe bestehen, um handlungsfähig zu bleiben. Um sich Wilde Tiere freiwillig zu nähern, die Angstquelle zu berühren oder bewusst mit ihr zu interagieren, muss er einmalig eine um 20 erschwerte Willenskraft-Probe bestehen. Ist Wilde Tiere zwar gegenwärtig, aber weder direkter Gegner noch Gegenstand, Wesen oder sonstiges Ziel, mit dem sich der Charakter aktuell befasst, sind keine Angst-Proben erforderlich; der Charakter erhält BE -3.</t>
  </si>
  <si>
    <t>vn_angst_wilde_tiere_30</t>
  </si>
  <si>
    <t>Phobie: Wilde Tiere</t>
  </si>
  <si>
    <t>Auswahlgruppe angst_wilde_tiere; maximal 1 Stufe; Angstwert 30; direkte Konfrontation: sofort, danach jede KR; bloße Gegenwart: BE -5.</t>
  </si>
  <si>
    <t>EXKLUSIV_ANGST=angst_wilde_tiere | ANGST_INTERVALL=1_KR | ANGST_DIREKTE_KONFRONTATION=1 | ANGST_BE=-5</t>
  </si>
  <si>
    <t>Der Charakter leidet unter einer Phobie gegenüber Wilde Tiere. Bei direkter Konfrontation mit Wilde Tiere muss er sofort, danach jede KR eine um 30 erschwerte Mut-Probe bestehen, um handlungsfähig zu bleiben. Um sich Wilde Tiere freiwillig zu nähern, die Angstquelle zu berühren oder bewusst mit ihr zu interagieren, muss er einmalig eine um 30 erschwerte Willenskraft-Probe bestehen. Ist Wilde Tiere zwar gegenwärtig, aber weder direkter Gegner noch Gegenstand, Wesen oder sonstiges Ziel, mit dem sich der Charakter aktuell befasst, sind keine Angst-Proben erforderlich; der Charakter erhält BE -5.</t>
  </si>
  <si>
    <t>vn_angst_xenophobie_5</t>
  </si>
  <si>
    <t>Unbehagen: Xenophobie</t>
  </si>
  <si>
    <t>Auswahlgruppe angst_xenophobie; maximal 1 Stufe; Angstwert 5; direkte Konfrontation: einmal pro Situation; bloße Gegenwart: BE 0.</t>
  </si>
  <si>
    <t>Angst: Xenophobie</t>
  </si>
  <si>
    <t>EXKLUSIV_ANGST=angst_xenophobie | ANGST_INTERVALL=SITUATION | ANGST_DIREKTE_KONFRONTATION=1 | ANGST_BE=0</t>
  </si>
  <si>
    <t>Der Charakter reagiert auf Xenophobie mit Unbehagen. Bei direkter Konfrontation mit Xenophobie muss er einmal pro Situation eine um 5 erschwerte Mut-Probe bestehen, um handlungsfähig zu bleiben. Um sich Xenophobie freiwillig zu nähern, die Angstquelle zu berühren oder bewusst mit ihr zu interagieren, muss er einmalig eine um 5 erschwerte Willenskraft-Probe bestehen.</t>
  </si>
  <si>
    <t>vn_angst_xenophobie_10</t>
  </si>
  <si>
    <t>Nervosität: Xenophobie</t>
  </si>
  <si>
    <t>Auswahlgruppe angst_xenophobie; maximal 1 Stufe; Angstwert 10; direkte Konfrontation: bei jeder erneuten direkten Konfrontation; bloße Gegenwart: BE -1.</t>
  </si>
  <si>
    <t>EXKLUSIV_ANGST=angst_xenophobie | ANGST_INTERVALL=NEUE_KONFRONTATION | ANGST_DIREKTE_KONFRONTATION=1 | ANGST_BE=-1</t>
  </si>
  <si>
    <t>Der Charakter reagiert auf Xenophobie mit Nervosität. Bei direkter Konfrontation mit Xenophobie muss er bei jeder erneuten direkten Konfrontation eine um 10 erschwerte Mut-Probe bestehen, um handlungsfähig zu bleiben. Um sich Xenophobie freiwillig zu nähern, die Angstquelle zu berühren oder bewusst mit ihr zu interagieren, muss er einmalig eine um 10 erschwerte Willenskraft-Probe bestehen. Ist Xenophobie zwar gegenwärtig, aber weder direkter Gegner noch Gegenstand, Wesen oder sonstiges Ziel, mit dem sich der Charakter aktuell befasst, sind keine Angst-Proben erforderlich; der Charakter erhält BE -1.</t>
  </si>
  <si>
    <t>vn_angst_xenophobie_15</t>
  </si>
  <si>
    <t>Furcht: Xenophobie</t>
  </si>
  <si>
    <t>Auswahlgruppe angst_xenophobie; maximal 1 Stufe; Angstwert 15; direkte Konfrontation: sofort, danach alle 10 KR; bloße Gegenwart: BE -2.</t>
  </si>
  <si>
    <t>EXKLUSIV_ANGST=angst_xenophobie | ANGST_INTERVALL=10_KR | ANGST_DIREKTE_KONFRONTATION=1 | ANGST_BE=-2</t>
  </si>
  <si>
    <t>Der Charakter reagiert auf Xenophobie mit Furcht. Bei direkter Konfrontation mit Xenophobie muss er sofort, danach alle 10 KR eine um 15 erschwerte Mut-Probe bestehen, um handlungsfähig zu bleiben. Um sich Xenophobie freiwillig zu nähern, die Angstquelle zu berühren oder bewusst mit ihr zu interagieren, muss er einmalig eine um 15 erschwerte Willenskraft-Probe bestehen. Ist Xenophobie zwar gegenwärtig, aber weder direkter Gegner noch Gegenstand, Wesen oder sonstiges Ziel, mit dem sich der Charakter aktuell befasst, sind keine Angst-Proben erforderlich; der Charakter erhält BE -2.</t>
  </si>
  <si>
    <t>vn_angst_xenophobie_20</t>
  </si>
  <si>
    <t>Auswahlgruppe angst_xenophobie; maximal 1 Stufe; Angstwert 20; direkte Konfrontation: sofort, danach alle 5 KR; bloße Gegenwart: BE -3.</t>
  </si>
  <si>
    <t>EXKLUSIV_ANGST=angst_xenophobie | ANGST_INTERVALL=5_KR | ANGST_DIREKTE_KONFRONTATION=1 | ANGST_BE=-3</t>
  </si>
  <si>
    <t>Der Charakter reagiert auf Xenophobie mit Angst. Bei direkter Konfrontation mit Xenophobie muss er sofort, danach alle 5 KR eine um 20 erschwerte Mut-Probe bestehen, um handlungsfähig zu bleiben. Um sich Xenophobie freiwillig zu nähern, die Angstquelle zu berühren oder bewusst mit ihr zu interagieren, muss er einmalig eine um 20 erschwerte Willenskraft-Probe bestehen. Ist Xenophobie zwar gegenwärtig, aber weder direkter Gegner noch Gegenstand, Wesen oder sonstiges Ziel, mit dem sich der Charakter aktuell befasst, sind keine Angst-Proben erforderlich; der Charakter erhält BE -3.</t>
  </si>
  <si>
    <t>vn_angst_xenophobie_30</t>
  </si>
  <si>
    <t>Phobie: Xenophobie</t>
  </si>
  <si>
    <t>Auswahlgruppe angst_xenophobie; maximal 1 Stufe; Angstwert 30; direkte Konfrontation: sofort, danach jede KR; bloße Gegenwart: BE -5.</t>
  </si>
  <si>
    <t>EXKLUSIV_ANGST=angst_xenophobie | ANGST_INTERVALL=1_KR | ANGST_DIREKTE_KONFRONTATION=1 | ANGST_BE=-5</t>
  </si>
  <si>
    <t>Der Charakter leidet unter einer Phobie gegenüber Xenophobie. Bei direkter Konfrontation mit Xenophobie muss er sofort, danach jede KR eine um 30 erschwerte Mut-Probe bestehen, um handlungsfähig zu bleiben. Um sich Xenophobie freiwillig zu nähern, die Angstquelle zu berühren oder bewusst mit ihr zu interagieren, muss er einmalig eine um 30 erschwerte Willenskraft-Probe bestehen. Ist Xenophobie zwar gegenwärtig, aber weder direkter Gegner noch Gegenstand, Wesen oder sonstiges Ziel, mit dem sich der Charakter aktuell befasst, sind keine Angst-Proben erforderlich; der Charakter erhält BE -5.</t>
  </si>
  <si>
    <t>vn_astrale_abschottung</t>
  </si>
  <si>
    <t>Astrale Abschottung</t>
  </si>
  <si>
    <t>VORAUSSETZUNG=Magie 0</t>
  </si>
  <si>
    <t>Voraussetzung Magie 0. Elementare Zauber verursachen gegen den Charakter nur die Hälfte ihrer TP. Bipolare PSI- und Spruchzauber müssen gegen ihn eine Stufe höher gewirkt werden: Stufe 1 als Stufe 2, Stufe 2 als Stufe 3 usw.; Zauber der höchsten Stufe können ihn nicht als Ziel haben. Bei sonstiger Magie wird eine dem Charakter zustehende Gegenprobe verdoppelt. Gibt es keine Gegenprobe, wird die Wirkung halbiert. Ausweichen und Glück sind hiervon ausgenommen.</t>
  </si>
  <si>
    <t>vn_aura_verhuellen_i</t>
  </si>
  <si>
    <t>Aura verhüllen I</t>
  </si>
  <si>
    <t>Der Charakter kann seine astrale Signatur jederzeit ohne Probe, Aktion, Konzentration oder Ressourcenkosten verhüllen oder wieder freigeben. Mitgeführte Artefakte werden mit verhüllt. Die Signatur kann verborgen werden, der Charakter bleibt auf astraler Ebene jedoch immer als Lebewesen erkennbar.</t>
  </si>
  <si>
    <t>vn_aura_verhuellen_ii</t>
  </si>
  <si>
    <t>Aura verhüllen II</t>
  </si>
  <si>
    <t>VORAUSSETZUNG=vn_aura_verhuellen_i</t>
  </si>
  <si>
    <t>Voraussetzung Aura verhüllen I. Der Charakter kann seine astrale Signatur jederzeit ohne Probe, Aktion, Konzentration oder Ressourcenkosten verhüllen, vollständig verbergen oder wieder freigeben. Mitgeführte Artefakte werden mit verborgen.</t>
  </si>
  <si>
    <t>vn_aussehen_allerweltsgesicht</t>
  </si>
  <si>
    <t>Aussehen: Allerweltsgesicht</t>
  </si>
  <si>
    <t>VORAUSSETZUNG=AUS&lt;=16</t>
  </si>
  <si>
    <t>Voraussetzung AUS höchstens 16. Eine INT-Probe, um den Charakter akkurat zu beschreiben, ist um 9 erschwert.</t>
  </si>
  <si>
    <t>vn_aussehen_gutes_aussehen</t>
  </si>
  <si>
    <t>Aussehen: Gutes Aussehen</t>
  </si>
  <si>
    <t>VORAUSSETZUNG=AUS&gt;=10</t>
  </si>
  <si>
    <t>Voraussetzung AUS mindestens 10. Alle gesellschaftlichen GF- und WHK-Proben, deren Probe AUS enthält, sind um 3 erleichtert. INT-Proben, um den Charakter akkurat zu beschreiben, sind um 2 erleichtert.</t>
  </si>
  <si>
    <t>vn_aussehen_haesslichkeit</t>
  </si>
  <si>
    <t>Aussehen: Hässlichkeit</t>
  </si>
  <si>
    <t>Alle gesellschaftlichen GF- und WHK-Proben, deren Probe AUS enthält, sind um 3 erschwert. INT-Proben, um den Charakter akkurat zu beschreiben, sind um 2 erleichtert.</t>
  </si>
  <si>
    <t>vn_aussehen_herausragendes_aussehen</t>
  </si>
  <si>
    <t>Aussehen: Herausragendes Aussehen</t>
  </si>
  <si>
    <t>VORAUSSETZUNG=AUS&gt;=15</t>
  </si>
  <si>
    <t>Voraussetzung AUS mindestens 15. Alle gesellschaftlichen GF- und WHK-Proben, deren Probe AUS enthält, sind um 6 erleichtert. INT-Proben, um den Charakter akkurat zu beschreiben, sind um 4 erleichtert.</t>
  </si>
  <si>
    <t>vn_aussehen_widerwaertiges_aussehen</t>
  </si>
  <si>
    <t>Aussehen: Widerwärtiges Aussehen</t>
  </si>
  <si>
    <t>Alle gesellschaftlichen GF- und WHK-Proben, deren Probe AUS enthält, sind um 6 erschwert. INT-Proben, um den Charakter akkurat zu beschreiben, sind um 4 erleichtert.</t>
  </si>
  <si>
    <t>vn_faehigkeit_fliegen</t>
  </si>
  <si>
    <t>Fähigkeit: Fliegen</t>
  </si>
  <si>
    <t>Der Charakter kann mit bis zu 20 m/s fliegen. Erschöpfung, Konzentrationserschwernisse und Fernkampfmodifikatoren richten sich nach der tatsächlichen Fluggeschwindigkeit im Verhältnis zu seinen eigenen Bewegungswerten: bis Gehgeschwindigkeit wie Gehen, bis Laufgeschwindigkeit wie Laufen, darüber wie Sprinten. Die Fernkampfmodifikatoren gelten sowohl für den Charakter als Schützen als auch als Ziel.</t>
  </si>
  <si>
    <t>vn_faehigkeit_meisterliche_WHK</t>
  </si>
  <si>
    <t>Fähigkeit: Meisterliche WHK</t>
  </si>
  <si>
    <t>Offene WHK-Liste: In der App ist ein dynamisches Dropdown über alle vorhandenen WHK erforderlich. Jede gewählte WHK ist eine eigene, separat kaufbare Instanz; dieselbe WHK darf nicht doppelt gewählt werden. Umsetzung durch Claude.</t>
  </si>
  <si>
    <t>Meisterliche WHK</t>
  </si>
  <si>
    <t>APP_DROPDOWN_WHK_OFFENE_LISTE</t>
  </si>
  <si>
    <t>E&amp;3</t>
  </si>
  <si>
    <t>Nicht Magier: Der Charakter kann max. (M) Mana für (M) h in 1 Talentwert (TaW) pro 2 Mana einer ausgewählten spezialisierbaren WHK umwandeln. Dieser Vorteil muss für jede WHK einzeln gekauft werden.</t>
  </si>
  <si>
    <t>vn_faehigkeit_natuerliche_regeneration_i</t>
  </si>
  <si>
    <t>Fähigkeit: Natürliche Regeneration I</t>
  </si>
  <si>
    <t>REGENERATIONSSTUFE=1 | NICHT_KUMULATIV</t>
  </si>
  <si>
    <t>Der Charakter regeneriert 1 LE pro KR. Zuerst wird fehlende Gesundheit regeneriert, danach die Trefferzone mit den aktuell niedrigsten LE. Besitzt der Charakter mehrere Stufen Natürliche Regeneration, gilt ausschließlich die höchste.</t>
  </si>
  <si>
    <t>vn_faehigkeit_natuerliche_regeneration_ii</t>
  </si>
  <si>
    <t>Fähigkeit: Natürliche Regeneration II</t>
  </si>
  <si>
    <t>VORAUSSETZUNG=vn_faehigkeit_natuerliche_regeneration_i | REGENERATIONSSTUFE=2 | NICHT_KUMULATIV</t>
  </si>
  <si>
    <t>Voraussetzung Natürliche Regeneration I. Der Charakter regeneriert 3 LE pro KR. Zuerst wird fehlende Gesundheit regeneriert, danach die Trefferzone mit den aktuell niedrigsten LE. Besitzt der Charakter mehrere Stufen Natürliche Regeneration, gilt ausschließlich die höchste.</t>
  </si>
  <si>
    <t>vn_faehigkeit_natuerliche_regeneration_iii</t>
  </si>
  <si>
    <t>Fähigkeit: Natürliche Regeneration III</t>
  </si>
  <si>
    <t>VORAUSSETZUNG=vn_faehigkeit_natuerliche_regeneration_ii | REGENERATIONSSTUFE=3 | NICHT_KUMULATIV</t>
  </si>
  <si>
    <t>Voraussetzung Natürliche Regeneration II. Der Charakter regeneriert 5 LE pro KR. Zuerst wird fehlende Gesundheit regeneriert, danach die Trefferzone mit den aktuell niedrigsten LE. Besitzt der Charakter mehrere Stufen Natürliche Regeneration, gilt ausschließlich die höchste.</t>
  </si>
  <si>
    <t>vn_faehigkeit_schweben</t>
  </si>
  <si>
    <t>Fähigkeit: Schweben</t>
  </si>
  <si>
    <t>Der Charakter kann sich ohne feste Höhenbegrenzung mit bis zu 1 m/s frei in alle Richtungen bewegen. Erschöpfung, Konzentrationserschwernisse und Fernkampfmodifikatoren entsprechen dem Gehen. Die Fernkampfmodifikatoren gelten sowohl für den Charakter als Schützen als auch als Ziel.</t>
  </si>
  <si>
    <t>vn_faehigkeit_teleportation</t>
  </si>
  <si>
    <t>Fähigkeit: Teleportation</t>
  </si>
  <si>
    <t>Wie der Verzauberungszauber „Warp“ (Grad 5), einmal pro magischem Tag, Reichweite (M) × 5 m.</t>
  </si>
  <si>
    <t>vn_faehigkeit_wasserwandeln</t>
  </si>
  <si>
    <t>Fähigkeit: Wasserwandeln</t>
  </si>
  <si>
    <t>E&amp;1</t>
  </si>
  <si>
    <t>Der Charakter kann sich auf allen flüssigen Oberflächen, auch im Moor, wie auf normalem Boden bewegen. Die Fähigkeit kann nur aktiviert werden, wenn sich der Charakter hauptsächlich oberhalb der Flüssigkeitsoberfläche befindet. Sie kann jederzeit ohne Probe, Aktion, Konzentration oder Ressourcenkosten aktiviert oder deaktiviert werden. Wird der Charakter bewusstlos, endet die Wirkung sofort.</t>
  </si>
  <si>
    <t>vn_fettleibig</t>
  </si>
  <si>
    <t>Fettleibig</t>
  </si>
  <si>
    <t>Reaktiviert 2026-09-12 (DEC-1108/DEC-1106, RC-066): Wirkungstext war seit 2026-08-26 redaktionell offen; jetzt nach RC-066 §4.10/DEC-331 verfasst.</t>
  </si>
  <si>
    <t>Jede Probe auf eine überwiegend körperliche Grundfertigkeit oder WHK wird um 3 erschwert. Dauerhaft, nicht wegtrainierbar.</t>
  </si>
  <si>
    <t>vn_krankheit_leicht_migraene</t>
  </si>
  <si>
    <t>Krankheit: Leichte Migräne</t>
  </si>
  <si>
    <t>EXKLUSIV_MIGRAENE=migraene</t>
  </si>
  <si>
    <t>Nach W8 migränefreien Spieltagen legt der Charakter eine um 5 erschwerte KON-Probe ab. Gelingt sie, bleibt der Tag ohne Migräne, und am Folgetag beginnt eine neue Ruhephase von W8 migränefreien Spieltagen. Misslingt sie, erleidet der Charakter für diesen Tag einen ausgewürfelten W8 als KBE und MBE (Mentale Behinderung). An jedem unmittelbar folgenden Spieltag wird die weiterhin nur um 5 erschwerte KON-Probe erneut abgelegt; die bereits angesammelte Behinderung erschwert diese Konterprobe nicht. Bei jedem weiteren Fehlschlag wird ein neuer W8 gewürfelt und additiv zur bestehenden Behinderung addiert, gedeckelt bei 9. Der erste migränefreie Tag beendet die Anfallsphase sofort, setzt die Behinderung auf 0 zurück und startet am Folgetag eine neue Ruhephase.</t>
  </si>
  <si>
    <t>vn_krankheit_mittel_migraene</t>
  </si>
  <si>
    <t>Krankheit: Mittlere Migräne</t>
  </si>
  <si>
    <t>Nach W8 migränefreien Spieltagen legt der Charakter eine um 10 erschwerte KON-Probe ab. Gelingt sie, bleibt der Tag ohne Migräne, und am Folgetag beginnt eine neue Ruhephase von W8 migränefreien Spieltagen. Misslingt sie, erleidet der Charakter für diesen Tag einen ausgewürfelten W8 als KBE und MBE (Mentale Behinderung). An jedem unmittelbar folgenden Spieltag wird die weiterhin nur um 10 erschwerte KON-Probe erneut abgelegt; die bereits angesammelte Behinderung erschwert diese Konterprobe nicht. Bei jedem weiteren Fehlschlag wird ein neuer W8 gewürfelt und additiv zur bestehenden Behinderung addiert, gedeckelt bei 9. Der erste migränefreie Tag beendet die Anfallsphase sofort, setzt die Behinderung auf 0 zurück und startet am Folgetag eine neue Ruhephase.</t>
  </si>
  <si>
    <t>vn_krankheit_schwer_migraene</t>
  </si>
  <si>
    <t>Krankheit: Schwere Migräne</t>
  </si>
  <si>
    <t>Nach W8 migränefreien Spieltagen legt der Charakter eine um 15 erschwerte KON-Probe ab. Gelingt sie, bleibt der Tag ohne Migräne, und am Folgetag beginnt eine neue Ruhephase von W8 migränefreien Spieltagen. Misslingt sie, erleidet der Charakter für diesen Tag einen ausgewürfelten W8 als KBE und MBE (Mentale Behinderung). An jedem unmittelbar folgenden Spieltag wird die weiterhin nur um 15 erschwerte KON-Probe erneut abgelegt; die bereits angesammelte Behinderung erschwert diese Konterprobe nicht. Bei jedem weiteren Fehlschlag wird ein neuer W8 gewürfelt und additiv zur bestehenden Behinderung addiert, gedeckelt bei 9. Der erste migränefreie Tag beendet die Anfallsphase sofort, setzt die Behinderung auf 0 zurück und startet am Folgetag eine neue Ruhephase.</t>
  </si>
  <si>
    <t>vn_krankheit_sehr_schwer_migraene</t>
  </si>
  <si>
    <t>Krankheit: Sehr schwere Migräne</t>
  </si>
  <si>
    <t>Nach W8 migränefreien Spieltagen legt der Charakter eine um 20 erschwerte KON-Probe ab. Gelingt sie, bleibt der Tag ohne Migräne, und am Folgetag beginnt eine neue Ruhephase von W8 migränefreien Spieltagen. Misslingt sie, erleidet der Charakter für diesen Tag einen ausgewürfelten W8 als KBE und MBE (Mentale Behinderung). An jedem unmittelbar folgenden Spieltag wird die weiterhin nur um 20 erschwerte KON-Probe erneut abgelegt; die bereits angesammelte Behinderung erschwert diese Konterprobe nicht. Bei jedem weiteren Fehlschlag wird ein neuer W8 gewürfelt und additiv zur bestehenden Behinderung addiert, gedeckelt bei 9. Der erste migränefreie Tag beendet die Anfallsphase sofort, setzt die Behinderung auf 0 zurück und startet am Folgetag eine neue Ruhephase.</t>
  </si>
  <si>
    <t>vn_krankheit_extrem_migraene</t>
  </si>
  <si>
    <t>Krankheit: Extreme Migräne</t>
  </si>
  <si>
    <t>Nach W8 migränefreien Spieltagen legt der Charakter eine um 25 erschwerte KON-Probe ab. Gelingt sie, bleibt der Tag ohne Migräne, und am Folgetag beginnt eine neue Ruhephase von W8 migränefreien Spieltagen. Misslingt sie, erleidet der Charakter für diesen Tag einen ausgewürfelten W8 als KBE und MBE (Mentale Behinderung). An jedem unmittelbar folgenden Spieltag wird die weiterhin nur um 25 erschwerte KON-Probe erneut abgelegt; die bereits angesammelte Behinderung erschwert diese Konterprobe nicht. Bei jedem weiteren Fehlschlag wird ein neuer W8 gewürfelt und additiv zur bestehenden Behinderung addiert, gedeckelt bei 9. Der erste migränefreie Tag beendet die Anfallsphase sofort, setzt die Behinderung auf 0 zurück und startet am Folgetag eine neue Ruhephase.</t>
  </si>
  <si>
    <t>vn_resistenz_gegen_beherrschung</t>
  </si>
  <si>
    <t>Resistenz gegen Beherrschung</t>
  </si>
  <si>
    <t>Die Erschwernis eigener Gegenproben gegen Beherrschungswirkungen wird halbiert.</t>
  </si>
  <si>
    <t>vn_resistenz_gegen_erde</t>
  </si>
  <si>
    <t>Resistenz gegen Erde</t>
  </si>
  <si>
    <t>Der Charakter erleidet durch das Element Erde nur die Hälfte der TP.</t>
  </si>
  <si>
    <t>vn_resistenz_gegen_feuer</t>
  </si>
  <si>
    <t>Resistenz gegen Feuer</t>
  </si>
  <si>
    <t>Der Charakter erleidet durch das Element Feuer nur die Hälfte der TP.</t>
  </si>
  <si>
    <t>vn_resistenz_gegen_luft</t>
  </si>
  <si>
    <t>Resistenz gegen Luft</t>
  </si>
  <si>
    <t>Der Charakter erleidet durch das Element Luft nur die Hälfte der TP.</t>
  </si>
  <si>
    <t>vn_resistenz_gegen_magie</t>
  </si>
  <si>
    <t>Resistenz gegen Magie</t>
  </si>
  <si>
    <t>M</t>
  </si>
  <si>
    <t>Meistervorteil. Er vereint sämtliche einzelnen Magieresistenzen: Die Erschwernis eigener Gegenproben gegen Beherrschungswirkungen wird halbiert; TP durch Erde, Feuer, Luft und Wasser werden jeweils halbiert; magische Heilung stellt nur die Hälfte der vorgesehenen LE wieder her; und die Erschwernis aller hilfreichen wie schädlichen Verzauberungszauber mit dem Charakter als Ziel wird verdoppelt.</t>
  </si>
  <si>
    <t>vn_resistenz_gegen_magische_heilung</t>
  </si>
  <si>
    <t>Resistenz gegen magische Heilung</t>
  </si>
  <si>
    <t>Magische Heilung stellt beim Charakter nur die Hälfte der vorgesehenen LE wieder her.</t>
  </si>
  <si>
    <t>vn_resistenz_gegen_verzauberung</t>
  </si>
  <si>
    <t>Resistenz gegen Verzauberung</t>
  </si>
  <si>
    <t>Die Erschwernis aller Verzauberungszauber, die den Charakter zum Ziel haben, wird verdoppelt. Dies gilt für schädliche und hilfreiche Verzauberungen.</t>
  </si>
  <si>
    <t>vn_resistenz_gegen_wasser</t>
  </si>
  <si>
    <t>Resistenz gegen Wasser</t>
  </si>
  <si>
    <t>Der Charakter erleidet durch das Element Wasser nur die Hälfte der TP.</t>
  </si>
  <si>
    <t>vn_schlaf_insomnia</t>
  </si>
  <si>
    <t>Schlaf: Insomnia</t>
  </si>
  <si>
    <t>Für die Regeneration sind mindestens 6 Stunden Schlaf erforderlich. Die konkrete Regenerationsklasse ist für die Charaktererstellung irrelevant und wird vom Meister situativ festgelegt.</t>
  </si>
  <si>
    <t>Regenerationsklasse −2. Sinnesschärfe +5, ausschließlich während des Schlafs.</t>
  </si>
  <si>
    <t>vn_schlaf_leichter_schlaf</t>
  </si>
  <si>
    <t>Schlaf: Leichter Schlaf</t>
  </si>
  <si>
    <t>Regenerationsklasse −1. Sinnesschärfe −5, ausschließlich während des Schlafs.</t>
  </si>
  <si>
    <t>vn_schlaf_normal</t>
  </si>
  <si>
    <t>Schlaf: Normal</t>
  </si>
  <si>
    <t>Die Regenerationsklasse bleibt unverändert. Sinnesschärfe −10, ausschließlich während des Schlafs.</t>
  </si>
  <si>
    <t>vn_schlaf_tiefer_schlaf</t>
  </si>
  <si>
    <t>Schlaf: Tiefer Schlaf</t>
  </si>
  <si>
    <t>Regenerationsklasse +1. Sinnesschärfe −15, ausschließlich während des Schlafs.</t>
  </si>
  <si>
    <t>vn_gf_krankheitsresistenz</t>
  </si>
  <si>
    <t>GF: Krankheitsresistenz</t>
  </si>
  <si>
    <t>SCHALTET_GRUNDFERTIGKEIT_FREI=gr_krankheitsresistenz</t>
  </si>
  <si>
    <t>Der Charakter erhält die GF Krankheitsresistenz mit Max 12.</t>
  </si>
  <si>
    <t>vn_sicht_astrales_auge</t>
  </si>
  <si>
    <t>Sicht: Astrales Auge</t>
  </si>
  <si>
    <t>VORAUSSETZUNG=Aura 1</t>
  </si>
  <si>
    <t>Voraussetzung Aura 1. Der Charakter sieht permanent zusätzlich auf astraler Ebene. Er erkennt Auren in den Abstufungen schwach, mittel, stark und heilig (bis Grad 3/5/7/7+). Alle Bewegungen sowie NK- und FK-Aktionen sind um 3 erschwert. Unbelebte Materie wird nur schemenhaft wahrgenommen. Charaktere mit Blindheit können mit Astralem Auge im Fernkampf zielen; die normale FK-Erschwerungstabelle gilt.</t>
  </si>
  <si>
    <t>vn_sicht_astrales_auge_ii</t>
  </si>
  <si>
    <t>Sicht: Astrales Auge II</t>
  </si>
  <si>
    <t>VORAUSSETZUNG=vn_sicht_astrales_auge</t>
  </si>
  <si>
    <t>Voraussetzung Astrales Auge. Der Charakter sieht permanent zusätzlich auf astraler Ebene. Er erkennt Auren in den Abstufungen schwach, mittel, stark und heilig (bis Grad 3/5/7/7+). Alle sichtbasierten Aktionen sind um 1 erschwert. Unbelebte Materie wird weiterhin nur schemenhaft, aber ausreichend wahrgenommen, um sich wie ein Sehender bewegen und orientieren zu können.</t>
  </si>
  <si>
    <t>vn_sicht_blinder_kampf_i</t>
  </si>
  <si>
    <t>Sicht: Blinder Kampf I</t>
  </si>
  <si>
    <t>Achtzehnstufige Vorteilskette. Bei Blindheit kostet ausschließlich Stufe I 75 EP statt 150 EP; alle Folgestufen haben keinen Blindheitsrabatt.</t>
  </si>
  <si>
    <t>Blinder Kampf</t>
  </si>
  <si>
    <t>BLINDER_KAMPF_STUFE=1 | KOSTEN_MIT_BLINDHEIT=75</t>
  </si>
  <si>
    <t>Durch Blindheit und Lichtverhältnisse verursachte Sichterschwerungen werden um insgesamt 1 reduziert, höchstens bis 0. Andere Sichterschwerungen gelten unverändert.</t>
  </si>
  <si>
    <t>vn_sicht_blindheit</t>
  </si>
  <si>
    <t>Sicht: Blindheit</t>
  </si>
  <si>
    <t>RC-064-Nachtrag (DEC-1108, 2026-09-12): unvereinbar mit Einäugig, Kurz-/Weitsichtigkeit, Dämmerungs-/Nachtsicht und Infrarotsicht (setzen funktionierende Augen voraus); kompatibel mit Astrales Auge (DEC-216) und Blinder Kampf. Durchgesetzt in characterMutations.ts (VN_SICHT_BLIND_INKOMPATIBEL).</t>
  </si>
  <si>
    <t>SICHTBEHINDERUNG=18 | DEUTSCHUSS_ERSCHWERUNG=15 | UNHEILBAR</t>
  </si>
  <si>
    <t>Der Charakter ist unheilbar blind. Die Blindheit kann nicht durch magische Regeneration oder Wunder geheilt werden. Er erleidet eine permanente Sichtbehinderung von 18 (NK, FK, alle Arten von Zaubern die nicht auf Ziel: Selbst oder Ziel: Berührung gesprochen werden) und kann im magischen und profanen Fernkampf nur Deutschüsse (Erschwerung 15) abgeben.</t>
  </si>
  <si>
    <t>vn_sicht_daemmerungssicht</t>
  </si>
  <si>
    <t>Sicht: Dämmerungssicht</t>
  </si>
  <si>
    <t>Wirkungstext 2026-09-12 (DEC-1108) korrigiert: vorheriger Text beschrieb fälschlich vollständige Dunkelsicht (Nachtsicht-Mechanik) statt der relativen −2-Senkung nach DEC-221.</t>
  </si>
  <si>
    <t>EXKLUSIV_SICHT=daemmerungssicht_nachtsicht</t>
  </si>
  <si>
    <t>Der Charakter sieht in der Dunkelheit besser als gewöhnliche Menschen: die durch Dunkelheit verursachte Sicht-Erschwerung sinkt um 2. Damit dieser Effekt eintreten kann, muss Restlicht vorhanden sein. In vollkommener Dunkelheit ist dieser Vorteil keine Hilfe - der Charakter gilt dann als blind. Schließt sich mit Nachtsicht gegenseitig aus.</t>
  </si>
  <si>
    <t>vn_sicht_einaeugig</t>
  </si>
  <si>
    <t>Sicht: Einäugig</t>
  </si>
  <si>
    <t>Der Charakter verfügt nicht über Tiefenwahrnehmung, wodurch alle Aktionen, die in größerer Entfernung als 5 m stattfinden, um 9 erschwert werden. Im Astralraum gelten diese Beschränkungen nicht. Der Malus kann durch den Vorteil „Blinder Kampf“ bis auf 0 reduziert werden. Einäugigkeit als Nachteil kann nicht geheilt werden. Wenn ein Charakter ein Auge verliert, erhält er diesen Nachteil automatisch, kann das Auge allerdings ersetzen.</t>
  </si>
  <si>
    <t>vn_sicht_infrarotsicht</t>
  </si>
  <si>
    <t>Sicht: Infrarotsicht</t>
  </si>
  <si>
    <t>Der Charakter nimmt Wärmequellen und Temperaturunterschiede als Infrarotbild wahr. Infrarotsicht benötigt kein Restlicht; die verbleibende Sichterschwerung beträgt immer −1.</t>
  </si>
  <si>
    <t>vn_sicht_leicht_kurzsichtigkeit</t>
  </si>
  <si>
    <t>Sicht: Leichte Kurzsichtigkeit</t>
  </si>
  <si>
    <t>EXKLUSIV_SICHT=kurzsichtigkeit_weitsichtigkeit</t>
  </si>
  <si>
    <t>Kurzsichtigkeit erschwert alle sichtbasierten Aktionen in mehr als 5 m Entfernung um 3. Der Vorteil „Blinder Kampf“ reduziert diese Erschwerung entsprechend seiner höchsten Stufe bis minimal 0. Eine passende Brille hebt die Erschwerung vollständig auf.</t>
  </si>
  <si>
    <t>vn_sicht_mittel_kurzsichtigkeit</t>
  </si>
  <si>
    <t>Sicht: Mittlere Kurzsichtigkeit</t>
  </si>
  <si>
    <t>Kurzsichtigkeit erschwert alle sichtbasierten Aktionen in mehr als 5 m Entfernung um 6. Der Vorteil „Blinder Kampf“ reduziert diese Erschwerung entsprechend seiner höchsten Stufe bis minimal 0. Eine passende Brille hebt die Erschwerung vollständig auf.</t>
  </si>
  <si>
    <t>vn_sicht_schwer_kurzsichtigkeit</t>
  </si>
  <si>
    <t>Sicht: Schwere Kurzsichtigkeit</t>
  </si>
  <si>
    <t>Kurzsichtigkeit erschwert alle sichtbasierten Aktionen in mehr als 5 m Entfernung um 9. Der Vorteil „Blinder Kampf“ reduziert diese Erschwerung entsprechend seiner höchsten Stufe bis minimal 0. Eine passende Brille hebt die Erschwerung vollständig auf.</t>
  </si>
  <si>
    <t>vn_sicht_sehr_schwer_kurzsichtigkeit</t>
  </si>
  <si>
    <t>Sicht: Sehr schwere Kurzsichtigkeit</t>
  </si>
  <si>
    <t>Kurzsichtigkeit erschwert alle sichtbasierten Aktionen in mehr als 5 m Entfernung um 12. Der Vorteil „Blinder Kampf“ reduziert diese Erschwerung entsprechend seiner höchsten Stufe bis minimal 0. Eine passende Brille hebt die Erschwerung vollständig auf.</t>
  </si>
  <si>
    <t>vn_sicht_extrem_kurzsichtigkeit</t>
  </si>
  <si>
    <t>Sicht: Extreme Kurzsichtigkeit</t>
  </si>
  <si>
    <t>Kurzsichtigkeit erschwert alle sichtbasierten Aktionen in mehr als 5 m Entfernung um 15. Der Vorteil „Blinder Kampf“ reduziert diese Erschwerung entsprechend seiner höchsten Stufe bis minimal 0. Eine passende Brille hebt die Erschwerung vollständig auf.</t>
  </si>
  <si>
    <t>vn_sicht_nachtsicht</t>
  </si>
  <si>
    <t>Sicht: Nachtsicht</t>
  </si>
  <si>
    <t>Reaktiviert 2026-09-12 (DEC-1108): war seit 2026-08-26 fälschlich als Duplikat der Dämmerungssicht-Zeile gestrichen (Wirkungstext wurde damals geleert); Wirkungstext neu nach RC-064 §4.5 verfasst.</t>
  </si>
  <si>
    <t>Der Charakter sieht in der Dunkelheit, als herrsche nur schwaches Restlicht: die durch Dunkelheit verursachte Sicht-Erschwerung wird fest auf 2 gesetzt (nicht relativ gesenkt wie bei Dämmerungssicht). Damit dieser Effekt eintreten kann, muss Restlicht vorhanden sein. In vollkommener Dunkelheit ist dieser Vorteil keine Hilfe - der Charakter gilt dann als blind. Schließt sich mit Dämmerungssicht gegenseitig aus.</t>
  </si>
  <si>
    <t>vn_sicht_leicht_weitsichtigkeit</t>
  </si>
  <si>
    <t>Sicht: Leichte Weitsichtigkeit</t>
  </si>
  <si>
    <t>Weitsichtigkeit erschwert alle sichtbasierten Aktionen bis einschließlich 30 m Entfernung um 3. Der Vorteil „Blinder Kampf“ reduziert diese Erschwerung entsprechend seiner höchsten Stufe bis minimal 0. Eine passende Brille hebt die Erschwerung vollständig auf.</t>
  </si>
  <si>
    <t>vn_sicht_mittel_weitsichtigkeit</t>
  </si>
  <si>
    <t>Sicht: Mittlere Weitsichtigkeit</t>
  </si>
  <si>
    <t>Weitsichtigkeit erschwert alle sichtbasierten Aktionen bis einschließlich 30 m Entfernung um 6. Der Vorteil „Blinder Kampf“ reduziert diese Erschwerung entsprechend seiner höchsten Stufe bis minimal 0. Eine passende Brille hebt die Erschwerung vollständig auf.</t>
  </si>
  <si>
    <t>vn_sicht_schwer_weitsichtigkeit</t>
  </si>
  <si>
    <t>Sicht: Schwere Weitsichtigkeit</t>
  </si>
  <si>
    <t>Weitsichtigkeit erschwert alle sichtbasierten Aktionen bis einschließlich 30 m Entfernung um 9. Der Vorteil „Blinder Kampf“ reduziert diese Erschwerung entsprechend seiner höchsten Stufe bis minimal 0. Eine passende Brille hebt die Erschwerung vollständig auf.</t>
  </si>
  <si>
    <t>vn_sicht_sehr_schwer_weitsichtigkeit</t>
  </si>
  <si>
    <t>Sicht: Sehr schwere Weitsichtigkeit</t>
  </si>
  <si>
    <t>Weitsichtigkeit erschwert alle sichtbasierten Aktionen bis einschließlich 30 m Entfernung um 12. Der Vorteil „Blinder Kampf“ reduziert diese Erschwerung entsprechend seiner höchsten Stufe bis minimal 0. Eine passende Brille hebt die Erschwerung vollständig auf.</t>
  </si>
  <si>
    <t>vn_sicht_extrem_weitsichtigkeit</t>
  </si>
  <si>
    <t>Sicht: Extreme Weitsichtigkeit</t>
  </si>
  <si>
    <t>Weitsichtigkeit erschwert alle sichtbasierten Aktionen bis einschließlich 30 m Entfernung um 15. Der Vorteil „Blinder Kampf“ reduziert diese Erschwerung entsprechend seiner höchsten Stufe bis minimal 0. Eine passende Brille hebt die Erschwerung vollständig auf.</t>
  </si>
  <si>
    <t>vn_sprachtalent</t>
  </si>
  <si>
    <t>Sprachtalent</t>
  </si>
  <si>
    <t>Der Charakter kann alle Sprachen innerhalb kürzester Zeit verstehen und erhält die Erlaubnis, mit vorhandenen SP während des Abenteuers seine Sprachprovenienz auf Gute Kenntnis zu steigern. Außerdem erhält der Charakter dadurch bei allen gesellschaftlichen Grundfertigkeits-, WHK- und SSK-Proben, die auf Int oder Aus abgelegt werden, einen Bonus von 2.</t>
  </si>
  <si>
    <t>vn_traege_reflexe</t>
  </si>
  <si>
    <t>Träge Reflexe</t>
  </si>
  <si>
    <t>Reaktiviert 2026-09-12 (DEC-1108/DEC-1106, RC-066): Wirkungstext war seit 2026-08-26 redaktionell offen; jetzt nach RC-066 §4.10/DEC-335 verfasst.</t>
  </si>
  <si>
    <t>AW -1, Glück -1 auf Fernkampf-Gegenproben.</t>
  </si>
  <si>
    <t>#vn_unempfindlichkeit_gegen_alchemie</t>
  </si>
  <si>
    <t>Unempfindlichkeit gegen Alchemie</t>
  </si>
  <si>
    <t>Historische Bezeichnung 'Giftresistenz' ist veraltet; gültig ist Alchemieresistenz. AUSKOMMENTIERT 2026-07-18 (Nutzer: 'check gegen talente. wenn talent vorhanden, die vn zeile auskommentieren'): identischer Effekt bereits durch Talent 'Alchemieresistenz Stufe 2' abgedeckt (+12 auf sf_alchemieresistenz, siehe talenteMaximum.ts).</t>
  </si>
  <si>
    <t>Das Maximum der Sonderfertigkeit Alchemieresistenz erhöht sich um 12.</t>
  </si>
  <si>
    <t>vn_unempfindlichkeit_gegen_profane_waffen</t>
  </si>
  <si>
    <t>Unempfindlichkeit gegen profane Waffen</t>
  </si>
  <si>
    <t>PROFANE_WAFFEN_TP_FAKTOR=0,5</t>
  </si>
  <si>
    <t>Der Charakter erleidet durch profane Waffen nur halbe TP.</t>
  </si>
  <si>
    <t>vn_weltgewandt</t>
  </si>
  <si>
    <t>Weltgewandt</t>
  </si>
  <si>
    <t>VORAUSSETZUNG=INT 15; [Sprache] gute Kenntnis</t>
  </si>
  <si>
    <t>Voraussetzung Int 15 und mindestens eine Sprache auf Gute Kenntnis (Stufe 2): Der Charakter kann sich intuitiv auf gesellschaftliche Regeln und Etiketten fremder Gesellschaften einstellen und erhält dadurch bei allen gesellschaftlichen Grundfertigkeiten, WHK und SSK-Proben, die auf Int oder Aus abgelegt werden, einen Bonus von 5.</t>
  </si>
  <si>
    <t>mana_regeneration_pro_stunde</t>
  </si>
  <si>
    <t>Mana-Regeneration pro Stunde</t>
  </si>
  <si>
    <t>Regel (Nutzer 2026-07-18): Aura*2 Mana-Regeneration pro Stunde natuerliche Ruhe. Zusaetzlich in einer Schlafphase &gt;=6h ein situativer Bonus (W4 bis W30, abhaengig von Schlaflaenge/-gelegenheit/Ruhe/Temperatur, Spielleiter-Ermessen) - NICHT Teil dieser Formel, reine Kampfmodul-/Session-Wuerfelei ohne Chargen-Bezug.</t>
  </si>
  <si>
    <t>att_aura*2</t>
  </si>
  <si>
    <t>vn_abneigung_gegen_erdbeschwoerung</t>
  </si>
  <si>
    <t>Abneigung gegen Erdbeschwörung</t>
  </si>
  <si>
    <t>Alle Zauber mit Schadenswirkung dieses Elements (auch Verzauberungs-, Antimagie- und Beschwörungs-Zauber) kosten 9 EP und haben die 1,5-fache Erschwerung. Kontakt mit dem Element oder einem Wirker erfordert jede KR eine Mut-Probe. PSI-Zauber, die diesem Element zugeordnet werden können, kosten 18 EP pro Punkt. Magier, die diesen Nachteil und die [Schule] bei Erschaffung wählen, erhalten 650 EP zusätzlich, wovon mindestens 180 EP auf die [Schule] verteilt werden müssen.</t>
  </si>
  <si>
    <t>vn_abneigung_gegen_feuerbeschwoerung</t>
  </si>
  <si>
    <t>Abneigung gegen Feuerbeschwörung</t>
  </si>
  <si>
    <t>vn_abneigung_gegen_luftbeschwoerung</t>
  </si>
  <si>
    <t>Abneigung gegen Luftbeschwörung</t>
  </si>
  <si>
    <t>vn_abneigung_gegen_magiebeschwoerung</t>
  </si>
  <si>
    <t>Abneigung gegen Magiebeschwörung</t>
  </si>
  <si>
    <t>vn_abneigung_gegen_wasserbeschwoerung</t>
  </si>
  <si>
    <t>Abneigung gegen Wasserbeschwörung</t>
  </si>
  <si>
    <t>vn_abneigung_gegen_heilung</t>
  </si>
  <si>
    <t>Abneigung gegen Heilung</t>
  </si>
  <si>
    <t>Alle Zauber dieser Schule (sowie Antimagie-Zauber, die diese Schule betreffen) kosten 9 EP und haben die 1,5-fache Erschwerung. Kontakt einem Wirker erfordert jede KR eine Mut-Probe. PSI-Zauber, die dieser Schule zugeordnet werden können, kosten 18 EP pro Punkt. Magier, die diesen Nachteil und die [Schule] bei Erschaffung wählen, erhalten 650 EP zusätzlich, wovon mindestens 180 EP auf die [Schule] verteilt werden müssen.</t>
  </si>
  <si>
    <t>vn_abneigung_gegen_verzauberung</t>
  </si>
  <si>
    <t>Abneigung gegen Verzauberung</t>
  </si>
  <si>
    <t>vn_abneigung_gegen_beherrschung</t>
  </si>
  <si>
    <t>Abneigung gegen Beherrschung</t>
  </si>
  <si>
    <t>vn_immunitaet_gegen_erde</t>
  </si>
  <si>
    <t>Immunität gegen Erde</t>
  </si>
  <si>
    <t>Nur Meistercharaktere; im Spielermodus nie wählbar; bei der Charaktererschaffung im Meistermodus für Elementare passend zum eigenen Element verpflichtend.</t>
  </si>
  <si>
    <t>Elementar</t>
  </si>
  <si>
    <t>MEISTER_MODUS_PFLICHT</t>
  </si>
  <si>
    <t>Nur Elementare: Der Charakter erleidet keinen Schaden durch das eigene Element Erde. Dieser Wert ist im Spielermodus nie wählbar. Bei der Charaktererschaffung im Meistermodus ist für Elementare die zum eigenen Element passende Immunität verpflichtend.</t>
  </si>
  <si>
    <t>vn_immunitaet_gegen_feuer</t>
  </si>
  <si>
    <t>Immunität gegen Feuer</t>
  </si>
  <si>
    <t>Nur Elementare: Der Charakter erleidet keinen Schaden durch das eigene Element Feuer. Dieser Wert ist im Spielermodus nie wählbar. Bei der Charaktererschaffung im Meistermodus ist für Elementare die zum eigenen Element passende Immunität verpflichtend.</t>
  </si>
  <si>
    <t>vn_immunitaet_gegen_luft</t>
  </si>
  <si>
    <t>Immunität gegen Luft</t>
  </si>
  <si>
    <t>Nur Elementare: Der Charakter erleidet keinen Schaden durch das eigene Element Luft. Dieser Wert ist im Spielermodus nie wählbar. Bei der Charaktererschaffung im Meistermodus ist für Elementare die zum eigenen Element passende Immunität verpflichtend.</t>
  </si>
  <si>
    <t>vn_immunitaet_gegen_magie</t>
  </si>
  <si>
    <t>Immunität gegen Magie</t>
  </si>
  <si>
    <t>Nur Elementare: Der Charakter erleidet keinen Schaden durch das eigene Element Magie. Dieser Wert ist im Spielermodus nie wählbar. Bei der Charaktererschaffung im Meistermodus ist für Elementare die zum eigenen Element passende Immunität verpflichtend.</t>
  </si>
  <si>
    <t>vn_immunitaet_gegen_wasser</t>
  </si>
  <si>
    <t>Immunität gegen Wasser</t>
  </si>
  <si>
    <t>Nur Elementare: Der Charakter erleidet keinen Schaden durch das eigene Element Wasser. Dieser Wert ist im Spielermodus nie wählbar. Bei der Charaktererschaffung im Meistermodus ist für Elementare die zum eigenen Element passende Immunität verpflichtend.</t>
  </si>
  <si>
    <t>vn_kind_der_froehlichkeit</t>
  </si>
  <si>
    <t>Kind der Fröhlichkeit</t>
  </si>
  <si>
    <t>Jeder Spielercharakter besitzt diesen Vorteil automatisch; nicht manuell wählbar; bei der Spielercharakter-Erstellung verpflichtend zu vergeben.</t>
  </si>
  <si>
    <t>Spielercharakter</t>
  </si>
  <si>
    <t>SPIELERCHARAKTER_PFLICHT</t>
  </si>
  <si>
    <t>SC</t>
  </si>
  <si>
    <t>Wirft der Charakter einen fröhlichen Erfolg (eine gewürfelte 29, auch bei reduziertem Probenwert) auf einer Probe mit Werttyp, hat er sofort Anspruch auf eine weitere Probe auf denselben Wert unter exakt denselben Bedingungen (reiner Wachstums-Wurf, keine eigene Aktion, kein Mana- oder Handlungsverbrauch). Bei normalem/gutem/meisterlichem/fröhlichem Erfolg in dieser Zusatzprobe erhöht sich das Maximum bei Eigenschaften um 0/1/2/3, bei Attributen um 0/0/0/1, bei Grundfertigkeiten um 1/2/3/4, bei Kampf-Hauptfertigkeiten (Nah-/Fernkampf) um 0/1/2/3, bei einer Ausweichen-Probe je um 0/1/2/3 auf sf_ausweichen, sf_gutes_aw und sf_meisterliches_ausweichen, bei WHK-Fertigkeiten um 2/4/6/8, bei Wundern wird das genutzte Gebets-WHK-Talent (whk_geweihte_stossgebet/_wunder/_ritual) um 2/4/6/8 erhöht (wie WHK), bei PSI- und Spruchzaubern (jeweils für den einzelnen Zauber) um 1/2/3/4; bei KI-Fähigkeiten wird das Maximum um 1/2/3/4 erhöht. Fällt in der Zusatzprobe eine erneute 29, kaskadiert der Effekt (weitere Zusatzprobe, Erhöhungen summieren sich). Fehlschlag oder Patzer der Zusatzprobe bedeuten keine Erhöhung und lösen keine Patzer-Folge aus. Jeder Spielercharakter besitzt diesen Vorteil automatisch.</t>
  </si>
  <si>
    <t>vn_meisterlicher_antimagie_magier_1</t>
  </si>
  <si>
    <t>Meisterlicher Antimagie-Magier I</t>
  </si>
  <si>
    <t>Gilt ausschließlich für die Schule Antimagie. Nicht kumulativ; eine höhere Stufe ersetzt die vorherige.</t>
  </si>
  <si>
    <t>NICHT_KUMULATIV_MEISTERLICHER_SCHULE</t>
  </si>
  <si>
    <t>Nur Nasus Nasus, nur Magier: Die Wirkung von Zaubern der Schule Antimagie erhöht sich um 50 % (Faktor 1,5). Nicht kumulativ mit den anderen Stufen dieses Vorteils. Eine höhere Stufe ersetzt die vorherige Stufe.</t>
  </si>
  <si>
    <t>vn_meisterlicher_beherrschung_magier_1</t>
  </si>
  <si>
    <t>Meisterlicher Beherrschung-Magier I</t>
  </si>
  <si>
    <t>Gilt ausschließlich für die Schule Beherrschung. Nicht kumulativ; eine höhere Stufe ersetzt die vorherige.</t>
  </si>
  <si>
    <t>Nur Nasus Nasus, nur Magier: Die Wirkung von Zaubern der Schule Beherrschung erhöht sich um 50 % (Faktor 1,5). Nicht kumulativ mit den anderen Stufen dieses Vorteils. Eine höhere Stufe ersetzt die vorherige Stufe.</t>
  </si>
  <si>
    <t>vn_meisterlicher_erdbeschwoerung_magier_1</t>
  </si>
  <si>
    <t>Meisterlicher Erdbeschwörung-Magier I</t>
  </si>
  <si>
    <t>Gilt ausschließlich für die Schule Erdbeschwörung. Nicht kumulativ; eine höhere Stufe ersetzt die vorherige.</t>
  </si>
  <si>
    <t>Nur Nasus Nasus, nur Magier: Die Wirkung von Zaubern der Schule Erdbeschwörung erhöht sich um 50 % (Faktor 1,5). Nicht kumulativ mit den anderen Stufen dieses Vorteils. Eine höhere Stufe ersetzt die vorherige Stufe.</t>
  </si>
  <si>
    <t>vn_meisterlicher_feuerbeschwoerung_magier_1</t>
  </si>
  <si>
    <t>Meisterlicher Feuerbeschwörung-Magier I</t>
  </si>
  <si>
    <t>Gilt ausschließlich für die Schule Feuerbeschwörung. Nicht kumulativ; eine höhere Stufe ersetzt die vorherige.</t>
  </si>
  <si>
    <t>Nur Nasus Nasus, nur Magier: Die Wirkung von Zaubern der Schule Feuerbeschwörung erhöht sich um 50 % (Faktor 1,5). Nicht kumulativ mit den anderen Stufen dieses Vorteils. Eine höhere Stufe ersetzt die vorherige Stufe.</t>
  </si>
  <si>
    <t>vn_meisterlicher_heilung_magier_1</t>
  </si>
  <si>
    <t>Meisterlicher Heilung-Magier I</t>
  </si>
  <si>
    <t>Gilt ausschließlich für die Schule Heilung. Nicht kumulativ; eine höhere Stufe ersetzt die vorherige.</t>
  </si>
  <si>
    <t>Nur Nasus Nasus, nur Magier: Die Wirkung von Zaubern der Schule Heilung erhöht sich um 50 % (Faktor 1,5). Nicht kumulativ mit den anderen Stufen dieses Vorteils. Eine höhere Stufe ersetzt die vorherige Stufe.</t>
  </si>
  <si>
    <t>vn_meisterlicher_hellsicht_magier_1</t>
  </si>
  <si>
    <t>Meisterlicher Hellsicht-Magier I</t>
  </si>
  <si>
    <t>Gilt ausschließlich für die Schule Hellsicht. Nicht kumulativ; eine höhere Stufe ersetzt die vorherige.</t>
  </si>
  <si>
    <t>Nur Nasus Nasus, nur Magier: Die Wirkung von Zaubern der Schule Hellsicht erhöht sich um 50 % (Faktor 1,5). Nicht kumulativ mit den anderen Stufen dieses Vorteils. Eine höhere Stufe ersetzt die vorherige Stufe.</t>
  </si>
  <si>
    <t>vn_meisterlicher_illusion_magier_1</t>
  </si>
  <si>
    <t>Meisterlicher Illusion-Magier I</t>
  </si>
  <si>
    <t>Gilt ausschließlich für die Schule Illusion. Nicht kumulativ; eine höhere Stufe ersetzt die vorherige.</t>
  </si>
  <si>
    <t>Nur Nasus Nasus, nur Magier: Die Wirkung von Zaubern der Schule Illusion erhöht sich um 50 % (Faktor 1,5). Nicht kumulativ mit den anderen Stufen dieses Vorteils. Eine höhere Stufe ersetzt die vorherige Stufe.</t>
  </si>
  <si>
    <t>vn_meisterlicher_luftbeschwoerung_magier_1</t>
  </si>
  <si>
    <t>Meisterlicher Luftbeschwörung-Magier I</t>
  </si>
  <si>
    <t>Gilt ausschließlich für die Schule Luftbeschwörung. Nicht kumulativ; eine höhere Stufe ersetzt die vorherige.</t>
  </si>
  <si>
    <t>Nur Nasus Nasus, nur Magier: Die Wirkung von Zaubern der Schule Luftbeschwörung erhöht sich um 50 % (Faktor 1,5). Nicht kumulativ mit den anderen Stufen dieses Vorteils. Eine höhere Stufe ersetzt die vorherige Stufe.</t>
  </si>
  <si>
    <t>vn_meisterlicher_magiebeschwoerung_magier_1</t>
  </si>
  <si>
    <t>Meisterlicher Magiebeschwörung-Magier I</t>
  </si>
  <si>
    <t>Gilt ausschließlich für die Schule Magiebeschwörung. Nicht kumulativ; eine höhere Stufe ersetzt die vorherige.</t>
  </si>
  <si>
    <t>Nur Nasus Nasus, nur Magier: Die Wirkung von Zaubern der Schule Magiebeschwörung erhöht sich um 50 % (Faktor 1,5). Nicht kumulativ mit den anderen Stufen dieses Vorteils. Eine höhere Stufe ersetzt die vorherige Stufe.</t>
  </si>
  <si>
    <t>vn_meisterlicher_veraenderung_magier_1</t>
  </si>
  <si>
    <t>Meisterlicher Veränderung-Magier I</t>
  </si>
  <si>
    <t>Gilt ausschließlich für die Schule Veränderung. Nicht kumulativ; eine höhere Stufe ersetzt die vorherige.</t>
  </si>
  <si>
    <t>Nur Nasus Nasus, nur Magier: Die Wirkung von Zaubern der Schule Veränderung erhöht sich um 50 % (Faktor 1,5). Nicht kumulativ mit den anderen Stufen dieses Vorteils. Eine höhere Stufe ersetzt die vorherige Stufe.</t>
  </si>
  <si>
    <t>vn_meisterlicher_verzauberung_magier_1</t>
  </si>
  <si>
    <t>Meisterlicher Verzauberung-Magier I</t>
  </si>
  <si>
    <t>Gilt ausschließlich für die Schule Verzauberung. Nicht kumulativ; eine höhere Stufe ersetzt die vorherige.</t>
  </si>
  <si>
    <t>Nur Nasus Nasus, nur Magier: Die Wirkung von Zaubern der Schule Verzauberung erhöht sich um 50 % (Faktor 1,5). Nicht kumulativ mit den anderen Stufen dieses Vorteils. Eine höhere Stufe ersetzt die vorherige Stufe.</t>
  </si>
  <si>
    <t>vn_meisterlicher_wasserbeschwoerung_magier_1</t>
  </si>
  <si>
    <t>Meisterlicher Wasserbeschwörung-Magier I</t>
  </si>
  <si>
    <t>Gilt ausschließlich für die Schule Wasserbeschwörung. Nicht kumulativ; eine höhere Stufe ersetzt die vorherige.</t>
  </si>
  <si>
    <t>Nur Nasus Nasus, nur Magier: Die Wirkung von Zaubern der Schule Wasserbeschwörung erhöht sich um 50 % (Faktor 1,5). Nicht kumulativ mit den anderen Stufen dieses Vorteils. Eine höhere Stufe ersetzt die vorherige Stufe.</t>
  </si>
  <si>
    <t>vn_meisterlicher_antimagie_magier_2</t>
  </si>
  <si>
    <t>Meisterlicher Antimagie-Magier II</t>
  </si>
  <si>
    <t>Gilt ausschließlich für die Schule Antimagie. Nicht kumulativ; eine höhere Stufe ersetzt die vorherige. Voraussetzung: vn_meisterlicher_antimagie_magier_1.</t>
  </si>
  <si>
    <t>NICHT_KUMULATIV_MEISTERLICHER_SCHULE;VORAUSSETZUNG=vn_meisterlicher_antimagie_magier_1</t>
  </si>
  <si>
    <t>Voraussetzung: Meisterlicher Antimagie-Magier I. Die Wirkung von Zaubern der Schule Antimagie erhöht sich um 100 % (Faktor 2). Nicht kumulativ mit den anderen Stufen dieses Vorteils. Eine höhere Stufe ersetzt die vorherige Stufe.</t>
  </si>
  <si>
    <t>vn_meisterlicher_beherrschung_magier_2</t>
  </si>
  <si>
    <t>Meisterlicher Beherrschung-Magier II</t>
  </si>
  <si>
    <t>Gilt ausschließlich für die Schule Beherrschung. Nicht kumulativ; eine höhere Stufe ersetzt die vorherige. Voraussetzung: vn_meisterlicher_beherrschung_magier_1.</t>
  </si>
  <si>
    <t>NICHT_KUMULATIV_MEISTERLICHER_SCHULE;VORAUSSETZUNG=vn_meisterlicher_beherrschung_magier_1</t>
  </si>
  <si>
    <t>Voraussetzung: Meisterlicher Beherrschung-Magier I. Die Wirkung von Zaubern der Schule Beherrschung erhöht sich um 100 % (Faktor 2). Nicht kumulativ mit den anderen Stufen dieses Vorteils. Eine höhere Stufe ersetzt die vorherige Stufe.</t>
  </si>
  <si>
    <t>vn_meisterlicher_erdbeschwoerung_magier_2</t>
  </si>
  <si>
    <t>Meisterlicher Erdbeschwörung-Magier II</t>
  </si>
  <si>
    <t>Gilt ausschließlich für die Schule Erdbeschwörung. Nicht kumulativ; eine höhere Stufe ersetzt die vorherige. Voraussetzung: vn_meisterlicher_erdbeschwoerung_magier_1.</t>
  </si>
  <si>
    <t>NICHT_KUMULATIV_MEISTERLICHER_SCHULE;VORAUSSETZUNG=vn_meisterlicher_erdbeschwoerung_magier_1</t>
  </si>
  <si>
    <t>Voraussetzung: Meisterlicher Erdbeschwörung-Magier I. Die Wirkung von Zaubern der Schule Erdbeschwörung erhöht sich um 100 % (Faktor 2). Nicht kumulativ mit den anderen Stufen dieses Vorteils. Eine höhere Stufe ersetzt die vorherige Stufe.</t>
  </si>
  <si>
    <t>vn_meisterlicher_feuerbeschwoerung_magier_2</t>
  </si>
  <si>
    <t>Meisterlicher Feuerbeschwörung-Magier II</t>
  </si>
  <si>
    <t>Gilt ausschließlich für die Schule Feuerbeschwörung. Nicht kumulativ; eine höhere Stufe ersetzt die vorherige. Voraussetzung: vn_meisterlicher_feuerbeschwoerung_magier_1.</t>
  </si>
  <si>
    <t>NICHT_KUMULATIV_MEISTERLICHER_SCHULE;VORAUSSETZUNG=vn_meisterlicher_feuerbeschwoerung_magier_1</t>
  </si>
  <si>
    <t>Voraussetzung: Meisterlicher Feuerbeschwörung-Magier I. Die Wirkung von Zaubern der Schule Feuerbeschwörung erhöht sich um 100 % (Faktor 2). Nicht kumulativ mit den anderen Stufen dieses Vorteils. Eine höhere Stufe ersetzt die vorherige Stufe.</t>
  </si>
  <si>
    <t>vn_meisterlicher_heilung_magier_2</t>
  </si>
  <si>
    <t>Meisterlicher Heilung-Magier II</t>
  </si>
  <si>
    <t>Gilt ausschließlich für die Schule Heilung. Nicht kumulativ; eine höhere Stufe ersetzt die vorherige. Voraussetzung: vn_meisterlicher_heilung_magier_1.</t>
  </si>
  <si>
    <t>NICHT_KUMULATIV_MEISTERLICHER_SCHULE;VORAUSSETZUNG=vn_meisterlicher_heilung_magier_1</t>
  </si>
  <si>
    <t>Voraussetzung: Meisterlicher Heilung-Magier I. Die Wirkung von Zaubern der Schule Heilung erhöht sich um 100 % (Faktor 2). Nicht kumulativ mit den anderen Stufen dieses Vorteils. Eine höhere Stufe ersetzt die vorherige Stufe.</t>
  </si>
  <si>
    <t>vn_meisterlicher_hellsicht_magier_2</t>
  </si>
  <si>
    <t>Meisterlicher Hellsicht-Magier II</t>
  </si>
  <si>
    <t>Gilt ausschließlich für die Schule Hellsicht. Nicht kumulativ; eine höhere Stufe ersetzt die vorherige. Voraussetzung: vn_meisterlicher_hellsicht_magier_1.</t>
  </si>
  <si>
    <t>NICHT_KUMULATIV_MEISTERLICHER_SCHULE;VORAUSSETZUNG=vn_meisterlicher_hellsicht_magier_1</t>
  </si>
  <si>
    <t>Voraussetzung: Meisterlicher Hellsicht-Magier I. Die Wirkung von Zaubern der Schule Hellsicht erhöht sich um 100 % (Faktor 2). Nicht kumulativ mit den anderen Stufen dieses Vorteils. Eine höhere Stufe ersetzt die vorherige Stufe.</t>
  </si>
  <si>
    <t>vn_meisterlicher_illusion_magier_2</t>
  </si>
  <si>
    <t>Meisterlicher Illusion-Magier II</t>
  </si>
  <si>
    <t>Gilt ausschließlich für die Schule Illusion. Nicht kumulativ; eine höhere Stufe ersetzt die vorherige. Voraussetzung: vn_meisterlicher_illusion_magier_1.</t>
  </si>
  <si>
    <t>NICHT_KUMULATIV_MEISTERLICHER_SCHULE;VORAUSSETZUNG=vn_meisterlicher_illusion_magier_1</t>
  </si>
  <si>
    <t>Voraussetzung: Meisterlicher Illusion-Magier I. Die Wirkung von Zaubern der Schule Illusion erhöht sich um 100 % (Faktor 2). Nicht kumulativ mit den anderen Stufen dieses Vorteils. Eine höhere Stufe ersetzt die vorherige Stufe.</t>
  </si>
  <si>
    <t>vn_meisterlicher_luftbeschwoerung_magier_2</t>
  </si>
  <si>
    <t>Meisterlicher Luftbeschwörung-Magier II</t>
  </si>
  <si>
    <t>Gilt ausschließlich für die Schule Luftbeschwörung. Nicht kumulativ; eine höhere Stufe ersetzt die vorherige. Voraussetzung: vn_meisterlicher_luftbeschwoerung_magier_1.</t>
  </si>
  <si>
    <t>NICHT_KUMULATIV_MEISTERLICHER_SCHULE;VORAUSSETZUNG=vn_meisterlicher_luftbeschwoerung_magier_1</t>
  </si>
  <si>
    <t>Voraussetzung: Meisterlicher Luftbeschwörung-Magier I. Die Wirkung von Zaubern der Schule Luftbeschwörung erhöht sich um 100 % (Faktor 2). Nicht kumulativ mit den anderen Stufen dieses Vorteils. Eine höhere Stufe ersetzt die vorherige Stufe.</t>
  </si>
  <si>
    <t>vn_meisterlicher_magiebeschwoerung_magier_2</t>
  </si>
  <si>
    <t>Meisterlicher Magiebeschwörung-Magier II</t>
  </si>
  <si>
    <t>Gilt ausschließlich für die Schule Magiebeschwörung. Nicht kumulativ; eine höhere Stufe ersetzt die vorherige. Voraussetzung: vn_meisterlicher_magiebeschwoerung_magier_1.</t>
  </si>
  <si>
    <t>NICHT_KUMULATIV_MEISTERLICHER_SCHULE;VORAUSSETZUNG=vn_meisterlicher_magiebeschwoerung_magier_1</t>
  </si>
  <si>
    <t>Voraussetzung: Meisterlicher Magiebeschwörung-Magier I. Die Wirkung von Zaubern der Schule Magiebeschwörung erhöht sich um 100 % (Faktor 2). Nicht kumulativ mit den anderen Stufen dieses Vorteils. Eine höhere Stufe ersetzt die vorherige Stufe.</t>
  </si>
  <si>
    <t>vn_meisterlicher_veraenderung_magier_2</t>
  </si>
  <si>
    <t>Meisterlicher Veränderung-Magier II</t>
  </si>
  <si>
    <t>Gilt ausschließlich für die Schule Veränderung. Nicht kumulativ; eine höhere Stufe ersetzt die vorherige. Voraussetzung: vn_meisterlicher_veraenderung_magier_1.</t>
  </si>
  <si>
    <t>NICHT_KUMULATIV_MEISTERLICHER_SCHULE;VORAUSSETZUNG=vn_meisterlicher_veraenderung_magier_1</t>
  </si>
  <si>
    <t>Voraussetzung: Meisterlicher Veränderung-Magier I. Die Wirkung von Zaubern der Schule Veränderung erhöht sich um 100 % (Faktor 2). Nicht kumulativ mit den anderen Stufen dieses Vorteils. Eine höhere Stufe ersetzt die vorherige Stufe.</t>
  </si>
  <si>
    <t>vn_meisterlicher_verzauberung_magier_2</t>
  </si>
  <si>
    <t>Meisterlicher Verzauberung-Magier II</t>
  </si>
  <si>
    <t>Gilt ausschließlich für die Schule Verzauberung. Nicht kumulativ; eine höhere Stufe ersetzt die vorherige. Voraussetzung: vn_meisterlicher_verzauberung_magier_1.</t>
  </si>
  <si>
    <t>NICHT_KUMULATIV_MEISTERLICHER_SCHULE;VORAUSSETZUNG=vn_meisterlicher_verzauberung_magier_1</t>
  </si>
  <si>
    <t>Voraussetzung: Meisterlicher Verzauberung-Magier I. Die Wirkung von Zaubern der Schule Verzauberung erhöht sich um 100 % (Faktor 2). Nicht kumulativ mit den anderen Stufen dieses Vorteils. Eine höhere Stufe ersetzt die vorherige Stufe.</t>
  </si>
  <si>
    <t>vn_meisterlicher_wasserbeschwoerung_magier_2</t>
  </si>
  <si>
    <t>Meisterlicher Wasserbeschwörung-Magier II</t>
  </si>
  <si>
    <t>Gilt ausschließlich für die Schule Wasserbeschwörung. Nicht kumulativ; eine höhere Stufe ersetzt die vorherige. Voraussetzung: vn_meisterlicher_wasserbeschwoerung_magier_1.</t>
  </si>
  <si>
    <t>NICHT_KUMULATIV_MEISTERLICHER_SCHULE;VORAUSSETZUNG=vn_meisterlicher_wasserbeschwoerung_magier_1</t>
  </si>
  <si>
    <t>Voraussetzung: Meisterlicher Wasserbeschwörung-Magier I. Die Wirkung von Zaubern der Schule Wasserbeschwörung erhöht sich um 100 % (Faktor 2). Nicht kumulativ mit den anderen Stufen dieses Vorteils. Eine höhere Stufe ersetzt die vorherige Stufe.</t>
  </si>
  <si>
    <t>vn_meisterlicher_antimagie_magier_3</t>
  </si>
  <si>
    <t>Meisterlicher Antimagie-Magier III</t>
  </si>
  <si>
    <t>Gilt ausschließlich für die Schule Antimagie. Nicht kumulativ; eine höhere Stufe ersetzt die vorherige. Voraussetzung: vn_meisterlicher_antimagie_magier_2.</t>
  </si>
  <si>
    <t>NICHT_KUMULATIV_MEISTERLICHER_SCHULE;VORAUSSETZUNG=vn_meisterlicher_antimagie_magier_2</t>
  </si>
  <si>
    <t>Voraussetzung: Meisterlicher Antimagie-Magier II. Die Wirkung von Zaubern der Schule Antimagie erhöht sich um 150 % (Faktor 2,5). Nicht kumulativ mit den anderen Stufen dieses Vorteils. Eine höhere Stufe ersetzt die vorherige Stufe.</t>
  </si>
  <si>
    <t>vn_meisterlicher_beherrschung_magier_3</t>
  </si>
  <si>
    <t>Meisterlicher Beherrschung-Magier III</t>
  </si>
  <si>
    <t>Gilt ausschließlich für die Schule Beherrschung. Nicht kumulativ; eine höhere Stufe ersetzt die vorherige. Voraussetzung: vn_meisterlicher_beherrschung_magier_2.</t>
  </si>
  <si>
    <t>NICHT_KUMULATIV_MEISTERLICHER_SCHULE;VORAUSSETZUNG=vn_meisterlicher_beherrschung_magier_2</t>
  </si>
  <si>
    <t>Voraussetzung: Meisterlicher Beherrschung-Magier II. Die Wirkung von Zaubern der Schule Beherrschung erhöht sich um 150 % (Faktor 2,5). Nicht kumulativ mit den anderen Stufen dieses Vorteils. Eine höhere Stufe ersetzt die vorherige Stufe.</t>
  </si>
  <si>
    <t>vn_meisterlicher_erdbeschwoerung_magier_3</t>
  </si>
  <si>
    <t>Meisterlicher Erdbeschwörung-Magier III</t>
  </si>
  <si>
    <t>Gilt ausschließlich für die Schule Erdbeschwörung. Nicht kumulativ; eine höhere Stufe ersetzt die vorherige. Voraussetzung: vn_meisterlicher_erdbeschwoerung_magier_2.</t>
  </si>
  <si>
    <t>NICHT_KUMULATIV_MEISTERLICHER_SCHULE;VORAUSSETZUNG=vn_meisterlicher_erdbeschwoerung_magier_2</t>
  </si>
  <si>
    <t>Voraussetzung: Meisterlicher Erdbeschwörung-Magier II. Die Wirkung von Zaubern der Schule Erdbeschwörung erhöht sich um 150 % (Faktor 2,5). Nicht kumulativ mit den anderen Stufen dieses Vorteils. Eine höhere Stufe ersetzt die vorherige Stufe.</t>
  </si>
  <si>
    <t>vn_meisterlicher_feuerbeschwoerung_magier_3</t>
  </si>
  <si>
    <t>Meisterlicher Feuerbeschwörung-Magier III</t>
  </si>
  <si>
    <t>Gilt ausschließlich für die Schule Feuerbeschwörung. Nicht kumulativ; eine höhere Stufe ersetzt die vorherige. Voraussetzung: vn_meisterlicher_feuerbeschwoerung_magier_2.</t>
  </si>
  <si>
    <t>NICHT_KUMULATIV_MEISTERLICHER_SCHULE;VORAUSSETZUNG=vn_meisterlicher_feuerbeschwoerung_magier_2</t>
  </si>
  <si>
    <t>Voraussetzung: Meisterlicher Feuerbeschwörung-Magier II. Die Wirkung von Zaubern der Schule Feuerbeschwörung erhöht sich um 150 % (Faktor 2,5). Nicht kumulativ mit den anderen Stufen dieses Vorteils. Eine höhere Stufe ersetzt die vorherige Stufe.</t>
  </si>
  <si>
    <t>vn_meisterlicher_heilung_magier_3</t>
  </si>
  <si>
    <t>Meisterlicher Heilung-Magier III</t>
  </si>
  <si>
    <t>Gilt ausschließlich für die Schule Heilung. Nicht kumulativ; eine höhere Stufe ersetzt die vorherige. Voraussetzung: vn_meisterlicher_heilung_magier_2.</t>
  </si>
  <si>
    <t>NICHT_KUMULATIV_MEISTERLICHER_SCHULE;VORAUSSETZUNG=vn_meisterlicher_heilung_magier_2</t>
  </si>
  <si>
    <t>Voraussetzung: Meisterlicher Heilung-Magier II. Die Wirkung von Zaubern der Schule Heilung erhöht sich um 150 % (Faktor 2,5). Nicht kumulativ mit den anderen Stufen dieses Vorteils. Eine höhere Stufe ersetzt die vorherige Stufe.</t>
  </si>
  <si>
    <t>vn_meisterlicher_hellsicht_magier_3</t>
  </si>
  <si>
    <t>Meisterlicher Hellsicht-Magier III</t>
  </si>
  <si>
    <t>Gilt ausschließlich für die Schule Hellsicht. Nicht kumulativ; eine höhere Stufe ersetzt die vorherige. Voraussetzung: vn_meisterlicher_hellsicht_magier_2.</t>
  </si>
  <si>
    <t>NICHT_KUMULATIV_MEISTERLICHER_SCHULE;VORAUSSETZUNG=vn_meisterlicher_hellsicht_magier_2</t>
  </si>
  <si>
    <t>Voraussetzung: Meisterlicher Hellsicht-Magier II. Die Wirkung von Zaubern der Schule Hellsicht erhöht sich um 150 % (Faktor 2,5). Nicht kumulativ mit den anderen Stufen dieses Vorteils. Eine höhere Stufe ersetzt die vorherige Stufe.</t>
  </si>
  <si>
    <t>vn_meisterlicher_illusion_magier_3</t>
  </si>
  <si>
    <t>Meisterlicher Illusion-Magier III</t>
  </si>
  <si>
    <t>Gilt ausschließlich für die Schule Illusion. Nicht kumulativ; eine höhere Stufe ersetzt die vorherige. Voraussetzung: vn_meisterlicher_illusion_magier_2.</t>
  </si>
  <si>
    <t>NICHT_KUMULATIV_MEISTERLICHER_SCHULE;VORAUSSETZUNG=vn_meisterlicher_illusion_magier_2</t>
  </si>
  <si>
    <t>Voraussetzung: Meisterlicher Illusion-Magier II. Die Wirkung von Zaubern der Schule Illusion erhöht sich um 150 % (Faktor 2,5). Nicht kumulativ mit den anderen Stufen dieses Vorteils. Eine höhere Stufe ersetzt die vorherige Stufe.</t>
  </si>
  <si>
    <t>vn_meisterlicher_luftbeschwoerung_magier_3</t>
  </si>
  <si>
    <t>Meisterlicher Luftbeschwörung-Magier III</t>
  </si>
  <si>
    <t>Gilt ausschließlich für die Schule Luftbeschwörung. Nicht kumulativ; eine höhere Stufe ersetzt die vorherige. Voraussetzung: vn_meisterlicher_luftbeschwoerung_magier_2.</t>
  </si>
  <si>
    <t>NICHT_KUMULATIV_MEISTERLICHER_SCHULE;VORAUSSETZUNG=vn_meisterlicher_luftbeschwoerung_magier_2</t>
  </si>
  <si>
    <t>Voraussetzung: Meisterlicher Luftbeschwörung-Magier II. Die Wirkung von Zaubern der Schule Luftbeschwörung erhöht sich um 150 % (Faktor 2,5). Nicht kumulativ mit den anderen Stufen dieses Vorteils. Eine höhere Stufe ersetzt die vorherige Stufe.</t>
  </si>
  <si>
    <t>vn_meisterlicher_magiebeschwoerung_magier_3</t>
  </si>
  <si>
    <t>Meisterlicher Magiebeschwörung-Magier III</t>
  </si>
  <si>
    <t>Gilt ausschließlich für die Schule Magiebeschwörung. Nicht kumulativ; eine höhere Stufe ersetzt die vorherige. Voraussetzung: vn_meisterlicher_magiebeschwoerung_magier_2.</t>
  </si>
  <si>
    <t>NICHT_KUMULATIV_MEISTERLICHER_SCHULE;VORAUSSETZUNG=vn_meisterlicher_magiebeschwoerung_magier_2</t>
  </si>
  <si>
    <t>Voraussetzung: Meisterlicher Magiebeschwörung-Magier II. Die Wirkung von Zaubern der Schule Magiebeschwörung erhöht sich um 150 % (Faktor 2,5). Nicht kumulativ mit den anderen Stufen dieses Vorteils. Eine höhere Stufe ersetzt die vorherige Stufe.</t>
  </si>
  <si>
    <t>vn_meisterlicher_veraenderung_magier_3</t>
  </si>
  <si>
    <t>Meisterlicher Veränderung-Magier III</t>
  </si>
  <si>
    <t>Gilt ausschließlich für die Schule Veränderung. Nicht kumulativ; eine höhere Stufe ersetzt die vorherige. Voraussetzung: vn_meisterlicher_veraenderung_magier_2.</t>
  </si>
  <si>
    <t>NICHT_KUMULATIV_MEISTERLICHER_SCHULE;VORAUSSETZUNG=vn_meisterlicher_veraenderung_magier_2</t>
  </si>
  <si>
    <t>Voraussetzung: Meisterlicher Veränderung-Magier II. Die Wirkung von Zaubern der Schule Veränderung erhöht sich um 150 % (Faktor 2,5). Nicht kumulativ mit den anderen Stufen dieses Vorteils. Eine höhere Stufe ersetzt die vorherige Stufe.</t>
  </si>
  <si>
    <t>vn_meisterlicher_verzauberung_magier_3</t>
  </si>
  <si>
    <t>Meisterlicher Verzauberung-Magier III</t>
  </si>
  <si>
    <t>Gilt ausschließlich für die Schule Verzauberung. Nicht kumulativ; eine höhere Stufe ersetzt die vorherige. Voraussetzung: vn_meisterlicher_verzauberung_magier_2.</t>
  </si>
  <si>
    <t>NICHT_KUMULATIV_MEISTERLICHER_SCHULE;VORAUSSETZUNG=vn_meisterlicher_verzauberung_magier_2</t>
  </si>
  <si>
    <t>Voraussetzung: Meisterlicher Verzauberung-Magier II. Die Wirkung von Zaubern der Schule Verzauberung erhöht sich um 150 % (Faktor 2,5). Nicht kumulativ mit den anderen Stufen dieses Vorteils. Eine höhere Stufe ersetzt die vorherige Stufe.</t>
  </si>
  <si>
    <t>vn_meisterlicher_wasserbeschwoerung_magier_3</t>
  </si>
  <si>
    <t>Meisterlicher Wasserbeschwörung-Magier III</t>
  </si>
  <si>
    <t>Gilt ausschließlich für die Schule Wasserbeschwörung. Nicht kumulativ; eine höhere Stufe ersetzt die vorherige. Voraussetzung: vn_meisterlicher_wasserbeschwoerung_magier_2.</t>
  </si>
  <si>
    <t>NICHT_KUMULATIV_MEISTERLICHER_SCHULE;VORAUSSETZUNG=vn_meisterlicher_wasserbeschwoerung_magier_2</t>
  </si>
  <si>
    <t>Voraussetzung: Meisterlicher Wasserbeschwörung-Magier II. Die Wirkung von Zaubern der Schule Wasserbeschwörung erhöht sich um 150 % (Faktor 2,5). Nicht kumulativ mit den anderen Stufen dieses Vorteils. Eine höhere Stufe ersetzt die vorherige Stufe.</t>
  </si>
  <si>
    <t>vn_telepathie_sender</t>
  </si>
  <si>
    <t>Telepathie: Sender</t>
  </si>
  <si>
    <t>Ausschließlich für die Spezies Elementare wählbar.</t>
  </si>
  <si>
    <t>SPEZIES_ELEMENTARE</t>
  </si>
  <si>
    <t>Nur für Charaktere der Spezies Elementare.</t>
  </si>
  <si>
    <t>vn_telepathie_empfaenger</t>
  </si>
  <si>
    <t>Telepathie: Empfänger</t>
  </si>
  <si>
    <t>vn_aussehen_normal</t>
  </si>
  <si>
    <t>Aussehen: Normal</t>
  </si>
  <si>
    <t>Neutrale Aussehensstufe.</t>
  </si>
  <si>
    <t>Aussehen</t>
  </si>
  <si>
    <t>vn_faehigkeit_meisterliche_grundfertigkeit</t>
  </si>
  <si>
    <t>Fähigkeit: Meisterliche Grundfertigkeit</t>
  </si>
  <si>
    <t>Offene Grundfertigkeiten-Liste: In der App ist ein dynamisches Dropdown über alle vorhandenen Grundfertigkeiten erforderlich. Jede gewählte Grundfertigkeit ist eine eigene, separat kaufbare Instanz; dieselbe Grundfertigkeit darf nicht doppelt gewählt werden. Umsetzung durch Claude.</t>
  </si>
  <si>
    <t>Meisterliche Grundfertigkeit</t>
  </si>
  <si>
    <t>APP_DROPDOWN_GRUNDFERTIGKEIT_OFFENE_LISTE</t>
  </si>
  <si>
    <t>Nicht Magier: Der Charakter kann max. (M) Mana für (M)*2 min in 1 Talentwert (TaW) pro 4 Mana einer ausgewählten Grundfertigkeit umwandeln. Dieser Vorteil muss für jede Grundfertigkeit einzeln gekauft werden.</t>
  </si>
  <si>
    <t>vn_angst_magie_25</t>
  </si>
  <si>
    <t>Panik: Magie</t>
  </si>
  <si>
    <t>Auswahlgruppe angst_magie; maximal 1 Stufe; Angstwert 25; direkte Konfrontation: sofort, danach alle 2 KR; bloße Gegenwart: BE -4.</t>
  </si>
  <si>
    <t>EXKLUSIV_ANGST=angst_magie | ANGST_INTERVALL=2_KR | ANGST_DIREKTE_KONFRONTATION=1 | ANGST_BE=-4</t>
  </si>
  <si>
    <t>Der Charakter reagiert auf alle Magie mit Panik und ist nicht in der Lage, irgendeine Form von Magie außer KI zu wirken. Bei direkter Konfrontation mit Magie, insbesondere wenn er gegen einen Magiewirker vorgeht, muss er sofort, danach alle 2 KR eine um 25 erschwerte Mut-Probe bestehen, um handlungsfähig zu bleiben. Um Verzauberungen oder magische Heilung zuzulassen, ein Artefakt zu benutzen oder bewusst mit Magie zu interagieren, muss er einmalig eine um 25 erschwerte Willenskraft-Probe bestehen. Ist Magie zwar gegenwärtig, aber weder direkter Gegner noch Gegenstand, Wesen oder sonstiges Ziel, mit dem sich der Charakter aktuell befasst, sind keine Angst-Proben erforderlich; der Charakter erhält BE -4.</t>
  </si>
  <si>
    <t>vn_angst_verlusten_humanoide_25</t>
  </si>
  <si>
    <t>Panik: Verlusten (Humanoide)</t>
  </si>
  <si>
    <t>Auswahlgruppe angst_verlusten_humanoide; maximal 1 Stufe; Angstwert 25; direkte Konfrontation: sofort, danach alle 2 KR; bloße Gegenwart: BE -4.</t>
  </si>
  <si>
    <t>EXKLUSIV_ANGST=angst_verlusten_humanoide | ANGST_INTERVALL=2_KR | ANGST_DIREKTE_KONFRONTATION=1 | ANGST_BE=-4</t>
  </si>
  <si>
    <t>Der Charakter reagiert auf Verlusten (Humanoide) mit Panik. Bei direkter Konfrontation mit Verlusten (Humanoide) muss er sofort, danach alle 2 KR eine um 25 erschwerte Mut-Probe bestehen, um handlungsfähig zu bleiben. Um sich Verlusten (Humanoide) freiwillig zu nähern, die Angstquelle zu berühren oder bewusst mit ihr zu interagieren, muss er einmalig eine um 25 erschwerte Willenskraft-Probe bestehen. Ist Verlusten (Humanoide) zwar gegenwärtig, aber weder direkter Gegner noch Gegenstand, Wesen oder sonstiges Ziel, mit dem sich der Charakter aktuell befasst, sind keine Angst-Proben erforderlich; der Charakter erhält BE -4.</t>
  </si>
  <si>
    <t>vn_angst_arachnophobie_25</t>
  </si>
  <si>
    <t>Panik: Arachnophobie</t>
  </si>
  <si>
    <t>Auswahlgruppe angst_arachnophobie; maximal 1 Stufe; Angstwert 25; direkte Konfrontation: sofort, danach alle 2 KR; bloße Gegenwart: BE -4.</t>
  </si>
  <si>
    <t>EXKLUSIV_ANGST=angst_arachnophobie | ANGST_INTERVALL=2_KR | ANGST_DIREKTE_KONFRONTATION=1 | ANGST_BE=-4</t>
  </si>
  <si>
    <t>Der Charakter reagiert auf Arachnophobie mit Panik. Bei direkter Konfrontation mit Arachnophobie muss er sofort, danach alle 2 KR eine um 25 erschwerte Mut-Probe bestehen, um handlungsfähig zu bleiben. Um sich Arachnophobie freiwillig zu nähern, die Angstquelle zu berühren oder bewusst mit ihr zu interagieren, muss er einmalig eine um 25 erschwerte Willenskraft-Probe bestehen. Ist Arachnophobie zwar gegenwärtig, aber weder direkter Gegner noch Gegenstand, Wesen oder sonstiges Ziel, mit dem sich der Charakter aktuell befasst, sind keine Angst-Proben erforderlich; der Charakter erhält BE -4.</t>
  </si>
  <si>
    <t>vn_angst_bestimmtes_domestiziertes_tier_25</t>
  </si>
  <si>
    <t>Panik: Bestimmtes domestiziertes Tier</t>
  </si>
  <si>
    <t>Auswahlgruppe angst_bestimmtes_domestiziertes_tier; maximal 1 Stufe; Angstwert 25; direkte Konfrontation: sofort, danach alle 2 KR; bloße Gegenwart: BE -4.</t>
  </si>
  <si>
    <t>EXKLUSIV_ANGST=angst_bestimmtes_domestiziertes_tier | ANGST_INTERVALL=2_KR | ANGST_DIREKTE_KONFRONTATION=1 | ANGST_BE=-4</t>
  </si>
  <si>
    <t>Der Charakter reagiert auf Bestimmtes domestiziertes Tier mit Panik. Bei direkter Konfrontation mit Bestimmtes domestiziertes Tier muss er sofort, danach alle 2 KR eine um 25 erschwerte Mut-Probe bestehen, um handlungsfähig zu bleiben. Um sich Bestimmtes domestiziertes Tier freiwillig zu nähern, die Angstquelle zu berühren oder bewusst mit ihr zu interagieren, muss er einmalig eine um 25 erschwerte Willenskraft-Probe bestehen. Ist Bestimmtes domestiziertes Tier zwar gegenwärtig, aber weder direkter Gegner noch Gegenstand, Wesen oder sonstiges Ziel, mit dem sich der Charakter aktuell befasst, sind keine Angst-Proben erforderlich; der Charakter erhält BE -4.</t>
  </si>
  <si>
    <t>vn_angst_hundeartige_25</t>
  </si>
  <si>
    <t>Panik: Hundeartige</t>
  </si>
  <si>
    <t>Auswahlgruppe angst_hundeartige; maximal 1 Stufe; Angstwert 25; direkte Konfrontation: sofort, danach alle 2 KR; bloße Gegenwart: BE -4.</t>
  </si>
  <si>
    <t>EXKLUSIV_ANGST=angst_hundeartige | ANGST_INTERVALL=2_KR | ANGST_DIREKTE_KONFRONTATION=1 | ANGST_BE=-4</t>
  </si>
  <si>
    <t>Der Charakter reagiert auf Hundeartige mit Panik. Bei direkter Konfrontation mit Hundeartige muss er sofort, danach alle 2 KR eine um 25 erschwerte Mut-Probe bestehen, um handlungsfähig zu bleiben. Um sich Hundeartige freiwillig zu nähern, die Angstquelle zu berühren oder bewusst mit ihr zu interagieren, muss er einmalig eine um 25 erschwerte Willenskraft-Probe bestehen. Ist Hundeartige zwar gegenwärtig, aber weder direkter Gegner noch Gegenstand, Wesen oder sonstiges Ziel, mit dem sich der Charakter aktuell befasst, sind keine Angst-Proben erforderlich; der Charakter erhält BE -4.</t>
  </si>
  <si>
    <t>vn_angst_hunger_25</t>
  </si>
  <si>
    <t>Panik: Hunger</t>
  </si>
  <si>
    <t>Auswahlgruppe angst_hunger; maximal 1 Stufe; Angstwert 25; direkte Konfrontation: sofort, danach alle 2 KR; bloße Gegenwart: BE -4.</t>
  </si>
  <si>
    <t>EXKLUSIV_ANGST=angst_hunger | ANGST_INTERVALL=2_KR | ANGST_DIREKTE_KONFRONTATION=1 | ANGST_BE=-4</t>
  </si>
  <si>
    <t>Der Charakter reagiert auf Hunger mit Panik. Bei direkter Konfrontation mit Hunger muss er sofort, danach alle 2 KR eine um 25 erschwerte Mut-Probe bestehen, um handlungsfähig zu bleiben. Um sich Hunger freiwillig zu nähern, die Angstquelle zu berühren oder bewusst mit ihr zu interagieren, muss er einmalig eine um 25 erschwerte Willenskraft-Probe bestehen. Ist Hunger zwar gegenwärtig, aber weder direkter Gegner noch Gegenstand, Wesen oder sonstiges Ziel, mit dem sich der Charakter aktuell befasst, sind keine Angst-Proben erforderlich; der Charakter erhält BE -4.</t>
  </si>
  <si>
    <t>vn_angst_laecherlichkeit_25</t>
  </si>
  <si>
    <t>Panik: Lächerlichkeit</t>
  </si>
  <si>
    <t>Auswahlgruppe angst_laecherlichkeit; maximal 1 Stufe; Angstwert 25; direkte Konfrontation: sofort, danach alle 2 KR; bloße Gegenwart: BE -4.</t>
  </si>
  <si>
    <t>EXKLUSIV_ANGST=angst_laecherlichkeit | ANGST_INTERVALL=2_KR | ANGST_DIREKTE_KONFRONTATION=1 | ANGST_BE=-4</t>
  </si>
  <si>
    <t>Der Charakter reagiert auf Lächerlichkeit mit Panik. Bei direkter Konfrontation mit Lächerlichkeit muss er sofort, danach alle 2 KR eine um 25 erschwerte Mut-Probe bestehen, um handlungsfähig zu bleiben. Um sich Lächerlichkeit freiwillig zu nähern, die Angstquelle zu berühren oder bewusst mit ihr zu interagieren, muss er einmalig eine um 25 erschwerte Willenskraft-Probe bestehen. Ist Lächerlichkeit zwar gegenwärtig, aber weder direkter Gegner noch Gegenstand, Wesen oder sonstiges Ziel, mit dem sich der Charakter aktuell befasst, sind keine Angst-Proben erforderlich; der Charakter erhält BE -4.</t>
  </si>
  <si>
    <t>vn_angst_magische_gegenstaende_25</t>
  </si>
  <si>
    <t>Panik: Magische Gegenstände</t>
  </si>
  <si>
    <t>Auswahlgruppe angst_magische_gegenstaende; maximal 1 Stufe; Angstwert 25; direkte Konfrontation: sofort, danach alle 2 KR; bloße Gegenwart: BE -4.</t>
  </si>
  <si>
    <t>EXKLUSIV_ANGST=angst_magische_gegenstaende | ANGST_INTERVALL=2_KR | ANGST_DIREKTE_KONFRONTATION=1 | ANGST_BE=-4</t>
  </si>
  <si>
    <t>Der Charakter reagiert auf Magische Gegenstände mit Panik. Bei direkter Konfrontation mit Magische Gegenstände muss er sofort, danach alle 2 KR eine um 25 erschwerte Mut-Probe bestehen, um handlungsfähig zu bleiben. Um sich Magische Gegenstände freiwillig zu nähern, die Angstquelle zu berühren oder bewusst mit ihr zu interagieren, muss er einmalig eine um 25 erschwerte Willenskraft-Probe bestehen. Ist Magische Gegenstände zwar gegenwärtig, aber weder direkter Gegner noch Gegenstand, Wesen oder sonstiges Ziel, mit dem sich der Charakter aktuell befasst, sind keine Angst-Proben erforderlich; der Charakter erhält BE -4.</t>
  </si>
  <si>
    <t>vn_angst_magische_wesen_25</t>
  </si>
  <si>
    <t>Panik: Magische Wesen</t>
  </si>
  <si>
    <t>Auswahlgruppe angst_magische_wesen; maximal 1 Stufe; Angstwert 25; direkte Konfrontation: sofort, danach alle 2 KR; bloße Gegenwart: BE -4.</t>
  </si>
  <si>
    <t>EXKLUSIV_ANGST=angst_magische_wesen | ANGST_INTERVALL=2_KR | ANGST_DIREKTE_KONFRONTATION=1 | ANGST_BE=-4</t>
  </si>
  <si>
    <t>Der Charakter reagiert auf Magische Wesen mit Panik. Bei direkter Konfrontation mit Magische Wesen muss er sofort, danach alle 2 KR eine um 25 erschwerte Mut-Probe bestehen, um handlungsfähig zu bleiben. Um sich Magische Wesen freiwillig zu nähern, die Angstquelle zu berühren oder bewusst mit ihr zu interagieren, muss er einmalig eine um 25 erschwerte Willenskraft-Probe bestehen. Ist Magische Wesen zwar gegenwärtig, aber weder direkter Gegner noch Gegenstand, Wesen oder sonstiges Ziel, mit dem sich der Charakter aktuell befasst, sind keine Angst-Proben erforderlich; der Charakter erhält BE -4.</t>
  </si>
  <si>
    <t>vn_angst_meer_25</t>
  </si>
  <si>
    <t>Panik: Meer</t>
  </si>
  <si>
    <t>Auswahlgruppe angst_meer; maximal 1 Stufe; Angstwert 25; direkte Konfrontation: sofort, danach alle 2 KR; bloße Gegenwart: BE -4.</t>
  </si>
  <si>
    <t>EXKLUSIV_ANGST=angst_meer | ANGST_INTERVALL=2_KR | ANGST_DIREKTE_KONFRONTATION=1 | ANGST_BE=-4</t>
  </si>
  <si>
    <t>Der Charakter reagiert auf Meer mit Panik. Bei direkter Konfrontation mit Meer muss er sofort, danach alle 2 KR eine um 25 erschwerte Mut-Probe bestehen, um handlungsfähig zu bleiben. Um sich Meer freiwillig zu nähern, die Angstquelle zu berühren oder bewusst mit ihr zu interagieren, muss er einmalig eine um 25 erschwerte Willenskraft-Probe bestehen. Ist Meer zwar gegenwärtig, aber weder direkter Gegner noch Gegenstand, Wesen oder sonstiges Ziel, mit dem sich der Charakter aktuell befasst, sind keine Angst-Proben erforderlich; der Charakter erhält BE -4.</t>
  </si>
  <si>
    <t>vn_angst_raubkatzen_25</t>
  </si>
  <si>
    <t>Panik: Raubkatzen</t>
  </si>
  <si>
    <t>Auswahlgruppe angst_raubkatzen; maximal 1 Stufe; Angstwert 25; direkte Konfrontation: sofort, danach alle 2 KR; bloße Gegenwart: BE -4.</t>
  </si>
  <si>
    <t>EXKLUSIV_ANGST=angst_raubkatzen | ANGST_INTERVALL=2_KR | ANGST_DIREKTE_KONFRONTATION=1 | ANGST_BE=-4</t>
  </si>
  <si>
    <t>Der Charakter reagiert auf Raubkatzen mit Panik. Bei direkter Konfrontation mit Raubkatzen muss er sofort, danach alle 2 KR eine um 25 erschwerte Mut-Probe bestehen, um handlungsfähig zu bleiben. Um sich Raubkatzen freiwillig zu nähern, die Angstquelle zu berühren oder bewusst mit ihr zu interagieren, muss er einmalig eine um 25 erschwerte Willenskraft-Probe bestehen. Ist Raubkatzen zwar gegenwärtig, aber weder direkter Gegner noch Gegenstand, Wesen oder sonstiges Ziel, mit dem sich der Charakter aktuell befasst, sind keine Angst-Proben erforderlich; der Charakter erhält BE -4.</t>
  </si>
  <si>
    <t>vn_angst_schmutz_25</t>
  </si>
  <si>
    <t>Panik: Schmutz</t>
  </si>
  <si>
    <t>Auswahlgruppe angst_schmutz; maximal 1 Stufe; Angstwert 25; direkte Konfrontation: sofort, danach alle 2 KR; bloße Gegenwart: BE -4.</t>
  </si>
  <si>
    <t>EXKLUSIV_ANGST=angst_schmutz | ANGST_INTERVALL=2_KR | ANGST_DIREKTE_KONFRONTATION=1 | ANGST_BE=-4</t>
  </si>
  <si>
    <t>Der Charakter reagiert auf Schmutz mit Panik. Bei direkter Konfrontation mit Schmutz muss er sofort, danach alle 2 KR eine um 25 erschwerte Mut-Probe bestehen, um handlungsfähig zu bleiben. Um sich Schmutz freiwillig zu nähern, die Angstquelle zu berühren oder bewusst mit ihr zu interagieren, muss er einmalig eine um 25 erschwerte Willenskraft-Probe bestehen. Ist Schmutz zwar gegenwärtig, aber weder direkter Gegner noch Gegenstand, Wesen oder sonstiges Ziel, mit dem sich der Charakter aktuell befasst, sind keine Angst-Proben erforderlich; der Charakter erhält BE -4.</t>
  </si>
  <si>
    <t>vn_angst_tiere_25</t>
  </si>
  <si>
    <t>Panik: Tiere</t>
  </si>
  <si>
    <t>Auswahlgruppe angst_tiere; maximal 1 Stufe; Angstwert 25; direkte Konfrontation: sofort, danach alle 2 KR; bloße Gegenwart: BE -4.</t>
  </si>
  <si>
    <t>EXKLUSIV_ANGST=angst_tiere | ANGST_INTERVALL=2_KR | ANGST_DIREKTE_KONFRONTATION=1 | ANGST_BE=-4</t>
  </si>
  <si>
    <t>Der Charakter reagiert auf Tiere mit Panik. Bei direkter Konfrontation mit Tiere muss er sofort, danach alle 2 KR eine um 25 erschwerte Mut-Probe bestehen, um handlungsfähig zu bleiben. Um sich Tiere freiwillig zu nähern, die Angstquelle zu berühren oder bewusst mit ihr zu interagieren, muss er einmalig eine um 25 erschwerte Willenskraft-Probe bestehen. Ist Tiere zwar gegenwärtig, aber weder direkter Gegner noch Gegenstand, Wesen oder sonstiges Ziel, mit dem sich der Charakter aktuell befasst, sind keine Angst-Proben erforderlich; der Charakter erhält BE -4.</t>
  </si>
  <si>
    <t>vn_angst_untote_25</t>
  </si>
  <si>
    <t>Panik: Untote</t>
  </si>
  <si>
    <t>Auswahlgruppe angst_untote; maximal 1 Stufe; Angstwert 25; direkte Konfrontation: sofort, danach alle 2 KR; bloße Gegenwart: BE -4.</t>
  </si>
  <si>
    <t>EXKLUSIV_ANGST=angst_untote | ANGST_INTERVALL=2_KR | ANGST_DIREKTE_KONFRONTATION=1 | ANGST_BE=-4</t>
  </si>
  <si>
    <t>Der Charakter reagiert auf Untote mit Panik. Bei direkter Konfrontation mit Untote muss er sofort, danach alle 2 KR eine um 25 erschwerte Mut-Probe bestehen, um handlungsfähig zu bleiben. Um sich Untote freiwillig zu nähern, die Angstquelle zu berühren oder bewusst mit ihr zu interagieren, muss er einmalig eine um 25 erschwerte Willenskraft-Probe bestehen. Ist Untote zwar gegenwärtig, aber weder direkter Gegner noch Gegenstand, Wesen oder sonstiges Ziel, mit dem sich der Charakter aktuell befasst, sind keine Angst-Proben erforderlich; der Charakter erhält BE -4.</t>
  </si>
  <si>
    <t>vn_angst_voegel_25</t>
  </si>
  <si>
    <t>Panik: Vögel</t>
  </si>
  <si>
    <t>Auswahlgruppe angst_voegel; maximal 1 Stufe; Angstwert 25; direkte Konfrontation: sofort, danach alle 2 KR; bloße Gegenwart: BE -4.</t>
  </si>
  <si>
    <t>EXKLUSIV_ANGST=angst_voegel | ANGST_INTERVALL=2_KR | ANGST_DIREKTE_KONFRONTATION=1 | ANGST_BE=-4</t>
  </si>
  <si>
    <t>Der Charakter reagiert auf Vögel mit Panik. Bei direkter Konfrontation mit Vögel muss er sofort, danach alle 2 KR eine um 25 erschwerte Mut-Probe bestehen, um handlungsfähig zu bleiben. Um sich Vögel freiwillig zu nähern, die Angstquelle zu berühren oder bewusst mit ihr zu interagieren, muss er einmalig eine um 25 erschwerte Willenskraft-Probe bestehen. Ist Vögel zwar gegenwärtig, aber weder direkter Gegner noch Gegenstand, Wesen oder sonstiges Ziel, mit dem sich der Charakter aktuell befasst, sind keine Angst-Proben erforderlich; der Charakter erhält BE -4.</t>
  </si>
  <si>
    <t>vn_angst_wasser_25</t>
  </si>
  <si>
    <t>Panik: Wasser</t>
  </si>
  <si>
    <t>Auswahlgruppe angst_wasser; maximal 1 Stufe; Angstwert 25; direkte Konfrontation: sofort, danach alle 2 KR; bloße Gegenwart: BE -4.</t>
  </si>
  <si>
    <t>EXKLUSIV_ANGST=angst_wasser | ANGST_INTERVALL=2_KR | ANGST_DIREKTE_KONFRONTATION=1 | ANGST_BE=-4</t>
  </si>
  <si>
    <t>Der Charakter reagiert auf Wasser mit Panik. Bei direkter Konfrontation mit Wasser muss er sofort, danach alle 2 KR eine um 25 erschwerte Mut-Probe bestehen, um handlungsfähig zu bleiben. Um sich Wasser freiwillig zu nähern, die Angstquelle zu berühren oder bewusst mit ihr zu interagieren, muss er einmalig eine um 25 erschwerte Willenskraft-Probe bestehen. Ist Wasser zwar gegenwärtig, aber weder direkter Gegner noch Gegenstand, Wesen oder sonstiges Ziel, mit dem sich der Charakter aktuell befasst, sind keine Angst-Proben erforderlich; der Charakter erhält BE -4.</t>
  </si>
  <si>
    <t>vn_angst_wilde_tiere_25</t>
  </si>
  <si>
    <t>Panik: Wilde Tiere</t>
  </si>
  <si>
    <t>Auswahlgruppe angst_wilde_tiere; maximal 1 Stufe; Angstwert 25; direkte Konfrontation: sofort, danach alle 2 KR; bloße Gegenwart: BE -4.</t>
  </si>
  <si>
    <t>EXKLUSIV_ANGST=angst_wilde_tiere | ANGST_INTERVALL=2_KR | ANGST_DIREKTE_KONFRONTATION=1 | ANGST_BE=-4</t>
  </si>
  <si>
    <t>Der Charakter reagiert auf Wilde Tiere mit Panik. Bei direkter Konfrontation mit Wilde Tiere muss er sofort, danach alle 2 KR eine um 25 erschwerte Mut-Probe bestehen, um handlungsfähig zu bleiben. Um sich Wilde Tiere freiwillig zu nähern, die Angstquelle zu berühren oder bewusst mit ihr zu interagieren, muss er einmalig eine um 25 erschwerte Willenskraft-Probe bestehen. Ist Wilde Tiere zwar gegenwärtig, aber weder direkter Gegner noch Gegenstand, Wesen oder sonstiges Ziel, mit dem sich der Charakter aktuell befasst, sind keine Angst-Proben erforderlich; der Charakter erhält BE -4.</t>
  </si>
  <si>
    <t>vn_angst_xenophobie_25</t>
  </si>
  <si>
    <t>Panik: Xenophobie</t>
  </si>
  <si>
    <t>Auswahlgruppe angst_xenophobie; maximal 1 Stufe; Angstwert 25; direkte Konfrontation: sofort, danach alle 2 KR; bloße Gegenwart: BE -4.</t>
  </si>
  <si>
    <t>EXKLUSIV_ANGST=angst_xenophobie | ANGST_INTERVALL=2_KR | ANGST_DIREKTE_KONFRONTATION=1 | ANGST_BE=-4</t>
  </si>
  <si>
    <t>Der Charakter reagiert auf Xenophobie mit Panik. Bei direkter Konfrontation mit Xenophobie muss er sofort, danach alle 2 KR eine um 25 erschwerte Mut-Probe bestehen, um handlungsfähig zu bleiben. Um sich Xenophobie freiwillig zu nähern, die Angstquelle zu berühren oder bewusst mit ihr zu interagieren, muss er einmalig eine um 25 erschwerte Willenskraft-Probe bestehen. Ist Xenophobie zwar gegenwärtig, aber weder direkter Gegner noch Gegenstand, Wesen oder sonstiges Ziel, mit dem sich der Charakter aktuell befasst, sind keine Angst-Proben erforderlich; der Charakter erhält BE -4.</t>
  </si>
  <si>
    <t>spruchmagie_veraenderung_1_magisches_makeover</t>
  </si>
  <si>
    <t>1</t>
  </si>
  <si>
    <t>spruchmagie_veraenderung_1_wasserwandeln</t>
  </si>
  <si>
    <t>spruchmagie_verzauberung_1_ausstrahlung_erhoehen</t>
  </si>
  <si>
    <t>spruchmagie_verzauberung_1_grundfertigkeit_erhoehen</t>
  </si>
  <si>
    <t>Eine fest gewählte Grundfertigkeit wird um {Magie} * 2 Punkte erhöht. Ab einem Spruch-TaW von 15 kann eine zweite, ab 20 eine dritte, ab 24 eine vierte, ab 27 eine fünfte und ab 30 eine sechste Grundfertigkeit gewählt werden. Der Magus muss diese mindestens auf TaW 5 haben. Sonderfertigkeiten können nicht erhöht werden. Dieser Zauber kann mehrfach erlernt werden.</t>
  </si>
  <si>
    <t>spruchmagie_verzauberung_2_koerperliche_eigenschaft_erhoehen</t>
  </si>
  <si>
    <t>2</t>
  </si>
  <si>
    <t>spruchmagie_antimagie_1_magische_wand</t>
  </si>
  <si>
    <t>spruchmagie_antimagie_2_magische_reinigung</t>
  </si>
  <si>
    <t>spruchmagie_antimagie_2_bipolare_schere</t>
  </si>
  <si>
    <t>spruchmagie_antimagie_2_magische_kuppel</t>
  </si>
  <si>
    <t>spruchmagie_antimagie_3_magischer_schild</t>
  </si>
  <si>
    <t>3</t>
  </si>
  <si>
    <t>spruchmagie_antimagie_3_magische_barriere</t>
  </si>
  <si>
    <t>spruchmagie_antimagie_4_magische_bresche</t>
  </si>
  <si>
    <t>4</t>
  </si>
  <si>
    <t>spruchmagie_antimagie_4_mobile_barriere</t>
  </si>
  <si>
    <t>spruchmagie_antimagie_5_schutz</t>
  </si>
  <si>
    <t>5</t>
  </si>
  <si>
    <t>spruchmagie_antimagie_6_antimagisches_feld</t>
  </si>
  <si>
    <t>6</t>
  </si>
  <si>
    <t>spruchmagie_antimagie_7_spiegeltrick</t>
  </si>
  <si>
    <t>7</t>
  </si>
  <si>
    <t>spruchmagie_heilung_1_wunden_schliessen</t>
  </si>
  <si>
    <t>spruchmagie_heilung_2_kleine_heilung</t>
  </si>
  <si>
    <t>Der Magus schließt eine Wunde (1 Blutung stoppen) und heilt 2W6 + {Magie} Lebensenergie auf einer Trefferzone. Überschüssige LE verfallen.</t>
  </si>
  <si>
    <t>spruchmagie_heilung_3_mittlere_heilung</t>
  </si>
  <si>
    <t>Der Magus schließt eine Wunde (1 Blutung stoppen) und heilt 2W10 + {Magie} Lebensenergie auf einer Trefferzone. Überschüssige LE verfallen.</t>
  </si>
  <si>
    <t>spruchmagie_heilung_4_gesundheit_wiederherstellen</t>
  </si>
  <si>
    <t>spruchmagie_beherrschung_1_respekt_einfloessen</t>
  </si>
  <si>
    <t>Der Magus wirkt dem Opfer gegenüber wesentlich imposanter und seine Worte sind wesentlich zwingender als vorher. Ein Wunsch von ihm ist jetzt ehr wie ein Befehl eines Generals an einen einfachen Soldaten. Er bekommt dem Opfer gegenüber einen Ausstrahlungsbonus von +2x {Magie}</t>
  </si>
  <si>
    <t>spruchmagie_beherrschung_2_entmutigen</t>
  </si>
  <si>
    <t>spruchmagie_beherrschung_3_konfus</t>
  </si>
  <si>
    <t>Das Opfer kann nicht mehr zwischen Freund oder Feind unterscheiden und Greift Zufällig eine Feind/Freund an. Das Opfer wird nicht zum Kampf gezwungen, befindet es sich gerade nicht im Kampf so passiert solange nichts biss es zum Kampf kommt. Erleidet das Opfer während der Wirkungsdauer Schaden über seiner TS so fällt der Z.</t>
  </si>
  <si>
    <t>spruchmagie_beherrschung_4_furcht</t>
  </si>
  <si>
    <t>spruchmagie_beherrschung_5_massenfurcht</t>
  </si>
  <si>
    <t>spruchmagie_beherrschung_5_paralyse</t>
  </si>
  <si>
    <t>Das Opfer erstarrt während der Wirkungsdauer vollständig (Status: Wehrlos), ist aber bewegbar. Steht das Opfer beim Eintritt der Wirkung, fällt es in der nächsten KR ungeprobt durch Status: Sturz. Der Magus kann versuchen Maximal {Magie} Lebewesen in Sicht und Reichweite gleichzeitig zu Paralysieren, allerdings addiert sich die (M) aller Opfer bei der Beherrschungsprobe gegen die {M} des Magus auf.</t>
  </si>
  <si>
    <t>spruchmagie_beherrschung_6_totale_kontrolle</t>
  </si>
  <si>
    <t>spruchmagie_beherrschung_7_massen_raserei</t>
  </si>
  <si>
    <t>spruchmagie_beherrschung_7_menschen_befehligen</t>
  </si>
  <si>
    <t>Das Opfer muss dem Befehl des Magus sofort folge leisten. Egal was er gerade tut, er wird damit aufhören um seinen neuen Lebensinhalt nach zu gehen.  Der Mensch weiß zwar genau was der Magier von ihm will, kann aber nur mit seiner Eigenen Intelligenz versuchen den Auftrag zu erfüllen. Ein Torfkopf  wird wohl keine Algebra Aufgabe lösen können. So ballt der Auftrag erfüllt ist, ist der Mensch wieder absolut Frei. Der Zauber funktioniert nicht wenn sich das Opfer selbst umbringen soll. (Unbewaffnet gegen Bulwar antreten zählt dazu.)</t>
  </si>
  <si>
    <t>spruchmagie_illusion_1_funkentanz</t>
  </si>
  <si>
    <t>Der Magus erzeugt viele kleine Lichtfunken, die rund um seinen Körper fliegen. Hierdurch wird es für jeden Gegner um {Magie} schwerer, ihn mit einer Nahkampf- oder Fernkampf-Attacke zu treffen.</t>
  </si>
  <si>
    <t>spruchmagie_illusion_2_blitzlicht</t>
  </si>
  <si>
    <t>spruchmagie_illusion_3_dunkelheit</t>
  </si>
  <si>
    <t>spruchmagie_illusion_4_nebel</t>
  </si>
  <si>
    <t>spruchmagie_illusion_5_chamaeleon</t>
  </si>
  <si>
    <t>spruchmagie_illusion_6_unauffindbarkeit</t>
  </si>
  <si>
    <t>spruchmagie_illusion_6_unsichtbarkeit</t>
  </si>
  <si>
    <t>spruchmagie_illusion_6_magischer_nebel</t>
  </si>
  <si>
    <t>spruchmagie_illusion_7_bewegte_vollsensorische_illusion</t>
  </si>
  <si>
    <t>spruchmagie_magiebeschwoerung_1_magischer_ball</t>
  </si>
  <si>
    <t>spruchmagie_magiebeschwoerung_2_magisches_geschoss</t>
  </si>
  <si>
    <t>spruchmagie_magiebeschwoerung_3_magische_entladung</t>
  </si>
  <si>
    <t>Der Magus erschafft um das Opfer eine Kugel aus Magie.  Treffer auf FK-TZ mit 2 TZ-Rerolls auf die gewünschte Trefferzone. Schaden: 2W6 + {Magie}, zusätzliche Erschwerung der SB-Probe -6, wenn min. 1 SP erzielt wird.</t>
  </si>
  <si>
    <t>spruchmagie_magiebeschwoerung_4_magische_geschoss_salve</t>
  </si>
  <si>
    <t>spruchmagie_magiebeschwoerung_5_grosse_magische_aura</t>
  </si>
  <si>
    <t>Der Magus hüllt sich in eine kugelförmige  Aura aus Magie. Wer sich in die Aura begibt, erleidet auf jeder TZ innerhalb dieses Gebietes Elementarschaden. Der Magier kann aus der Aura heraus normal zielen, FK-Angriffe sind um {Aura}*2 erschwert. Feindliche Magie ist mit Ziel Aura hiervon nicht betroffen. Schaden: 2W6+{Magie} auf jede TZ, zusätzliche Erschwerung der SB-Probe -42, wenn min. 1 SP erzielt wird.</t>
  </si>
  <si>
    <t>spruchmagie_magiebeschwoerung_5_statisches_feld</t>
  </si>
  <si>
    <t>Eine vom Magus ausgehende kugelförmige Explosion verursacht Elementarschaden. Es ist unmöglich, dem Schaden zu entgehen. Jede TZ wird getroffen. Schaden: W8 + {Magie}, zusätzliche Erschwerung der SB-Probe -21, wenn min. 1 SP erzielt wird.</t>
  </si>
  <si>
    <t>spruchmagie_magiebeschwoerung_6_grosse_magische_ball_salve</t>
  </si>
  <si>
    <t>spruchmagie_magiebeschwoerung_7_grosses_statisches_feld</t>
  </si>
  <si>
    <t>Eine vom Magus ausgehende kugelförmige Explosion verursacht Elementarschaden. Es ist unmöglich, dem Schaden zu entgehen. Schaden: 2W15 + {Magie} auf jede TZ, zusätzliche Erschwerung der SB-Probe -105, wenn min. 1 SP erzielt wird.</t>
  </si>
  <si>
    <t>spruchmagie_antimagie_1_artefakt_analysieren</t>
  </si>
  <si>
    <t>spruchmagie_antimagie_2_artefakt_stoeren</t>
  </si>
  <si>
    <t>spruchmagie_antimagie_3_schule_erschweren_antimagie</t>
  </si>
  <si>
    <t>spruchmagie_antimagie_3_schule_erschweren_beherrschung</t>
  </si>
  <si>
    <t>spruchmagie_antimagie_3_schule_erschweren_erdbeschwoerung</t>
  </si>
  <si>
    <t>spruchmagie_antimagie_3_schule_erschweren_feuerbeschwoerung</t>
  </si>
  <si>
    <t>spruchmagie_antimagie_3_schule_erschweren_heilung</t>
  </si>
  <si>
    <t>spruchmagie_antimagie_3_schule_erschweren_hellsicht</t>
  </si>
  <si>
    <t>spruchmagie_antimagie_3_schule_erschweren_illusion</t>
  </si>
  <si>
    <t>spruchmagie_antimagie_3_schule_erschweren_luftbeschwoerung</t>
  </si>
  <si>
    <t>spruchmagie_antimagie_3_schule_erschweren_magiebeschwoerung</t>
  </si>
  <si>
    <t>spruchmagie_antimagie_3_schule_erschweren_veraenderung</t>
  </si>
  <si>
    <t>spruchmagie_antimagie_3_schule_erschweren_verzauberung</t>
  </si>
  <si>
    <t>spruchmagie_antimagie_3_schule_erschweren_wasserbeschwoerung</t>
  </si>
  <si>
    <t>spruchmagie_antimagie_5_schule_hemmen_antimagie</t>
  </si>
  <si>
    <t>spruchmagie_antimagie_5_korpi_ignorieren</t>
  </si>
  <si>
    <t>Der Magus ermöglicht es einem Gegenstand, magische Korpi zu ignorieren. So ist es dem Gegenstand möglich, durch jede Art von Barriere zu dringen, als wäre sie nicht existent. Diese Gegenstände können von Magiekorpi nicht wahrgenommen werden.</t>
  </si>
  <si>
    <t>spruchmagie_antimagie_5_aura_verhuellen</t>
  </si>
  <si>
    <t>spruchmagie_antimagie_5_schule_hemmen_beherrschung</t>
  </si>
  <si>
    <t>spruchmagie_antimagie_5_schule_hemmen_heilung</t>
  </si>
  <si>
    <t>spruchmagie_antimagie_5_schule_hemmen_hellsicht</t>
  </si>
  <si>
    <t>spruchmagie_antimagie_5_schule_hemmen_erdbeschwoerung</t>
  </si>
  <si>
    <t>spruchmagie_antimagie_5_schule_hemmen_luftbeschwoerung</t>
  </si>
  <si>
    <t>spruchmagie_antimagie_5_schule_hemmen_magiebeschwoerung</t>
  </si>
  <si>
    <t>spruchmagie_antimagie_5_schule_hemmen_wasserbeschwoerung</t>
  </si>
  <si>
    <t>spruchmagie_antimagie_5_schule_hemmen_feuerbeschwoerung</t>
  </si>
  <si>
    <t>spruchmagie_antimagie_5_schule_hemmen_verzauberung</t>
  </si>
  <si>
    <t>spruchmagie_antimagie_5_schule_hemmen_veraenderung</t>
  </si>
  <si>
    <t>spruchmagie_antimagie_5_schule_hemmen_illusion</t>
  </si>
  <si>
    <t>spruchmagie_antimagie_6_subjektives_manaloch</t>
  </si>
  <si>
    <t>spruchmagie_antimagie_6_schutz_vor_schule_antimagie</t>
  </si>
  <si>
    <t>spruchmagie_antimagie_6_schutz_vor_schule_beherrschung</t>
  </si>
  <si>
    <t>spruchmagie_antimagie_6_schutz_vor_schule_heilung</t>
  </si>
  <si>
    <t>spruchmagie_antimagie_6_schutz_vor_schule_hellsicht</t>
  </si>
  <si>
    <t>spruchmagie_antimagie_6_schutz_vor_schule_erdbeschwoerung</t>
  </si>
  <si>
    <t>spruchmagie_antimagie_6_schutz_vor_schule_luftbeschwoerung</t>
  </si>
  <si>
    <t>spruchmagie_antimagie_6_schutz_vor_schule_magiebeschwoerung</t>
  </si>
  <si>
    <t>spruchmagie_antimagie_6_schutz_vor_schule_wasserbeschwoerung</t>
  </si>
  <si>
    <t>spruchmagie_antimagie_6_schutz_vor_schule_feuerbeschwoerung</t>
  </si>
  <si>
    <t>spruchmagie_antimagie_6_schutz_vor_schule_verzauberung</t>
  </si>
  <si>
    <t>spruchmagie_antimagie_6_schutz_vor_schule_illusion</t>
  </si>
  <si>
    <t>spruchmagie_antimagie_7_aura_entkernen</t>
  </si>
  <si>
    <t>spruchmagie_antimagie_7_manaloch</t>
  </si>
  <si>
    <t>spruchmagie_beherrschung_1_ermutigen</t>
  </si>
  <si>
    <t>Das Opfer wird zu einer Tat ermutigt, bei der es gezögert hat, es zu tun. Dieser Zauber geht nicht bei Dingen die das Opfer schon entschlossen hat nicht zu tun oder überwiegend dagegen ist. Dieser Zauber kann nur Mut einflößen etwas zu tun. Bei einer Entscheidung Bleiben oder Laufen also nur zum bleiben.</t>
  </si>
  <si>
    <t>spruchmagie_beherrschung_1_freundschaft</t>
  </si>
  <si>
    <t>spruchmagie_beherrschung_1_tiere_befehligen</t>
  </si>
  <si>
    <t>Das Tier muss dem Befehl des Magus sofort folge leisten. Egal was es gerade tut, es wird damit aufhören um seinen neuen Lebensinhalt nach zu gehen.  Das Tier weiß zwar genau was der Magier von ihm will, kann aber nur mit seiner Eigenen Intelligenz versuchen den Auftrag zu erfüllen. Eine Nacktschnecke wird wohl keine Algebra Aufgabe lösen können. Sobald der Auftrag erfüllt ist, ist das Tier wieder absolut frei und verspürt nicht mehr Freundschaft als vor dem Zauber zum Magus.</t>
  </si>
  <si>
    <t>spruchmagie_beherrschung_2_lachanfall</t>
  </si>
  <si>
    <t>spruchmagie_beherrschung_2_stumm</t>
  </si>
  <si>
    <t>spruchmagie_beherrschung_2_besaenftigen</t>
  </si>
  <si>
    <t>Das Opfer wird ruhig und gelassen, es verliert jeglichen drang zu Töten (außer Es ist ein Sadist und macht es aus Spaß). Es weiß zwar noch alles, es ist aber nicht mehr so Dramatisch für ihn.  Nach dem der Zauber vorbei ist, ist das Opfer immer noch ruhig es hält ihm aber nichts davon ab wieder Wütend zu werden. Was natürlich auch sofort geschehen kann aber nicht muss, wenn er sich daran erinnert, das man z.B. Gerade mit seiner Frau geschlafen hat und er einen in Flagrante erwischt hat. ;-)</t>
  </si>
  <si>
    <t>spruchmagie_beherrschung_2_traurigkeit</t>
  </si>
  <si>
    <t>spruchmagie_beherrschung_2_zoegern</t>
  </si>
  <si>
    <t>spruchmagie_beherrschung_3_herrschaft_ueber_tiere</t>
  </si>
  <si>
    <t>Das Tier wird zu einem willenlosen Sklaven des Magus. Es wird auf Wort hören, ganz so als währe es ein Absolut Perfekt ausgebildeter Muster Hund. Das Tier weis zwar immer genau was der Magus von ihm will, ist aber nicht intelligenter als vorher oder verfügt nicht über neue Fertigkeiten. Eine Ratte wird es wohl nicht schaffen das Zauberbuch des Magus abzuschreiben.</t>
  </si>
  <si>
    <t>spruchmagie_beherrschung_3_tick_verursachen</t>
  </si>
  <si>
    <t>Der Magus kann sich eine Spezialisierbare Grundfertigkeit oder WHK Aussuchen und an stelle dieser Fertigkeit muss das Opfer irgendeine andere simple, nicht direkt lebensbedrohliche Sache tun. Z.B an stelle zu falschen sagt das Opfer immer Arschloch oder an stelle zu klettern springt es. Adrenalin und Angst unterdrücken den Tick aber so lange bis die Gefahr vorbei ist. Das hilft allerdings nichts, wenn der Orkische Händler schon, wegen der Beleidigung, seine Axt schwingt oder man bereits vom Baum gefallen ist.</t>
  </si>
  <si>
    <t>spruchmagie_beherrschung_3_zorn</t>
  </si>
  <si>
    <t>Das Opfer greift das nächstliegende Ziel , was er/es am wenigsten Mag an. Sollten alle Ziele in Reichweiten für ihn Neutral oder Freundlich sein, so passiert nichts bis ein Ziel in sicht kommt, das er nicht mag oder gar ein Feind ist.</t>
  </si>
  <si>
    <t>spruchmagie_beherrschung_3_schmerzt_unterdruecken</t>
  </si>
  <si>
    <t>spruchmagie_beherrschung_4_berserker</t>
  </si>
  <si>
    <t>Das Opfer dreht total durch und greift das nächstliegende Ziel , was er/es am wenigsten Mag an. Das Opfer kann sich sein Ziel selbst aussuchen, muss aber jemanden Angreifen. Das Opfer ist blind vor Zorn und kann sich nicht mehr Konzentrieren, jegliche Magische Handlung ist unmöglich. Es bekommt Ini und Mut+3.</t>
  </si>
  <si>
    <t>spruchmagie_beherrschung_4_einschlaefern</t>
  </si>
  <si>
    <t>spruchmagie_beherrschung_4_aufmerksamkeit</t>
  </si>
  <si>
    <t>Die Opfer richten ihre Aufmerksamkeit schlagartig auf den Magier. Egal was sie gerade getan haben, jetzt halten sie inne und Starren auf den Magus. Sie hängen an seinen Lippen und saugen jedes Wort von ihm auf. Die Opfer sind zwar immer noch im voll besitz ihrer Gedanken, es gibt im Moment aber nichts Intelligenzeressanteres als den Magus. Sollten sie allerdings angegriffen werden oder in irgendeiner anderen Akuten Lebensgefahr sein so fällt der Zauber ohne Probe.</t>
  </si>
  <si>
    <t>spruchmagie_beherrschung_4_verwirrung</t>
  </si>
  <si>
    <t>Das Opfer vergisst für W6+3* {Magie} Sekunden wer Er ist, wo Er ist, was Er gerade dort tut und all die Leute die Er in seinem Leben kennen gelernt hat ,sind nur noch fremde. Er verliert all seine Optional Fertigkeiten (außer Sprache). Kampf und Optional bleiben Ihm aber erhalten! Sollte er sich gerade im Kampf befinden, so verliert er die Initiative und kann 1 Kampfrunde lang nur mit PA und AW Klasse -1 Parieren oder Ausweichen. Und dann 2 weitere Kampfrunden lang nur ganz normal Parieren und Ausweichen.</t>
  </si>
  <si>
    <t>spruchmagie_beherrschung_5_massen_besaenftigung</t>
  </si>
  <si>
    <t>Die Opfer werden ruhig und gelassen, sie verlieren jeglichen drang zu Töten (außer Einer ist ein Sadist und macht es aus Spaß). Sie wissen zwar noch alles, es ist aber nicht mehr so Dramatisch für Sie.  Nach dem der Zauber vorbei ist, sind die Opfer immer noch ruhig, es hält Sie aber nichts davon ab wieder Wütend zu werden. Was natürlich auch sofort geschehen kann aber nicht muss, wenn sie sich daran erinnern dass man gerade ihr Dorf nieder gebrannt hat.</t>
  </si>
  <si>
    <t>spruchmagie_beherrschung_6_maechtige_tierherrschaft</t>
  </si>
  <si>
    <t>Das Tier wird zu einem willenlosen Sklaven des Magus. Es wird auf Wort hören, ganz so als währe es ein Absolut Perfekt ausgebildeter Muster Hund. Das Tier weis zwar immer genau was der Magus von ihm will, ist aber nicht intelligenter als vorher oder verfügt nicht über neue Fertigkeiten. Eine Ratte wird es wohl nicht schaffen das Zauberbuch des Magus abzuschreiben, ein Drache aber wohl schon.</t>
  </si>
  <si>
    <t>spruchmagie_beherrschung_6_totale_tier_kontrolle</t>
  </si>
  <si>
    <t>spruchmagie_erdbeschwoerung_1_splitterwand</t>
  </si>
  <si>
    <t>spruchmagie_erdbeschwoerung_1_steinkugel</t>
  </si>
  <si>
    <t>spruchmagie_erdbeschwoerung_1_steinfaust</t>
  </si>
  <si>
    <t>spruchmagie_erdbeschwoerung_2_steinschuss</t>
  </si>
  <si>
    <t>spruchmagie_erdbeschwoerung_2_splitter_aura</t>
  </si>
  <si>
    <t>spruchmagie_erdbeschwoerung_2_splitterstrahl</t>
  </si>
  <si>
    <t>spruchmagie_erdbeschwoerung_3_erd_klinge</t>
  </si>
  <si>
    <t>spruchmagie_erdbeschwoerung_3_splitter_pfeil</t>
  </si>
  <si>
    <t>Ein Pfeil erhält eine zusätzliche Schadenswirkung entsprechend der Magie des Magus: 1=W3, RB 2; 2=W4, RB 3; 3=W6, RB 3; 4=W8, RB 3; 5=W10, RB 3; 6=W12, RB 5; 7=W15, RB 8; 8=W20, RB 15; 9=W30, RB 15; 10=2W20, RB 15; 11=W50, RB 15. Bei guter oder besserer Probe können die KK-Punkte zum Erhöhen der Wirkung nur dafür eingesetzt werden, die W-Klasse zu erhöhen.</t>
  </si>
  <si>
    <t>spruchmagie_erdbeschwoerung_3_grosse_steinfaust</t>
  </si>
  <si>
    <t>spruchmagie_erdbeschwoerung_3_steinkugel_salve</t>
  </si>
  <si>
    <t>spruchmagie_erdbeschwoerung_3_steinschlag</t>
  </si>
  <si>
    <t>spruchmagie_erdbeschwoerung_4_steinschuss_salve</t>
  </si>
  <si>
    <t>spruchmagie_erdbeschwoerung_4_grosse_steinkugel</t>
  </si>
  <si>
    <t>spruchmagie_erdbeschwoerung_4_grosse_splitterwand</t>
  </si>
  <si>
    <t>spruchmagie_erdbeschwoerung_5_grosse_splitteraura</t>
  </si>
  <si>
    <t>spruchmagie_erdbeschwoerung_5_splittersturm</t>
  </si>
  <si>
    <t>spruchmagie_erdbeschwoerung_5_grosser_steinschuss</t>
  </si>
  <si>
    <t>spruchmagie_erdbeschwoerung_6_grosse_steinkugel_salve</t>
  </si>
  <si>
    <t>spruchmagie_erdbeschwoerung_6_grosser_splitterstrahl</t>
  </si>
  <si>
    <t>spruchmagie_erdbeschwoerung_6_grosser_steinschlag</t>
  </si>
  <si>
    <t>spruchmagie_erdbeschwoerung_7_grosser_splittersturm</t>
  </si>
  <si>
    <t>Eine vom Magus ausgehende kugelförmige Explosion verursacht Elementarschaden. Es ist unmöglich, dem Schaden zu entgehen. Jede TZ wird getroffen. Schaden: 2W15 + {Magie}, RB 15.</t>
  </si>
  <si>
    <t>spruchmagie_erdbeschwoerung_7_grosse_steinschuss_salve</t>
  </si>
  <si>
    <t>Der Magus erschafft {Magie} : 2 Bolzen aus Erde. Jeweils Treffer auf FK-TZ. Schaden: 2W10 + {Magie}; RB: 6 + {M}:2</t>
  </si>
  <si>
    <t>spruchmagie_feuerbeschwoerung_1_flammenfaust</t>
  </si>
  <si>
    <t>spruchmagie_feuerbeschwoerung_1_feuerball</t>
  </si>
  <si>
    <t>spruchmagie_feuerbeschwoerung_1_flammenwand</t>
  </si>
  <si>
    <t>spruchmagie_feuerbeschwoerung_2_feuerpfeil</t>
  </si>
  <si>
    <t>spruchmagie_feuerbeschwoerung_2_flammenaura</t>
  </si>
  <si>
    <t>spruchmagie_feuerbeschwoerung_2_flammenstrahl</t>
  </si>
  <si>
    <t>spruchmagie_feuerbeschwoerung_3_grosse_flammenfaust</t>
  </si>
  <si>
    <t>spruchmagie_feuerbeschwoerung_3_feuerball_salve</t>
  </si>
  <si>
    <t>spruchmagie_feuerbeschwoerung_3_feuer_klinge</t>
  </si>
  <si>
    <t>Eine Waffe erhält zusätzliche Schadenswirkung entsprechend der Magie des Magus: 1=W4, 2=W6, 3=W8, 4=W10, 5=W12, 6=W15, 7=W20, 8=W30, 9=2W20, 10=W50, 11=2W30. Bei guter oder besserer Probe können die KK-Punkte zum Erhöhen der Wirkung nur dafür eingesetzt werden, die W-Klasse zu erhöhen.</t>
  </si>
  <si>
    <t>spruchmagie_feuerbeschwoerung_3_flammen_pfeil</t>
  </si>
  <si>
    <t>Ein Pfeil erhält eine zusätzliche Schadenswirkung entsprechend der Magie des Magus:1=W4, 2=W6, 3=W8, 4=W10, 5=W12, 6=W15, 7=W20, 8=W30, 9=2W20, 10=W50, 11=2W30. Bei guter oder besserer Probe können die KK-Punkte zum Erhöhen der Wirkung nur dafür eingesetzt werden, die W-Klasse zu erhöhen.</t>
  </si>
  <si>
    <t>spruchmagie_feuerbeschwoerung_3_feuerblitz</t>
  </si>
  <si>
    <t>spruchmagie_feuerbeschwoerung_4_grosser_feuerball</t>
  </si>
  <si>
    <t>spruchmagie_feuerbeschwoerung_4_feuerpfeil_salve</t>
  </si>
  <si>
    <t>spruchmagie_feuerbeschwoerung_4_grosse_flammenwand</t>
  </si>
  <si>
    <t>spruchmagie_feuerbeschwoerung_5_grosse_flammenaura</t>
  </si>
  <si>
    <t>spruchmagie_feuerbeschwoerung_5_flammenmeer</t>
  </si>
  <si>
    <t>spruchmagie_feuerbeschwoerung_5_grosser_feuerpfeil</t>
  </si>
  <si>
    <t>spruchmagie_feuerbeschwoerung_6_grosse_feuerball_salve</t>
  </si>
  <si>
    <t>spruchmagie_feuerbeschwoerung_6_grosser_flammenstrahl</t>
  </si>
  <si>
    <t>spruchmagie_feuerbeschwoerung_6_grosser_feuerblitz</t>
  </si>
  <si>
    <t>spruchmagie_feuerbeschwoerung_7_inferno</t>
  </si>
  <si>
    <t>spruchmagie_feuerbeschwoerung_7_grosse_feuerpfeil_salve</t>
  </si>
  <si>
    <t>Der Magus erschafft {Magie} : 2 Bolzen aus Feuer. Jeweils Treffer auf FK-TZ. Schaden: 2W12 + {Magie}; RB: {M}:2</t>
  </si>
  <si>
    <t>spruchmagie_heilung_1_schmerz_unterdruecken</t>
  </si>
  <si>
    <t>spruchmagie_heilung_1_ruhiger_schlaf</t>
  </si>
  <si>
    <t>spruchmagie_heilung_1_zwang_unterdruecken</t>
  </si>
  <si>
    <t>spruchmagie_heilung_2_schlaf_der_heilung</t>
  </si>
  <si>
    <t>spruchmagie_heilung_2_ausdauer_wiederherstellen</t>
  </si>
  <si>
    <t>spruchmagie_heilung_2_entzug_lindern</t>
  </si>
  <si>
    <t>Alle Entzugserscheinungen, die durch physische Abhängigkeiten entstehen, werden hierdurch um die Hälfte reduziert.</t>
  </si>
  <si>
    <t>spruchmagie_heilung_3_gift_lindern</t>
  </si>
  <si>
    <t>spruchmagie_heilung_3_krankheit_heilen</t>
  </si>
  <si>
    <t>spruchmagie_heilung_3_koma_der_heilung</t>
  </si>
  <si>
    <t>spruchmagie_heilung_4_defibrillator</t>
  </si>
  <si>
    <t>Der Magus kann das Herz seines Zieles wieder zum Schlagen bringen. Nach Anwendung des Zaubers lebt das Ziel garantiert weitere {Magie} min. Ist das Herz zerstört (durch Schadenseinwirkung auf TZ Herz oder durch natürliche Herzprobleme), erzielt der Zauber keinen Erfolg. Dieser Zauber kann bei Herzinfarkten oder durch beliebige Schockwirkungen entstandenen Herzstillständen das Leben des Ziels verlängern. Muss der Defibrillator ein zweites Mal binnen eines Tages eingesetzt werden, verdoppeln sich die Erschwerungen.</t>
  </si>
  <si>
    <t>spruchmagie_heilung_4_grosse_heilung</t>
  </si>
  <si>
    <t>Der Magus kann alle Wunden schließen und Blutungen stoppen. Das Ziel regeneriert 2W15 + {Magie} Lebensenergie auf allen Trefferzonen verteilt. Überschüssige LE verfallen.</t>
  </si>
  <si>
    <t>spruchmagie_heilung_4_entseuchung</t>
  </si>
  <si>
    <t>spruchmagie_heilung_4_kleine_fernheilung</t>
  </si>
  <si>
    <t>Das Ziel regeneriert 2W6 + {Magie} Lebensenergie auf alle Trefferzonen verteilt. Überschüssige LE verfallen.</t>
  </si>
  <si>
    <t>spruchmagie_heilung_5_gliedmassen_nachwachsen_lassen</t>
  </si>
  <si>
    <t>spruchmagie_heilung_5_maechtige_heilung</t>
  </si>
  <si>
    <t>Der Magus kann alle Wunden schließen und Blutungen stoppen. Das Ziel regeneriert 2W30 + {Magie} Lebensenergie auf allen Trefferzonen verteilt. Überschüssige LE verfallen.</t>
  </si>
  <si>
    <t>spruchmagie_heilung_5_grosser_gesundheit_wiederherstellen</t>
  </si>
  <si>
    <t>spruchmagie_heilung_5_selbstbeherrschung_erhoehen</t>
  </si>
  <si>
    <t>spruchmagie_heilung_5_mittlere_fernheilung</t>
  </si>
  <si>
    <t>Das Ziel regeneriert 2W10 + {Magie} Lebensenergie auf alle Trefferzonen verteilt. Überschüssige LE verfallen.</t>
  </si>
  <si>
    <t>spruchmagie_heilung_6_tod_verzoegern</t>
  </si>
  <si>
    <t>spruchmagie_heilung_6_maechtige_entseuchung</t>
  </si>
  <si>
    <t>spruchmagie_heilung_6_magische_krankheit_heilen</t>
  </si>
  <si>
    <t>spruchmagie_heilung_6_regeneration_im_kampf</t>
  </si>
  <si>
    <t>spruchmagie_heilung_6_gesundheit_erhoehen</t>
  </si>
  <si>
    <t>Die Gesundheit des Ziels wird um {Magie} * 2 Punkte erhöht. Sollte das Ziel während der Wirkungsdauer Schaden auf die Gesundheit bekommen, wird zuerst die magische Erhöhung abgezogen, die Wirkung des Zaubers endet mit Verlust des letzten Bonuspunkts automatisch.</t>
  </si>
  <si>
    <t>spruchmagie_heilung_6_grosse_fernheilung</t>
  </si>
  <si>
    <t>Das Ziel regeneriert 2W15 + {Magie} Lebensenergie auf alle Trefferzonen verteilt. Überschüssige LE verfallen.</t>
  </si>
  <si>
    <t>spruchmagie_heilung_7_totale_regeneration</t>
  </si>
  <si>
    <t>spruchmagie_heilung_7_trefferschwelle_erhoehen</t>
  </si>
  <si>
    <t>spruchmagie_heilung_7_wiederbelebung</t>
  </si>
  <si>
    <t>spruchmagie_heilung_7_maechtige_fernheilung</t>
  </si>
  <si>
    <t>Das Ziel regeneriert 2W30 + {Magie} Lebensenergie auf alle Trefferzonen verteilt. Überschüssige LE verfallen.</t>
  </si>
  <si>
    <t>spruchmagie_hellsicht_1_artefakt_erkennen</t>
  </si>
  <si>
    <t>spruchmagie_hellsicht_1_daemmerungssicht</t>
  </si>
  <si>
    <t>Der Anwender kann in der Dunkelheit so gut sehen wie am hellichten Tag. Damit dieser Effekt eintreten kann, muss Restlicht vorhanden sein. In vollkommener Dunkelheit ist dieser Zauber keine Hilfe.</t>
  </si>
  <si>
    <t>spruchmagie_hellsicht_2_infrarotsicht</t>
  </si>
  <si>
    <t>spruchmagie_hellsicht_2_durchblick</t>
  </si>
  <si>
    <t>spruchmagie_hellsicht_3_astralsicht</t>
  </si>
  <si>
    <t>spruchmagie_hellsicht_3_blick_aufs_wesen</t>
  </si>
  <si>
    <t>spruchmagie_hellsicht_4_blick_durch_fremde_augen</t>
  </si>
  <si>
    <t>spruchmagie_hellsicht_4_aura_analysieren</t>
  </si>
  <si>
    <t>spruchmagie_hellsicht_5_blick_in_die_gedanken</t>
  </si>
  <si>
    <t>spruchmagie_hellsicht_6_kampfmaschine</t>
  </si>
  <si>
    <t>spruchmagie_hellsicht_7_blick_in_die_zukunft</t>
  </si>
  <si>
    <t>spruchmagie_illusion_1_licht</t>
  </si>
  <si>
    <t>spruchmagie_illusion_1_magische_schriftzeichen</t>
  </si>
  <si>
    <t>An der vom Magus bestimmten Stelle erscheinen stationäre Schriftzeichen, deren Größe, Form und Erscheinungsbild vom Magus frei gewählt werden können. Es können maximal {M}*5 Zeichen abgebildet werden, die maximal {Magie} * {Magie} m Fläche einnehmen dürfen.</t>
  </si>
  <si>
    <t>spruchmagie_illusion_1_magische_verkleidung</t>
  </si>
  <si>
    <t>Der Magus kann die Illusion erzeugen, dass seine Kleidung, seine Nägel und sein Haar in den gewünschten Zustand versetzt sind.</t>
  </si>
  <si>
    <t>spruchmagie_illusion_2_geraeuschillusion</t>
  </si>
  <si>
    <t>spruchmagie_illusion_2_stimme_veraendern</t>
  </si>
  <si>
    <t>spruchmagie_illusion_2_nebelwand</t>
  </si>
  <si>
    <t>spruchmagie_illusion_2_zweites_gesicht</t>
  </si>
  <si>
    <t>spruchmagie_illusion_3_durchsichtiger_gegenstand</t>
  </si>
  <si>
    <t>spruchmagie_illusion_3_trugbild_der_haesslichkeit</t>
  </si>
  <si>
    <t>spruchmagie_illusion_3_unbewegte_illusion</t>
  </si>
  <si>
    <t>spruchmagie_illusion_4_unsichtbarer_gegenstand</t>
  </si>
  <si>
    <t>spruchmagie_illusion_4_grosser_funkentanz</t>
  </si>
  <si>
    <t>Der Magus erzeugt viele kleine Lichtfunken, die rund um seinen sowie um maximal Aura befreundete Körper in Reichweite fliegen. Hierdurch wird es für jeden Gegner um {Magie} schwerer, ihn mit einer Nahkampf- oder Fernkampf-Attacke zu treffen.</t>
  </si>
  <si>
    <t>spruchmagie_illusion_5_bewegte_illusion</t>
  </si>
  <si>
    <t>spruchmagie_illusion_5_vollsensorische_illusion</t>
  </si>
  <si>
    <t>spruchmagie_luftbeschwoerung_1_sturmfaust</t>
  </si>
  <si>
    <t>Die Fäuste des Magiers verursachen zusätzlichen Elementarschaden. Das Opfer muss eine KB-Probe (GF Körperbeherrschung + Eigenschaft Athletik) ablegen, erschwert um TP + 3. Bei Misserfolg wird es um so viele Meter zurückgeschleudert, wie der Schadenswürfel anzeigt, und das Probenergebnis wird wie bei einer SB-Probe in der Selbstbeherrschungstabelle nachgeschlagen, gedeckelt auf Status: Sturz (KK -2). Schaden: W8 + {Magie}.</t>
  </si>
  <si>
    <t>spruchmagie_luftbeschwoerung_1_sturmball</t>
  </si>
  <si>
    <t>Der Magus erschafft einen Ball aus Luft. Das Opfer muss eine KB-Probe (GF Körperbeherrschung + Eigenschaft Athletik) ablegen, erschwert um TP + 6. Bei Misserfolg wird es um so viele Meter zurückgeschleudert, wie der höchste Schadenswürfel anzeigt, und das Probenergebnis wird wie bei einer SB-Probe in der Selbstbeherrschungstabelle nachgeschlagen, gedeckelt auf Status: Sturz (KK -2). Schaden: 2W4 + {Magie}.</t>
  </si>
  <si>
    <t>spruchmagie_luftbeschwoerung_1_sturmwand</t>
  </si>
  <si>
    <t>Der Magier erschafft eine Wand aus Luft. Die Wahrnehmung durch diese Wand ist stark erschwert bis unmöglich: Alle FK-Attacken sind um {Aura}*2 erschwert. Wer versucht, die Wand zu durchdringen, erleidet Elementarschaden auf jeder TZ. Während der Effektdauer entfaltet die Wand nur die halbe Wirkung. Das Opfer muss eine KB-Probe (GF Körperbeherrschung + Eigenschaft Athletik) ablegen, erschwert um TP + 42. Bei Misserfolg wird es um so viele Meter zurückgeschleudert, wie der Schadenswürfel anzeigt, und das Probenergebnis wird wie bei einer SB-Probe in der Selbstbeherrschungstabelle nachgeschlagen, gedeckelt auf Status: Sturz (KK -2). Schaden: W4+{Magie} auf jede TZ.</t>
  </si>
  <si>
    <t>spruchmagie_luftbeschwoerung_2_sturmpfeil</t>
  </si>
  <si>
    <t>Der Magus erschafft einen Bolzen aus Luft. Treffer auf FK-TZ. Das Opfer muss eine KB-Probe (GF Körperbeherrschung + Eigenschaft Athletik) ablegen, erschwert um TP + 6. Bei Misserfolg wird es um so viele Meter zurückgeschleudert, wie der höchste Schadenswürfel anzeigt, und das Probenergebnis wird wie bei einer SB-Probe in der Selbstbeherrschungstabelle nachgeschlagen, gedeckelt auf Status: Sturz (KK -2). Schaden: 2W6 + {Magie}, RB {Magie}*2.</t>
  </si>
  <si>
    <t>spruchmagie_luftbeschwoerung_2_sturmaura</t>
  </si>
  <si>
    <t>Der Magus hüllt sich in eine kugelförmige  Aura aus Luft. Wer sich in die Aura begibt, erleidet auf jeder TZ innerhalb dieses Gebietes Elementarschaden. Der Magier kann aus der Aura heraus normal zielen, FK-Angriffe sind um {Aura}*2 erschwert. Feindliche Magie ist mit Ziel Aura hiervon nicht betroffen. Das Opfer muss eine KB-Probe (GF Körperbeherrschung + Eigenschaft Athletik) ablegen, erschwert um TP + 21. Bei Misserfolg wird es um so viele Meter zurückgeschleudert, wie der Schadenswürfel anzeigt, und das Probenergebnis wird wie bei einer SB-Probe in der Selbstbeherrschungstabelle nachgeschlagen, gedeckelt auf Status: Sturz (KK -2). Schaden: W4+{Magie} auf jede TZ.</t>
  </si>
  <si>
    <t>spruchmagie_luftbeschwoerung_2_sturmstrahl</t>
  </si>
  <si>
    <t>Aus der Handfläche des Magiers schießt ein {M} cm dicker Strahl aus Luft. Treffer auf eine FK-TZ mit 1 zusätzlichen TZ-Reroll. Das Opfer muss eine KB-Probe (GF Körperbeherrschung + Eigenschaft Athletik) ablegen, erschwert um TP + 3. Bei Misserfolg wird es um so viele Meter zurückgeschleudert, wie der Schadenswürfel anzeigt, und das Probenergebnis wird wie bei einer SB-Probe in der Selbstbeherrschungstabelle nachgeschlagen, gedeckelt auf Status: Sturz (KK -2). Schaden: W10+{Magie} pro sec.</t>
  </si>
  <si>
    <t>spruchmagie_luftbeschwoerung_3_grosse_sturmfaust</t>
  </si>
  <si>
    <t>Die Fäuste des Magiers verursachen zusätzlichen Elementarschaden. Das Opfer muss eine KB-Probe (GF Körperbeherrschung + Eigenschaft Athletik) ablegen, erschwert um TP + 9. Bei Misserfolg wird es um so viele Meter zurückgeschleudert, wie der höchste Schadenswürfel anzeigt, und das Probenergebnis wird wie bei einer SB-Probe in der Selbstbeherrschungstabelle nachgeschlagen, gedeckelt auf Status: Sturz (KK -2). Schaden: 2W12+{Magie}.</t>
  </si>
  <si>
    <t>spruchmagie_luftbeschwoerung_3_sturmball_salve</t>
  </si>
  <si>
    <t>Der Magus erschafft {Magie} : 2 Bälle aus Luft. Das Opfer muss eine KB-Probe (GF Körperbeherrschung + Eigenschaft Athletik) ablegen, erschwert um TP + 6. Bei Misserfolg wird es um so viele Meter zurückgeschleudert, wie der jeweils höchste Schadenswürfel anzeigt, und das Probenergebnis wird wie bei einer SB-Probe in der Selbstbeherrschungstabelle nachgeschlagen, gedeckelt auf Status: Sturz (KK -2). Schaden: 2W4 + {Magie}.</t>
  </si>
  <si>
    <t>spruchmagie_luftbeschwoerung_3_luft_klinge</t>
  </si>
  <si>
    <t>Eine Waffe erhält zusätzliche Schadenswirkung entsprechend der Magie des Magus. Das Opfer muss eine KB-Probe (GF Körperbeherrschung + Eigenschaft Athletik) ablegen, erschwert um TP. Bei Misserfolg wird es um so viele Meter zurückgeschleudert, wie der Zauber-Schadenswürfel anzeigt, und das Probenergebnis wird wie bei einer SB-Probe in der Selbstbeherrschungstabelle nachgeschlagen, gedeckelt auf Status: Sturz (KK -2). Schaden: 1=W3, SB -2; 2=W4, SB -3; 3=W6, SB -3; 4=W8, SB -3; 5=W10, SB -3; 6=W12, SB -5; 7=W15, SB -8; 8=W20, SB -15; 9=W30, SB -15; 10=2W20, SB -15; 11=W50, SB -15. Bei guter oder besserer Probe können die KK-Punkte zum Erhöhen der Wirkung nur dafür eingesetzt werden, die W-Klasse zu erhöhen.</t>
  </si>
  <si>
    <t>spruchmagie_luftbeschwoerung_3_sturm_pfeil</t>
  </si>
  <si>
    <t>Ein Pfeil erhält eine zusätzliche Schadenswirkung entsprechend der Magie des Magus. Das Opfer muss eine KB-Probe (GF Körperbeherrschung + Eigenschaft Athletik) ablegen, erschwert um TP. Bei Misserfolg wird es um so viele Meter zurückgeschleudert, wie der Zauber-Schadenswürfel anzeigt, und das Probenergebnis wird wie bei einer SB-Probe in der Selbstbeherrschungstabelle nachgeschlagen, gedeckelt auf Status: Sturz (KK -2). Schaden: 1=W3, SB -2; 2=W4, SB -3; 3=W6, SB -3; 4=W8, SB -3; 5=W10, SB -3; 6=W12, SB -5; 7=W15, SB -8; 8=W20, SB -15; 9=W30, SB -15; 10=2W20, SB -15; 11=W50, SB -15. Bei guter oder besserer Probe können die KK-Punkte zum Erhöhen der Wirkung nur dafür eingesetzt werden, die W-Klasse zu erhöhen.</t>
  </si>
  <si>
    <t>spruchmagie_luftbeschwoerung_3_sturmblitz</t>
  </si>
  <si>
    <t>Der Magus erschafft um das Opfer eine Kugel aus Luft. Treffer auf FK-TZ mit 2 TZ-Rerolls auf die gewünschte Trefferzone. Das Opfer muss eine KB-Probe (GF Körperbeherrschung + Eigenschaft Athletik) ablegen, erschwert um TP + 6. Bei Misserfolg wird es um so viele Meter zurückgeschleudert, wie der höchste Schadenswürfel anzeigt, und das Probenergebnis wird wie bei einer SB-Probe in der Selbstbeherrschungstabelle nachgeschlagen, gedeckelt auf Status: Sturz (KK -2). Schaden: 2W6 + {Magie}.</t>
  </si>
  <si>
    <t>spruchmagie_luftbeschwoerung_4_grosser_sturmball</t>
  </si>
  <si>
    <t>Der Magus erschafft einen Ball aus Luft. Das Opfer muss eine KB-Probe (GF Körperbeherrschung + Eigenschaft Athletik) ablegen, erschwert um TP + 35. Bei Misserfolg wird es um so viele Meter zurückgeschleudert, wie der Schadenswürfel anzeigt, und das Probenergebnis wird wie bei einer SB-Probe in der Selbstbeherrschungstabelle nachgeschlagen, gedeckelt auf Status: Sturz (KK -2). Schaden: W12 + {Magie} auf jede TZ.</t>
  </si>
  <si>
    <t>spruchmagie_luftbeschwoerung_4_sturmpfeil_salve</t>
  </si>
  <si>
    <t>Der Magus erschafft {Magie} : 2 Bolzen aus Luft. Treffer auf FK-TZ. Das Opfer muss eine KB-Probe (GF Körperbeherrschung + Eigenschaft Athletik) ablegen, erschwert um TP + 6. Bei Misserfolg wird es um so viele Meter zurückgeschleudert, wie der jeweils höchste Schadenswürfel anzeigt, und das Probenergebnis wird wie bei einer SB-Probe in der Selbstbeherrschungstabelle nachgeschlagen, gedeckelt auf Status: Sturz (KK -2). Schaden: 2W6 + {Magie}; RB {Magie}*2.</t>
  </si>
  <si>
    <t>spruchmagie_luftbeschwoerung_4_grosse_sturmwand</t>
  </si>
  <si>
    <t>Der Magier erschafft eine Wand aus Luft. Die Wahrnehmung durch diese Wand ist stark erschwert bis unmöglich: Alle FK-Attacken sind um {Aura}*2 erschwert. Wer versucht, die Wand zu durchdringen, erleidet Elementarschaden auf jeder TZ. Länge max. {M} m, Breite {M}*5cm. Während der Effektdauer entfaltet die Wand nur die halbe Wirkung. Das Opfer muss eine KB-Probe (GF Körperbeherrschung + Eigenschaft Athletik) ablegen, erschwert um TP + 42. Bei Misserfolg wird es um so viele Meter zurückgeschleudert, wie der höchste Schadenswürfel anzeigt, und das Probenergebnis wird wie bei einer SB-Probe in der Selbstbeherrschungstabelle nachgeschlagen, gedeckelt auf Status: Sturz (KK -2). Schaden: 2W6 + {Magie}.</t>
  </si>
  <si>
    <t>spruchmagie_luftbeschwoerung_5_grosse_sturmaura</t>
  </si>
  <si>
    <t>Der Magus hüllt sich in eine kugelförmige  Aura aus Luft. Wer sich in die Aura begibt, erleidet auf jeder TZ innerhalb dieses Gebietes Elementarschaden. Der Magier kann aus der Aura heraus normal zielen, FK-Angriffe sind um {Aura}*2 erschwert. Feindliche Magie ist mit Ziel Aura hiervon nicht betroffen. Das Opfer muss eine KB-Probe (GF Körperbeherrschung + Eigenschaft Athletik) ablegen, erschwert um TP + 42. Bei Misserfolg wird es um so viele Meter zurückgeschleudert, wie der höchste Schadenswürfel anzeigt, und das Probenergebnis wird wie bei einer SB-Probe in der Selbstbeherrschungstabelle nachgeschlagen, gedeckelt auf Status: Sturz (KK -2). Schaden: 2W6+{Magie} auf jede TZ.</t>
  </si>
  <si>
    <t>spruchmagie_luftbeschwoerung_5_tornado</t>
  </si>
  <si>
    <t>Eine vom Magus ausgehende kugelförmige Explosion verursacht Elementarschaden. Es ist unmöglich, dem Schaden zu entgehen. Jede TZ wird getroffen. Das Opfer muss eine KB-Probe (GF Körperbeherrschung + Eigenschaft Athletik) ablegen, erschwert um TP + 21. Bei Misserfolg wird es um so viele Meter zurückgeschleudert, wie der Schadenswürfel anzeigt, und das Probenergebnis wird wie bei einer SB-Probe in der Selbstbeherrschungstabelle nachgeschlagen, gedeckelt auf Status: Sturz (KK -2). Schaden: W8 + {Magie}.</t>
  </si>
  <si>
    <t>spruchmagie_luftbeschwoerung_5_grosser_sturmpfeil</t>
  </si>
  <si>
    <t>Der Magus erschafft einen Bolzen aus Luft. Treffer auf FK-TZ. Das Opfer muss eine KB-Probe (GF Körperbeherrschung + Eigenschaft Athletik) ablegen, erschwert um TP + 6. Bei Misserfolg wird es um so viele Meter zurückgeschleudert, wie der höchste Schadenswürfel anzeigt, und das Probenergebnis wird wie bei einer SB-Probe in der Selbstbeherrschungstabelle nachgeschlagen, gedeckelt auf Status: Sturz (KK -2). Schaden: 2W10 + {Magie}; RB {M}:2.</t>
  </si>
  <si>
    <t>spruchmagie_luftbeschwoerung_6_grosse_sturmball_salve</t>
  </si>
  <si>
    <t>Der Magus erschafft {Magie} : 2 Bälle aus Luft. Das Opfer muss eine KB-Probe (GF Körperbeherrschung + Eigenschaft Athletik) ablegen, erschwert um TP + 35. Bei Misserfolg wird es um so viele Meter zurückgeschleudert, wie der jeweilige Schadenswürfel anzeigt, und das Probenergebnis wird wie bei einer SB-Probe in der Selbstbeherrschungstabelle nachgeschlagen, gedeckelt auf Status: Sturz (KK -2). Schaden: W12 + {Magie} auf jede Trefferzone.</t>
  </si>
  <si>
    <t>spruchmagie_luftbeschwoerung_6_grosser_sturmstrahl</t>
  </si>
  <si>
    <t>Aus der Handfläche des Magiers schießt ein {M} cm dicker Strahl aus Luft. Treffer auf eine FK-TZ mit 1 TZ-Reroll. Das Opfer muss eine KB-Probe (GF Körperbeherrschung + Eigenschaft Athletik) ablegen, erschwert um TP + 6. Bei Misserfolg wird es um so viele Meter zurückgeschleudert, wie der höchste Schadenswürfel anzeigt, und das Probenergebnis wird wie bei einer SB-Probe in der Selbstbeherrschungstabelle nachgeschlagen, gedeckelt auf Status: Sturz (KK -2). Schaden: 2W10 + {Magie} pro sec.</t>
  </si>
  <si>
    <t>spruchmagie_luftbeschwoerung_6_grosser_sturmblitz</t>
  </si>
  <si>
    <t>Der Magus erschafft um das Opfer eine Kugel aus Luft. Treffer auf FK-TZ mit 2 TZ-Rerolls auf die gewünschte Trefferzone. Das Opfer muss eine KB-Probe (GF Körperbeherrschung + Eigenschaft Athletik) ablegen, erschwert um TP + 9. Bei Misserfolg wird es um so viele Meter zurückgeschleudert, wie der höchste Schadenswürfel anzeigt, und das Probenergebnis wird wie bei einer SB-Probe in der Selbstbeherrschungstabelle nachgeschlagen, gedeckelt auf Status: Sturz (KK -2). Schaden: 2W12 + {Magie}.</t>
  </si>
  <si>
    <t>spruchmagie_luftbeschwoerung_7_grosser_tornado</t>
  </si>
  <si>
    <t>Eine vom Magus ausgehende kugelförmige Explosion verursacht Elementarschaden. Es ist unmöglich, dem Schaden zu entgehen. Das Opfer muss eine KB-Probe (GF Körperbeherrschung + Eigenschaft Athletik) ablegen, erschwert um TP + 105. Bei Misserfolg wird es um so viele Meter zurückgeschleudert, wie der höchste Schadenswürfel anzeigt, und das Probenergebnis wird wie bei einer SB-Probe in der Selbstbeherrschungstabelle nachgeschlagen, gedeckelt auf Status: Sturz (KK -2). Schaden: 2W15 + {Magie} auf jede TZ.</t>
  </si>
  <si>
    <t>spruchmagie_luftbeschwoerung_7_grosse_sturmpfeil_salve</t>
  </si>
  <si>
    <t>Der Magus erschafft {Magie} : 2 Bolzen aus Luft. Jeweils Treffer auf FK-TZ. Das Opfer muss eine KB-Probe (GF Körperbeherrschung + Eigenschaft Athletik) ablegen, erschwert um TP + 6. Bei Misserfolg wird es um so viele Meter zurückgeschleudert, wie der jeweils höchste Schadenswürfel anzeigt, und das Probenergebnis wird wie bei einer SB-Probe in der Selbstbeherrschungstabelle nachgeschlagen, gedeckelt auf Status: Sturz (KK -2). Schaden: 2W10 + {Magie}, RB {M}:2.</t>
  </si>
  <si>
    <t>spruchmagie_magiebeschwoerung_1_magische_faust</t>
  </si>
  <si>
    <t>spruchmagie_magiebeschwoerung_1_wand_aus_magie</t>
  </si>
  <si>
    <t>spruchmagie_magiebeschwoerung_2_magische_aura</t>
  </si>
  <si>
    <t>spruchmagie_magiebeschwoerung_2_magischer_strahl</t>
  </si>
  <si>
    <t>spruchmagie_magiebeschwoerung_3_grosse_magische_faust</t>
  </si>
  <si>
    <t>spruchmagie_magiebeschwoerung_3_magische_ball_salve</t>
  </si>
  <si>
    <t>spruchmagie_magiebeschwoerung_3_blitz_klinge</t>
  </si>
  <si>
    <t>spruchmagie_magiebeschwoerung_3_schock_pfeil</t>
  </si>
  <si>
    <t>spruchmagie_magiebeschwoerung_4_grosser_magischer_ball</t>
  </si>
  <si>
    <t>spruchmagie_magiebeschwoerung_4_grosse_wand_aus_magie</t>
  </si>
  <si>
    <t>spruchmagie_magiebeschwoerung_5_grosses_magisches_geschoss</t>
  </si>
  <si>
    <t>spruchmagie_magiebeschwoerung_6_grosser_magischer_strahl</t>
  </si>
  <si>
    <t>spruchmagie_magiebeschwoerung_6_grosse_magische_entladung</t>
  </si>
  <si>
    <t>spruchmagie_magiebeschwoerung_7_grosse_magische_geschoss_salve</t>
  </si>
  <si>
    <t>spruchmagie_veraenderung_1_in_nahrung_verwandeln</t>
  </si>
  <si>
    <t>spruchmagie_veraenderung_2_blankwaffe_erschaffen</t>
  </si>
  <si>
    <t>In den Händen des Magus erscheint eine beliebige normale Listen-Nahkampfwaffe oder ein beliebiger Listen-Schild, das vollständig aus Eisen besteht. Am Ende der Wirkungsdauer zerfällt die Waffe zu Staub, ebenso, wenn sie die Aura des Magus für mehr als {M}sec verlässt. Während der Effektdauer hat die Waffe normale Werte, aber AT|PA-Klasse -1.</t>
  </si>
  <si>
    <t>spruchmagie_veraenderung_2_material_erweichen</t>
  </si>
  <si>
    <t>spruchmagie_veraenderung_2_material_schwaechen</t>
  </si>
  <si>
    <t>spruchmagie_veraenderung_2_mechanik_schmieren</t>
  </si>
  <si>
    <t>spruchmagie_veraenderung_3_material_verstaerken</t>
  </si>
  <si>
    <t>spruchmagie_veraenderung_3_gegenstand_fixieren</t>
  </si>
  <si>
    <t>spruchmagie_veraenderung_3_material_verhaerten</t>
  </si>
  <si>
    <t>spruchmagie_veraenderung_3_in_pflanze_verwandeln</t>
  </si>
  <si>
    <t>spruchmagie_veraenderung_3_temperatur_veraendern</t>
  </si>
  <si>
    <t>spruchmagie_veraenderung_4_ruestung_verstaerken</t>
  </si>
  <si>
    <t>spruchmagie_veraenderung_4_material_stabilisieren_konservieren</t>
  </si>
  <si>
    <t>Ein beliebiger unbelebter Gegenstand von maximal {M}l wird permanent  verzaubert, so dass normale Witterung und üblicher Gebrauch ihn nicht mehr verschleißen können. Die Verzauberung schützt nicht vor Kampfschäden oder anderen Schäden durch Gebrauch oder extreme Umwelteinflüsse. Diese permanente Verzauberung kann auf normalen Wege gebrochen werden.</t>
  </si>
  <si>
    <t>spruchmagie_veraenderung_4_gift_neutralisieren</t>
  </si>
  <si>
    <t>spruchmagie_veraenderung_4_mechanik_blockieren</t>
  </si>
  <si>
    <t>spruchmagie_veraenderung_4_verwandlung_in_element</t>
  </si>
  <si>
    <t>spruchmagie_veraenderung_5_schwerkraft_erhoehen</t>
  </si>
  <si>
    <t>Der Magier erschafft eine {M} m Radius große Zone mit stark erhöhter Schwerkraft, in der er sich als einziger ohne Behinderung bewegen kann. Alle anderen Ziele in der Zone erleiden eine Behinderung in Höhe ihrer vollen RS-BE. NK-Attacken sind zusätzlich um WK erschwert. FK-Attacken verfehlen ihr Ziel, es sei denn der Schütze schafft eine Magietheorie-Probe; dann sind alle FK-Attacken um {Magie} * 2 + Waffengewicht erschwert.</t>
  </si>
  <si>
    <t>spruchmagie_veraenderung_5_ruestung_schwaechen</t>
  </si>
  <si>
    <t>spruchmagie_veraenderung_6_weg_aus_licht</t>
  </si>
  <si>
    <t>spruchmagie_veraenderung_6_wettermeisterschaft</t>
  </si>
  <si>
    <t>spruchmagie_veraenderung_6_unbelebte_materie_zerstoeren</t>
  </si>
  <si>
    <t>spruchmagie_veraenderung_7_materie_zerstoeren</t>
  </si>
  <si>
    <t>spruchmagie_veraenderung_7_stillstand</t>
  </si>
  <si>
    <t>spruchmagie_veraenderung_7_fleisch_zu_stein</t>
  </si>
  <si>
    <t>spruchmagie_verzauberung_1_whk_erhoehen</t>
  </si>
  <si>
    <t>spruchmagie_verzauberung_1_manaspende</t>
  </si>
  <si>
    <t>Der Magus überträgt dem Ziel max. {M}*2 Mana. Damit das Ziel mehr als sein maximales Mana verwenden kann, kann die Verbindung zum Magus max. {M} min aufrechterhalten werden, sonst verfällt das überschüssige Mana.</t>
  </si>
  <si>
    <t>spruchmagie_verzauberung_1_kleine_telekinese</t>
  </si>
  <si>
    <t>spruchmagie_verzauberung_2_kiemen</t>
  </si>
  <si>
    <t>Auf den Halsschlagadern des Opfers bilden sich Kiemen. Dies ist ein schmerzhafter Prozess, bei dem eine einfache Selbstbeherrschungsprobe abgelegt werden muss. Das Opfer kann nach dem Ende der Effektdauer unter Wasser durch die Kiemen atmen. Atmet er in die Lunge, ertrinkt er. Giftstoffe im Wasser dringen über die Kiemen in den Blutkreislauf ein.</t>
  </si>
  <si>
    <t>spruchmagie_verzauberung_2_explosionsfalle</t>
  </si>
  <si>
    <t>spruchmagie_verzauberung_2_mana_fernspende</t>
  </si>
  <si>
    <t>Der Magus überträgt dem Ziel 10 Mana/sec, max. {M}*2 Mana. Das übertragene Mana ist astral als Verbindung zwischen den Köpfen von Magus und Ziel sichtbar. Das Mana, das vom Ziel nicht mehr aufgenommen werden kann, verfällt.</t>
  </si>
  <si>
    <t>spruchmagie_verzauberung_2_leben_einhauchen</t>
  </si>
  <si>
    <t>spruchmagie_verzauberung_3_geistige_eigenschaft_erhoehen</t>
  </si>
  <si>
    <t>spruchmagie_verzauberung_3_blitz_klinge_v</t>
  </si>
  <si>
    <t>spruchmagie_verzauberung_3_erd_klinge_v</t>
  </si>
  <si>
    <t>spruchmagie_verzauberung_3_feuer_klinge_v</t>
  </si>
  <si>
    <t>spruchmagie_verzauberung_3_flammen_pfeil_v</t>
  </si>
  <si>
    <t>spruchmagie_verzauberung_3_geistesbund</t>
  </si>
  <si>
    <t>spruchmagie_verzauberung_3_frost_klinge_v</t>
  </si>
  <si>
    <t>spruchmagie_verzauberung_3_frost_pfeil_v</t>
  </si>
  <si>
    <t>spruchmagie_verzauberung_3_luft_klinge_v</t>
  </si>
  <si>
    <t>spruchmagie_verzauberung_3_schock_pfeil_v</t>
  </si>
  <si>
    <t>spruchmagie_verzauberung_3_sinne_verbessern</t>
  </si>
  <si>
    <t>Der Magus verbessert entweder seinen Geruchssinn, seinen Geschmackssinn, sein Gehör, sein Sehvermögen oder seinen Tastsinn. Sinnesschärfe-Proben sind um {M} erleichtert.</t>
  </si>
  <si>
    <t>spruchmagie_verzauberung_3_splitter_pfeil_v</t>
  </si>
  <si>
    <t>spruchmagie_verzauberung_3_unbelebtes_teleportieren</t>
  </si>
  <si>
    <t>Der Magus teleportiert einen Gegenstand aus seiner Aura mit maximal {M}*kg Gewicht zu einem Punkt, den er sieht. Er löst sich in Dampf auf, genauso materialisiert er wieder. Abweichung vom Zielpunkt: (Distanz in m/10) = Wx; Wx -Kreis =Abweichung in m; Abw. immer horizontal, nicht in Gegenstände hinein, sondern auf/neben ihnen. Patzer: Pech-Probe erschw.um Distanz/10. -&gt; Pech: Gegenstand verschwindet permanent. Kein Pech: Gegenstand wird an eine zufällige Stelle teleportiert, die sich innerhalb von Radius {M} * 3m um den Magus befindet.</t>
  </si>
  <si>
    <t>spruchmagie_verzauberung_3_sturm_pfeil_v</t>
  </si>
  <si>
    <t>spruchmagie_verzauberung_3_haesslichkeit</t>
  </si>
  <si>
    <t>spruchmagie_verzauberung_3_beschleuniger</t>
  </si>
  <si>
    <t>spruchmagie_verzauberung_3_koerperliche_eigenschaft_senken</t>
  </si>
  <si>
    <t>spruchmagie_verzauberung_4_verlangsamen</t>
  </si>
  <si>
    <t>Ein Lebewesen wird durch diesen Zauber so weit verlangsamt, dass es keinen Sturzschaden erfahren kann.</t>
  </si>
  <si>
    <t>spruchmagie_verzauberung_4_in_tier_verwandeln</t>
  </si>
  <si>
    <t>spruchmagie_verzauberung_4_wachstum_beeinflussen</t>
  </si>
  <si>
    <t>Ein Lebewesen kann durch diesen Zauber in seinem Wachstum beeinflusst werden. Das Ziel kann in seiner Entwicklung maximal {M} monate beschleunigt werden. Es ist nicht möglich, mit diesem Zauber ein Ziel altern zu lassen, sondern lediglich die volle Entwicklung zu erreichen. Das Wachstum kann beliebig gestaltet werden. Das Opfer muss während des gesamten Zaubers vollkommen bewegungslos sein, sonst fällt der Zauber.</t>
  </si>
  <si>
    <t>spruchmagie_verzauberung_4_geistige_eigenschaft_senken</t>
  </si>
  <si>
    <t>spruchmagie_verzauberung_4_grosse_telekinese</t>
  </si>
  <si>
    <t>spruchmagie_verzauberung_4_golem_diener</t>
  </si>
  <si>
    <t>spruchmagie_verzauberung_5_schwaeche</t>
  </si>
  <si>
    <t>spruchmagie_verzauberung_5_warp</t>
  </si>
  <si>
    <t>Der Magus teleportiert zu einem Punkt, den er sieht. Er löst sich von Fuß zum Kopf hin in Dampf auf, genauso materialisiert er wieder. Er materialisiert immer stehend, Arme angelegt. Abweichung vom Zielpunkt: (Distanz in m/10) = Wx; Wx -Kreis =Abweichung in m; Abw. immer horizontal, nicht in Gegenstände hinein, sondern auf/neben ihnen. Patzer: Pech-Probe erschw.um Distanz/10. -&gt;pro 1 Punkt Pech: 1W20 auf alle TZ verteilt, alles ignorierend. Der Magus befindet sich während der Reise 1 sec in der Astralsphäre und benötigt 1 sec um wieder zu materialisieren. Um eine andere Person zu teleportieren, muss der Magus sie berühren.</t>
  </si>
  <si>
    <t>spruchmagie_verzauberung_5_verwandlung</t>
  </si>
  <si>
    <t>spruchmagie_verzauberung_5_mechanismus_antreiben</t>
  </si>
  <si>
    <t>spruchmagie_verzauberung_5_gecko</t>
  </si>
  <si>
    <t>spruchmagie_verzauberung_5_nebelleib</t>
  </si>
  <si>
    <t>spruchmagie_verzauberung_5_golem_kaempfer</t>
  </si>
  <si>
    <t>Der Magus fügt mit diesem Zauber beliebig viele Gegenstände von maximal {M} * 3 kg Gewicht zusammen. Der Golem kann keinerlei komplexe Handlungen ausführen und folgt lediglich den in dieser KR erteilten Befehlen des Magus.Alle Eigenschaften des Golems haben einen Wert von ({Magie} + {Aura}), NK-AT|PA von {M}|1|21 mit 2W8+{Aura} Schaden, WK={Magie}, AW= {Magie}|1|21, Ini=Ini des Magus, RS={Aura} und LE von 4*{M}. Grunfertigkeiten haben den Wert {Magie}. Der Golem gilt als Magiekorpus. Geschwindigkeit: ({Magie}+5) m/s. Springen: max. 1m hoch, 6m weit. Die Kontrollreichweite ist {M}*20m.</t>
  </si>
  <si>
    <t>spruchmagie_verzauberung_6_last_des_alters</t>
  </si>
  <si>
    <t>spruchmagie_verzauberung_6_dummheit</t>
  </si>
  <si>
    <t>spruchmagie_verzauberung_6_eisenhaut</t>
  </si>
  <si>
    <t>spruchmagie_verzauberung_7_verjuengung</t>
  </si>
  <si>
    <t>spruchmagie_verzauberung_7_grosser_golem</t>
  </si>
  <si>
    <t>Der Magus fügt mit diesem Zauber beliebig viele Gegenstände von maximal {M} * 10 kg Gewicht zusammen. Der Golem kann keinerlei komplexe Handlungen ausführen und folgt lediglich den Befehlen „Greife X an“ und „Gehe zu X“.Alle Eigenschaften des Golems haben einen Wert von {Magie}*2+{Aura}*2, NK-AT|PA von {M}|1+{Magie}|21+{Aura} mit 2W15+{Aura} Schaden und LE von 6*{Magie}+30*{Aura}+2*{M}. Der Golem gilt als Magiekorpus. Die Kontrollreichweite ist {M}*20m.</t>
  </si>
  <si>
    <t>spruchmagie_verzauberung_7_krueppel</t>
  </si>
  <si>
    <t>spruchmagie_verzauberung_7_leib_aus_element</t>
  </si>
  <si>
    <t>spruchmagie_verzauberung_7_tod_nn</t>
  </si>
  <si>
    <t>spruchmagie_wasserbeschwoerung_1_frostwand</t>
  </si>
  <si>
    <t>Der Magier erschafft eine Wand aus Wasser. Die Wahrnehmung durch diese Wand ist stark erschwert bis unmöglich: Alle FK-Attacken sind um {Aura}*2 erschwert. Wer versucht, die Wand zu durchdringen, erleidet Elementarschaden auf jeder TZ. Während der Effektdauer entfaltet die Wand nur die halbe Wirkung. Schaden: W4+{Magie} auf jede TZ. Pro 5 TP erleidet das Opfer zusätzliche BE 1, nur die höchste so erzielte BE zählt.</t>
  </si>
  <si>
    <t>spruchmagie_wasserbeschwoerung_1_frostfaust</t>
  </si>
  <si>
    <t>spruchmagie_wasserbeschwoerung_1_eisball</t>
  </si>
  <si>
    <t>spruchmagie_wasserbeschwoerung_2_eis_aura</t>
  </si>
  <si>
    <t>spruchmagie_wasserbeschwoerung_2_eisstrahl</t>
  </si>
  <si>
    <t>spruchmagie_wasserbeschwoerung_2_frostbolzen</t>
  </si>
  <si>
    <t>spruchmagie_wasserbeschwoerung_3_frost_klinge</t>
  </si>
  <si>
    <t>spruchmagie_wasserbeschwoerung_3_frost_pfeil</t>
  </si>
  <si>
    <t>Ein Pfeil erhält eine zusätzliche Schadenswirkung entsprechend der Magie des Magus: 1=W3; 2=W4; 3=W6; 4=W8; 5=W10; 6=W12; 7=W15; 8=W20; 9=W30; 10=2W20; 11=W50. Pro 5 TP erleidet das Opfer zusätzliche BE 1, nur die höchste so erzielte BE zählt. Bei guter oder besserer Probe können die KK-Punkte zum Erhöhen der Wirkung nur dafür eingesetzt werden, die W-Klasse zu erhöhen.</t>
  </si>
  <si>
    <t>spruchmagie_wasserbeschwoerung_3_eisblitz</t>
  </si>
  <si>
    <t>spruchmagie_wasserbeschwoerung_3_grosse_frostfaust</t>
  </si>
  <si>
    <t>spruchmagie_wasserbeschwoerung_3_eisball_salve</t>
  </si>
  <si>
    <t>spruchmagie_wasserbeschwoerung_4_grosse_frostwand</t>
  </si>
  <si>
    <t>spruchmagie_wasserbeschwoerung_4_grosser_eisball</t>
  </si>
  <si>
    <t>spruchmagie_wasserbeschwoerung_4_frostbolzen_salve</t>
  </si>
  <si>
    <t>spruchmagie_wasserbeschwoerung_5_grosse_eisaura</t>
  </si>
  <si>
    <t>spruchmagie_wasserbeschwoerung_5_blizzard</t>
  </si>
  <si>
    <t>spruchmagie_wasserbeschwoerung_5_grosser_frostbolzen</t>
  </si>
  <si>
    <t>spruchmagie_wasserbeschwoerung_6_grosser_eisstrahl</t>
  </si>
  <si>
    <t>spruchmagie_wasserbeschwoerung_6_grosser_eisblitz</t>
  </si>
  <si>
    <t>spruchmagie_wasserbeschwoerung_6_grosse_eisball_salve</t>
  </si>
  <si>
    <t>spruchmagie_wasserbeschwoerung_7_grosser_blizzard</t>
  </si>
  <si>
    <t>spruchmagie_wasserbeschwoerung_7_grosse_frostbolzen_salve</t>
  </si>
  <si>
    <t>talente_geweihter_lloth_stufe_1_orthodox</t>
  </si>
  <si>
    <t>Geweihter von Lloth, Orthodox – Niederer</t>
  </si>
  <si>
    <t>Geweihte</t>
  </si>
  <si>
    <t>Dieser Charakter ist Geweihter von Lloth, Orthodox (Geweihtengrad 1: Niederer). Der Charakter muss Karma auf mindestens 1 steigern.</t>
  </si>
  <si>
    <t>talente_geweihter_khartazh_stufe_1_orthodox</t>
  </si>
  <si>
    <t>Geweihter von Khartazh, Orthodox – Niederer</t>
  </si>
  <si>
    <t>Dieser Charakter ist Geweihter von Khartazh, Orthodox (Geweihtengrad 1: Niederer). Der Charakter muss Karma auf mindestens 1 steigern.</t>
  </si>
  <si>
    <t>talente_geweihter_nomna_stufe_1_orthodox</t>
  </si>
  <si>
    <t>Geweihter von Nomna, Orthodox – Niederer</t>
  </si>
  <si>
    <t>Dieser Charakter ist Geweihter von Nomna, Orthodox (Geweihtengrad 1: Niederer). Der Charakter muss Karma auf mindestens 1 steigern.</t>
  </si>
  <si>
    <t>talente_geweihter_tepod_stufe_1_orthodox</t>
  </si>
  <si>
    <t>Geweihter von Tepod, Orthodox – Niederer</t>
  </si>
  <si>
    <t>Dieser Charakter ist Geweihter von Tepod, Orthodox (Geweihtengrad 1: Niederer). Der Charakter muss Karma auf mindestens 1 steigern.</t>
  </si>
  <si>
    <t>talente_geweihter_isch_stufe_1_orthodox</t>
  </si>
  <si>
    <t>Geweihter von Isch, Orthodox – Niederer</t>
  </si>
  <si>
    <t>Dieser Charakter ist Geweihter von Isch, Orthodox (Geweihtengrad 1: Niederer). Der Charakter muss Karma auf mindestens 1 steigern.</t>
  </si>
  <si>
    <t>talente_beidhaendig_pistolenschiessen</t>
  </si>
  <si>
    <t>Beidhändig Pistolenschießen</t>
  </si>
  <si>
    <t>Ermöglicht es dem Schützen, wenn er mit einer Pistole in jeder Hand schießt, mit beiden Pistolen statt auf seinen halben auf seinen vollen Probenwert zu würfeln.</t>
  </si>
  <si>
    <t>talente_schildkampf</t>
  </si>
  <si>
    <t>Schildkampf</t>
  </si>
  <si>
    <t>Ermöglicht es dem Krieger, wenn er nur mit der linken Hand ein Schild führt, statt auf seinen halben auf seinen vollen Probenwert zu würfeln.</t>
  </si>
  <si>
    <t>Feuerwaffen</t>
  </si>
  <si>
    <t>fk_basis_feuerwaffen</t>
  </si>
  <si>
    <t>Fernkampf-Basis-Wert Feuerwaffen</t>
  </si>
  <si>
    <t>(eig_g_sinneschaerfe+eig_k_geschicklichkeit+fk_feuerwaffen)/4</t>
  </si>
  <si>
    <t>fk_gute_feuerwaffen</t>
  </si>
  <si>
    <t>Fernkampf-Gute-Wert Feuerwaffen</t>
  </si>
  <si>
    <t>WENN(talente_fernkampfgeschick_stufe_2&gt;0;1+AUFRUNDEN(fk_basis_feuerwaffen/3;0);WENN(talente_fernkampfgeschick_stufe_1&gt;0;1+AUFRUNDEN(fk_basis_feuerwaffen/4;0);1))</t>
  </si>
  <si>
    <t>fk_meisterlich_feuerwaffen</t>
  </si>
  <si>
    <t>Fernkampf-Meisterliche-Wert Feuerwaffen</t>
  </si>
  <si>
    <t>WENN(talente_fernkampfgeschick_stufe_3&gt;0;21+AUFRUNDEN(fk_basis_feuerwaffen/20;0);21)</t>
  </si>
  <si>
    <t>talente_kampffertigkeit_erhoehen_feuerwaffen</t>
  </si>
  <si>
    <t>Kampffertigkeit erhöhen: Feuerwaffen</t>
  </si>
  <si>
    <t>whk_zimmerei</t>
  </si>
  <si>
    <t>WHK</t>
  </si>
  <si>
    <t>Zimmerei</t>
  </si>
  <si>
    <t>Bau</t>
  </si>
  <si>
    <t>whk_spez_zimmerei_dachstuhlbauer</t>
  </si>
  <si>
    <t>-&gt; Dachstuhlbauer</t>
  </si>
  <si>
    <t>SVERWEIS(wert;'WHK-Spez-Kosten';3;1)</t>
  </si>
  <si>
    <t>whk_spez_zimmerei_fenster_und_tuerenbauer</t>
  </si>
  <si>
    <t>-&gt; Fenster- und Türenbauer</t>
  </si>
  <si>
    <t>whk_spez_zimmerei_schindelmacher</t>
  </si>
  <si>
    <t>-&gt; Schindelmacher</t>
  </si>
  <si>
    <t>whk_spez_zimmerei_fachwerkbauer</t>
  </si>
  <si>
    <t>-&gt; Fachwerkbauer</t>
  </si>
  <si>
    <t>whk_maurerhandwerk</t>
  </si>
  <si>
    <t>Maurerhandwerk</t>
  </si>
  <si>
    <t>whk_spez_maurerhandwerk_ziegelmaurer</t>
  </si>
  <si>
    <t>-&gt; Ziegelmaurer</t>
  </si>
  <si>
    <t>whk_spez_maurerhandwerk_stuckateur</t>
  </si>
  <si>
    <t>-&gt; Stuckateur</t>
  </si>
  <si>
    <t>whk_spez_maurerhandwerk_dachdecker</t>
  </si>
  <si>
    <t>-&gt; Dachdecker</t>
  </si>
  <si>
    <t>whk_spez_maurerhandwerk_fliesenleger</t>
  </si>
  <si>
    <t>-&gt; Fliesenleger</t>
  </si>
  <si>
    <t>whk_architektur</t>
  </si>
  <si>
    <t>Architektur</t>
  </si>
  <si>
    <t>whk_spez_architektur_brueckenbauingenieur</t>
  </si>
  <si>
    <t>-&gt; Brückenbauingenieur</t>
  </si>
  <si>
    <t>whk_spez_architektur_festungsbaumeister</t>
  </si>
  <si>
    <t>-&gt; Festungsbaumeister</t>
  </si>
  <si>
    <t>whk_spez_architektur_stadtplaner</t>
  </si>
  <si>
    <t>-&gt; Stadtplaner</t>
  </si>
  <si>
    <t>whk_spez_architektur_baumeister</t>
  </si>
  <si>
    <t>-&gt; Baumeister</t>
  </si>
  <si>
    <t>whk_holzbearbeitung</t>
  </si>
  <si>
    <t>Holzbearbeitung</t>
  </si>
  <si>
    <t>whk_spez_holzbearbeitung_drechsler</t>
  </si>
  <si>
    <t>-&gt; Drechsler</t>
  </si>
  <si>
    <t>whk_spez_holzbearbeitung_buerstenbinder</t>
  </si>
  <si>
    <t>-&gt; Bürstenbinder</t>
  </si>
  <si>
    <t>whk_spez_holzbearbeitung_fassbinder</t>
  </si>
  <si>
    <t>-&gt; Fassbinder</t>
  </si>
  <si>
    <t>whk_spez_holzbearbeitung_korbflechter</t>
  </si>
  <si>
    <t>-&gt; Korbflechter</t>
  </si>
  <si>
    <t>whk_spez_holzbearbeitung_koehler</t>
  </si>
  <si>
    <t>-&gt; Köhler</t>
  </si>
  <si>
    <t>whk_spez_holzbearbeitung_schnitzer</t>
  </si>
  <si>
    <t>-&gt; Schnitzer</t>
  </si>
  <si>
    <t>whk_spez_holzbearbeitung_tischler</t>
  </si>
  <si>
    <t>-&gt; Tischler</t>
  </si>
  <si>
    <t>whk_spez_holzbearbeitung_wagner</t>
  </si>
  <si>
    <t>-&gt; Wagner</t>
  </si>
  <si>
    <t>whk_spez_holzbearbeitung_holzfaeller</t>
  </si>
  <si>
    <t>-&gt; Holzfäller</t>
  </si>
  <si>
    <t>whk_bootsbauer</t>
  </si>
  <si>
    <t>Bootsbauer</t>
  </si>
  <si>
    <t>whk_spez_bootsbauer_grossschiffbauer</t>
  </si>
  <si>
    <t>-&gt; Großschiffbauer</t>
  </si>
  <si>
    <t>whk_spez_bootsbauer_kleinbootbauer</t>
  </si>
  <si>
    <t>-&gt; Kleinbootbauer</t>
  </si>
  <si>
    <t>whk_spez_bootsbauer_galeerenbauer</t>
  </si>
  <si>
    <t>-&gt; Galeerenbauer</t>
  </si>
  <si>
    <t>whk_glaser</t>
  </si>
  <si>
    <t>Glaser</t>
  </si>
  <si>
    <t>whk_spez_glaser_apparateglaser</t>
  </si>
  <si>
    <t>-&gt; Apparateglaser</t>
  </si>
  <si>
    <t>whk_spez_glaser_glasblaeser</t>
  </si>
  <si>
    <t>-&gt; Glasbläser</t>
  </si>
  <si>
    <t>whk_spez_glaser_kristallschleifer</t>
  </si>
  <si>
    <t>-&gt; Kristallschleifer</t>
  </si>
  <si>
    <t>whk_spez_glaser_optiker</t>
  </si>
  <si>
    <t>-&gt; Optiker</t>
  </si>
  <si>
    <t>whk_spez_glaser_fensterglaser</t>
  </si>
  <si>
    <t>-&gt; Fensterglaser</t>
  </si>
  <si>
    <t>whk_maler</t>
  </si>
  <si>
    <t>Maler</t>
  </si>
  <si>
    <t>whk_spez_maler_fassadenmaler</t>
  </si>
  <si>
    <t>-&gt; Fassadenmaler</t>
  </si>
  <si>
    <t>whk_spez_maler_anstreicher</t>
  </si>
  <si>
    <t>-&gt; Anstreicher</t>
  </si>
  <si>
    <t>whk_spez_maler_tapezierer</t>
  </si>
  <si>
    <t>-&gt; Tapezierer</t>
  </si>
  <si>
    <t>whk_schmied</t>
  </si>
  <si>
    <t>Schmied</t>
  </si>
  <si>
    <t>Metall</t>
  </si>
  <si>
    <t>whk_spez_schmied_feinschmied</t>
  </si>
  <si>
    <t>-&gt; Feinschmied</t>
  </si>
  <si>
    <t>whk_spez_schmied_grobschmied</t>
  </si>
  <si>
    <t>-&gt; Grobschmied</t>
  </si>
  <si>
    <t>whk_spez_schmied_hufschmied</t>
  </si>
  <si>
    <t>-&gt; Hufschmied</t>
  </si>
  <si>
    <t>whk_buntmetallschmied</t>
  </si>
  <si>
    <t>Buntmetallschmied</t>
  </si>
  <si>
    <t>whk_spez_buntmetallschmied_bronzeschmied</t>
  </si>
  <si>
    <t>-&gt; Bronzeschmied</t>
  </si>
  <si>
    <t>whk_spez_buntmetallschmied_goldschmied</t>
  </si>
  <si>
    <t>-&gt; Goldschmied</t>
  </si>
  <si>
    <t>whk_spez_buntmetallschmied_kupferschmied</t>
  </si>
  <si>
    <t>-&gt; Kupferschmied</t>
  </si>
  <si>
    <t>whk_spez_buntmetallschmied_silberschmied</t>
  </si>
  <si>
    <t>-&gt; Silberschmied</t>
  </si>
  <si>
    <t>whk_spez_buntmetallschmied_zinngiesser</t>
  </si>
  <si>
    <t>-&gt; Zinngießer</t>
  </si>
  <si>
    <t>whk_waffenschmied</t>
  </si>
  <si>
    <t>Waffenschmied</t>
  </si>
  <si>
    <t>whk_spez_waffenschmied_klingenwaffen</t>
  </si>
  <si>
    <t>-&gt; Klingenwaffen</t>
  </si>
  <si>
    <t>whk_spez_waffenschmied_hiebwaffen</t>
  </si>
  <si>
    <t>-&gt; Hiebwaffen</t>
  </si>
  <si>
    <t>whk_spez_waffenschmied_stangenwaffen</t>
  </si>
  <si>
    <t>-&gt; Stangenwaffen</t>
  </si>
  <si>
    <t>whk_spez_waffenschmied_stichwaffen</t>
  </si>
  <si>
    <t>-&gt; Stichwaffen</t>
  </si>
  <si>
    <t>whk_ruestungsschmied</t>
  </si>
  <si>
    <t>Rüstungsschmied</t>
  </si>
  <si>
    <t>whk_spez_ruestungsschmied_tierruestungen</t>
  </si>
  <si>
    <t>-&gt; Tierrüstungen</t>
  </si>
  <si>
    <t>whk_spez_ruestungsschmied_kettenruestungen</t>
  </si>
  <si>
    <t>-&gt; Kettenrüstungen</t>
  </si>
  <si>
    <t>whk_spez_ruestungsschmied_plattenpanzer</t>
  </si>
  <si>
    <t>-&gt; Plattenpanzer</t>
  </si>
  <si>
    <t>whk_feuerwaffenbauer</t>
  </si>
  <si>
    <t>Feuerwaffenbauer</t>
  </si>
  <si>
    <t>whk_spez_feuerwaffenbauer_vorderlader</t>
  </si>
  <si>
    <t>-&gt; Vorderlader</t>
  </si>
  <si>
    <t>whk_spez_feuerwaffenbauer_stein_perkussionsschloss</t>
  </si>
  <si>
    <t>-&gt; Stein-/Perkussionsschloss</t>
  </si>
  <si>
    <t>whk_spez_feuerwaffenbauer_kipplaufverschluss</t>
  </si>
  <si>
    <t>-&gt; Kipplaufverschluss</t>
  </si>
  <si>
    <t>whk_spez_feuerwaffenbauer_trommelverschluss</t>
  </si>
  <si>
    <t>-&gt; Trommelverschluss</t>
  </si>
  <si>
    <t>whk_spez_feuerwaffenbauer_repetierverschluss</t>
  </si>
  <si>
    <t>-&gt; Repetierverschluss</t>
  </si>
  <si>
    <t>whk_metallurgie</t>
  </si>
  <si>
    <t>Metallurgie</t>
  </si>
  <si>
    <t>whk_spez_metallurgie_edelmetalle</t>
  </si>
  <si>
    <t>-&gt; Edelmetalle</t>
  </si>
  <si>
    <t>whk_spez_metallurgie_schwermetalle</t>
  </si>
  <si>
    <t>-&gt; Schwermetalle</t>
  </si>
  <si>
    <t>whk_spez_metallurgie_sonderlegierungen</t>
  </si>
  <si>
    <t>-&gt; Sonderlegierungen</t>
  </si>
  <si>
    <t>whk_spez_metallurgie_eisen_stahl</t>
  </si>
  <si>
    <t>-&gt; Eisen &amp; Stahl</t>
  </si>
  <si>
    <t>whk_spez_metallurgie_messing</t>
  </si>
  <si>
    <t>-&gt; Messing</t>
  </si>
  <si>
    <t>whk_giesser</t>
  </si>
  <si>
    <t>Gießer</t>
  </si>
  <si>
    <t>whk_spez_giesser_glockengiesser</t>
  </si>
  <si>
    <t>-&gt; Glockengießer</t>
  </si>
  <si>
    <t>whk_spez_giesser_werkzeuggiesser</t>
  </si>
  <si>
    <t>-&gt; Werkzeuggießer</t>
  </si>
  <si>
    <t>whk_spez_giesser_stueckgiesser</t>
  </si>
  <si>
    <t>-&gt; Stückgießer</t>
  </si>
  <si>
    <t>whk_spez_giesser_munitionsgiesser</t>
  </si>
  <si>
    <t>-&gt; Munitionsgießer</t>
  </si>
  <si>
    <t>whk_bogenbauer</t>
  </si>
  <si>
    <t>Bogenbauer</t>
  </si>
  <si>
    <t>whk_spez_bogenbauer_holzboegen</t>
  </si>
  <si>
    <t>-&gt; Holzbögen</t>
  </si>
  <si>
    <t>whk_spez_bogenbauer_kompositboegen</t>
  </si>
  <si>
    <t>-&gt; Kompositbögen</t>
  </si>
  <si>
    <t>whk_spez_bogenbauer_umspannboegen</t>
  </si>
  <si>
    <t>-&gt; Umspannbögen</t>
  </si>
  <si>
    <t>whk_schneider</t>
  </si>
  <si>
    <t>Schneider</t>
  </si>
  <si>
    <t>Textil/Leder</t>
  </si>
  <si>
    <t>whk_spez_schneider_segelmacher</t>
  </si>
  <si>
    <t>-&gt; Segelmacher</t>
  </si>
  <si>
    <t>whk_spez_schneider_konfektionsschneider</t>
  </si>
  <si>
    <t>-&gt; Konfektionsschneider</t>
  </si>
  <si>
    <t>whk_spez_schneider_hutmacher</t>
  </si>
  <si>
    <t>-&gt; Hutmacher</t>
  </si>
  <si>
    <t>whk_spez_schneider_teppichknuepfer</t>
  </si>
  <si>
    <t>-&gt; Teppichknüpfer</t>
  </si>
  <si>
    <t>whk_spez_schneider_stoffruestungen</t>
  </si>
  <si>
    <t>-&gt; Stoffrüstungen</t>
  </si>
  <si>
    <t>whk_weber</t>
  </si>
  <si>
    <t>Weber</t>
  </si>
  <si>
    <t>whk_spez_weber_seidenweber</t>
  </si>
  <si>
    <t>-&gt; Seidenweber</t>
  </si>
  <si>
    <t>whk_spez_weber_leinweber</t>
  </si>
  <si>
    <t>-&gt; Leinweber</t>
  </si>
  <si>
    <t>whk_spez_weber_tuchmacher</t>
  </si>
  <si>
    <t>-&gt; Tuchmacher</t>
  </si>
  <si>
    <t>whk_spez_weber_faerber</t>
  </si>
  <si>
    <t>-&gt; Färber</t>
  </si>
  <si>
    <t>whk_spez_weber_stricker</t>
  </si>
  <si>
    <t>-&gt; Stricker</t>
  </si>
  <si>
    <t>whk_lederbearbeitung</t>
  </si>
  <si>
    <t>Lederbearbeitung</t>
  </si>
  <si>
    <t>whk_spez_lederbearbeitung_handschuhmacher</t>
  </si>
  <si>
    <t>-&gt; Handschuhmacher</t>
  </si>
  <si>
    <t>whk_spez_lederbearbeitung_oberbekleidung</t>
  </si>
  <si>
    <t>-&gt; Oberbekleidung</t>
  </si>
  <si>
    <t>whk_spez_lederbearbeitung_sattler</t>
  </si>
  <si>
    <t>-&gt; Sattler</t>
  </si>
  <si>
    <t>whk_spez_lederbearbeitung_schuster</t>
  </si>
  <si>
    <t>-&gt; Schuster</t>
  </si>
  <si>
    <t>whk_spez_lederbearbeitung_taeschner</t>
  </si>
  <si>
    <t>-&gt; Täschner</t>
  </si>
  <si>
    <t>whk_spez_lederbearbeitung_gerber</t>
  </si>
  <si>
    <t>-&gt; Gerber</t>
  </si>
  <si>
    <t>whk_spez_lederbearbeitung_kuerschner</t>
  </si>
  <si>
    <t>-&gt; Kürschner</t>
  </si>
  <si>
    <t>whk_spez_lederbearbeitung_lederruestungen</t>
  </si>
  <si>
    <t>-&gt; Lederrüstungen</t>
  </si>
  <si>
    <t>whk_seiler</t>
  </si>
  <si>
    <t>Seiler</t>
  </si>
  <si>
    <t>whk_spez_seiler_netzmacher</t>
  </si>
  <si>
    <t>-&gt; Netzmacher</t>
  </si>
  <si>
    <t>whk_spez_seiler_reepschlaeger</t>
  </si>
  <si>
    <t>-&gt; Reepschläger</t>
  </si>
  <si>
    <t>whk_baecker</t>
  </si>
  <si>
    <t>Bäcker</t>
  </si>
  <si>
    <t>Nahrung</t>
  </si>
  <si>
    <t>whk_spez_baecker_brotbaecker</t>
  </si>
  <si>
    <t>-&gt; Brotbäcker</t>
  </si>
  <si>
    <t>whk_spez_baecker_konditor</t>
  </si>
  <si>
    <t>-&gt; Konditor</t>
  </si>
  <si>
    <t>whk_koch</t>
  </si>
  <si>
    <t>Koch</t>
  </si>
  <si>
    <t>whk_spez_koch_backen</t>
  </si>
  <si>
    <t>-&gt; Backen</t>
  </si>
  <si>
    <t>whk_spez_koch_braten</t>
  </si>
  <si>
    <t>-&gt; Braten</t>
  </si>
  <si>
    <t>whk_spez_koch_raeuchern</t>
  </si>
  <si>
    <t>-&gt; Räuchern</t>
  </si>
  <si>
    <t>whk_spez_koch_konservieren</t>
  </si>
  <si>
    <t>-&gt; Konservieren</t>
  </si>
  <si>
    <t>whk_metzger</t>
  </si>
  <si>
    <t>Metzger</t>
  </si>
  <si>
    <t>whk_spez_metzger_schlachtung</t>
  </si>
  <si>
    <t>-&gt; Schlachtung</t>
  </si>
  <si>
    <t>whk_spez_metzger_poekeln</t>
  </si>
  <si>
    <t>-&gt; Pökeln</t>
  </si>
  <si>
    <t>whk_spez_metzger_trocknen</t>
  </si>
  <si>
    <t>-&gt; Trocknen</t>
  </si>
  <si>
    <t>whk_spez_metzger_wursterei</t>
  </si>
  <si>
    <t>-&gt; Wursterei</t>
  </si>
  <si>
    <t>whk_spez_metzger_talgsieder</t>
  </si>
  <si>
    <t>-&gt; Talgsieder</t>
  </si>
  <si>
    <t>whk_brenner</t>
  </si>
  <si>
    <t>Brenner</t>
  </si>
  <si>
    <t>whk_spez_brenner_alchemistische_zutaten</t>
  </si>
  <si>
    <t>-&gt; Alchemistische Zutaten</t>
  </si>
  <si>
    <t>whk_spez_brenner_geist</t>
  </si>
  <si>
    <t>-&gt; Geist</t>
  </si>
  <si>
    <t>whk_spez_brenner_kraeutergeist</t>
  </si>
  <si>
    <t>-&gt; Kräutergeist</t>
  </si>
  <si>
    <t>whk_fischer</t>
  </si>
  <si>
    <t>Fischer</t>
  </si>
  <si>
    <t>whk_spez_fischer_angler</t>
  </si>
  <si>
    <t>-&gt; Angler</t>
  </si>
  <si>
    <t>whk_spez_fischer_tranbrenner</t>
  </si>
  <si>
    <t>-&gt; Tranbrenner</t>
  </si>
  <si>
    <t>whk_spez_fischer_netzfischer</t>
  </si>
  <si>
    <t>-&gt; Netzfischer</t>
  </si>
  <si>
    <t>whk_spez_fischer_schwammtaucher</t>
  </si>
  <si>
    <t>-&gt; Schwammtaucher</t>
  </si>
  <si>
    <t>whk_spez_fischer_walfaenger</t>
  </si>
  <si>
    <t>-&gt; Walfänger</t>
  </si>
  <si>
    <t>whk_spez_fischer_austernfischer</t>
  </si>
  <si>
    <t>-&gt; Austernfischer</t>
  </si>
  <si>
    <t>whk_toepfer</t>
  </si>
  <si>
    <t>Töpfer</t>
  </si>
  <si>
    <t>Sonstiges Handwerk</t>
  </si>
  <si>
    <t>whk_spez_toepfer_emailleur</t>
  </si>
  <si>
    <t>-&gt; Emailleur</t>
  </si>
  <si>
    <t>whk_spez_toepfer_geschirr</t>
  </si>
  <si>
    <t>-&gt; Geschirr</t>
  </si>
  <si>
    <t>whk_kunsthandwerker</t>
  </si>
  <si>
    <t>Kunsthandwerker</t>
  </si>
  <si>
    <t>whk_spez_kunsthandwerker_bildhauer</t>
  </si>
  <si>
    <t>-&gt; Bildhauer</t>
  </si>
  <si>
    <t>whk_spez_kunsthandwerker_maler</t>
  </si>
  <si>
    <t>-&gt; Maler</t>
  </si>
  <si>
    <t>whk_spez_kunsthandwerker_taetowierer</t>
  </si>
  <si>
    <t>-&gt; Tätowierer</t>
  </si>
  <si>
    <t>whk_spez_kunsthandwerker_elfenbeinschnitzer</t>
  </si>
  <si>
    <t>-&gt; Elfenbeinschnitzer</t>
  </si>
  <si>
    <t>whk_instrumentenbauer</t>
  </si>
  <si>
    <t>Instrumentenbauer</t>
  </si>
  <si>
    <t>whk_spez_instrumentenbauer_blasinstrumente</t>
  </si>
  <si>
    <t>-&gt; Blasinstrumente</t>
  </si>
  <si>
    <t>whk_spez_instrumentenbauer_saiteninstrumente</t>
  </si>
  <si>
    <t>-&gt; Saiteninstrumente</t>
  </si>
  <si>
    <t>whk_spez_instrumentenbauer_schlaginstrumente</t>
  </si>
  <si>
    <t>-&gt; Schlaginstrumente</t>
  </si>
  <si>
    <t>whk_spez_instrumentenbauer_tasteninstrumente</t>
  </si>
  <si>
    <t>-&gt; Tasteninstrumente</t>
  </si>
  <si>
    <t>whk_mechanikus</t>
  </si>
  <si>
    <t>Mechanikus</t>
  </si>
  <si>
    <t>whk_spez_mechanikus_feinmechaniker</t>
  </si>
  <si>
    <t>-&gt; Feinmechaniker</t>
  </si>
  <si>
    <t>whk_spez_mechanikus_rechenmaschinen</t>
  </si>
  <si>
    <t>-&gt; Rechenmaschinen</t>
  </si>
  <si>
    <t>whk_spez_mechanikus_uhrmacher</t>
  </si>
  <si>
    <t>-&gt; Uhrmacher</t>
  </si>
  <si>
    <t>whk_spez_mechanikus_maschinenbauer</t>
  </si>
  <si>
    <t>-&gt; Maschinenbauer</t>
  </si>
  <si>
    <t>whk_spez_mechanikus_dampftechniker</t>
  </si>
  <si>
    <t>-&gt; Dampftechniker</t>
  </si>
  <si>
    <t>whk_spez_mechanikus_pumpenbauer</t>
  </si>
  <si>
    <t>-&gt; Pumpenbauer</t>
  </si>
  <si>
    <t>whk_barbier</t>
  </si>
  <si>
    <t>Barbier</t>
  </si>
  <si>
    <t>whk_spez_barbier_bader</t>
  </si>
  <si>
    <t>-&gt; Bader</t>
  </si>
  <si>
    <t>whk_spez_barbier_frisoer</t>
  </si>
  <si>
    <t>-&gt; Frisör</t>
  </si>
  <si>
    <t>whk_spez_barbier_kosmetiker</t>
  </si>
  <si>
    <t>-&gt; Kosmetiker</t>
  </si>
  <si>
    <t>whk_drucker</t>
  </si>
  <si>
    <t>Drucker</t>
  </si>
  <si>
    <t>whk_spez_drucker_buchbinder</t>
  </si>
  <si>
    <t>-&gt; Buchbinder</t>
  </si>
  <si>
    <t>whk_spez_drucker_papiermacher</t>
  </si>
  <si>
    <t>-&gt; Papiermacher</t>
  </si>
  <si>
    <t>whk_spez_drucker_lithograf</t>
  </si>
  <si>
    <t>-&gt; Lithograf</t>
  </si>
  <si>
    <t>whk_spez_drucker_stereotypeur</t>
  </si>
  <si>
    <t>-&gt; Stereotypeur</t>
  </si>
  <si>
    <t>whk_luftschiffbauer</t>
  </si>
  <si>
    <t>Luftschiffbauer</t>
  </si>
  <si>
    <t>whk_spez_luftschiffbauer_militaerschiffbauer</t>
  </si>
  <si>
    <t>-&gt; Militärschiffbauer</t>
  </si>
  <si>
    <t>whk_spez_luftschiffbauer_reiseschiffbauer</t>
  </si>
  <si>
    <t>-&gt; Reiseschiffbauer</t>
  </si>
  <si>
    <t>whk_spez_luftschiffbauer_transportschiffbauer</t>
  </si>
  <si>
    <t>-&gt; Transportschiffbauer</t>
  </si>
  <si>
    <t>whk_landwirtschaft</t>
  </si>
  <si>
    <t>Landwirtschaft</t>
  </si>
  <si>
    <t>Natur/Landwirtschaft</t>
  </si>
  <si>
    <t>whk_spez_landwirtschaft_gemuesebauer</t>
  </si>
  <si>
    <t>-&gt; Gemüsebauer</t>
  </si>
  <si>
    <t>whk_spez_landwirtschaft_getreidebauer</t>
  </si>
  <si>
    <t>-&gt; Getreidebauer</t>
  </si>
  <si>
    <t>whk_spez_landwirtschaft_obstbauer</t>
  </si>
  <si>
    <t>-&gt; Obstbauer</t>
  </si>
  <si>
    <t>whk_spez_landwirtschaft_ruebenbauer</t>
  </si>
  <si>
    <t>-&gt; Rübenbauer</t>
  </si>
  <si>
    <t>whk_spez_landwirtschaft_tabakpflanzer</t>
  </si>
  <si>
    <t>-&gt; Tabakpflanzer</t>
  </si>
  <si>
    <t>whk_spez_landwirtschaft_winzer</t>
  </si>
  <si>
    <t>-&gt; Winzer</t>
  </si>
  <si>
    <t>whk_spez_landwirtschaft_baumschulgaertner</t>
  </si>
  <si>
    <t>-&gt; Baumschulgärtner</t>
  </si>
  <si>
    <t>whk_spez_landwirtschaft_gewuerze</t>
  </si>
  <si>
    <t>-&gt; Gewürze</t>
  </si>
  <si>
    <t>whk_spez_landwirtschaft_baumwollpflanzer</t>
  </si>
  <si>
    <t>-&gt; Baumwollpflanzer</t>
  </si>
  <si>
    <t>whk_spez_landwirtschaft_alchemistische_zutaten</t>
  </si>
  <si>
    <t>whk_viehwirtschaft</t>
  </si>
  <si>
    <t>Viehwirtschaft</t>
  </si>
  <si>
    <t>whk_spez_viehwirtschaft_gefluegelzuechter</t>
  </si>
  <si>
    <t>-&gt; Geflügelzüchter</t>
  </si>
  <si>
    <t>whk_spez_viehwirtschaft_imker</t>
  </si>
  <si>
    <t>-&gt; Imker</t>
  </si>
  <si>
    <t>whk_spez_viehwirtschaft_milchbauer</t>
  </si>
  <si>
    <t>-&gt; Milchbauer</t>
  </si>
  <si>
    <t>whk_spez_viehwirtschaft_weidehirte</t>
  </si>
  <si>
    <t>-&gt; Weidehirte</t>
  </si>
  <si>
    <t>whk_spez_viehwirtschaft_viehtreiber</t>
  </si>
  <si>
    <t>-&gt; Viehtreiber</t>
  </si>
  <si>
    <t>whk_spez_viehwirtschaft_grossechsenzuechter</t>
  </si>
  <si>
    <t>-&gt; Großechsenzüchter</t>
  </si>
  <si>
    <t>whk_spez_viehwirtschaft_riesenasselzuechter</t>
  </si>
  <si>
    <t>-&gt; Riesenasselzüchter</t>
  </si>
  <si>
    <t>whk_spez_viehwirtschaft_wargzuechter</t>
  </si>
  <si>
    <t>-&gt; Wargzüchter</t>
  </si>
  <si>
    <t>whk_jaeger</t>
  </si>
  <si>
    <t>Jäger</t>
  </si>
  <si>
    <t>whk_spez_jaeger_fallensteller</t>
  </si>
  <si>
    <t>-&gt; Fallensteller</t>
  </si>
  <si>
    <t>whk_spez_jaeger_grosswildjaeger</t>
  </si>
  <si>
    <t>-&gt; Großwildjäger</t>
  </si>
  <si>
    <t>whk_spez_jaeger_treiber</t>
  </si>
  <si>
    <t>-&gt; Treiber</t>
  </si>
  <si>
    <t>whk_spez_jaeger_rotwildjaeger</t>
  </si>
  <si>
    <t>-&gt; Rotwildjäger</t>
  </si>
  <si>
    <t>whk_pflanzenkunde</t>
  </si>
  <si>
    <t>Pflanzenkunde</t>
  </si>
  <si>
    <t>whk_spez_pflanzenkunde_foerster</t>
  </si>
  <si>
    <t>-&gt; Förster</t>
  </si>
  <si>
    <t>whk_spez_pflanzenkunde_farbstoffe</t>
  </si>
  <si>
    <t>-&gt; Farbstoffe</t>
  </si>
  <si>
    <t>whk_spez_pflanzenkunde_kraeuterkundler</t>
  </si>
  <si>
    <t>-&gt; Kräuterkundler</t>
  </si>
  <si>
    <t>whk_spez_pflanzenkunde_moose</t>
  </si>
  <si>
    <t>-&gt; Moose</t>
  </si>
  <si>
    <t>whk_spez_pflanzenkunde_pilzsammler</t>
  </si>
  <si>
    <t>-&gt; Pilzsammler</t>
  </si>
  <si>
    <t>whk_spez_pflanzenkunde_straeucher</t>
  </si>
  <si>
    <t>-&gt; Sträucher</t>
  </si>
  <si>
    <t>whk_spez_pflanzenkunde_alchemistische_zutaten</t>
  </si>
  <si>
    <t>whk_bergbau</t>
  </si>
  <si>
    <t>Bergbau</t>
  </si>
  <si>
    <t>whk_spez_bergbau_edelsteinschuerfer</t>
  </si>
  <si>
    <t>-&gt; Edelsteinschürfer</t>
  </si>
  <si>
    <t>whk_spez_bergbau_steinbrecher</t>
  </si>
  <si>
    <t>-&gt; Steinbrecher</t>
  </si>
  <si>
    <t>whk_spez_bergbau_kohlenhauer</t>
  </si>
  <si>
    <t>-&gt; Kohlenhauer</t>
  </si>
  <si>
    <t>whk_spez_bergbau_salzbergmann</t>
  </si>
  <si>
    <t>-&gt; Salzbergmann</t>
  </si>
  <si>
    <t>whk_spez_bergbau_oelbohrer</t>
  </si>
  <si>
    <t>-&gt; Ölbohrer</t>
  </si>
  <si>
    <t>whk_spez_bergbau_prospektor</t>
  </si>
  <si>
    <t>-&gt; Prospektor</t>
  </si>
  <si>
    <t>whk_alchemie</t>
  </si>
  <si>
    <t>Alchemie</t>
  </si>
  <si>
    <t>whk_spez_alchemie_feuerwerker</t>
  </si>
  <si>
    <t>-&gt; Feuerwerker</t>
  </si>
  <si>
    <t>whk_spez_alchemie_pigmentmacher</t>
  </si>
  <si>
    <t>-&gt; Pigmentmacher</t>
  </si>
  <si>
    <t>whk_spez_alchemie_leimsieder</t>
  </si>
  <si>
    <t>-&gt; Leimsieder</t>
  </si>
  <si>
    <t>whk_spez_alchemie_parfumeur</t>
  </si>
  <si>
    <t>-&gt; Parfumeur</t>
  </si>
  <si>
    <t>whk_spez_alchemie_pulvermacher</t>
  </si>
  <si>
    <t>-&gt; Pulvermacher</t>
  </si>
  <si>
    <t>whk_spez_alchemie_trankbrauer</t>
  </si>
  <si>
    <t>-&gt; Trankbrauer</t>
  </si>
  <si>
    <t>whk_spez_alchemie_giftmischer</t>
  </si>
  <si>
    <t>-&gt; Giftmischer</t>
  </si>
  <si>
    <t>whk_spez_alchemie_salbenmischer</t>
  </si>
  <si>
    <t>-&gt; Salbenmischer</t>
  </si>
  <si>
    <t>whk_spez_alchemie_seifensieder</t>
  </si>
  <si>
    <t>-&gt; Seifensieder</t>
  </si>
  <si>
    <t>whk_abrichten</t>
  </si>
  <si>
    <t>Abrichten</t>
  </si>
  <si>
    <t>whk_spez_abrichten_drache</t>
  </si>
  <si>
    <t>-&gt; Drache</t>
  </si>
  <si>
    <t>whk_spez_abrichten_laufvogel</t>
  </si>
  <si>
    <t>-&gt; Laufvogel</t>
  </si>
  <si>
    <t>whk_spez_abrichten_reitkrebse</t>
  </si>
  <si>
    <t>-&gt; Reitkrebse</t>
  </si>
  <si>
    <t>whk_spez_abrichten_reitreptilien</t>
  </si>
  <si>
    <t>-&gt; Reitreptilien</t>
  </si>
  <si>
    <t>whk_spez_abrichten_rok</t>
  </si>
  <si>
    <t>-&gt; Rok</t>
  </si>
  <si>
    <t>whk_spez_abrichten_warg</t>
  </si>
  <si>
    <t>-&gt; Warg</t>
  </si>
  <si>
    <t>whk_spez_abrichten_asseln</t>
  </si>
  <si>
    <t>-&gt; Asseln</t>
  </si>
  <si>
    <t>whk_spez_abrichten_elefanten</t>
  </si>
  <si>
    <t>-&gt; Elefanten</t>
  </si>
  <si>
    <t>whk_spez_abrichten_flugechsen</t>
  </si>
  <si>
    <t>-&gt; Flugechsen</t>
  </si>
  <si>
    <t>whk_spez_abrichten_fledertiere</t>
  </si>
  <si>
    <t>-&gt; Fledertiere</t>
  </si>
  <si>
    <t>whk_spez_abrichten_greifen</t>
  </si>
  <si>
    <t>-&gt; Greifen</t>
  </si>
  <si>
    <t>whk_spez_abrichten_horntraeger</t>
  </si>
  <si>
    <t>-&gt; Hornträger</t>
  </si>
  <si>
    <t>whk_spez_abrichten_hundeartige</t>
  </si>
  <si>
    <t>-&gt; Hundeartige</t>
  </si>
  <si>
    <t>whk_spez_abrichten_katzenartige</t>
  </si>
  <si>
    <t>-&gt; Katzenartige</t>
  </si>
  <si>
    <t>whk_spez_abrichten_kamele</t>
  </si>
  <si>
    <t>-&gt; Kamele</t>
  </si>
  <si>
    <t>whk_spez_abrichten_pegasi</t>
  </si>
  <si>
    <t>-&gt; Pegasi</t>
  </si>
  <si>
    <t>whk_spez_abrichten_pferde</t>
  </si>
  <si>
    <t>-&gt; Pferde</t>
  </si>
  <si>
    <t>whk_spez_abrichten_primaten</t>
  </si>
  <si>
    <t>-&gt; Primaten</t>
  </si>
  <si>
    <t>whk_spez_abrichten_raptoren</t>
  </si>
  <si>
    <t>-&gt; Raptoren</t>
  </si>
  <si>
    <t>whk_spez_abrichten_rollocks</t>
  </si>
  <si>
    <t>-&gt; Rollocks</t>
  </si>
  <si>
    <t>whk_spez_abrichten_rattenartige</t>
  </si>
  <si>
    <t>-&gt; Rattenartige</t>
  </si>
  <si>
    <t>whk_spez_abrichten_schleichkatzen</t>
  </si>
  <si>
    <t>-&gt; Schleichkatzen</t>
  </si>
  <si>
    <t>whk_spez_abrichten_spinnen</t>
  </si>
  <si>
    <t>-&gt; Spinnen</t>
  </si>
  <si>
    <t>whk_spez_abrichten_schweine</t>
  </si>
  <si>
    <t>-&gt; Schweine</t>
  </si>
  <si>
    <t>whk_spez_abrichten_voegel</t>
  </si>
  <si>
    <t>-&gt; Vögel</t>
  </si>
  <si>
    <t>whk_kaufmann</t>
  </si>
  <si>
    <t>Kaufmann</t>
  </si>
  <si>
    <t>Handel/Verwaltung</t>
  </si>
  <si>
    <t>whk_spez_kaufmann_gastwirt</t>
  </si>
  <si>
    <t>-&gt; Gastwirt</t>
  </si>
  <si>
    <t>whk_spez_kaufmann_sklavenhaendler</t>
  </si>
  <si>
    <t>-&gt; Sklavenhändler</t>
  </si>
  <si>
    <t>whk_spez_kaufmann_artefakthaendler</t>
  </si>
  <si>
    <t>-&gt; Artefakthändler</t>
  </si>
  <si>
    <t>whk_spez_kaufmann_bogenhaendler</t>
  </si>
  <si>
    <t>-&gt; Bogenhändler</t>
  </si>
  <si>
    <t>whk_spez_kaufmann_armbrusthaendler</t>
  </si>
  <si>
    <t>-&gt; Armbrusthändler</t>
  </si>
  <si>
    <t>whk_spez_kaufmann_feuerwaffenhaendler</t>
  </si>
  <si>
    <t>-&gt; Feuerwaffenhändler</t>
  </si>
  <si>
    <t>whk_spez_kaufmann_kraemer</t>
  </si>
  <si>
    <t>-&gt; Krämer</t>
  </si>
  <si>
    <t>whk_spez_kaufmann_kutschenhaendler</t>
  </si>
  <si>
    <t>-&gt; Kutschenhändler</t>
  </si>
  <si>
    <t>whk_spez_kaufmann_schiffsmakler</t>
  </si>
  <si>
    <t>-&gt; Schiffsmakler</t>
  </si>
  <si>
    <t>whk_spez_kaufmann_blankwaffenhaendler</t>
  </si>
  <si>
    <t>-&gt; Blankwaffenhändler</t>
  </si>
  <si>
    <t>whk_spez_kaufmann_ruestungshaendler</t>
  </si>
  <si>
    <t>-&gt; Rüstungshändler</t>
  </si>
  <si>
    <t>whk_spez_kaufmann_schmuckhaendler</t>
  </si>
  <si>
    <t>-&gt; Schmuckhändler</t>
  </si>
  <si>
    <t>whk_spez_kaufmann_baustoffhaendler</t>
  </si>
  <si>
    <t>-&gt; Baustoffhändler</t>
  </si>
  <si>
    <t>whk_spez_kaufmann_textilhaendler</t>
  </si>
  <si>
    <t>-&gt; Textilhändler</t>
  </si>
  <si>
    <t>whk_spez_kaufmann_haushaltswarenhaendler</t>
  </si>
  <si>
    <t>-&gt; Haushaltswarenhändler</t>
  </si>
  <si>
    <t>whk_spez_kaufmann_metallwarenhaendler</t>
  </si>
  <si>
    <t>-&gt; Metallwarenhändler</t>
  </si>
  <si>
    <t>whk_spez_kaufmann_provianthaendler</t>
  </si>
  <si>
    <t>-&gt; Provianthändler</t>
  </si>
  <si>
    <t>whk_spez_kaufmann_papierwarenhaendler</t>
  </si>
  <si>
    <t>-&gt; Papierwarenhändler</t>
  </si>
  <si>
    <t>whk_spez_kaufmann_immobilienmakler</t>
  </si>
  <si>
    <t>-&gt; Immobilienmakler</t>
  </si>
  <si>
    <t>whk_spez_kaufmann_rohstoffhaendler</t>
  </si>
  <si>
    <t>-&gt; Rohstoffhändler</t>
  </si>
  <si>
    <t>whk_spez_kaufmann_musikalienhaendler</t>
  </si>
  <si>
    <t>-&gt; Musikalienhändler</t>
  </si>
  <si>
    <t>whk_bankwesen</t>
  </si>
  <si>
    <t>Bankwesen</t>
  </si>
  <si>
    <t>whk_spez_bankwesen_kreditwesen</t>
  </si>
  <si>
    <t>-&gt; Kreditwesen</t>
  </si>
  <si>
    <t>whk_spez_bankwesen_einlagengeschaeft</t>
  </si>
  <si>
    <t>-&gt; Einlagengeschäft</t>
  </si>
  <si>
    <t>whk_spez_bankwesen_wechsler</t>
  </si>
  <si>
    <t>-&gt; Wechsler</t>
  </si>
  <si>
    <t>whk_spez_bankwesen_hypothekenwesen</t>
  </si>
  <si>
    <t>-&gt; Hypothekenwesen</t>
  </si>
  <si>
    <t>whk_versicherungswesen</t>
  </si>
  <si>
    <t>Versicherungswesen</t>
  </si>
  <si>
    <t>whk_spez_versicherungswesen_feuerversicherung</t>
  </si>
  <si>
    <t>-&gt; Feuerversicherung</t>
  </si>
  <si>
    <t>whk_spez_versicherungswesen_lebensversicherung</t>
  </si>
  <si>
    <t>-&gt; Lebensversicherung</t>
  </si>
  <si>
    <t>whk_spez_versicherungswesen_transportversicherung</t>
  </si>
  <si>
    <t>-&gt; Transportversicherung</t>
  </si>
  <si>
    <t>whk_spez_versicherungswesen_schiffsversicherung</t>
  </si>
  <si>
    <t>-&gt; Schiffsversicherung</t>
  </si>
  <si>
    <t>whk_buchhaltung</t>
  </si>
  <si>
    <t>Buchhaltung</t>
  </si>
  <si>
    <t>whk_spez_buchhaltung_bilanzbuchhalter</t>
  </si>
  <si>
    <t>-&gt; Bilanzbuchhalter</t>
  </si>
  <si>
    <t>whk_spez_buchhaltung_betriebspruefer</t>
  </si>
  <si>
    <t>-&gt; Betriebsprüfer</t>
  </si>
  <si>
    <t>whk_spez_buchhaltung_kostenrechnung</t>
  </si>
  <si>
    <t>-&gt; Kostenrechnung</t>
  </si>
  <si>
    <t>whk_administration</t>
  </si>
  <si>
    <t>Administration</t>
  </si>
  <si>
    <t>whk_spez_administration_schreiber</t>
  </si>
  <si>
    <t>-&gt; Schreiber</t>
  </si>
  <si>
    <t>whk_spez_administration_landvermesser</t>
  </si>
  <si>
    <t>-&gt; Landvermesser</t>
  </si>
  <si>
    <t>whk_spez_administration_archivar</t>
  </si>
  <si>
    <t>-&gt; Archivar</t>
  </si>
  <si>
    <t>whk_spez_administration_verwaltungsbeamter</t>
  </si>
  <si>
    <t>-&gt; Verwaltungsbeamter</t>
  </si>
  <si>
    <t>whk_rechtskunde</t>
  </si>
  <si>
    <t>Rechtskunde</t>
  </si>
  <si>
    <t>whk_spez_rechtskunde_vertragsrecht</t>
  </si>
  <si>
    <t>-&gt; Vertragsrecht</t>
  </si>
  <si>
    <t>whk_spez_rechtskunde_strafrecht</t>
  </si>
  <si>
    <t>-&gt; Strafrecht</t>
  </si>
  <si>
    <t>whk_spez_rechtskunde_bergrecht</t>
  </si>
  <si>
    <t>-&gt; Bergrecht</t>
  </si>
  <si>
    <t>whk_spez_rechtskunde_buergerrecht</t>
  </si>
  <si>
    <t>-&gt; Bürgerrecht</t>
  </si>
  <si>
    <t>whk_logistik</t>
  </si>
  <si>
    <t>Logistik</t>
  </si>
  <si>
    <t>whk_spez_logistik_bahnspediteur</t>
  </si>
  <si>
    <t>-&gt; Bahnspediteur</t>
  </si>
  <si>
    <t>whk_spez_logistik_fuhrspediteur</t>
  </si>
  <si>
    <t>-&gt; Fuhrspediteur</t>
  </si>
  <si>
    <t>whk_spez_logistik_hafenspediteur</t>
  </si>
  <si>
    <t>-&gt; Hafenspediteur</t>
  </si>
  <si>
    <t>whk_spez_logistik_schiffsspediteur</t>
  </si>
  <si>
    <t>-&gt; Schiffsspediteur</t>
  </si>
  <si>
    <t>whk_fuhrmann</t>
  </si>
  <si>
    <t>Fuhrmann</t>
  </si>
  <si>
    <t>whk_spez_fuhrmann_lastfuhrmann</t>
  </si>
  <si>
    <t>-&gt; Lastfuhrmann</t>
  </si>
  <si>
    <t>whk_spez_fuhrmann_postkutscher</t>
  </si>
  <si>
    <t>-&gt; Postkutscher</t>
  </si>
  <si>
    <t>whk_spez_fuhrmann_reisekutscher</t>
  </si>
  <si>
    <t>-&gt; Reisekutscher</t>
  </si>
  <si>
    <t>whk_eisenbahner</t>
  </si>
  <si>
    <t>Eisenbahner</t>
  </si>
  <si>
    <t>whk_spez_eisenbahner_lokfuehrer</t>
  </si>
  <si>
    <t>-&gt; Lokführer</t>
  </si>
  <si>
    <t>whk_spez_eisenbahner_signaler</t>
  </si>
  <si>
    <t>-&gt; Signaler</t>
  </si>
  <si>
    <t>whk_fuehrung</t>
  </si>
  <si>
    <t>Führung</t>
  </si>
  <si>
    <t>Führung/Reise</t>
  </si>
  <si>
    <t>whk_spez_fuehrung_dampferkapitaen</t>
  </si>
  <si>
    <t>-&gt; Dampferkapitän</t>
  </si>
  <si>
    <t>whk_spez_fuehrung_karawanenfuehrer</t>
  </si>
  <si>
    <t>-&gt; Karawanenführer</t>
  </si>
  <si>
    <t>whk_spez_fuehrung_luftschiffkapitaen</t>
  </si>
  <si>
    <t>-&gt; Luftschiffkapitän</t>
  </si>
  <si>
    <t>whk_spez_fuehrung_schiffskapitaen</t>
  </si>
  <si>
    <t>-&gt; Schiffskapitän</t>
  </si>
  <si>
    <t>whk_spez_fuehrung_zoellner</t>
  </si>
  <si>
    <t>-&gt; Zöllner</t>
  </si>
  <si>
    <t>whk_spez_fuehrung_gutsverwalter</t>
  </si>
  <si>
    <t>-&gt; Gutsverwalter</t>
  </si>
  <si>
    <t>whk_spez_fuehrung_lotse</t>
  </si>
  <si>
    <t>-&gt; Lotse</t>
  </si>
  <si>
    <t>whk_spez_fuehrung_werksleiter</t>
  </si>
  <si>
    <t>-&gt; Werksleiter</t>
  </si>
  <si>
    <t>whk_spez_fuehrung_kavallerieoffizier</t>
  </si>
  <si>
    <t>-&gt; Kavallerieoffizier</t>
  </si>
  <si>
    <t>whk_spez_fuehrung_artillerieoffizier</t>
  </si>
  <si>
    <t>-&gt; Artillerieoffizier</t>
  </si>
  <si>
    <t>whk_spez_fuehrung_infanterieoffizier</t>
  </si>
  <si>
    <t>-&gt; Infanterieoffizier</t>
  </si>
  <si>
    <t>whk_seefahrt</t>
  </si>
  <si>
    <t>Seefahrt</t>
  </si>
  <si>
    <t>whk_spez_seefahrt_kuestenschifffahrt</t>
  </si>
  <si>
    <t>-&gt; Küstenschifffahrt</t>
  </si>
  <si>
    <t>whk_spez_seefahrt_hochseeschifffahrt</t>
  </si>
  <si>
    <t>-&gt; Hochseeschifffahrt</t>
  </si>
  <si>
    <t>whk_spez_seefahrt_ruderschifffahrt</t>
  </si>
  <si>
    <t>-&gt; Ruderschifffahrt</t>
  </si>
  <si>
    <t>whk_spez_seefahrt_flussschifffahrt</t>
  </si>
  <si>
    <t>-&gt; Flussschifffahrt</t>
  </si>
  <si>
    <t>whk_luftschifffahrt</t>
  </si>
  <si>
    <t>Luftschifffahrt</t>
  </si>
  <si>
    <t>whk_spez_luftschifffahrt_hoehenfahrt</t>
  </si>
  <si>
    <t>-&gt; Höhenfahrt</t>
  </si>
  <si>
    <t>whk_spez_luftschifffahrt_sturmfahrt</t>
  </si>
  <si>
    <t>-&gt; Sturmfahrt</t>
  </si>
  <si>
    <t>whk_spez_luftschifffahrt_langstreckenfahrt</t>
  </si>
  <si>
    <t>-&gt; Langstreckenfahrt</t>
  </si>
  <si>
    <t>whk_ueberleben</t>
  </si>
  <si>
    <t>Überleben</t>
  </si>
  <si>
    <t>whk_spez_ueberleben_berge</t>
  </si>
  <si>
    <t>-&gt; Berge</t>
  </si>
  <si>
    <t>whk_spez_ueberleben_dschungel</t>
  </si>
  <si>
    <t>-&gt; Dschungel</t>
  </si>
  <si>
    <t>whk_spez_ueberleben_steppe</t>
  </si>
  <si>
    <t>-&gt; Steppe</t>
  </si>
  <si>
    <t>whk_spez_ueberleben_eis</t>
  </si>
  <si>
    <t>-&gt; Eis</t>
  </si>
  <si>
    <t>whk_spez_ueberleben_stadt</t>
  </si>
  <si>
    <t>-&gt; Stadt</t>
  </si>
  <si>
    <t>whk_spez_ueberleben_unterirdisch</t>
  </si>
  <si>
    <t>-&gt; Unterirdisch</t>
  </si>
  <si>
    <t>whk_spez_ueberleben_wald</t>
  </si>
  <si>
    <t>-&gt; Wald</t>
  </si>
  <si>
    <t>whk_spez_ueberleben_wueste</t>
  </si>
  <si>
    <t>-&gt; Wüste</t>
  </si>
  <si>
    <t>whk_telegrafie</t>
  </si>
  <si>
    <t>Telegrafie</t>
  </si>
  <si>
    <t>whk_spez_telegrafie_telegrafist</t>
  </si>
  <si>
    <t>-&gt; Telegrafist</t>
  </si>
  <si>
    <t>whk_spez_telegrafie_leitungsbauer</t>
  </si>
  <si>
    <t>-&gt; Leitungsbauer</t>
  </si>
  <si>
    <t>whk_spez_telegrafie_kryptografie</t>
  </si>
  <si>
    <t>-&gt; Kryptografie</t>
  </si>
  <si>
    <t>whk_chemie</t>
  </si>
  <si>
    <t>Chemie</t>
  </si>
  <si>
    <t>Wissenschaft</t>
  </si>
  <si>
    <t>whk_spez_chemie_anorganische_chemie</t>
  </si>
  <si>
    <t>-&gt; Anorganische Chemie</t>
  </si>
  <si>
    <t>whk_spez_chemie_organische_chemie</t>
  </si>
  <si>
    <t>-&gt; Organische Chemie</t>
  </si>
  <si>
    <t>whk_spez_chemie_thermochemie</t>
  </si>
  <si>
    <t>-&gt; Thermochemie</t>
  </si>
  <si>
    <t>whk_physik</t>
  </si>
  <si>
    <t>Physik</t>
  </si>
  <si>
    <t>whk_spez_physik_mechanik</t>
  </si>
  <si>
    <t>-&gt; Mechanik</t>
  </si>
  <si>
    <t>whk_spez_physik_optik</t>
  </si>
  <si>
    <t>-&gt; Optik</t>
  </si>
  <si>
    <t>whk_spez_physik_thermodynamik</t>
  </si>
  <si>
    <t>-&gt; Thermodynamik</t>
  </si>
  <si>
    <t>whk_mathematik</t>
  </si>
  <si>
    <t>Mathematik</t>
  </si>
  <si>
    <t>whk_spez_mathematik_arithmetik</t>
  </si>
  <si>
    <t>-&gt; Arithmetik</t>
  </si>
  <si>
    <t>whk_spez_mathematik_geometrie</t>
  </si>
  <si>
    <t>-&gt; Geometrie</t>
  </si>
  <si>
    <t>whk_spez_mathematik_statistik</t>
  </si>
  <si>
    <t>-&gt; Statistik</t>
  </si>
  <si>
    <t>whk_philosophie</t>
  </si>
  <si>
    <t>Philosophie</t>
  </si>
  <si>
    <t>whk_spez_philosophie_ethik</t>
  </si>
  <si>
    <t>-&gt; Ethik</t>
  </si>
  <si>
    <t>whk_spez_philosophie_logik</t>
  </si>
  <si>
    <t>-&gt; Logik</t>
  </si>
  <si>
    <t>whk_spez_philosophie_naturphilosophie</t>
  </si>
  <si>
    <t>-&gt; Naturphilosophie</t>
  </si>
  <si>
    <t>whk_wirtschaftslehre</t>
  </si>
  <si>
    <t>Wirtschaftslehre</t>
  </si>
  <si>
    <t>whk_spez_wirtschaftslehre_volkswirtschaftslehre</t>
  </si>
  <si>
    <t>-&gt; Volkswirtschaftslehre</t>
  </si>
  <si>
    <t>whk_spez_wirtschaftslehre_betriebswirtschaftslehre</t>
  </si>
  <si>
    <t>-&gt; Betriebswirtschaftslehre</t>
  </si>
  <si>
    <t>whk_spez_wirtschaftslehre_aussenhandel</t>
  </si>
  <si>
    <t>-&gt; Außenhandel</t>
  </si>
  <si>
    <t>whk_soziologie</t>
  </si>
  <si>
    <t>Soziologie</t>
  </si>
  <si>
    <t>whk_spez_soziologie_vergleichende_kulturkunde</t>
  </si>
  <si>
    <t>-&gt; Vergleichende Kulturkunde</t>
  </si>
  <si>
    <t>whk_spez_soziologie_gesellschaftsstruktur</t>
  </si>
  <si>
    <t>-&gt; Gesellschaftsstruktur</t>
  </si>
  <si>
    <t>whk_spez_soziologie_migrationsforschung</t>
  </si>
  <si>
    <t>-&gt; Migrationsforschung</t>
  </si>
  <si>
    <t>whk_astronomie</t>
  </si>
  <si>
    <t>Astronomie</t>
  </si>
  <si>
    <t>whk_spez_astronomie_navigationsastronomie</t>
  </si>
  <si>
    <t>-&gt; Navigationsastronomie</t>
  </si>
  <si>
    <t>whk_spez_astronomie_kalenderkunde</t>
  </si>
  <si>
    <t>-&gt; Kalenderkunde</t>
  </si>
  <si>
    <t>whk_spez_astronomie_kosmologie</t>
  </si>
  <si>
    <t>-&gt; Kosmologie</t>
  </si>
  <si>
    <t>whk_geschichte</t>
  </si>
  <si>
    <t>Geschichte</t>
  </si>
  <si>
    <t>whk_sprachwissenschaft</t>
  </si>
  <si>
    <t>Sprachwissenschaft</t>
  </si>
  <si>
    <t>whk_spez_sprachwissenschaft_vergleichende_grammatik</t>
  </si>
  <si>
    <t>-&gt; Vergleichende Grammatik</t>
  </si>
  <si>
    <t>whk_spez_sprachwissenschaft_etymologie</t>
  </si>
  <si>
    <t>-&gt; Etymologie</t>
  </si>
  <si>
    <t>whk_spez_sprachwissenschaft_dialektologie</t>
  </si>
  <si>
    <t>-&gt; Dialektologie</t>
  </si>
  <si>
    <t>whk_altzwergisch</t>
  </si>
  <si>
    <t>Altzwergisch</t>
  </si>
  <si>
    <t>whk_altelfisch</t>
  </si>
  <si>
    <t>Altelfisch</t>
  </si>
  <si>
    <t>whk_biologie</t>
  </si>
  <si>
    <t>Biologie</t>
  </si>
  <si>
    <t>whk_spez_biologie_zoologie</t>
  </si>
  <si>
    <t>-&gt; Zoologie</t>
  </si>
  <si>
    <t>whk_spez_biologie_botanik</t>
  </si>
  <si>
    <t>-&gt; Botanik</t>
  </si>
  <si>
    <t>whk_spez_biologie_anatomie</t>
  </si>
  <si>
    <t>-&gt; Anatomie</t>
  </si>
  <si>
    <t>whk_theologie</t>
  </si>
  <si>
    <t>Theologie</t>
  </si>
  <si>
    <t>whk_spez_theologie_religionswissenschaft</t>
  </si>
  <si>
    <t>-&gt; Religionswissenschaft</t>
  </si>
  <si>
    <t>whk_spez_theologie_kirchengeschichte</t>
  </si>
  <si>
    <t>-&gt; Kirchengeschichte</t>
  </si>
  <si>
    <t>whk_spez_theologie_mythologie</t>
  </si>
  <si>
    <t>-&gt; Mythologie</t>
  </si>
  <si>
    <t>whk_geologie</t>
  </si>
  <si>
    <t>Geologie</t>
  </si>
  <si>
    <t>whk_spez_geologie_lagerstaettenkunde</t>
  </si>
  <si>
    <t>-&gt; Lagerstättenkunde</t>
  </si>
  <si>
    <t>whk_spez_geologie_mineralogie</t>
  </si>
  <si>
    <t>-&gt; Mineralogie</t>
  </si>
  <si>
    <t>whk_spez_geologie_tektonik</t>
  </si>
  <si>
    <t>-&gt; Tektonik</t>
  </si>
  <si>
    <t>whk_geografie</t>
  </si>
  <si>
    <t>Geografie</t>
  </si>
  <si>
    <t>whk_spez_geografie_kartografie</t>
  </si>
  <si>
    <t>-&gt; Kartografie</t>
  </si>
  <si>
    <t>whk_spez_geografie_laenderkunde</t>
  </si>
  <si>
    <t>-&gt; Länderkunde</t>
  </si>
  <si>
    <t>whk_spez_geografie_klimakunde</t>
  </si>
  <si>
    <t>-&gt; Klimakunde</t>
  </si>
  <si>
    <t>whk_militaertheorie</t>
  </si>
  <si>
    <t>Militärtheorie</t>
  </si>
  <si>
    <t>whk_spez_militaertheorie_strategie</t>
  </si>
  <si>
    <t>-&gt; Strategie</t>
  </si>
  <si>
    <t>whk_spez_militaertheorie_taktik</t>
  </si>
  <si>
    <t>-&gt; Taktik</t>
  </si>
  <si>
    <t>whk_magietheorie</t>
  </si>
  <si>
    <t>Magietheorie</t>
  </si>
  <si>
    <t>whk_spez_magietheorie_antimagie</t>
  </si>
  <si>
    <t>-&gt; Antimagie</t>
  </si>
  <si>
    <t>whk_spez_magietheorie_beherrschung</t>
  </si>
  <si>
    <t>-&gt; Beherrschung</t>
  </si>
  <si>
    <t>whk_spez_magietheorie_erdbeschwoerung</t>
  </si>
  <si>
    <t>-&gt; Erdbeschwörung</t>
  </si>
  <si>
    <t>whk_spez_magietheorie_feuerbeschwoerung</t>
  </si>
  <si>
    <t>-&gt; Feuerbeschwörung</t>
  </si>
  <si>
    <t>whk_spez_magietheorie_heilung</t>
  </si>
  <si>
    <t>-&gt; Heilung</t>
  </si>
  <si>
    <t>whk_spez_magietheorie_hellsicht</t>
  </si>
  <si>
    <t>-&gt; Hellsicht</t>
  </si>
  <si>
    <t>whk_spez_magietheorie_illusion</t>
  </si>
  <si>
    <t>-&gt; Illusion</t>
  </si>
  <si>
    <t>whk_spez_magietheorie_luftbeschwoerung</t>
  </si>
  <si>
    <t>-&gt; Luftbeschwörung</t>
  </si>
  <si>
    <t>whk_spez_magietheorie_magiebeschwoerung</t>
  </si>
  <si>
    <t>-&gt; Magiebeschwörung</t>
  </si>
  <si>
    <t>whk_spez_magietheorie_veraenderung</t>
  </si>
  <si>
    <t>-&gt; Veränderung</t>
  </si>
  <si>
    <t>whk_spez_magietheorie_verzauberung</t>
  </si>
  <si>
    <t>-&gt; Verzauberung</t>
  </si>
  <si>
    <t>whk_spez_magietheorie_wasserbeschwoerung</t>
  </si>
  <si>
    <t>-&gt; Wasserbeschwörung</t>
  </si>
  <si>
    <t>whk_spez_magietheorie_daemonologie</t>
  </si>
  <si>
    <t>-&gt; Dämonologie</t>
  </si>
  <si>
    <t>whk_spez_magietheorie_nekromantie</t>
  </si>
  <si>
    <t>-&gt; Nekromantie</t>
  </si>
  <si>
    <t>whk_spez_magietheorie_psi_theorie</t>
  </si>
  <si>
    <t>-&gt; PSI-Theorie</t>
  </si>
  <si>
    <t>whk_medizin</t>
  </si>
  <si>
    <t>Medizin</t>
  </si>
  <si>
    <t>whk_spez_medizin_veterinaer</t>
  </si>
  <si>
    <t>-&gt; Veterinär</t>
  </si>
  <si>
    <t>whk_spez_medizin_chirurg</t>
  </si>
  <si>
    <t>-&gt; Chirurg</t>
  </si>
  <si>
    <t>whk_spez_medizin_zahnarzt</t>
  </si>
  <si>
    <t>-&gt; Zahnarzt</t>
  </si>
  <si>
    <t>whk_spez_medizin_geburtshelfer</t>
  </si>
  <si>
    <t>-&gt; Geburtshelfer</t>
  </si>
  <si>
    <t>whk_spez_medizin_erste_hilfe</t>
  </si>
  <si>
    <t>-&gt; Erste Hilfe</t>
  </si>
  <si>
    <t>whk_geweihte_stossgebet</t>
  </si>
  <si>
    <t>Geweihte: Stoßgebet</t>
  </si>
  <si>
    <t>Bestimmt die Probe fuer Wunder vom Typ 'Stoß' (kurze, sofortige Anrufungen).</t>
  </si>
  <si>
    <t>Magie/Klerus</t>
  </si>
  <si>
    <t>whk_geweihte_wunder</t>
  </si>
  <si>
    <t>Geweihte: Wunder</t>
  </si>
  <si>
    <t>Bestimmt die Probe fuer Wunder vom Typ 'Wunder' (laenger wirkende Anrufungen).</t>
  </si>
  <si>
    <t>whk_geweihte_ritual</t>
  </si>
  <si>
    <t>Geweihte: Ritual</t>
  </si>
  <si>
    <t>Bestimmt die Probe fuer Wunder vom Typ 'Ritual' (aufwendige, lange Zeremonien).</t>
  </si>
  <si>
    <t>whk_ermittlung</t>
  </si>
  <si>
    <t>Ermittlung</t>
  </si>
  <si>
    <t>Sozial/Kunst</t>
  </si>
  <si>
    <t>whk_spez_ermittlung_spurenlesen</t>
  </si>
  <si>
    <t>-&gt; Spurenlesen</t>
  </si>
  <si>
    <t>whk_spez_ermittlung_verhoer</t>
  </si>
  <si>
    <t>-&gt; Verhör</t>
  </si>
  <si>
    <t>whk_spez_ermittlung_observation</t>
  </si>
  <si>
    <t>-&gt; Observation</t>
  </si>
  <si>
    <t>whk_diebeskunst</t>
  </si>
  <si>
    <t>Diebeskunst</t>
  </si>
  <si>
    <t>whk_spez_diebeskunst_taschendieb</t>
  </si>
  <si>
    <t>-&gt; Taschendieb</t>
  </si>
  <si>
    <t>whk_spez_diebeskunst_schlossknacker</t>
  </si>
  <si>
    <t>-&gt; Schlossknacker</t>
  </si>
  <si>
    <t>whk_spez_diebeskunst_taschenspieler</t>
  </si>
  <si>
    <t>-&gt; Taschenspieler</t>
  </si>
  <si>
    <t>whk_spez_diebeskunst_betrueger</t>
  </si>
  <si>
    <t>-&gt; Betrüger</t>
  </si>
  <si>
    <t>whk_etikette</t>
  </si>
  <si>
    <t>Etikette</t>
  </si>
  <si>
    <t>whk_spez_etikette_gemeinvolk</t>
  </si>
  <si>
    <t>-&gt; Gemeinvolk</t>
  </si>
  <si>
    <t>whk_spez_etikette_buergertum</t>
  </si>
  <si>
    <t>-&gt; Bürgertum</t>
  </si>
  <si>
    <t>whk_spez_etikette_hochfinanz</t>
  </si>
  <si>
    <t>-&gt; Hochfinanz</t>
  </si>
  <si>
    <t>whk_paedagoge</t>
  </si>
  <si>
    <t>Pädagoge</t>
  </si>
  <si>
    <t>whk_musizieren</t>
  </si>
  <si>
    <t>Musizieren</t>
  </si>
  <si>
    <t>whk_spez_musizieren_blasinstrumente</t>
  </si>
  <si>
    <t>whk_spez_musizieren_saiteninstrumente</t>
  </si>
  <si>
    <t>whk_spez_musizieren_schlaginstrumente</t>
  </si>
  <si>
    <t>whk_schriftstellerei</t>
  </si>
  <si>
    <t>Schriftstellerei</t>
  </si>
  <si>
    <t>whk_spez_schriftstellerei_journalismus</t>
  </si>
  <si>
    <t>-&gt; Journalismus</t>
  </si>
  <si>
    <t>whk_spez_schriftstellerei_belletristik</t>
  </si>
  <si>
    <t>-&gt; Belletristik</t>
  </si>
  <si>
    <t>whk_spez_schriftstellerei_fachliteratur</t>
  </si>
  <si>
    <t>-&gt; Fachliteratur</t>
  </si>
  <si>
    <t>whk_fotografie</t>
  </si>
  <si>
    <t>Fotografie</t>
  </si>
  <si>
    <t>whk_spez_fotografie_studioaufnahmen</t>
  </si>
  <si>
    <t>-&gt; Studioaufnahmen</t>
  </si>
  <si>
    <t>whk_spez_fotografie_aussenaufnahmen</t>
  </si>
  <si>
    <t>-&gt; Außenaufnahmen</t>
  </si>
  <si>
    <t>whk_spez_fotografie_bewegtbild</t>
  </si>
  <si>
    <t>-&gt; Bewegtbild</t>
  </si>
  <si>
    <t>whk_schauspielkunst</t>
  </si>
  <si>
    <t>Schauspielkunst</t>
  </si>
  <si>
    <t>whk_spez_schauspielkunst_schauspieler</t>
  </si>
  <si>
    <t>-&gt; Schauspieler</t>
  </si>
  <si>
    <t>whk_spez_schauspielkunst_redner</t>
  </si>
  <si>
    <t>-&gt; Redner</t>
  </si>
  <si>
    <t>whk_spez_schauspielkunst_schausteller</t>
  </si>
  <si>
    <t>-&gt; Schausteller</t>
  </si>
  <si>
    <t>whk_taenzer</t>
  </si>
  <si>
    <t>Tänzer</t>
  </si>
  <si>
    <t>whk_gastgewerbe</t>
  </si>
  <si>
    <t>Gastgewerbe</t>
  </si>
  <si>
    <t>whk_spez_gastgewerbe_kellner</t>
  </si>
  <si>
    <t>-&gt; Kellner</t>
  </si>
  <si>
    <t>whk_spez_gastgewerbe_barkeeper</t>
  </si>
  <si>
    <t>-&gt; Barkeeper</t>
  </si>
  <si>
    <t>whk_spez_gastgewerbe_sommelier</t>
  </si>
  <si>
    <t>-&gt; Sommelier</t>
  </si>
  <si>
    <t>whk_hauswirtschaft</t>
  </si>
  <si>
    <t>Hauswirtschaft</t>
  </si>
  <si>
    <t>whk_spez_hauswirtschaft_haushaelter</t>
  </si>
  <si>
    <t>-&gt; Haushälter</t>
  </si>
  <si>
    <t>whk_spez_hauswirtschaft_waescher</t>
  </si>
  <si>
    <t>-&gt; Wäscher</t>
  </si>
  <si>
    <t>whk_spez_hauswirtschaft_hausmeister</t>
  </si>
  <si>
    <t>-&gt; Hausmeister</t>
  </si>
  <si>
    <t>whk_bestattungswesen</t>
  </si>
  <si>
    <t>Bestattungswesen</t>
  </si>
  <si>
    <t>whk_spez_bestattungswesen_einbalsamierer</t>
  </si>
  <si>
    <t>-&gt; Einbalsamierer</t>
  </si>
  <si>
    <t>whk_spez_bestattungswesen_rekonstruktion</t>
  </si>
  <si>
    <t>-&gt; Rekonstruktion</t>
  </si>
  <si>
    <t>whk_spez_bestattungswesen_praesentation</t>
  </si>
  <si>
    <t>-&gt; Präsentation</t>
  </si>
  <si>
    <t>whk_stimmen_imitieren</t>
  </si>
  <si>
    <t>Stimmen imitieren</t>
  </si>
  <si>
    <t>whk_spez_stimmen_imitieren_dalkini</t>
  </si>
  <si>
    <t>-&gt; Dalkini</t>
  </si>
  <si>
    <t>whk_spez_stimmen_imitieren_drow</t>
  </si>
  <si>
    <t>-&gt; Drow</t>
  </si>
  <si>
    <t>whk_spez_stimmen_imitieren_elf</t>
  </si>
  <si>
    <t>-&gt; Elf</t>
  </si>
  <si>
    <t>whk_spez_stimmen_imitieren_goblin</t>
  </si>
  <si>
    <t>-&gt; Goblin</t>
  </si>
  <si>
    <t>whk_spez_stimmen_imitieren_indianer</t>
  </si>
  <si>
    <t>-&gt; Indianer</t>
  </si>
  <si>
    <t>whk_spez_stimmen_imitieren_katzenmenschen</t>
  </si>
  <si>
    <t>-&gt; Katzenmenschen</t>
  </si>
  <si>
    <t>whk_spez_stimmen_imitieren_ork</t>
  </si>
  <si>
    <t>-&gt; Ork</t>
  </si>
  <si>
    <t>whk_spez_stimmen_imitieren_troll</t>
  </si>
  <si>
    <t>-&gt; Troll</t>
  </si>
  <si>
    <t>whk_spez_stimmen_imitieren_zentauren</t>
  </si>
  <si>
    <t>-&gt; Zentauren</t>
  </si>
  <si>
    <t>whk_spez_stimmen_imitieren_zwerg</t>
  </si>
  <si>
    <t>-&gt; Zwerg</t>
  </si>
  <si>
    <t>whk_spez_stimmen_imitieren_tiere</t>
  </si>
  <si>
    <t>-&gt; Tiere</t>
  </si>
  <si>
    <t>talente_geweihter_lloth_stufe_2_orthodox</t>
  </si>
  <si>
    <t>Geweihter von Lloth, Orthodox – Minderer</t>
  </si>
  <si>
    <t>Dieser Charakter ist Geweihter von Lloth, Orthodox (Geweihtengrad 2: Minderer).</t>
  </si>
  <si>
    <t>talente_geweihter_lloth_stufe_3_orthodox</t>
  </si>
  <si>
    <t>Geweihter von Lloth, Orthodox – Konfirmierter</t>
  </si>
  <si>
    <t>Dieser Charakter ist Geweihter von Lloth, Orthodox (Geweihtengrad 3: Konfirmierter).</t>
  </si>
  <si>
    <t>talente_geweihter_lloth_stufe_4_orthodox</t>
  </si>
  <si>
    <t>Geweihter von Lloth, Orthodox – Etablierter</t>
  </si>
  <si>
    <t>Dieser Charakter ist Geweihter von Lloth, Orthodox (Geweihtengrad 4: Etablierter).</t>
  </si>
  <si>
    <t>talente_geweihter_lloth_stufe_5_orthodox</t>
  </si>
  <si>
    <t>Geweihter von Lloth, Orthodox – Angesehener</t>
  </si>
  <si>
    <t>Dieser Charakter ist Geweihter von Lloth, Orthodox (Geweihtengrad 5: Angesehener).</t>
  </si>
  <si>
    <t>talente_geweihter_lloth_stufe_6_orthodox</t>
  </si>
  <si>
    <t>Geweihter von Lloth, Orthodox – Gesalbter</t>
  </si>
  <si>
    <t>Dieser Charakter ist Geweihter von Lloth, Orthodox (Geweihtengrad 6: Gesalbter).</t>
  </si>
  <si>
    <t>talente_geweihter_lloth_stufe_7_orthodox</t>
  </si>
  <si>
    <t>Geweihter von Lloth, Orthodox – Heiliger</t>
  </si>
  <si>
    <t>Dieser Charakter ist Geweihter von Lloth, Orthodox (Geweihtengrad 7: Heiliger).</t>
  </si>
  <si>
    <t>talente_geweihter_khartazh_stufe_2_orthodox</t>
  </si>
  <si>
    <t>Geweihter von Khartazh, Orthodox – Minderer</t>
  </si>
  <si>
    <t>Dieser Charakter ist Geweihter von Khartazh, Orthodox (Geweihtengrad 2: Minderer).</t>
  </si>
  <si>
    <t>talente_geweihter_khartazh_stufe_3_orthodox</t>
  </si>
  <si>
    <t>Geweihter von Khartazh, Orthodox – Konfirmierter</t>
  </si>
  <si>
    <t>Dieser Charakter ist Geweihter von Khartazh, Orthodox (Geweihtengrad 3: Konfirmierter).</t>
  </si>
  <si>
    <t>talente_geweihter_khartazh_stufe_4_orthodox</t>
  </si>
  <si>
    <t>Geweihter von Khartazh, Orthodox – Etablierter</t>
  </si>
  <si>
    <t>Dieser Charakter ist Geweihter von Khartazh, Orthodox (Geweihtengrad 4: Etablierter).</t>
  </si>
  <si>
    <t>talente_geweihter_khartazh_stufe_5_orthodox</t>
  </si>
  <si>
    <t>Geweihter von Khartazh, Orthodox – Angesehener</t>
  </si>
  <si>
    <t>Dieser Charakter ist Geweihter von Khartazh, Orthodox (Geweihtengrad 5: Angesehener).</t>
  </si>
  <si>
    <t>talente_geweihter_khartazh_stufe_6_orthodox</t>
  </si>
  <si>
    <t>Geweihter von Khartazh, Orthodox – Gesalbter</t>
  </si>
  <si>
    <t>Dieser Charakter ist Geweihter von Khartazh, Orthodox (Geweihtengrad 6: Gesalbter).</t>
  </si>
  <si>
    <t>talente_geweihter_khartazh_stufe_7_orthodox</t>
  </si>
  <si>
    <t>Geweihter von Khartazh, Orthodox – Heiliger</t>
  </si>
  <si>
    <t>Dieser Charakter ist Geweihter von Khartazh, Orthodox (Geweihtengrad 7: Heiliger).</t>
  </si>
  <si>
    <t>talente_geweihter_nomna_stufe_2_orthodox</t>
  </si>
  <si>
    <t>Geweihter von Nomna, Orthodox – Minderer</t>
  </si>
  <si>
    <t>Dieser Charakter ist Geweihter von Nomna, Orthodox (Geweihtengrad 2: Minderer).</t>
  </si>
  <si>
    <t>talente_geweihter_nomna_stufe_3_orthodox</t>
  </si>
  <si>
    <t>Geweihter von Nomna, Orthodox – Konfirmierter</t>
  </si>
  <si>
    <t>Dieser Charakter ist Geweihter von Nomna, Orthodox (Geweihtengrad 3: Konfirmierter).</t>
  </si>
  <si>
    <t>talente_geweihter_nomna_stufe_4_orthodox</t>
  </si>
  <si>
    <t>Geweihter von Nomna, Orthodox – Etablierter</t>
  </si>
  <si>
    <t>Dieser Charakter ist Geweihter von Nomna, Orthodox (Geweihtengrad 4: Etablierter).</t>
  </si>
  <si>
    <t>talente_geweihter_nomna_stufe_5_orthodox</t>
  </si>
  <si>
    <t>Geweihter von Nomna, Orthodox – Angesehener</t>
  </si>
  <si>
    <t>Dieser Charakter ist Geweihter von Nomna, Orthodox (Geweihtengrad 5: Angesehener).</t>
  </si>
  <si>
    <t>talente_geweihter_nomna_stufe_6_orthodox</t>
  </si>
  <si>
    <t>Geweihter von Nomna, Orthodox – Gesalbter</t>
  </si>
  <si>
    <t>Dieser Charakter ist Geweihter von Nomna, Orthodox (Geweihtengrad 6: Gesalbter).</t>
  </si>
  <si>
    <t>talente_geweihter_nomna_stufe_7_orthodox</t>
  </si>
  <si>
    <t>Geweihter von Nomna, Orthodox – Heiliger</t>
  </si>
  <si>
    <t>Dieser Charakter ist Geweihter von Nomna, Orthodox (Geweihtengrad 7: Heiliger).</t>
  </si>
  <si>
    <t>talente_geweihter_tepod_stufe_2_orthodox</t>
  </si>
  <si>
    <t>Geweihter von Tepod, Orthodox – Minderer</t>
  </si>
  <si>
    <t>Dieser Charakter ist Geweihter von Tepod, Orthodox (Geweihtengrad 2: Minderer).</t>
  </si>
  <si>
    <t>talente_geweihter_tepod_stufe_3_orthodox</t>
  </si>
  <si>
    <t>Geweihter von Tepod, Orthodox – Konfirmierter</t>
  </si>
  <si>
    <t>Dieser Charakter ist Geweihter von Tepod, Orthodox (Geweihtengrad 3: Konfirmierter).</t>
  </si>
  <si>
    <t>talente_geweihter_tepod_stufe_4_orthodox</t>
  </si>
  <si>
    <t>Geweihter von Tepod, Orthodox – Etablierter</t>
  </si>
  <si>
    <t>Dieser Charakter ist Geweihter von Tepod, Orthodox (Geweihtengrad 4: Etablierter).</t>
  </si>
  <si>
    <t>talente_geweihter_tepod_stufe_5_orthodox</t>
  </si>
  <si>
    <t>Geweihter von Tepod, Orthodox – Angesehener</t>
  </si>
  <si>
    <t>Dieser Charakter ist Geweihter von Tepod, Orthodox (Geweihtengrad 5: Angesehener).</t>
  </si>
  <si>
    <t>talente_geweihter_tepod_stufe_6_orthodox</t>
  </si>
  <si>
    <t>Geweihter von Tepod, Orthodox – Gesalbter</t>
  </si>
  <si>
    <t>Dieser Charakter ist Geweihter von Tepod, Orthodox (Geweihtengrad 6: Gesalbter).</t>
  </si>
  <si>
    <t>talente_geweihter_tepod_stufe_7_orthodox</t>
  </si>
  <si>
    <t>Geweihter von Tepod, Orthodox – Heiliger</t>
  </si>
  <si>
    <t>Dieser Charakter ist Geweihter von Tepod, Orthodox (Geweihtengrad 7: Heiliger).</t>
  </si>
  <si>
    <t>talente_geweihter_isch_stufe_2_orthodox</t>
  </si>
  <si>
    <t>Geweihter von Isch, Orthodox – Minderer</t>
  </si>
  <si>
    <t>Dieser Charakter ist Geweihter von Isch, Orthodox (Geweihtengrad 2: Minderer).</t>
  </si>
  <si>
    <t>talente_geweihter_isch_stufe_3_orthodox</t>
  </si>
  <si>
    <t>Geweihter von Isch, Orthodox – Konfirmierter</t>
  </si>
  <si>
    <t>Dieser Charakter ist Geweihter von Isch, Orthodox (Geweihtengrad 3: Konfirmierter).</t>
  </si>
  <si>
    <t>talente_geweihter_isch_stufe_4_orthodox</t>
  </si>
  <si>
    <t>Geweihter von Isch, Orthodox – Etablierter</t>
  </si>
  <si>
    <t>Dieser Charakter ist Geweihter von Isch, Orthodox (Geweihtengrad 4: Etablierter).</t>
  </si>
  <si>
    <t>talente_geweihter_isch_stufe_5_orthodox</t>
  </si>
  <si>
    <t>Geweihter von Isch, Orthodox – Angesehener</t>
  </si>
  <si>
    <t>Dieser Charakter ist Geweihter von Isch, Orthodox (Geweihtengrad 5: Angesehener).</t>
  </si>
  <si>
    <t>talente_geweihter_isch_stufe_6_orthodox</t>
  </si>
  <si>
    <t>Geweihter von Isch, Orthodox – Gesalbter</t>
  </si>
  <si>
    <t>Dieser Charakter ist Geweihter von Isch, Orthodox (Geweihtengrad 6: Gesalbter).</t>
  </si>
  <si>
    <t>talente_geweihter_isch_stufe_7_orthodox</t>
  </si>
  <si>
    <t>Geweihter von Isch, Orthodox – Heiliger</t>
  </si>
  <si>
    <t>Dieser Charakter ist Geweihter von Isch, Orthodox (Geweihtengrad 7: Heiliger).</t>
  </si>
  <si>
    <t>talente_geweihte_gute_wunder_stufe_1</t>
  </si>
  <si>
    <t>Gute Wunder Stufe 1</t>
  </si>
  <si>
    <t>Ersetzt die gute Wunder-Probe durch Karma. Die höchstmögliche Gute ist Normale : 2.</t>
  </si>
  <si>
    <t>talente_geweihte_gute_wunder_stufe_2</t>
  </si>
  <si>
    <t>Gute Wunder Stufe 2</t>
  </si>
  <si>
    <t>Ersetzt die gute Wunder-Probe durch Karma + Aura. Die höchstmögliche Gute ist Normale : 2.</t>
  </si>
  <si>
    <t>gr_krankheitsresistenz</t>
  </si>
  <si>
    <t>Krankheitsresistenz</t>
  </si>
  <si>
    <t>Nur mit dem Vorteil „GF: Krankheitsresistenz“ verfügbar. Maximum 12.</t>
  </si>
  <si>
    <t>VORAUSSETZUNG_VORTEIL=vn_gf_krankheitsresistenz | MAXIMUM=12</t>
  </si>
  <si>
    <t>vn_sicht_blinder_kampf_2</t>
  </si>
  <si>
    <t>Sicht: Blinder Kampf II</t>
  </si>
  <si>
    <t>Achtzehnstufige Vorteilskette; kein Blindheitsrabatt auf diese Stufe.</t>
  </si>
  <si>
    <t>VORAUSSETZUNG=vn_sicht_blinder_kampf_i | BLINDER_KAMPF_STUFE=2</t>
  </si>
  <si>
    <t>Voraussetzung Blinder Kampf I. Durch Blindheit und Lichtverhältnisse verursachte Sichterschwerungen werden um insgesamt 2 reduziert, höchstens bis 0. Andere Sichterschwerungen gelten unverändert.</t>
  </si>
  <si>
    <t>vn_sicht_blinder_kampf_3</t>
  </si>
  <si>
    <t>Sicht: Blinder Kampf III</t>
  </si>
  <si>
    <t>VORAUSSETZUNG=vn_sicht_blinder_kampf_2 | BLINDER_KAMPF_STUFE=3</t>
  </si>
  <si>
    <t>Voraussetzung Blinder Kampf II. Durch Blindheit und Lichtverhältnisse verursachte Sichterschwerungen werden um insgesamt 3 reduziert, höchstens bis 0. Andere Sichterschwerungen gelten unverändert.</t>
  </si>
  <si>
    <t>vn_sicht_blinder_kampf_4</t>
  </si>
  <si>
    <t>Sicht: Blinder Kampf IV</t>
  </si>
  <si>
    <t>VORAUSSETZUNG=vn_sicht_blinder_kampf_3 | BLINDER_KAMPF_STUFE=4</t>
  </si>
  <si>
    <t>Voraussetzung Blinder Kampf III. Durch Blindheit und Lichtverhältnisse verursachte Sichterschwerungen werden um insgesamt 4 reduziert, höchstens bis 0. Andere Sichterschwerungen gelten unverändert.</t>
  </si>
  <si>
    <t>vn_sicht_blinder_kampf_5</t>
  </si>
  <si>
    <t>Sicht: Blinder Kampf V</t>
  </si>
  <si>
    <t>VORAUSSETZUNG=vn_sicht_blinder_kampf_4 | BLINDER_KAMPF_STUFE=5</t>
  </si>
  <si>
    <t>Voraussetzung Blinder Kampf IV. Durch Blindheit und Lichtverhältnisse verursachte Sichterschwerungen werden um insgesamt 5 reduziert, höchstens bis 0. Andere Sichterschwerungen gelten unverändert.</t>
  </si>
  <si>
    <t>vn_sicht_blinder_kampf_6</t>
  </si>
  <si>
    <t>Sicht: Blinder Kampf VI</t>
  </si>
  <si>
    <t>VORAUSSETZUNG=vn_sicht_blinder_kampf_5 | BLINDER_KAMPF_STUFE=6</t>
  </si>
  <si>
    <t>Voraussetzung Blinder Kampf V. Durch Blindheit und Lichtverhältnisse verursachte Sichterschwerungen werden um insgesamt 6 reduziert, höchstens bis 0. Andere Sichterschwerungen gelten unverändert.</t>
  </si>
  <si>
    <t>vn_sicht_blinder_kampf_7</t>
  </si>
  <si>
    <t>Sicht: Blinder Kampf VII</t>
  </si>
  <si>
    <t>VORAUSSETZUNG=vn_sicht_blinder_kampf_6 | BLINDER_KAMPF_STUFE=7</t>
  </si>
  <si>
    <t>Voraussetzung Blinder Kampf VI. Durch Blindheit und Lichtverhältnisse verursachte Sichterschwerungen werden um insgesamt 7 reduziert, höchstens bis 0. Andere Sichterschwerungen gelten unverändert.</t>
  </si>
  <si>
    <t>vn_sicht_blinder_kampf_8</t>
  </si>
  <si>
    <t>Sicht: Blinder Kampf VIII</t>
  </si>
  <si>
    <t>VORAUSSETZUNG=vn_sicht_blinder_kampf_7 | BLINDER_KAMPF_STUFE=8</t>
  </si>
  <si>
    <t>Voraussetzung Blinder Kampf VII. Durch Blindheit und Lichtverhältnisse verursachte Sichterschwerungen werden um insgesamt 8 reduziert, höchstens bis 0. Andere Sichterschwerungen gelten unverändert.</t>
  </si>
  <si>
    <t>vn_sicht_blinder_kampf_9</t>
  </si>
  <si>
    <t>Sicht: Blinder Kampf IX</t>
  </si>
  <si>
    <t>VORAUSSETZUNG=vn_sicht_blinder_kampf_8 | BLINDER_KAMPF_STUFE=9</t>
  </si>
  <si>
    <t>Voraussetzung Blinder Kampf VIII. Durch Blindheit und Lichtverhältnisse verursachte Sichterschwerungen werden um insgesamt 9 reduziert, höchstens bis 0. Andere Sichterschwerungen gelten unverändert.</t>
  </si>
  <si>
    <t>vn_sicht_blinder_kampf_10</t>
  </si>
  <si>
    <t>Sicht: Blinder Kampf X</t>
  </si>
  <si>
    <t>VORAUSSETZUNG=vn_sicht_blinder_kampf_9 | BLINDER_KAMPF_STUFE=10</t>
  </si>
  <si>
    <t>Voraussetzung Blinder Kampf IX. Durch Blindheit und Lichtverhältnisse verursachte Sichterschwerungen werden um insgesamt 10 reduziert, höchstens bis 0. Andere Sichterschwerungen gelten unverändert.</t>
  </si>
  <si>
    <t>vn_sicht_blinder_kampf_11</t>
  </si>
  <si>
    <t>Sicht: Blinder Kampf XI</t>
  </si>
  <si>
    <t>VORAUSSETZUNG=vn_sicht_blinder_kampf_10 | BLINDER_KAMPF_STUFE=11</t>
  </si>
  <si>
    <t>Voraussetzung Blinder Kampf X. Durch Blindheit und Lichtverhältnisse verursachte Sichterschwerungen werden um insgesamt 11 reduziert, höchstens bis 0. Andere Sichterschwerungen gelten unverändert.</t>
  </si>
  <si>
    <t>vn_sicht_blinder_kampf_12</t>
  </si>
  <si>
    <t>Sicht: Blinder Kampf XII</t>
  </si>
  <si>
    <t>VORAUSSETZUNG=vn_sicht_blinder_kampf_11 | BLINDER_KAMPF_STUFE=12</t>
  </si>
  <si>
    <t>Voraussetzung Blinder Kampf XI. Durch Blindheit und Lichtverhältnisse verursachte Sichterschwerungen werden um insgesamt 12 reduziert, höchstens bis 0. Andere Sichterschwerungen gelten unverändert.</t>
  </si>
  <si>
    <t>vn_sf_alchemieresistenz</t>
  </si>
  <si>
    <t>SF: Alchemieresistenz</t>
  </si>
  <si>
    <t>SCHALTET_SONDERFERTIGKEIT_FREI=sf_alchemieresistenz</t>
  </si>
  <si>
    <t>Der Charakter erhält die Sonderfertigkeit Alchemieresistenz mit Max 12.</t>
  </si>
  <si>
    <t>talente_gezielter_schlag</t>
  </si>
  <si>
    <t>Gezielter Schlag</t>
  </si>
  <si>
    <t>Ermöglicht es dem Krieger, sich die NK-AT-Probe um 3 zu erschweren, und dafür 2 TZ-Rerolls auf kritische TZ zu erhalten.</t>
  </si>
  <si>
    <t>whk_spez_ueberleben_kueste</t>
  </si>
  <si>
    <t>-&gt; Küste</t>
  </si>
  <si>
    <t>whk_spez_ueberleben_feuchtgebiete</t>
  </si>
  <si>
    <t>-&gt; Feuchtgebiete</t>
  </si>
  <si>
    <t>whk_spez_ueberleben_tundra</t>
  </si>
  <si>
    <t>-&gt; Tundra</t>
  </si>
  <si>
    <t>vn_koerper_einarmigkeit</t>
  </si>
  <si>
    <t>Körper: Einarmigkeit</t>
  </si>
  <si>
    <t>Dem Charakter fehlt von Geburt an ein Arm. Er erleidet dadurch eine permanente Behinderung von 3 (KBE) auf körperliche Proben; auf geistige Proben (MBE) hat der fehlende Arm keinen Einfluss. Einhändige Waffen können ohne zusätzlichen Malus geführt werden. Der verbleibende Arm genügt für alle nötigen Gesten; die Spruchmagie ist dadurch nicht eingeschränkt.</t>
  </si>
  <si>
    <t>vn_koerper_einbeinigkeit</t>
  </si>
  <si>
    <t>Körper: Einbeinigkeit</t>
  </si>
  <si>
    <t>Dem Charakter fehlt von Geburt an ein Bein. Er erleidet dadurch eine permanente Behinderung von 4 (KBE) auf körperliche Proben; auf geistige Proben (MBE) hat das fehlende Bein keinen Einfluss. Ohne Hilfsmittel oder Hilfe bewegt er sich ausschließlich kriechend mit fester Geschwindigkeit von 1 Feld pro Kampfrunde; Joggen und Sprint sind nicht möglich. Mit Hilfsmitteln stehen alle Fortbewegungsarten offen: eine einfache Krücke oder ein Holzbein multipliziert jede Geschwindigkeit mit 0,5, eine angepasste Gehhilfe oder tatkräftige fremde Hilfe mit 0,75 (danach aufgerundet).</t>
  </si>
  <si>
    <t>vn_koerper_keine_arme</t>
  </si>
  <si>
    <t>Körper: Keine Arme</t>
  </si>
  <si>
    <t>Dem Charakter fehlen von Geburt an beide Arme. Er erleidet dadurch eine permanente Behinderung von 6 (KBE) auf körperliche Proben; auf geistige Proben (MBE) haben die fehlenden Arme keinen Einfluss. Er kann keine Nah-, Fern- oder Wurfwaffe und keinen Schild führen. Spruchmagie kann er nur auf Zauberstufe 2 oder 3 wirken (keine Geste möglich): auf Stufe 2 entfällt die Geste, die Formel bleibt erforderlich; Stufe 1 ist ausgeschlossen. Ohne das jeweilige Talent (talente_spruchmagie_stufe_2_zaubern bzw. _stufe_3_zaubern) kann er faktisch nicht zaubern. In Kombination mit Stumm ist nur noch Zauberstufe 3 möglich (weder Geste noch Formel; talente_spruchmagie_stufe_3_zaubern erforderlich). Fortbewegung ist ansonsten uneingeschränkt; Kriechen setzt jedoch mindestens zwei funktionsfähige Gliedmaßen voraus.</t>
  </si>
  <si>
    <t>vn_koerper_keine_beine</t>
  </si>
  <si>
    <t>Körper: Keine Beine</t>
  </si>
  <si>
    <t>Dem Charakter fehlen von Geburt an beide Beine. Er erleidet dadurch eine permanente Behinderung von 8 (KBE) auf körperliche Proben; auf geistige Proben (MBE) haben die fehlenden Beine keinen Einfluss. Er bewegt sich ausschließlich kriechend mit fester Geschwindigkeit von 1 Feld pro Kampfrunde, sofern mindestens zwei funktionsfähige Gliedmaßen vorhanden sind; Joggen und Sprint sind nicht möglich. Hilfsmittel können diese Geschwindigkeit wie bei Einbeinigkeit abstufen, soweit anwendbar.</t>
  </si>
  <si>
    <t>vn_sprech_stumm</t>
  </si>
  <si>
    <t>Sprech: Stumm</t>
  </si>
  <si>
    <t>Der Charakter kann von Geburt an keinen Laut hervorbringen (nur die Atemluft bleibt hörbar) — identisch mit der Wirkung des Zaubers Stumm, jedoch dauerhaft. Er trägt dadurch keine Behinderung (KBE 0, MBE 0). Spruchmagie kann er nur ab Zauberstufe 2 wirken (keine Formel möglich, Geste bleibt erforderlich); ohne das jeweilige Talent (talente_spruchmagie_stufe_2_zaubern bzw. _stufe_3_zaubern) kann er faktisch nicht zaubern. In Kombination mit Keine Arme ist nur noch Zauberstufe 3 möglich (weder Geste noch Formel; talente_spruchmagie_stufe_3_zaubern erforderlich). Fortbewegung ist uneingeschränkt.</t>
  </si>
  <si>
    <t>vn_sicht_blinder_kampf_13</t>
  </si>
  <si>
    <t>Sicht: Blinder Kampf XIII</t>
  </si>
  <si>
    <t>VORAUSSETZUNG=vn_sicht_blinder_kampf_12 | BLINDER_KAMPF_STUFE=13</t>
  </si>
  <si>
    <t>Voraussetzung Blinder Kampf XII. Durch Blindheit und Lichtverhältnisse verursachte Sichterschwerungen werden um insgesamt 13 reduziert, höchstens bis 0. Andere Sichterschwerungen gelten unverändert.</t>
  </si>
  <si>
    <t>vn_sicht_blinder_kampf_14</t>
  </si>
  <si>
    <t>Sicht: Blinder Kampf XIV</t>
  </si>
  <si>
    <t>VORAUSSETZUNG=vn_sicht_blinder_kampf_13 | BLINDER_KAMPF_STUFE=14</t>
  </si>
  <si>
    <t>Voraussetzung Blinder Kampf XIII. Durch Blindheit und Lichtverhältnisse verursachte Sichterschwerungen werden um insgesamt 14 reduziert, höchstens bis 0. Andere Sichterschwerungen gelten unverändert.</t>
  </si>
  <si>
    <t>vn_sicht_blinder_kampf_15</t>
  </si>
  <si>
    <t>Sicht: Blinder Kampf XV</t>
  </si>
  <si>
    <t>VORAUSSETZUNG=vn_sicht_blinder_kampf_14 | BLINDER_KAMPF_STUFE=15</t>
  </si>
  <si>
    <t>Voraussetzung Blinder Kampf XIV. Durch Blindheit und Lichtverhältnisse verursachte Sichterschwerungen werden um insgesamt 15 reduziert, höchstens bis 0. Andere Sichterschwerungen gelten unverändert.</t>
  </si>
  <si>
    <t>vn_sicht_blinder_kampf_16</t>
  </si>
  <si>
    <t>Sicht: Blinder Kampf XVI</t>
  </si>
  <si>
    <t>VORAUSSETZUNG=vn_sicht_blinder_kampf_15 | BLINDER_KAMPF_STUFE=16</t>
  </si>
  <si>
    <t>Voraussetzung Blinder Kampf XV. Durch Blindheit und Lichtverhältnisse verursachte Sichterschwerungen werden um insgesamt 16 reduziert, höchstens bis 0. Andere Sichterschwerungen gelten unverändert.</t>
  </si>
  <si>
    <t>vn_sicht_blinder_kampf_17</t>
  </si>
  <si>
    <t>Sicht: Blinder Kampf XVII</t>
  </si>
  <si>
    <t>VORAUSSETZUNG=vn_sicht_blinder_kampf_16 | BLINDER_KAMPF_STUFE=17</t>
  </si>
  <si>
    <t>Voraussetzung Blinder Kampf XVI. Durch Blindheit und Lichtverhältnisse verursachte Sichterschwerungen werden um insgesamt 17 reduziert, höchstens bis 0. Andere Sichterschwerungen gelten unverändert.</t>
  </si>
  <si>
    <t>vn_sicht_blinder_kampf_18</t>
  </si>
  <si>
    <t>Sicht: Blinder Kampf XVIII</t>
  </si>
  <si>
    <t>VORAUSSETZUNG=vn_sicht_blinder_kampf_17 | BLINDER_KAMPF_STUFE=18</t>
  </si>
  <si>
    <t>Voraussetzung Blinder Kampf XVII. Durch Blindheit und Lichtverhältnisse verursachte Sichterschwerungen werden um insgesamt 18 reduziert, höchstens bis 0. Andere Sichterschwerungen gelten unverändert.</t>
  </si>
  <si>
    <t>EP ab</t>
  </si>
  <si>
    <t>EP-Kosten (Schritt)</t>
  </si>
  <si>
    <t>Gesamt-EP</t>
  </si>
  <si>
    <t>Volk</t>
  </si>
  <si>
    <t>Erstellungs-Min</t>
  </si>
  <si>
    <t>Erstellungs-Max</t>
  </si>
  <si>
    <t>Max (ab Kreis 3)</t>
  </si>
  <si>
    <t>Dalkini</t>
  </si>
  <si>
    <t>Sinnesschaerfe</t>
  </si>
  <si>
    <t>Staerke</t>
  </si>
  <si>
    <t>Draw</t>
  </si>
  <si>
    <t>Elfen</t>
  </si>
  <si>
    <t>Gnome</t>
  </si>
  <si>
    <t>Goblins</t>
  </si>
  <si>
    <t>Indianer</t>
  </si>
  <si>
    <t>Katzen</t>
  </si>
  <si>
    <t>Orks</t>
  </si>
  <si>
    <t>Trolle</t>
  </si>
  <si>
    <t>Zentauren</t>
  </si>
  <si>
    <t>Zwerge</t>
  </si>
  <si>
    <t>Erschwerung</t>
  </si>
  <si>
    <t>MbS</t>
  </si>
  <si>
    <t>Name</t>
  </si>
  <si>
    <t>Regeltext</t>
  </si>
  <si>
    <t>Aurabann</t>
  </si>
  <si>
    <t>Ziel</t>
  </si>
  <si>
    <t>Eig.</t>
  </si>
  <si>
    <t>RW</t>
  </si>
  <si>
    <t>VD</t>
  </si>
  <si>
    <t>ED</t>
  </si>
  <si>
    <t>W.dauer</t>
  </si>
  <si>
    <t>Erholungszeit EZ in KR</t>
  </si>
  <si>
    <t>MpZ</t>
  </si>
  <si>
    <t>Quelle</t>
  </si>
  <si>
    <t>W4</t>
  </si>
  <si>
    <t xml:space="preserve">SP verteilt auf 3 TZ, Opfer wird um SP/2m zurückgeworfen. Körperbeherrschung+Athletik-Probe, um nicht zu stürzen. Auch Gegenstände werden zurückgeworfen. </t>
  </si>
  <si>
    <t>Kein Aurabann</t>
  </si>
  <si>
    <t>Will</t>
  </si>
  <si>
    <t>(M)*2m</t>
  </si>
  <si>
    <t>ST sec</t>
  </si>
  <si>
    <t>sofort</t>
  </si>
  <si>
    <t>permanent</t>
  </si>
  <si>
    <t>St</t>
  </si>
  <si>
    <t>PSI_Magie_Zaubertabelle_1_421.xlsx</t>
  </si>
  <si>
    <t>W6</t>
  </si>
  <si>
    <t>W8</t>
  </si>
  <si>
    <t>W10</t>
  </si>
  <si>
    <t>W12</t>
  </si>
  <si>
    <t>W20</t>
  </si>
  <si>
    <t>W30</t>
  </si>
  <si>
    <t>200° | Watte | +200°/s</t>
  </si>
  <si>
    <t xml:space="preserve">Der Zauber erhitzt eine Kugel mit Radius (M) x 2 mm³. Gegenstände innerhalb der Kugel brennen nur weiter, wenn sie auch natürlich brennen würden. </t>
  </si>
  <si>
    <t>Gegenstand</t>
  </si>
  <si>
    <t>(M) x m</t>
  </si>
  <si>
    <t>400° | Stoff | +200°/s</t>
  </si>
  <si>
    <t>800° | Holz | +266°/s</t>
  </si>
  <si>
    <t>1000° | Leder | +250°/s</t>
  </si>
  <si>
    <t>1200° | Guss | +240°/s</t>
  </si>
  <si>
    <t>2200° | Stahl | +366°/s</t>
  </si>
  <si>
    <t>3390° | Wolfram | +484°/s</t>
  </si>
  <si>
    <t>-15° | -15°/s</t>
  </si>
  <si>
    <t>Der Zauber erhitzt eine Kugel mit Radius (M) x 2 mm³. Gegenstände innerhalb der Kugel bleiben gefroren, tauen aber natürlich auf.</t>
  </si>
  <si>
    <t>-40° | -20°/s</t>
  </si>
  <si>
    <t>-60° | -20°/s</t>
  </si>
  <si>
    <t>-85° | -21°/s</t>
  </si>
  <si>
    <t>-110° | -22°/s</t>
  </si>
  <si>
    <t>-200° | -33°/s</t>
  </si>
  <si>
    <t>-279° | -40°/s</t>
  </si>
  <si>
    <t>Glas</t>
  </si>
  <si>
    <t>Auf 1 Unbel. Geg/ nur kleinere Dinge, Bei großen =ST+1. Bei Fremdaura FK-TZW</t>
  </si>
  <si>
    <t>(M)*m</t>
  </si>
  <si>
    <t>St*5</t>
  </si>
  <si>
    <t>Holz</t>
  </si>
  <si>
    <t>Stein</t>
  </si>
  <si>
    <t>Guss</t>
  </si>
  <si>
    <t>Panzer</t>
  </si>
  <si>
    <t>Diamant</t>
  </si>
  <si>
    <t>Der Magus kann Geschosse ablenken, die er sieht oder deren Abwurf/Abschuss/Mündungsfeuer er gesehen hat. Die AW oder Glück-Probe ist um ST x 3 erleichtert.</t>
  </si>
  <si>
    <t>Selbst</t>
  </si>
  <si>
    <t>Der Zauberer bekommt St*2 Punkte und kann sie frei nach der unten gewählten Tabelle einsetzen:
14 Punkte = 1 gesehene Person Gesinnungsbogen Scannen
1 Punkt = 60° zusätzlicher Sichtwinkel
1 Punkt = Personen vorhanden, ja oder nein
3 Punkte = Personen Vorhanden, ja nein; ungefähre Anzahl
5 Punkte = Personen Vorhanden, ja nein; genaue Anzahl
7 Punkte = Personen Vorhanden, ja nein; genaue Anzahl; ungefähre Position
9 Punkte = Personen Vorhanden, ja nein; genaue Anzahl; genaue Position
11 Punkte = Personen Vorhanden, ja/nein; genaue Anzahl; genaue Position; Tier und Mensch unterscheiden.
(genaue Position ist +/- 1m)</t>
  </si>
  <si>
    <t>(M) sec</t>
  </si>
  <si>
    <t>(Subjektiv) Das Opfer macht eine Intelligenz Probe um ST x 3 erschwert. Bei Gelingen: keine Wirkung und das Opfer bemerkt den Verzauberungsversuch sofort.
Bei Misslingen: Der Magus darf einen Gesinnungsaspekt des Opfers um St. Punkte verschieben.</t>
  </si>
  <si>
    <t>(M)* 0,5m</t>
  </si>
  <si>
    <t>(M) min</t>
  </si>
  <si>
    <t>St*3</t>
  </si>
  <si>
    <t>(Subjektiv) Allen Personen, von denen der Magier weiß, dass sie da sind, fällt es schwer, ihn wahrzunehmen. Der Zaubernde hat völlige Bewegungsfreiheit während der Wirkung, auch Laufen oder Schießen. Feuerwaffen sind problematisch /Sinnesschärfe Probe ST x 3 bis x 5, Je nach Umgebung!</t>
  </si>
  <si>
    <t>(M)*3Min</t>
  </si>
  <si>
    <t>St*6</t>
  </si>
  <si>
    <t>(Subjektiv) Auf alle Personen von denen der Magier weiß, dass sie da sind. /Der Zaubernde hat völlige Bewegungsfreiheit während der Wirkung, auch Laufen oder Schießen. Feuerwaffen sind problematisch /Sinnesschärfe Probe ST x 3 bis x 5, Je nach Umgebung!</t>
  </si>
  <si>
    <t>1 Gegenstand / Nur Unbelebtes/ Aurabann / St² x kg oder Liter /max. 20m/sec.</t>
  </si>
  <si>
    <t>Auf 1 Unbel. Geg/ max Druck = (Aura+ST)³ in Kg pro cm³. Ziel darf sich absolut nicht Bewegen! Aurabann</t>
  </si>
  <si>
    <t>St*4</t>
  </si>
  <si>
    <t>Nur Greifbares / Auch Lebendiges/ ST³ x kg oder Stärke = ST x 5/ max. 0,5m/sec.</t>
  </si>
  <si>
    <t>1 Gegenstand / Nur Unbelebtes/ Aurabann St³ x kg oder Liter/ max. 10m/sec.</t>
  </si>
  <si>
    <t>St*2</t>
  </si>
  <si>
    <t>Faehigkeit</t>
  </si>
  <si>
    <t>Vorbedingung</t>
  </si>
  <si>
    <t>Anzahl</t>
  </si>
  <si>
    <t>Einheit</t>
  </si>
  <si>
    <t>Gewicht in kg</t>
  </si>
  <si>
    <t>Dublonen</t>
  </si>
  <si>
    <t>Spezialisierung</t>
  </si>
  <si>
    <t>Reittiere</t>
  </si>
  <si>
    <t>Drache, Flug</t>
  </si>
  <si>
    <t>Stück</t>
  </si>
  <si>
    <t>XXX</t>
  </si>
  <si>
    <t>------</t>
  </si>
  <si>
    <t>Selten</t>
  </si>
  <si>
    <t>Drache</t>
  </si>
  <si>
    <t>Greif, Flug</t>
  </si>
  <si>
    <t>Greife</t>
  </si>
  <si>
    <t>Chocobo, Abgeh,</t>
  </si>
  <si>
    <t>Elf</t>
  </si>
  <si>
    <t>Laufvogel</t>
  </si>
  <si>
    <t xml:space="preserve">Chocobo, Alt </t>
  </si>
  <si>
    <t>Chocobo, Reit</t>
  </si>
  <si>
    <t>Chocobo, Schlacht</t>
  </si>
  <si>
    <t>Chocobo, Vollblut</t>
  </si>
  <si>
    <t>Pegasus, Flug</t>
  </si>
  <si>
    <t>Pegasus</t>
  </si>
  <si>
    <t>Pferd, Abgehalftert</t>
  </si>
  <si>
    <t>Indianer, Dalkini</t>
  </si>
  <si>
    <t>Pferd</t>
  </si>
  <si>
    <t>Pferd, Alter Gaul</t>
  </si>
  <si>
    <t>Pferd, Reit</t>
  </si>
  <si>
    <t xml:space="preserve">Pferd, Schlachtross </t>
  </si>
  <si>
    <t>Pferd, Vollblut</t>
  </si>
  <si>
    <t>Ratte, Abgehalftert</t>
  </si>
  <si>
    <t>Goblin</t>
  </si>
  <si>
    <t>Ratte</t>
  </si>
  <si>
    <t>Ratte, Alt</t>
  </si>
  <si>
    <t>Ratte, Gefährlich</t>
  </si>
  <si>
    <t>Ratte, Reit</t>
  </si>
  <si>
    <t>Ratte, Schlacht</t>
  </si>
  <si>
    <t>Assel, Abgehalftert</t>
  </si>
  <si>
    <t>Zwerg</t>
  </si>
  <si>
    <t>Reitkrebse</t>
  </si>
  <si>
    <t>Assel, Alt</t>
  </si>
  <si>
    <t>Assel, Elite</t>
  </si>
  <si>
    <t>Assel, Reit</t>
  </si>
  <si>
    <t>Assel, Schlacht</t>
  </si>
  <si>
    <t>Raptor, abgehalftert</t>
  </si>
  <si>
    <t>Epsquax-Indianer</t>
  </si>
  <si>
    <t>Reitreptilien</t>
  </si>
  <si>
    <t>Raptor, alt</t>
  </si>
  <si>
    <t>Raptor, Reit</t>
  </si>
  <si>
    <t>Raptor, Schlacht</t>
  </si>
  <si>
    <t>Raptor, Veloci</t>
  </si>
  <si>
    <t>Salamander, abgeh,</t>
  </si>
  <si>
    <t>Salamander, alt</t>
  </si>
  <si>
    <t>Salamander, Elite</t>
  </si>
  <si>
    <t>Salamander, Reit</t>
  </si>
  <si>
    <t>Salamander, Schlacht</t>
  </si>
  <si>
    <t>Schildkröte, Reit</t>
  </si>
  <si>
    <t>Gnom</t>
  </si>
  <si>
    <t>Schildkröte, Schlacht</t>
  </si>
  <si>
    <t>Schildkröte, Schnell</t>
  </si>
  <si>
    <t>Roc, Flug</t>
  </si>
  <si>
    <t>Rok</t>
  </si>
  <si>
    <t>Rollok, abgehalftert</t>
  </si>
  <si>
    <t>Troll</t>
  </si>
  <si>
    <t>Rollok</t>
  </si>
  <si>
    <t>Rollok, alt</t>
  </si>
  <si>
    <t>Rollok, Reit</t>
  </si>
  <si>
    <t>Rollok, Schlacht</t>
  </si>
  <si>
    <t>Rollok, übellaunig</t>
  </si>
  <si>
    <t>Warg, Abgehalftert</t>
  </si>
  <si>
    <t>Ork</t>
  </si>
  <si>
    <t>Warg</t>
  </si>
  <si>
    <t>Warg, Alt</t>
  </si>
  <si>
    <t>Warg, Elite</t>
  </si>
  <si>
    <t>Warg, Reit</t>
  </si>
  <si>
    <t>Warg, Schlacht</t>
  </si>
  <si>
    <t>Alchemistische Stoffe</t>
  </si>
  <si>
    <t>Öl, Brand-</t>
  </si>
  <si>
    <t>Fass</t>
  </si>
  <si>
    <t>Brandbeschleuniger</t>
  </si>
  <si>
    <t xml:space="preserve">Schwarzpulver </t>
  </si>
  <si>
    <t>Sack</t>
  </si>
  <si>
    <t>Zwergisches Feuer</t>
  </si>
  <si>
    <t>Flasche</t>
  </si>
  <si>
    <t>Beleuchtung</t>
  </si>
  <si>
    <t>Streichhölzer 25St,</t>
  </si>
  <si>
    <t>Schachtel</t>
  </si>
  <si>
    <t>Orazal (Lösung)</t>
  </si>
  <si>
    <t>Bund</t>
  </si>
  <si>
    <t>DSA-Material</t>
  </si>
  <si>
    <t>Schreibwaren</t>
  </si>
  <si>
    <t>Tinte</t>
  </si>
  <si>
    <t>Phiole</t>
  </si>
  <si>
    <t>Farbstoffe</t>
  </si>
  <si>
    <t>Tusche</t>
  </si>
  <si>
    <t>Tusche, farbig</t>
  </si>
  <si>
    <t>Fett, Salben-, pflanzlich</t>
  </si>
  <si>
    <t>Tiegel</t>
  </si>
  <si>
    <t>Fettprodukte</t>
  </si>
  <si>
    <t>Fett, Salben-, tierisch</t>
  </si>
  <si>
    <t>Körperpflege</t>
  </si>
  <si>
    <t>Lippenrot</t>
  </si>
  <si>
    <t>Seife</t>
  </si>
  <si>
    <t>Reittierzubehör</t>
  </si>
  <si>
    <t>Seife, Sattel-</t>
  </si>
  <si>
    <t>Zeitmessung &amp; Navigation</t>
  </si>
  <si>
    <t>Stundenkerze</t>
  </si>
  <si>
    <t>Zwergen-Kleber</t>
  </si>
  <si>
    <t>Klebstoff</t>
  </si>
  <si>
    <t>Werkzeug</t>
  </si>
  <si>
    <t>Leim</t>
  </si>
  <si>
    <t>Klebstoffe</t>
  </si>
  <si>
    <t>Öl, Duft-</t>
  </si>
  <si>
    <t>Parfumeur</t>
  </si>
  <si>
    <t>Öl, Bade-</t>
  </si>
  <si>
    <t>Öl, Massage-</t>
  </si>
  <si>
    <t>Parfum</t>
  </si>
  <si>
    <t>Elixiere</t>
  </si>
  <si>
    <t>Platzhalter</t>
  </si>
  <si>
    <t>Augenschminke</t>
  </si>
  <si>
    <t>Pulver</t>
  </si>
  <si>
    <t>Puder</t>
  </si>
  <si>
    <t xml:space="preserve">Salzlake </t>
  </si>
  <si>
    <t>Salze</t>
  </si>
  <si>
    <t>Vitriol, Isch</t>
  </si>
  <si>
    <t>Tierbedarf</t>
  </si>
  <si>
    <t>Salzlecke</t>
  </si>
  <si>
    <t>Nahrungsmittel</t>
  </si>
  <si>
    <t>Backwerk, Hefe-</t>
  </si>
  <si>
    <t>Laib</t>
  </si>
  <si>
    <t>Backwaren</t>
  </si>
  <si>
    <t>Brot</t>
  </si>
  <si>
    <t>Brot, Fladen-</t>
  </si>
  <si>
    <t>Brot, Sauerteig</t>
  </si>
  <si>
    <t>Brot, Schwarz-</t>
  </si>
  <si>
    <t>Brot, Weiß-</t>
  </si>
  <si>
    <t>Zwieback</t>
  </si>
  <si>
    <t>Getreidebällchen</t>
  </si>
  <si>
    <t>Früchte, kandiert</t>
  </si>
  <si>
    <t>Konditor</t>
  </si>
  <si>
    <t>Kandis</t>
  </si>
  <si>
    <t>Karamel</t>
  </si>
  <si>
    <t>Kuchen</t>
  </si>
  <si>
    <t>Kuchen, Honig</t>
  </si>
  <si>
    <t>Kuchen, Napf-</t>
  </si>
  <si>
    <t>Lakritz</t>
  </si>
  <si>
    <t>Naschwerk</t>
  </si>
  <si>
    <t>Torte, Marzipan</t>
  </si>
  <si>
    <t>Zuckerstange</t>
  </si>
  <si>
    <t>Portion</t>
  </si>
  <si>
    <t>Entlausen</t>
  </si>
  <si>
    <t>Besuch</t>
  </si>
  <si>
    <t>Bader</t>
  </si>
  <si>
    <t>Maniküre</t>
  </si>
  <si>
    <t>Rasur</t>
  </si>
  <si>
    <t>Vollbad im Badehaus</t>
  </si>
  <si>
    <t>Frisur</t>
  </si>
  <si>
    <t>Frisör</t>
  </si>
  <si>
    <t>Frisur, Ball-</t>
  </si>
  <si>
    <t>Schnitt, Bart-</t>
  </si>
  <si>
    <t>Hund färben</t>
  </si>
  <si>
    <t>Edelsteine</t>
  </si>
  <si>
    <t>10 Aquamarin</t>
  </si>
  <si>
    <t>Karat</t>
  </si>
  <si>
    <t xml:space="preserve">gebraucht erworben werden können oder die in Einheitsgrößen hergestellt werden, </t>
  </si>
  <si>
    <t>11 Granat</t>
  </si>
  <si>
    <t>Der zweitgenannte Preis gilt für Maßanfertigungen bei einem Schneider oder Schuster,</t>
  </si>
  <si>
    <t>12 Onyx</t>
  </si>
  <si>
    <t xml:space="preserve">Der als erstes angegebene Preis bezieht sich bei Kleidungsstücken auf solche, die bei einem Trödler oder Krämer </t>
  </si>
  <si>
    <t>13 Perle</t>
  </si>
  <si>
    <t>14 Turmalin</t>
  </si>
  <si>
    <t>15 Bernstein</t>
  </si>
  <si>
    <t>16 Zirkon</t>
  </si>
  <si>
    <t>17 Smaragd</t>
  </si>
  <si>
    <t>18 Rubin</t>
  </si>
  <si>
    <t>3 Diamant</t>
  </si>
  <si>
    <t>Die hier angegebenen Preise beziehen sich auf geschliffene Stücke, Ungeschliffene Steine erbringen höchstens die Hälfte des Preises,</t>
  </si>
  <si>
    <t>4 Saphir</t>
  </si>
  <si>
    <t xml:space="preserve"> Edelsteine von mehr als 50 Karat jedoch auch leicht das Doppelte des hier angegeben Wertes, Mit 3W6 können Sie festlegen, welche Edelsteine sich </t>
  </si>
  <si>
    <t>5 Opal</t>
  </si>
  <si>
    <t>z,B, in einem Schatz befinden,</t>
  </si>
  <si>
    <t>6 Rohdiamant</t>
  </si>
  <si>
    <t>auf 3W6 Edelstein Preis pro Karat (0,2g)</t>
  </si>
  <si>
    <t>7 Topas</t>
  </si>
  <si>
    <t>8 Lapislazuli</t>
  </si>
  <si>
    <t xml:space="preserve">Einige weitere Mineralien werden als 'Halbedelsteine' angesehen, Sie kosten ungefähr 9 Dublonen  pro 25g, </t>
  </si>
  <si>
    <t>9 Jade</t>
  </si>
  <si>
    <t xml:space="preserve">Zu ihnen gehören: Amethyst, Rosenquarz, Mondstein, Türkis, Malachit, Korallen, Meerschaum und Achat, </t>
  </si>
  <si>
    <t>Diamantspat, ungeprägt</t>
  </si>
  <si>
    <t>Barren</t>
  </si>
  <si>
    <t>Diamantspat-Metallplatten/drähte</t>
  </si>
  <si>
    <t>Kreide, Schreib-</t>
  </si>
  <si>
    <t>Gesteine</t>
  </si>
  <si>
    <t>Tafel, Schiefer-</t>
  </si>
  <si>
    <t>Kohle, Zwergen-</t>
  </si>
  <si>
    <t>Kohle</t>
  </si>
  <si>
    <t>Stifte, Kohle-, 5 St,</t>
  </si>
  <si>
    <t>Satz</t>
  </si>
  <si>
    <t>Öl, Braun-, rauchend</t>
  </si>
  <si>
    <t>Ölprodukte</t>
  </si>
  <si>
    <t>Pech, Destillations-</t>
  </si>
  <si>
    <t>Salpeter, Salz</t>
  </si>
  <si>
    <t>Schwefel</t>
  </si>
  <si>
    <t>Salz</t>
  </si>
  <si>
    <t>Segelschiff</t>
  </si>
  <si>
    <t>Schiff, Dreimaster</t>
  </si>
  <si>
    <t>Dickschiffe</t>
  </si>
  <si>
    <t>Schiff, Fünfmaster</t>
  </si>
  <si>
    <t>Schiff, Viermaster</t>
  </si>
  <si>
    <t>Schiff, Zweimaster</t>
  </si>
  <si>
    <t>Boot, Ruder- klein</t>
  </si>
  <si>
    <t>Kleine Schiffe</t>
  </si>
  <si>
    <t>Boot, Segel- 6m lang</t>
  </si>
  <si>
    <t>Kanu</t>
  </si>
  <si>
    <t>Schiff, Einmaster</t>
  </si>
  <si>
    <t>Alkohol, rein</t>
  </si>
  <si>
    <t>Alchemistische Zutaten</t>
  </si>
  <si>
    <t>Zwiedestillat</t>
  </si>
  <si>
    <t>Schwefelquell Gratenfelser</t>
  </si>
  <si>
    <t>Likör</t>
  </si>
  <si>
    <t>Geist</t>
  </si>
  <si>
    <t>Schnaps, einfach</t>
  </si>
  <si>
    <t>Wein, Brannt-</t>
  </si>
  <si>
    <t>Wein, Brannt-, gut</t>
  </si>
  <si>
    <t>Wein, Franzbrannt-</t>
  </si>
  <si>
    <t>Kräutergeist</t>
  </si>
  <si>
    <t>Wein, Kräuterbrannt-</t>
  </si>
  <si>
    <t>Buch, Tage-, Papier</t>
  </si>
  <si>
    <t>Buchbinder</t>
  </si>
  <si>
    <t>Papier, 10 Bögen</t>
  </si>
  <si>
    <t>Papierherstellung</t>
  </si>
  <si>
    <t>Pergament 10 Blatt</t>
  </si>
  <si>
    <t>Rolle, Schrift-, 2 Schritt</t>
  </si>
  <si>
    <t>Reisekosten</t>
  </si>
  <si>
    <t>Dampfzug (20km/h)</t>
  </si>
  <si>
    <t>km</t>
  </si>
  <si>
    <t>Lokführer</t>
  </si>
  <si>
    <t>Waffenzubehör</t>
  </si>
  <si>
    <t>Ladestock, Gewehr-</t>
  </si>
  <si>
    <t>Vorlagen</t>
  </si>
  <si>
    <t>Ladestock, Pistolen-</t>
  </si>
  <si>
    <t>Bachforelle</t>
  </si>
  <si>
    <t>Angeln</t>
  </si>
  <si>
    <t>Karpfenlaich</t>
  </si>
  <si>
    <t>Fahrzeugzubehör</t>
  </si>
  <si>
    <t>Öl, Leder-, Fischtran</t>
  </si>
  <si>
    <t>PREIS</t>
  </si>
  <si>
    <t>Fischöle</t>
  </si>
  <si>
    <t>Fisch</t>
  </si>
  <si>
    <t>Netzfischen</t>
  </si>
  <si>
    <t>Fisch, Tinten-</t>
  </si>
  <si>
    <t>Früchte, Meeres-</t>
  </si>
  <si>
    <t>Hering</t>
  </si>
  <si>
    <t>Prembutt</t>
  </si>
  <si>
    <t>Rochen</t>
  </si>
  <si>
    <t>Stachelfisch</t>
  </si>
  <si>
    <t>Schwamm</t>
  </si>
  <si>
    <t>Schwammtaucher</t>
  </si>
  <si>
    <t>Ambra</t>
  </si>
  <si>
    <t>Walfang</t>
  </si>
  <si>
    <t>Fuhrwerk(35km/T)</t>
  </si>
  <si>
    <t>Lastwagen</t>
  </si>
  <si>
    <t>Post</t>
  </si>
  <si>
    <t>Brief, Postversand mit Reisekutsche</t>
  </si>
  <si>
    <t>Paketversand mit Reisekutsche</t>
  </si>
  <si>
    <t>Zustellung mit Expressreiter</t>
  </si>
  <si>
    <t>Kutsche, Reise (50km/T)</t>
  </si>
  <si>
    <t>Reisewagen</t>
  </si>
  <si>
    <t>Dampf Kahn, Fluß-, Kabine</t>
  </si>
  <si>
    <t>Dampferkapitän</t>
  </si>
  <si>
    <t>Dampf Kahn, Fluß-, stromab (13km/h)</t>
  </si>
  <si>
    <t>Dampf Kahn, Fluß-, stromauf (5hm/h)</t>
  </si>
  <si>
    <t>Karawane (40km/T)</t>
  </si>
  <si>
    <t>Handelszüge</t>
  </si>
  <si>
    <t>Luftschiff (30-40km/h)</t>
  </si>
  <si>
    <t>Luftschiffkapitän</t>
  </si>
  <si>
    <t>Fähre</t>
  </si>
  <si>
    <t>Fahrt</t>
  </si>
  <si>
    <t>Schiffskapitän</t>
  </si>
  <si>
    <t xml:space="preserve">Segelschiff (11-25km/h) </t>
  </si>
  <si>
    <t>Zoll</t>
  </si>
  <si>
    <t>Brückenzoll pro Fuhrwerk</t>
  </si>
  <si>
    <t>Zöllner</t>
  </si>
  <si>
    <t>Brückenzoll pro Person</t>
  </si>
  <si>
    <t>Brückenzoll pro Reittier</t>
  </si>
  <si>
    <t>Grenzzölle auf Warenwert (Mindestzollsatz)</t>
  </si>
  <si>
    <t>Prozent</t>
  </si>
  <si>
    <t>Stundenglas</t>
  </si>
  <si>
    <t>Alchemistische Apparaturen</t>
  </si>
  <si>
    <t>Koch- und Eßgeschirr</t>
  </si>
  <si>
    <t>Flasche, Glas-, 0,1L</t>
  </si>
  <si>
    <t>Alltagsgegenstände</t>
  </si>
  <si>
    <t>Flasche, Glas-, 0,2L</t>
  </si>
  <si>
    <t>Glas, Trink-</t>
  </si>
  <si>
    <t>Karaffe, Glas-</t>
  </si>
  <si>
    <t>Raucherzubehör</t>
  </si>
  <si>
    <t>Pfeife, Wasser-</t>
  </si>
  <si>
    <t>Pokal, Kristall</t>
  </si>
  <si>
    <t>Kristall</t>
  </si>
  <si>
    <t>Brennglas</t>
  </si>
  <si>
    <t>Optiker</t>
  </si>
  <si>
    <t>Optik</t>
  </si>
  <si>
    <t>Brille</t>
  </si>
  <si>
    <t>Brille, Bernstein</t>
  </si>
  <si>
    <t>Brille, Kristall, dunkel</t>
  </si>
  <si>
    <t>Fernrohr</t>
  </si>
  <si>
    <t>Fernrohr, Himmels-</t>
  </si>
  <si>
    <t>Kaleidoskop</t>
  </si>
  <si>
    <t>Lupe</t>
  </si>
  <si>
    <t>Prisma</t>
  </si>
  <si>
    <t>Quadrant</t>
  </si>
  <si>
    <t>Möbel</t>
  </si>
  <si>
    <t>Spiegel, Wand- 1x1 m</t>
  </si>
  <si>
    <t>Scheiben</t>
  </si>
  <si>
    <t>Kompaß, Schiffs-</t>
  </si>
  <si>
    <t>Spiegel, Hand- Glas</t>
  </si>
  <si>
    <t>Kompass, Hand-</t>
  </si>
  <si>
    <t>Uhr, Sonnen-, mit Kompaß</t>
  </si>
  <si>
    <t>Schmuck</t>
  </si>
  <si>
    <t>Amulett, Bronze</t>
  </si>
  <si>
    <t>Alle Preisangaben sind deutliche Untergrenze!</t>
  </si>
  <si>
    <t>Goldschmied</t>
  </si>
  <si>
    <t>Bronzeschmied</t>
  </si>
  <si>
    <t>Armreif, Messing</t>
  </si>
  <si>
    <t>Besteck, Eß-, Gold</t>
  </si>
  <si>
    <t>Pokal, Gold</t>
  </si>
  <si>
    <t>Kandelaber, Gold</t>
  </si>
  <si>
    <t>Ständer, Kerzen-, Gold</t>
  </si>
  <si>
    <t>Amulett, Gold</t>
  </si>
  <si>
    <t>Armreif, Gold</t>
  </si>
  <si>
    <t>Halskette, Gold</t>
  </si>
  <si>
    <t>Ohrring, Gold</t>
  </si>
  <si>
    <t>Ring, Gold</t>
  </si>
  <si>
    <t>Spange, Gold</t>
  </si>
  <si>
    <t>Stirnreif, Gold</t>
  </si>
  <si>
    <t>Samowar (edler Wasserkocher)</t>
  </si>
  <si>
    <t>Kupferschmied</t>
  </si>
  <si>
    <t>Spiegel, Hand- Messing</t>
  </si>
  <si>
    <t>Besteck, Eß-, Silber</t>
  </si>
  <si>
    <t>Silberschmied</t>
  </si>
  <si>
    <t>Pokal, Silber</t>
  </si>
  <si>
    <t>Teller, Silber</t>
  </si>
  <si>
    <t>Dose, Tabaks-, Silber</t>
  </si>
  <si>
    <t>Sporen, Silber</t>
  </si>
  <si>
    <t>Paar</t>
  </si>
  <si>
    <t>Amulett, Silber</t>
  </si>
  <si>
    <t>Armreif, Silber</t>
  </si>
  <si>
    <t>Halskette, Silber</t>
  </si>
  <si>
    <t>Ohrring, Silber</t>
  </si>
  <si>
    <t>Ring, Silber</t>
  </si>
  <si>
    <t>Spange, Silber</t>
  </si>
  <si>
    <t>Stirnreif, Silber</t>
  </si>
  <si>
    <t>Becher, Trink- Zinn</t>
  </si>
  <si>
    <t>Zinngerät</t>
  </si>
  <si>
    <t>Besteck, Eß-, Zinn</t>
  </si>
  <si>
    <t>Kelle, Schöpf-, Zinn</t>
  </si>
  <si>
    <t>Teller, Zinn</t>
  </si>
  <si>
    <t>Ständer, Kerzen-, Zinn</t>
  </si>
  <si>
    <t>Spielzeug</t>
  </si>
  <si>
    <t>Zinnsoldat</t>
  </si>
  <si>
    <t>Behälter</t>
  </si>
  <si>
    <t>Eimer, Holz</t>
  </si>
  <si>
    <t>Becher, Trink- Holz</t>
  </si>
  <si>
    <t>Kiepe, 20Kg</t>
  </si>
  <si>
    <t>Löffel, Holz-</t>
  </si>
  <si>
    <t>Teller, Holz</t>
  </si>
  <si>
    <t>Kamm, Holz</t>
  </si>
  <si>
    <t>Pfeife, Holz</t>
  </si>
  <si>
    <t>Reisezubehör</t>
  </si>
  <si>
    <t>Stab, Wander-</t>
  </si>
  <si>
    <t>Abakus</t>
  </si>
  <si>
    <t>Lineal, Holz</t>
  </si>
  <si>
    <t>Figürchen, Holz</t>
  </si>
  <si>
    <t>Jonglierbälle 3</t>
  </si>
  <si>
    <t>Jonglierkeulen 3</t>
  </si>
  <si>
    <t>Schwert, Holz</t>
  </si>
  <si>
    <t>Steckenpferd</t>
  </si>
  <si>
    <t>Würfel, Bein, 3 Stück</t>
  </si>
  <si>
    <t>Einstreu</t>
  </si>
  <si>
    <t>Ballen</t>
  </si>
  <si>
    <t>Napf, Holz</t>
  </si>
  <si>
    <t>Bürste</t>
  </si>
  <si>
    <t>Bürstenbinder</t>
  </si>
  <si>
    <t>Zeug, Striegel-</t>
  </si>
  <si>
    <t>Pinsel, 3 sort,</t>
  </si>
  <si>
    <t>Besen</t>
  </si>
  <si>
    <t>Besen, Reisig-</t>
  </si>
  <si>
    <t>Faß, Wasser-, 20L</t>
  </si>
  <si>
    <t>Fassbinder</t>
  </si>
  <si>
    <t>Badezuber</t>
  </si>
  <si>
    <t>Köcher, 10 Bolzen, Holz</t>
  </si>
  <si>
    <t>Köcher, 20 Pfeile, Holz</t>
  </si>
  <si>
    <t xml:space="preserve">Kohle, Holz </t>
  </si>
  <si>
    <t>Köhler</t>
  </si>
  <si>
    <t>Pech, Siede-</t>
  </si>
  <si>
    <t>Fackel, Pech-</t>
  </si>
  <si>
    <t>Korb, 20Kg</t>
  </si>
  <si>
    <t>Korbflechter</t>
  </si>
  <si>
    <t>Kleidung &amp; Schuhwerk</t>
  </si>
  <si>
    <t>Schuhe, Schnee-</t>
  </si>
  <si>
    <t>Schuhe, Stroh-, gewöhnlich</t>
  </si>
  <si>
    <t>Körbchen,  Bast</t>
  </si>
  <si>
    <t>Körbchen, Hunde-, tragbar</t>
  </si>
  <si>
    <t>Larve, gewöhnlich</t>
  </si>
  <si>
    <t>Schnitzen</t>
  </si>
  <si>
    <t>Larve, Maßanfertigung</t>
  </si>
  <si>
    <t>Schuhe, Holz, gewöhnlich</t>
  </si>
  <si>
    <t>Schuhe, Holz, Maßanfertigung</t>
  </si>
  <si>
    <t>Kiste, Transport-</t>
  </si>
  <si>
    <t>Tischler</t>
  </si>
  <si>
    <t>Truhe für Packpferd</t>
  </si>
  <si>
    <t>Ski</t>
  </si>
  <si>
    <t>Bank, Holz</t>
  </si>
  <si>
    <t>Bett</t>
  </si>
  <si>
    <t>Bett, Himmel-</t>
  </si>
  <si>
    <t>Hocker</t>
  </si>
  <si>
    <t>Kommode</t>
  </si>
  <si>
    <t>Regal</t>
  </si>
  <si>
    <t>Schrank</t>
  </si>
  <si>
    <t>Sekretär</t>
  </si>
  <si>
    <t>Sessel</t>
  </si>
  <si>
    <t>Sessel, Polster-</t>
  </si>
  <si>
    <t>Stuhl</t>
  </si>
  <si>
    <t>Tisch</t>
  </si>
  <si>
    <t>Tisch, Schreib-</t>
  </si>
  <si>
    <t>Truhe, groß</t>
  </si>
  <si>
    <t>Truhe, klein</t>
  </si>
  <si>
    <t>Deichsel</t>
  </si>
  <si>
    <t>Wagner</t>
  </si>
  <si>
    <t>Rad, Ersatz-</t>
  </si>
  <si>
    <t>Kutschen und Wagen</t>
  </si>
  <si>
    <t>6er Ferrara</t>
  </si>
  <si>
    <t>Einspänner, einfach</t>
  </si>
  <si>
    <t>Kaleschka</t>
  </si>
  <si>
    <t>Kaleschka, 3spännig</t>
  </si>
  <si>
    <t>Kutsche</t>
  </si>
  <si>
    <t>Karren, 2rädrig</t>
  </si>
  <si>
    <t>Karren, Hunde- oder Ziegen-</t>
  </si>
  <si>
    <t>Karren, Hunde-, große</t>
  </si>
  <si>
    <t>Karren, Ochsen-</t>
  </si>
  <si>
    <t>Kutsche, 2spännig</t>
  </si>
  <si>
    <t>Kutsche, Reise-, 4spännig</t>
  </si>
  <si>
    <t>Kutsche, Renn-, 6spännig</t>
  </si>
  <si>
    <t>Sänfte 2</t>
  </si>
  <si>
    <t>Schlitten, Hunde</t>
  </si>
  <si>
    <t xml:space="preserve">auch für Schneedachse, mindestens 4 Hunde oder Dachse; </t>
  </si>
  <si>
    <t>Schlitten, Reise-,  2- oder  4spännig</t>
  </si>
  <si>
    <t>Steppenschivone, 6spännig</t>
  </si>
  <si>
    <t>Stoerrebrandter, 4spännig</t>
  </si>
  <si>
    <t>Vierspänner</t>
  </si>
  <si>
    <t>Wagen, Kasten-, 1- oder 2spännig</t>
  </si>
  <si>
    <t>Wagen, Leiter-, 1spännig</t>
  </si>
  <si>
    <t>Wagen, Plan-, 2spännig</t>
  </si>
  <si>
    <t>Wagen, Streit-, 4spännig</t>
  </si>
  <si>
    <t>Musikinstrumente</t>
  </si>
  <si>
    <t>Fanfare</t>
  </si>
  <si>
    <t>Blasinstrumente</t>
  </si>
  <si>
    <t>Flöte, Bein</t>
  </si>
  <si>
    <t>Flöte, Holz</t>
  </si>
  <si>
    <t>Flöte, Silber</t>
  </si>
  <si>
    <t>Horn, Jagd-</t>
  </si>
  <si>
    <t>Pfeifenbalg</t>
  </si>
  <si>
    <t>Posaune, Zwergen-</t>
  </si>
  <si>
    <t>Trompete, Reiter-</t>
  </si>
  <si>
    <t>Harfe, Stand-</t>
  </si>
  <si>
    <t>Saiteninstrumente</t>
  </si>
  <si>
    <t>Laute, Bandurria</t>
  </si>
  <si>
    <t>Leier, Dreh-</t>
  </si>
  <si>
    <t>Spinett</t>
  </si>
  <si>
    <t>Glockenspiel</t>
  </si>
  <si>
    <t>Schlaginstrumente</t>
  </si>
  <si>
    <t>Harfe, Hand- Leier</t>
  </si>
  <si>
    <t>Pauke</t>
  </si>
  <si>
    <t>Trommel, Dabla</t>
  </si>
  <si>
    <t>Trommel, Söldner-</t>
  </si>
  <si>
    <t>Tuche</t>
  </si>
  <si>
    <t>Haut, Drachen</t>
  </si>
  <si>
    <t>m²</t>
  </si>
  <si>
    <t>Kürschner</t>
  </si>
  <si>
    <t>Haut, Schlangen-</t>
  </si>
  <si>
    <t>Leder, Wild</t>
  </si>
  <si>
    <t>Pelze</t>
  </si>
  <si>
    <t>Purpurmeise</t>
  </si>
  <si>
    <t>Vögel</t>
  </si>
  <si>
    <t>Wachtel</t>
  </si>
  <si>
    <t>Miete</t>
  </si>
  <si>
    <t>Haus für 6 Personen</t>
  </si>
  <si>
    <t>Tag</t>
  </si>
  <si>
    <t>Gastwirt</t>
  </si>
  <si>
    <t xml:space="preserve">Hunde’pension’ </t>
  </si>
  <si>
    <t xml:space="preserve">mit Futter und Pflege; vor allem im Goblinreich und in Doxmox </t>
  </si>
  <si>
    <t>Scheune</t>
  </si>
  <si>
    <t>Schlafsaal, Strohsack</t>
  </si>
  <si>
    <t>Stall, Miet</t>
  </si>
  <si>
    <t xml:space="preserve">mit Futter und Pflege; </t>
  </si>
  <si>
    <t>Stall, Miet-, für Pferd</t>
  </si>
  <si>
    <t>Suite</t>
  </si>
  <si>
    <t>Weide</t>
  </si>
  <si>
    <t xml:space="preserve">reine Wiese mit Tränke; </t>
  </si>
  <si>
    <t>Wohnung für 2 Personen</t>
  </si>
  <si>
    <t>Wohnung für 6 Personen</t>
  </si>
  <si>
    <t>Zimmer in Absteige</t>
  </si>
  <si>
    <t>Zimmer in besserer Lage</t>
  </si>
  <si>
    <t>Zimmer in Pension</t>
  </si>
  <si>
    <t>Zimmer, Doppel-</t>
  </si>
  <si>
    <t>Zimmer, Einzel-</t>
  </si>
  <si>
    <t>Zimmer, Einzel- Mietskaserne</t>
  </si>
  <si>
    <t>Zimmer, Gemeinschafts-</t>
  </si>
  <si>
    <t>Zwinger, Hunde</t>
  </si>
  <si>
    <t xml:space="preserve">mit Futter; </t>
  </si>
  <si>
    <t>Tavernen-Preise</t>
  </si>
  <si>
    <t>Bankett für 5 Personen</t>
  </si>
  <si>
    <t>Bier Krug</t>
  </si>
  <si>
    <t>Becher</t>
  </si>
  <si>
    <t>Brot und Käse</t>
  </si>
  <si>
    <t>Brot und Wurst</t>
  </si>
  <si>
    <t>Eintopf</t>
  </si>
  <si>
    <t>Gericht, Fisch</t>
  </si>
  <si>
    <t>Gericht, Fleisch</t>
  </si>
  <si>
    <t>Grütze (Gerste, Hirse, Hafer)</t>
  </si>
  <si>
    <t>Hühnchen</t>
  </si>
  <si>
    <t>Kuchen, Pfann-</t>
  </si>
  <si>
    <t>Likör, Glas</t>
  </si>
  <si>
    <t>Milch, Becher</t>
  </si>
  <si>
    <t>Rinderkeule</t>
  </si>
  <si>
    <t>Rosenwasser (0,2L)</t>
  </si>
  <si>
    <t>Saft, Becher (0,3L)</t>
  </si>
  <si>
    <t>Schnaps, Glas lmport- (0,1L)</t>
  </si>
  <si>
    <t>Schnaps, Krüglein(0,2L)</t>
  </si>
  <si>
    <t>Straitmorer Krug</t>
  </si>
  <si>
    <t>Tee, Becher (0,3L)</t>
  </si>
  <si>
    <t>Wasser, Becher(0,5L)</t>
  </si>
  <si>
    <t>Wein, Becher edel (0,,3L)</t>
  </si>
  <si>
    <t>Wein, Becher(0,3L)</t>
  </si>
  <si>
    <t>Wein, Glas Brannt- (0,1L)</t>
  </si>
  <si>
    <t>Proviant, 1 Person/ Tag</t>
  </si>
  <si>
    <t>Krämer</t>
  </si>
  <si>
    <t>Pfeife, Meerschaum</t>
  </si>
  <si>
    <t>Puppe, Wachs-</t>
  </si>
  <si>
    <t>Putzzeug</t>
  </si>
  <si>
    <t>Pflegeutensilien, Waffen-</t>
  </si>
  <si>
    <t>Nadel und Faden, sort,</t>
  </si>
  <si>
    <t>Staubwedel</t>
  </si>
  <si>
    <t>Sklaven</t>
  </si>
  <si>
    <t xml:space="preserve">Andere </t>
  </si>
  <si>
    <t>Sklavenhändler</t>
  </si>
  <si>
    <t>Elf/Drow, alt</t>
  </si>
  <si>
    <t>Elf/Drow, erwachsen</t>
  </si>
  <si>
    <t>Elf/Drow, jung</t>
  </si>
  <si>
    <t>Gnom, generell</t>
  </si>
  <si>
    <t>Goblin, alt</t>
  </si>
  <si>
    <t>Goblin, erwachsen</t>
  </si>
  <si>
    <t>Goblin, jung</t>
  </si>
  <si>
    <t>Ind,/Dalk,, alt</t>
  </si>
  <si>
    <t>Ind,/Dalk,, erwachsen</t>
  </si>
  <si>
    <t>Ind,/Dalk,, jung</t>
  </si>
  <si>
    <t>Ork, alt</t>
  </si>
  <si>
    <t>Ork, erwachsen</t>
  </si>
  <si>
    <t>Ork, jung</t>
  </si>
  <si>
    <t>Troll, alt</t>
  </si>
  <si>
    <t>Troll, erwachsen</t>
  </si>
  <si>
    <t>Troll, jung</t>
  </si>
  <si>
    <t>Zwerg, alt</t>
  </si>
  <si>
    <t>Zwerg, erwachsen</t>
  </si>
  <si>
    <t>Zwerg, jung</t>
  </si>
  <si>
    <t>Pastetchen</t>
  </si>
  <si>
    <t xml:space="preserve">für Hunde oder Katzen; </t>
  </si>
  <si>
    <t>Backen</t>
  </si>
  <si>
    <t>Braten, Rind</t>
  </si>
  <si>
    <t>Braten</t>
  </si>
  <si>
    <t>Braten, Schwein</t>
  </si>
  <si>
    <t>Dörrfleisch</t>
  </si>
  <si>
    <t>Räuchern</t>
  </si>
  <si>
    <t>Hering, geräuchert</t>
  </si>
  <si>
    <t>Prembutt, geräuchert</t>
  </si>
  <si>
    <t>Rochen, geräuchert</t>
  </si>
  <si>
    <t>Schinken</t>
  </si>
  <si>
    <t>Kastanien, geröstet</t>
  </si>
  <si>
    <t>Rösten</t>
  </si>
  <si>
    <t>Dekoration</t>
  </si>
  <si>
    <t>Statuette, Gold</t>
  </si>
  <si>
    <t>Bildhauer</t>
  </si>
  <si>
    <t>Statuette, Jade</t>
  </si>
  <si>
    <t>Statuette, Obsidian</t>
  </si>
  <si>
    <t>Statuette, Silber</t>
  </si>
  <si>
    <t>Statuette, Zinn</t>
  </si>
  <si>
    <t>Gemälde, Öl auf Holz</t>
  </si>
  <si>
    <t>Portrait, Öl auf Leinwand</t>
  </si>
  <si>
    <t>Tätowierung</t>
  </si>
  <si>
    <t>Tätowierer</t>
  </si>
  <si>
    <t>Bohnen</t>
  </si>
  <si>
    <t>Gemüsebauer</t>
  </si>
  <si>
    <t>Bohnen, getrocknet</t>
  </si>
  <si>
    <t>Erbsen</t>
  </si>
  <si>
    <t>Erbsen, getrocknet</t>
  </si>
  <si>
    <t>Früchte, Hülsen-</t>
  </si>
  <si>
    <t>Gemüse</t>
  </si>
  <si>
    <t>Kartoffeln</t>
  </si>
  <si>
    <t>Kohl</t>
  </si>
  <si>
    <t>Kürbis, Gurke</t>
  </si>
  <si>
    <t>Linsen</t>
  </si>
  <si>
    <t>Melonen</t>
  </si>
  <si>
    <t>Paprika</t>
  </si>
  <si>
    <t>Porree</t>
  </si>
  <si>
    <t>Rüben, Mohr-</t>
  </si>
  <si>
    <t>Süßholz</t>
  </si>
  <si>
    <t>Zwiebeln</t>
  </si>
  <si>
    <t>Bier</t>
  </si>
  <si>
    <t>Getreide</t>
  </si>
  <si>
    <t>Hafer</t>
  </si>
  <si>
    <t>Hafer, gequetscht</t>
  </si>
  <si>
    <t>Korn</t>
  </si>
  <si>
    <t>Mehl</t>
  </si>
  <si>
    <t>Futter Tier-, sonstiges</t>
  </si>
  <si>
    <t>Futter, Pferde-</t>
  </si>
  <si>
    <t>Heu</t>
  </si>
  <si>
    <t>Äpfel</t>
  </si>
  <si>
    <t>Obstbauer</t>
  </si>
  <si>
    <t>Beeren, Erd-</t>
  </si>
  <si>
    <t>Birnen</t>
  </si>
  <si>
    <t>Brombeeren</t>
  </si>
  <si>
    <t>Kakao</t>
  </si>
  <si>
    <t>Kirschen</t>
  </si>
  <si>
    <t>Obst</t>
  </si>
  <si>
    <t>Rosinen</t>
  </si>
  <si>
    <t>Sirup, Frucht-</t>
  </si>
  <si>
    <t>Tomaten</t>
  </si>
  <si>
    <t>Trauben</t>
  </si>
  <si>
    <t>Datteln</t>
  </si>
  <si>
    <t>Palmengewächse</t>
  </si>
  <si>
    <t>Feigen</t>
  </si>
  <si>
    <t>Öl, Lein</t>
  </si>
  <si>
    <t>Pflanzliche Fette</t>
  </si>
  <si>
    <t>Öl</t>
  </si>
  <si>
    <t>Öl, Raps</t>
  </si>
  <si>
    <t>Öl, Sonnenblumen</t>
  </si>
  <si>
    <t>Futterrüben</t>
  </si>
  <si>
    <t>Rüben</t>
  </si>
  <si>
    <t>Zucker</t>
  </si>
  <si>
    <t>Zigarren, 10 Stück</t>
  </si>
  <si>
    <t>Tabak</t>
  </si>
  <si>
    <t>Wein</t>
  </si>
  <si>
    <t>Winzer</t>
  </si>
  <si>
    <t>Wein, Land- einfach</t>
  </si>
  <si>
    <t>Wein, rot, gut</t>
  </si>
  <si>
    <t>Falknerhandschuh</t>
  </si>
  <si>
    <t>Handschuhe</t>
  </si>
  <si>
    <t>Handschuh, Beiß-, Leder wattiert</t>
  </si>
  <si>
    <t>Beinkleider, Leder, gewöhnlich</t>
  </si>
  <si>
    <t>Oberbekleidung</t>
  </si>
  <si>
    <t>Beinkleider, Leder, Maßanfertigung</t>
  </si>
  <si>
    <t>Gamaschen, Leder, gewöhnlich</t>
  </si>
  <si>
    <t>Gamaschen, Leder, Maßanfertigung</t>
  </si>
  <si>
    <t>Handschuhe, Leder, gewöhnlich</t>
  </si>
  <si>
    <t>Handschuhe, Leder, Maßanfertigung</t>
  </si>
  <si>
    <t>Handschuhe, Stulpen-, gewöhnlich</t>
  </si>
  <si>
    <t>Handschuhe, Stulpen-, Maßanfertigung</t>
  </si>
  <si>
    <t>Kleid, Leder, gewöhnlich</t>
  </si>
  <si>
    <t>Kleid, Leder, Maßanfertigung</t>
  </si>
  <si>
    <t>Geschirr, Blatt-, je Tier</t>
  </si>
  <si>
    <t xml:space="preserve">nur aus Lederriemen, brei­ten Lederstreifen (Blättern) und der Zugkette bestehend, ein Rückwärtsfahren ist nicht möglich, geringere Belastbarkeit, meist Stadtkutschen; </t>
  </si>
  <si>
    <t>Riemer</t>
  </si>
  <si>
    <t>Geschirr, Hunde-, je Hund</t>
  </si>
  <si>
    <t>Geschirr, Kummet- je Tier</t>
  </si>
  <si>
    <t xml:space="preserve">Lederriemen, Ketten und ein Kummet, das um den Halsansatz des Tieres liegt, Rückwärtsfahren ist möglich, Arbeitsgeschirr; </t>
  </si>
  <si>
    <t>Geschirr, Ochsen-</t>
  </si>
  <si>
    <t>Geschirr, Sänften</t>
  </si>
  <si>
    <t>spezielles Tragegeschirr, es ist auch möglich, einen großen Packsattel entsprechend zu modifizieren</t>
  </si>
  <si>
    <t>Kummet</t>
  </si>
  <si>
    <t>Peitsche, Kutscher-</t>
  </si>
  <si>
    <t>Zaum und Leinen je Tier</t>
  </si>
  <si>
    <t>Gerte, Kunstreit-</t>
  </si>
  <si>
    <t>Gerte, Reit-</t>
  </si>
  <si>
    <t>Gerte, Streitroß-</t>
  </si>
  <si>
    <t>Zaum, einfach</t>
  </si>
  <si>
    <t>Zaum, gebißlos</t>
  </si>
  <si>
    <t>Zaum, Kandare</t>
  </si>
  <si>
    <t>Zeug, Zaum-</t>
  </si>
  <si>
    <t>Zügel, einfach</t>
  </si>
  <si>
    <t>Zügel, verziert</t>
  </si>
  <si>
    <t>Seile, Netze, Ketten</t>
  </si>
  <si>
    <t>Lasso, Leder</t>
  </si>
  <si>
    <t>Band, Hals-, gewirkt</t>
  </si>
  <si>
    <t>Band, Hals-, Leder einfach</t>
  </si>
  <si>
    <t>Band, Hals-, und Leine</t>
  </si>
  <si>
    <t>Band, Knecht-, Würger</t>
  </si>
  <si>
    <t>Falkenmaske</t>
  </si>
  <si>
    <t>Führhalfter mit Strick</t>
  </si>
  <si>
    <t>Geschirr, Halte</t>
  </si>
  <si>
    <t>Orkische Kampfhunde (dringend empfohlen)</t>
  </si>
  <si>
    <t>Geschirr, Trage-, für Hunde</t>
  </si>
  <si>
    <t>Halfter, Stall-</t>
  </si>
  <si>
    <t>Körbchen, Einlage dazu</t>
  </si>
  <si>
    <t>Leine, Leder einfach</t>
  </si>
  <si>
    <t>Leine, Leder verziert</t>
  </si>
  <si>
    <t>Maulkorb</t>
  </si>
  <si>
    <t>Maulkorb, Doppel</t>
  </si>
  <si>
    <t xml:space="preserve">Orbusgurt </t>
  </si>
  <si>
    <t xml:space="preserve"> zur Reit- und Zugtierausbildung;</t>
  </si>
  <si>
    <t xml:space="preserve">Orbusleine </t>
  </si>
  <si>
    <t xml:space="preserve">Orbuspeitsche </t>
  </si>
  <si>
    <t xml:space="preserve">Orbuszaum </t>
  </si>
  <si>
    <t>Schoner, Pfoten-, gewirkt</t>
  </si>
  <si>
    <t xml:space="preserve">Schulungsausbinder </t>
  </si>
  <si>
    <t>Treiberstock</t>
  </si>
  <si>
    <t>Eimer, Leder</t>
  </si>
  <si>
    <t>Sattler</t>
  </si>
  <si>
    <t>Flasche, Feld-, 1L</t>
  </si>
  <si>
    <t>Hülle, Pergament-</t>
  </si>
  <si>
    <t>Ranzen, Leder-, 8Kg</t>
  </si>
  <si>
    <t>Rucksack, Leder-, 15Kg</t>
  </si>
  <si>
    <t>Sattel, Pack-</t>
  </si>
  <si>
    <t>Schlauch, Wasser-, 1L</t>
  </si>
  <si>
    <t>Taschen, Gürtel-</t>
  </si>
  <si>
    <t>Taschen, Gürtel-, verstärkt</t>
  </si>
  <si>
    <t>Gurt, Schulter Bandelier, gewöhnlich</t>
  </si>
  <si>
    <t>Gurt, Schulter Bandelier, Maßanfertigung</t>
  </si>
  <si>
    <t>Gürtel, Leder, gewöhnlich</t>
  </si>
  <si>
    <t>Gürtel, Leder, Maßanfertigung</t>
  </si>
  <si>
    <t>Sattel</t>
  </si>
  <si>
    <t>Sattel, Boten-</t>
  </si>
  <si>
    <t>Sattel, Gestech-</t>
  </si>
  <si>
    <t>Sattel, Kamel</t>
  </si>
  <si>
    <t>Sattel, Kunstreit-</t>
  </si>
  <si>
    <t>Sattel, Prunk-</t>
  </si>
  <si>
    <t>Sattel, Renn-</t>
  </si>
  <si>
    <t>Taschen, Sattel-</t>
  </si>
  <si>
    <t>Packsattel, Elefant</t>
  </si>
  <si>
    <t>Packsattel, groß</t>
  </si>
  <si>
    <t>Packsattel, Kamel</t>
  </si>
  <si>
    <t>Packsattel, klein</t>
  </si>
  <si>
    <t>Packsatteltaschen, Leder</t>
  </si>
  <si>
    <t>Fassungsvermögen etwa zweimal 2 Faß;</t>
  </si>
  <si>
    <t>Packsatteltruhen</t>
  </si>
  <si>
    <t>Fassungsvermögen etwa zweimal 3 Faß</t>
  </si>
  <si>
    <t>Packtaschen</t>
  </si>
  <si>
    <t>Sandalen, gewöhnlich</t>
  </si>
  <si>
    <t>Schuster</t>
  </si>
  <si>
    <t>Sandalen, Maßanfertigung</t>
  </si>
  <si>
    <t>Schuhe, Leder, gewöhnlich</t>
  </si>
  <si>
    <t>Schuhe, Leder, Maßanfertigung</t>
  </si>
  <si>
    <t>Schuhe, Spangen-, gewöhnlich</t>
  </si>
  <si>
    <t>Schuhe, Spangen-, Maßanfertigung</t>
  </si>
  <si>
    <t>Stiefel, leicht, gewöhnlich</t>
  </si>
  <si>
    <t>Stiefel, leicht, Maßanfertigung</t>
  </si>
  <si>
    <t>Stiefel, Reiter- schwer, gewöhnlich</t>
  </si>
  <si>
    <t>Stiefel, Reiter- schwer, Maßanfertigung</t>
  </si>
  <si>
    <t>Stiefel, Stulpen-, gewöhnlich</t>
  </si>
  <si>
    <t>Stiefel, Stulpen-, Maßanfertigung</t>
  </si>
  <si>
    <t>Axtgehänge</t>
  </si>
  <si>
    <t>Bandolier (Ohne Aposteln)</t>
  </si>
  <si>
    <t>Gurt, Bein-</t>
  </si>
  <si>
    <t>Gurt, Schulter-</t>
  </si>
  <si>
    <t>Gürtel, Patronen-</t>
  </si>
  <si>
    <t>Gürtel, Schwert-</t>
  </si>
  <si>
    <t>Gürtel, Schwert-, verstärkt</t>
  </si>
  <si>
    <t>Horn, Pulver-</t>
  </si>
  <si>
    <t>Köcher,  20 Pfeile, Leder</t>
  </si>
  <si>
    <t>Köcher, 20 Pfeile, Leder</t>
  </si>
  <si>
    <t>Kugelbeutel, 50 Bleikugeln</t>
  </si>
  <si>
    <t>Patronenbeutel, 30 Patronen</t>
  </si>
  <si>
    <t>Pulverfläschen (Apostel)</t>
  </si>
  <si>
    <t>Scheide, Dolch-</t>
  </si>
  <si>
    <t>Scheide, Schwert-</t>
  </si>
  <si>
    <t>Luftschiffe</t>
  </si>
  <si>
    <t>Luftschiff, Jacht</t>
  </si>
  <si>
    <t>Sonderschiffe</t>
  </si>
  <si>
    <t>Luftschiff, Kriegs</t>
  </si>
  <si>
    <t>Luftschiff, Transport groß</t>
  </si>
  <si>
    <t>Transportschiffe</t>
  </si>
  <si>
    <t>Luftschiff, Transport klein</t>
  </si>
  <si>
    <t>Luftschiff, Transport mittel</t>
  </si>
  <si>
    <t>Flaschenzug, 1t</t>
  </si>
  <si>
    <t>Einfache Mechanismen</t>
  </si>
  <si>
    <t>Spinnrad</t>
  </si>
  <si>
    <t>Webrahmen klein</t>
  </si>
  <si>
    <t>Addiermaschine</t>
  </si>
  <si>
    <t>Rechenmaschinen</t>
  </si>
  <si>
    <t>Zinsspindel</t>
  </si>
  <si>
    <t>Spieluhr, zwergisch</t>
  </si>
  <si>
    <t>Uhrmacher</t>
  </si>
  <si>
    <t>Taschenuhr, zw,</t>
  </si>
  <si>
    <t>“Tierarzt”</t>
  </si>
  <si>
    <t>Veterinär</t>
  </si>
  <si>
    <t>Gold, ungeprägt</t>
  </si>
  <si>
    <t>Edelmetalle</t>
  </si>
  <si>
    <t>Kupfer, ungeprägt</t>
  </si>
  <si>
    <t>Kupfer-Metallplatten/drähte</t>
  </si>
  <si>
    <t>Mithril, ungeprägt</t>
  </si>
  <si>
    <t>Mithril-Metallplatten/drähte</t>
  </si>
  <si>
    <t>Nasium, ungeprägt</t>
  </si>
  <si>
    <t>Nasium-Metallplatten/drähte</t>
  </si>
  <si>
    <t>Platin, ungeprägt</t>
  </si>
  <si>
    <t>Quecksilber, ungeprägt</t>
  </si>
  <si>
    <t>Silber, ungeprägt</t>
  </si>
  <si>
    <t>Silber-Metallplatten/drähte</t>
  </si>
  <si>
    <t>Bronze, ungeprägt</t>
  </si>
  <si>
    <t>Legierungen</t>
  </si>
  <si>
    <t>Bronze-Metallplatten/drähte</t>
  </si>
  <si>
    <t>Faltstahl, ungeprägt</t>
  </si>
  <si>
    <t>Faltstahl-Metallplatten/drähte</t>
  </si>
  <si>
    <t>Messing, ungeprägt</t>
  </si>
  <si>
    <t>Messing-Metallplatten/drähte</t>
  </si>
  <si>
    <t>Qualitätsstahl, ungeprägt</t>
  </si>
  <si>
    <t>Qualitätsstahl-Metallplatten/drähte</t>
  </si>
  <si>
    <t>Stahl, ungeprägt</t>
  </si>
  <si>
    <t>Stahl-Metallplatten/drähte</t>
  </si>
  <si>
    <t>Adamantit, ungeprägt</t>
  </si>
  <si>
    <t>Schwermetalle</t>
  </si>
  <si>
    <t>Adamantit-Metallplatten/drähte</t>
  </si>
  <si>
    <t>Blei, ungeprägt</t>
  </si>
  <si>
    <t>Eisen, ungeprägt</t>
  </si>
  <si>
    <t>Eisen-Metallplatten/drähte</t>
  </si>
  <si>
    <t>Zinn, ungeprägt</t>
  </si>
  <si>
    <t>Mandeln</t>
  </si>
  <si>
    <t>Bäume</t>
  </si>
  <si>
    <t>Kräuter</t>
  </si>
  <si>
    <t>Alraune</t>
  </si>
  <si>
    <t>DSA-Pflanzen</t>
  </si>
  <si>
    <t>Arganwurzel</t>
  </si>
  <si>
    <t>Atanax</t>
  </si>
  <si>
    <t>Atmon</t>
  </si>
  <si>
    <t>Carlog</t>
  </si>
  <si>
    <t>Chonchinis</t>
  </si>
  <si>
    <t>Donf</t>
  </si>
  <si>
    <t>Egelschreck</t>
  </si>
  <si>
    <t>Finage</t>
  </si>
  <si>
    <t>Gulmond</t>
  </si>
  <si>
    <t>Hiradwurz</t>
  </si>
  <si>
    <t>Horusche</t>
  </si>
  <si>
    <t>Ilmenblatt</t>
  </si>
  <si>
    <t>Joruga</t>
  </si>
  <si>
    <t>Kairan</t>
  </si>
  <si>
    <t>Kajubo</t>
  </si>
  <si>
    <t>Lulanie</t>
  </si>
  <si>
    <t>Menchal</t>
  </si>
  <si>
    <t>Mibelrohr</t>
  </si>
  <si>
    <t>Mirbelstein</t>
  </si>
  <si>
    <t>Nothilf</t>
  </si>
  <si>
    <t>Olginwurz</t>
  </si>
  <si>
    <t>Pestsporenpilz</t>
  </si>
  <si>
    <t>Quinja</t>
  </si>
  <si>
    <t>Rauschgurke</t>
  </si>
  <si>
    <t>Rote Pfeilblüte</t>
  </si>
  <si>
    <t>Sansaro</t>
  </si>
  <si>
    <t>Selmart</t>
  </si>
  <si>
    <t>Talaschin</t>
  </si>
  <si>
    <t>Tarnele</t>
  </si>
  <si>
    <t>Thonnys</t>
  </si>
  <si>
    <t>Traschbart</t>
  </si>
  <si>
    <t>Ulmenwürger</t>
  </si>
  <si>
    <t>Vierblättrige Einbeere</t>
  </si>
  <si>
    <t>Wirselkraut</t>
  </si>
  <si>
    <t>Xordai</t>
  </si>
  <si>
    <t>Yagannuß</t>
  </si>
  <si>
    <t>Zwölfblatt</t>
  </si>
  <si>
    <t>Henna</t>
  </si>
  <si>
    <t>Kräuter, Küchen-</t>
  </si>
  <si>
    <t>Tee, Kräuter</t>
  </si>
  <si>
    <t>Band, Hals-, Kräuter-, geflochten</t>
  </si>
  <si>
    <t>gegen Parasitenbefall</t>
  </si>
  <si>
    <t>Süßmoos</t>
  </si>
  <si>
    <t>Moose</t>
  </si>
  <si>
    <t>Phosphorpilz</t>
  </si>
  <si>
    <t>Pilze</t>
  </si>
  <si>
    <t>Zunderschwamm</t>
  </si>
  <si>
    <t>Gewürze</t>
  </si>
  <si>
    <t>PLATZHALTER</t>
  </si>
  <si>
    <t>Haselnüsse</t>
  </si>
  <si>
    <t>Sträucher</t>
  </si>
  <si>
    <t>Kraut, Pfeifen-</t>
  </si>
  <si>
    <t>Tee</t>
  </si>
  <si>
    <t>Stoffarten</t>
  </si>
  <si>
    <t>Platzhalter!</t>
  </si>
  <si>
    <t>Schoner, Unterarm-, Leder wattiert</t>
  </si>
  <si>
    <t>Lederrüstungen</t>
  </si>
  <si>
    <t>Rüstung, Streitroß-</t>
  </si>
  <si>
    <t>Tierrüstungen</t>
  </si>
  <si>
    <t>Lampe, Öl-</t>
  </si>
  <si>
    <t>Feinschmied</t>
  </si>
  <si>
    <t>Laterne, Kerzen-</t>
  </si>
  <si>
    <t>Laterne, Sturm-, Öl</t>
  </si>
  <si>
    <t>Zunderdose, wasserdicht</t>
  </si>
  <si>
    <t>Sieb</t>
  </si>
  <si>
    <t>Gravurwerkzeug</t>
  </si>
  <si>
    <t>Lineal, Messing</t>
  </si>
  <si>
    <t>Zirkel</t>
  </si>
  <si>
    <t>Zirkel, Faden</t>
  </si>
  <si>
    <t>Käfig, Vogel-, groß</t>
  </si>
  <si>
    <t>Käfig, Vogel-, klein</t>
  </si>
  <si>
    <t>Dietriche, sort,</t>
  </si>
  <si>
    <t>Uhr, Sonnen-</t>
  </si>
  <si>
    <t>Feuerstein und Stahl</t>
  </si>
  <si>
    <t>Grobschmied</t>
  </si>
  <si>
    <t>Flasche, Bronze-, 0,2L</t>
  </si>
  <si>
    <t>Kessel, kupfer 25L</t>
  </si>
  <si>
    <t>Pfanne, Eisen-, 60cm</t>
  </si>
  <si>
    <t>Pfanne, Eisen-, 90cm</t>
  </si>
  <si>
    <t>Spieß, Brat-</t>
  </si>
  <si>
    <t>Topf, Eisen-, 12L</t>
  </si>
  <si>
    <t>Topf, Stiel-, 6L</t>
  </si>
  <si>
    <t>Nagelfeile</t>
  </si>
  <si>
    <t>Becken, Kohlen-</t>
  </si>
  <si>
    <t>Halter, Fackel-</t>
  </si>
  <si>
    <t>Herd</t>
  </si>
  <si>
    <t>Ofen</t>
  </si>
  <si>
    <t>Schrank, Panzer-</t>
  </si>
  <si>
    <t>Zeltstangen, 2 Stück</t>
  </si>
  <si>
    <t>Sporen, einfach</t>
  </si>
  <si>
    <t>Sporen, Eisen</t>
  </si>
  <si>
    <t>Kette, dünn, 5m</t>
  </si>
  <si>
    <t>Länge</t>
  </si>
  <si>
    <t>Kette, schwer 5m</t>
  </si>
  <si>
    <t>Beschlagswerkzeug</t>
  </si>
  <si>
    <t>Kette mit Pflock, 5m</t>
  </si>
  <si>
    <t>Napf, Blech</t>
  </si>
  <si>
    <t>50 Nägel, sort,</t>
  </si>
  <si>
    <t>Ahle</t>
  </si>
  <si>
    <t>Angelhaken und Schnur</t>
  </si>
  <si>
    <t>Axt, Holzfäller-</t>
  </si>
  <si>
    <t>Axt, Holzfäller-, schwer</t>
  </si>
  <si>
    <t>Beil</t>
  </si>
  <si>
    <t>Beil, Fleischer-</t>
  </si>
  <si>
    <t xml:space="preserve">Bleischmelzlöffel </t>
  </si>
  <si>
    <t>Brecheisen</t>
  </si>
  <si>
    <t>Dreschflegel</t>
  </si>
  <si>
    <t>Eispickel</t>
  </si>
  <si>
    <t>Feile für Holz</t>
  </si>
  <si>
    <t>Feile für Metall</t>
  </si>
  <si>
    <t>Fuchsschwanz</t>
  </si>
  <si>
    <t>Gabel, Mist-</t>
  </si>
  <si>
    <t>Hacke, Spitz-</t>
  </si>
  <si>
    <t>Haken, Kletter- 10 St,</t>
  </si>
  <si>
    <t>Haken, Wurf- 10m Seil</t>
  </si>
  <si>
    <t>Hammer</t>
  </si>
  <si>
    <t>Hammer, Vorschlag-</t>
  </si>
  <si>
    <t>Hobel</t>
  </si>
  <si>
    <t>Keile</t>
  </si>
  <si>
    <t>Meißel, 5 sort,</t>
  </si>
  <si>
    <t>Messer</t>
  </si>
  <si>
    <t>Säge, Bügel-</t>
  </si>
  <si>
    <t>Schaufel</t>
  </si>
  <si>
    <t>Schere</t>
  </si>
  <si>
    <t>Schüreisen</t>
  </si>
  <si>
    <t>Senkblei</t>
  </si>
  <si>
    <t>Sense</t>
  </si>
  <si>
    <t>Sichel</t>
  </si>
  <si>
    <t>Spaten</t>
  </si>
  <si>
    <t>Zange</t>
  </si>
  <si>
    <t>Zange, Kugel-</t>
  </si>
  <si>
    <t>Zange, Schmiede-</t>
  </si>
  <si>
    <t>Ausschneiden</t>
  </si>
  <si>
    <t>Huf</t>
  </si>
  <si>
    <t>Hufschmied</t>
  </si>
  <si>
    <t>Beschlagen</t>
  </si>
  <si>
    <t>Führkette</t>
  </si>
  <si>
    <t>Hufeisen, Ersatz-</t>
  </si>
  <si>
    <t>Schnupftuch</t>
  </si>
  <si>
    <t>Decken</t>
  </si>
  <si>
    <t>Decke, wolle</t>
  </si>
  <si>
    <t>Hängematte</t>
  </si>
  <si>
    <t>Schlafsack</t>
  </si>
  <si>
    <t>Zelt, 2 Personen</t>
  </si>
  <si>
    <t>Zelt, 4 Personen</t>
  </si>
  <si>
    <t>Zeltboden</t>
  </si>
  <si>
    <t>Decke, Pferde-</t>
  </si>
  <si>
    <t>Decke, Sattel-</t>
  </si>
  <si>
    <t>Decke, Streitroß-</t>
  </si>
  <si>
    <t>Decke, Stall-</t>
  </si>
  <si>
    <t>Banner</t>
  </si>
  <si>
    <t>Flaggen</t>
  </si>
  <si>
    <t>Wimpel</t>
  </si>
  <si>
    <t>Fäustlinge, Pelz, gewöhnlich</t>
  </si>
  <si>
    <t>Fäustlinge, Pelz, Maßanfertigung</t>
  </si>
  <si>
    <t>Fäustlinge, Wolle, gewöhnlich</t>
  </si>
  <si>
    <t>Haube, Leinen, gewöhnlich</t>
  </si>
  <si>
    <t>Hutmacher</t>
  </si>
  <si>
    <t>Haube, Leinen, Maßanfertigung</t>
  </si>
  <si>
    <t>Hut, Filz mit Federn, gewöhnlich</t>
  </si>
  <si>
    <t>Hut, Filz mit Federn, Maßanfertigung</t>
  </si>
  <si>
    <t>Hut, Filz, gewöhnlich</t>
  </si>
  <si>
    <t>Hut, Filz, Maßanfertigung</t>
  </si>
  <si>
    <t>Maske, Leder, gewöhnlich</t>
  </si>
  <si>
    <t>Maske, Leder, Maßanfertigung</t>
  </si>
  <si>
    <t>Maske, Tuch, gewöhnlich</t>
  </si>
  <si>
    <t>Maske, Tuch, Maßanfertigung</t>
  </si>
  <si>
    <t>Mütze, Fell, gewöhnlich</t>
  </si>
  <si>
    <t>Mütze, Fell, Maßanfertigung</t>
  </si>
  <si>
    <t>Mütze, Wolle, gewöhnlich</t>
  </si>
  <si>
    <t>Schleier, Wolltuch, gewöhnlich</t>
  </si>
  <si>
    <t>Schleier, Wolltuch, Maßanfertigung</t>
  </si>
  <si>
    <t>Stirnband, gewöhnlich</t>
  </si>
  <si>
    <t>Stirnband, Maßanfertigung</t>
  </si>
  <si>
    <t>Anorak, Fell, gewöhnlich</t>
  </si>
  <si>
    <t>Anorak, Fell, Maßanfertigung</t>
  </si>
  <si>
    <t>Beinkleider, Bausch, gewöhnlich</t>
  </si>
  <si>
    <t>Beinkleider, Bausch, Maßanfertigung</t>
  </si>
  <si>
    <t>Beinkleider, Leinen, gewöhnlich</t>
  </si>
  <si>
    <t>Beinkleider, Leinen, Maßanfertigung</t>
  </si>
  <si>
    <t>Beinkleider, Wolle, gewöhnlich</t>
  </si>
  <si>
    <t>Beinkleider, Wolle, Maßanfertigung</t>
  </si>
  <si>
    <t>Burnus, gewöhnlich</t>
  </si>
  <si>
    <t>Burnus, Maßanfertigung</t>
  </si>
  <si>
    <t>Cape, gewöhnlich</t>
  </si>
  <si>
    <t>Cape, Maßanfertigung</t>
  </si>
  <si>
    <t>Hemd, Bluse Bausch, gewöhnlich</t>
  </si>
  <si>
    <t>Hemd, Bluse Bausch, Maßanfertigung</t>
  </si>
  <si>
    <t>Hemd, Bluse Wolle, gewöhnlich</t>
  </si>
  <si>
    <t>Hemd, Bluse Wolle, Maßanfertigung</t>
  </si>
  <si>
    <t>Hemd, Bluse, Leinen, gewöhnlich</t>
  </si>
  <si>
    <t>Hemd, Bluse, Leinen, Maßanfertigung</t>
  </si>
  <si>
    <t>Hose, Pluder- Leinen, gewöhnlich</t>
  </si>
  <si>
    <t>Hose, Pluder- Leinen, Maßanfertigung</t>
  </si>
  <si>
    <t>Jacke, Leder, gewöhnlich</t>
  </si>
  <si>
    <t>Jacke, Leder, Maßanfertigung</t>
  </si>
  <si>
    <t>Jacke, Leinen, gewöhnlich</t>
  </si>
  <si>
    <t>Jacke, Leinen, Maßanfertigung</t>
  </si>
  <si>
    <t>Jacke, Teer, gewöhnlich</t>
  </si>
  <si>
    <t>Jacke, Wolle, gewöhnlich</t>
  </si>
  <si>
    <t>Jacke, Wolle, Maßanfertigung</t>
  </si>
  <si>
    <t>Kleid, Bausch, gewöhnlich</t>
  </si>
  <si>
    <t>Kleid, Bausch, Maßanfertigung</t>
  </si>
  <si>
    <t>Kleid, Leinen, gewöhnlich</t>
  </si>
  <si>
    <t>Kleid, Leinen, Maßanfertigung</t>
  </si>
  <si>
    <t>Kleid, Wolle, gewöhnlich</t>
  </si>
  <si>
    <t>Kleid, Wolle, Maßanfertigung</t>
  </si>
  <si>
    <t>Kutte, grobe Wolle, gewöhnlich</t>
  </si>
  <si>
    <t>Kutte, grobe Wolle, Maßanfertigung</t>
  </si>
  <si>
    <t>Mantel, Haus-, gewöhnlich</t>
  </si>
  <si>
    <t>Mantel, Haus-, Maßanfertigung</t>
  </si>
  <si>
    <t>Mantel, Pelz, gewöhnlich</t>
  </si>
  <si>
    <t>Mantel, Pelz, Maßanfertigung</t>
  </si>
  <si>
    <t>Mantel, Reit- Leder, gewöhnlich</t>
  </si>
  <si>
    <t>Mantel, Reit- Leder, Maßanfertigung</t>
  </si>
  <si>
    <t>Mantel, Wolle, gewöhnlich</t>
  </si>
  <si>
    <t>Mantel, Wolle, Maßanfertigung</t>
  </si>
  <si>
    <t>Muff, gewöhnlich</t>
  </si>
  <si>
    <t>Muff, Maßanfertigung</t>
  </si>
  <si>
    <t>Rock, Bausch, gewöhnlich</t>
  </si>
  <si>
    <t>Rock, Bausch, Maßanfertigung</t>
  </si>
  <si>
    <t>Rock, Leder, gewöhnlich</t>
  </si>
  <si>
    <t>Rock, Leder, Maßanfertigung</t>
  </si>
  <si>
    <t>Rock, Leinen, gewöhnlich</t>
  </si>
  <si>
    <t>Rock, Leinen, Maßanfertigung</t>
  </si>
  <si>
    <t>Rock, Wolle, gewöhnlich</t>
  </si>
  <si>
    <t>Rock, Wolle, Maßanfertigung</t>
  </si>
  <si>
    <t>Tuch, Hals- Seide, gewöhnlich</t>
  </si>
  <si>
    <t>Tuch, Hals- Seide, Maßanfertigung</t>
  </si>
  <si>
    <t>Tunika, Bausch, gewöhnlich</t>
  </si>
  <si>
    <t>Tunika, Bausch, Maßanfertigung</t>
  </si>
  <si>
    <t>Umhang, Kapuzen-, gewöhnlich</t>
  </si>
  <si>
    <t>Umhang, Kapuzen-, Maßanfertigung</t>
  </si>
  <si>
    <t>Wams, Leinen, gewöhnlich</t>
  </si>
  <si>
    <t>Wams, Leinen, Maßanfertigung</t>
  </si>
  <si>
    <t>Weste, Leder ·,, gewöhnlich</t>
  </si>
  <si>
    <t>Weste, Leder ·,, Maßanfertigung</t>
  </si>
  <si>
    <t>Weste, Pelz, gewöhnlich</t>
  </si>
  <si>
    <t>Weste, Pelz, Maßanfertigung</t>
  </si>
  <si>
    <t>Weste, Wolle, gewöhnlich</t>
  </si>
  <si>
    <t>Weste, Wolle, Maßanfertigung</t>
  </si>
  <si>
    <t>Beinkleider, Seide, gewöhnlich</t>
  </si>
  <si>
    <t>Seidenstoffe</t>
  </si>
  <si>
    <t>Beinkleider, Seide, Maßanfertigung</t>
  </si>
  <si>
    <t>Hemd, Bluse Seide, gewöhnlich</t>
  </si>
  <si>
    <t>Hemd, Bluse Seide, Maßanfertigung</t>
  </si>
  <si>
    <t>Hemd, Nacht- Seide, gewöhnlich</t>
  </si>
  <si>
    <t>Hemd, Nacht- Seide, Maßanfertigung</t>
  </si>
  <si>
    <t>Hose, Pluder- Seide, gewöhnlich</t>
  </si>
  <si>
    <t>Hose, Pluder- Seide, Maßanfertigung</t>
  </si>
  <si>
    <t>Kleid, Seide, gewöhnlich</t>
  </si>
  <si>
    <t>Kleid, Seide, Maßanfertigung</t>
  </si>
  <si>
    <t>Robe, Brokat, gewöhnlich</t>
  </si>
  <si>
    <t>Robe, Brokat, Maßanfertigung</t>
  </si>
  <si>
    <t>Rock, Seide, gewöhnlich</t>
  </si>
  <si>
    <t>Rock, Seide, Maßanfertigung</t>
  </si>
  <si>
    <t>Schärpe, Seide, gewöhnlich</t>
  </si>
  <si>
    <t>Schärpe, Seide, Maßanfertigung</t>
  </si>
  <si>
    <t>Schleier, Seide, gewöhnlich</t>
  </si>
  <si>
    <t>Schleier, Seide, Maßanfertigung</t>
  </si>
  <si>
    <t>Strümpfe, Seide, gewöhnlich</t>
  </si>
  <si>
    <t>Strümpfe, Seide, Maßanfertigung</t>
  </si>
  <si>
    <t>Weste, Brokat, gewöhnlich</t>
  </si>
  <si>
    <t>Weste, Brokat, Maßanfertigung</t>
  </si>
  <si>
    <t>Weste, Seide, gewöhnlich</t>
  </si>
  <si>
    <t>Weste, Seide, Maßanfertigung</t>
  </si>
  <si>
    <t>Jäckchen, Wams</t>
  </si>
  <si>
    <t xml:space="preserve">für Kleinhunde; </t>
  </si>
  <si>
    <t>Schleife, Haar-, Seide</t>
  </si>
  <si>
    <t>Ballkleid, gewöhnlich</t>
  </si>
  <si>
    <t>Spezialitäten</t>
  </si>
  <si>
    <t>Ballkleid, Maßanfertigung</t>
  </si>
  <si>
    <t>Geweihtenkleidung, Maßanfertigung</t>
  </si>
  <si>
    <t>Beutel, Tuch-, 5 Kg</t>
  </si>
  <si>
    <t>Taschen</t>
  </si>
  <si>
    <t>Beutelchen, Geld-</t>
  </si>
  <si>
    <t>Sack, 10Kg</t>
  </si>
  <si>
    <t>Sack, 50Kg</t>
  </si>
  <si>
    <t>Beutel, Brot-</t>
  </si>
  <si>
    <t>Futterbeutel</t>
  </si>
  <si>
    <t>Tasche, 10 Bolzen, Stoff</t>
  </si>
  <si>
    <t>Teppich, einfach, m2</t>
  </si>
  <si>
    <t>Teppichknüpfer</t>
  </si>
  <si>
    <t>Teppich, einfach, m2, Elfenarbeit</t>
  </si>
  <si>
    <t>Hemd, Nacht- Leinen, gewöhnlich</t>
  </si>
  <si>
    <t>Unterbekledung</t>
  </si>
  <si>
    <t>Hemd, Nacht- Leinen, Maßanfertigung</t>
  </si>
  <si>
    <t>Mieder, gewöhnlich</t>
  </si>
  <si>
    <t>Mieder, Maßanfertigung</t>
  </si>
  <si>
    <t>Mütze, Nacht,, gewöhnlich</t>
  </si>
  <si>
    <t>Mütze, Nacht,, Maßanfertigung</t>
  </si>
  <si>
    <t>Strümpfe, Wolle, gewöhnlich</t>
  </si>
  <si>
    <t>Strümpfe, Wolle, Maßanfertigung</t>
  </si>
  <si>
    <t>Tuch, Lenden-, gewöhnlich</t>
  </si>
  <si>
    <t>Unterrock, gewöhnlich</t>
  </si>
  <si>
    <t>Unterrock, Maßanfertigung</t>
  </si>
  <si>
    <t>Unterwäsche, gewöhnlich</t>
  </si>
  <si>
    <t>Unterwäsche, Maßanfertigung</t>
  </si>
  <si>
    <t>Matratze</t>
  </si>
  <si>
    <t>Wattierung</t>
  </si>
  <si>
    <t>Kissen, Reit-</t>
  </si>
  <si>
    <t>Puppe, Stoff-</t>
  </si>
  <si>
    <t>Netz, Trag-</t>
  </si>
  <si>
    <t>Netze</t>
  </si>
  <si>
    <t>Netz, Fischer- groß</t>
  </si>
  <si>
    <t>Netz, Fischer- klein</t>
  </si>
  <si>
    <t>Netz, Wurf-</t>
  </si>
  <si>
    <t>Leiter, Strick- 5m</t>
  </si>
  <si>
    <t>Stricke</t>
  </si>
  <si>
    <t>Schnur, 20m</t>
  </si>
  <si>
    <t>Seil, Fessel- 1m</t>
  </si>
  <si>
    <t>Seil, Hanf, 10 m, verstärkt</t>
  </si>
  <si>
    <t>Seil, Hanf, 10m</t>
  </si>
  <si>
    <t>Seil, Kletter- 10m</t>
  </si>
  <si>
    <t>Seil, Leder- 1m</t>
  </si>
  <si>
    <t>Seil, Seide10m</t>
  </si>
  <si>
    <t>Tau, 20m</t>
  </si>
  <si>
    <t>Führstrick</t>
  </si>
  <si>
    <t>Geschirr, Koch, sort,, Email</t>
  </si>
  <si>
    <t>Emaillierung</t>
  </si>
  <si>
    <t>Kessel, Email, 6L</t>
  </si>
  <si>
    <t>Teller, Porzellan</t>
  </si>
  <si>
    <t>Topf, Blech-, Email, 6L</t>
  </si>
  <si>
    <t>Becher, Trink- Ton</t>
  </si>
  <si>
    <t>Geschirr</t>
  </si>
  <si>
    <t>Flasche, Ton 0,2L</t>
  </si>
  <si>
    <t>Krug, Ton-</t>
  </si>
  <si>
    <t>Teller, Ton</t>
  </si>
  <si>
    <t>Pfeife, Ton</t>
  </si>
  <si>
    <t>Eier, 6 Stück</t>
  </si>
  <si>
    <t>Geflügelwirtschaft</t>
  </si>
  <si>
    <t>Gans</t>
  </si>
  <si>
    <t>Huhn</t>
  </si>
  <si>
    <t>Gänsekiele, Griffel 10 St,</t>
  </si>
  <si>
    <t>Kerze, Bienenwachs-, 30cm</t>
  </si>
  <si>
    <t>Imker</t>
  </si>
  <si>
    <t>Honig</t>
  </si>
  <si>
    <t>Horn, Trink-</t>
  </si>
  <si>
    <t>"Saure Wurst"</t>
  </si>
  <si>
    <t>Fleisch</t>
  </si>
  <si>
    <t>Fleisch, Dörr-</t>
  </si>
  <si>
    <t>Fleisch, Esels-/Pferde-</t>
  </si>
  <si>
    <t>Fleisch, Hammel</t>
  </si>
  <si>
    <t>Speckseite</t>
  </si>
  <si>
    <t>Wurst</t>
  </si>
  <si>
    <t>Wurst, Hart</t>
  </si>
  <si>
    <t>Knochen, Beiß</t>
  </si>
  <si>
    <t>Butter</t>
  </si>
  <si>
    <t>Milchwirtschaft</t>
  </si>
  <si>
    <t>Käse</t>
  </si>
  <si>
    <t>Käse, edel</t>
  </si>
  <si>
    <t>Käse, Hart</t>
  </si>
  <si>
    <t>Käse, Schafs-</t>
  </si>
  <si>
    <t>Milch, Kuh-</t>
  </si>
  <si>
    <t>Kerze, 30cm</t>
  </si>
  <si>
    <t>Tierische Fette</t>
  </si>
  <si>
    <t>Kerze, 60cm</t>
  </si>
  <si>
    <t>Öl, Lampen-</t>
  </si>
  <si>
    <t>Deichselfett</t>
  </si>
  <si>
    <t>Leder, Rind</t>
  </si>
  <si>
    <t>Weidevieh</t>
  </si>
  <si>
    <t>Leder, Schwein</t>
  </si>
  <si>
    <t>Leder, schwer</t>
  </si>
  <si>
    <t>Leder, Ziege</t>
  </si>
  <si>
    <t>Rasiermesser</t>
  </si>
  <si>
    <t>Atlas</t>
  </si>
  <si>
    <t>Brokat</t>
  </si>
  <si>
    <t>Samt</t>
  </si>
  <si>
    <t>Seide</t>
  </si>
  <si>
    <t>Seide, gewöhnlich</t>
  </si>
  <si>
    <t>Seide, Maßanfertigung</t>
  </si>
  <si>
    <t>Spitzen (pro 50cm)</t>
  </si>
  <si>
    <t>Taft</t>
  </si>
  <si>
    <t>Leinen</t>
  </si>
  <si>
    <t>Stoffe</t>
  </si>
  <si>
    <t>Tuch, Segel-</t>
  </si>
  <si>
    <t>Bausch</t>
  </si>
  <si>
    <t>Wolle</t>
  </si>
  <si>
    <t>Filz</t>
  </si>
  <si>
    <t>Wolle, Karen-</t>
  </si>
  <si>
    <t>Wolle, Phraischaf</t>
  </si>
  <si>
    <t>Wollstoff, einfach</t>
  </si>
  <si>
    <t>Wollstoff, schwer</t>
  </si>
  <si>
    <t>Pferd (60km/T)</t>
  </si>
  <si>
    <t>Zu Fuß (30km/T)</t>
  </si>
  <si>
    <t>Dienstmittel</t>
  </si>
  <si>
    <t>Handschellen mit zwei Schlüsseln</t>
  </si>
  <si>
    <t>NPC D001</t>
  </si>
  <si>
    <t>Dienstabzeichen, geprägt</t>
  </si>
  <si>
    <t>NPC D002</t>
  </si>
  <si>
    <t>Fahndungsblatt, gedruckt</t>
  </si>
  <si>
    <t>Blatt</t>
  </si>
  <si>
    <t>NPC D003</t>
  </si>
  <si>
    <t>Lithograf</t>
  </si>
  <si>
    <t>Revolverholster, Gürtelmontage</t>
  </si>
  <si>
    <t>NPC D004</t>
  </si>
  <si>
    <t>Landkarte, Region</t>
  </si>
  <si>
    <t>NPC D005</t>
  </si>
  <si>
    <t>Kartografie</t>
  </si>
  <si>
    <t>Seekarte, Küstenabschnitt</t>
  </si>
  <si>
    <t>NPC D006</t>
  </si>
  <si>
    <t>Jagdfalle, kleine Kastenfalle</t>
  </si>
  <si>
    <t>NPC D007</t>
  </si>
  <si>
    <t>Jagdfalle, Federbügel</t>
  </si>
  <si>
    <t>NPC D008</t>
  </si>
  <si>
    <t>Saatgut</t>
  </si>
  <si>
    <t>Saatgetreide, gereinigt</t>
  </si>
  <si>
    <t>Sack, 1 kg</t>
  </si>
  <si>
    <t>NPC D009</t>
  </si>
  <si>
    <t>Getreidebauer</t>
  </si>
  <si>
    <t>Gemüsesaat, sortenrein</t>
  </si>
  <si>
    <t>Beutel, 50 g</t>
  </si>
  <si>
    <t>NPC D010</t>
  </si>
  <si>
    <t>Goldwaschpfanne</t>
  </si>
  <si>
    <t>NPC D011</t>
  </si>
  <si>
    <t>Feinwaage mit Gewichten</t>
  </si>
  <si>
    <t>NPC D012</t>
  </si>
  <si>
    <t>Feinmechaniker</t>
  </si>
  <si>
    <t>Handelswaage mit Gewichten</t>
  </si>
  <si>
    <t>NPC D013</t>
  </si>
  <si>
    <t>Arbeitskleidung</t>
  </si>
  <si>
    <t>Grubenhelm, Leder mit Verstärkung</t>
  </si>
  <si>
    <t>NPC D014</t>
  </si>
  <si>
    <t>Grubenlampe, abgeschirmt</t>
  </si>
  <si>
    <t>NPC D015</t>
  </si>
  <si>
    <t>Sicherungsgurt mit Anschlagringen</t>
  </si>
  <si>
    <t>NPC D016</t>
  </si>
  <si>
    <t>Schiffszubehör</t>
  </si>
  <si>
    <t>Rettungsring, Kork und Segeltuch</t>
  </si>
  <si>
    <t>NPC D017</t>
  </si>
  <si>
    <t>Segelmacher</t>
  </si>
  <si>
    <t>Geheimfach für Transportkiste</t>
  </si>
  <si>
    <t>Einbau</t>
  </si>
  <si>
    <t>NPC D018</t>
  </si>
  <si>
    <t>Gefälschter Passierschein</t>
  </si>
  <si>
    <t>Dokument</t>
  </si>
  <si>
    <t>NPC D019</t>
  </si>
  <si>
    <t>Kamera, Plattenapparat mit Objektiv</t>
  </si>
  <si>
    <t>NPC D020</t>
  </si>
  <si>
    <t>Kamerastativ, Holz</t>
  </si>
  <si>
    <t>NPC D021</t>
  </si>
  <si>
    <t>Fotomaterial</t>
  </si>
  <si>
    <t>Fotoplatten, vorbereitet, sechs Stück</t>
  </si>
  <si>
    <t>NPC D022</t>
  </si>
  <si>
    <t>Apparateglaser</t>
  </si>
  <si>
    <t>Fotochemie, Entwicklungssatz</t>
  </si>
  <si>
    <t>Satz für sechs Platten</t>
  </si>
  <si>
    <t>NPC D023</t>
  </si>
  <si>
    <t>Pigmentmacher</t>
  </si>
  <si>
    <t>Werkstattausstattung</t>
  </si>
  <si>
    <t>Druckerpresse, Handbetrieb</t>
  </si>
  <si>
    <t>NPC D024</t>
  </si>
  <si>
    <t>Maschinenbauer</t>
  </si>
  <si>
    <t>Drucklettern, Grundsatz mit Setzkasten</t>
  </si>
  <si>
    <t>NPC D025</t>
  </si>
  <si>
    <t>Stereotypeur</t>
  </si>
  <si>
    <t>Druckfarbe, schwarz</t>
  </si>
  <si>
    <t>Dose</t>
  </si>
  <si>
    <t>NPC D026</t>
  </si>
  <si>
    <t>Spielkarten, vollständiges Blatt</t>
  </si>
  <si>
    <t>NPC D027</t>
  </si>
  <si>
    <t>Spielkarten, markiertes Blatt</t>
  </si>
  <si>
    <t>NPC D028</t>
  </si>
  <si>
    <t>Würfel, präpariert, drei Stück</t>
  </si>
  <si>
    <t>NPC D029</t>
  </si>
  <si>
    <t>Schnitzer</t>
  </si>
  <si>
    <t>Amboss, Werkstatt</t>
  </si>
  <si>
    <t>NPC D030</t>
  </si>
  <si>
    <t>Esse, fest, mit Feuerbett</t>
  </si>
  <si>
    <t>NPC D031</t>
  </si>
  <si>
    <t>Blasebalg, Schmiede</t>
  </si>
  <si>
    <t>NPC D032</t>
  </si>
  <si>
    <t>Werkbank mit Schraubstock</t>
  </si>
  <si>
    <t>NPC D033</t>
  </si>
  <si>
    <t>Präzisionswerkzeug, Waffenbau</t>
  </si>
  <si>
    <t>NPC D034</t>
  </si>
  <si>
    <t>Formwerkzeuge, Rüstungsbau</t>
  </si>
  <si>
    <t>NPC D035</t>
  </si>
  <si>
    <t>Werkstattmaterial</t>
  </si>
  <si>
    <t>Rüstungsnieten, fünfzig Stück</t>
  </si>
  <si>
    <t>NPC D036</t>
  </si>
  <si>
    <t>Schraubendreher, drei Größen</t>
  </si>
  <si>
    <t>NPC D037</t>
  </si>
  <si>
    <t>Schraubenschlüssel, vier Größen</t>
  </si>
  <si>
    <t>NPC D038</t>
  </si>
  <si>
    <t>Schrauben und Muttern, zwanzig Paare</t>
  </si>
  <si>
    <t>NPC D039</t>
  </si>
  <si>
    <t>Maschinenersatzteile, einfache Auswahl</t>
  </si>
  <si>
    <t>NPC D040</t>
  </si>
  <si>
    <t>Baumaterial</t>
  </si>
  <si>
    <t>Bauholz, Bretter, trocken</t>
  </si>
  <si>
    <t>Bündel</t>
  </si>
  <si>
    <t>NPC D041</t>
  </si>
  <si>
    <t>Holzfäller</t>
  </si>
  <si>
    <t>Bauholz, Stützbalken</t>
  </si>
  <si>
    <t>NPC D042</t>
  </si>
  <si>
    <t>Arzttasche, leer mit Innenfächern</t>
  </si>
  <si>
    <t>NPC D043</t>
  </si>
  <si>
    <t>Täschner</t>
  </si>
  <si>
    <t>Medizinischer Bedarf</t>
  </si>
  <si>
    <t>Verbände, sauber verpackt</t>
  </si>
  <si>
    <t>Satz mit fünf Binden</t>
  </si>
  <si>
    <t>NPC D044</t>
  </si>
  <si>
    <t>Leinweber</t>
  </si>
  <si>
    <t>Verbände, sterilisiert und versiegelt</t>
  </si>
  <si>
    <t>NPC D045</t>
  </si>
  <si>
    <t>Chirurgische Instrumente, Grundsatz</t>
  </si>
  <si>
    <t>NPC D046</t>
  </si>
  <si>
    <t>Nahtmaterial, medizinisch</t>
  </si>
  <si>
    <t>Packung für fünf Versorgungen</t>
  </si>
  <si>
    <t>NPC D047</t>
  </si>
  <si>
    <t>Reinigungsmittel, medizinisch</t>
  </si>
  <si>
    <t>Flasche, 0,2 l</t>
  </si>
  <si>
    <t>NPC D048</t>
  </si>
  <si>
    <t>Seifensieder</t>
  </si>
  <si>
    <t>Instrumentenkessel mit Einsatz</t>
  </si>
  <si>
    <t>NPC D049</t>
  </si>
  <si>
    <t>Mörser mit Stößel, Keramik</t>
  </si>
  <si>
    <t>NPC D050</t>
  </si>
  <si>
    <t>Heilkräuter, getrocknet und beschriftet</t>
  </si>
  <si>
    <t>Beutel</t>
  </si>
  <si>
    <t>NPC D051</t>
  </si>
  <si>
    <t>Kräuterkundler</t>
  </si>
  <si>
    <t>Kräuterkasten mit sechs Dosen</t>
  </si>
  <si>
    <t>NPC D052</t>
  </si>
  <si>
    <t>Laborbedarf</t>
  </si>
  <si>
    <t>Retorte mit Stopfen, Glas</t>
  </si>
  <si>
    <t>NPC D053</t>
  </si>
  <si>
    <t>Destillierapparat, kleiner Tischaufbau</t>
  </si>
  <si>
    <t>NPC D054</t>
  </si>
  <si>
    <t>Laborbrenner, Spiritus</t>
  </si>
  <si>
    <t>NPC D055</t>
  </si>
  <si>
    <t>Magiebedarf</t>
  </si>
  <si>
    <t>Fokusrohling, geschnitztes Holz</t>
  </si>
  <si>
    <t>NPC D056</t>
  </si>
  <si>
    <t>Ritualkreide, Farbsatz</t>
  </si>
  <si>
    <t>NPC D057</t>
  </si>
  <si>
    <t>Räucherwerk, schlicht</t>
  </si>
  <si>
    <t>NPC D058</t>
  </si>
  <si>
    <t>Bücher</t>
  </si>
  <si>
    <t>Fachbuch, gedruckt</t>
  </si>
  <si>
    <t>Band</t>
  </si>
  <si>
    <t>NPC D059</t>
  </si>
  <si>
    <t>Magisches Lehrbuch, gedruckt</t>
  </si>
  <si>
    <t>NPC D060</t>
  </si>
  <si>
    <t>Forschungsbedarf</t>
  </si>
  <si>
    <t>Probenausrüstung, Feldsatz</t>
  </si>
  <si>
    <t>NPC D061</t>
  </si>
  <si>
    <t>Siegelstempel, persönliche Gravur</t>
  </si>
  <si>
    <t>NPC D062</t>
  </si>
  <si>
    <t>Stempel, Schriftzug</t>
  </si>
  <si>
    <t>NPC D063</t>
  </si>
  <si>
    <t>Siegellack</t>
  </si>
  <si>
    <t>Stange</t>
  </si>
  <si>
    <t>NPC D064</t>
  </si>
  <si>
    <t>Leimsieder</t>
  </si>
  <si>
    <t>Formulare, unbeschrieben, zehn Stück</t>
  </si>
  <si>
    <t>NPC D065</t>
  </si>
  <si>
    <t>Arbeitsschürze, Leder</t>
  </si>
  <si>
    <t>NPC D066</t>
  </si>
  <si>
    <t>Arbeitsschürze, Leinen</t>
  </si>
  <si>
    <t>NPC D067</t>
  </si>
  <si>
    <t>Konfektionsschneider</t>
  </si>
  <si>
    <t>magisch_y_n</t>
  </si>
  <si>
    <t>Potenz</t>
  </si>
  <si>
    <t>Dosierbar</t>
  </si>
  <si>
    <t>Zufuhr</t>
  </si>
  <si>
    <t>ZbS (Zeit bis Symptom)</t>
  </si>
  <si>
    <t>ZbW (Zeit bis Wirkung)</t>
  </si>
  <si>
    <t>Wirkungsdauer</t>
  </si>
  <si>
    <t>Legalität</t>
  </si>
  <si>
    <t>Char_Unterwelt_Mod</t>
  </si>
  <si>
    <t>Verfügb</t>
  </si>
  <si>
    <t>Zutaten_Preis_in_D</t>
  </si>
  <si>
    <t>Kaufpreis_in_D</t>
  </si>
  <si>
    <t>Rezept-Erschwerung</t>
  </si>
  <si>
    <t>Gifte</t>
  </si>
  <si>
    <t>profan</t>
  </si>
  <si>
    <t>Leichtes Regigift</t>
  </si>
  <si>
    <t>J</t>
  </si>
  <si>
    <t>Körper</t>
  </si>
  <si>
    <t>Sofort</t>
  </si>
  <si>
    <t>12h</t>
  </si>
  <si>
    <t>Regenerationsklasse -2, leichter Schlaf</t>
  </si>
  <si>
    <t>Regigift</t>
  </si>
  <si>
    <t>Regenerationsklasse -4, leichter Schlaf</t>
  </si>
  <si>
    <t>Starkes Regigift</t>
  </si>
  <si>
    <t>Regenerationsklasse -7, leichter Schlaf</t>
  </si>
  <si>
    <t>Hässlichkeitsgift</t>
  </si>
  <si>
    <t>1d</t>
  </si>
  <si>
    <t>Alle Grundfertigkeits-, Sprach-, Kulur- und WHK-Proben auf Ausstrahlung um 10 erschwert</t>
  </si>
  <si>
    <t>Starkes Hässlichkeitsgift</t>
  </si>
  <si>
    <t>Alle Grundfertigkeits-, Sprach-, Kulur- und WHK-Proben auf Ausstrahlung um 15 erschwert</t>
  </si>
  <si>
    <t>Leichtes Hässlichkeitsgift</t>
  </si>
  <si>
    <t>Alle Grundfertigkeits-, Sprach-, Kulur- und WHK-Proben auf Ausstrahlung um 5 erschwert</t>
  </si>
  <si>
    <t>Leichtes Zungengift</t>
  </si>
  <si>
    <t>1  KR</t>
  </si>
  <si>
    <t>3  KR</t>
  </si>
  <si>
    <t>1h</t>
  </si>
  <si>
    <t>Artikuliertes Sprechen unmöglich</t>
  </si>
  <si>
    <t>Zungengift</t>
  </si>
  <si>
    <t>Starkes Zungengift</t>
  </si>
  <si>
    <t>Leichtes Taubheitsgift</t>
  </si>
  <si>
    <t>BE 2, Gefahrensinn -12</t>
  </si>
  <si>
    <t>Taubheitsgift</t>
  </si>
  <si>
    <t>Starkes Taubheitsgift</t>
  </si>
  <si>
    <t>Leichtes Lähmungsgift</t>
  </si>
  <si>
    <t>Blut</t>
  </si>
  <si>
    <t>2  KR</t>
  </si>
  <si>
    <t>Die betroffene TZ gilt als mit einem Treffer auf 0</t>
  </si>
  <si>
    <t>Lähmungsgift</t>
  </si>
  <si>
    <t>Starkes Lähmungsgift</t>
  </si>
  <si>
    <t>Leichtes Verwirrungsgift</t>
  </si>
  <si>
    <t>Alle Proben, die Intelligenz enthalten, sowie KI-, PSI-, und Spruchmagie werden um W10 erschwert.</t>
  </si>
  <si>
    <t>Verwirrungsgift</t>
  </si>
  <si>
    <t>Alle Grundfertigkeits-, Sprach-, Kulur- und WHK-Proben auf intelligenz, sowie alle KI-, PSI- und Spruchmagie werden um W15 erschwert.</t>
  </si>
  <si>
    <t>Starkes Verwirrungsgift</t>
  </si>
  <si>
    <t>Alle Grundfertigkeits-, Sprach-, Kulur- und WHK-Proben auf intelligenz, sowie alle KI-, PSI- und Spruchmagie werden um W20 erschwert.</t>
  </si>
  <si>
    <t>Leichtes Blendgift</t>
  </si>
  <si>
    <t>Der Charakter erblindet. Jede Sicht außer magischer Sicht erlischt. BE 18</t>
  </si>
  <si>
    <t>Blendgift</t>
  </si>
  <si>
    <t>Starke Blendgift</t>
  </si>
  <si>
    <t>Leichtes Schwächegift</t>
  </si>
  <si>
    <t>TS -1</t>
  </si>
  <si>
    <t>Schwächegift</t>
  </si>
  <si>
    <t>TS -2</t>
  </si>
  <si>
    <t>Starkes Schwächegift</t>
  </si>
  <si>
    <t>TS -3</t>
  </si>
  <si>
    <t>Leichtes Behinderungsgift</t>
  </si>
  <si>
    <t>Verursacht BE von W4</t>
  </si>
  <si>
    <t>Behinderungsgift</t>
  </si>
  <si>
    <t>Verursacht BE von W6</t>
  </si>
  <si>
    <t>Starkes Behinderungsgift</t>
  </si>
  <si>
    <t>Verursacht BE von W8</t>
  </si>
  <si>
    <t>Leichtes Nahrungsgift</t>
  </si>
  <si>
    <t>N</t>
  </si>
  <si>
    <t>10 min</t>
  </si>
  <si>
    <t>15 min</t>
  </si>
  <si>
    <t>3min</t>
  </si>
  <si>
    <t>Auf GES W6 pro min, BE +1 pro min</t>
  </si>
  <si>
    <t>Nahrungsgift</t>
  </si>
  <si>
    <t>Auf GES W8 pro min, BE +2 pro min</t>
  </si>
  <si>
    <t>Starkes Nahrungsgift</t>
  </si>
  <si>
    <t>Auf GES W8 pro min, BE +3 pro min</t>
  </si>
  <si>
    <t>Leichtes Schlafgift</t>
  </si>
  <si>
    <t>60  KR</t>
  </si>
  <si>
    <t>8h</t>
  </si>
  <si>
    <t>Opfer fällt in leichten Schlaf, Sin -5</t>
  </si>
  <si>
    <t>Schlafgift</t>
  </si>
  <si>
    <t>45  KR</t>
  </si>
  <si>
    <t>Opfer fällt in natürlichen Schlaf, Sin -10</t>
  </si>
  <si>
    <t>Starkes Schlafgift</t>
  </si>
  <si>
    <t>30  KR</t>
  </si>
  <si>
    <t>Opfer fällt in tiefen Schlaf, Sin -15, Regi+1</t>
  </si>
  <si>
    <t>magisch</t>
  </si>
  <si>
    <t>Leichtes Managift</t>
  </si>
  <si>
    <t>Mana -4W6</t>
  </si>
  <si>
    <t>Managift</t>
  </si>
  <si>
    <t>Mana -5W10</t>
  </si>
  <si>
    <t>Starkes Managift</t>
  </si>
  <si>
    <t>Mana -6W15</t>
  </si>
  <si>
    <t>Waffengift</t>
  </si>
  <si>
    <t>Kontakt</t>
  </si>
  <si>
    <t>Auf eine TZ –W10 LE</t>
  </si>
  <si>
    <t>Starkes Jagdgift</t>
  </si>
  <si>
    <t>Starkes Waffengift</t>
  </si>
  <si>
    <t>Auf eine TZ –W15 LE</t>
  </si>
  <si>
    <t>Mächtiges Jagdgift</t>
  </si>
  <si>
    <t>Mächtiges Waffengift</t>
  </si>
  <si>
    <t>Auf eine TZ –W20 LE</t>
  </si>
  <si>
    <t>Leichtes Jagdgift</t>
  </si>
  <si>
    <t>Auf eine TZ –W6 LE</t>
  </si>
  <si>
    <t>Leichtes Waffengift</t>
  </si>
  <si>
    <t>Auf eine TZ –W8 LE</t>
  </si>
  <si>
    <t>Jagdgift</t>
  </si>
  <si>
    <t>Schmerzgift</t>
  </si>
  <si>
    <t>Einmalige SB-Probe erschwert um 14</t>
  </si>
  <si>
    <t>Starkes Schmerzgift</t>
  </si>
  <si>
    <t>Einmalige SB-Probe erschwert um 21</t>
  </si>
  <si>
    <t>Leichtes Schmerzgift</t>
  </si>
  <si>
    <t>Einmalige SB-Probe erschwert um 7</t>
  </si>
  <si>
    <t>Heiltränke</t>
  </si>
  <si>
    <t>Leichter Erfrischungstrank</t>
  </si>
  <si>
    <t>3 KR</t>
  </si>
  <si>
    <t>10 KR</t>
  </si>
  <si>
    <t>Ausdauer + 2W20</t>
  </si>
  <si>
    <t>Erfrischungstrank</t>
  </si>
  <si>
    <t>Ausdauer + 3W30</t>
  </si>
  <si>
    <t>Starker Erfrischungstrank</t>
  </si>
  <si>
    <t>Ausdauer + 4W50</t>
  </si>
  <si>
    <t>Leichter Regitrank</t>
  </si>
  <si>
    <t>30 KR</t>
  </si>
  <si>
    <t>10min</t>
  </si>
  <si>
    <t>9h</t>
  </si>
  <si>
    <t>Bei der nächsten natürlichen Regie +3W6 zusätzlich</t>
  </si>
  <si>
    <t>Regitrank</t>
  </si>
  <si>
    <t>Bei der nächsten natürlichen Regie +4W8 zusätzlich</t>
  </si>
  <si>
    <t>Starker Regitrank</t>
  </si>
  <si>
    <t>Bei der nächsten natürlichen Regie +5W12 zusätzlich</t>
  </si>
  <si>
    <t>Leichte Heilsalbe</t>
  </si>
  <si>
    <t>1 KR</t>
  </si>
  <si>
    <t>Der Charakter wird auf einer TZ um LE+2W6 geheilt.</t>
  </si>
  <si>
    <t>Heilsalbe</t>
  </si>
  <si>
    <t>Der Charakter wird auf einer TZ um LE+3W8 geheilt.</t>
  </si>
  <si>
    <t>Starke Heilsalbe</t>
  </si>
  <si>
    <t>Der Charakter wird auf einer TZ um LE+4W12 geheilt.</t>
  </si>
  <si>
    <t>Leichter Allheilmittel</t>
  </si>
  <si>
    <t>30min</t>
  </si>
  <si>
    <t>Kuriert jede unmagische Krankheit.</t>
  </si>
  <si>
    <t>Starke Allheilmittel</t>
  </si>
  <si>
    <t>Kuriert jede unmagische und magische Krankheit.</t>
  </si>
  <si>
    <t>Starke Ambrosia</t>
  </si>
  <si>
    <t>7 KR</t>
  </si>
  <si>
    <t>7min</t>
  </si>
  <si>
    <t>Man wird binnen 24h, 1W12+3 Jahre Jünger</t>
  </si>
  <si>
    <t>Mächtiges Ambrosia</t>
  </si>
  <si>
    <t>Man wird binnen 24h, 1W20+4 Jahre Jünger</t>
  </si>
  <si>
    <t>Leichtes Ambrosia</t>
  </si>
  <si>
    <t>Man wird binnen 24h, 1W4+1 Jahre Jünger</t>
  </si>
  <si>
    <t>Ambrosia</t>
  </si>
  <si>
    <t>Man wird binnen 24h, 1W8+2 Jahre Jünger</t>
  </si>
  <si>
    <t xml:space="preserve">Leichtes Antidot </t>
  </si>
  <si>
    <t>3h</t>
  </si>
  <si>
    <t>Nach Eintritt der Wirkung, 3KR nach der Einnahme, wird eine neue Alchemieresistenz-Probe mit Alchemieresistenz +25 abgelegt.</t>
  </si>
  <si>
    <t>Antidot</t>
  </si>
  <si>
    <t>Nach Eintritt der Wirkung, 3KR nach der Einnahme, wird eine neue Alchemieresistenz-Probe mit Alchemieresistenz +35 abgelegt.</t>
  </si>
  <si>
    <t>Starke Antidot</t>
  </si>
  <si>
    <t>Nach Eintritt der Wirkung, 3KR nach der Einnahme, wird eine neue Alchemieresistenz-Probe mit Alchemieresistenz +45 abgelegt.</t>
  </si>
  <si>
    <t>Leichter  Nahrungstrank</t>
  </si>
  <si>
    <t>Satt und Genährt für 1 Tag</t>
  </si>
  <si>
    <t>Nahrungst.</t>
  </si>
  <si>
    <t>3d</t>
  </si>
  <si>
    <t>Satt und Genährt für 3 Tage</t>
  </si>
  <si>
    <t>Starker Nahrungstrank</t>
  </si>
  <si>
    <t>7d</t>
  </si>
  <si>
    <t>Satt und Genährt für 7 Tage</t>
  </si>
  <si>
    <t>Leichter Gesundheitstrank</t>
  </si>
  <si>
    <t>Sofort Gesundheit +1W6, auch aus dem minus</t>
  </si>
  <si>
    <t>Gesundheitstrank</t>
  </si>
  <si>
    <t>Sofort Gesundheit +2W6, auch aus dem minus</t>
  </si>
  <si>
    <t>Starker Gesundheitstrank</t>
  </si>
  <si>
    <t>Sofort Gesundheit +3W6, auch aus dem minus</t>
  </si>
  <si>
    <t>Leichter Heiltrank</t>
  </si>
  <si>
    <t>Sofort LE +2W6, außer Gesundheit</t>
  </si>
  <si>
    <t>Heiltrank</t>
  </si>
  <si>
    <t>Sofort LE +3W8, außer Gesundheit</t>
  </si>
  <si>
    <t>Starker Heiltrank</t>
  </si>
  <si>
    <t>Sofort LE +4W12, außer Gesundheit</t>
  </si>
  <si>
    <t>Leichter Manatrank</t>
  </si>
  <si>
    <t>Sofort Mana  +4W6</t>
  </si>
  <si>
    <t>Manatrank</t>
  </si>
  <si>
    <t>Sofort Mana  +5W12</t>
  </si>
  <si>
    <t>Starker Manatrank</t>
  </si>
  <si>
    <t>Sofort Mana  +6W20</t>
  </si>
  <si>
    <t>Kampftränke</t>
  </si>
  <si>
    <t>Leichter Göttertrank</t>
  </si>
  <si>
    <t xml:space="preserve"> ALLES +1, auch über Maximal werte</t>
  </si>
  <si>
    <t>Göttertrank</t>
  </si>
  <si>
    <t xml:space="preserve"> ALLES +3, auch über Maximal werte</t>
  </si>
  <si>
    <t>Starker Göttertrank</t>
  </si>
  <si>
    <t xml:space="preserve"> ALLES +6, auch über Maximal werte</t>
  </si>
  <si>
    <t>Leichter Reflextrank</t>
  </si>
  <si>
    <t>+1W4 auf nAW, Initiative, nPa</t>
  </si>
  <si>
    <t>Reflextrank</t>
  </si>
  <si>
    <t>+1W6 auf nAW, Initiative, nPa</t>
  </si>
  <si>
    <t>Starker Reflextrank</t>
  </si>
  <si>
    <t>+1W8 auf nAW, Initiative, nPa</t>
  </si>
  <si>
    <t>Adamanthaut</t>
  </si>
  <si>
    <t>2 KR</t>
  </si>
  <si>
    <t>Alle TZ erhalten RS +1W12+4; RHg +16</t>
  </si>
  <si>
    <t>Eisenhauttrank</t>
  </si>
  <si>
    <t>Alle TZ erhalten RS +1W5+2; RHg +8</t>
  </si>
  <si>
    <t>Stahlhauttrank</t>
  </si>
  <si>
    <t>Alle TZ erhalten RS +1W8+3; RHg +12</t>
  </si>
  <si>
    <t>Leichter Geniustrank</t>
  </si>
  <si>
    <t>Die arkanen Mächte des Charakters werden verstärkt. (M)+1, Mana+9, Max.Mana+9, SB+1, Ini+1, KI-, PSI- und Spruchzauberproben +1</t>
  </si>
  <si>
    <t>Geniustrank</t>
  </si>
  <si>
    <t>Die arkanen Mächte des Charakters werden verstärkt. (M)+2, Mana+18, Max.Mana+18, SB+3, Ini+2, KI-, PSI- und Spruchzauberproben +2</t>
  </si>
  <si>
    <t>Starker Geniustrank</t>
  </si>
  <si>
    <t>Macht+3, Mana+27, Max Mana+27, SB+5, Ini+3, Z.proben+3</t>
  </si>
  <si>
    <t>Leichter Katzentrank</t>
  </si>
  <si>
    <t>nAW+1, Ini+2, nPA+1, FK Basis+1, Ladezeiten-1sec</t>
  </si>
  <si>
    <t>Katzentrank</t>
  </si>
  <si>
    <t>nAW+2, Ini+3, nPA+2, FK Basis+2, Ladezeiten-2sec</t>
  </si>
  <si>
    <t>Starker Katzentrank</t>
  </si>
  <si>
    <t>nAW+3, Ini+4, nPA+3, FK Basis+3, Ladezeiten-3sec</t>
  </si>
  <si>
    <t>Starker Heldentrank</t>
  </si>
  <si>
    <t>SB+15, Ausd+10, Ini+5, nAT+3, Gesundheit+3, NK TP+3</t>
  </si>
  <si>
    <t>Leichter Heldentrank</t>
  </si>
  <si>
    <t>SB+3, Ausd+2, Ini+1, nAT+1, Gesundheit+1, NK TP+1</t>
  </si>
  <si>
    <t>Heldentrank</t>
  </si>
  <si>
    <t>SB+9, Ausd+6, Ini+2, nAT+2, Gesundheit+2, NK TP+2</t>
  </si>
  <si>
    <t>Leichter Bersekertrank</t>
  </si>
  <si>
    <t>1min</t>
  </si>
  <si>
    <t>Trefferschwelle +1W6 (nur Schmerzen)</t>
  </si>
  <si>
    <t>Berserkertrank</t>
  </si>
  <si>
    <t>Trefferschwelle +2W6 (nur Schmerzen)</t>
  </si>
  <si>
    <t>Starker Berserkertrank</t>
  </si>
  <si>
    <t>Trefferschwelle +3W6 (nur Schmerzen)</t>
  </si>
  <si>
    <t>Steinhauttrank</t>
  </si>
  <si>
    <t>Überall RS + 1W4+1 und KampfBehinderung +1</t>
  </si>
  <si>
    <t>Magisches Parfüm</t>
  </si>
  <si>
    <t>Gas</t>
  </si>
  <si>
    <t>7h</t>
  </si>
  <si>
    <t>Erhöht Ausstrahlung um 10 Punkte (nur Gesellschaftlich)</t>
  </si>
  <si>
    <t xml:space="preserve">Billiges Parfüm </t>
  </si>
  <si>
    <t>20 KR</t>
  </si>
  <si>
    <t>6h</t>
  </si>
  <si>
    <t>Erhöht die Ausstrahlung um 1</t>
  </si>
  <si>
    <t>Gutes Parfüm</t>
  </si>
  <si>
    <t>Erhöht die Ausstrahlung um 2Punkt (nur Gesellschaftlich)</t>
  </si>
  <si>
    <t xml:space="preserve">Edles Parfüm </t>
  </si>
  <si>
    <t>10h</t>
  </si>
  <si>
    <t>Erhöht die Ausstrahlung um 4Punkt (nur Gesellschaftlich)</t>
  </si>
  <si>
    <t>Überwältigendes Parfüm</t>
  </si>
  <si>
    <t>Erhöht die Ausstrahlung um 8Punkt (nur Gesellschaftlich)</t>
  </si>
  <si>
    <t>Zustandstränke</t>
  </si>
  <si>
    <t>Chamäleontrank</t>
  </si>
  <si>
    <t>2W6+2min</t>
  </si>
  <si>
    <t xml:space="preserve">Der Charakter wird mitsamt aller Ausrüstung in seiner Aura durchsichtig. Um ihn wahrzunehmen, ist eine Sinnesschärfe-Probe erschwert um 12 nötig. </t>
  </si>
  <si>
    <t>Starker Chamäleontrank</t>
  </si>
  <si>
    <t>1W6+1min</t>
  </si>
  <si>
    <t xml:space="preserve">Der Charakter wird mitsamt aller Ausrüstung in seiner Aura durchsichtig. Um ihn wahrzunehmen, ist eine Sinnesschärfe-Probe erschwert um 18 nötig. </t>
  </si>
  <si>
    <t>Leichter Chamäleontrank</t>
  </si>
  <si>
    <t>W6+1min</t>
  </si>
  <si>
    <t xml:space="preserve">Der Charakter wird mitsamt aller Ausrüstung in seiner Aura durchsichtig. Um ihn wahrzunehmen, ist eine Sinnesschärfe-Probe erschwert um 6 nötig. </t>
  </si>
  <si>
    <t>Nachtsichttrank</t>
  </si>
  <si>
    <t>Der sieht selbst in absoluter Dunkelheit wie am Tag. Hebt alle lichtabhängigen Erschwerungen auf.</t>
  </si>
  <si>
    <t>2h</t>
  </si>
  <si>
    <t>Die Wirkung von Alchemika ist 50% geringer</t>
  </si>
  <si>
    <t>Kälte Resistenz</t>
  </si>
  <si>
    <t>Eis macht 50% Schaden weniger</t>
  </si>
  <si>
    <t>Feuer-Resistenz-Trank</t>
  </si>
  <si>
    <t>Feuer macht 50% Schaden weniger</t>
  </si>
  <si>
    <t>Starker Lufttrank</t>
  </si>
  <si>
    <t>2W20+10min</t>
  </si>
  <si>
    <t>Keinerlei Luftzufuhr notwenig</t>
  </si>
  <si>
    <t xml:space="preserve">Leichter Lufttrank </t>
  </si>
  <si>
    <t>1W10+5min</t>
  </si>
  <si>
    <t>Man braucht für  1W10+5min nicht atmen.</t>
  </si>
  <si>
    <t xml:space="preserve">Lufttrank </t>
  </si>
  <si>
    <t>1W20+5min</t>
  </si>
  <si>
    <t>Man braucht für  1W20+5min nicht atmen.</t>
  </si>
  <si>
    <t>Flugtrank</t>
  </si>
  <si>
    <t>Man kann mit 10m/s Fliegen</t>
  </si>
  <si>
    <t>Starker Flugtrank</t>
  </si>
  <si>
    <t>Man kann mit 15m/s Fliegen</t>
  </si>
  <si>
    <t>Leichter Flugtrank</t>
  </si>
  <si>
    <t>Man kann mit 5m/s Fliegen</t>
  </si>
  <si>
    <t>Geruchslossalbe</t>
  </si>
  <si>
    <t>5 KR</t>
  </si>
  <si>
    <t>Man verliert seinen Geruch komplett</t>
  </si>
  <si>
    <t>Kopf</t>
  </si>
  <si>
    <t>Verarbeitung</t>
  </si>
  <si>
    <t>Anpassung</t>
  </si>
  <si>
    <t>RS</t>
  </si>
  <si>
    <t>BE</t>
  </si>
  <si>
    <t>Preis</t>
  </si>
  <si>
    <t>NW</t>
  </si>
  <si>
    <t>Lage 1</t>
  </si>
  <si>
    <t>Stoffrüstung</t>
  </si>
  <si>
    <t>Meisterarbeit</t>
  </si>
  <si>
    <t>angepasst</t>
  </si>
  <si>
    <t>Lage 2</t>
  </si>
  <si>
    <t>Leichte Lederrüstung</t>
  </si>
  <si>
    <t>Lage 3</t>
  </si>
  <si>
    <t>Stahl-Kettenpanzer</t>
  </si>
  <si>
    <t>Lage 4</t>
  </si>
  <si>
    <t>Schwerer Lederpanzer</t>
  </si>
  <si>
    <t>Lage 5</t>
  </si>
  <si>
    <t>Keine Rüstung</t>
  </si>
  <si>
    <t>Gesamt:</t>
  </si>
  <si>
    <t>Torso</t>
  </si>
  <si>
    <t>Großmeisterarbeit</t>
  </si>
  <si>
    <t>perfekt angepasst</t>
  </si>
  <si>
    <t>Gesellenarbeit</t>
  </si>
  <si>
    <t>Eisen-Kettenpanzer</t>
  </si>
  <si>
    <t>Schwerer Faltstahlpanzer</t>
  </si>
  <si>
    <t>Einzelstück</t>
  </si>
  <si>
    <t>Arme</t>
  </si>
  <si>
    <t>Beine</t>
  </si>
  <si>
    <t>Rüstung</t>
  </si>
  <si>
    <t>Legende:</t>
  </si>
  <si>
    <t xml:space="preserve">Hals, Schultergelenk, Ellenbogen, Hände, Knie und Füße werden nur mit halbem RS geschützt. Augen werden nicht geschützt.Für alle nicht genannten kritischen Trefferzonen gilt der volle Rüstungswert. </t>
  </si>
  <si>
    <t xml:space="preserve">Jedes Rüstungsteil kann durch Verarbeitung und Anpassung einmalig modifiziert werden. </t>
  </si>
  <si>
    <t xml:space="preserve">Jedes Rüstungsteil hat seine Lage als Mindest-RBE. Lage 5 (Umhänge, Aufpanzerungen) sind hiervon ausgenommen. </t>
  </si>
  <si>
    <t>Drachenschuppen und andere Aufpanzerungen verfügen über bestimmte Boni, die derzeit noch in der alten Waffentabelle aufgeführt sind...</t>
  </si>
  <si>
    <t>Lage</t>
  </si>
  <si>
    <t>Verfügbarkeit NW</t>
  </si>
  <si>
    <t>Verfügbarkeit AW</t>
  </si>
  <si>
    <t>Materialkosten</t>
  </si>
  <si>
    <t>Arbeitszeit/d</t>
  </si>
  <si>
    <t>Leichte Stoffrüstung</t>
  </si>
  <si>
    <t>Schwere Stoffrüstung</t>
  </si>
  <si>
    <t>Lederrüstung</t>
  </si>
  <si>
    <t>Schwere Lederrüstung</t>
  </si>
  <si>
    <t>Schwerer Eisen-Kettenpanzer</t>
  </si>
  <si>
    <t>Faltstahl-Kettenpanzer</t>
  </si>
  <si>
    <t>Schwerer Stahl-Kettenpanzer</t>
  </si>
  <si>
    <t>Schwerer Faltstahl-Kettenpanzer</t>
  </si>
  <si>
    <t>Lederpanzer</t>
  </si>
  <si>
    <t>Eisenpanzer</t>
  </si>
  <si>
    <t>Stahlpanzer</t>
  </si>
  <si>
    <t>Schwerer Eisenpanzer</t>
  </si>
  <si>
    <t>Schwerer Stahlpanzer</t>
  </si>
  <si>
    <t>Faltstahlpanzer</t>
  </si>
  <si>
    <t>Waffe</t>
  </si>
  <si>
    <t>Stä-Malus</t>
  </si>
  <si>
    <t>AT-</t>
  </si>
  <si>
    <t>PA-</t>
  </si>
  <si>
    <t xml:space="preserve">WK </t>
  </si>
  <si>
    <t>1H min.Stä</t>
  </si>
  <si>
    <t>2H min.Stä</t>
  </si>
  <si>
    <t>Klingen-Brecher</t>
  </si>
  <si>
    <t>Klingen-Schutz</t>
  </si>
  <si>
    <t>Art/Specials</t>
  </si>
  <si>
    <t>Rezept-Mod</t>
  </si>
  <si>
    <t>Verfuegbarkeit-AW</t>
  </si>
  <si>
    <t>Verfuegbarkeit-NW</t>
  </si>
  <si>
    <t>Eisen</t>
  </si>
  <si>
    <t>Dalkini, Draw, Elfen, Goblins, Orks, Trolle, Zentauren, Zwerge</t>
  </si>
  <si>
    <t>Stahl</t>
  </si>
  <si>
    <t>Dalkini, Draw, Elfen, Goblins, Orks, Trolle, Zwerge</t>
  </si>
  <si>
    <t>Qualitätsstahl</t>
  </si>
  <si>
    <t>Dalkini, Draw, Elfen, Goblins, Orks, Zwerge</t>
  </si>
  <si>
    <t>Faltstahl</t>
  </si>
  <si>
    <t>Mithril</t>
  </si>
  <si>
    <t>Elfen, Zwerge</t>
  </si>
  <si>
    <t>Kolharz</t>
  </si>
  <si>
    <t>Alchemistensilber</t>
  </si>
  <si>
    <t>Dalkini, Elfen, Goblins, Orks, Zwerge</t>
  </si>
  <si>
    <t>Nasium</t>
  </si>
  <si>
    <t>Diamantspat</t>
  </si>
  <si>
    <t>Zerfällt bei kontakt mit Sonnenlicht zu Staub</t>
  </si>
  <si>
    <t>Adamandit</t>
  </si>
  <si>
    <t>Draw, Elfen, Goblins, Orks, Zwerge</t>
  </si>
  <si>
    <t>ALLE</t>
  </si>
  <si>
    <t>Knochen</t>
  </si>
  <si>
    <t>Schwarzfels</t>
  </si>
  <si>
    <t>Indianer, Katzen</t>
  </si>
  <si>
    <t>Leder</t>
  </si>
  <si>
    <t>Hartholz</t>
  </si>
  <si>
    <t>Der Schaden wird zur hälfte auf Ausdauer verteielt</t>
  </si>
  <si>
    <t>Vulkanglas</t>
  </si>
  <si>
    <t>Chitin</t>
  </si>
  <si>
    <t>Katzen, Draw, Zwerge, Indianer</t>
  </si>
  <si>
    <t>Bronze</t>
  </si>
  <si>
    <t>Katzen, Indianer</t>
  </si>
  <si>
    <t>Min.Stä. 1H</t>
  </si>
  <si>
    <t>Min.Stä. 2H</t>
  </si>
  <si>
    <t>Klingen Brecher</t>
  </si>
  <si>
    <t>Klingen Schutz</t>
  </si>
  <si>
    <t>Von der Stange</t>
  </si>
  <si>
    <t>Standard</t>
  </si>
  <si>
    <t xml:space="preserve">Perfekt angepasst </t>
  </si>
  <si>
    <t>Verstärkung des Schafts</t>
  </si>
  <si>
    <t>Preis/m</t>
  </si>
  <si>
    <t>Eisen Verstärkt</t>
  </si>
  <si>
    <t>Eisen Voll</t>
  </si>
  <si>
    <t>Stahl Verstärkt</t>
  </si>
  <si>
    <t>Stahl Voll</t>
  </si>
  <si>
    <t>Qualitätsstahl Voll</t>
  </si>
  <si>
    <t>Faltstahl Verstärkt</t>
  </si>
  <si>
    <t>Faltstahl Voll</t>
  </si>
  <si>
    <t>Mithril Verstärkt</t>
  </si>
  <si>
    <t>Mithril Voll</t>
  </si>
  <si>
    <t>Adamandit Verstärkt</t>
  </si>
  <si>
    <t>Adamandit Voll</t>
  </si>
  <si>
    <t>Bronze Verstärkt</t>
  </si>
  <si>
    <t>Bronze Voll</t>
  </si>
  <si>
    <t>Fertigung</t>
  </si>
  <si>
    <t xml:space="preserve">Ausschuss  </t>
  </si>
  <si>
    <t>Goblin Massenfab.</t>
  </si>
  <si>
    <t>Massenfabrikation</t>
  </si>
  <si>
    <t xml:space="preserve">Meisterarbeit  </t>
  </si>
  <si>
    <t xml:space="preserve">Einzelstück </t>
  </si>
  <si>
    <t>Hauptfertigkeit</t>
  </si>
  <si>
    <t>WK-Basis</t>
  </si>
  <si>
    <t>Schadenswuerfel-1</t>
  </si>
  <si>
    <t>Schadenswuerfel-2</t>
  </si>
  <si>
    <t>Staerke-Teiler</t>
  </si>
  <si>
    <t>Staerke-Malus-Basis</t>
  </si>
  <si>
    <t>RB</t>
  </si>
  <si>
    <t>AT-Basis</t>
  </si>
  <si>
    <t>PA-Basis</t>
  </si>
  <si>
    <t>Min-Staerke-1H-Basis</t>
  </si>
  <si>
    <t>Min-Staerke-2H-Basis</t>
  </si>
  <si>
    <t>Laenge-m</t>
  </si>
  <si>
    <t>Tarnung</t>
  </si>
  <si>
    <t>Art-Specials</t>
  </si>
  <si>
    <t>Klingenbrecher-Basis</t>
  </si>
  <si>
    <t>Klingenschutz-Basis</t>
  </si>
  <si>
    <t>Rezept-Mod-Basis</t>
  </si>
  <si>
    <t>Materialpreis-Faktor</t>
  </si>
  <si>
    <t>Arbeitszeit-Tag-Basis</t>
  </si>
  <si>
    <t>RS-Basis</t>
  </si>
  <si>
    <t>Preis-Basis</t>
  </si>
  <si>
    <t>Armklingen</t>
  </si>
  <si>
    <t>Schnell</t>
  </si>
  <si>
    <t>Fechtwaffen</t>
  </si>
  <si>
    <t>Armklingen elfisch</t>
  </si>
  <si>
    <t>Äxte</t>
  </si>
  <si>
    <t>Axt</t>
  </si>
  <si>
    <t>Holzschaft</t>
  </si>
  <si>
    <t>Bajonett abgepflanzt</t>
  </si>
  <si>
    <t>Speere</t>
  </si>
  <si>
    <t>Bajonett aufgepflanzt</t>
  </si>
  <si>
    <t>wie Feuerwaffe*2</t>
  </si>
  <si>
    <t>wie Feuerwaffe</t>
  </si>
  <si>
    <t>Beidhand-Hiebwaffen</t>
  </si>
  <si>
    <t>Barbarendoppelaxt</t>
  </si>
  <si>
    <t>[2W12]</t>
  </si>
  <si>
    <t>--</t>
  </si>
  <si>
    <t>Schwerter</t>
  </si>
  <si>
    <t>Barbarenschwert</t>
  </si>
  <si>
    <t>Zweihänder</t>
  </si>
  <si>
    <t>Bastardschwert</t>
  </si>
  <si>
    <t>W15</t>
  </si>
  <si>
    <t xml:space="preserve">W10 </t>
  </si>
  <si>
    <t>Bat'leth  orkisch</t>
  </si>
  <si>
    <t>Stäbe</t>
  </si>
  <si>
    <t>Bat'leth kurz</t>
  </si>
  <si>
    <t>Berdysch</t>
  </si>
  <si>
    <t>Hellebarden</t>
  </si>
  <si>
    <t>Breitschwert</t>
  </si>
  <si>
    <t>Claymore</t>
  </si>
  <si>
    <t>Dai Katana</t>
  </si>
  <si>
    <t>2W12</t>
  </si>
  <si>
    <t>Degen</t>
  </si>
  <si>
    <t>Dolche</t>
  </si>
  <si>
    <t>Dolch</t>
  </si>
  <si>
    <t>Dolch ork, Blutrinne</t>
  </si>
  <si>
    <t>Starke Blutung (x2)</t>
  </si>
  <si>
    <t>Dolch orkisch, breit</t>
  </si>
  <si>
    <t>Dolch orkisch, mit 3 eingedrehten Klingen</t>
  </si>
  <si>
    <t>Doppelaxt leicht</t>
  </si>
  <si>
    <t>Doppelaxt zwergisch</t>
  </si>
  <si>
    <t xml:space="preserve">Doppelbeil Zw. kurz </t>
  </si>
  <si>
    <t>[2W10]</t>
  </si>
  <si>
    <t>Doppelblatthellebarde</t>
  </si>
  <si>
    <t>Doppelhellebarde (Kampfstab 2 Hellebarden)</t>
  </si>
  <si>
    <t>Doppelsense</t>
  </si>
  <si>
    <t>Holzschaft, Schnell</t>
  </si>
  <si>
    <t>Dornenkeule  troll,</t>
  </si>
  <si>
    <t>Peitschen</t>
  </si>
  <si>
    <t>Dornenpeitsche</t>
  </si>
  <si>
    <t>Schild</t>
  </si>
  <si>
    <t>Drachenschild</t>
  </si>
  <si>
    <t>2W8</t>
  </si>
  <si>
    <t>Drei Langklauen</t>
  </si>
  <si>
    <t>Dreiecksschild</t>
  </si>
  <si>
    <t>Dreiecksschild klein</t>
  </si>
  <si>
    <t>Dreizack</t>
  </si>
  <si>
    <t>Stumpfe Hiebwaffen</t>
  </si>
  <si>
    <t>Dreschflegel eisenbeschlagen</t>
  </si>
  <si>
    <t>Eineinhalbhänder</t>
  </si>
  <si>
    <t>Eisenkappenstiefel</t>
  </si>
  <si>
    <t>X</t>
  </si>
  <si>
    <t>x</t>
  </si>
  <si>
    <t>Eisenkeule  schwer</t>
  </si>
  <si>
    <t>Eisenkugelstab</t>
  </si>
  <si>
    <t>Eisenschlegel</t>
  </si>
  <si>
    <t>Eisenstange</t>
  </si>
  <si>
    <t>Enterbeil</t>
  </si>
  <si>
    <t>Kettenwaffen</t>
  </si>
  <si>
    <t>Enterhaken am Seil</t>
  </si>
  <si>
    <t>Enterhaken ohne Seil</t>
  </si>
  <si>
    <t>Kurzschwerter</t>
  </si>
  <si>
    <t>Entermesser</t>
  </si>
  <si>
    <t>Faustschild/Buckler</t>
  </si>
  <si>
    <t>Keine FK-Parade</t>
  </si>
  <si>
    <t>Flamberge</t>
  </si>
  <si>
    <t>2W15</t>
  </si>
  <si>
    <t>Fleischerbeil</t>
  </si>
  <si>
    <t>Florett</t>
  </si>
  <si>
    <t xml:space="preserve">Gladius  </t>
  </si>
  <si>
    <t>Gladius  mit Griffkorb</t>
  </si>
  <si>
    <t>Gladius kurz</t>
  </si>
  <si>
    <t>Glefe</t>
  </si>
  <si>
    <t>Hacke</t>
  </si>
  <si>
    <t xml:space="preserve">W15 </t>
  </si>
  <si>
    <t>Hakendolch</t>
  </si>
  <si>
    <t>Hammer groß</t>
  </si>
  <si>
    <t>Hammer klein</t>
  </si>
  <si>
    <t>Handhellebarde</t>
  </si>
  <si>
    <t>Haumesser</t>
  </si>
  <si>
    <t>Hellebarde  lang, 3m</t>
  </si>
  <si>
    <t>Hellebarde  leicht, 2m</t>
  </si>
  <si>
    <t>Hiebdolch  schwer</t>
  </si>
  <si>
    <t>Hiebdolch kurz</t>
  </si>
  <si>
    <t>Hirschfänger (rapierartig)</t>
  </si>
  <si>
    <t>Holzfälleraxt</t>
  </si>
  <si>
    <t>Jagdmesser</t>
  </si>
  <si>
    <t>junge Birke aus Eisen (KEINE Listenwaffe)</t>
  </si>
  <si>
    <t>Kampfmesser</t>
  </si>
  <si>
    <t>Kampfstab  eisenbeschlagen</t>
  </si>
  <si>
    <t>Kampfstab  Eisenkolben</t>
  </si>
  <si>
    <t>Kampfstab  Eisenspitzen</t>
  </si>
  <si>
    <t>Kampfstab kurz eisenb.</t>
  </si>
  <si>
    <t>Katana  1½-händig</t>
  </si>
  <si>
    <t>Kavalleriesäbel</t>
  </si>
  <si>
    <t>Kette</t>
  </si>
  <si>
    <t>Kettenpeitsche</t>
  </si>
  <si>
    <t>Keule  eisenbeschlagen</t>
  </si>
  <si>
    <t>Keule  troll,, eisenbeschlagen</t>
  </si>
  <si>
    <t>Klaue</t>
  </si>
  <si>
    <t>Kriegsbeil</t>
  </si>
  <si>
    <t xml:space="preserve">Kriegsbeil orkisch </t>
  </si>
  <si>
    <t>[2W15]</t>
  </si>
  <si>
    <t>Kriegshammer (Hammer)</t>
  </si>
  <si>
    <t>Kriegshammer (Schnabel)</t>
  </si>
  <si>
    <t>Kriegssense</t>
  </si>
  <si>
    <t>Kriegssense  kurz</t>
  </si>
  <si>
    <t>Kriegszepter  6-eckig</t>
  </si>
  <si>
    <t>Krummdolch schwer</t>
  </si>
  <si>
    <t>Krummsäbel  kurz</t>
  </si>
  <si>
    <t>Krummsäbel  schwer</t>
  </si>
  <si>
    <t>Krummsäbel schlank</t>
  </si>
  <si>
    <t>Kugelpeitsche</t>
  </si>
  <si>
    <t>Kurzsäbel</t>
  </si>
  <si>
    <t>Kurzschwert</t>
  </si>
  <si>
    <t>Kurzspeer  einhändig</t>
  </si>
  <si>
    <t>Langaxt</t>
  </si>
  <si>
    <t>Langberdysch</t>
  </si>
  <si>
    <t>Langdolch</t>
  </si>
  <si>
    <t>Langschwert</t>
  </si>
  <si>
    <t>Lanzen</t>
  </si>
  <si>
    <t>Langspieß  2,50m</t>
  </si>
  <si>
    <t>Lanze  3m</t>
  </si>
  <si>
    <t>Leichter Rabenschnabel (Hammer)</t>
  </si>
  <si>
    <t>Leichter Rabenschnabel (Schnabel)</t>
  </si>
  <si>
    <t>Linkhand</t>
  </si>
  <si>
    <t>Machete</t>
  </si>
  <si>
    <t>Magierdegen  kurz</t>
  </si>
  <si>
    <t>Messer groß</t>
  </si>
  <si>
    <t>Messer klein</t>
  </si>
  <si>
    <t>Mistgabel einfach</t>
  </si>
  <si>
    <t>Morgenstern  fest</t>
  </si>
  <si>
    <t>Morgenstern  Kette</t>
  </si>
  <si>
    <t>Morgenstern  schwer</t>
  </si>
  <si>
    <t>Musketenladestock</t>
  </si>
  <si>
    <t>Naginata</t>
  </si>
  <si>
    <t>Neunschwänzige</t>
  </si>
  <si>
    <t>Neunschwänzige Dornenpeitsche</t>
  </si>
  <si>
    <t>Ninjatō  einhändig</t>
  </si>
  <si>
    <t>Nunchako eisenbeschlagen</t>
  </si>
  <si>
    <t>Ochsenherde leicht 3 Ketten</t>
  </si>
  <si>
    <t>Ochsenherde schwer 3 Ketten</t>
  </si>
  <si>
    <t>Ogerschellen  2 Ketten</t>
  </si>
  <si>
    <t>Orchidee 5 Klingen</t>
  </si>
  <si>
    <t>Ork`sche</t>
  </si>
  <si>
    <t>Ork-Flegel</t>
  </si>
  <si>
    <t>Orkischer Kampfhandschuh</t>
  </si>
  <si>
    <t xml:space="preserve"> RS:3, BE:1 (BE je Handschuh)</t>
  </si>
  <si>
    <t>Panzerarm mit Klinge</t>
  </si>
  <si>
    <t>Panzerarm mit Sichel</t>
  </si>
  <si>
    <t>Panzerarm mit Sporn</t>
  </si>
  <si>
    <t xml:space="preserve">Panzerhandschuhe </t>
  </si>
  <si>
    <t>Panzerschienen</t>
  </si>
  <si>
    <t>Mit Handschuh nPA+1</t>
  </si>
  <si>
    <t>Parierdolch</t>
  </si>
  <si>
    <t>Pavese</t>
  </si>
  <si>
    <t>Nur aufstellbar</t>
  </si>
  <si>
    <t>Pavese Hand</t>
  </si>
  <si>
    <t>Peitsche</t>
  </si>
  <si>
    <t>Pike  4-5m, allein</t>
  </si>
  <si>
    <t>Pistolenladestock</t>
  </si>
  <si>
    <t>Pranke</t>
  </si>
  <si>
    <t>Rabenschnabel (Hammer)</t>
  </si>
  <si>
    <t>Rabenschnabel (Schnabel)</t>
  </si>
  <si>
    <t>Rapier</t>
  </si>
  <si>
    <t>Ritterlanze</t>
  </si>
  <si>
    <t>Rundschild</t>
  </si>
  <si>
    <t>Rundschild groß</t>
  </si>
  <si>
    <t>Rundschild klein</t>
  </si>
  <si>
    <t>Runenschwert  geflam,</t>
  </si>
  <si>
    <t>Säbel  schwer</t>
  </si>
  <si>
    <t>Saufänger</t>
  </si>
  <si>
    <t>Schlagring</t>
  </si>
  <si>
    <t>Schmiedehammer, schwer</t>
  </si>
  <si>
    <t>Schnitter</t>
  </si>
  <si>
    <t xml:space="preserve">Schnitter  schwer </t>
  </si>
  <si>
    <t>Schwerer Dolch</t>
  </si>
  <si>
    <t xml:space="preserve"> </t>
  </si>
  <si>
    <t>Speer  Eisenblatt</t>
  </si>
  <si>
    <t>[2W6]</t>
  </si>
  <si>
    <t>Speer  Eisenspitze</t>
  </si>
  <si>
    <t>[2W4]</t>
  </si>
  <si>
    <t>Spitzhacke</t>
  </si>
  <si>
    <t>Sporn</t>
  </si>
  <si>
    <t>Stab (60cm) eisenbeschlagen</t>
  </si>
  <si>
    <t>Stabdolch</t>
  </si>
  <si>
    <t>Stichmesser</t>
  </si>
  <si>
    <t>Stoßspeer</t>
  </si>
  <si>
    <t>Straitmorbengel</t>
  </si>
  <si>
    <t>Streitaxt elfisch</t>
  </si>
  <si>
    <t>Streitaxt goblinisch</t>
  </si>
  <si>
    <t>Streitaxt orkisch</t>
  </si>
  <si>
    <t>[2W20]</t>
  </si>
  <si>
    <t>Streitkolben  4-eckig</t>
  </si>
  <si>
    <t>Streitkolben  leicht,4-eck</t>
  </si>
  <si>
    <t xml:space="preserve">W8 </t>
  </si>
  <si>
    <t>Streitkolben beidhändig</t>
  </si>
  <si>
    <t>Streitkolben Eisenkugel</t>
  </si>
  <si>
    <t>Tartsche Rechteck</t>
  </si>
  <si>
    <t>Tomahawk</t>
  </si>
  <si>
    <t>Tonfa</t>
  </si>
  <si>
    <t>Totschläger</t>
  </si>
  <si>
    <t>Trollaxt</t>
  </si>
  <si>
    <t>Trollschlegel</t>
  </si>
  <si>
    <t>Trolltöter Widerhaken</t>
  </si>
  <si>
    <t>ab 10SP: W12SP beim Herausziehen</t>
  </si>
  <si>
    <t>Turmschild</t>
  </si>
  <si>
    <t>Turnierlanze</t>
  </si>
  <si>
    <t>Turnierschild</t>
  </si>
  <si>
    <t>Lanzenhalterung (n-Mod +2/+0)</t>
  </si>
  <si>
    <t>andere Voelker</t>
  </si>
  <si>
    <t>NICHT KAUFBAR</t>
  </si>
  <si>
    <t>Veteranenhand</t>
  </si>
  <si>
    <t>Vorschlaghammer</t>
  </si>
  <si>
    <t>Wakizashi</t>
  </si>
  <si>
    <t>Wolfsmesser  einschneid,</t>
  </si>
  <si>
    <t>Wurfspeer</t>
  </si>
  <si>
    <t>Zierdolch</t>
  </si>
  <si>
    <t>Zwei Klauen</t>
  </si>
  <si>
    <t>Zweihandkrummsäbel</t>
  </si>
  <si>
    <t>Zweihandsäbel</t>
  </si>
  <si>
    <t>Zweihandschwert</t>
  </si>
  <si>
    <t>Zweililien</t>
  </si>
  <si>
    <t>Zentaur</t>
  </si>
  <si>
    <t>Katzenmensch</t>
  </si>
  <si>
    <t>Biss</t>
  </si>
  <si>
    <t>2W4</t>
  </si>
  <si>
    <t>Zusatzangriff Biss: Schaden = 2W4+[Staerkebonus] (statt normalem Unbewaffnet-Schaden). 'Staerkebonus' ungeklaert, siehe Entwickeln.</t>
  </si>
  <si>
    <t>2W6</t>
  </si>
  <si>
    <t>Zusatzangriff Biss: Schaden = 2W6+[(Staerke:3)-7] (statt normalem Unbewaffnet-Schaden).</t>
  </si>
  <si>
    <t>Huftritt</t>
  </si>
  <si>
    <t>Zusatzangriff Huftritt: Schaden = W15+[(Staerke:3)-5] (statt normalem Unbewaffnet-Schaden).</t>
  </si>
  <si>
    <t>Zusatzangriff Biss: Schaden = 2W6+[Staerkebonus] (statt normalem Unbewaffnet-Schaden). 'Staerkebonus' ungeklaert, siehe Entwickeln.</t>
  </si>
  <si>
    <t>Boxen</t>
  </si>
  <si>
    <t>wie unbewaffnet</t>
  </si>
  <si>
    <t>Immer 2 TZ-Rerolls auf Kopf (nicht zusaetzlich auf Kopf/Torso wuerfeln).</t>
  </si>
  <si>
    <t>Dalkini, Zwerg, Ork</t>
  </si>
  <si>
    <t>Elfische Kunst der Selbstverteidigung</t>
  </si>
  <si>
    <t>gegnerischer</t>
  </si>
  <si>
    <t>WK=-1; es existiert keine g/m Attacke; Elf attackiert nicht selbst. Pariert der Elf mit gleicher oder besserer PA-Klasse, darf er eine AT wuerfeln - gelingt sie, erleidet der Gegner seinen eigenen Schaden an sich selbst, sonst normal weiter.</t>
  </si>
  <si>
    <t>Goblinische Kampfkunst</t>
  </si>
  <si>
    <t>Pariert der Goblin mit gleicher oder besserer PA-Klasse, wird die Initiative gewechselt.</t>
  </si>
  <si>
    <t>Katzenmenschen Kampfkunst</t>
  </si>
  <si>
    <t>Pro Kampfrunde entweder 2 AT oder 1 PA + 1 defensive Ausweichhandlung (mit PA). Voraussetzung: nur Katzenmenschen mit intaktem Schwanz.</t>
  </si>
  <si>
    <t>Orkisch' Raufen</t>
  </si>
  <si>
    <t>Bei nAT mit gewuerfelter '10': unparierte unbewaffnete Bissattacke. Bei mAT/nPA: linker/rechter Arm gebrochen, Ruestung wird ignoriert.</t>
  </si>
  <si>
    <t>Ringen</t>
  </si>
  <si>
    <t>alle Voelker</t>
  </si>
  <si>
    <t>Schattenkampf</t>
  </si>
  <si>
    <t>W20-10</t>
  </si>
  <si>
    <t>Ist der Gegner ueberrascht: immer Kopftreffer. Hoechster verwendeter Wuerfel: W20.</t>
  </si>
  <si>
    <t>Bereich</t>
  </si>
  <si>
    <t>Thema</t>
  </si>
  <si>
    <t>Status</t>
  </si>
  <si>
    <t>Hinzugefuegt</t>
  </si>
  <si>
    <t>Ausruestung/Schilde</t>
  </si>
  <si>
    <t>Schild-Preise/Rezept/Materialpreis</t>
  </si>
  <si>
    <t>14 Schildzeilen mit #WERT!-Fehlern in NK-Waffen-Basis: Preis/Rezeptschwierigkeit/Materialpreis nicht uebernommen. Die Schilde-Quelltabelle (NN Schilde v0.1.xlsx) hat Materialpreis/Arbeitszeit/Rezept-Mod-Basis komplett unausgefuellt ('x'/'X'), und ihre Basiswerte gelten teils mit Holz statt Eisen als Grundmaterial, nicht kompatibel mit dem NK-Waffen-Materialsystem. Zeilen sind uebernommen, aber als 'aktuell nicht ausruestbar' markiert. Muss von Grund auf neu entwickelt werden (eigenes Material-/Preissystem fuer Schilde, ggf. eigene Normalisierung auf ein einheitliches Basismaterial). -- GELOEST 2026-07-16: 'Schilde v1.4.docx' vom Nutzer bereitgestellt, enthaelt saubere Preis-Basis (100D-1200D) je Schild sowie eigene Material-/Fertigungs-/Bespannungs-Tabellen (multiplikatives Preissystem, siehe Sheets Schild-Material/Schild-Fertigung/Schild-Bespannung). Ausserdem dabei einen Vorzeichenfehler gefunden und korrigiert: 11 der 12 Schilde hatten Staerke-Malus-Basis=+5 statt korrekt -5 in NK-Waffen-Basis.</t>
  </si>
  <si>
    <t>Geloest</t>
  </si>
  <si>
    <t>2026-07-16</t>
  </si>
  <si>
    <t>Ausruestung/Ruestung</t>
  </si>
  <si>
    <t>Panzerhandschuhe, Panzerschienen, Eisenkappenstiefel, Orkischer Kampfhandschuh</t>
  </si>
  <si>
    <t>Ruestungswerte fehlen fuer diese vier Gegenstaende in der Ruestungstabelle (es existiert kein Haende-/Fuesse-Slot, nur Kopf/Torso/Arme/Beine). Rezept-Mod-Basis/Materialpreis-Faktor/Arbeitszeit-Tag-Basis in NK-Waffen-Basis daher = X/x/x. Braucht: (a) Ruestungswerte-System fuer Haende/Fuesse allgemein, (b) konkrete Werte fuer diese 4 Items.</t>
  </si>
  <si>
    <t>Offen</t>
  </si>
  <si>
    <t>Ruestungsmodifikatoren/Ruestungsteile-System</t>
  </si>
  <si>
    <t>Es existiert kein Pendant zu NK-Material/NK-Fertigung/NK-Anpassung/NK-Schaftmaterial fuer Ruestung. Muss komplett neu entwickelt werden, analog zur NK-Waffen-Modifikatorkette. -- GELOEST 2026-07-16: System steckte bereits vollstaendig in NN NPC-Rechner 0.76.xlsx, Sheet 'RS-Sheet' (Nutzerhinweis). Als Sheets Ruestung-Basis (20 Ruestungsteile), Ruestung-Addons (4 Aufpanzerungen, Lage 5), Ruestung-Verarbeitung (4 Stufen), Ruestung-Anpassung (4 Stufen) umgesetzt. Formel (RS = Basis + Verarbeitung; BE = MAX(Lage; Basis+Verarbeitung+Anpassung); Preis = Materialkosten + Lohn*(Arbeitszeit+Zusatztage); Verfuegbarkeit = MAX ueber alle 3 Komponenten) gegen das bestehende Beispiel-Set in Sheet Ruestungstabelle verifiziert (Stoffruestung+Meisterarbeit+angepasst -&gt; RS=3/BE=1/Preis=227/NW=3/AW=2, alle 5 Werte exakt reproduziert).</t>
  </si>
  <si>
    <t>Ausruestung/Waffen</t>
  </si>
  <si>
    <t>Ork'sche (FK/NK-Hybrid)</t>
  </si>
  <si>
    <t>Pistole/Muskete, die gleichzeitig als Nahkampfwaffe zaehlt. Nur ueber Fertigung/Anpassung modifizierbar, Preis stammt aus der FK-Tabelle; die NK-Version wird beim Kauf der FK-Waffe automatisch mitgeliefert. Grenzfall zwischen FK- und NK-System, noch nicht in NK-Waffen-Basis integriert.</t>
  </si>
  <si>
    <t>Ausruestung/NK-Waffen</t>
  </si>
  <si>
    <t>Rezeptschwierigkeit generell</t>
  </si>
  <si>
    <t>14 Zeilen mit Rezept-Mod-Basis=X: Wert in der Originalquelle (NN NK-Waffentabelle v1.12) nie ausgefuellt. Korrelation Rezeptschwierigkeit vs. Preis rechnerisch getestet (r=0.007) - kein statistischer Zusammenhang, kann nicht aus dem Preis rekonstruiert werden. Bleibt offen, bis eine inhaltliche Einschaetzung (Spielleitung) vorliegt.</t>
  </si>
  <si>
    <t>Nahkampf/Unbewaffnet</t>
  </si>
  <si>
    <t>Voelkerbeschraenkungen bei Unbewaffnet-Kampfstilen</t>
  </si>
  <si>
    <t>Boxen (Dalkini/Zwerg/Ork), Elfische Kunst der Selbstverteidigung (Elf), Goblinische Kampfkunst (Goblin), Katzenmenschen Kampfkunst (Katzenmensch), Orkisch' Raufen (Ork), Schattenkampf (Drow) sind laut Quelle (Nahkampftabelle Unbewaffnet.doc, 2004) an bestimmte Voelker gebunden. Diese Beschraenkung ist inhaltlich nicht geprueft/nachvollzogen (Nutzer: 'sehe ich persoenlich nicht ein') und sollte ueberarbeitet werden - ebenso die Kampfstile/Faehigkeiten selbst generell (Balance, Aktualitaet, Formulierung der Specials).</t>
  </si>
  <si>
    <t>Dynamische Schadenswerte (Boxen, Ringen, Elfische Kunst)</t>
  </si>
  <si>
    <t>Boxen und Ringen haben Schaden/Staerke-Mod = 'wie unbewaffnet' (haengt von der Rasse des Charakters ab, siehe rassenabhaengige Unbewaffnet-Basiswerte in NK-Waffen-Basis). Elfische Kunst der Selbstverteidigung hat Schaden = 'gegnerischer' (spiegelt den Schaden des Gegners). Beides ist aktuell nur als Text in NK-Waffen-Basis hinterlegt, keine Formel - fehlt eine mechanische Aufloesung im Formel-System (Werte-Sheet).</t>
  </si>
  <si>
    <t>Fert/Spez-Maximum Mechanik unklar</t>
  </si>
  <si>
    <t>Die Quelle gibt pro Kampfstil ein 'Fert/Spez-Maximum' an (z.B. 20/20, 25/30, 30/20). Rohwerte wurden 1:1 in NK-Waffen-Basis Spalte 'Fert-Spez-Maximum' uebernommen, aber die Bedeutung/Wirkung ist ungeklaert (Deckelt es nk_unbewaffnet? Die Spezialisierung? Beides getrennt?).</t>
  </si>
  <si>
    <t>'Staerkebonus' vs. 'Staerke-Mod' bei Biss-Angriffen</t>
  </si>
  <si>
    <t>Bei Ork- und Katzenmensch-Biss wird der Schaden mit '+[Staerkebonus]' angegeben - eine andere Notation als das sonst genutzte Staerke-Teiler/Staerke-Malus-System (z.B. '(Staerke:3)-7' bei Troll-Biss/Zentaur-Huftritt). Unklar, ob 'Staerkebonus' ein bereits vorhandener Wert im System ist oder neu definiert werden muss.</t>
  </si>
  <si>
    <t>Vitalitaet als Ruestungsschutz gegen Unbewaffnet-/Fallschaden</t>
  </si>
  <si>
    <t>Laut Quelle gibt Vitalitaet einen zusaetzlichen Ruestungsschutz (RS) gegen Schaden durch Unbewaffnet-Angriffe oder Sturz/Fall. Noch nicht ins Ruestungs-/Schadenssystem integriert.</t>
  </si>
  <si>
    <t>Chitin/Kolhartz Preis-Faktor als Spanne</t>
  </si>
  <si>
    <t>Schild-Material: Chitin ('*2,5 - *4') und Kolhartz ('*0,1 - *1000') geben in Schilde v1.4.docx eine Preis-Spanne statt eines Einzelwerts an (vermutlich abhaengig von Qualitaet/Seltenheit des Rohmaterials, analog zur Waffen-Materialtabelle, wo Chitin ebenfalls '*2,5 - *4' hat). Braucht eine Entscheidung, wie die Spanne genutzt wird (fester Wert? Wuerfelspanne? Spielleiter-Ermessen?).</t>
  </si>
  <si>
    <t>Adamandit Klingenschutz-Mod im falschen Format</t>
  </si>
  <si>
    <t>In der Material-Tabelle von Schilde v1.4.docx steht bei Adamandit unter Klingenschutz-Mod '+50%' statt eines Flachwerts wie bei allen anderen Zeilen dieser Spalte - vermutlich Tippfehler in der Quelle (Verwechslung mit einer Prozent-Spalte). Wortgetreu in Schild-Material uebernommen, muss aber geklaert/korrigiert werden.</t>
  </si>
  <si>
    <t>Kohlharz-Bespannung Preis als Spanne</t>
  </si>
  <si>
    <t>Schild-Bespannung: Kohlharz hat in der Quelle eine Preisspanne '10-10000D' statt eines Einzelwerts. Braucht eine Entscheidung (z.B. abhaengig von Groesse/Qualitaet).</t>
  </si>
  <si>
    <t>Verplatung (nur Holzschilder) ohne Werte</t>
  </si>
  <si>
    <t>Schilde v1.4.docx listet 13 Materialien fuer 'Verplatung (nur Holzschilder)' (Schwarzfells, Diamantspart, Bronze, Eisen, Feineisen, Stahl, Qualitaetsstahl, Faltstahl, Mithril, Adamandit, Alchemistensilb., Vulkanglas, Nasium), aber alle Wertespalten sind in der Quelle leer. Als Stub-Sheet 'Schild-Verplatung' angelegt, aktuell ohne nutzbare Daten. Muss noch entwickelt werden (Werte fuer KB/KS/RS/Min-Staerke/Preis pro Material).</t>
  </si>
  <si>
    <t>Nahkampf/Schilde</t>
  </si>
  <si>
    <t>Schild-Kampfregeln gehoeren ins Kampfmodul</t>
  </si>
  <si>
    <t>Schilde v1.4.docx enthaelt eine ausfuehrliche 'Legende' mit kampfzeitlichen Regeln (Bruchtest bei jeder Parade, RS-Anrechnung auf linken Arm auch bei misslungener Parade, Schildparade=Waffenparade, FK-Parade mit Schild, Kampf-mit-zwei-Waffen-Modi 'Angriff oder Parade'/'Angriff und Parade'/'Zwei Paraden' inkl. N-Mod-Abzug von der Hauptwaffe, Ruestungsbehinderung=WK, Schildhand kann keine Waffe fuehren, erschwerte Parade gegen Kettenwaffen, Kampfzauber-Parade mit Bruchtest, Zaubergrad*7=Klingen-brecher des Zaubers). Das sind laufzeitrelevante Kampfregeln, keine Charaktererstellungs-Werte - gehoeren in das geplante 'Kampfmodul', nicht in dieses Sheet. Volltext als Zellkommentar auf Schild-Material!A1 hinterlegt fuer spaetere Verwendung.</t>
  </si>
  <si>
    <t>Ausruestung/Artefakte</t>
  </si>
  <si>
    <t>Eigenschafts-Artefakt: Umfang unklar</t>
  </si>
  <si>
    <t>Der Artefakttyp 'Eigenschafts-Artefakt' (eigener Typ neben 'Athletik/.../Willenskraft erhoehen', Grad 4, Wirkungsdauer 'fuer einen magischen Tag') wurde bewusst NICHT auf einzelne Eigenschaften aufgesplittet, da unklar ist, ob er alle 10 Eigenschaften abdeckt oder ein eigenstaendiges/aelteres Duplikat der bereits aufgesplitteten Artefakte ist. Als einzelne Zeile in Artefakt-Basis uebernommen. Braucht Klaerung, dann ggf. ebenfalls aufsplitten. -- GELOEST 2026-07-16: Nutzer bestaetigt 'Attributs-Artefakte' decken alle 10 Eigenschaften ab, nur permanent, Grade 1-7, Verfuegbarkeit ausschliesslich ueber den Spielleiter. Als 10 Zeilen in Artefakt-Basis/Artefakt-Kosten umgesetzt.</t>
  </si>
  <si>
    <t>Seelenstein-/SZ-Mod-System fuer freie Zauberbindung</t>
  </si>
  <si>
    <t>NN Artefakte 0.52.xlsx enthaelt zusaetzlich zu den 51 vordefinierten Artefakten ein separates System, um BELIEBIGE Zauber in individuelle Artefakte zu bannen (Ressourcen-Sheet: Regeln 'nur Antimagie/Verzauberung-Schulen', 'nur Beruehrungs-Reichweite auf Aura/Gegenstand', 'nur einmalige/anhaltende Zauber'; SZ-Mod-Sheet: Modifikator-Tabelle fuer Probe erleichtern/ED veraendern/WD x2-5/Wirkung x2-5/Wirkung :2-5/bipolar-anhaltend-einmalig-Konvertierung). Auf Nutzerentscheidung fuer jetzt zurueckgestellt (wie das Kampfmodul) - eigenstaendiges Freiform-Crafting-System, nicht Teil der festen Artefaktliste.</t>
  </si>
  <si>
    <t>Wirkung/Wirkungsdauer-Grad-Skalierung ist Kampfmodul-Scope</t>
  </si>
  <si>
    <t>Wirkung (Effektstaerke) und teils auch Wirkungsdauer einzelner Artefakte skalieren im Original ueber Formeln mit dem Artefakt-Grad (via die 'Angenommene-M'-Spalte der Magus-Faehigkeiten-Tabelle). In Artefakt-Basis sind nur die Referenzwerte bei Grad 7 hinterlegt (nicht grad-parametrisch). Die exakte In-Game-Wirkungsberechnung je gewaehltem Grad gehoert wie andere Kampfeffekte ins geplante Kampfmodul, nicht in die Charaktererstellung.</t>
  </si>
  <si>
    <t>Ausruestung/Verfuegbarkeit</t>
  </si>
  <si>
    <t>Alter additiver Verfuegbarkeits-Entwurf (v0.3) - zur Referenz</t>
  </si>
  <si>
    <t>'Nasus Nasus Verfuegbarkeiten Entwurf v0.3.docx' (2010, vom Nutzer als 'die alte Liste' bezeichnet) enthaelt ein aelteres, ADDITIVES 5-Schritte-Modifikatorsystem (Alte Welt/Neue Welt, Siedlungsgroesse, Volk-Herkunft, Bekanntheit des Gegenstands, Passung Ruestung-zu-Volk - pro Schritt genau 1 Wahl, Schritt 5 nur bei Ruestung/Waffen), das die Grund-Verfuegbarkeit 1-7 durch Addieren von Modifikatoren verschiebt. Wird NICHT verwendet - ersetzt durch das neuere multiplikative System aus 'NN_Verfuegbarkeiten_1.0.docx' (2014, bereits als Sheet 'Verfuegbarkeit-Modifikatoren' umgesetzt). Nur als historische Referenz vermerkt, falls einzelne Aspekte (z.B. voelker-abhaengige Verfuegbarkeit) spaeter doch gewuenscht werden - aktuell keine Handlungsnotwendigkeit.</t>
  </si>
  <si>
    <t>Addon-Preise (Drachenschuppen etc.) fehlen</t>
  </si>
  <si>
    <t>Ruestung-Addons (Lage 5: Leichte/Normale/Schwere Drachenschuppen, Spinnweben) hat in der Quelle (RS-Sheet) keine eigene Preis-Spalte - die Quelle selbst merkt an, die Boni seien 'noch in der alten Waffentabelle aufgefuehrt'. NK-Material und Schild-Material haben zwar bereits 'Drachensch.' als Material-Multiplikator, aber das ist nicht 1:1 auf diese RS/BE-Werte gemappt. Preisermittlung fuer Addons noch offen.</t>
  </si>
  <si>
    <t>Addon-Verfuegbarkeit NW/AW evtl. Kopierfehler</t>
  </si>
  <si>
    <t>Bei den Ruestung-Addons (Lage 5) griffen in der Quellformel sowohl die NW- als auch die AW-Verfuegbarkeits-Berechnung auf dieselbe Spalte zu (beide VLOOKUP(...,6,FALSE) statt 6 bzw. 7) - anders als bei allen anderen Ruestungsteilen, wo NW/AW konsequent getrennte Spalten nutzen. Koennte ein Kopierfehler in der Quelle sein oder beabsichtigt (Addons unterscheiden nicht zwischen Neuer/Alter Welt). Aktuell wortgetreu mit identischen NW/AW-Werten uebernommen, nicht korrigiert (im Gegensatz zum Schild-Staerke-Malus-Vorzeichenfehler gibt es hier keine externe Bestaetigung, welcher Wert richtig waere).</t>
  </si>
  <si>
    <t>Ausruestung/Boegen-Armbrust</t>
  </si>
  <si>
    <t>Bedeutung der 'Modifikatoren'-Spalte unklar</t>
  </si>
  <si>
    <t>Boegen-Basis und Armbrust-Basis haben je eine Spalte 'Modifikatoren-roh' mit 5-6 Slash-getrennten Werten (z.B. '+8/+2/-13/-25/x/x'). Vermutlich Reichweiten-Erschwernisse analog zum 10/30/60/120/210m-Bandsystem der Feuerwaffen-Legende - aber weder 'Bögen Tabelle v0.5.docx' noch 'Ambrust Tabelle v0.3.docx' definieren, was die einzelnen Werte bedeuten oder welchen Entfernungen sie entsprechen. Auch die Anzahl der Werte ist nicht einheitlich (5 oder 6 je Waffe). Rohwerte uebernommen, aber nicht nutzbar bis geklaert.</t>
  </si>
  <si>
    <t>Doppelte 'RW'-Spalte bei Pfeilen/Bolzen unklar</t>
  </si>
  <si>
    <t>Sheets Pfeile und Bolzen haben je zwei mit 'RW' beschriftete Spalten ohne Unterscheidung in der Quelle. Bei Munition 'mit normaler Spitze' sind beide identisch (vermutlich Merge-Zellen-Artefakt), bei 'mit spezial Spitze' unterscheiden sie sich, wobei die erste RW-Spalte oft mit der RB-Spalte uebereinstimmt (weiterer moeglicher Merge-Artefakt). Beide Spalten wortgetreu uebernommen, Bedeutung ungeklaert.</t>
  </si>
  <si>
    <t>FZ-Waehrungseinheit nicht definiert</t>
  </si>
  <si>
    <t>Guenstige Pfeile/Bolzen (Holz-, Knochen-, Steinspitzen etc.) sind in 'FZ' statt 'D' (Dublonen) bepreist (z.B. '50 FZ', '200 FZ'). Der Umrechnungskurs FZ&lt;-&gt;Dublonen ist nirgends in diesem Sheet oder den bisher importierten Quellen dokumentiert. -- GELOEST 2026-07-16: Nutzer bestaetigt 1000 FZ ('Fuffzisch') = 1 Dublone.</t>
  </si>
  <si>
    <t>Armbrust: 4 Voelker komplett ohne eigene Modelle</t>
  </si>
  <si>
    <t>'Ambrust Tabelle v0.3.docx' hat fuer Indianer, Katzenmenschen, Trolle und Zentauren nur die Abschnitts-Ueberschrift, aber keine einzige Armbrust-Zeile - im Gegensatz zu Boegen, wo alle 4 Voelker eigene Bogenmodelle haben. Echte Luecke in der Quelle, nicht nachtraeglich aufgefuellt.</t>
  </si>
  <si>
    <t>Armbrust-Spanntechnik nicht in Formel umgesetzt</t>
  </si>
  <si>
    <t>Die Spanntechnik-Angaben (Hand/Geissfuss/Winde mit je eigener Mindeststaerke/Ladezeit/Nachlade-Teiler, bei Repetier-Armbruesten abweichendes Format) wurden aus Formatgruenden nur als Rohtext uebernommen (Sheet Armbrust-Basis, Spalte Spanntechnik-roh), nicht in einzelne Spalten aufgesplittet. Fuer eine echte Nachladezeit-Formel muesste das noch strukturiert werden.</t>
  </si>
  <si>
    <t>Ausruestung/Runengewehr</t>
  </si>
  <si>
    <t>Zwei verschiedene 'St.'-Boni nicht abgeglichen</t>
  </si>
  <si>
    <t>Die Munitionsrunen-Schadensformeln (Sheet Runengewehr-Munition) enthalten bereits einen 'St.'-Bonus (vermutlich Staerke), zusaetzlich addiert die Regel auf Sheet Runengewehr-Basis die 'Stufe der Gewehrrune' zum Schaden. Beide Boni sind wortgetreu aus 'Das Runengewehr.docx' uebernommen, aber die Quelle stellt nirgends klar, ob es sich um zwei unabhaengige additive Boni handelt oder ob 'St.' evtl. tatsaechlich 'Stufe' statt 'Staerke' meint (Abkuerzungskollision).</t>
  </si>
  <si>
    <t>Zusatzslot-Runen (Unterwasserschuss, Segnen) nicht detailliert</t>
  </si>
  <si>
    <t>Das Runengewehr kann fuer 32D+ einen Zusatzslot bekommen, in den z.B. eine Unterwasserschussrune (65D+) oder eine Segnen-Rune (110D+) gesteckt werden kann. Die Quelle nennt nur diese zwei Beispiele mit Preis, aber keine Mechanik/Wirkung. Nicht als eigene Zeilen uebernommen, da keine Werte vorhanden sind.</t>
  </si>
  <si>
    <t>Ausruestung/Lichtschwert</t>
  </si>
  <si>
    <t>Lichtschwert der Anwar - Quelle ist nur ein Stub</t>
  </si>
  <si>
    <t>Nutzer hat 'Lichtschwert.docx' konvertiert und bereitgestellt (Waffen/NK-Ordner). Titel in der Quelle: 'Das Lichtschwert der Anwar' (Anwar = vermutlich Volk/Fraktion, nicht naeher bekannt). Enthaelt eine einzelne Waffenzeile mit echten Teildaten (Schadenswuerfel 'W12+Wxy' - ungewoehnliche Variable-Wuerfel-Notation, Stae-Mod ':5-4', n-Mod '+3/+2', WK(Stab.)=3,5, Klingenbrecher=17, Klingenschutz=8, Min-Staerke '6/--', RW-Mods-Zeile mit Werten +6/-1/-1/-8, Wurfregel: geworfen macht das Schwert W12 Schaden, mit Hoher Telekinese lenkbar bis der W12 hoeher als [4+Stufe des PSI-Zaubers] wuerfelt), aber die 'Specials'-Spalte ist abgeschnitten ('Sch...') und Gewicht/Laenge sind leer - eindeutig ein unvollstaendiger Stub, kein vollstaendiges Waffenblatt. Nutzer vermutet, dass an anderer Stelle noch eine vollstaendigere Quelle mit Hinweis auf 'Anwar' existieren koennte. Import bewusst zurueckgestellt (Nutzeranweisung: 'das machen wir spaeter').</t>
  </si>
  <si>
    <t>Charakterwerte/Bewegung</t>
  </si>
  <si>
    <t>3 Bewegungsformeln fehlen (Meisterscreen S.3)</t>
  </si>
  <si>
    <t>bewegung_f_leiter_steigen_schnell, bewegung_f_lesegeschwindigkeit und bewegung_f_seil_hochklettern haben keinen Formeltext. Quelle waere laut Info-Spalte 'Meisterscreen S.3' - dieses Dokument liegt nicht vor. Auf Nutzerwunsch zurueckgestellt ('ignore, zu entwickeln').</t>
  </si>
  <si>
    <t>Kampf/Ruestung</t>
  </si>
  <si>
    <t>GBE/BE/RBE-Namensgebung ueberarbeiten</t>
  </si>
  <si>
    <t>Die Begriffe rund um Ruestungsbehinderung sind aktuell verwirrend (Nutzerzitat: 'Namensgebung hier ist missverstaendlich, das muessen wir ueberarbeiten'): 'BE' wird sowohl fuer den Rohwert je Ruestungsteil (Ruestung-Basis-Formel) als auch fuer den finalen Wert nach Reduktion verwendet; 'RBE' wird sowohl als 'Lage = Mindest-RBE'-Regel (Ruestung-Basis) als auch als Zwischenschritt in der GBE-Formel (Gesamt-BE minus Kon/5+Staerke/2+sf_ruestungsmanoever) benutzt. Braucht klar getrennte Bezeichnungen, bevor das Kampfmodul gebaut wird.</t>
  </si>
  <si>
    <t>Charakterwerte/Ausruestung</t>
  </si>
  <si>
    <t>Architektur fuer Ruestungs-/Ausruestungs-Auswahl fehlt</t>
  </si>
  <si>
    <t>Weder rs_kopf/-torso/-arme/-beine (Summe der RS ueber 5 Ruestungslagen je Zone) noch die Ausruestungs-Gewichts-Komponente von 'gewichtsbelastung' koennen als einfache Token-Formel aufgeloest werden, weil es im Werte-Sheet noch keine Auswahl-Mechanik gibt, die festhaelt, welches Ruestungsteil/Item der Charakter pro Slot gewaehlt hat. Aktuell als SUMME(...)-Platzhalter dokumentiert (wie 'Verbrauchte EP'), Aufloesung obliegt der spaeteren App-/Charakterbogen-Logik bzw. dem Kampfmodul.</t>
  </si>
  <si>
    <t>Schild-Herstellungskosten mit NK-Waffen normalisieren</t>
  </si>
  <si>
    <t>Schilde (composeShield) und NK-Waffen (composeWeapon, 2026-07-18 neu gebaut) haben strukturell unterschiedliche Herstellungskosten-Formeln, obwohl beide dieselben Fertigungsstufen-Namen nutzen (Ausschuss/Massenfabrikation/Gesellenarbeit/Meisterarbeit/Großmeisterarbeit/Einzelstück, je einmal in Schild-Fertigung UND NK-Fertigung vorhanden): Schild-Preis = Preis-Basis * Material-Preis-Faktor * Fertigung-Preis-Faktor + Bespannung-Preis (multiplikativ, Schild-Material/-Fertigung-Spalten heißen "Preis-Faktor"). NK-Waffen-Preis = Materialpreis-Faktor(Basis) * Material-Preis + Fertigung-Preis + Anpassung-Preis + Schaftmaterial-Preis/m * Laenge-m (rein additiv je Modifikator-Ebene, NK-Material/-Fertigung/-Anpassung/-Schaftmaterial-Spalten heißen schlicht "Preis", nicht "-Faktor"). Bisher nicht geprüft, ob dieser Unterschied beabsichtigt ist (Schilde und Waffen sind unterschiedliche Objekte mit eigener Quelle - Schilde v1.4.docx vs. NN NK-Waffentabelle v1.12) oder ob eines der beiden Systeme einen Übertragungsfehler enthält bzw. beide auf ein einheitliches Modell normalisiert werden sollten. Schild-Material/-Fertigung/-Bespannung nochmal gegen die Schilde-Quelle prüfen und mit dem NK-Waffen-System abgleichen.</t>
  </si>
  <si>
    <t>2026-07-18</t>
  </si>
  <si>
    <t>Ausruestung/Feuerwaffen-Munition</t>
  </si>
  <si>
    <t>Fehlende Munitionspreise (Harpune, Messingpatrone Kal. 5-6)</t>
  </si>
  <si>
    <t>Beim Aufbau des neuen Sheets 'Feuerwaffen-Munition' (Zuordnung Waffe-&gt;Munition-Art/Preis via Lademechanik+Munition+Kaliber) blieben 4 der 86 Waffen ohne Preis: Scopgarr (Kal. 16) und Skorpion (Kal. 17), beide Vorderlader mit Munition='Harpune' - dieser Munitionstyp hat ueberhaupt keinen Art-Eintrag in NN_Feuerwaffen_1.1.xlsx!Munition, also existiert nirgends ein Preis dafuer. Fips (Kal. 5) und Duetarskueek (Kal. 6), beide Klapplauf/Messingpatrone - die Munition-Tabelle deckt Messingpatrone nur fuer Kaliber 7-12 ab, Kal. 5-6 fehlen komplett. Betroffene Zeilen sind in Feuerwaffen-Munition mit leerem Preis + Notiz markiert, nicht erfunden. Braucht entweder eine Ergaenzung der Quelltabelle (NN_Feuerwaffen_1.1.xlsx!Munition) um diese 2 Munitionsarten bzw. Kaliber, oder eine inhaltliche Entscheidung der Spielleitung.</t>
  </si>
  <si>
    <t>2026-07-19</t>
  </si>
  <si>
    <t>Verfuegbarkeit ohne NW/AW-Split (Kaufsperre nur pauschal moeglich)</t>
  </si>
  <si>
    <t>Anders als Ruestung (eigene NW/AW-Spalten je Teil) haben Boegen/Armbrust/Pfeile/Bolzen nur eine einzige "Direkt beim Volk"-Verfuegbarkeit-Spalte. Die neue Fernkampfwaffen/-Munition-Kaufsperre in characterMutations.ts (VERFUEGBARKEIT_SPERRE_AB=5) wendet die Sperre daher pauschal an, unabhaengig von der Region (Neue/Alte Welt) des Charakters - keine Region-spezifische Freischaltung wie bei Ruestung moeglich, bis die Verfuegbarkeiten hier um einen echten NW/AW-Split ergaenzt werden (vermutlich Teil der vom Nutzer angekuendigten grossen Verfuegbarkeiten-Ueberarbeitung).</t>
  </si>
  <si>
    <t>Fernkampf/Sonderfertigkeit</t>
  </si>
  <si>
    <t>Ladeschuetze Schleuder</t>
  </si>
  <si>
    <t>Ladeschuetze Schleuder existiert als Sonderfertigkeit (sf_ladeschuetze_schleuder) und Talent (talente_ladeschuetze_schleuder), aber die Waffe 'Schleuder' existiert nicht als Fernkampf-Kategorie (nur Boegen/Blasrohre/Schusswaffen/Wurfwaffen existieren dort). Da die Sichtbarkeit der Ladeschuetze-SF im Sonderfertigkeit-Tab jetzt an die zugehoerige fk_*-Fertigkeit&gt;0 gekoppelt ist, waere Ladeschuetze Schleuder nie freischaltbar gewesen. Auf Nutzerentscheidung 2026-07-19 deaktiviert (# vor Referenz in Werte-Sheet Zeile 192/1152 - Konvention siehe generate_data_ts.py read_rules()).</t>
  </si>
  <si>
    <t>Deaktiviert</t>
  </si>
  <si>
    <t>Nahkampf/Kampfstil</t>
  </si>
  <si>
    <t>Kampfstilmodifikator-Talente (Offensiver Kampfstil, Verteidiger) noch nicht portiert</t>
  </si>
  <si>
    <t>Talente-Wirkung-chatgpt.xlsx fuehrt 6 Talente mit Wirkungsklasse 'Kampfstilmodifikator': Offensiver Kampfstil Stufe 1-3 (nAT+1/+2/+3, nPA-1/-2/-3) und Verteidiger Stufe 1-3 (nAT-1/-2/-3, nPA+1/+2/+3). Alle 6 sind strukturell sauber (Portierungsstatus 'strukturiert', Zielreferenz nAT/nPA vorhanden), wurden aber bewusst NICHT in talenteMaximum.ts/talenteFaktor.ts/talenteModifikator.ts aufgenommen (siehe Kommentar in talenteModifikator.ts), weil sie nicht auf eine einzelne Formel-Referenz wirken, sondern auf ALLE at_X/pa_X-Kampfwaffen-Formeln gleichzeitig (jede Waffen-Attacke/Parade im System). Braucht eine eigene Architektur-Entscheidung (z.B. ein globaler Kampfstil-Modifikator, der nach der einzelnen Waffenformel angewendet wird, statt eine eigene Referenz je Waffe zu pflegen) - vermutlich Teil des geplanten Kampfmoduls, nicht der Charaktererstellung.</t>
  </si>
  <si>
    <t>2026-07-20</t>
  </si>
  <si>
    <t>Kampf/Talente</t>
  </si>
  <si>
    <t>Probenregel- und Manoever-Talente (teilstrukturiert) noch nicht portiert</t>
  </si>
  <si>
    <t>34 Talente haben Portierungsstatus 'teilstrukturiert' in Talente-Wirkung-chatgpt.xlsx (Spalte AW), davon ist 'Charismatischer Fuehrer' bereits ueber MANUAL_MAXIMUM_OVERRIDES in extract_talente_maximum.py abgedeckt (33 verbleibend, offen). Drei Wirkungsklassen: (a) Probenregel (13): KI gute Stufe 1/2, Entwaffnen, Mit Schild umwerfen, Blutmagie Stufe 1-3, Spruchgute Stufe 1/2, PSI gute Stufe 1/2, Fernkampfgeschick Stufe 1/2 - aendern, wie 'gute/geschenkte' Proben-Schwellen fuer bestimmte Aktionen berechnet werden. (b) Freischaltung/Manoever (11 offen von 12): Meuchler, Kampf mit zwei Waffen Stufe 1-4, Konter, Wuchtschlag, Gezielter Schuss, Linkshaendig Pistolenschiessen, Mehrfachschuss Stufe 1/2, Mit Zwei Pistolen schiessen - schalten einen benannten Kampf-Manoever frei, dessen Ablauf eigene Regeln braucht. (c) Fernkampfmodifikator (6): Berittenes Werfen Stufe 1/2, Fliegend Schiessen, Schnell Schiessen, Sorgfaeltiges Zielen Stufe 1/2 - Situations-abhaengige Fernkampf-Erschwernisse/-Erleichterungen. Zusaetzlich 2 'Modifikator - komplex' (Berittenes Pistolenschiessen Stufe 1/2). Keines davon ist eine einfache 'Formel +/- X'-Regel wie bei talenteMaximum/-Faktor/-Modifikator, sondern aendert Ablauf/Ergebnis einer konkreten Kampfaktion - gehoert wie die Schild-Kampfregeln (siehe Eintrag 'Nahkampf/Schilde') ins geplante Kampfmodul, nicht in die Charaktererstellung. Volltext je Talent (Spalten AT Bedingung/Ausloeser, AU Stufen-/Kumulierungslogik, AV Imperative Implementierungsanweisung) steht in Talente-Wirkung-chatgpt.xlsx bereit.</t>
  </si>
  <si>
    <t>Komplexe Freitext-Kampfregeln (manuell modellieren) noch nicht portiert</t>
  </si>
  <si>
    <t>29 Talente haben Portierungsstatus 'manuell modellieren' (Wirkungsklasse durchgehend 'Komplexer Regeltext', keine strukturierte Zielreferenz), davon sind 5 bereits ueber MANUAL_MAXIMUM_OVERRIDES in extract_talente_maximum.py abgedeckt (Vorderlader Ladeschuetze Stufe 1/2, PSI Psinetik Stufe 1-3) - 24 verbleiben offen: ME sparen, Finte, Schnellziehen Hiebwaffen/Klingenwaffen/Stangenwaffen/Stichwaffen, Schnell Zaubern Stufe 1-3, Spruchmagie Stufe 2/3 zaubern, Berittenes Armbrustschiessen Stufe 1/2, Berittenes Bogenschiessen Stufe 1/2, Berittenes Musketenschiessen Stufe 1/2, Fernkampfgeschick Stufe 3, Point-Blank Shot, Schnell Ziehen Armbrust/Bogen/Muskete/Pistole/Wurfwaffe. Fuer jedes existiert ein ausformulierter Regeltext (Spalte F Beschreibung, jetzt auch in Werte!Wirkung) sowie Spalten AT (Bedingung/Ausloeser) und AV (Imperative Implementierungsanweisung) in Talente-Wirkung-chatgpt.xlsx, aber keine Formel-Referenz - jedes braucht handgeschriebene Engine-Logik statt einer generischen Bonus-Tabelle (aehnlich wie Kampfstilmodifikator und die Probenregel/Manoever-Gruppe: Kampfmodul-Scope, nicht Charaktererstellung).</t>
  </si>
  <si>
    <t>Kampf/Loadout</t>
  </si>
  <si>
    <t>Waffen-Loadout-System (NK, NK/Schild, NK/NK, NK/FK, FK, FK/FK) fehlt noch</t>
  </si>
  <si>
    <t>Der Kampf-Tab behandelt jede besessene Waffe/jeden Schild als eigene, unabhaengige Zeile mit eigenem AT/PA-Pool (siehe views/kampf.ts's buildNahkampfRows) - es gibt keinen Begriff eines aktiven 'Loadouts' (welche Waffe(n) der Charakter GERADE fuehrt). Das wird fuer mehrere Talente/Situationen gebraucht, die auf einer KOMBINATION aus zwei gleichzeitig gefuehrten Waffen basieren, nicht auf einer einzelnen: (a) Kampf mit zwei Waffen Stufe 1-4 (NK/NK) - kombinierter WK-Cap, addierte n-Mods/Mindeststaerke, 1,5x-WK-Attacke mit der staerkeren Waffe, addierte WK-Parade. Diese Session hat als Zwischenloesung nur ein Eignungs-Flag pro 1H-Waffe ergaenzt (Spalte '2-Waffen' in der Nahkampf-Tabelle, WK &lt;= Kappungswert der hoechsten besessenen Stufe, siehe getZweiWaffenCap) - die eigentliche Paar-Mechanik fehlt bewusst noch. (b) Linkshaendig Pistolenschiessen / Mit Zwei Pistolen schiessen (FK/FK) - Probenwert-Modifikator haengt davon ab, ob eine oder zwei Pistolen gleichzeitig geschossen werden. (c) NK/Schild ist die bereits bestehende Schild-Kampfregeln-Luecke (siehe frueherer Entwickeln-Eintrag 'Nahkampf/Schilde'). (d) NK/FK ist der Fall 'eine Waffe in jeder Hand, eine Nah- eine Fernkampfwaffe' (z.B. Messer + Pistole), bisher nirgends modelliert. Nutzer-Vorgabe 2026-07-21: ein generisches Loadout-System bauen, das alle sechs Kombinationen abdeckt (NK, NK/Schild, NK/NK, NK/FK, FK, FK/FK) statt fuer jede einzeln eine Sonderloesung - noch nicht spezifiziert (UI: Waffenpaar-Auswahl je Kampfsituation? Persistiert im CharacterState oder nur Kampfrunden-lokal?), daher als offener Architektur-Punkt geloggt statt spekulativ gebaut.</t>
  </si>
  <si>
    <t>2026-07-21</t>
  </si>
  <si>
    <t>Geweihte/Klerus</t>
  </si>
  <si>
    <t>Geweihtengrad-Steigerung (Grad 2-7)</t>
  </si>
  <si>
    <t>Der Geweihte-Gate-Talent (talente_geweihter_&lt;religion&gt;_orthodox) setzt den Charakter direkt auf Geweihtengrad 1 ("Niederer"). Grad 2-7 ("Minderer" bis "Heiliger", Titel/KPP siehe Paladin-Geweihtensystem_Wundertabellen.txt) sind laut Nutzer (2026-07-22) nur vom Meister vergebbar - es gibt aktuell keine spielerseitige Steigerungsmechanik dafuer. Wird im geplanten Meistermodul umgesetzt (siehe project_nasus_multi_module_plan). UPDATE 2026-08-06: doch spielerseitig steigerbar gemacht (Nutzer-Ask) - Grad 2-7 sind jetzt talente_geweihter_&lt;religion&gt;_stufe_&lt;2-7&gt;_orthodox, Stufenketten-Talente wie Magus (siehe engine/talenteStufenKette.ts), je 5 TaP.</t>
  </si>
  <si>
    <t>Erledigt</t>
  </si>
  <si>
    <t>2026-07-22</t>
  </si>
  <si>
    <t>Tepod Wunder Namen ergaenzen!</t>
  </si>
  <si>
    <t>Mehrere Tepod-Eintraege in Paladin-Geweihtensystem_Wundertabellen.txt haben keinen Namen (Spalte 'Name' leer) - u.a. die Ritual-Zeilen (Baumformung, Baum-Teleport, Landsegen), die Wunder-Zeilen (Pflanzensicht, Tiersicht, Vollheilung) und die Stoss-Zeile (Gruppen-Schadenstransfer). views/geweihte.ts zeigt fuer diese Zeilen aktuell '(leer)' bzw. '-' als Platzhalter-Name. Namen muessen vom Nutzer nachgereicht werden.</t>
  </si>
  <si>
    <t>Vor- und Nachteile/Redaktion</t>
  </si>
  <si>
    <t>Fettleibig: Wirkung entwickeln</t>
  </si>
  <si>
    <t>Der Vor-/Nachteil „Fettleibig“ wurde auf Nutzerentscheidung am 2026-08-26 im Werte-Sheet auskommentiert. Wirkung, Regelmechanik und Balancing sind redaktionell noch zu entwickeln; bis zur Klärung bleibt der Eintrag deaktiviert.</t>
  </si>
  <si>
    <t>2026-08-26</t>
  </si>
  <si>
    <t>NPC/Ausrüstung</t>
  </si>
  <si>
    <t>67 Artikel bestätigt</t>
  </si>
  <si>
    <t>D001 bis D067 sind fachlich bestätigt und stehen in Preisliste, Zeilen 974–1040. Preise in Dublonen und Gewichte in kg gelten für die gesamte jeweils angegebene Verkaufseinheit in gewöhnlicher Ausführung. Neue Preiswerte sind Spielweltfestlegungen, keine realen Marktpreise.</t>
  </si>
  <si>
    <t>Bestätigt</t>
  </si>
  <si>
    <t>2026-09-09</t>
  </si>
  <si>
    <t>Herstellung und Benutzung</t>
  </si>
  <si>
    <t>Jeder neue Artikel ist einer vorhandenen WHK und Spezialisierung zugeordnet. Die Zuordnung beschreibt die federführende Herstellung, bei zusammengesetzten Artikeln mit den benannten Zulieferteilen. Benutzer benötigen deshalb nicht automatisch die Herstellungsfertigkeit. Artikelbesitz gewährt keine zusätzlichen Heil-, Magie-, Kampf- oder Fertigkeitsboni.</t>
  </si>
  <si>
    <t>NPC/Kleidung</t>
  </si>
  <si>
    <t>Vollständige Grundkleidung</t>
  </si>
  <si>
    <t>Alle 30 Berufe erhalten gewöhnliche Grundkleidung: Unterwäsche, Strümpfe, Oberteil, Beinkleidung, Schuhe, Wetterschutz und Kopfbedeckung. Eine Verkaufseinheit je Bereich. Vorhandene gleichwertige Teile erfüllen den Bedarf. Kleid statt Oberteil plus Hose/Rock ist unabhängig vom Geschlecht möglich. Kleidung erhält keine Rüstungswerte.</t>
  </si>
  <si>
    <t>Standardartikel der Grundkleidung</t>
  </si>
  <si>
    <t>Unterwäsche: Preisliste Zeile 896 (Unterwäsche, gewöhnlich); Strümpfe: Preisliste Zeile 891 (Strümpfe, Wolle, gewöhnlich); Oberteil: Preisliste Zeile 796 (Hemd, Bluse, Leinen, gewöhnlich); Beinkleidung: Preisliste Zeile 784 (Beinkleider, Leinen, gewöhnlich); Schuhe: Preisliste Zeile 553 (Schuhe, Leder, gewöhnlich); Wetterschutz: Preisliste Zeile 821 (Mantel, Wolle, gewöhnlich); Kopfbedeckung: Preisliste Zeile 767 (Hut, Filz, gewöhnlich)</t>
  </si>
  <si>
    <t>Katalogpreis Grundkleidung (D)</t>
  </si>
  <si>
    <t>Anschaffungsbudget Kleidung (D, auf Cent)</t>
  </si>
  <si>
    <t>Kataloggewicht Grundkleidung (kg)</t>
  </si>
  <si>
    <t>Referenz-NPCs und Budget</t>
  </si>
  <si>
    <t>Neue Vorschauen ergänzen ausschließlich fehlende Bekleidungsbereiche. Der Bauer besitzt bereits vollständige Kleidung. Fünf weitere Referenzen erhalten fehlende Grundkleidung. Das provisorische Anschaffungsbudget der Referenzen wird um die tatsächlichen Ergänzungskosten, auf Cent aufgerundet, erweitert. Keine allgemeine Geldzuteilung für den künftigen Generator. Gespeicherte Charaktere und historische Referenzdateien werden nicht automatisch verändert.</t>
  </si>
  <si>
    <t>Beruf und Klima</t>
  </si>
  <si>
    <t>Reiten: Reiterstiefel P559 statt Schuhe, Reitmantel P819 statt Wollmantel. Seefahrt: Teerjacke P804 nach Bedarf. Schmiede/Mechanik: Lederschürze D066. Wirt/Arzt/Heiler/Alchemist: Leinenschürze D067. Bergmann: Grubenhelm D014 statt Hut. Wache/Soldat: Uniformschnitt und D002. Künstler: passende Auftrittskleidung. Alle übrigen Berufe erhalten die Grundkleidung, angepasst an Klima, Körperbau und Lebenswelt.</t>
  </si>
  <si>
    <t>Qualität, Besitz, Mengen</t>
  </si>
  <si>
    <t>Professionsgüte bestimmt weder Qualität noch Besitz. Persönliche, dienstliche, geliehene und betriebliche Ausrüstung unterscheiden. Optionen nach Schwerpunkt wählen. Geteilte Werkzeuge aus Zweitberuf/Lebenswelt nicht doppelt kaufen. Verbrauchsmengen nach Auftrag und Dauer festlegen. Transport, Zuladung, Tiere, Geschirr und Futter zusammen prüfen. Preise bestehender Artikel unverändert übernehmen.</t>
  </si>
  <si>
    <t>Vorhandene Waren weiterverwenden</t>
  </si>
  <si>
    <t>Tierfutter P441/P446/P447, Reisebedarf, Lebensmittel, Brennstoff, Fahrzeuge, Geschirre, Waffen und Munition sind bereits vorhanden. P446 umfasst sieben Tage. Keine allgemeine Patrone oder pauschale Heil-/Magiewirkung einführen. Fehlende Gewichte sind nicht null. Regelabhängige Pflanzen, Schulen, Rezepte und Waffenmechaniken nach Auftrag bestimmen.</t>
  </si>
  <si>
    <t>Verfügbarkeit und Datenpflege</t>
  </si>
  <si>
    <t>AW/NW-Verfügbarkeit und Völkerzuweisung der neuen Artikel sind noch offen und dürfen nicht als 0 behandelt werden. Die Stück/Paar-Bezeichnungen von Strümpfen und Stiefeln sind vor endgültiger Mengenkalkulation zu prüfen. Der auffällige Preis P800 Lederjacke (0,0018 D) bleibt unverändert und wird nicht für die Grundkleidung verwendet.</t>
  </si>
  <si>
    <t>NPC/Artikel</t>
  </si>
  <si>
    <t>D001: Handschellen mit zwei Schlüsseln</t>
  </si>
  <si>
    <t>Preisliste Zeile 974. Für: Wache, Kopfgeldjäger. Umfang: Passende Handgelenkgröße wählen; keine neue Fesselregel. Preisbegründung: Kurzes Kettenstück mit zwei präzisen Schlössern; Größenordnung des Dietrichsatzes. Preisanker: P701 (140 D); P682 (52.8 D). Regelreferenz: whk_spez_schmied_feinschmied.</t>
  </si>
  <si>
    <t>D002: Dienstabzeichen, geprägt</t>
  </si>
  <si>
    <t>Preisliste Zeile 975. Für: Wache, Soldat, Verwalter. Umfang: Blanko oder autorisierte Prägung; Besitz verleiht keine Amtsbefugnisse. Preisbegründung: Kleines Metallteil mit einfacher Prägung unter dem Preis eines Gravurwerkzeugs. Preisanker: P676 (8 D); P677 (1.3 D). Regelreferenz: whk_spez_schmied_feinschmied.</t>
  </si>
  <si>
    <t>D003: Fahndungsblatt, gedruckt</t>
  </si>
  <si>
    <t>Preisliste Zeile 976. Für: Wache, Kopfgeldjäger, Journalist. Umfang: Druck eines vorhandenen Texts; Recherche und Belohnung nicht enthalten. Preisbegründung: Papierbogen plus einfacher Druck; Auflage vorausgesetzt. Preisanker: P146 (1.3 D). Regelreferenz: whk_spez_drucker_lithograf.</t>
  </si>
  <si>
    <t>D004: Revolverholster, Gürtelmontage</t>
  </si>
  <si>
    <t>Preisliste Zeile 977. Für: Revolverheld, Soldat, Wache, Kopfgeldjäger. Umfang: Für eine konkret gewählte Waffe; Gürtel und Waffe separat. Preisbegründung: Kleines angepasstes Lederbehältnis unter dem Patronengürtel. Preisanker: P567 (5 D); P525 (0.98 D). Regelreferenz: whk_spez_lederbearbeitung_sattler.</t>
  </si>
  <si>
    <t>D005: Landkarte, Region</t>
  </si>
  <si>
    <t>Preisliste Zeile 978. Für: Kundschafter, Prospektor, Fuhrmann, Schmuggler, Gelehrter. Umfang: Veröffentlichte Karte, keine aktuelle Geheimaufklärung. Preisbegründung: Mehrere Druck- und Zeichenarbeiten; unter einem gebundenen Tagebuch. Preisanker: P145 (15.4 D); P146 (1.3 D). Regelreferenz: whk_spez_geografie_kartografie.</t>
  </si>
  <si>
    <t>D006: Seekarte, Küstenabschnitt</t>
  </si>
  <si>
    <t>Preisliste Zeile 979. Für: Matrose, Schmuggler, Gelehrter. Umfang: Bekannter Küstenabschnitt; Aktualität und Region festlegen. Preisbegründung: Fachliche Kartierung über dem Tagebuch, unter dem Quadranten. Preisanker: P145 (15.4 D); P197 (32 D). Regelreferenz: whk_spez_geografie_kartografie.</t>
  </si>
  <si>
    <t>D007: Jagdfalle, kleine Kastenfalle</t>
  </si>
  <si>
    <t>Preisliste Zeile 980. Für: Jäger. Umfang: Für Kleinwild; keine automatisch festgelegten Fang- oder Schadenswerte. Preisbegründung: Stabile kleine Holzkonstruktion mit einfacher Auslösung. Preisanker: P275 (0.89 D); P278 (13 D). Regelreferenz: whk_spez_holzbearbeitung_tischler.</t>
  </si>
  <si>
    <t>D008: Jagdfalle, Federbügel</t>
  </si>
  <si>
    <t>Preisliste Zeile 981. Für: Jäger. Umfang: Zielgröße wählen; konkrete Spielwirkung bleibt beim Jagdbaustein. Preisbegründung: Stahlbügel und Federmechanismus oberhalb einfacher Handwerkzeuge. Preisanker: P725 (20 D); P739 (5.3 D). Regelreferenz: whk_spez_schmied_feinschmied.</t>
  </si>
  <si>
    <t>D009: Saatgetreide, gereinigt</t>
  </si>
  <si>
    <t>Preisliste Zeile 982. Für: Bauer. Umfang: Getreidesorte festlegen; kein pauschaler Flächenertrag. Preisbegründung: Doppelter Haferpreis für ausgewähltes Saatgut. Preisanker: P441 (0.075 D). Regelreferenz: whk_spez_landwirtschaft_getreidebauer.</t>
  </si>
  <si>
    <t>D010: Gemüsesaat, sortenrein</t>
  </si>
  <si>
    <t>Preisliste Zeile 983. Für: Bauer. Umfang: Eine Sorte je Beutel; Aussaatbedarf sortenabhängig. Preisbegründung: Kleine aufbereitete Saatgutmenge, mehr Arbeitsaufwand als Speiseware. Preisanker: P441 (0.075 D); P454 (0.025 D). Regelreferenz: whk_spez_landwirtschaft_gemuesebauer.</t>
  </si>
  <si>
    <t>D011: Goldwaschpfanne</t>
  </si>
  <si>
    <t>Preisliste Zeile 984. Für: Prospektor. Umfang: Kein Ersatz für Prüfwaage oder Erzprobe. Preisbegründung: Geformte Metallpfanne zwischen Sieb und Schaufel. Preisanker: P675 (2.2 D); P732 (7 D). Regelreferenz: whk_spez_schmied_grobschmied.</t>
  </si>
  <si>
    <t>D012: Feinwaage mit Gewichten</t>
  </si>
  <si>
    <t>Preisliste Zeile 985. Für: Prospektor, Alchemist, Gelehrter. Umfang: Tragbare Prüfwaage; keine moderne Präzisionsklasse zugesichert. Preisbegründung: Feines Messgerät oberhalb Zirkel, unter schwerem Flaschenzug. Preisanker: P678 (6.6 D); P583 (120 D). Regelreferenz: whk_spez_mechanikus_feinmechaniker.</t>
  </si>
  <si>
    <t>D013: Handelswaage mit Gewichten</t>
  </si>
  <si>
    <t>Preisliste Zeile 986. Für: Händler, Verwalter. Umfang: Für Waren; keine automatische amtliche Eichung. Preisbegründung: Balkenwaage mit Gewichten, weniger fein als Laborwaage. Preisanker: P725 (20 D); P678 (6.6 D). Regelreferenz: whk_spez_schmied_feinschmied.</t>
  </si>
  <si>
    <t>D014: Grubenhelm, Leder mit Verstärkung</t>
  </si>
  <si>
    <t>Preisliste Zeile 987. Für: Bergmann. Umfang: Arbeitshelm ohne automatisch gewährten RS/RH; ersetzt Hut. Preisbegründung: Verstärkte Lederkopfbedeckung oberhalb einfacher Kleidung. Preisanker: P477 (1.2 D); P767 (0.42 D); P841 (2.3 D). Regelreferenz: whk_spez_lederbearbeitung_oberbekleidung.</t>
  </si>
  <si>
    <t>D015: Grubenlampe, abgeschirmt</t>
  </si>
  <si>
    <t>Preisliste Zeile 988. Für: Bergmann. Umfang: Keine Garantie gegen Grubengas; Licht- und Sicherheitsregeln separat. Öl nicht enthalten. Preisbegründung: Robusteres Gehäuse und Abschirmung gegenüber gewöhnlicher Laterne. Preisanker: P673 (5.28 D); P675 (2.2 D). Regelreferenz: whk_spez_schmied_feinschmied.</t>
  </si>
  <si>
    <t>D016: Sicherungsgurt mit Anschlagringen</t>
  </si>
  <si>
    <t>Preisliste Zeile 989. Für: Bergmann, Zimmermann, Matrose. Umfang: Seil und Verankerung separat; keine neue Traglastregel. Preisbegründung: Belastbarer Ledergurt mit Metallbeschlägen in Sattelpreisnähe. Preisanker: P535 (17.6 D); P567 (5 D). Regelreferenz: whk_spez_lederbearbeitung_sattler.</t>
  </si>
  <si>
    <t>D017: Rettungsring, Kork und Segeltuch</t>
  </si>
  <si>
    <t>Preisliste Zeile 990. Für: Matrose. Umfang: Bordmittel; keine automatische Schwimmfertigkeit. Preisbegründung: Vernähte Schwimmhilfe mit Füllung über einer Hängematte. Preisanker: P748 (5.7 D); P754 (2.2 D). Regelreferenz: whk_spez_schneider_segelmacher.</t>
  </si>
  <si>
    <t>D018: Geheimfach für Transportkiste</t>
  </si>
  <si>
    <t>Preisliste Zeile 991. Für: Schmuggler. Umfang: Preis und Zusatzgewicht nur für den Einbau; Kiste separat. Keine garantierte Tarnwirkung. Preisbegründung: Anpassungsarbeit kostet mehr als die einfache Kiste. Preisanker: P275 (0.89 D); P278 (13 D). Regelreferenz: whk_spez_holzbearbeitung_tischler.</t>
  </si>
  <si>
    <t>D019: Gefälschter Passierschein</t>
  </si>
  <si>
    <t>Preisliste Zeile 992. Für: Schmuggler. Umfang: Nur Spielgegenstand; Gültigkeit und Entdeckungsprobe nicht im Kaufpreis enthalten. Preisbegründung: Einzelanfertigung mit nachgeahmter Gestaltung statt Auflagendruck. Preisanker: P147 (7.5 D); P676 (8 D). Regelreferenz: whk_spez_drucker_lithograf.</t>
  </si>
  <si>
    <t>D020: Kamera, Plattenapparat mit Objektiv</t>
  </si>
  <si>
    <t>Preisliste Zeile 993. Für: Journalist, Gelehrter. Umfang: Ohne Stativ, Platten und Entwicklungschemie; kein Fotografiebonus. Preisbegründung: Optik plus lichtdichtes Gehäuse und Mechanik oberhalb eines Fernrohrs. Preisanker: P192 (360 D); P195 (176 D). Regelreferenz: whk_spez_mechanikus_feinmechaniker.</t>
  </si>
  <si>
    <t>D021: Kamerastativ, Holz</t>
  </si>
  <si>
    <t>Preisliste Zeile 994. Für: Journalist, Gelehrter. Umfang: Auch für passende Vermessungsgeräte nutzbar. Preisbegründung: Präzise klappbare Holzkonstruktion oberhalb einfacher Möbel. Preisanker: P278 (13 D); P289 (5 D). Regelreferenz: whk_spez_holzbearbeitung_tischler.</t>
  </si>
  <si>
    <t>D022: Fotoplatten, vorbereitet, sechs Stück</t>
  </si>
  <si>
    <t>Preisliste Zeile 995. Für: Journalist, Gelehrter. Umfang: Fotochemische Beschichtung als Zulieferarbeit enthalten; Belichtung und Entwicklung separat. Preisbegründung: Sechs kleine Glasplatten mit Beschichtung; Preis nahe sechs Glasgefäßen. Preisanker: P182 (2.42 D). Regelreferenz: whk_spez_glaser_apparateglaser.</t>
  </si>
  <si>
    <t>D023: Fotochemie, Entwicklungssatz</t>
  </si>
  <si>
    <t>Preisliste Zeile 996. Für: Journalist, Gelehrter. Umfang: Entwurfszuordnung für Bildchemie; genaue Rezeptur und Wirkungen nicht festgelegt. Preisbegründung: Kleine aufbereitete Chemikalienmenge unter einer Flasche reinen Alkohols. Preisanker: P54 (0.98 D); P136 (20 D). Regelreferenz: whk_spez_alchemie_pigmentmacher.</t>
  </si>
  <si>
    <t>D024: Druckerpresse, Handbetrieb</t>
  </si>
  <si>
    <t>Preisliste Zeile 997. Für: Journalist. Umfang: Stationär; Satzmaterial, Papier und Druckfarbe separat. Preisbegründung: Große mechanische Presse, deutlich unter der komplexen Addiermaschine. Preisanker: P583 (120 D); P586 (8800 D). Regelreferenz: whk_spez_mechanikus_maschinenbauer.</t>
  </si>
  <si>
    <t>D025: Drucklettern, Grundsatz mit Setzkasten</t>
  </si>
  <si>
    <t>Preisliste Zeile 998. Für: Journalist. Umfang: Eine Schrift und festgelegter Zeichenvorrat; ergänzt D024. Preisbegründung: Viele wiederverwendbare präzise Druckteile. Preisanker: P676 (8 D); P583 (120 D). Regelreferenz: whk_spez_drucker_stereotypeur.</t>
  </si>
  <si>
    <t>D026: Druckfarbe, schwarz</t>
  </si>
  <si>
    <t>Preisliste Zeile 999. Für: Journalist. Umfang: Für Druckerpresse; nicht mit Fotochemie gleichsetzen. Preisbegründung: Dickflüssige Druckfarbe in größerer Menge als Schreib-Tinte. Preisanker: P54 (0.98 D). Regelreferenz: whk_spez_alchemie_pigmentmacher.</t>
  </si>
  <si>
    <t>D027: Spielkarten, vollständiges Blatt</t>
  </si>
  <si>
    <t>Preisliste Zeile 1000. Für: Glücksspieler, Wirt, Künstler. Umfang: Ein regional übliches Kartenspiel; keine Falschspielwirkung. Preisbegründung: Mehrfach bedruckter Karton, teurer als einfacher Würfelsatz. Preisanker: P146 (1.3 D); P251 (0.88 D). Regelreferenz: whk_spez_drucker_lithograf.</t>
  </si>
  <si>
    <t>D028: Spielkarten, markiertes Blatt</t>
  </si>
  <si>
    <t>Preisliste Zeile 1001. Für: Glücksspieler. Umfang: Markierung als erzählerische Eigenschaft; Entdeckung und Nutzen regelabhängig. Preisbegründung: Aufwendigere Sonderanfertigung gegenüber normalen Spielkarten. Preisanker: P146 (1.3 D); P251 (0.88 D). Regelreferenz: whk_spez_drucker_lithograf.</t>
  </si>
  <si>
    <t>D029: Würfel, präpariert, drei Stück</t>
  </si>
  <si>
    <t>Preisliste Zeile 1002. Für: Glücksspieler. Umfang: Keine garantierten Ergebnisse. Preisbegründung: Mehrfache Kosten normaler Würfel für verdeckte Bearbeitung. Preisanker: P251 (0.88 D). Regelreferenz: whk_spez_holzbearbeitung_schnitzer.</t>
  </si>
  <si>
    <t>D030: Amboss, Werkstatt</t>
  </si>
  <si>
    <t>Preisliste Zeile 1003. Für: Schmied, Waffenschmied, Rüstschmied. Umfang: Stationärer Amboss ohne Unterbau. Preisbegründung: Großer bearbeiteter Stahlkörper; deutlich oberhalb Handwerkzeugen. Preisanker: P725 (20 D); P741 (22 D). Regelreferenz: whk_spez_schmied_grobschmied.</t>
  </si>
  <si>
    <t>D031: Esse, fest, mit Feuerbett</t>
  </si>
  <si>
    <t>Preisliste Zeile 1004. Für: Schmied, Waffenschmied, Rüstschmied. Umfang: Blasebalg, Brennstoff und Gebäude separat; Mauerarbeiten als Zulieferarbeit. Preisbegründung: Großer feuerfester Werkstattaufbau; Montage im Richtpreis enthalten. Preisanker: P686 (8.8 D); P583 (120 D). Regelreferenz: whk_spez_schmied_grobschmied.</t>
  </si>
  <si>
    <t>D032: Blasebalg, Schmiede</t>
  </si>
  <si>
    <t>Preisliste Zeile 1005. Für: Schmied, Waffenschmied, Rüstschmied. Umfang: Holzteile enthalten; Anschluss an Esse separat anpassen. Preisbegründung: Große dichte Leder-Holz-Konstruktion oberhalb Sattelpreis. Preisanker: P535 (17.6 D); P741 (22 D). Regelreferenz: whk_spez_lederbearbeitung_sattler.</t>
  </si>
  <si>
    <t>D033: Werkbank mit Schraubstock</t>
  </si>
  <si>
    <t>Preisliste Zeile 1006. Für: Schmied, Waffenschmied, Rüstschmied, Mechaniker, Zimmermann. Umfang: Stationär; Schraubstock bereits enthalten. Preisbegründung: Stabile Bank mit zugeliefertem Schraubstock etwas über Schreibtisch. Preisanker: P290 (80 D); P739 (5.3 D). Regelreferenz: whk_spez_holzbearbeitung_tischler.</t>
  </si>
  <si>
    <t>D034: Präzisionswerkzeug, Waffenbau</t>
  </si>
  <si>
    <t>Preisliste Zeile 1007. Für: Waffenschmied. Umfang: Ergänzt grobe Werkzeuge; keine universelle Eignung für jede Waffenmechanik. Preisbegründung: Mehrere kleine Feilen, Prüflehren und Halter; oberhalb Dietrichsatz. Preisanker: P719 (11 D); P676 (8 D); P682 (52.8 D). Regelreferenz: whk_spez_schmied_feinschmied.</t>
  </si>
  <si>
    <t>D035: Formwerkzeuge, Rüstungsbau</t>
  </si>
  <si>
    <t>Preisliste Zeile 1008. Für: Rüstschmied. Umfang: Ergänzt Amboss; keine fertige Rüstung enthalten. Preisbegründung: Treibhammer und drei kleine Formeinsätze. Preisanker: P725 (20 D); P729 (5 D); P741 (22 D). Regelreferenz: whk_spez_schmied_grobschmied.</t>
  </si>
  <si>
    <t>D036: Rüstungsnieten, fünfzig Stück</t>
  </si>
  <si>
    <t>Preisliste Zeile 1009. Für: Rüstschmied. Umfang: Material und Durchmesser beim Auftrag festlegen. Preisbegründung: Kleine passend geformte Nieten leicht oberhalb Nagelschachtel. Preisanker: P706 (4 D). Regelreferenz: whk_spez_schmied_feinschmied.</t>
  </si>
  <si>
    <t>D037: Schraubendreher, drei Größen</t>
  </si>
  <si>
    <t>Preisliste Zeile 1010. Für: Mechaniker, Waffenschmied. Umfang: Passende Schraubenköpfe vorausgesetzt. Preisbegründung: Drei einfache Werkzeuge mit Griffen. Preisanker: P707 (4.4 D); P739 (5.3 D). Regelreferenz: whk_spez_schmied_feinschmied.</t>
  </si>
  <si>
    <t>D038: Schraubenschlüssel, vier Größen</t>
  </si>
  <si>
    <t>Preisliste Zeile 1011. Für: Mechaniker. Umfang: Größen nach Maschine wählen. Preisbegründung: Mehrere geformte Werkzeuge unter einem Hammer. Preisanker: P739 (5.3 D); P719 (11 D). Regelreferenz: whk_spez_schmied_grobschmied.</t>
  </si>
  <si>
    <t>D039: Schrauben und Muttern, zwanzig Paare</t>
  </si>
  <si>
    <t>Preisliste Zeile 1012. Für: Mechaniker, Waffenschmied. Umfang: Ein abgestimmter Größensatz, kein Ersatz für jede Maschine. Preisbegründung: Gewindearbeit macht die kleinere Menge teurer als Nägel. Preisanker: P706 (4 D). Regelreferenz: whk_spez_schmied_feinschmied.</t>
  </si>
  <si>
    <t>D040: Maschinenersatzteile, einfache Auswahl</t>
  </si>
  <si>
    <t>Preisliste Zeile 1013. Für: Mechaniker. Umfang: Für eine benannte Maschine; keine pauschale Reparaturgarantie. Preisbegründung: Kleine Federn, Bolzen und Buchsen unter großem Hebezeug. Preisanker: P739 (5.3 D); P719 (11 D); P583 (120 D). Regelreferenz: whk_spez_mechanikus_maschinenbauer.</t>
  </si>
  <si>
    <t>D041: Bauholz, Bretter, trocken</t>
  </si>
  <si>
    <t>Preisliste Zeile 1014. Für: Zimmermann, Bergmann, Bauer. Umfang: Abmessungen projektbezogen; trockenes Nutzholz, kein fertiger Bausatz. Preisbegründung: Rohmaterial unter einem einfachen fertigen Tisch. Preisanker: P289 (5 D); P278 (13 D). Regelreferenz: whk_spez_holzbearbeitung_holzfaeller.</t>
  </si>
  <si>
    <t>D042: Bauholz, Stützbalken</t>
  </si>
  <si>
    <t>Preisliste Zeile 1015. Für: Zimmermann, Bergmann. Umfang: Passenden Querschnitt und Länge vor Einbau wählen. Preisbegründung: Großer zugeschnittener Holzbalken ohne Möbelarbeit. Preisanker: P289 (5 D); P278 (13 D). Regelreferenz: whk_spez_holzbearbeitung_holzfaeller.</t>
  </si>
  <si>
    <t>D043: Arzttasche, leer mit Innenfächern</t>
  </si>
  <si>
    <t>Preisliste Zeile 1016. Für: Arzt, Heiler. Umfang: Ersetzt für diesen Zweck P525; medizinischer Inhalt separat. Preisbegründung: Fächer und Verschlüsse oberhalb einfachem Ranzen. Preisanker: P525 (0.98 D); P567 (5 D). Regelreferenz: whk_spez_lederbearbeitung_taeschner.</t>
  </si>
  <si>
    <t>D044: Verbände, sauber verpackt</t>
  </si>
  <si>
    <t>Preisliste Zeile 1017. Für: Arzt, Heiler, Soldat. Umfang: Sauber ist nicht steril; keine Heilwirkung allein durch Besitz. Preisbegründung: Kleine Leinenmenge mit Zuschnitt und Verpackung. Preisanker: P963 (3 D); P385 (3.5 D). Regelreferenz: whk_spez_weber_leinweber.</t>
  </si>
  <si>
    <t>D045: Verbände, sterilisiert und versiegelt</t>
  </si>
  <si>
    <t>Preisliste Zeile 1018. Für: Arzt, Heiler. Umfang: Sterilisationsleistung im Entwurf eingepreist, keine Anleitung; nach Öffnung Verbrauchsgut. Preisbegründung: Zuschnitt plus Aufbereitung und versiegelte Verpackung. Preisanker: P963 (3 D); P136 (20 D). Regelreferenz: whk_spez_weber_leinweber.</t>
  </si>
  <si>
    <t>D046: Chirurgische Instrumente, Grundsatz</t>
  </si>
  <si>
    <t>Preisliste Zeile 1019. Für: Arzt. Umfang: Ersetzt P733 im chirurgischen Einsatz; keine allgemeine Werkzeugschere als Operationsinstrument. Preisbegründung: Skalpell, medizinische Schere, Pinzette und zwei Klemmen mit feiner Bearbeitung. Preisanker: P733 (13.2 D); P719 (11 D); P676 (8 D). Regelreferenz: whk_spez_schmied_feinschmied.</t>
  </si>
  <si>
    <t>D047: Nahtmaterial, medizinisch</t>
  </si>
  <si>
    <t>Preisliste Zeile 1020. Für: Arzt. Umfang: Faden als Zuliefermaterial enthalten; Spielbedarf ohne Behandlungsanleitung. Preisbegründung: Feine Nadeln mit geeignetem Faden und Verpackung. Preisanker: P707 (4.4 D); P385 (3.5 D). Regelreferenz: whk_spez_schmied_feinschmied.</t>
  </si>
  <si>
    <t>D048: Reinigungsmittel, medizinisch</t>
  </si>
  <si>
    <t>Preisliste Zeile 1021. Für: Arzt, Heiler. Umfang: Entwurf eines Spielartikels; keine festgelegte Rezeptur oder Heilwirkung. Preisbegründung: Kleine aufbereitete Lösung samt Behälter. Preisanker: P60 (0.1 D); P136 (20 D). Regelreferenz: whk_spez_alchemie_seifensieder.</t>
  </si>
  <si>
    <t>D049: Instrumentenkessel mit Einsatz</t>
  </si>
  <si>
    <t>Preisliste Zeile 1022. Für: Arzt. Umfang: Wärmequelle separat; kein automatischer Sterilitätsbonus. Preisbegründung: Kleiner passender Kessel mit herausnehmbarem Einsatz. Preisanker: P686 (8.8 D); P675 (2.2 D). Regelreferenz: whk_spez_schmied_feinschmied.</t>
  </si>
  <si>
    <t>D050: Mörser mit Stößel, Keramik</t>
  </si>
  <si>
    <t>Preisliste Zeile 1023. Für: Heiler, Alchemist, Gelehrter. Umfang: Kein Rezept oder Wirkstoff enthalten. Preisbegründung: Dickwandiges zweiteiliges Arbeitsgefäß. Preisanker: P920 (0.88 D); P675 (2.2 D). Regelreferenz: whk_spez_toepfer_geschirr.</t>
  </si>
  <si>
    <t>D051: Heilkräuter, getrocknet und beschriftet</t>
  </si>
  <si>
    <t>Preisliste Zeile 1024. Für: Heiler, Arzt. Umfang: Eine lokale Pflanze je Beutel; konkrete Art und regelkonforme Verwendung beim Auftrag benennen. Keine erfundene DSA-Heilwirkung. Preisbegründung: Sortierung, Trocknung und Herkunftsangabe gegenüber gewöhnlicher Pflanzenware. Preisanker: P57 (13 D); P454 (0.025 D). Regelreferenz: whk_spez_pflanzenkunde_kraeuterkundler.</t>
  </si>
  <si>
    <t>D052: Kräuterkasten mit sechs Dosen</t>
  </si>
  <si>
    <t>Preisliste Zeile 1025. Für: Heiler, Alchemist. Umfang: Leer; ersetzt separate Behälter gleicher Funktion, Inhalt nicht doppelt zählen. Preisbegründung: Unterteilter Kasten mit sechs kleinen Behältern. Preisanker: P275 (0.89 D); P920 (0.88 D). Regelreferenz: whk_spez_holzbearbeitung_tischler.</t>
  </si>
  <si>
    <t>D053: Retorte mit Stopfen, Glas</t>
  </si>
  <si>
    <t>Preisliste Zeile 1026. Für: Alchemist. Umfang: Ohne Zutaten und Wärmequelle. Preisbegründung: Geformtes Arbeitsglas aufwendiger als einfache Flasche. Preisanker: P180 (15 D); P182 (2.42 D). Regelreferenz: whk_spez_glaser_apparateglaser.</t>
  </si>
  <si>
    <t>D054: Destillierapparat, kleiner Tischaufbau</t>
  </si>
  <si>
    <t>Preisliste Zeile 1027. Für: Alchemist. Umfang: Grundgefäße enthalten; nicht zusätzlich dieselbe Retorte kaufen. Wärmequelle und Zutaten separat. Preisbegründung: Mehrere passende Glasgefäße, Kühlteil, Verbindungen und Ständer. Preisanker: P180 (15 D); P182 (2.42 D); P686 (8.8 D). Regelreferenz: whk_spez_glaser_apparateglaser.</t>
  </si>
  <si>
    <t>D055: Laborbrenner, Spiritus</t>
  </si>
  <si>
    <t>Preisliste Zeile 1028. Für: Alchemist, Arzt. Umfang: Brennstoff separat; keine moderne Sicherheitszertifizierung behauptet. Preisbegründung: Kleine geregelte Wärmequelle mit Docht und Deckel. Preisanker: P671 (1.32 D); P182 (2.42 D). Regelreferenz: whk_spez_schmied_feinschmied.</t>
  </si>
  <si>
    <t>D056: Fokusrohling, geschnitztes Holz</t>
  </si>
  <si>
    <t>Preisliste Zeile 1029. Für: Magier. Umfang: Profaner Rohling; erst nach Magieregeln auswählen. Keine Zauberfähigkeit oder Verzauberung enthalten. Preisbegründung: Verziertes kleines Werkstück, unter Werkzeugpreis. Preisanker: P243 (0.022 D); P676 (8 D). Regelreferenz: whk_spez_holzbearbeitung_schnitzer.</t>
  </si>
  <si>
    <t>D057: Ritualkreide, Farbsatz</t>
  </si>
  <si>
    <t>Preisliste Zeile 1030. Für: Magier. Umfang: Profanes Zeichenmaterial; keine automatische Ritualwirkung. Preisbegründung: Mehrere Pigmente und Kreidestücke über einfacher Schreibkreide. Preisanker: P119 (0.018 D); P54 (0.98 D). Regelreferenz: whk_spez_alchemie_pigmentmacher.</t>
  </si>
  <si>
    <t>D058: Räucherwerk, schlicht</t>
  </si>
  <si>
    <t>Preisliste Zeile 1031. Für: Magier. Umfang: Nur atmosphärisches Verbrauchsmittel, keine magische Wirkung festgelegt. Preisbegründung: Getrocknete aromatische Pflanzenteile, aufbereitete Kleinmenge. Preisanker: P946 (0.003 D); P57 (13 D). Regelreferenz: whk_spez_pflanzenkunde_alchemistische_zutaten.</t>
  </si>
  <si>
    <t>D059: Fachbuch, gedruckt</t>
  </si>
  <si>
    <t>Preisliste Zeile 1032. Für: Gelehrter, Arzt, Verwalter, Mechaniker. Umfang: Ein benanntes Fachgebiet; keine automatische Fertigkeitssteigerung. Preisbegründung: Etwa doppeltes leeres Tagebuch für Satz, Inhalt und Bindung. Preisanker: P145 (15.4 D). Regelreferenz: whk_spez_drucker_buchbinder.</t>
  </si>
  <si>
    <t>D060: Magisches Lehrbuch, gedruckt</t>
  </si>
  <si>
    <t>Preisliste Zeile 1033. Für: Magier, Gelehrter. Umfang: Magieform, Schule und Lehrinhalt benennen; weder Zauberkauf noch Artefakt im Buchpreis. Preisbegründung: Kleinere Fachauflage und komplexe Darstellungen oberhalb gewöhnlicher Fachliteratur. Preisanker: P145 (15.4 D). Regelreferenz: whk_spez_drucker_buchbinder.</t>
  </si>
  <si>
    <t>D061: Probenausrüstung, Feldsatz</t>
  </si>
  <si>
    <t>Preisliste Zeile 1034. Für: Gelehrter, Prospektor. Umfang: Leer; Glas und Textil als Zulieferteile enthalten. Ersetzt entsprechende Einzelbehälter. Preisbegründung: Kleiner Kasten, vier Glasfläschchen, sechs Beutel und Etiketten. Preisanker: P275 (0.89 D); P181 (1.2 D); P146 (1.3 D). Regelreferenz: whk_spez_holzbearbeitung_tischler.</t>
  </si>
  <si>
    <t>D062: Siegelstempel, persönliche Gravur</t>
  </si>
  <si>
    <t>Preisliste Zeile 1035. Für: Verwalter, Händler. Umfang: Kein amtlicher Status durch Erwerb; rechtmäßige Berechtigung separat. Preisbegründung: Kleiner gravierter Stempel samt Entwurfsarbeit. Preisanker: P676 (8 D); P677 (1.3 D). Regelreferenz: whk_spez_schmied_feinschmied.</t>
  </si>
  <si>
    <t>D063: Stempel, Schriftzug</t>
  </si>
  <si>
    <t>Preisliste Zeile 1036. Für: Verwalter, Händler. Umfang: Farbe separat; keine behördliche Berechtigung enthalten. Preisbegründung: Einfacher geschnittener Druckstock. Preisanker: P676 (8 D); P245 (0.037 D). Regelreferenz: whk_spez_holzbearbeitung_schnitzer.</t>
  </si>
  <si>
    <t>D064: Siegellack</t>
  </si>
  <si>
    <t>Preisliste Zeile 1037. Für: Verwalter, Händler. Umfang: Verbrauchsmaterial zum Siegeln. Preisbegründung: Kleine gefärbte Harz-Leim-Menge. Preisanker: P64 (3.5 D); P54 (0.98 D). Regelreferenz: whk_spez_alchemie_leimsieder.</t>
  </si>
  <si>
    <t>D065: Formulare, unbeschrieben, zehn Stück</t>
  </si>
  <si>
    <t>Preisliste Zeile 1038. Für: Verwalter, Händler, Wache. Umfang: Kein ausgestelltes amtliches Dokument; Inhalt und Unterzeichnung separat. Preisbegründung: Papierkosten plus wiederholter einfacher Druck. Preisanker: P146 (1.3 D). Regelreferenz: whk_spez_drucker_lithograf.</t>
  </si>
  <si>
    <t>D066: Arbeitsschürze, Leder</t>
  </si>
  <si>
    <t>Preisliste Zeile 1039. Für: Schmied, Waffenschmied, Rüstschmied, Mechaniker. Umfang: Über Alltagskleidung tragen; kein RS/RH. Preisbegründung: Einfaches robustes Lederstück mit Riemen nahe Lederweste. Preisanker: P477 (1.2 D); P841 (2.3 D). Regelreferenz: whk_spez_lederbearbeitung_oberbekleidung.</t>
  </si>
  <si>
    <t>D067: Arbeitsschürze, Leinen</t>
  </si>
  <si>
    <t>Preisliste Zeile 1040. Für: Wirt, Heiler, Arzt, Alchemist. Umfang: Waschbare Arbeitsschürze, keine Schutzwirkung gegen Chemikalien zugesichert. Preisbegründung: Einfacher Zuschnitt zwischen Hemd und Hose. Preisanker: P796 (0.2 D); P784 (0.5 D). Regelreferenz: whk_spez_schneider_konfektionsschneider.</t>
  </si>
  <si>
    <t>Material</t>
  </si>
  <si>
    <t>Staerke-Malus-Mod</t>
  </si>
  <si>
    <t>AT-Mod</t>
  </si>
  <si>
    <t>PA-Mod</t>
  </si>
  <si>
    <t>WK-Mod</t>
  </si>
  <si>
    <t>Klingenbrecher-Mod</t>
  </si>
  <si>
    <t>Klingenschutz-Mod</t>
  </si>
  <si>
    <t>RS-Mod</t>
  </si>
  <si>
    <t>Min-Staerke-Faktor</t>
  </si>
  <si>
    <t>Preis-Faktor</t>
  </si>
  <si>
    <t>Hart Holz</t>
  </si>
  <si>
    <t>Spinnenwebe</t>
  </si>
  <si>
    <t>Nur Fernkampf-RS</t>
  </si>
  <si>
    <t>Drachensch.</t>
  </si>
  <si>
    <t>Meister (individuell durch Spielleitung)</t>
  </si>
  <si>
    <t>2 Wuerfe beim Bruchtest</t>
  </si>
  <si>
    <t>Feineisen</t>
  </si>
  <si>
    <t>Standard (Referenzmaterial)</t>
  </si>
  <si>
    <t>Qualitaetsstahl</t>
  </si>
  <si>
    <t>+50% (so in Quelle - Bruch mit Format der Spalte, vermutlich Tippfehler statt Flachwert, siehe Entwickeln)</t>
  </si>
  <si>
    <t>3 Wuerfe beim Bruchtest</t>
  </si>
  <si>
    <t>nur auf dem Trollkontinent von Zentauern erhältlich</t>
  </si>
  <si>
    <t>Ausschuss</t>
  </si>
  <si>
    <t>Bespannung</t>
  </si>
  <si>
    <t>Stoff</t>
  </si>
  <si>
    <t>Nur FK</t>
  </si>
  <si>
    <t>Drachenschuppe</t>
  </si>
  <si>
    <t>-50% Einzelelement-Schaden</t>
  </si>
  <si>
    <t>Kohlharz</t>
  </si>
  <si>
    <t xml:space="preserve">nur bei Zentauren auf dem Trollkontinent erhältlich. </t>
  </si>
  <si>
    <t>Schwarzfells</t>
  </si>
  <si>
    <t>Keine Werte in Quelle vorhanden - nur Materialliste, siehe Entwickeln</t>
  </si>
  <si>
    <t>Diamantspart</t>
  </si>
  <si>
    <t>Alchemistensilb.</t>
  </si>
  <si>
    <t>Rang</t>
  </si>
  <si>
    <t>Max-Zaubergrad-Wirkungsstufe</t>
  </si>
  <si>
    <t>Gehalt</t>
  </si>
  <si>
    <t>Dublonen-pro-Mana</t>
  </si>
  <si>
    <t>Angenommene-M</t>
  </si>
  <si>
    <t>-</t>
  </si>
  <si>
    <t>Magus</t>
  </si>
  <si>
    <t>Magus Magister</t>
  </si>
  <si>
    <t>Magus Major</t>
  </si>
  <si>
    <t>Magus Superior</t>
  </si>
  <si>
    <t>Magus Archus</t>
  </si>
  <si>
    <t>Magus Legendarius</t>
  </si>
  <si>
    <t>Magus Semi-Deus</t>
  </si>
  <si>
    <t>Avatar</t>
  </si>
  <si>
    <t>Gott</t>
  </si>
  <si>
    <t>Zauberstufe</t>
  </si>
  <si>
    <t>Karat-pro-Mana</t>
  </si>
  <si>
    <t>Differenz</t>
  </si>
  <si>
    <t>Manamultiplikator</t>
  </si>
  <si>
    <t>Zaubergrad</t>
  </si>
  <si>
    <t>Mana-Basis</t>
  </si>
  <si>
    <t>Vorbereitungszeit-sec</t>
  </si>
  <si>
    <t>Effektdauer-sec</t>
  </si>
  <si>
    <t>Wirkungsdauer-Basis</t>
  </si>
  <si>
    <t>Wirkungsdauer-Einheit</t>
  </si>
  <si>
    <t>Wirkung-Basis</t>
  </si>
  <si>
    <t>Wirkung-Einheit</t>
  </si>
  <si>
    <t>Element</t>
  </si>
  <si>
    <t>Wirkungsstufe-Offset</t>
  </si>
  <si>
    <t>Zusatzwert-Art</t>
  </si>
  <si>
    <t>Schadenselement</t>
  </si>
  <si>
    <t>Namenspraefix</t>
  </si>
  <si>
    <t>artefakt_licht</t>
  </si>
  <si>
    <t>Das Artefakt beginnt zu leuchten. Bei Erschaffung muss die Strahlart festgelegt werden: Rundumlicht, Strahl oder Kegel. Das Artefakt leuchtet so hell wie:</t>
  </si>
  <si>
    <t>min</t>
  </si>
  <si>
    <t>Fackeln</t>
  </si>
  <si>
    <t>artefakt_magisches_makeover</t>
  </si>
  <si>
    <t xml:space="preserve">Der Magus kann seine Kleidung, seine Nägel und sein Haar in den gewünschten Zustand versetzen. Sämtliche Verunreinigungen oder unangenehmen Gerüche werden entfernt. Verwundungen und Vergiftungen werden hiervon nicht beeinflusst. </t>
  </si>
  <si>
    <t>%</t>
  </si>
  <si>
    <t>artefakt_in_nahrung_verwandeln</t>
  </si>
  <si>
    <t>Der Träger kann unbelebte Materie, die er mit dem Artefakt berührt, in Nahrung verwandeln. Diese Nahrung ist nahezu geschmacklos, deckt aber alle Bedürfnisse des Organismus ab. Es ist möglich, sich ausschließlich von magischer Nahrung zu ernähren.</t>
  </si>
  <si>
    <t>Gramm</t>
  </si>
  <si>
    <t>artefakt_whk_talentwert_erhoehen</t>
  </si>
  <si>
    <t>WHK-Talentwert erhöhen</t>
  </si>
  <si>
    <t>Der Wert einer festgelegten Handwerks-, Wissens- oder Kultur- Talentes erhöht sich auf magische Weise. Der Wert muss vorher mindestens 4 betragen haben.</t>
  </si>
  <si>
    <t>h</t>
  </si>
  <si>
    <t>TaW</t>
  </si>
  <si>
    <t>artefakt_wasserwandeln</t>
  </si>
  <si>
    <t>Träger kann auf allen Oberflächen, die zu min. 50% aus Wasser bestehen, wie auf festem Boden gehen.</t>
  </si>
  <si>
    <t>artefakt_grundfertigkeit_erhoehen</t>
  </si>
  <si>
    <t>Eine bei Erschaffung fest gewählte spezialisierbare Grundfertigkeit wird erhöht. Der Wert muss vorher mindestens 4 betragen haben.</t>
  </si>
  <si>
    <t>artefakt_ausstrahlung_erhoehen</t>
  </si>
  <si>
    <t xml:space="preserve">Die Ausstrahlung des Trägers wird auf magische Weise erhöht. </t>
  </si>
  <si>
    <t xml:space="preserve">Aus + </t>
  </si>
  <si>
    <t>artefakt_waffe_erschaffen</t>
  </si>
  <si>
    <t>Waffe erschaffen</t>
  </si>
  <si>
    <t xml:space="preserve">In den Händen des Magus erscheint eine bei Erschaffung fest definierte beliebige normale Listen-Nahkampfwaffe oder ein beliebiger Listen-Schild, der vollständig aus Eisen besteht. Am Ende der Wirkungsdauer zerfällt die Waffe zu Staub, das ursprüngliche Artefakt bleibt erhalten. Während der Effektdauer hat die Waffe normale Werte, aber AT/PA-Klasse -1. Der Seelenstein ist integrativer Bestandteil des Gegenstands.
</t>
  </si>
  <si>
    <t>artefakt_athletik_erhoehen</t>
  </si>
  <si>
    <t>Athletik erhöhen</t>
  </si>
  <si>
    <t>Athletik des Trägers wird auf magische Weise erhöht. (Aufgeteilt aus 'Körperliche Eigenschaft erhöhen': Eine bei Erschaffung fest gewählte körperliche Eigenschaft (Ath, Ges, Kon, Sch, Stä) wird auf magische Weise erhöht.)</t>
  </si>
  <si>
    <t>Eig +</t>
  </si>
  <si>
    <t>artefakt_geschicklichkeit_erhoehen</t>
  </si>
  <si>
    <t>Geschicklichkeit erhöhen</t>
  </si>
  <si>
    <t>Geschicklichkeit des Trägers wird auf magische Weise erhöht. (Aufgeteilt aus 'Körperliche Eigenschaft erhöhen': Eine bei Erschaffung fest gewählte körperliche Eigenschaft (Ath, Ges, Kon, Sch, Stä) wird auf magische Weise erhöht.)</t>
  </si>
  <si>
    <t>artefakt_konstitution_erhoehen</t>
  </si>
  <si>
    <t>Konstitution erhöhen</t>
  </si>
  <si>
    <t>Konstitution des Trägers wird auf magische Weise erhöht. (Aufgeteilt aus 'Körperliche Eigenschaft erhöhen': Eine bei Erschaffung fest gewählte körperliche Eigenschaft (Ath, Ges, Kon, Sch, Stä) wird auf magische Weise erhöht.)</t>
  </si>
  <si>
    <t>artefakt_schnelligkeit_erhoehen</t>
  </si>
  <si>
    <t>Schnelligkeit erhöhen</t>
  </si>
  <si>
    <t>Schnelligkeit des Trägers wird auf magische Weise erhöht. (Aufgeteilt aus 'Körperliche Eigenschaft erhöhen': Eine bei Erschaffung fest gewählte körperliche Eigenschaft (Ath, Ges, Kon, Sch, Stä) wird auf magische Weise erhöht.)</t>
  </si>
  <si>
    <t>artefakt_staerke_erhoehen</t>
  </si>
  <si>
    <t>Staerke erhöhen</t>
  </si>
  <si>
    <t>Staerke des Trägers wird auf magische Weise erhöht. (Aufgeteilt aus 'Körperliche Eigenschaft erhöhen': Eine bei Erschaffung fest gewählte körperliche Eigenschaft (Ath, Ges, Kon, Sch, Stä) wird auf magische Weise erhöht.)</t>
  </si>
  <si>
    <t>artefakt_kiemen</t>
  </si>
  <si>
    <t>Auf den Halsschlagadern bilden sich Kiemen. Dies ist ein schmerzhafter Prozess, bei dem eine um 5 erscwerte Selbstbeherrschungsprobe abgelegt werden muss. Nach dem Ende der Effektdauer kann unter Wasser durch die Kiemen geatmet werden. Atmet er in die Lunge, ertrinkt er. Giftstoffe im Wasser dringen über die Kiemen in den Blutkreislauf ein</t>
  </si>
  <si>
    <t>artefakt_stimme_veraendern</t>
  </si>
  <si>
    <t>Stimme  verändern</t>
  </si>
  <si>
    <t>Die Stimme des Magiers verändert sich auf eine festgelgte Art und Weise. Es ist nicht möglich, die Stimme eines anderen exakt zu reproduzieren. Akzente und Mundarten werden hierdurch nicht simuliert, dafür benötigt der Magier die entsprechenden Sprachfertigkeiten. Während der Effektdauer ist der Magier im Stimmbruch. Wahl: Andere Stimme (Stufe 2, hier angegeben), Laute Stimme (*2: Stufe 3, *3: Stufe vier...); min. Seelenstein- &amp; Wirkungs- Stufe 2</t>
  </si>
  <si>
    <t>artefakt_flammen_pfeil</t>
  </si>
  <si>
    <t>Flammen - Pfeil</t>
  </si>
  <si>
    <t>Der Pfeil verursacht zusätzlichen elementaren Schaden. Die Wirkung endet in der Kampfrunde nach dem Aufprall.</t>
  </si>
  <si>
    <t>sec</t>
  </si>
  <si>
    <t>artefakt_frost_pfeil</t>
  </si>
  <si>
    <t>Frost - Pfeil</t>
  </si>
  <si>
    <t>Der Pfeil verursacht zusätzlichen elementaren Schaden. Die Wirkung endet in der Kampfrunde nach dem Aufprall. Pro volle 5 TP erleidet das Opfer eine zusätzliche BE von 1.</t>
  </si>
  <si>
    <t>artefakt_sturm_pfeil</t>
  </si>
  <si>
    <t>Sturm - Pfeil</t>
  </si>
  <si>
    <t>Der Pfeil verursacht zusätzlichen elementaren Schaden. Die Wirkung endet in der Kampfrunde nach dem Aufprall. Das Ziel wird TP*m weggeschleudert; Ath-Probe erschwert um TP, sonst zusätzlich W8 Sturzschaden auf FK-TZ (W30).</t>
  </si>
  <si>
    <t>artefakt_splitter_pfeil</t>
  </si>
  <si>
    <t>Splitter - Pfeil</t>
  </si>
  <si>
    <t>Der Pfeil verursacht zusätzlichen elementaren Schaden. Die Wirkung endet in der Kampfrunde nach dem Aufprall. Der Splitter - Pfeil kann Rüstungen leichter durchdringen.</t>
  </si>
  <si>
    <t>RB 8</t>
  </si>
  <si>
    <t>artefakt_schock_pfeil</t>
  </si>
  <si>
    <t>Schock - Pfeil</t>
  </si>
  <si>
    <t>Der Pfeil verursacht zusätzlichen elementaren Schaden. Die Wirkung endet in der Kampfrunde nach dem Aufprall. Sobald das Ziel 1 SP erleidet, muss es eine SB-Probe ablegen, die immer zusätzlich um den angegeben Wert erschwert ist.</t>
  </si>
  <si>
    <t>SB 13</t>
  </si>
  <si>
    <t>artefakt_flammen_klinge</t>
  </si>
  <si>
    <t>Flammen - Klinge</t>
  </si>
  <si>
    <t xml:space="preserve">Die Klinge verursacht zusätzlichen elementaren Schaden. </t>
  </si>
  <si>
    <t>Flamme</t>
  </si>
  <si>
    <t>Flammen</t>
  </si>
  <si>
    <t>artefakt_frost_klinge</t>
  </si>
  <si>
    <t>Frost - Klinge</t>
  </si>
  <si>
    <t>Die Klinge verursacht zusätzlichen elementaren Schaden. Pro volle 5 TP erleidet das Opfer eine zusätzliche BE von 1.</t>
  </si>
  <si>
    <t>Frost</t>
  </si>
  <si>
    <t>artefakt_sturm_klinge</t>
  </si>
  <si>
    <t>Sturm - Klinge</t>
  </si>
  <si>
    <t>Die Klinge verursacht zusätzlichen elementaren Schaden. Das Ziel wird TP*m weggeschleudert; Ath-Probe erschwert um TP, sonst zusätzlich W8 Sturzschaden auf FK-TZ (W30).</t>
  </si>
  <si>
    <t>Sturm</t>
  </si>
  <si>
    <t>artefakt_splitter_klinge</t>
  </si>
  <si>
    <t>Splitter - Klinge</t>
  </si>
  <si>
    <t>Die Klinge verursacht zusätzlichen elementaren Schaden. Die Splitter - Klinge kann Rüstungen leichter durchdringen.</t>
  </si>
  <si>
    <t>Splitter</t>
  </si>
  <si>
    <t>Erde</t>
  </si>
  <si>
    <t>artefakt_schock_klinge</t>
  </si>
  <si>
    <t>Schock - Klinge</t>
  </si>
  <si>
    <t>Die Klinge verursacht zusätzlichen elementaren Schaden. Sobald das Ziel 1 SP erleidet, muss es eine SB-Probe ablegen, die immer zusätzlich um den angegeben Wert erschwert ist.</t>
  </si>
  <si>
    <t>Schock</t>
  </si>
  <si>
    <t>artefakt_material_verstaerken</t>
  </si>
  <si>
    <t>Klingenschutz und Klingenbrecher des verzauberten Gegenstandes erhöhen sich.</t>
  </si>
  <si>
    <t>KS/KB</t>
  </si>
  <si>
    <t>artefakt_intelligenz_erhoehen</t>
  </si>
  <si>
    <t>Intelligenz erhöhen</t>
  </si>
  <si>
    <t>Intelligenz des Trägers wird auf magische Weise erhöht. (Aufgeteilt aus 'Geistige Eigenschaft erhöhen': Eine geistige Eigenschaft (Int, Mut, Sin, Wil) wird magisch erhöht.)</t>
  </si>
  <si>
    <t xml:space="preserve">Eig + </t>
  </si>
  <si>
    <t>artefakt_mut_erhoehen</t>
  </si>
  <si>
    <t>Mut erhöhen</t>
  </si>
  <si>
    <t>Mut des Trägers wird auf magische Weise erhöht. (Aufgeteilt aus 'Geistige Eigenschaft erhöhen': Eine geistige Eigenschaft (Int, Mut, Sin, Wil) wird magisch erhöht.)</t>
  </si>
  <si>
    <t>artefakt_sinnesschaerfe_erhoehen</t>
  </si>
  <si>
    <t>Sinnesschaerfe erhöhen</t>
  </si>
  <si>
    <t>Sinnesschaerfe des Trägers wird auf magische Weise erhöht. (Aufgeteilt aus 'Geistige Eigenschaft erhöhen': Eine geistige Eigenschaft (Int, Mut, Sin, Wil) wird magisch erhöht.)</t>
  </si>
  <si>
    <t>artefakt_willenskraft_erhoehen</t>
  </si>
  <si>
    <t>Willenskraft erhöhen</t>
  </si>
  <si>
    <t>Willenskraft des Trägers wird auf magische Weise erhöht. (Aufgeteilt aus 'Geistige Eigenschaft erhöhen': Eine geistige Eigenschaft (Int, Mut, Sin, Wil) wird magisch erhöht.)</t>
  </si>
  <si>
    <t>artefakt_sinne_verbessern</t>
  </si>
  <si>
    <t xml:space="preserve">Entweder der Geruchssinn, der Geschmackssinn, das Gehör, das Sehvermögen oder der Tastsinn werden verbessert. Sinnesschärfen-Proben, die der Meister verlangen könnte, sind um (M):2 erleichtert (entspricht der Wirkungsdauer). Der verbesserte Sinn muss bei Erschaffung des Artefaktes festgelegt werden.
</t>
  </si>
  <si>
    <t xml:space="preserve">Sin + </t>
  </si>
  <si>
    <t>artefakt_in_pflanze_verwandeln</t>
  </si>
  <si>
    <t xml:space="preserve">Der Träger sowie alle Ausrüstung in seiner Aura verwandeln sich in eine festgelegte Pflanze und erleidet während der Effektdauer starke Schmerzen, kann aber nicht bewusstlos werden. Während der Wirkungsdauer hat das Ziel die Wahrnehmung der Pflanze, kann also nicht sprechen oder zaubern. Die Wirkung kann nur durch Antimagie vorzeitig beendet werden. Nach Ende der Wirkungsdauer findet eine Rückverwandlung statt, die genauso lange dauert wie die Effektdauer. Die Masse der zu verwandelnden Person bleibt gleich! Während der Wirkungsdauer verfügt der Träger über die folgenden LE/RS - Werte:
</t>
  </si>
  <si>
    <t>artefakt_langsamer_fall</t>
  </si>
  <si>
    <t>Langsamer Fall</t>
  </si>
  <si>
    <t>artefakt_in_tier_verwandeln</t>
  </si>
  <si>
    <t>Der Träger wird in ein fest ausgewähltes Tier verwandelt. Dieses Tier verfügt über die selben Werte wie der Träger. In Tierform können keinerlei Zauber gewirkt werden, Sprachfertigkeiten entsprechen den Fähigkeiten des Tieres. Die Umwandlung ist äußerst schmerzhaft und kann nicht vor Ablauf der Wirkungsdauer beendet werden (außer durch Antimagie). Die Masse des Ziels bleibt gleich!</t>
  </si>
  <si>
    <t>artefakt_gecko</t>
  </si>
  <si>
    <t>Der Träger kann mit Händen und Füßen an jeder beliebigen festen Oberfläche haften und dabei seine Maximallast tragen. Klettern-Proben sind erleichtert.</t>
  </si>
  <si>
    <t>artefakt_chamaeleon</t>
  </si>
  <si>
    <t>Der Träger und alle Gegenstände, die sich innerhalb seiner Aura befinden, werden durchsichtig.Um das Ziel zu Erkennen, ist eine um Wirkungsstufe * 3 erschwerte Sinnesschärfe-Probe nötig. Schleicht/geht/läuft/sprintet/attackiert das Ziel, sind Sinnesschärfe-Proben um Wirkungsstufe*3/2/1/0,5/0,25 erschwert.</t>
  </si>
  <si>
    <t>artefakt_warp</t>
  </si>
  <si>
    <t xml:space="preserve">Der Träger teleportiert zu einem Punkt, den er sieht. Er löst sich von Fuß zum Kopf hin in Dampf auf, genauso materialisiert er wieder. Er materialisiert immer stehend, Arme angelegt. Abweichung vom Zielpunkt: (Distanz in m/10) = Wx; Wx –Wirkungsstufe =Abweichung in m; Abw. immer horizontal, nicht in Gegenstände hinein, sondern auf/neben ihnen. Patzer: Pech-Probe erschw. um Distanz/10. -&gt;pro 1 Punkt Pech: 1W20 auf alle TZ verteilt, alles ignorierend.
Der Magus befindet sich während der Reise 1 sec in der Astralsphäre und benötigt 1 sec um wieder zu materialisieren.
</t>
  </si>
  <si>
    <t>m RW</t>
  </si>
  <si>
    <t>artefakt_verwandlung</t>
  </si>
  <si>
    <t xml:space="preserve">Der Träger verändert sein Aussehen, je nachdem wie der Artefaktmagier es in das Artefakt gebannt hat. Dies schließt biometrische Merkmale außer der DNA ein. Das Ziel muss während der gesamten Effektdauer bewegungslos bleiben, sonst fällt der Zauber und verursacht unter Umständen ein grauenhaftes Resultat (Ausstrahlungs-Malus von 3 pro min). Die Verwandlung ist ein äußerst schmerzhafter und anstrengender Prozess, bei dem pro min Effektdauer eine SB-Probe erschwert um 15 abzulegen ist. Die Masse bleibt gleich. </t>
  </si>
  <si>
    <t>artefakt_last_des_alters</t>
  </si>
  <si>
    <t>Der Träger altert um maximal Wirkungsstufe*5 Jahre (entspricht der Wirkungsdauer) und erfährt die Leiden des Alters in voller Stärke. Das Erscheinungsbild, die Beweglichkeit und die Wahrnehmung erleiden die Einbußen, die das Opfer bei natürlicher Alterung erleiden würde. Auf Vitalfunktionen hat dieser Zauber keinerlei Einfluss. Am Ende der Wirkungsdauer verwandelt sich das Opfer in seinen Ursprungszustand zurück. Beide Effektdauern sind äußerst schmerzhaft.</t>
  </si>
  <si>
    <t>artefakt_unauffindbarkeit</t>
  </si>
  <si>
    <t xml:space="preserve">Der Träger und Ausrüstung in seiner Aura verursachen keinerlei Geräusche, hinterlassen keine Spuren und erzeugen keinerlei Gerüche. Optisch, astral und mit Wärmesicht ist das Ziel unmodifiziert zu entdecken. Erleichterung Schleichen&amp;Tarnung/Erschwerung Sinnesschärfe zur Wahrehmung
</t>
  </si>
  <si>
    <t>artefakt_unsichtbarkeit</t>
  </si>
  <si>
    <t xml:space="preserve">Der Träger und alle Ausrüstung in seiner Aura sind vollkommen unsichtbar und weder astral, optisch oder mit Wärmesicht zu entdecken. 
Bewegt sich das Ziel schneller als gehend oder beginnt es, an einem Kampf teilzunehmen oder zu zaubern, fällt der Zauber.
</t>
  </si>
  <si>
    <t>artefakt_verjuengung</t>
  </si>
  <si>
    <t>Der Träger verjüngt sich und erfährt die Jugend in voller Stärke. Das Erscheinungsbild, die Beweglichkeit und die Wahrnehmung entsprechen dem erzielten Lebensalter. Auf Vitalfunktionen hat dieser Zauber keinerlei Einfluss. Am Ende der Wirkungsdauer verwandelt sich das Opfer in seinen Ursprungszustand zurück. Beide Effektdauern sind äußerst schmerzhaft. Es ist nicht möglich, ein Entwicklungsstadium vor der Geburt zu erzielen. Die Masse bleibt gleich!</t>
  </si>
  <si>
    <t>Jahre</t>
  </si>
  <si>
    <t>artefakt_artefakt_analysieren</t>
  </si>
  <si>
    <t>Magische Gegenstände analysieren bis Grad/erforderliche Magietheorie</t>
  </si>
  <si>
    <t>artefakt_dammerungssicht</t>
  </si>
  <si>
    <t>Dammerungssicht</t>
  </si>
  <si>
    <t>Restlichtverstärker</t>
  </si>
  <si>
    <t>artefakt_waermesicht</t>
  </si>
  <si>
    <t>Wärmesicht</t>
  </si>
  <si>
    <t>artefakt_magische_reinigung</t>
  </si>
  <si>
    <t>Alle anhaltenden und bipolaren Zauber, die auf die Aure des Trägers wirken, werden beendet.</t>
  </si>
  <si>
    <t>artefakt_magische_sicht</t>
  </si>
  <si>
    <t>Magische Sicht</t>
  </si>
  <si>
    <t>artefakt_magischer_schild</t>
  </si>
  <si>
    <t xml:space="preserve">Die Aura des Zieles wird von einem unsichtbaren Schild geschützt. Es kann pro KR maximal (M):2 TP und insgesamt (M) TP abhalten. RS/LE
</t>
  </si>
  <si>
    <t>artefakt_korpi_ignorieren</t>
  </si>
  <si>
    <t>Der Magus ermöglicht es einem Gegenstand, magische Korpi zu ignorieren. So ist es dem Gegenstand möglich, durch jede Art von Barriere zu dringen, als wäre sie nicht existent. Diese Gegenstände können von Magiekorpi nicht wahrgenommen werden. Grad 1 „Manaschild“ wird nicht ignoriert (gilt nicht als Magiekorpus), Angriffe auf beseelte Magie-Korpi wie z.B. (Elementar-)Geister und Artefakte unmöglich.</t>
  </si>
  <si>
    <t>artefakt_kampfmaschine</t>
  </si>
  <si>
    <t xml:space="preserve">Der Träger verschmilzt mit der Artefakt-Waffe. Dies führt zu einer Erleichterung auf alle kampfrelevanten Proben, bei denen die Waffe zum Einsatz kommt.
</t>
  </si>
  <si>
    <t>Bonus</t>
  </si>
  <si>
    <t>artefakt_attributs_artefakt_aura</t>
  </si>
  <si>
    <t>Attributs-Artefakt (Aura)</t>
  </si>
  <si>
    <t>Aura wird fuer einen magischen Tag magisch erhoeht. Nur permanent (kein Einmal-Artefakt), Verfuegbarkeit nur ueber den Spielleiter, nicht regulaer erwerbbar. Bezieht sich auf das Attribut 'att_aura' im Werte-Sheet (Kategorie 'Attribute': Aura/Essenz/Glueck/Karma/Magie/Vitalitaet/Weisheit - NICHT die 10 Eigenschaften Athletik...Willenskraft).</t>
  </si>
  <si>
    <t xml:space="preserve">Att + </t>
  </si>
  <si>
    <t>#artefakt_attributs_artefakt_essenz</t>
  </si>
  <si>
    <t>Attributs-Artefakt (Essenz)</t>
  </si>
  <si>
    <t>Essenz wird fuer einen magischen Tag magisch erhoeht. Nur permanent (kein Einmal-Artefakt), Verfuegbarkeit nur ueber den Spielleiter, nicht regulaer erwerbbar. Bezieht sich auf das Attribut 'att_essenz' im Werte-Sheet (Kategorie 'Attribute': Aura/Essenz/Glueck/Karma/Magie/Vitalitaet/Weisheit - NICHT die 10 Eigenschaften Athletik...Willenskraft).</t>
  </si>
  <si>
    <t>att_essenz</t>
  </si>
  <si>
    <t>artefakt_attributs_artefakt_glueck</t>
  </si>
  <si>
    <t>Attributs-Artefakt (Glück)</t>
  </si>
  <si>
    <t>Glück wird fuer einen magischen Tag magisch erhoeht. Nur permanent (kein Einmal-Artefakt), Verfuegbarkeit nur ueber den Spielleiter, nicht regulaer erwerbbar. Bezieht sich auf das Attribut 'att_glueck' im Werte-Sheet (Kategorie 'Attribute': Aura/Essenz/Glueck/Karma/Magie/Vitalitaet/Weisheit - NICHT die 10 Eigenschaften Athletik...Willenskraft).</t>
  </si>
  <si>
    <t>artefakt_attributs_artefakt_karma</t>
  </si>
  <si>
    <t>Attributs-Artefakt (Karma)</t>
  </si>
  <si>
    <t>Karma wird fuer einen magischen Tag magisch erhoeht. Nur permanent (kein Einmal-Artefakt), Verfuegbarkeit nur ueber den Spielleiter, nicht regulaer erwerbbar. Bezieht sich auf das Attribut 'att_karma' im Werte-Sheet (Kategorie 'Attribute': Aura/Essenz/Glueck/Karma/Magie/Vitalitaet/Weisheit - NICHT die 10 Eigenschaften Athletik...Willenskraft).</t>
  </si>
  <si>
    <t>artefakt_attributs_artefakt_magie</t>
  </si>
  <si>
    <t>Attributs-Artefakt (Magie)</t>
  </si>
  <si>
    <t>Magie wird fuer einen magischen Tag magisch erhoeht. Nur permanent (kein Einmal-Artefakt), Verfuegbarkeit nur ueber den Spielleiter, nicht regulaer erwerbbar. Bezieht sich auf das Attribut 'att_magie' im Werte-Sheet (Kategorie 'Attribute': Aura/Essenz/Glueck/Karma/Magie/Vitalitaet/Weisheit - NICHT die 10 Eigenschaften Athletik...Willenskraft).</t>
  </si>
  <si>
    <t>artefakt_attributs_artefakt_vitalitaet</t>
  </si>
  <si>
    <t>Attributs-Artefakt (Vitalität)</t>
  </si>
  <si>
    <t>Vitalität wird fuer einen magischen Tag magisch erhoeht. Nur permanent (kein Einmal-Artefakt), Verfuegbarkeit nur ueber den Spielleiter, nicht regulaer erwerbbar. Bezieht sich auf das Attribut 'att_vitalitaet' im Werte-Sheet (Kategorie 'Attribute': Aura/Essenz/Glueck/Karma/Magie/Vitalitaet/Weisheit - NICHT die 10 Eigenschaften Athletik...Willenskraft).</t>
  </si>
  <si>
    <t>artefakt_attributs_artefakt_weisheit</t>
  </si>
  <si>
    <t>Attributs-Artefakt (Weisheit)</t>
  </si>
  <si>
    <t>Weisheit wird fuer einen magischen Tag magisch erhoeht. Nur permanent (kein Einmal-Artefakt), Verfuegbarkeit nur ueber den Spielleiter, nicht regulaer erwerbbar. Bezieht sich auf das Attribut 'att_weisheit' im Werte-Sheet (Kategorie 'Attribute': Aura/Essenz/Glueck/Karma/Magie/Vitalitaet/Weisheit - NICHT die 10 Eigenschaften Athletik...Willenskraft).</t>
  </si>
  <si>
    <t>artefakt_eigenschafts_artefakt_athletik</t>
  </si>
  <si>
    <t>Eigenschafts-Artefakt (Athletik)</t>
  </si>
  <si>
    <t>Athletik wird fuer einen magischen Tag magisch erhoeht. Nur permanent (kein Einmal-Artefakt). Bezieht sich auf die Eigenschaft 'Athletik' im Werte-Sheet (Kategorie 'Eigenschaften': Athletik/Ausstrahlung/Geschicklichkeit/Intelligenz/Konstitution/Mut/Schnelligkeit/Sinnesschaerfe/Staerke/Willenskraft).</t>
  </si>
  <si>
    <t>artefakt_eigenschafts_artefakt_ausstrahlung</t>
  </si>
  <si>
    <t>Eigenschafts-Artefakt (Ausstrahlung)</t>
  </si>
  <si>
    <t>Ausstrahlung wird fuer einen magischen Tag magisch erhoeht. Nur permanent (kein Einmal-Artefakt). Bezieht sich auf die Eigenschaft 'Ausstrahlung' im Werte-Sheet (Kategorie 'Eigenschaften': Athletik/Ausstrahlung/Geschicklichkeit/Intelligenz/Konstitution/Mut/Schnelligkeit/Sinnesschaerfe/Staerke/Willenskraft).</t>
  </si>
  <si>
    <t>artefakt_eigenschafts_artefakt_geschicklichkeit</t>
  </si>
  <si>
    <t>Eigenschafts-Artefakt (Geschicklichkeit)</t>
  </si>
  <si>
    <t>Geschicklichkeit wird fuer einen magischen Tag magisch erhoeht. Nur permanent (kein Einmal-Artefakt). Bezieht sich auf die Eigenschaft 'Geschicklichkeit' im Werte-Sheet (Kategorie 'Eigenschaften': Athletik/Ausstrahlung/Geschicklichkeit/Intelligenz/Konstitution/Mut/Schnelligkeit/Sinnesschaerfe/Staerke/Willenskraft).</t>
  </si>
  <si>
    <t>artefakt_eigenschafts_artefakt_intelligenz</t>
  </si>
  <si>
    <t>Eigenschafts-Artefakt (Intelligenz)</t>
  </si>
  <si>
    <t>Intelligenz wird fuer einen magischen Tag magisch erhoeht. Nur permanent (kein Einmal-Artefakt). Bezieht sich auf die Eigenschaft 'Intelligenz' im Werte-Sheet (Kategorie 'Eigenschaften': Athletik/Ausstrahlung/Geschicklichkeit/Intelligenz/Konstitution/Mut/Schnelligkeit/Sinnesschaerfe/Staerke/Willenskraft).</t>
  </si>
  <si>
    <t>artefakt_eigenschafts_artefakt_konstitution</t>
  </si>
  <si>
    <t>Eigenschafts-Artefakt (Konstitution)</t>
  </si>
  <si>
    <t>Konstitution wird fuer einen magischen Tag magisch erhoeht. Nur permanent (kein Einmal-Artefakt). Bezieht sich auf die Eigenschaft 'Konstitution' im Werte-Sheet (Kategorie 'Eigenschaften': Athletik/Ausstrahlung/Geschicklichkeit/Intelligenz/Konstitution/Mut/Schnelligkeit/Sinnesschaerfe/Staerke/Willenskraft).</t>
  </si>
  <si>
    <t>artefakt_eigenschafts_artefakt_mut</t>
  </si>
  <si>
    <t>Eigenschafts-Artefakt (Mut)</t>
  </si>
  <si>
    <t>Mut wird fuer einen magischen Tag magisch erhoeht. Nur permanent (kein Einmal-Artefakt). Bezieht sich auf die Eigenschaft 'Mut' im Werte-Sheet (Kategorie 'Eigenschaften': Athletik/Ausstrahlung/Geschicklichkeit/Intelligenz/Konstitution/Mut/Schnelligkeit/Sinnesschaerfe/Staerke/Willenskraft).</t>
  </si>
  <si>
    <t>artefakt_eigenschafts_artefakt_schnelligkeit</t>
  </si>
  <si>
    <t>Eigenschafts-Artefakt (Schnelligkeit)</t>
  </si>
  <si>
    <t>Schnelligkeit wird fuer einen magischen Tag magisch erhoeht. Nur permanent (kein Einmal-Artefakt). Bezieht sich auf die Eigenschaft 'Schnelligkeit' im Werte-Sheet (Kategorie 'Eigenschaften': Athletik/Ausstrahlung/Geschicklichkeit/Intelligenz/Konstitution/Mut/Schnelligkeit/Sinnesschaerfe/Staerke/Willenskraft).</t>
  </si>
  <si>
    <t>artefakt_eigenschafts_artefakt_sinnesschaerfe</t>
  </si>
  <si>
    <t>Eigenschafts-Artefakt (Sinnesschaerfe)</t>
  </si>
  <si>
    <t>Sinnesschaerfe wird fuer einen magischen Tag magisch erhoeht. Nur permanent (kein Einmal-Artefakt). Bezieht sich auf die Eigenschaft 'Sinnesschaerfe' im Werte-Sheet (Kategorie 'Eigenschaften': Athletik/Ausstrahlung/Geschicklichkeit/Intelligenz/Konstitution/Mut/Schnelligkeit/Sinnesschaerfe/Staerke/Willenskraft).</t>
  </si>
  <si>
    <t>artefakt_eigenschafts_artefakt_staerke</t>
  </si>
  <si>
    <t>Eigenschafts-Artefakt (Staerke)</t>
  </si>
  <si>
    <t>Staerke wird fuer einen magischen Tag magisch erhoeht. Nur permanent (kein Einmal-Artefakt). Bezieht sich auf die Eigenschaft 'Staerke' im Werte-Sheet (Kategorie 'Eigenschaften': Athletik/Ausstrahlung/Geschicklichkeit/Intelligenz/Konstitution/Mut/Schnelligkeit/Sinnesschaerfe/Staerke/Willenskraft).</t>
  </si>
  <si>
    <t>artefakt_eigenschafts_artefakt_willenskraft</t>
  </si>
  <si>
    <t>Eigenschafts-Artefakt (Willenskraft)</t>
  </si>
  <si>
    <t>Willenskraft wird fuer einen magischen Tag magisch erhoeht. Nur permanent (kein Einmal-Artefakt). Bezieht sich auf die Eigenschaft 'Willenskraft' im Werte-Sheet (Kategorie 'Eigenschaften': Athletik/Ausstrahlung/Geschicklichkeit/Intelligenz/Konstitution/Mut/Schnelligkeit/Sinnesschaerfe/Staerke/Willenskraft).</t>
  </si>
  <si>
    <t>artefakt_grosser_funkentanz</t>
  </si>
  <si>
    <t>Grosser Funkentanz</t>
  </si>
  <si>
    <t>Der Traeger erzeugt viele kleine Lichtfunken, die um seinen eigenen Koerper fliegen. Dadurch wird es fuer jeden Gegner schwerer, ihn mit einer Nahkampf- oder Fernkampf-Attacke zu treffen, um:</t>
  </si>
  <si>
    <t>Erschwerung (NK/FK)</t>
  </si>
  <si>
    <t>artefakt_magische_verkleidung</t>
  </si>
  <si>
    <t>Bei der Erschaffung wird eine feste Verkleidung festgelegt (gewuenschter Zustand von Kleidung, Naegeln und Haar). Der Traeger erscheint fuer die Wirkungsdauer in dieser Verkleidung - es handelt sich um eine reine optische Illusion, keine tatsaechliche Veraenderung.</t>
  </si>
  <si>
    <t>artefakt_manaspende</t>
  </si>
  <si>
    <t>Nach Ablauf der Effektdauer wird dem Traeger einmalig Mana gutgeschrieben, auch ueber dessen Maximum hinaus, in Hoehe von:</t>
  </si>
  <si>
    <t>artefakt_durchsichtiger_gegenstand</t>
  </si>
  <si>
    <t>Ein Gegenstand wird durchsichtig, bis zu einem Volumen von maximal (in Liter): Aus bestimmten Blickwinkeln kann er mit einer um Wirkungsgrad x 2 erschwerten Sinnesschaerfe-Probe entdeckt werden; wird er bewegt, sinkt die Erschwerung auf aufgerundet(Wirkungsgrad : 2).</t>
  </si>
  <si>
    <t>l</t>
  </si>
  <si>
    <t>Wirkungsgrad</t>
  </si>
  <si>
    <t>Kosten-einmalig</t>
  </si>
  <si>
    <t>Verfuegbarkeit-einmalig</t>
  </si>
  <si>
    <t>Kosten-permanent</t>
  </si>
  <si>
    <t>Verfuegbarkeit-permanent</t>
  </si>
  <si>
    <t>Meister</t>
  </si>
  <si>
    <t>Auspraegung</t>
  </si>
  <si>
    <t>Faktor</t>
  </si>
  <si>
    <t>Herstellungsort</t>
  </si>
  <si>
    <t>Import, wird nicht hergestellt</t>
  </si>
  <si>
    <t>Teilweiser Import, Herstellung im Reich</t>
  </si>
  <si>
    <t>Herstellung im Reich</t>
  </si>
  <si>
    <t>Herstellung in der Region</t>
  </si>
  <si>
    <t>Herstellung direkt vor Ort</t>
  </si>
  <si>
    <t>Siedlungsgroesse</t>
  </si>
  <si>
    <t>Wildnis</t>
  </si>
  <si>
    <t>Siedlung</t>
  </si>
  <si>
    <t>Dorf</t>
  </si>
  <si>
    <t>Kleinstadt</t>
  </si>
  <si>
    <t>Stadt</t>
  </si>
  <si>
    <t>Grossstadt</t>
  </si>
  <si>
    <t>Metropole</t>
  </si>
  <si>
    <t>Handelsstufe</t>
  </si>
  <si>
    <t>Voellig abgelegen von jeglichem Handel</t>
  </si>
  <si>
    <t>Abgelegen von jeglichem Handel</t>
  </si>
  <si>
    <t>An einer Handelsroute / Kleiner Handels-Hafen</t>
  </si>
  <si>
    <t>Handelsstadt / Grosser Handels-Hafen</t>
  </si>
  <si>
    <t>Handelszentrum</t>
  </si>
  <si>
    <t>Haendler</t>
  </si>
  <si>
    <t>Kein Laden / kein Haendler</t>
  </si>
  <si>
    <t>Fahrender Troedelhaendler</t>
  </si>
  <si>
    <t>Fahrender spezialisierter Haendler</t>
  </si>
  <si>
    <t>Kleiner 'General Store'</t>
  </si>
  <si>
    <t>Grosser 'General Store'</t>
  </si>
  <si>
    <t>Kleiner spezialisierter Haendler</t>
  </si>
  <si>
    <t>Spezialisierter Haendler</t>
  </si>
  <si>
    <t>Grosser spezialisierter Haendler</t>
  </si>
  <si>
    <t>Grund-Verfuegbarkeit (Legende)</t>
  </si>
  <si>
    <t>Bedeutung</t>
  </si>
  <si>
    <t>Optionaler Wuerfelwurf (falls Meister unschluessig)</t>
  </si>
  <si>
    <t>Immer</t>
  </si>
  <si>
    <t>1-29</t>
  </si>
  <si>
    <t>Fast immer</t>
  </si>
  <si>
    <t>1-20</t>
  </si>
  <si>
    <t>Haeufig</t>
  </si>
  <si>
    <t>1-14</t>
  </si>
  <si>
    <t>1-7</t>
  </si>
  <si>
    <t>Fast nie</t>
  </si>
  <si>
    <t>1-3</t>
  </si>
  <si>
    <t>Nie</t>
  </si>
  <si>
    <t>21 (exakt)</t>
  </si>
  <si>
    <t>Einzigartig</t>
  </si>
  <si>
    <t>29 zwei mal hintereinander</t>
  </si>
  <si>
    <t>Ruestungsteil</t>
  </si>
  <si>
    <t>BE-Basis</t>
  </si>
  <si>
    <t>Addon</t>
  </si>
  <si>
    <t>Leichte Drachenschuppen</t>
  </si>
  <si>
    <t>Drachenschuppen</t>
  </si>
  <si>
    <t>Schwere Drachenschuppen</t>
  </si>
  <si>
    <t>Spinnweben</t>
  </si>
  <si>
    <t>BE-Mod</t>
  </si>
  <si>
    <t>Lohn-pro-Tag</t>
  </si>
  <si>
    <t>Zusaetzliche-Tage</t>
  </si>
  <si>
    <t>völlig unpassend</t>
  </si>
  <si>
    <t>von der Stange</t>
  </si>
  <si>
    <t>Geeignet für</t>
  </si>
  <si>
    <t>Kaliber</t>
  </si>
  <si>
    <t>Preis (1Schuss)</t>
  </si>
  <si>
    <t>Preis-10-Schuss</t>
  </si>
  <si>
    <t>Preis-50-Schuss</t>
  </si>
  <si>
    <t>Preis-100-Schuss</t>
  </si>
  <si>
    <t>Preis-500-Schuss</t>
  </si>
  <si>
    <t>Preis-1000-Schuss</t>
  </si>
  <si>
    <t>Besonderheiten</t>
  </si>
  <si>
    <t>Vorderlader</t>
  </si>
  <si>
    <t>S.P.&amp;Blei</t>
  </si>
  <si>
    <t>VL. Papierpatrone</t>
  </si>
  <si>
    <t>Reduziert die Nachladezeit um 5 Sekunden</t>
  </si>
  <si>
    <t>Hinterlader</t>
  </si>
  <si>
    <t>Papierpatrone</t>
  </si>
  <si>
    <t>Patronenwaffen</t>
  </si>
  <si>
    <t>Messingpatrone</t>
  </si>
  <si>
    <t>Harpunengewehr</t>
  </si>
  <si>
    <t>Harpune</t>
  </si>
  <si>
    <t>Dublonen-pro-KG</t>
  </si>
  <si>
    <t>Massenfabrikation-Dublonen-pro-KG</t>
  </si>
  <si>
    <t>Messing</t>
  </si>
  <si>
    <t>Blei</t>
  </si>
  <si>
    <t>Schwarzpulver</t>
  </si>
  <si>
    <t>Papier</t>
  </si>
  <si>
    <t>Handwerker/Anlage</t>
  </si>
  <si>
    <t>Dublonen-pro-Tag</t>
  </si>
  <si>
    <t>Hinweis</t>
  </si>
  <si>
    <t>Kugelgießer</t>
  </si>
  <si>
    <t>(Schwarz-)Pulvermischer</t>
  </si>
  <si>
    <t>Munitionsmanufaktur (Pauschale/Tag)</t>
  </si>
  <si>
    <t>Beinhaltet Manufakturkosten und 3 Vorarbeiter</t>
  </si>
  <si>
    <t>Komplette Manufaktur</t>
  </si>
  <si>
    <t>Beinhaltet Manufakturkosten, 3 Vorarbeiter, 6 (Schwarz-)Pulvermischer, 9 Kugelgiesser</t>
  </si>
  <si>
    <t>Patronentyp</t>
  </si>
  <si>
    <t>Schwarzpulver-kg</t>
  </si>
  <si>
    <t>Blei-kg</t>
  </si>
  <si>
    <t>Papier-kg</t>
  </si>
  <si>
    <t>Messing-kg</t>
  </si>
  <si>
    <t>Gesamtgewicht-kg</t>
  </si>
  <si>
    <t>Manufaktur-Ausstoss-pro-Tag</t>
  </si>
  <si>
    <t>Herstellungskosten-pro-Schuss</t>
  </si>
  <si>
    <t>Materialkosten-pro-Schuss</t>
  </si>
  <si>
    <t>Gesamtkosten-pro-Schuss</t>
  </si>
  <si>
    <t>Blei (+Schwarzpulver)</t>
  </si>
  <si>
    <t>Min-Staerke</t>
  </si>
  <si>
    <t>Schaden</t>
  </si>
  <si>
    <t>Modifikatoren-roh</t>
  </si>
  <si>
    <t>RW-m</t>
  </si>
  <si>
    <t>Ladezeit-sec</t>
  </si>
  <si>
    <t>Nachlade-Teiler</t>
  </si>
  <si>
    <t>Verfuegbarkeit-Volk</t>
  </si>
  <si>
    <t>Improvisierter Bogen</t>
  </si>
  <si>
    <t>Alle</t>
  </si>
  <si>
    <t>1W4</t>
  </si>
  <si>
    <t>+4/0/-15/x/x</t>
  </si>
  <si>
    <t>15m</t>
  </si>
  <si>
    <t>Kurzbogen</t>
  </si>
  <si>
    <t>1W4+1</t>
  </si>
  <si>
    <t>+8/+2/-13/-25/x/x</t>
  </si>
  <si>
    <t>Jagdbogen</t>
  </si>
  <si>
    <t>1W6+1</t>
  </si>
  <si>
    <t>+6/+2/-8/-22/x/x</t>
  </si>
  <si>
    <t>20m</t>
  </si>
  <si>
    <t>Langbogen</t>
  </si>
  <si>
    <t>+5/+2/-8/-20/-30</t>
  </si>
  <si>
    <t>60m</t>
  </si>
  <si>
    <t>Froggler-Bogen</t>
  </si>
  <si>
    <t>1W6</t>
  </si>
  <si>
    <t>25m</t>
  </si>
  <si>
    <t>Bogen</t>
  </si>
  <si>
    <t>+7/+2/-8/-23/x</t>
  </si>
  <si>
    <t>+6/+2/-8/-21/x</t>
  </si>
  <si>
    <t>75m</t>
  </si>
  <si>
    <t>Schwarzfels-Bogen</t>
  </si>
  <si>
    <t>Holz, Schwarzfels, Seil, Leim</t>
  </si>
  <si>
    <t>1W8+1</t>
  </si>
  <si>
    <t>+6/+2/-7/-22/x</t>
  </si>
  <si>
    <t>40m</t>
  </si>
  <si>
    <t>Daikini</t>
  </si>
  <si>
    <t>+7/+2/-11/-25/x</t>
  </si>
  <si>
    <t>+6/+2/-8/-22/x</t>
  </si>
  <si>
    <t>27m</t>
  </si>
  <si>
    <t>50m</t>
  </si>
  <si>
    <t>Asymmetrischer Bogen</t>
  </si>
  <si>
    <t>+7/+2/-8/-20/-30</t>
  </si>
  <si>
    <t>+8/+3/-9/-22/x</t>
  </si>
  <si>
    <t>+7/+3/-8/-20/x</t>
  </si>
  <si>
    <t>33m</t>
  </si>
  <si>
    <t>+5/+2/-6/-17/x</t>
  </si>
  <si>
    <t>110m</t>
  </si>
  <si>
    <t>Kompositbogen kurz</t>
  </si>
  <si>
    <t>Holz, Horn, Leim</t>
  </si>
  <si>
    <t>+9/+3/-9/-22/x</t>
  </si>
  <si>
    <t>22m</t>
  </si>
  <si>
    <t>Kompositbogen lang</t>
  </si>
  <si>
    <t>+6/+2/-6/-17/x</t>
  </si>
  <si>
    <t>23m</t>
  </si>
  <si>
    <t>Uriebenwurzel-Bogen</t>
  </si>
  <si>
    <t>Uriebenwurzelholz</t>
  </si>
  <si>
    <t>+6/+3/-6/-17/-29</t>
  </si>
  <si>
    <t>+6/+1/-12/-26/x</t>
  </si>
  <si>
    <t>1W6+2</t>
  </si>
  <si>
    <t>+5/+1/-9/-23/x</t>
  </si>
  <si>
    <t>+4/+1/-9/-21/-31</t>
  </si>
  <si>
    <t>Kriegsbogen</t>
  </si>
  <si>
    <t>Holz, Horn, Stahl, Leim</t>
  </si>
  <si>
    <t>1W10+1</t>
  </si>
  <si>
    <t>+6/0/-14/-30/x/x</t>
  </si>
  <si>
    <t>Umspannbogen</t>
  </si>
  <si>
    <t>Holz, ZW Federstahl, ZW Stahl</t>
  </si>
  <si>
    <t>+6/+2/-6/-17/-25</t>
  </si>
  <si>
    <t>32m</t>
  </si>
  <si>
    <t>90m</t>
  </si>
  <si>
    <t>1W4+2</t>
  </si>
  <si>
    <t>+7/+1/-15/-29/x</t>
  </si>
  <si>
    <t>Improvisierter Trollbogen</t>
  </si>
  <si>
    <t>1 Junger Baum</t>
  </si>
  <si>
    <t>1W20+1</t>
  </si>
  <si>
    <t>0/-5/-25/x/x</t>
  </si>
  <si>
    <t>10m</t>
  </si>
  <si>
    <t>Trollbogen</t>
  </si>
  <si>
    <t>1W30+1</t>
  </si>
  <si>
    <t>Noristawurz</t>
  </si>
  <si>
    <t>+8/+3/-11/-25/x</t>
  </si>
  <si>
    <t>+7/+3/-8/-22/x</t>
  </si>
  <si>
    <t>Elbenbeinbogen</t>
  </si>
  <si>
    <t>Noristawurz, Elbenbein, Leim</t>
  </si>
  <si>
    <t>1W2+1</t>
  </si>
  <si>
    <t>14m</t>
  </si>
  <si>
    <t>30m</t>
  </si>
  <si>
    <t>Holz, G Federstahl, G Stahl</t>
  </si>
  <si>
    <t>Drachenbogen</t>
  </si>
  <si>
    <t>Spezial/Legendaer</t>
  </si>
  <si>
    <t>Holz, Kaiserdrachen-Bein, Leim</t>
  </si>
  <si>
    <t>1W12+1</t>
  </si>
  <si>
    <t>+6/+1/-13/-29/x/x</t>
  </si>
  <si>
    <t>Schaden-Mod</t>
  </si>
  <si>
    <t>RB-Mod</t>
  </si>
  <si>
    <t>RW-Mod-Spalte1</t>
  </si>
  <si>
    <t>RW-Mod-Spalte2</t>
  </si>
  <si>
    <t>Spezialitaeten</t>
  </si>
  <si>
    <t>Improvisierter-Pfeil</t>
  </si>
  <si>
    <t>+1W4</t>
  </si>
  <si>
    <t>0</t>
  </si>
  <si>
    <t>-15m</t>
  </si>
  <si>
    <t>nichts</t>
  </si>
  <si>
    <t>Holzspitzen-Pfeil</t>
  </si>
  <si>
    <t>+1W6</t>
  </si>
  <si>
    <t>-7m</t>
  </si>
  <si>
    <t>50 FZ</t>
  </si>
  <si>
    <t>Knochenspitzen-Pfeil</t>
  </si>
  <si>
    <t>100FZ</t>
  </si>
  <si>
    <t>Steinspitzen-Pfeil</t>
  </si>
  <si>
    <t>+1W8</t>
  </si>
  <si>
    <t>200 FZ</t>
  </si>
  <si>
    <t>Diamantspatspitzen-Pfeil</t>
  </si>
  <si>
    <t>+6</t>
  </si>
  <si>
    <t>1,5D</t>
  </si>
  <si>
    <t>Wird durch UV-Strahlung zersetzt</t>
  </si>
  <si>
    <t>Bronzespitzen-Pfeil</t>
  </si>
  <si>
    <t>+1</t>
  </si>
  <si>
    <t>300 FZ</t>
  </si>
  <si>
    <t>Eisenspitzen-Pfeil</t>
  </si>
  <si>
    <t>+2</t>
  </si>
  <si>
    <t>500 FZ</t>
  </si>
  <si>
    <t>Stahlspitzen-Pfeil</t>
  </si>
  <si>
    <t>+3</t>
  </si>
  <si>
    <t>1D</t>
  </si>
  <si>
    <t>Edelstahlspitzen-Pfeil</t>
  </si>
  <si>
    <t>+4</t>
  </si>
  <si>
    <t>2,5D</t>
  </si>
  <si>
    <t>Faltstahlspitzen-Pfeil</t>
  </si>
  <si>
    <t>+5</t>
  </si>
  <si>
    <t>5D</t>
  </si>
  <si>
    <t>Nasiumspitzen-Pfeil</t>
  </si>
  <si>
    <t>100D</t>
  </si>
  <si>
    <t>Verzauberungskosten werden stark verringert</t>
  </si>
  <si>
    <t>Adamantitspitzen-Pfeil</t>
  </si>
  <si>
    <t>+7</t>
  </si>
  <si>
    <t>1000D</t>
  </si>
  <si>
    <t>Diamantspitzen-Pfeil</t>
  </si>
  <si>
    <t>Silberspitzen-Pfeil</t>
  </si>
  <si>
    <t>-2</t>
  </si>
  <si>
    <t>Man sagt es gaebe Wesen die nur mit Silber verletzt oder getoetet werden koennen</t>
  </si>
  <si>
    <t>Glasspitzen-Pfeil</t>
  </si>
  <si>
    <t>10D</t>
  </si>
  <si>
    <t>Die Spitze zersplittert beim Aufprall, die Splitter bohren sich bei jeder Bewegung ins Fleisch</t>
  </si>
  <si>
    <t>Breitkopfspitzen-Pfeil</t>
  </si>
  <si>
    <t>-1</t>
  </si>
  <si>
    <t>+10m</t>
  </si>
  <si>
    <t>+2D</t>
  </si>
  <si>
    <t>Hohlspitzen-Pfeil</t>
  </si>
  <si>
    <t>+5m</t>
  </si>
  <si>
    <t>+10D</t>
  </si>
  <si>
    <t>Moderner Arme-Pfeil: wird nur an staatlich Befugte weitergegeben</t>
  </si>
  <si>
    <t>Widerhaken-Pfeil</t>
  </si>
  <si>
    <t>-5m</t>
  </si>
  <si>
    <t>Ges+Medizin erschwert um 15 beim Rausziehen, sonst 1W8+2 SP direkt auf die TZ</t>
  </si>
  <si>
    <t>Kanuelen-Pfeil</t>
  </si>
  <si>
    <t>+3D</t>
  </si>
  <si>
    <t>Kann eine groessere Menge Gift transportieren (2 statt 1 Anwendung)</t>
  </si>
  <si>
    <t>Halbmond-Pfeil</t>
  </si>
  <si>
    <t>-3</t>
  </si>
  <si>
    <t>Man kann damit Seile durchschiessen</t>
  </si>
  <si>
    <t>Dornspitzen-Pfeil</t>
  </si>
  <si>
    <t>+1D</t>
  </si>
  <si>
    <t>Hohlkoerper-Pfeil</t>
  </si>
  <si>
    <t>-10m</t>
  </si>
  <si>
    <t>+5D</t>
  </si>
  <si>
    <t>In einer Tonkugel an der Spitze kann z.B. Zwergisches Feuer untergebracht werden</t>
  </si>
  <si>
    <t>(Trolle) Trollbogen-Pfeil</t>
  </si>
  <si>
    <t>+1W15</t>
  </si>
  <si>
    <t>10</t>
  </si>
  <si>
    <t>Kann nur mit dem Trollbogen abgeschossen werden</t>
  </si>
  <si>
    <t>(Drow) Elbenbein-Pfeil</t>
  </si>
  <si>
    <t>+1W8+1</t>
  </si>
  <si>
    <t>4D</t>
  </si>
  <si>
    <t>Traditioneller Drow-Pfeil</t>
  </si>
  <si>
    <t>(Indianer) Schwarzfels-Pfeil</t>
  </si>
  <si>
    <t>nicht V.</t>
  </si>
  <si>
    <t>Traditioneller Pfeil einiger Indianerstaemme am Rande der Schwarzen Zone</t>
  </si>
  <si>
    <t>(Gnome) Kurz-Pfeil</t>
  </si>
  <si>
    <t>+1W6+1</t>
  </si>
  <si>
    <t>Kann nur mit den Gnomischen Boegen verschossen werden</t>
  </si>
  <si>
    <t>Spanntechnik-roh</t>
  </si>
  <si>
    <t>Notiz</t>
  </si>
  <si>
    <t>Improvisierte Armbrust</t>
  </si>
  <si>
    <t>Hand: 9,13sec:4 / Geissfuss: xx,xxsec:x / Winde: xx,xxsec:x</t>
  </si>
  <si>
    <t>+8/-4/-25/-39/x</t>
  </si>
  <si>
    <t>5m</t>
  </si>
  <si>
    <t>Hand Armbrust</t>
  </si>
  <si>
    <t>Hand: 9,14sec:4 / Geissfuss: 5,30sec:2 / Winde: 3,60sec:1</t>
  </si>
  <si>
    <t>+11/-3/-24/-38/x</t>
  </si>
  <si>
    <t>Leichte Armbrust</t>
  </si>
  <si>
    <t>Hand: 12,14sec:4 / Geissfuss: 7,30sec:2 / Winde: 4,60sec:1</t>
  </si>
  <si>
    <t>1W8</t>
  </si>
  <si>
    <t>+10/+2/-14/-31/x</t>
  </si>
  <si>
    <t>Mittelschwere Armbrust</t>
  </si>
  <si>
    <t>Hand: 25,14sec:4 / Geissfuss: 12,30sec:2 / Winde: 7,60sec:1</t>
  </si>
  <si>
    <t>1W10</t>
  </si>
  <si>
    <t>+9/+6/-9/-25/x</t>
  </si>
  <si>
    <t>Schwere Armbrust</t>
  </si>
  <si>
    <t>Hand: 37,14sec:4 / Geissfuss: 20,30sec:2 / Winde: 14,60sec:1</t>
  </si>
  <si>
    <t>1W12</t>
  </si>
  <si>
    <t>+8/+5/-5/-21/x</t>
  </si>
  <si>
    <t>Repetier Armbrust</t>
  </si>
  <si>
    <t>Repetiern:11,6sec:10 / 5xBolzen nachladen: 1,16sec:6(Erg:5 fuer 1)</t>
  </si>
  <si>
    <t>+7/0/-17/-34/x</t>
  </si>
  <si>
    <t>Nur normale Bolzen mit normaler Spitze im 5-Schuss-Magazin</t>
  </si>
  <si>
    <t>Hand: 7,14sec:4 / Geissfuss: 3,30sec:2 / Winde: 1,60sec:1</t>
  </si>
  <si>
    <t>+10/-4/-25/-39/x</t>
  </si>
  <si>
    <t>Hand: 10,14sec:4 / Geissfuss: 5,30sec:2 / Winde: 2,60sec:1</t>
  </si>
  <si>
    <t>+9/+3/-15/-32/x</t>
  </si>
  <si>
    <t>Hand: 23,14sec:4 / Geissfuss: 10,30sec:2 / Winde: 5,60sec:1</t>
  </si>
  <si>
    <t>+8/+5/-10/-26/x</t>
  </si>
  <si>
    <t>Hand: 35,14sec:4 / Geissfuss: 18,30sec:2 / Winde: 12,60sec:1</t>
  </si>
  <si>
    <t>+7/+4/-6/-22/x</t>
  </si>
  <si>
    <t>Repetiern:9,6sec:10 / 5xBolzen nachladen: 1,16sec:6(Erg:5 fuer 1)</t>
  </si>
  <si>
    <t>+6/-1/-18/-35/x</t>
  </si>
  <si>
    <t>Hand: 13,14sec:4 / Geissfuss: 9,30sec:2 / Winde: 7,60sec:1</t>
  </si>
  <si>
    <t>Hand: 16,14sec:4 / Geissfuss: 11,30sec:2 / Winde: 8,60sec:1</t>
  </si>
  <si>
    <t>Hand: 29,14sec:4 / Geissfuss: 16,30sec:2 / Winde: 11,60sec:1</t>
  </si>
  <si>
    <t>Hand: 41,14sec:4 / Geissfuss: 24,30sec:2 / Winde: 18,60sec:1</t>
  </si>
  <si>
    <t>Schwerer Kriegsweiler</t>
  </si>
  <si>
    <t>Hand: 46,15sec:4 / Geissfuss: 29,31sec:2 / Winde: 23,61sec:1</t>
  </si>
  <si>
    <t>1W15</t>
  </si>
  <si>
    <t>Repetiern:15,6sec:10 / 5xBolzen nachladen: 1,16sec:6(Erg:5 fuer 1)</t>
  </si>
  <si>
    <t>+13/-1/-22/-36/x</t>
  </si>
  <si>
    <t>+12/+4/-12/-29/x</t>
  </si>
  <si>
    <t>+11/+7/-7/-23/x</t>
  </si>
  <si>
    <t>+10/+6/-3/-19/x</t>
  </si>
  <si>
    <t>+9/+2/-15/-32/x</t>
  </si>
  <si>
    <t>+9/+1/-15/-32/x</t>
  </si>
  <si>
    <t>Hand: 5,14sec:4 / Geissfuss: 1,30sec:2 / Winde: 1,60sec:1</t>
  </si>
  <si>
    <t>1W2</t>
  </si>
  <si>
    <t>Hand: 8,14sec:4 / Geissfuss: 3,30sec:2 / Winde: 1,60sec:1</t>
  </si>
  <si>
    <t>Hand: 21,14sec:4 / Geissfuss: 8,30sec:2 / Winde: 3,60sec:1</t>
  </si>
  <si>
    <t>Hand: 33,14sec:4 / Geissfuss: 16,30sec:2 / Winde: 10,60sec:1</t>
  </si>
  <si>
    <t>Repetiern:8,6sec:10 / 5xBolzen nachladen: 1,16sec:6(Erg:5 fuer 1)</t>
  </si>
  <si>
    <t>Hand: 10,14sec:4 / Geissfuss: 6,30sec:2 / Winde: 4,60sec:1</t>
  </si>
  <si>
    <t>+12/-2/-23/-37/x</t>
  </si>
  <si>
    <t>Hand: 13,14sec:4 / Geissfuss: 8,30sec:2 / Winde: 5,60sec:1</t>
  </si>
  <si>
    <t>+11/+3/-13/-30/x</t>
  </si>
  <si>
    <t>Hand: 26,14sec:4 / Geissfuss: 13,30sec:2 / Winde: 8,60sec:1</t>
  </si>
  <si>
    <t>+10/+7/-8/-24/x</t>
  </si>
  <si>
    <t>Hand: 38,14sec:4 / Geissfuss: 21,30sec:2 / Winde: 15,60sec:1</t>
  </si>
  <si>
    <t>+9/+6/-4/-20/x</t>
  </si>
  <si>
    <t>Repetiern:12,6sec:10 / 5xBolzen nachladen: 1,16sec:6(Erg:5 fuer 1)</t>
  </si>
  <si>
    <t>+8/+1/-16/-33/x</t>
  </si>
  <si>
    <t>Balläster</t>
  </si>
  <si>
    <t>Hand: 13,14sec:4 / Geissfuss: x,xxsec:x / Winde: x,xxsec:x</t>
  </si>
  <si>
    <t>Zur Steinschleuder umgebaute Armbrust fuer die Vogeljagd; Munition kullert leicht aus der Abschusshalterung</t>
  </si>
  <si>
    <t>Improvisierter-Bolzen</t>
  </si>
  <si>
    <t>-15</t>
  </si>
  <si>
    <t>nicht V</t>
  </si>
  <si>
    <t>Holzspitzen-Bolzen</t>
  </si>
  <si>
    <t>-7</t>
  </si>
  <si>
    <t>Knochenspitzen-Bolzen</t>
  </si>
  <si>
    <t>400FZ</t>
  </si>
  <si>
    <t>Steinspitzen-Bolzen</t>
  </si>
  <si>
    <t>800 FZ</t>
  </si>
  <si>
    <t>Diamantspatspitzen-Bolzen</t>
  </si>
  <si>
    <t>+1W10</t>
  </si>
  <si>
    <t>3,5D</t>
  </si>
  <si>
    <t>Bronzespitzen-Bolzen</t>
  </si>
  <si>
    <t>1,2D</t>
  </si>
  <si>
    <t>Eisenspitzen-Bolzen</t>
  </si>
  <si>
    <t>2D</t>
  </si>
  <si>
    <t>Stahlspitzen-Bolzen</t>
  </si>
  <si>
    <t>Edelstahlspitzen-Bolzen</t>
  </si>
  <si>
    <t>Faltstahlspitzen-Bolzen</t>
  </si>
  <si>
    <t>20D</t>
  </si>
  <si>
    <t>Nasiumspitzen-Bolzen</t>
  </si>
  <si>
    <t>400D</t>
  </si>
  <si>
    <t>Adamantidspitzen-Bolzen</t>
  </si>
  <si>
    <t>10000D</t>
  </si>
  <si>
    <t>Diamantspitzen-Bolzen</t>
  </si>
  <si>
    <t>Silberspitzen-Bolzen</t>
  </si>
  <si>
    <t>Glasspitzen-Bolzen</t>
  </si>
  <si>
    <t>40D</t>
  </si>
  <si>
    <t>Breitkopfspitzen-Bolzen</t>
  </si>
  <si>
    <t>-4</t>
  </si>
  <si>
    <t>+8D</t>
  </si>
  <si>
    <t>Hohlspitzen-Bolzen</t>
  </si>
  <si>
    <t>+40D</t>
  </si>
  <si>
    <t>Moderner Arme-Bolzen: wird nur an staatlich Befugte weitergegeben</t>
  </si>
  <si>
    <t>Widerhaken-Bolzen</t>
  </si>
  <si>
    <t>Ges+Medizin erschwert um 15 beim Rausziehen, sonst 1W8+4 SP direkt auf die TZ</t>
  </si>
  <si>
    <t>Kanuelen-Bolzen</t>
  </si>
  <si>
    <t>+12D</t>
  </si>
  <si>
    <t>Halbmond-Bolzen</t>
  </si>
  <si>
    <t>Dornspitzen-Bolzen</t>
  </si>
  <si>
    <t>+10</t>
  </si>
  <si>
    <t>+4D</t>
  </si>
  <si>
    <t>Hohlkoerper-Bolzen</t>
  </si>
  <si>
    <t>+20D</t>
  </si>
  <si>
    <t>Improvisierte Balläster-Munition</t>
  </si>
  <si>
    <t>Meistens ein Stein</t>
  </si>
  <si>
    <t>Balläster-Munition</t>
  </si>
  <si>
    <t>600 FZ</t>
  </si>
  <si>
    <t>Meistens eine murmelgrosse Stahlkugel</t>
  </si>
  <si>
    <t>Munitionsrune-Slots</t>
  </si>
  <si>
    <t>RW-max-m</t>
  </si>
  <si>
    <t>Mod-10m</t>
  </si>
  <si>
    <t>Mod-30m</t>
  </si>
  <si>
    <t>Mod-60m</t>
  </si>
  <si>
    <t>Mod-100m</t>
  </si>
  <si>
    <t>Mod-150m</t>
  </si>
  <si>
    <t>Mod-210m</t>
  </si>
  <si>
    <t>Zwergisch Standard</t>
  </si>
  <si>
    <t>100m</t>
  </si>
  <si>
    <t>85D</t>
  </si>
  <si>
    <t>Zwergisch Militaer Neu</t>
  </si>
  <si>
    <t>115m</t>
  </si>
  <si>
    <t>190D+</t>
  </si>
  <si>
    <t>Goblinisch kurz</t>
  </si>
  <si>
    <t>80m</t>
  </si>
  <si>
    <t>65D</t>
  </si>
  <si>
    <t>Drow modifiziert Zwergisch</t>
  </si>
  <si>
    <t>105m</t>
  </si>
  <si>
    <t>130D+</t>
  </si>
  <si>
    <t>Munitionsrune</t>
  </si>
  <si>
    <t>Schaden-Formel</t>
  </si>
  <si>
    <t>Zusatzeffekt</t>
  </si>
  <si>
    <t>Saeure</t>
  </si>
  <si>
    <t>W8+St.</t>
  </si>
  <si>
    <t>RSx2</t>
  </si>
  <si>
    <t>Wenn SP&gt;0: nach 2 und 5 sec je (W6+St.) SP (gleiche TZ)</t>
  </si>
  <si>
    <t>Feuer</t>
  </si>
  <si>
    <t>2W8+(2xSt.)</t>
  </si>
  <si>
    <t>Luft</t>
  </si>
  <si>
    <t>W6+St.</t>
  </si>
  <si>
    <t>Immer Selbstbeherrschungs-Probe zusaetzlich erschwert um (3xSt.) gegen Kampfunfaehigkeit fuer Differenz in Sekunden</t>
  </si>
  <si>
    <t>2W10+St.</t>
  </si>
  <si>
    <t>St.</t>
  </si>
  <si>
    <t>3D</t>
  </si>
  <si>
    <t>Eis</t>
  </si>
  <si>
    <t>W12+(2xSt.)</t>
  </si>
  <si>
    <t>St.+2</t>
  </si>
  <si>
    <t>Blitz</t>
  </si>
  <si>
    <t>W10+St.</t>
  </si>
  <si>
    <t>Immer Selbstbeherrschungs-Probe zusaetzlich erschwert um (3xSt.) gegen Bewusstlosigkeit fuer Differenz in Sekunden</t>
  </si>
  <si>
    <t>8D</t>
  </si>
  <si>
    <t>W15+(2xSt.)</t>
  </si>
  <si>
    <t>2xSt.</t>
  </si>
  <si>
    <t>Opfer haben keine Gluecks-Probe. FK-Patzer-Maximum=5</t>
  </si>
  <si>
    <t>35D</t>
  </si>
  <si>
    <t>70D</t>
  </si>
  <si>
    <t>200D</t>
  </si>
  <si>
    <t>450D</t>
  </si>
  <si>
    <t>1000D+</t>
  </si>
  <si>
    <t>2000D+</t>
  </si>
  <si>
    <t>5000D+</t>
  </si>
  <si>
    <t>Typ</t>
  </si>
  <si>
    <t>Gewicht</t>
  </si>
  <si>
    <t>Min. Stä</t>
  </si>
  <si>
    <t>1.W</t>
  </si>
  <si>
    <t>2.W</t>
  </si>
  <si>
    <t>Fixschaden</t>
  </si>
  <si>
    <t>150m</t>
  </si>
  <si>
    <t>210m</t>
  </si>
  <si>
    <t>Nachladezeit</t>
  </si>
  <si>
    <t>Nachladen TaW-Teiler</t>
  </si>
  <si>
    <t>Patzermodifikator</t>
  </si>
  <si>
    <t>Verfügbarkeit</t>
  </si>
  <si>
    <t>Herstellungszeit</t>
  </si>
  <si>
    <t>Materialpreis</t>
  </si>
  <si>
    <t>Improvisierte Stangenwaffen</t>
  </si>
  <si>
    <t>Goblin Kurzbogen</t>
  </si>
  <si>
    <t>+8</t>
  </si>
  <si>
    <t>-13</t>
  </si>
  <si>
    <t>-25</t>
  </si>
  <si>
    <t>50D</t>
  </si>
  <si>
    <t>Goblin Jagdbogen</t>
  </si>
  <si>
    <t>-8</t>
  </si>
  <si>
    <t>-22</t>
  </si>
  <si>
    <t>60D</t>
  </si>
  <si>
    <t>Goblin Langbogen</t>
  </si>
  <si>
    <t>-20</t>
  </si>
  <si>
    <t>-30</t>
  </si>
  <si>
    <t>Bogen von der Firma Froggler</t>
  </si>
  <si>
    <t>55D</t>
  </si>
  <si>
    <t>Indianer Bogen</t>
  </si>
  <si>
    <t>-23</t>
  </si>
  <si>
    <t>Indianer Langbogen</t>
  </si>
  <si>
    <t>-21</t>
  </si>
  <si>
    <t>Schwarzfels Bogen</t>
  </si>
  <si>
    <t>Daikini Kurzbogen</t>
  </si>
  <si>
    <t>-11</t>
  </si>
  <si>
    <t>Daikini Jagdbogen</t>
  </si>
  <si>
    <t>80D</t>
  </si>
  <si>
    <t>Daikini Langbogen</t>
  </si>
  <si>
    <t>125D</t>
  </si>
  <si>
    <t>Elfen Kurzbogen</t>
  </si>
  <si>
    <t>-9</t>
  </si>
  <si>
    <t>Elfen Jagdbogen</t>
  </si>
  <si>
    <t>130D</t>
  </si>
  <si>
    <t>Elfen Langbogen</t>
  </si>
  <si>
    <t>-6</t>
  </si>
  <si>
    <t>-17</t>
  </si>
  <si>
    <t>180D</t>
  </si>
  <si>
    <t>Kompositbogen kurz (Elf)</t>
  </si>
  <si>
    <t>+9</t>
  </si>
  <si>
    <t>Kompositbogen lang (Elf)</t>
  </si>
  <si>
    <t>250D</t>
  </si>
  <si>
    <t>-29</t>
  </si>
  <si>
    <t>1500D</t>
  </si>
  <si>
    <t>Ork Kurzbogen</t>
  </si>
  <si>
    <t>-12</t>
  </si>
  <si>
    <t>-26</t>
  </si>
  <si>
    <t>Ork Jagdbogen</t>
  </si>
  <si>
    <t>Ork Langbogen</t>
  </si>
  <si>
    <t>-31</t>
  </si>
  <si>
    <t>-14</t>
  </si>
  <si>
    <t>Kompositbogen kurz (Zwerg)</t>
  </si>
  <si>
    <t>Kompositbogen lang (Zwerg)</t>
  </si>
  <si>
    <t>Umspannbogen (Zwerg)</t>
  </si>
  <si>
    <t>Katzen Kurzbogen</t>
  </si>
  <si>
    <t>Katzen Jagdbogen</t>
  </si>
  <si>
    <t>90D</t>
  </si>
  <si>
    <t>Katzen Langbogen</t>
  </si>
  <si>
    <t>135D</t>
  </si>
  <si>
    <t>Zentauren Kurzbogen</t>
  </si>
  <si>
    <t>Kompositbogen kurz (Zentaur)</t>
  </si>
  <si>
    <t>1W20</t>
  </si>
  <si>
    <t>-5</t>
  </si>
  <si>
    <t>1W30</t>
  </si>
  <si>
    <t>Drow Kurzbogen</t>
  </si>
  <si>
    <t>Drow Jagdbogen</t>
  </si>
  <si>
    <t>Drow Langbogen</t>
  </si>
  <si>
    <t>Gnom Kurzbogen</t>
  </si>
  <si>
    <t>Gnom Jagdbogen</t>
  </si>
  <si>
    <t>Gnom Langbogen</t>
  </si>
  <si>
    <t>Umspannbogen (Gnom)</t>
  </si>
  <si>
    <t>Ladetechnik Hand: min.Stä</t>
  </si>
  <si>
    <t>Ladetechnik Hand: Ladezeit</t>
  </si>
  <si>
    <t>Ladetechnik Hand: Ladezeit-Teiler</t>
  </si>
  <si>
    <t>Ladetechnik Geißfuß: min.Stä</t>
  </si>
  <si>
    <t>Ladetechnik Geißfuß: Ladezeit</t>
  </si>
  <si>
    <t>Ladetechnik Geißfuß: Ladezeit-Teiler</t>
  </si>
  <si>
    <t>Ladetechnik Winde: min.Stä</t>
  </si>
  <si>
    <t>Ladetechnik Winde: Ladezeit</t>
  </si>
  <si>
    <t>Ladetechnik Winde: Ladezeit-Teiler</t>
  </si>
  <si>
    <t>Ladetechnik Repetieren: min.Stä</t>
  </si>
  <si>
    <t>Ladetechnik Repetieren: Ladezeit</t>
  </si>
  <si>
    <t>Ladetechnik Repetieren: Ladezeit-Teiler</t>
  </si>
  <si>
    <t>Ladetechnik Repetierer Nachladen: min.Stä</t>
  </si>
  <si>
    <t>Ladetechnik Repetierer Nachladen: Ladezeit</t>
  </si>
  <si>
    <t>Ladetechnik Nachladen: Ladezeit-Teiler</t>
  </si>
  <si>
    <t>Armbrust</t>
  </si>
  <si>
    <t>-39</t>
  </si>
  <si>
    <t>13sec</t>
  </si>
  <si>
    <t>Hand Armbrust (Daikini)</t>
  </si>
  <si>
    <t>+11</t>
  </si>
  <si>
    <t>-24</t>
  </si>
  <si>
    <t>-38</t>
  </si>
  <si>
    <t>14sec</t>
  </si>
  <si>
    <t>Leichte Armbrust (Daikini)</t>
  </si>
  <si>
    <t>120D</t>
  </si>
  <si>
    <t>Mittelschwere Armbrust (Daikini)</t>
  </si>
  <si>
    <t>Schwere Armbrust (Daikini)</t>
  </si>
  <si>
    <t>800D</t>
  </si>
  <si>
    <t>Repetier Armbrust (Daikini)</t>
  </si>
  <si>
    <t>Repetier-Armbrust</t>
  </si>
  <si>
    <t>-34</t>
  </si>
  <si>
    <t>900D</t>
  </si>
  <si>
    <t>Nur normale Bolzen mit normaler Spitze im 5-Schuss-Magazin, Nachladen immer 5 Schuss.</t>
  </si>
  <si>
    <t>Hand Armbrust (Goblin)</t>
  </si>
  <si>
    <t>75D</t>
  </si>
  <si>
    <t>Leichte Armbrust (Goblin)</t>
  </si>
  <si>
    <t>-32</t>
  </si>
  <si>
    <t>Mittelschwere Armbrust (Goblin)</t>
  </si>
  <si>
    <t>-10</t>
  </si>
  <si>
    <t>150D</t>
  </si>
  <si>
    <t>Schwere Armbrust (Goblin)</t>
  </si>
  <si>
    <t>600D</t>
  </si>
  <si>
    <t>Repetier Armbrust (Goblin)</t>
  </si>
  <si>
    <t>-18</t>
  </si>
  <si>
    <t>-35</t>
  </si>
  <si>
    <t>675D</t>
  </si>
  <si>
    <t>Hand Armbrust (Ork)</t>
  </si>
  <si>
    <t>Leichte Armbrust (Ork)</t>
  </si>
  <si>
    <t>Mittelschwere Armbrust (Ork)</t>
  </si>
  <si>
    <t>Schwere Armbrust (Ork)</t>
  </si>
  <si>
    <t>15sec</t>
  </si>
  <si>
    <t>Repetier Armbrust (Ork)</t>
  </si>
  <si>
    <t>Hand Armbrust (Elf)</t>
  </si>
  <si>
    <t>+13</t>
  </si>
  <si>
    <t>-36</t>
  </si>
  <si>
    <t>Leichte Armbrust (Elf)</t>
  </si>
  <si>
    <t>+12</t>
  </si>
  <si>
    <t>Mittelschwere Armbrust (Elf)</t>
  </si>
  <si>
    <t>Schwere Armbrust (Elf)</t>
  </si>
  <si>
    <t>-19</t>
  </si>
  <si>
    <t>Repetier Armbrust (Elf)</t>
  </si>
  <si>
    <t>1125D</t>
  </si>
  <si>
    <t>Hand Armbrust (Drow)</t>
  </si>
  <si>
    <t>Leichte Armbrust (Drow)</t>
  </si>
  <si>
    <t>145D</t>
  </si>
  <si>
    <t>Mittelschwere Armbrust (Drow)</t>
  </si>
  <si>
    <t>245D</t>
  </si>
  <si>
    <t>Schwere Armbrust (Drow)</t>
  </si>
  <si>
    <t>995D</t>
  </si>
  <si>
    <t>Repetier Armbrust (Drow)</t>
  </si>
  <si>
    <t>1120D</t>
  </si>
  <si>
    <t>Hand Armbrust (Gnom)</t>
  </si>
  <si>
    <t>Leichte Armbrust (Gnom)</t>
  </si>
  <si>
    <t>Mittelschwere Armbrust (Gnom)</t>
  </si>
  <si>
    <t>Schwere Armbrust (Gnom)</t>
  </si>
  <si>
    <t>Repetier Armbrust (Gnom)</t>
  </si>
  <si>
    <t>Hand Armbrust (Zwerg)</t>
  </si>
  <si>
    <t>-37</t>
  </si>
  <si>
    <t>160D</t>
  </si>
  <si>
    <t>Leichte Armbrust (Zwerg)</t>
  </si>
  <si>
    <t>Mittelschwere Armbrust (Zwerg)</t>
  </si>
  <si>
    <t>300D</t>
  </si>
  <si>
    <t>Schwere Armbrust (Zwerg)</t>
  </si>
  <si>
    <t>1200D</t>
  </si>
  <si>
    <t>Repetier Armbrust (Zwerg)</t>
  </si>
  <si>
    <t>-16</t>
  </si>
  <si>
    <t>-33</t>
  </si>
  <si>
    <t>1350D</t>
  </si>
  <si>
    <t>Lademechanik</t>
  </si>
  <si>
    <t>Munition (Waffen-Bezeichnung)</t>
  </si>
  <si>
    <t>Munition-Art (primaer)</t>
  </si>
  <si>
    <t>Preis-1-Schuss (primaer)</t>
  </si>
  <si>
    <t>Munition-Art (alternativ)</t>
  </si>
  <si>
    <t>Preis-1-Schuss (alternativ)</t>
  </si>
  <si>
    <t>Alternativ-Effekt</t>
  </si>
  <si>
    <t>Hakenbüchse</t>
  </si>
  <si>
    <t>Dalkinisch</t>
  </si>
  <si>
    <t>Muskete</t>
  </si>
  <si>
    <t>Schweres Gewehr</t>
  </si>
  <si>
    <t>Langpistole</t>
  </si>
  <si>
    <t>Pistole</t>
  </si>
  <si>
    <t>verb. Langpistole</t>
  </si>
  <si>
    <t>Schalarr</t>
  </si>
  <si>
    <t>Papier Patrone</t>
  </si>
  <si>
    <t>Schapschu</t>
  </si>
  <si>
    <t>Klapplauf</t>
  </si>
  <si>
    <t>Messing Patrone</t>
  </si>
  <si>
    <t>Ssussun</t>
  </si>
  <si>
    <t>Wissperr</t>
  </si>
  <si>
    <t>Dunar</t>
  </si>
  <si>
    <t>Schatten</t>
  </si>
  <si>
    <t>Suliss</t>
  </si>
  <si>
    <t>Taschenalb</t>
  </si>
  <si>
    <t>Adler</t>
  </si>
  <si>
    <t>Bussard</t>
  </si>
  <si>
    <t>Kondor</t>
  </si>
  <si>
    <t>Marodeur</t>
  </si>
  <si>
    <t>Minas</t>
  </si>
  <si>
    <t>Seriemas</t>
  </si>
  <si>
    <t>Falke</t>
  </si>
  <si>
    <t>Schantie</t>
  </si>
  <si>
    <t>Schwalbe</t>
  </si>
  <si>
    <t>Bestgarr</t>
  </si>
  <si>
    <t>Block- oder Scharnierverschluss</t>
  </si>
  <si>
    <t>Boogarr</t>
  </si>
  <si>
    <t>Deegarr</t>
  </si>
  <si>
    <t>Duegarr</t>
  </si>
  <si>
    <t>Felpgarr</t>
  </si>
  <si>
    <t>Felpteske</t>
  </si>
  <si>
    <t>Froggler</t>
  </si>
  <si>
    <t>Garr</t>
  </si>
  <si>
    <t>Gliksik</t>
  </si>
  <si>
    <t>Gnarrgarr</t>
  </si>
  <si>
    <t>Goldbeißer</t>
  </si>
  <si>
    <t>Kickgarr</t>
  </si>
  <si>
    <t>Metgarr</t>
  </si>
  <si>
    <t>Modsgarr</t>
  </si>
  <si>
    <t>Nargarr</t>
  </si>
  <si>
    <t>Scopgarr</t>
  </si>
  <si>
    <t>Munition-Typ 'Harpune' nicht in Munition-Feuerwaffen-Tabelle vorhanden (kein Preis in Quelle)</t>
  </si>
  <si>
    <t>Silberbeißer</t>
  </si>
  <si>
    <t>Slipgarr</t>
  </si>
  <si>
    <t>Tikgarr</t>
  </si>
  <si>
    <t>Bestskueek</t>
  </si>
  <si>
    <t>Blizskueek</t>
  </si>
  <si>
    <t>Booskueek</t>
  </si>
  <si>
    <t>Dueskueek</t>
  </si>
  <si>
    <t>Duetarskueek</t>
  </si>
  <si>
    <t>Kaliber 6 fuer 'Messingpatrone' nicht in Munition-Feuerwaffen-Tabelle vorhanden (kein Preis in Quelle)</t>
  </si>
  <si>
    <t>Fips</t>
  </si>
  <si>
    <t>Kaliber 5 fuer 'Messingpatrone' nicht in Munition-Feuerwaffen-Tabelle vorhanden (kein Preis in Quelle)</t>
  </si>
  <si>
    <t>Hydra</t>
  </si>
  <si>
    <t>Nackskueek</t>
  </si>
  <si>
    <t>Skueek</t>
  </si>
  <si>
    <t>Slipskueek</t>
  </si>
  <si>
    <t>Tarskueek</t>
  </si>
  <si>
    <t>Durass</t>
  </si>
  <si>
    <t>Exekutierer</t>
  </si>
  <si>
    <t>Irat</t>
  </si>
  <si>
    <t>Kaboom</t>
  </si>
  <si>
    <t>Kakrotz</t>
  </si>
  <si>
    <t>Metnar</t>
  </si>
  <si>
    <t>Scharwar</t>
  </si>
  <si>
    <t>Schopkrotz</t>
  </si>
  <si>
    <t>Blobschlopsch</t>
  </si>
  <si>
    <t>Boom</t>
  </si>
  <si>
    <t>Kenp</t>
  </si>
  <si>
    <t>Kok'sche</t>
  </si>
  <si>
    <t>Ork’sche</t>
  </si>
  <si>
    <t>Balrog</t>
  </si>
  <si>
    <t>Borstbüchse</t>
  </si>
  <si>
    <t>Eisenbeißer</t>
  </si>
  <si>
    <t>Fafnir</t>
  </si>
  <si>
    <t>Grimmbar</t>
  </si>
  <si>
    <t>Levitas</t>
  </si>
  <si>
    <t>Lindwurm</t>
  </si>
  <si>
    <t>Lohdrim</t>
  </si>
  <si>
    <t>Magmass</t>
  </si>
  <si>
    <t>Mjölnir</t>
  </si>
  <si>
    <t>Skorpion</t>
  </si>
  <si>
    <t>Smaug</t>
  </si>
  <si>
    <t>Stahlbeisser</t>
  </si>
  <si>
    <t>Wyvern</t>
  </si>
  <si>
    <t>Bifrost</t>
  </si>
  <si>
    <t>Drako</t>
  </si>
  <si>
    <t>Feuerspucker</t>
  </si>
  <si>
    <t>Wyrm</t>
  </si>
  <si>
    <t>RW-Mod</t>
  </si>
  <si>
    <t>Normal</t>
  </si>
  <si>
    <t>Spitzen-Modifikator</t>
  </si>
  <si>
    <t>Rassen-Spezial</t>
  </si>
  <si>
    <t>Spezial-Munition</t>
  </si>
  <si>
    <t>Bauart</t>
  </si>
  <si>
    <t>Schloss</t>
  </si>
  <si>
    <t>Lauf</t>
  </si>
  <si>
    <t>Munition</t>
  </si>
  <si>
    <t>Verfuegbarkeit (1-7)</t>
  </si>
  <si>
    <t>Gewehr</t>
  </si>
  <si>
    <t>Luntenschloss</t>
  </si>
  <si>
    <t>Glattlauf</t>
  </si>
  <si>
    <t>Schwer</t>
  </si>
  <si>
    <t>Langlauf</t>
  </si>
  <si>
    <t>Improvisierte Hiebwaffen</t>
  </si>
  <si>
    <t>Normal P</t>
  </si>
  <si>
    <t>Steinschloss</t>
  </si>
  <si>
    <t>Karabiner</t>
  </si>
  <si>
    <t>Nadelzündung</t>
  </si>
  <si>
    <t>Schlagbolzen</t>
  </si>
  <si>
    <t>Gezogen</t>
  </si>
  <si>
    <t>Schwer P</t>
  </si>
  <si>
    <t>Pocket Pistol</t>
  </si>
  <si>
    <t>Jagd</t>
  </si>
  <si>
    <t>Perkussionsschloss</t>
  </si>
  <si>
    <t>Präzisionsgewehr</t>
  </si>
  <si>
    <t>Karabiner VL</t>
  </si>
  <si>
    <t>Radschloss</t>
  </si>
  <si>
    <t>Donnerbüchse</t>
  </si>
  <si>
    <t>Doppelläufig</t>
  </si>
  <si>
    <t>Billig</t>
  </si>
  <si>
    <t>Schwere Hakenbüchse (Trolltöter)</t>
  </si>
  <si>
    <t>Böller</t>
  </si>
  <si>
    <t>Doppelläufig P</t>
  </si>
  <si>
    <t>Vierläufig P</t>
  </si>
  <si>
    <t>Mindeststärke</t>
  </si>
  <si>
    <t>1.Würfel</t>
  </si>
  <si>
    <t>2.Würfel</t>
  </si>
  <si>
    <t>Lohn/d</t>
  </si>
  <si>
    <t>Stahl/kg in D</t>
  </si>
  <si>
    <t>Holz/kg in D</t>
  </si>
  <si>
    <t>Gewicht Stahl in kg</t>
  </si>
  <si>
    <t>Gewicht Holz in kg</t>
  </si>
  <si>
    <t>Würfeltabelle</t>
  </si>
  <si>
    <t>Alle anderen</t>
  </si>
  <si>
    <t>Verftabelle</t>
  </si>
  <si>
    <t>W2</t>
  </si>
  <si>
    <t>W3</t>
  </si>
  <si>
    <t>Gob. Massenfabrikation</t>
  </si>
  <si>
    <t>Billig P</t>
  </si>
  <si>
    <t>Lademechanismus</t>
  </si>
  <si>
    <t>TYP</t>
  </si>
  <si>
    <t>Vierläufig</t>
  </si>
  <si>
    <t>Angepasst</t>
  </si>
  <si>
    <t>Perfekt Angepasst</t>
  </si>
  <si>
    <t>MinInt</t>
  </si>
  <si>
    <t>Gegenprobe</t>
  </si>
  <si>
    <t>Form</t>
  </si>
  <si>
    <t>ZauberArt</t>
  </si>
  <si>
    <t>Aufrechterhaltung</t>
  </si>
  <si>
    <t>Vorbereitungszeit</t>
  </si>
  <si>
    <t>Einwirkdauer</t>
  </si>
  <si>
    <t>Stufe1</t>
  </si>
  <si>
    <t>Stufe2</t>
  </si>
  <si>
    <t>Stufe3</t>
  </si>
  <si>
    <t>12</t>
  </si>
  <si>
    <t>Keine Gegenprobe möglich.</t>
  </si>
  <si>
    <t>Berührung</t>
  </si>
  <si>
    <t>Einmalig</t>
  </si>
  <si>
    <t>/</t>
  </si>
  <si>
    <t>30</t>
  </si>
  <si>
    <t>30sec</t>
  </si>
  <si>
    <t>9</t>
  </si>
  <si>
    <t>Magie*min</t>
  </si>
  <si>
    <t>(M)*min</t>
  </si>
  <si>
    <t>21</t>
  </si>
  <si>
    <t>15</t>
  </si>
  <si>
    <t>14</t>
  </si>
  <si>
    <t>24</t>
  </si>
  <si>
    <t>16</t>
  </si>
  <si>
    <t>18</t>
  </si>
  <si>
    <t>13</t>
  </si>
  <si>
    <t>Magie/2m</t>
  </si>
  <si>
    <t>Punkt im Raum</t>
  </si>
  <si>
    <t>Wand</t>
  </si>
  <si>
    <t>Anhaltend</t>
  </si>
  <si>
    <t>0.5</t>
  </si>
  <si>
    <t>1sec</t>
  </si>
  <si>
    <t>(M)*3sec</t>
  </si>
  <si>
    <t>5 + 1 / sec</t>
  </si>
  <si>
    <t>Glücks-Probe, um der Wirkung zu entgehen.</t>
  </si>
  <si>
    <t>Bipolar</t>
  </si>
  <si>
    <t>(M)/2m Radius</t>
  </si>
  <si>
    <t>Kugel</t>
  </si>
  <si>
    <t>3sec</t>
  </si>
  <si>
    <t>10 + 2 / sec</t>
  </si>
  <si>
    <t>17</t>
  </si>
  <si>
    <t>1.5</t>
  </si>
  <si>
    <t>20</t>
  </si>
  <si>
    <t>(M) / 2</t>
  </si>
  <si>
    <t>(M)*4m</t>
  </si>
  <si>
    <t>1800</t>
  </si>
  <si>
    <t>(M)*h</t>
  </si>
  <si>
    <t>1 / 10m³ / h</t>
  </si>
  <si>
    <t>8</t>
  </si>
  <si>
    <t>Magie*m</t>
  </si>
  <si>
    <t>12 + (2 / m³) / sec</t>
  </si>
  <si>
    <t>19</t>
  </si>
  <si>
    <t>(M)*sec</t>
  </si>
  <si>
    <t>27</t>
  </si>
  <si>
    <t>6 + (SP:2) + 3 / sec</t>
  </si>
  <si>
    <t>10 / sec</t>
  </si>
  <si>
    <t>25</t>
  </si>
  <si>
    <t>11</t>
  </si>
  <si>
    <t>32</t>
  </si>
  <si>
    <t>40</t>
  </si>
  <si>
    <t>Permanent</t>
  </si>
  <si>
    <t>1sec pro LE</t>
  </si>
  <si>
    <t>3sec pro Punkt Gesundheit</t>
  </si>
  <si>
    <t>Das Opfer legt eine Mut + (M)-Probe ab, erschwert um {M}. Gelingt die Probe, endet der Zauber.</t>
  </si>
  <si>
    <t>(M)/3m</t>
  </si>
  <si>
    <t>Das Opfer legt eine Willenskraft + (M)-Probe ab, erschwert um {M}. Gelingt die Probe, endet der Zauber.</t>
  </si>
  <si>
    <t>Das Opfer legt eine Intelligenz + (M)-Probe ab, erschwert um {M}, alle att_magie sec eine weitere. Gelingt die Probe, endet der Zauber.</t>
  </si>
  <si>
    <t>22</t>
  </si>
  <si>
    <t>Das Opfer legt eine Mut + (M)-Probe ab, erschwert um {M}, alle {Magie} + 1 sec eine weitere. Gelingt die Probe, endet der Zauber.</t>
  </si>
  <si>
    <t>26</t>
  </si>
  <si>
    <t>Jedes Opfer in RW legt eine Mut + (M)-Probe ab, erschwert um {M}, alle {Magie}*2 sec eine weitere. Gelingt die Probe, endet der Zauber.</t>
  </si>
  <si>
    <t>28</t>
  </si>
  <si>
    <t>55</t>
  </si>
  <si>
    <t>Das Opfer legt eine Willenskraft + (M)-Probe ab, erschwert um {M}, alle att_magie sec eine weitere. Gelingt die Probe, endet der Zauber.</t>
  </si>
  <si>
    <t>(M)/2m</t>
  </si>
  <si>
    <t>20 + 1/10Sec pro Opfer</t>
  </si>
  <si>
    <t>23</t>
  </si>
  <si>
    <t>20 + 7 / h</t>
  </si>
  <si>
    <t>Alle Opfer in RW legen eine Mut + (M)-Probe ab, erschwert um {M}, alle {Magie}*3 sec eine weitere. Gelingt die Probe, endet der Zauber.</t>
  </si>
  <si>
    <t>35</t>
  </si>
  <si>
    <t>90</t>
  </si>
  <si>
    <t>Das Opfer legt eine Intelligenz + (M)-Probe ab, erschwert um {M}. Gelingt die Probe, endet der Zauber.</t>
  </si>
  <si>
    <t>Je nachdem wie lang der Satz ist.</t>
  </si>
  <si>
    <t>Magie*h</t>
  </si>
  <si>
    <t>77</t>
  </si>
  <si>
    <t>(M)sec</t>
  </si>
  <si>
    <t>(M)*mRadius</t>
  </si>
  <si>
    <t>W6sec</t>
  </si>
  <si>
    <t>Magie*2sec</t>
  </si>
  <si>
    <t>(M)*2sec</t>
  </si>
  <si>
    <t>2.5</t>
  </si>
  <si>
    <t>16 + 8 / min</t>
  </si>
  <si>
    <t>18 + 6 / min</t>
  </si>
  <si>
    <t>20 + 7 / min</t>
  </si>
  <si>
    <t>Magie*2m</t>
  </si>
  <si>
    <t>30 + 15 / min</t>
  </si>
  <si>
    <t>Bis {Magie}m: Glücks-Probe, ab {Magie}m: Ausweichen, ab {Magie}*2m: mit einem Schild Parieren, um der Wirkung zu entgehen.</t>
  </si>
  <si>
    <t>Ball</t>
  </si>
  <si>
    <t>Bis {M}m: Glücks-Probe, bis {M}*2m: AW/2, danach AW oder mit einem Schild parieren, um der Wirkung zu entgehen.</t>
  </si>
  <si>
    <t>Bolzen</t>
  </si>
  <si>
    <t>6/Bolzen</t>
  </si>
  <si>
    <t>Aura/3m</t>
  </si>
  <si>
    <t>15 + 3 / sec</t>
  </si>
  <si>
    <t>(M)*m Radius</t>
  </si>
  <si>
    <t>38</t>
  </si>
  <si>
    <t>12/Ball</t>
  </si>
  <si>
    <t>60</t>
  </si>
  <si>
    <t>3*(höchster Grad des Artefaktes)</t>
  </si>
  <si>
    <t>3 + (höchster Grad des Artefaktes) x 2</t>
  </si>
  <si>
    <t>(höchster Grad des Artefaktes)sec</t>
  </si>
  <si>
    <t>[(höchster Grad des Artefaktes)x3] +3</t>
  </si>
  <si>
    <t>15 / min</t>
  </si>
  <si>
    <t>25 / min</t>
  </si>
  <si>
    <t>6 + 6 / min</t>
  </si>
  <si>
    <t>75</t>
  </si>
  <si>
    <t>4 / sec</t>
  </si>
  <si>
    <t>(M)*(Mana/30)m</t>
  </si>
  <si>
    <t>selbst</t>
  </si>
  <si>
    <t>40 + alles</t>
  </si>
  <si>
    <t>(M)/2h</t>
  </si>
  <si>
    <t>Magie/2*min</t>
  </si>
  <si>
    <t>Das Opfer legt eine Willenskraft + (M)-Probe ab, erschwert um {M}, alle 5 sec eine weitere. Gelingt die Probe, endet der Zauber.</t>
  </si>
  <si>
    <t>(M)*2Sec</t>
  </si>
  <si>
    <t>W4+Magie sec</t>
  </si>
  <si>
    <t>Das Opfer legt eine Intelligenz + (M)-Probe ab, erschwert um {M}, alle 12h eine weitere. Gelingt die Probe, endet der Zauber.</t>
  </si>
  <si>
    <t>Magie*Tage</t>
  </si>
  <si>
    <t>(M)/3*m</t>
  </si>
  <si>
    <t>Das Opfer legt eine Intelligenz + (M)-Probe ab, erschwert um {M}, alle 5 sec eine weitere. Gelingt die Probe, endet der Zauber.</t>
  </si>
  <si>
    <t>(M)/2*sec</t>
  </si>
  <si>
    <t>Das Opfer legt eine Willenskraft + (M)-Probe ab, erschwert um {M}, je nach Umgebungslautstärke weitere Proben (absolute Stille: alle 1h, Taverne: jede 1 min, Kampf: jede 1 sec). Gelingt die Probe, endet der Zauber.</t>
  </si>
  <si>
    <t>2Sec</t>
  </si>
  <si>
    <t>Jedes Opfer in RW legt eine Intelligenz + (M)-Probe ab, erschwert um {M}, alle 5 sec eine weitere. Gelingt die Probe, endet der Zauber.</t>
  </si>
  <si>
    <t>W6+3*Magie sec</t>
  </si>
  <si>
    <t>Jedes Opfer in RW legt eine Willenskraft + (M)-Probe ab, erschwert um {M}, alle 60 sec eine weitere. Gelingt die Probe, endet der Zauber.</t>
  </si>
  <si>
    <t>45</t>
  </si>
  <si>
    <t>Das Opfer legt eine Willenskraft + (M)-Probe ab, erschwert um {M}*2, alle 24h eine weitere. Gelingt die Probe, endet der Zauber.</t>
  </si>
  <si>
    <t>(M)*2h</t>
  </si>
  <si>
    <t>Das Opfer legt eine Intelligenz + (M)-Probe ab, erschwert um {M}, alle 10 Stunden eine weitere. Gelingt die Probe, endet der Zauber.</t>
  </si>
  <si>
    <t>(M)/6m</t>
  </si>
  <si>
    <t>10 + 1 / 6 sec</t>
  </si>
  <si>
    <t>11 + 2 / sec</t>
  </si>
  <si>
    <t>Magie*3m</t>
  </si>
  <si>
    <t>Strahl</t>
  </si>
  <si>
    <t>Magie*sec</t>
  </si>
  <si>
    <t>8 + 4 / sec</t>
  </si>
  <si>
    <t>4/Ball</t>
  </si>
  <si>
    <t>2sec</t>
  </si>
  <si>
    <t>20 + 1 / 3 sec</t>
  </si>
  <si>
    <t>(M)*3m</t>
  </si>
  <si>
    <t>Magie*4m</t>
  </si>
  <si>
    <t>15+ 7 / sec</t>
  </si>
  <si>
    <t>(M)*5m</t>
  </si>
  <si>
    <t>16/Bolzen</t>
  </si>
  <si>
    <t>180</t>
  </si>
  <si>
    <t>360</t>
  </si>
  <si>
    <t>LE/3h</t>
  </si>
  <si>
    <t>60sec</t>
  </si>
  <si>
    <t>5400</t>
  </si>
  <si>
    <t>10 + 8 / min</t>
  </si>
  <si>
    <t>Magie*3min</t>
  </si>
  <si>
    <t>30 + 3 / min</t>
  </si>
  <si>
    <t>36</t>
  </si>
  <si>
    <t>120</t>
  </si>
  <si>
    <t>14 + 3 / sec</t>
  </si>
  <si>
    <t>720</t>
  </si>
  <si>
    <t>3.5</t>
  </si>
  <si>
    <t>1080</t>
  </si>
  <si>
    <t>52</t>
  </si>
  <si>
    <t>250</t>
  </si>
  <si>
    <t>(M)*5min</t>
  </si>
  <si>
    <t>1 / min</t>
  </si>
  <si>
    <t>2 / min</t>
  </si>
  <si>
    <t>(M)*6cm</t>
  </si>
  <si>
    <t>2 / sec</t>
  </si>
  <si>
    <t>3 / min</t>
  </si>
  <si>
    <t>(M)*10km</t>
  </si>
  <si>
    <t>5sec</t>
  </si>
  <si>
    <t>20 + 1/km + 1/min</t>
  </si>
  <si>
    <t>7 / sec</t>
  </si>
  <si>
    <t>15 / sec</t>
  </si>
  <si>
    <t>(Fläche in m²) * 2</t>
  </si>
  <si>
    <t>Magie*2min</t>
  </si>
  <si>
    <t>7 + 1 / min</t>
  </si>
  <si>
    <t>4sec</t>
  </si>
  <si>
    <t>9 + 4 / h</t>
  </si>
  <si>
    <t>5 + 5 / min</t>
  </si>
  <si>
    <t>8 + 4 / min</t>
  </si>
  <si>
    <t>10 / 5 l</t>
  </si>
  <si>
    <t>3 / l</t>
  </si>
  <si>
    <t>4 / 5 l</t>
  </si>
  <si>
    <t>3 / 5 l</t>
  </si>
  <si>
    <t>3 / dm³</t>
  </si>
  <si>
    <t>7 / m³</t>
  </si>
  <si>
    <t>1 / 5 l</t>
  </si>
  <si>
    <t>1440</t>
  </si>
  <si>
    <t>21 + 15 / min</t>
  </si>
  <si>
    <t>3600</t>
  </si>
  <si>
    <t>10/Liter</t>
  </si>
  <si>
    <t>8 / m³</t>
  </si>
  <si>
    <t>10 / m³</t>
  </si>
  <si>
    <t>6 / dm³</t>
  </si>
  <si>
    <t>(M)/2sec</t>
  </si>
  <si>
    <t>(M)*10m</t>
  </si>
  <si>
    <t>(Länge in Metern)/10sec</t>
  </si>
  <si>
    <t>35 + 5 / min</t>
  </si>
  <si>
    <t>Magie*kmRadius</t>
  </si>
  <si>
    <t>25 / Stufe</t>
  </si>
  <si>
    <t>10 + 6 / sec</t>
  </si>
  <si>
    <t>12 + 7 / sec</t>
  </si>
  <si>
    <t>40 / sec</t>
  </si>
  <si>
    <t>(M)*Tage</t>
  </si>
  <si>
    <t>111</t>
  </si>
  <si>
    <t>(M) * 2 +4</t>
  </si>
  <si>
    <t>(M)*10sec</t>
  </si>
  <si>
    <t>(1 / 50 g) / 10 sec</t>
  </si>
  <si>
    <t>1sec pro 10Mana</t>
  </si>
  <si>
    <t>(M) * 2 + 16</t>
  </si>
  <si>
    <t>7sec</t>
  </si>
  <si>
    <t>7+1/min</t>
  </si>
  <si>
    <t>12 + 4 / min</t>
  </si>
  <si>
    <t>18 + 4 / sec</t>
  </si>
  <si>
    <t>10 + 3 / sec</t>
  </si>
  <si>
    <t>300</t>
  </si>
  <si>
    <t>1260</t>
  </si>
  <si>
    <t>1min pro „Monat“</t>
  </si>
  <si>
    <t>24 / „Monat“</t>
  </si>
  <si>
    <t>1 / 1 kg / 10 sec</t>
  </si>
  <si>
    <t>90sec</t>
  </si>
  <si>
    <t>6sec</t>
  </si>
  <si>
    <t>Magie*Std</t>
  </si>
  <si>
    <t>30 + 15 / Std</t>
  </si>
  <si>
    <t>21600</t>
  </si>
  <si>
    <t>(1 / PS) + (1 / PS) / min</t>
  </si>
  <si>
    <t>8 + 2 / min</t>
  </si>
  <si>
    <t>25 + 10 / min</t>
  </si>
  <si>
    <t>12sec</t>
  </si>
  <si>
    <t>18 + 12 / min</t>
  </si>
  <si>
    <t>2700</t>
  </si>
  <si>
    <t>10sec</t>
  </si>
  <si>
    <t>50 + 17 / min</t>
  </si>
  <si>
    <t>Wirkungsstufe</t>
  </si>
  <si>
    <t>Schadenswürfel</t>
  </si>
  <si>
    <t>2W20</t>
  </si>
  <si>
    <t>2W30</t>
  </si>
  <si>
    <t>Gebet</t>
  </si>
  <si>
    <t>WD</t>
  </si>
  <si>
    <t>MinKarma</t>
  </si>
  <si>
    <t>Malus</t>
  </si>
  <si>
    <t>KPP</t>
  </si>
  <si>
    <t>Allgemeine Wunder</t>
  </si>
  <si>
    <t>Heiliger Blitz</t>
  </si>
  <si>
    <t>Stoß</t>
  </si>
  <si>
    <t>Das Opfer erleidet W10 + {Karma}, Heiligen Schaden, Rüstung ignorierend, auf 1 TZ (W30). Das Wunder kann max. ({Aura}+{Karma}) W6 zusätzlichen Schaden machen, wenn die Anrufungszeit um 2sec verlängert wird. Dämonen und Untote werden immer Getroffen.</t>
  </si>
  <si>
    <t>(M)x2m</t>
  </si>
  <si>
    <t>Heiliger Bolzen</t>
  </si>
  <si>
    <t>Aus dem Nichts schießt ein weißer Blitz mit 40m/s auf sein Ziel zu. Das Opfer hat eine Glücks-Probe. Schaden nur auf Dämonen oder Untote. Auf 1 TZ (W30) : 2W12 + {Magie} + {Karma}, Heiliger Schaden, RB=unendlich</t>
  </si>
  <si>
    <t>(M)x10m</t>
  </si>
  <si>
    <t>Heilige Wand</t>
  </si>
  <si>
    <t>Wunder</t>
  </si>
  <si>
    <t>Eine Wand aus Licht, von Lichtblitzen durchzuckt, breitet sich vor dem Kleriker aus. Sie ist W6 + ({Aura}+{Karma}) Meter breit und Macht x Meter hoch. Die Wand ist nur von Heilig/Heiligen passierbar. Jeder, der die Wand mit einer TZ berührt, erleidet auf diese TZ 2W12 Heiligen Schaden . Durchdringt alle unbelebte Materie.</t>
  </si>
  <si>
    <t>(M)/30m</t>
  </si>
  <si>
    <t>Max: (M)*min</t>
  </si>
  <si>
    <t>Heilige Welle</t>
  </si>
  <si>
    <t>Vom Kleriker aus fährt eine nur durch Lichtreflexionen zu erkennende Welle kugelförmig in alle Richtungen. Alle Dämonen und Untoten, die von der Welle erfasst werden erleiden: 2W6 + {Karma} + aufgeladene W6 (maximal Aura +{Karma} weitere W6), Heiligen Schaden, RB=0, auf jede TZ (1x für alle Würfeln). Für jeden zusätzlichen W6 an TP verlängert sich die Anrufung um 2sec. Jedes Opfer muss eine SB-Probe erschwert um den Gesamtschaden des Zaubers ablegen.</t>
  </si>
  <si>
    <t>(M) m</t>
  </si>
  <si>
    <t>115</t>
  </si>
  <si>
    <t>Heiliger Strahl</t>
  </si>
  <si>
    <t>Aus den Händen des Kleriker schießt ein leuchtender, von Blitzen umrahmter Strahl, der 2W20 + ({Aura} + {Karma}) Heiligen Schaden auf 1 TZ (W30) macht. Der Strahl ist schwenkbar. Der Kleriker kann den Strahl max. ({Aura} + {Karma}) sec aufrechterhalten.</t>
  </si>
  <si>
    <t>2+(Aura +Karma) *2sec</t>
  </si>
  <si>
    <t>Heiliges Land</t>
  </si>
  <si>
    <t>Ritual</t>
  </si>
  <si>
    <t>Das Land um den Kleriker herum erstrahlt göttlich hell. Während der Wirkungsdauer schweben göttliche Lichter durch das Wirkungsgebiet. Die Kosten für das Rufen eines Avatars werden halbiert. Die Wahrscheinlichkeit, dass eine Gottheit erscheint, verdoppelt sich. Jedes nicht lebendige Wesen im Radius erhält 2W12 Heiligen Schaden pro KR auf jede TZ, jegliche Rüstung ignorierend; fliegende Dämonen/Untote können sich nicht schützen.</t>
  </si>
  <si>
    <t>(M) x Aura x Karma x 10m Radius</t>
  </si>
  <si>
    <t>Aura *Karma *Std</t>
  </si>
  <si>
    <t>325</t>
  </si>
  <si>
    <t>Avatar rufen</t>
  </si>
  <si>
    <t>Der Kleriker erfleht den unmittelbaren Beistand seiner Gottheit. Gelingt die Anrufung, so erscheint mit mächtigen Tramram ein gigantischer (oder auch nicht, je nach Situation) Avatar, der den Willen des Gottes vollstreckt. Der Avatar ist unaufhaltsam und kann ganze Armeen im in Sekunden auslöschen. Allerdings weckt ein solch drastisches Eingreifen einer Gotteit immer die Aufmerksamkeit der anderen Gottheiten, die gegebenenfalls intervenieren. (Meisterentscheid)</t>
  </si>
  <si>
    <t>Aura+ Karma</t>
  </si>
  <si>
    <t>Beliebig
1KPP pro Min</t>
  </si>
  <si>
    <t>425</t>
  </si>
  <si>
    <t>Weihe</t>
  </si>
  <si>
    <t>Eine Zone mit einem Radius von {M}/10m um den Kleriker wird geweiht. Diese Zone bewegt sich nicht mit dem Kleriker mit. Befindet sich ein Untoter oder Dämon in dieser Zone oder berührt sie, so ist JEDER Schaden, der gegen ihn gewirkt wird, mit dem Zusatzeffekt „Gesegnet“ versehen. Das gilt auch für den Pfeil, der von einem 150m entfernten Bogenschützen abgeschossen wurde.</t>
  </si>
  <si>
    <t>(M)/7m</t>
  </si>
  <si>
    <t>1Sec</t>
  </si>
  <si>
    <t>Wasser weihen</t>
  </si>
  <si>
    <t>Der Kleriker kann bis zu {Karma} Liter Wasser in Weihwasser verwandeln. Dieses Wasser ist danach vollkommen rein und sauber. Jegliche Krankheitserreger oder Giftstoffe sind verschwunden. Wenn man es trinkt, entsteht ein angenehmes Gefühl. Das Weihwasser wirkt bei Untoten und Dämonen wie hoch konzentrierte Schwefelsäure. Sie verursacht 1W8 Heiligen Schaden pro Sekunde, solange der Untote/ Dämon sie auf irgendeine Weise berührt. Dieser Schaden ist auch bei Untoten als permanenter Schaden anzusehen, senkt also nachhaltig die Todesschwelle so als wäre es eine normale Lebensenergie.
Das Weihwasser kann auch in Spritzern verwendet werden. Jeder Tropfen macht maximal 1W8 Schaden und ist dann verbraucht. Der Liter macht also maximal 200W8 Schaden. Egal, wie viel Weihwasser den Untoten berührt, es werden immer nur 1W8 pro TZ und Sec angerechnet…..
Geweihtes Wasser ist 777Jahre lang haltbar….im Verkauf kostet es 5D pro Liter. Die Zwerge brauen daraus das sogenannte „Weihbräu“ das 8D pro Liter kostet.
Wird es konsumiert, so bekommt der Konsument 1 Punkt Gesundheit pro Liter wieder hergestellt. Danach erlischt die Wirkung von Weihwasser und es wird wieder zu normalen Wasser. 1 Liter Weihwasser kann in bis zu 25 „Kurze“ aufgeteilt werden.</t>
  </si>
  <si>
    <t>1Minute</t>
  </si>
  <si>
    <t>777 Jahre</t>
  </si>
  <si>
    <t>Gegenstand Segnen</t>
  </si>
  <si>
    <t>Ein Gegensand oder eine Waffe machen ab sofort Gesegneten schaden. x2 gegen Untote und x5 gegen Dämonen. Außerdem erhöht sich die Stabilität um 5 und ignoriert Magische schilde.</t>
  </si>
  <si>
    <t>1Std</t>
  </si>
  <si>
    <t>777Jahre</t>
  </si>
  <si>
    <t>220</t>
  </si>
  <si>
    <t>Gegenstand Heilig sprechen</t>
  </si>
  <si>
    <t>Ein Gegensand oder eine Waffe machen ab sofort Heiligen schaden. x5 gegen Untote und x10 gegen Dämonen. Außerdem erhöht sich die Stabilität um 15 und ignoriert Magische schilde.</t>
  </si>
  <si>
    <t>7Std</t>
  </si>
  <si>
    <t>395</t>
  </si>
  <si>
    <t>Heilige Sicht</t>
  </si>
  <si>
    <t>ALLE heiligen Auren von Lebewesen oder Gegenständen werden für den Kleriker deutlich sichtbar.</t>
  </si>
  <si>
    <t>Sicht Unmagisch verstärkt</t>
  </si>
  <si>
    <t>Karma *sec</t>
  </si>
  <si>
    <t>Heilige Rüstung</t>
  </si>
  <si>
    <t>Maximal {M}/2 befreundete Ziele (inklusive des Klerikers selbst) nach Wahl des Klerikers werden in eine heilige Rüstung eingehüllt, die optische Erscheinung entspricht dabei den Vorstellungen des Gottes, der sie wirkt. Die Heilige Rüstung bewirkt eine Erhöhung des Rüstungsschutzes auf allen TZ (auch gegen kritische Treffer) von {Karma} in Punkten.</t>
  </si>
  <si>
    <t>Karma * 5min</t>
  </si>
  <si>
    <t>Karma * 10</t>
  </si>
  <si>
    <t>Lloth</t>
  </si>
  <si>
    <t>Kugel der Dunkelheit</t>
  </si>
  <si>
    <t>Der Kleriker taucht die Umgebung in absolute Dunkelheit. Diese Dunkelheit bildet eine Kugel von {Karma}*2 Meter Radius um den Kleriker. Jeder, der sich in dieser Kugel befindet, erleidet eine effektive Behinderung von 10. Von außen ist die Kugel nicht einsehbar; Schützen, die ein Ziel in der Kugel treffen wollen, dürfen eine Glücksprobe würfeln, ob sie überhaupt etwas treffen. Der Kleriker selbst sieht in dieser Dunkelheit, wie wenn er sich in dichtem Nebel befinden würde, wodurch er eine effektive Behinderung von 4 erleidet. Die Dunkelheit ist statisch (NICHT statisch geladen!).</t>
  </si>
  <si>
    <t>Karma *2min</t>
  </si>
  <si>
    <t>70</t>
  </si>
  <si>
    <t>Fluch der Lloth</t>
  </si>
  <si>
    <t>Vom Kleriker gehen kaum sichtbare, scheinbar aus schwarzem Nebel bestehende, tentakelartige Finger aus, die {Karma}/3 feindliche Ziele umschlingen und an ihrer Bewegung hindern. Dies führt zu einer Behinderung von {Karma}.</t>
  </si>
  <si>
    <t>(M)m</t>
  </si>
  <si>
    <t>Karma *min</t>
  </si>
  <si>
    <t>80</t>
  </si>
  <si>
    <t>Rache der Lloth</t>
  </si>
  <si>
    <t>Lloth rächt jeglichen Schaden, der ihrem Kleriker zugefügt wird augenblicklich, indem sie dem Angreifer die Hälfte (aufgerundet) des vom Kleriker erlittenen Schadens verursacht. Dieser Schaden trifft die gleiche TZ wie beim Kleriker und ignoriert sämtliche Schutzmechanismen wie Rüstungen oder magische Schilde.
„Lloth mag ihre Kleriker nicht schützen, aber sie hasst es, wenn andere ihr Eigentum beschädigen.“ – Salfalur Schildbrech, zwergischer Paladin, nach Verlust seines linken Auges.</t>
  </si>
  <si>
    <t>(M)*100m</t>
  </si>
  <si>
    <t>Verfall</t>
  </si>
  <si>
    <t>Spinnennetze aus Rost und/oder Schimmel (je nach Material) überziehen die Waffen und Rüstungen von {Karma}/3 Feinden des Klerikers. Die betroffenen Waffen erleiden einen Abzug von {Karma}+3 auf ihren Klingenschutz, betroffene Rüstung verlieren {Karma}/2 Rüstungsschutz. Der Effekt lässt sich durch die Arbeit eines fähigen Schmiedes rückgängig machen.</t>
  </si>
  <si>
    <t>50</t>
  </si>
  <si>
    <t>Pestilenz</t>
  </si>
  <si>
    <t>Der Kleriker muss das erste Opfer während der gesamten Anrufung berühren.
Dieses Opfer Nummer 1 hat keinen Rettungswurf es wird auf jeden Fall Infiziert. Nach genau 7 Stunden wird jedes Opfer ansteckend. Jeder andere Mensch der sich dem Opfer dann auf 7m oder weniger nähert, hat eine Glücksprobe, scheitert diese so wird er ebenfalls infiziert und dann nach 7 Stunden ansteckend. Gelingt die Glücksprobe so ist das Opfer immun und kann nicht mehr mit der Pestilenz Infiziert werden.
Nach 21+Vitalität des Opfers Stunden erscheinen langsam die Krankheitssymptome, die Opfer fühlen sich schwach und fiebrig, auf der Haut bilden sich Gelbe und Grüne Eiterbeulen, die gerne aufplatzen und sich entzünden.
Die natürliche Regeneration durch z.B. Schlafen setzt komplett aus.
Am ersten Tag verliert das Opfer 1Punkt Gesundheit, am zweiten Tag 2Punkte, am dritten Tag 3Punkte, dann 4-5-6-7-8-9-10 usw. Um das noch mal zu verdeutlichen: Am ersten Tag hat das Opfer insgesamt 1 Punkt Gesundheit verloren, am zweiten Tag hat es insgesamt 3 Punkte Gesundheit verloren, am dritten Tag dann insgesamt 6 Punkte Gesundheit. Usw
Alle 2 Tage haben die Opfer eine Genesungsprobe: Konstitution erschwert um {Karma} x2 der Klerikers. Je nach dem wo sich die Kranke aufhalten (Gosse oder Krankenhaus mit Einzelzimmer) ist die Probe um bis zu 5 Punkte erschwert oder erleichtert. Gelinkt diese, so wird das Opfer wieder langsam Gesund. Am nächsten Tag bekommt es wieder 1 Punkt Gesundheit, am Übernächsten 2 Punkte Gesundheit, usw. Sobald die Gesundheit des Opfers wieder voll ist, gilt es als Gesund und die Natürliche Regeneration setzt wieder ein. Jetzt ist das Opfer immun und kann nicht mehr mit der Pestilenz Infiziert werden.
Sobald ein Opfer stirbt oder wieder Gesund ist, endet die Ansteckungsgefahr die von ihm ausgeht.
Meisterhinweise und Hintergrund:
Nur Lloth Kleriker sind immun gegen diese Pest.
Die Mortalitätsrate liegt bei 50%-80% je nachdem wie gut eine Stadt/Dorf gegen eine Pest gewappnet ist.
Ca. 33,4% der Todesopfer werden zu Wandelnden Toten „Zombies“. Diese „Zombies“ verhalten sich wie normale „Zombies“. Mit dem Unterschied, dass sie NICHT die Untotenkrankheit übertragen können. Allerdings verbreiten sie die Pestilenz.
Die Pestilenz ist eine Magische Krankheit Grad 8. Lässt sich allerdings nicht mit magischer mitteln als solche erkennen.
Dieses Wunder ist zwar nicht direkt ein Geheimnis, allerdings wird darüber so gut wie nie innerhalb der Lloth Kirche gesprochen. Das Wunder selbst wird nur an Kleriker weitergegeben, die mindestens Pfarrer/Ritterbruder sind. Der Lloth Kirche ist die verheerende Wirkung dieses „Wunders“ sehr wohl bewusst, darum wurde es in den letzten 800 Jahren nur ein einziges Mal eigesetzt. Bei der Drow Bevölkerung ist das Wunder Eigentlich überhaupt nicht bekannt. Es gibt nur ein dunkles Gerücht über „Lloth strafe“ die die trifft die den Zorn der Göttin auf sich gezogen haben. Bei den anderen Völkern ist dieses Wunder total unbekannt.</t>
  </si>
  <si>
    <t>Wasser zu Blut</t>
  </si>
  <si>
    <t>Auf Bitten des Klerikers verwandelt Lloth {Karma} Liter Wasser in feinstes, körperwarmes Elfenblut. Das auf diese Weise erschaffene Blut verhält sich wie jedes andere Elfenblut auch.</t>
  </si>
  <si>
    <t>Mantel der Unauffindbarkeit</t>
  </si>
  <si>
    <t>Lloth löscht sämtliche vom Kleriker und bis zu {Karma}/2 befreundete Ziele, die sich innerhalb von {M}m um den Kleriker befinden, verursachten Spuren und Fährten vollständig aus. Zudem verursachen die Begünstigten während der Wirkungsdauer keinerlei Geräusche.</t>
  </si>
  <si>
    <t>Karma *2Std</t>
  </si>
  <si>
    <t>130</t>
  </si>
  <si>
    <t>Mantel der Schatten</t>
  </si>
  <si>
    <t>Der Kleriker wird unsichtbar. Die Unsichtbarkeit betrifft ihn selbst und alles innerhalb seiner Aura, was nicht über eine eigene Aura verfügt. Im Kampf gegen den unsichtbaren Kleriker erhält jeder Gegner eine Behinderung von 10.</t>
  </si>
  <si>
    <t>Karma *2Min</t>
  </si>
  <si>
    <t>200</t>
  </si>
  <si>
    <t>Vergiften</t>
  </si>
  <si>
    <t>Nach Beendigung der Anrufung ist der Speichel des Klerikers giftig. Das Gift gilt als Kontaktgift mit einer Potenz von {Karma}*5, es ist keine Dosiserhöhung möglich. Nach erfolgter Vergiftung eines oder mehrerer Opfer erleiden die Opfer alle 30sec eine kumulative Behinderung von +1 bis zu einer Maximalbehinderung von {Karma}*4. Nachdem diese Maximalbehinderung erreicht ist, nimmt die Behinderung alle 30sec wieder um einen Punkt ab. Sollte aufgrund der Behinderung die Intelligenz des Opfers auf 0 fallen, so wird es bewusstlos. Fallen Stärke oder Athletik auf 0, so wird es bewegungsunfähig. Das Gift lässt sich maximal {Karma} Stunden aufbewahren, danach verliert es seine Wirkung.
Der Speichel kann maximal {Karma} Liter Wasser vergiften.
Kleriker der Lloth sind immun gegen dieses Gift.</t>
  </si>
  <si>
    <t>Karma*min</t>
  </si>
  <si>
    <t>Tod</t>
  </si>
  <si>
    <t>Der nächste Mensch, den der Kleriker nach der Anrufung berührt (Aura-Kontakt), altert um {Karma}*2% seiner maximal möglichen Lebensspanne.</t>
  </si>
  <si>
    <t>Lebensentzug</t>
  </si>
  <si>
    <t>Der zum Lebensspender erkorene Mensch wird für die Dauer des Rituals auf einem der Lloth geweihten Altar fixiert. Der durchführende Kleriker berührt den Lebensspender während des gesamten Rituals an Stirn und Brust. Das Opfer altert pro Stunde Ritualdauer um 10% seiner maximalen Lebensspanne, der Kleriker wird um ein Fünftel (aufgerundet) der auf diese Weise verlorenen Jahre verjüngt.</t>
  </si>
  <si>
    <t>Max. Karma Std</t>
  </si>
  <si>
    <t>375</t>
  </si>
  <si>
    <t>Khartazh</t>
  </si>
  <si>
    <t>Duellsegen</t>
  </si>
  <si>
    <t>Der Kleriker schließt die beiden Duellanten in einem undurchdringlichen Duellkreis mit 20m Radius ein. Nichts kann in diesen Kreis eindringen und Nichts kommt heraus. Der Kreis hebt sich erst auf, sobald mindestens einer der beiden Duellanten gestorben ist. Khartazh heilt den bzw. die Verstorbenen nach Beendigung des Duells wieder auf GES 1 hoch und schließt alle Blutungen.
Der Duellkreis ist nur durch göttliche Einwirkung aufhebbar.</t>
  </si>
  <si>
    <t>Karma*10m</t>
  </si>
  <si>
    <t>Bis zum Ende des Duells</t>
  </si>
  <si>
    <t>Der Kleriker wird von Khartazh in eine wahre Kampfmaschine verwandelt. Er spürt keine Schmerzen mehr, muss somit keine SB Proben mehr würfeln und erleidet durch auf 0 LE geschlagene und abgetrennte Gliedmaßen nur die Hälfte der üblichen Kampfbehinderung (abgerundet). Desweiteren scheint seine Ausdauer geradezu unendlich zu sein, er erleidet während der Wirkungsdauer keine Ausdauerabzüge durch seine Kampfaktionen.</t>
  </si>
  <si>
    <t>Der Kleriker steht unter Khartazhs Schutz, wodurch er keine kritischen und tödlichen Treffer mehr erleidet. Jeder solche gegen ihn erzielte Treffer wird als normaler Treffer auf derselben TZ gewertet.</t>
  </si>
  <si>
    <t>Mehrfachtreffer</t>
  </si>
  <si>
    <t>Jede vom Kleriker ausgeführte Attacke trifft {Karma}/3 zusätzliche Ziele in NK Reichweite. Diese Attacken können normal vermieden werden (AW/PA).</t>
  </si>
  <si>
    <t>Traum-Vision</t>
  </si>
  <si>
    <t>Der Kleriker schickt bei einer Bedrohung von außen den Anführern der großen Clans eine Botschaft. Die Botschaft wird beim nächsten Schlaf als Traum übermittelt und ist zweifelsfrei als Vision zu erkennen. Khartazh wählt immer besondere Helden aus die diese Vision ebenfalls erhalten und von ALLEN Orks mit dem allergrößten Respekt behandelt werden. Man nennt diese Champions von Khartazhs „Nereva“.</t>
  </si>
  <si>
    <t>Welt</t>
  </si>
  <si>
    <t>2Std</t>
  </si>
  <si>
    <t>Schlachtenglück</t>
  </si>
  <si>
    <t>Der Kleriker segnet sich und entweder {Karma} befreundete Ziele (oder ein Regiment im Schlachtensystem). Alle von diesem Segen begünstigten Einheiten erhalten gegen FK Attacken einen Bonus in Höhe des Karmas+3 des Klerikers auf ihre Glücksprobe, um dem Schuss/Wurf/Zauber zu entgehen.</t>
  </si>
  <si>
    <t>Karma *10min</t>
  </si>
  <si>
    <t>190</t>
  </si>
  <si>
    <t>Khartazhs Wille</t>
  </si>
  <si>
    <t>Der Kleriker segnet sich und entweder {Karma}*3 befreundete Ziele (oder drei Regimenter im Schlachtensystem). Alle von diesem Segen begünstigten Einheiten erhalten Mut +21, ATBasis+7, Selbstbeherrschung+3, Initative+11, außerdem eine LE- Regeneration von 2W6 pro Minute. Auch Gesundheit bis GES-Vit (zum Tod).</t>
  </si>
  <si>
    <t>(M)*20m</t>
  </si>
  <si>
    <t>Karma * Std</t>
  </si>
  <si>
    <t>320</t>
  </si>
  <si>
    <t>Khartazhs Intuition</t>
  </si>
  <si>
    <t>Der Kleriker und {Karma}/3 befreundete Ziele ahnen die Attacken ihrer Gegner förmlich voraus. Sie erhalten PA- und AW-Klasse +1.</t>
  </si>
  <si>
    <t>215</t>
  </si>
  <si>
    <t>Wasser zu Met</t>
  </si>
  <si>
    <t>Auf Bitten des Klerikers verwandelt Khartazh {Karma} Liter Wasser in feinsten, wohltemperierten Orcischen Met. Der auf diese Weise erschaffene Met verhält sich wie jedes andere Met auch.</t>
  </si>
  <si>
    <t>Sichere Hand</t>
  </si>
  <si>
    <t>Khartazh „führt“ die Hand seines Klerikers im Kampf, wodurch der Kleriker keine katastrophalen Fehlschläge mehr unterlaufen. Sollte der Kleriker unter Einfluss dieses Wunders im NK einen Patzer werfen, so ist es ihm erlaubt, den Wurf zu wiederholen (ohne dafür einen seiner Rerolls einzusetzen). Das Gleiche gilt für Streiftreffer. Außerdem wird dem Kleriker ein zusätzlicher, kostenfreier TZ Reroll pro eigener Attacke zugestanden.</t>
  </si>
  <si>
    <t>Nomna</t>
  </si>
  <si>
    <t>Das Ziel bekommt einen Schadenspuffer ähnlich dem Magischen Schild in Höhe von Kama x2. Dieser Puffer ist einmalig, füllt sich also nicht wieder auf. Er triggert nach dem evtl. vorhandenen Magischen Schild, aber bevor kritische oder tödliche Treffer gewertet werden. Leberschutz wirkt auch gegen Gifte und Magie. Solange noch Leberschutz vorhanden ist, kann Alkoholkonsum niemals mehr als eine leichte Trunkenheit auslösen</t>
  </si>
  <si>
    <t>Karma x Meter</t>
  </si>
  <si>
    <t>1Min</t>
  </si>
  <si>
    <t>Wissen der Göttin</t>
  </si>
  <si>
    <t>Eine beliebige optionale Fertigkeit (Stoßgebet, Gebet und Ritual sind hiervon ausgenommen) wird um {Karma} x5 Punkte erhöht, wenn der Betreffende mindestens 1 Punkt in ihr gesteigert hat. Unbekannte werden auf {Karma} x3 Gesetzt. Dazu gehören auch Sprachen.</t>
  </si>
  <si>
    <t>100</t>
  </si>
  <si>
    <t>Handwerkersegen</t>
  </si>
  <si>
    <t>Alle Proben für das ausgewählte Handwerks werden um {Karma} x3 erhöht, wenn der betreffende mindestens 1 Punkt in ihr gesteigert hat. Unbekannte Handwerke werden auf {Karma} Gesetzt.</t>
  </si>
  <si>
    <t>1Stunde</t>
  </si>
  <si>
    <t>30 Tage</t>
  </si>
  <si>
    <t>Rache der Lügen</t>
  </si>
  <si>
    <t>Das Opfer muss die Hände auf einen (mindestens) geweihten Gegenstand legen. Sodann ist es angehalten die Wahrheit zu sagen, falls nicht, verbrennen seine Hände zu Stumpen. Die Lebensenergie beider Arme fällt dabei sofort auf 0. Das Opfer muss eine SB Probe in Höhe des gerade angerichteten Schadens abgelegen. Der Kleriker muss die ganze Zeit den Gegenstand mithalten und bekommt im Falle einer Lüge des Opfers 1W20 Heiligen (Rüstung ignorierend) Schaden auf beide Hände verteilt.</t>
  </si>
  <si>
    <t>Magiersegen</t>
  </si>
  <si>
    <t>Weisheit, {M} und Zauber Gute des Ziels werden um {Karma} erhöht. Das Mana erhöht sich einmalig um 50 Punkte, die allerdings nicht regeneriert werden aber auch nicht die LE Kopf angreifen wenn sie ausgegeben wurden und die Wirkung endet.</t>
  </si>
  <si>
    <t>10 Minuten</t>
  </si>
  <si>
    <t>7 Stunden</t>
  </si>
  <si>
    <t>295</t>
  </si>
  <si>
    <t>Erzvision</t>
  </si>
  <si>
    <t>Die Augen des Klerikers verwandeln für die Wirkungsdauer in reines Adamantit. Jegliche Materie, sei es magische oder unmagische, wird für den Kleriker unsichtbar. Die einzige Ausnahme hierzu bilden Erzadern, Kohleflöze und Edelsteinvorkommen. Diese kann der Kleriker auf Sichtweite (ca. 5km) erkennen.</t>
  </si>
  <si>
    <t>Wasser zu Bier</t>
  </si>
  <si>
    <t>Auf Bitten des Klerikers verwandelt Nomna {Karma} Liter Wasser in feinstes, wohltemperiertes Zwergisches Starkbier. Das auf diese Weise erschaffene Starkbier verhält sich wie jedes andere Starkbier auch.</t>
  </si>
  <si>
    <t>Stärke des Erzes</t>
  </si>
  <si>
    <t>Ein Gegenstand (z.B.: Schwert, Tür, Harnisch, Stein) wird um ein Vielfaches härter und stabiler als er vorher war. Die Stabilität des Gegenstands erhöht sich um den Faktor {Karma}*2. Bei Gegenständen mit einem Stabilitätswert erhöht sich derselbige, bei Gegenständen ohne diesen Wert erhöht sich die LE.
Beispiel 1: Ein Kleriker mit {Karma} 5 „verzaubert“ ein Schwert mit KS 15. Nach der erfolgreichen Anrufung beträgt der KS 150.
Beispiel 2: Ein Kürass mit RS 5 wird von demselben Kleriker „verzaubert“. Nach erfolgreicher Anrufung beträgt der RS 50.
Beispiel 3: Derselbe Kleriker „verzaubert“ nun auch noch eine Tür mit LE 20, bringt die Anrufung tatsächlich erfolgreich zu Ende und erhöht somit die LE der Tür auf 200.</t>
  </si>
  <si>
    <t>5min</t>
  </si>
  <si>
    <t>205</t>
  </si>
  <si>
    <t>Ewige Seele</t>
  </si>
  <si>
    <t>Die willige Seele eines Nomna-Gläubigen wird durch dieses Ritual in einen mindestens faustgroßen Seelenstein gebannt. Die Stabilität des Seelensteins erhöht sich hierdurch um den Faktor 100. Solange der Seelenstein Bestand hat, existiert auch die Seele weiter.</t>
  </si>
  <si>
    <t>385</t>
  </si>
  <si>
    <t>Weisheit der Ahnen</t>
  </si>
  <si>
    <t>Nomna gewährt einer Ewigen Seele (siehe Wunder Ewige Seele) die Fähigkeit, als Abbild seines früheren Ichs in Erscheinung zu treten. Dieses Abbild ist leicht durchscheinend und physisch und magisch nicht berührbar. Es verfügt über die Fähigkeit, sich innerhalb eines Radius von 7m um den Seelenstein frei im Raum zu bewegen. Weiterhin ist es der Seele möglich, verbal zu kommunizieren. Die Stimme klingt allerdings sehr hohl und substanzlos. Die Ewige Seele verfügt über die gesammelte Erfahrung und Weisheit, die ihr auch zu Lebzeiten zur Verfügung standen, sowie über alles Wissen aus ihrem ursprünglichen Leben und eventuellen früheren Anrufungen. Die Gesinnung der Ewigen Seele entspricht ihrer Gesinnung zu Lebzeiten. Mit Ausnahme der verbalen Kommunikation ist der Seele nicht möglich, in irgendeiner Form Einfluss auf die Welt zu nehmen.</t>
  </si>
  <si>
    <t>Kriegersegen</t>
  </si>
  <si>
    <t>NK gAT, FK gAT sowie NK- und FK-Schaden des Ziels werden um {Karma} erhöht. Außerdem wird die Gesundheit des Ziels um {Karma}*2 erhöht. Diese Gesundheitserhöhung kann nicht regeneriert werden, wird dem Ziel aber nach Ablauf der Wirkungsdauer auch nicht weiter abgezogen als bis zu seinem „natürlichen“ Gesundheitsstand.</t>
  </si>
  <si>
    <t>Tepod</t>
  </si>
  <si>
    <t>Wasser zu Nektar</t>
  </si>
  <si>
    <t>Auf Bitten des Klerikers verwandeln die Götter {Karma} Liter Wasser in feinsten Nektar. Der auf diese Weise erschaffene Nektar verhält sich wie jeder andere Nektar auch.</t>
  </si>
  <si>
    <t>Cenalias Segen</t>
  </si>
  <si>
    <t>Cenalia segnet die Jagdgruppe des Klerikers (Kleriker sowie bis zu {Karma}/2 befreundete Ziele, die sich innerhalb von {M}m um den Kleriker befinden), woraufhin sie die Fährte ihrer vorher festgelegten Beute sehen, egal ob diese vorher vorhanden war oder nicht. Zudem verbirgt Cenalia die Witterung der Gruppe vor ihrer Beute.</t>
  </si>
  <si>
    <t>Segen des Ausgestoßenen Schmiedes</t>
  </si>
  <si>
    <t>Das Ziel ignoriert während der Wirkungsdauer {Karma}*2 Punkte Behinderung. Er wirkt gegen jede Form bereits erlittener als auch noch eventuell zu erleidender Behinderung.</t>
  </si>
  <si>
    <t>Karma Std</t>
  </si>
  <si>
    <t>Rückkehr zu den Wurzeln</t>
  </si>
  <si>
    <t>Der Kleriker formt organische Gegenstände mit einem maximalen Volumen von {Karma} m³ in eine frühere Form, die diese(s) Objekt(e) bereits einmal inne hatte, zurück. Die exakte Wahl der früheren Form obliegt dem Kleriker. Das/die Zielobjekt(e) verhalten sich nach Abschluss des Rituals normal, sprich verfallen/altern in ihrem natürlichen Tempo.</t>
  </si>
  <si>
    <t>1Std.</t>
  </si>
  <si>
    <t>Uribensprung</t>
  </si>
  <si>
    <t>Der Kleriker kann durch einen beliebigen Baum zu einem anderen Baum teleportieren. Hierbei gelten folgende Einschränkungen:
Ist der Ausgangspunkt ein Uribenbaum, so kann der Kleriker zu jedem Uribenbaum, mit dem er sich bereits verbunden hat, teleportieren.
Ist der Ausgungspunkt ein „gewöhnlicher“ Baum, so ist dem Kleriker die Teleportation zum nächsten Uribenbaum, mit dem er sich bereits verbunden hat, möglich.
Der Kleriker kann hierbei durch {Karma}/2 Gefährten begleitet werden. Diese müssen Kleriker während der gesamten Ritualdauer berühren. Für jeden Mitreisenden erhöhen sich die Karmapoolpunktkosten um 10.</t>
  </si>
  <si>
    <t>Sinne des Waldes</t>
  </si>
  <si>
    <t>Dem Kleriker wird für die Wirkungsdauer eine Vision der Wahrnehmung aller Pflanzen im Umkreis von {Karma}/2 km gewährt. Dies beinhaltet zunächst nur Tastempfindungen, es sei denn, es befinden sich magische Flora mit zusätzlichen Sinnesorganen im Wirkungsbereich.
Während der Wirkungsdauer muss der Kleriker regungslos verharren und ist keinerlei Kommunikation mächtig. Die normale Wahrnehmung des Klerikers wird auf den Tastsinn reduziert.
Der Kleriker kann seine Trance jederzeit beenden. Nach dem Erwachen aus der Trance ist der Kleriker für W4 Minuten desorientiert, was sich in einer Behinderung von W4 widerspiegelt.</t>
  </si>
  <si>
    <t>Karma Min</t>
  </si>
  <si>
    <t>Tierische Sinne</t>
  </si>
  <si>
    <t>Dem Kleriker wird für die Wirkungsdauer eine Vision der Wahrnehmung aller Tiere im Umkreis von {Karma}/2 km gewährt.
Während der Wirkungsdauer muss der Kleriker regungslos verharren und ist keinerlei Kommunikation mächtig. Die normale Wahrnehmung des Klerikers wird auf den Tastsinn reduziert.
Der Kleriker kann seine Trance jederzeit beenden. Nach dem Erwachen aus der Trance ist der Kleriker für W4 Minuten desorientiert, was sich in einer Behinderung von W4 widerspiegelt.</t>
  </si>
  <si>
    <t>Lahja's Gabe</t>
  </si>
  <si>
    <t>Die Göttin der Heilung und Jugend verjüngt durch den Kleriker das Ziel um {Karma}% der maximalen Lebensspanne pro Stunde.
Das Ziel muss während der gesamten Ritualdauer in direktem Kontakt zu einem Uribenbaum stehen.</t>
  </si>
  <si>
    <t>Die willige Seele eines Tepod-Gläubigen wird durch dieses Ritual in einen Uribenbaum geführt. Solange der Uribenbaum lebt, existiert auch die Seele weiter.</t>
  </si>
  <si>
    <t>Tepod gewährt einer [Ewigen Seele] (siehe Wunder [Ewige Seele]) die Fähigkeit, als Abbild seines früheren Ichs in Erscheinung zu treten. Dieses Abbild ist leicht durchscheinend und physisch und magisch nicht berührbar. Es verfügt über die Fähigkeit, sich innerhalb der Lebensaura des jeweiligen Uribenbaumes frei im Raum zu bewegen. Weiterhin ist es der Seele möglich, verbal zu kommunizieren. Die Stimme klingt wie zu Lebzeiten. Die [Ewige Seele] verfügt über die gesammelte Erfahrung und Weisheit, die ihr auch zu Lebzeiten zur Verfügung standen, über alles Wissen aus ihrem ursprünglichen Leben und eventuellen früheren Anrufungen sowie über das Wissen um alles, was sich seit der Zeit ihrer Vereinigung in der Lebensaura des Uribenbaumes zugetragen hat. Die Gesinnung der [Ewigen Seele] entspricht ihrer Gesinnung zu Lebzeiten. Mit Ausnahme der verbalen Kommunikation ist der Seele nicht möglich, in irgendeiner Form Einfluss auf die Welt zu nehmen.</t>
  </si>
  <si>
    <t>Uribengebet</t>
  </si>
  <si>
    <t xml:space="preserve">Der Kleriker verbindet sich eng mit dem Uribenbaum und beeinflusst sein Wachstum. Er kann den Baum um (2*Karma)% wachsen lassen und dabei nach seinem Willen formen. </t>
  </si>
  <si>
    <t>Land der Segnung</t>
  </si>
  <si>
    <t>Der Kleriker segnet Land und {Karma}/2 Lebewesen im Umkreis von {Karma}*10m mit göttlicher Fruchtbarkeit.</t>
  </si>
  <si>
    <t>1 Std</t>
  </si>
  <si>
    <t>Karma Jahre</t>
  </si>
  <si>
    <t>Tepod's Schild</t>
  </si>
  <si>
    <t>Der Kleriker schützt bis zu {Karma}*2 Lebewesen in einem Umkreis von {M}m vor jeglichem Schaden. Aller auf diese Weise verhinderter Schaden wird zu einem Drittel dem Kleriker auf der jeweiligen TZ zugefügt. Die transferierten Treffer werden separat betrachtet.
Der Kleriker erleidet durch den so genommenen Schaden keine Blutungen, SB-Proben werden normal verlangt.</t>
  </si>
  <si>
    <t>Max Karma Min</t>
  </si>
  <si>
    <t>Ruf des Tepod</t>
  </si>
  <si>
    <t>Durch die Macht Tepods stellt der Kleriker ein Lebewesen vollständig wieder her. Hierbei wird jeglicher Schaden geheilt, Gliedmaßen werden regeneriert, sämtliche unmagischen Krankheiten und Vergiftungen werden geheilt, magische Erkrankungen und Vergiftungen bis Grad 8. Alle jemals erhaltenen Narben verschwinden. Außerdem wird das Ziel um 1 Jahr verjüngt. Nicht kurierbare Nachteile wie z.B. Blindheit sind hiervon ausgenommen.
Hierzu muss das Ziel allerdings noch am Leben sein.</t>
  </si>
  <si>
    <t>Lahja's Kuss</t>
  </si>
  <si>
    <t xml:space="preserve">Maximal Karma befreundete Ziele (inklusive des Klerikers selbst) nach Wahl des Klerikers werden auf den am schwersten verletzten [Karma] Trefferzonen und Gesundheit um W4+Karma LE geheilt. Trefferzonen können auch mehrfach geheilt werden. Fehlende Gliedmaßen wachsen nicht nach. </t>
  </si>
  <si>
    <t>1 sec</t>
  </si>
  <si>
    <t>Karma sec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</si>
</sst>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quot; kg&quot;"/>
    <numFmt numFmtId="165" formatCode="0&quot; mm&quot;"/>
    <numFmt numFmtId="166" formatCode="0.00&quot; D&quot;"/>
    <numFmt numFmtId="167" formatCode="0.0&quot; Tage&quot;"/>
    <numFmt numFmtId="168" formatCode="0.###"/>
  </numFmts>
  <fonts count="15">
    <font>
      <sz val="11"/>
      <color theme="1"/>
      <name val="Calibri"/>
    </font>
    <font>
      <b/>
      <sz val="11"/>
      <color theme="1"/>
      <name val="Calibri"/>
    </font>
    <font>
      <sz val="10"/>
      <color theme="1"/>
      <name val="Bookman Old Style"/>
    </font>
    <font>
      <sz val="10"/>
      <color rgb="FF000000"/>
      <name val="Bookman Old Style"/>
    </font>
    <font>
      <sz val="10"/>
      <name val="Bookman Old Style"/>
    </font>
    <font>
      <sz val="10"/>
      <color theme="3"/>
      <name val="Bookman Old Style"/>
    </font>
    <font>
      <b/>
      <sz val="10"/>
      <color rgb="FFFFFFFF"/>
      <name val="Bookman Old Style"/>
    </font>
    <font>
      <sz val="10"/>
      <color theme="1"/>
      <name val="Arial Unicode MS"/>
    </font>
    <font>
      <sz val="11"/>
      <color theme="1"/>
      <name val="Calibri"/>
    </font>
    <font>
      <sz val="10"/>
      <color theme="1"/>
      <name val="Calibri"/>
    </font>
    <font>
      <sz val="9"/>
      <color theme="1"/>
      <name val="Calibri"/>
    </font>
    <font>
      <b/>
      <sz val="11"/>
      <color rgb="FFFFFFFF"/>
      <name val="Calibri"/>
    </font>
    <font>
      <sz val="11"/>
      <color rgb="FF1F2937"/>
      <name val="Calibri"/>
    </font>
    <font>
      <b/>
      <sz val="11"/>
      <color rgb="FF1F2937"/>
      <name val="Calibri"/>
    </font>
    <font>
      <sz val="10"/>
      <color theme="1"/>
      <name val="Arial"/>
    </font>
  </fonts>
  <fills count="6">
    <fill>
      <patternFill patternType="none"/>
    </fill>
    <fill>
      <patternFill patternType="gray125"/>
    </fill>
    <fill>
      <patternFill patternType="solid">
        <fgColor rgb="FF1F4E78"/>
      </patternFill>
    </fill>
    <fill>
      <patternFill patternType="solid">
        <fgColor rgb="FFD9E2F3"/>
      </patternFill>
    </fill>
    <fill>
      <patternFill patternType="solid">
        <fgColor rgb="FF14213D"/>
      </patternFill>
    </fill>
    <fill>
      <patternFill patternType="none"/>
    </fill>
  </fills>
  <borders count="19">
    <border>
      <left/>
      <right/>
      <top/>
      <bottom/>
      <diagonal/>
    </border>
    <border>
      <left style="thin">
        <color indexed="64"/>
      </left>
      <right style="thin">
        <color indexed="64"/>
      </right>
      <top style="thin">
        <color indexed="64"/>
      </top>
      <bottom style="thin">
        <color indexed="64"/>
      </bottom>
      <diagonal/>
    </border>
    <border>
      <left style="thin">
        <color rgb="FF163A5B"/>
      </left>
      <right/>
      <top style="thin">
        <color rgb="FF163A5B"/>
      </top>
      <bottom style="thin">
        <color rgb="FF163A5B"/>
      </bottom>
      <diagonal/>
    </border>
    <border>
      <left/>
      <right/>
      <top style="thin">
        <color rgb="FF163A5B"/>
      </top>
      <bottom style="thin">
        <color rgb="FF163A5B"/>
      </bottom>
      <diagonal/>
    </border>
    <border>
      <left/>
      <right style="thin">
        <color rgb="FF163A5B"/>
      </right>
      <top style="thin">
        <color rgb="FF163A5B"/>
      </top>
      <bottom style="thin">
        <color rgb="FF163A5B"/>
      </bottom>
      <diagonal/>
    </border>
    <border>
      <left style="thin">
        <color rgb="FFD1D5DB"/>
      </left>
      <right style="thin">
        <color rgb="FFD1D5DB"/>
      </right>
      <top style="thin">
        <color rgb="FFD1D5DB"/>
      </top>
      <bottom style="thin">
        <color rgb="FFD1D5DB"/>
      </bottom>
      <diagonal/>
    </border>
    <border>
      <left style="thin">
        <color rgb="FF9CA3AF"/>
      </left>
      <right style="thin">
        <color rgb="FF9CA3AF"/>
      </right>
      <top style="thin">
        <color rgb="FF9CA3AF"/>
      </top>
      <bottom style="thin">
        <color rgb="FF9CA3AF"/>
      </bottom>
      <diagonal/>
    </border>
    <border>
      <left style="medium">
        <color rgb="FF14213D"/>
      </left>
      <right/>
      <top style="medium">
        <color rgb="FF14213D"/>
      </top>
      <bottom style="medium">
        <color rgb="FF14213D"/>
      </bottom>
      <diagonal/>
    </border>
    <border>
      <left/>
      <right/>
      <top style="medium">
        <color rgb="FF14213D"/>
      </top>
      <bottom style="medium">
        <color rgb="FF14213D"/>
      </bottom>
      <diagonal/>
    </border>
    <border>
      <left/>
      <right style="medium">
        <color rgb="FF14213D"/>
      </right>
      <top style="medium">
        <color rgb="FF14213D"/>
      </top>
      <bottom style="medium">
        <color rgb="FF14213D"/>
      </bottom>
      <diagonal/>
    </border>
    <border>
      <left/>
      <right style="thin">
        <color rgb="FFD9E1F2"/>
      </right>
      <top/>
      <bottom style="thin">
        <color rgb="FFD9E1F2"/>
      </bottom>
      <diagonal/>
    </border>
    <border>
      <left style="thin">
        <color rgb="FFD9E1F2"/>
      </left>
      <right style="thin">
        <color rgb="FFD9E1F2"/>
      </right>
      <top/>
      <bottom style="thin">
        <color rgb="FFD9E1F2"/>
      </bottom>
      <diagonal/>
    </border>
    <border>
      <left style="thin">
        <color rgb="FFD9E1F2"/>
      </left>
      <right/>
      <top/>
      <bottom style="thin">
        <color rgb="FFD9E1F2"/>
      </bottom>
      <diagonal/>
    </border>
    <border>
      <left/>
      <right style="thin">
        <color rgb="FFD9E1F2"/>
      </right>
      <top style="thin">
        <color rgb="FFD9E1F2"/>
      </top>
      <bottom style="thin">
        <color rgb="FFD9E1F2"/>
      </bottom>
      <diagonal/>
    </border>
    <border>
      <left style="thin">
        <color rgb="FFD9E1F2"/>
      </left>
      <right style="thin">
        <color rgb="FFD9E1F2"/>
      </right>
      <top style="thin">
        <color rgb="FFD9E1F2"/>
      </top>
      <bottom style="thin">
        <color rgb="FFD9E1F2"/>
      </bottom>
      <diagonal/>
    </border>
    <border>
      <left style="thin">
        <color rgb="FFD9E1F2"/>
      </left>
      <right/>
      <top style="thin">
        <color rgb="FFD9E1F2"/>
      </top>
      <bottom style="thin">
        <color rgb="FFD9E1F2"/>
      </bottom>
      <diagonal/>
    </border>
    <border>
      <left/>
      <right style="thin">
        <color rgb="FFD9E1F2"/>
      </right>
      <top style="thin">
        <color rgb="FFD9E1F2"/>
      </top>
      <bottom/>
      <diagonal/>
    </border>
    <border>
      <left style="thin">
        <color rgb="FFD9E1F2"/>
      </left>
      <right style="thin">
        <color rgb="FFD9E1F2"/>
      </right>
      <top style="thin">
        <color rgb="FFD9E1F2"/>
      </top>
      <bottom/>
      <diagonal/>
    </border>
    <border>
      <left style="thin">
        <color rgb="FFD9E1F2"/>
      </left>
      <right/>
      <top style="thin">
        <color rgb="FFD9E1F2"/>
      </top>
      <bottom/>
      <diagonal/>
    </border>
  </borders>
  <cellStyleXfs count="1">
    <xf numFmtId="0" fontId="0" fillId="5" borderId="0"/>
  </cellStyleXfs>
  <cellXfs count="79">
    <xf numFmtId="0" fontId="0" fillId="0" borderId="0" xfId="0" applyFill="1"/>
    <xf numFmtId="0" fontId="3" fillId="0" borderId="0" xfId="0" applyFont="1" applyFill="1" applyAlignment="1">
      <alignment vertical="top"/>
    </xf>
    <xf numFmtId="0" fontId="2" fillId="0" borderId="0" xfId="0" applyFont="1" applyFill="1" applyAlignment="1">
      <alignment vertical="top"/>
    </xf>
    <xf numFmtId="0" fontId="3" fillId="0" borderId="0" xfId="0" applyFont="1" applyFill="1" applyAlignment="1">
      <alignment horizontal="left" vertical="top"/>
    </xf>
    <xf numFmtId="0" fontId="6" fillId="0" borderId="0" xfId="0" applyFont="1" applyFill="1" applyAlignment="1">
      <alignment horizontal="center" vertical="top"/>
    </xf>
    <xf numFmtId="0" fontId="2" fillId="0" borderId="0" xfId="0" applyFont="1" applyFill="1" applyAlignment="1">
      <alignment vertical="top" wrapText="1"/>
    </xf>
    <xf numFmtId="49" fontId="2" fillId="0" borderId="0" xfId="0" applyNumberFormat="1" applyFont="1" applyFill="1" applyAlignment="1">
      <alignment horizontal="left" vertical="center"/>
    </xf>
    <xf numFmtId="49" fontId="2" fillId="0" borderId="0" xfId="0" applyNumberFormat="1" applyFont="1" applyFill="1" applyAlignment="1">
      <alignment vertical="top"/>
    </xf>
    <xf numFmtId="49" fontId="3" fillId="0" borderId="0" xfId="0" applyNumberFormat="1" applyFont="1" applyFill="1"/>
    <xf numFmtId="0" fontId="2" fillId="0" borderId="0" xfId="0" applyFont="1" applyFill="1" applyAlignment="1">
      <alignment horizontal="left"/>
    </xf>
    <xf numFmtId="0" fontId="2" fillId="0" borderId="0" xfId="0" applyFont="1" applyFill="1" applyAlignment="1">
      <alignment vertical="center"/>
    </xf>
    <xf numFmtId="0" fontId="2" fillId="0" borderId="0" xfId="0" applyFont="1" applyFill="1"/>
    <xf numFmtId="49" fontId="2" fillId="0" borderId="0" xfId="0" applyNumberFormat="1" applyFont="1" applyFill="1"/>
    <xf numFmtId="49" fontId="2" fillId="0" borderId="0" xfId="0" applyNumberFormat="1"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vertical="center"/>
    </xf>
    <xf numFmtId="0" fontId="7" fillId="0" borderId="0" xfId="0" applyFont="1" applyFill="1" applyAlignment="1">
      <alignment vertical="center"/>
    </xf>
    <xf numFmtId="0" fontId="2" fillId="0" borderId="0" xfId="0" applyFont="1" applyFill="1" applyAlignment="1">
      <alignment vertical="center" wrapText="1"/>
    </xf>
    <xf numFmtId="49" fontId="4" fillId="0" borderId="0" xfId="0" applyNumberFormat="1" applyFont="1" applyFill="1" applyAlignment="1">
      <alignment vertical="center"/>
    </xf>
    <xf numFmtId="49" fontId="4" fillId="0" borderId="0" xfId="0" applyNumberFormat="1" applyFont="1" applyFill="1" applyAlignment="1">
      <alignment horizontal="left"/>
    </xf>
    <xf numFmtId="49" fontId="2" fillId="0" borderId="0" xfId="0" applyNumberFormat="1" applyFont="1" applyFill="1" applyAlignment="1">
      <alignment horizontal="left"/>
    </xf>
    <xf numFmtId="49" fontId="3" fillId="0" borderId="0" xfId="0" applyNumberFormat="1" applyFont="1" applyFill="1" applyAlignment="1">
      <alignment vertical="top"/>
    </xf>
    <xf numFmtId="49" fontId="2" fillId="0" borderId="0" xfId="0" applyNumberFormat="1" applyFont="1" applyFill="1" applyAlignment="1">
      <alignment horizontal="left" vertical="top"/>
    </xf>
    <xf numFmtId="49" fontId="4" fillId="0" borderId="0" xfId="0" applyNumberFormat="1" applyFont="1" applyFill="1" applyAlignment="1">
      <alignment vertical="top"/>
    </xf>
    <xf numFmtId="49" fontId="4" fillId="0" borderId="0" xfId="0" applyNumberFormat="1" applyFont="1" applyFill="1" applyAlignment="1">
      <alignment horizontal="left" vertical="center"/>
    </xf>
    <xf numFmtId="49" fontId="3" fillId="0" borderId="0" xfId="0" applyNumberFormat="1" applyFont="1" applyFill="1" applyAlignment="1">
      <alignment vertical="center"/>
    </xf>
    <xf numFmtId="49" fontId="5" fillId="0" borderId="0" xfId="0" applyNumberFormat="1" applyFont="1" applyFill="1" applyAlignment="1">
      <alignment vertical="top"/>
    </xf>
    <xf numFmtId="0" fontId="0" fillId="0" borderId="0" xfId="0" applyFill="1" applyAlignment="1">
      <alignment vertical="top" wrapText="1"/>
    </xf>
    <xf numFmtId="0" fontId="0" fillId="0" borderId="0" xfId="0" applyFill="1" applyAlignment="1">
      <alignment horizontal="left" vertical="center"/>
    </xf>
    <xf numFmtId="0" fontId="2" fillId="0" borderId="0" xfId="0" applyFont="1" applyFill="1" applyAlignment="1">
      <alignment horizontal="left" vertical="center"/>
    </xf>
    <xf numFmtId="0" fontId="0" fillId="0" borderId="1" xfId="0" applyFill="1" applyBorder="1"/>
    <xf numFmtId="0" fontId="1" fillId="0" borderId="1" xfId="0" applyFont="1" applyFill="1" applyBorder="1" applyAlignment="1">
      <alignment vertical="top"/>
    </xf>
    <xf numFmtId="0" fontId="1" fillId="0" borderId="1" xfId="0" applyFont="1" applyFill="1" applyBorder="1" applyAlignment="1">
      <alignment horizontal="center" vertical="top"/>
    </xf>
    <xf numFmtId="0" fontId="1" fillId="0" borderId="1" xfId="0" applyFont="1" applyFill="1" applyBorder="1" applyAlignment="1">
      <alignment horizontal="right"/>
    </xf>
    <xf numFmtId="0" fontId="8" fillId="0" borderId="1" xfId="0" applyFont="1" applyFill="1" applyBorder="1" applyAlignment="1">
      <alignment vertical="top"/>
    </xf>
    <xf numFmtId="0" fontId="9" fillId="0" borderId="1" xfId="0" applyFont="1" applyFill="1" applyBorder="1"/>
    <xf numFmtId="0" fontId="8" fillId="0" borderId="1" xfId="0" applyFont="1" applyFill="1" applyBorder="1" applyAlignment="1">
      <alignment horizontal="center" vertical="top"/>
    </xf>
    <xf numFmtId="3" fontId="8" fillId="0" borderId="1" xfId="0" applyNumberFormat="1" applyFont="1" applyFill="1" applyBorder="1" applyAlignment="1">
      <alignment horizontal="right"/>
    </xf>
    <xf numFmtId="0" fontId="8" fillId="0" borderId="1" xfId="0" applyFont="1" applyFill="1" applyBorder="1" applyAlignment="1">
      <alignment horizontal="right"/>
    </xf>
    <xf numFmtId="0" fontId="0" fillId="0" borderId="1" xfId="0" applyFill="1" applyBorder="1" applyAlignment="1">
      <alignment horizontal="right" vertical="top"/>
    </xf>
    <xf numFmtId="0" fontId="10" fillId="0" borderId="1" xfId="0" applyFont="1" applyFill="1" applyBorder="1"/>
    <xf numFmtId="0" fontId="0" fillId="0" borderId="1" xfId="0" applyFill="1" applyBorder="1" applyAlignment="1">
      <alignment vertical="top"/>
    </xf>
    <xf numFmtId="0" fontId="0" fillId="0" borderId="1" xfId="0" applyFill="1" applyBorder="1" applyAlignment="1">
      <alignment horizontal="right"/>
    </xf>
    <xf numFmtId="0" fontId="9" fillId="0" borderId="1" xfId="0" applyFont="1" applyFill="1" applyBorder="1" applyAlignment="1">
      <alignment vertical="top"/>
    </xf>
    <xf numFmtId="0" fontId="8" fillId="0" borderId="0" xfId="0" applyFont="1" applyFill="1" applyAlignment="1">
      <alignment horizontal="center" vertical="top"/>
    </xf>
    <xf numFmtId="0" fontId="11" fillId="2" borderId="2"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0" fillId="0" borderId="0" xfId="0" applyFill="1"/>
    <xf numFmtId="0" fontId="0" fillId="0" borderId="0" xfId="0" applyFill="1" applyAlignment="1">
      <alignment horizontal="left"/>
    </xf>
    <xf numFmtId="0" fontId="0" fillId="0" borderId="0" xfId="0" applyFill="1" applyAlignment="1">
      <alignment horizontal="right"/>
    </xf>
    <xf numFmtId="164" fontId="0" fillId="0" borderId="0" xfId="0" applyNumberFormat="1" applyFill="1" applyAlignment="1">
      <alignment horizontal="right"/>
    </xf>
    <xf numFmtId="165" fontId="0" fillId="0" borderId="0" xfId="0" applyNumberFormat="1" applyFill="1" applyAlignment="1">
      <alignment horizontal="right"/>
    </xf>
    <xf numFmtId="166" fontId="0" fillId="0" borderId="0" xfId="0" applyNumberFormat="1" applyFill="1" applyAlignment="1">
      <alignment horizontal="right"/>
    </xf>
    <xf numFmtId="167" fontId="0" fillId="0" borderId="0" xfId="0" applyNumberFormat="1" applyFill="1" applyAlignment="1">
      <alignment horizontal="right"/>
    </xf>
    <xf numFmtId="1" fontId="0" fillId="0" borderId="0" xfId="0" applyNumberFormat="1" applyFill="1" applyAlignment="1">
      <alignment horizontal="right"/>
    </xf>
    <xf numFmtId="0" fontId="0" fillId="0" borderId="0" xfId="0" applyFill="1" applyAlignment="1">
      <alignment horizontal="center" vertical="center"/>
    </xf>
    <xf numFmtId="0" fontId="13" fillId="3" borderId="6" xfId="0" applyFont="1" applyFill="1" applyBorder="1" applyAlignment="1">
      <alignment vertical="center" wrapText="1"/>
    </xf>
    <xf numFmtId="0" fontId="12" fillId="0" borderId="5" xfId="0" applyFont="1" applyFill="1" applyBorder="1" applyAlignment="1">
      <alignment vertical="top" wrapText="1"/>
    </xf>
    <xf numFmtId="0" fontId="12" fillId="0" borderId="5" xfId="0" applyFont="1" applyFill="1" applyBorder="1" applyAlignment="1">
      <alignment horizontal="center" vertical="top" wrapText="1"/>
    </xf>
    <xf numFmtId="0" fontId="0" fillId="0" borderId="10" xfId="0" applyFill="1" applyBorder="1" applyAlignment="1">
      <alignment vertical="top"/>
    </xf>
    <xf numFmtId="0" fontId="0" fillId="0" borderId="13" xfId="0" applyFill="1" applyBorder="1" applyAlignment="1">
      <alignment vertical="top"/>
    </xf>
    <xf numFmtId="0" fontId="0" fillId="0" borderId="16" xfId="0" applyFill="1" applyBorder="1" applyAlignment="1">
      <alignment vertical="top"/>
    </xf>
    <xf numFmtId="0" fontId="0" fillId="0" borderId="11" xfId="0" applyFill="1" applyBorder="1" applyAlignment="1">
      <alignment vertical="top" wrapText="1"/>
    </xf>
    <xf numFmtId="0" fontId="0" fillId="0" borderId="14" xfId="0" applyFill="1" applyBorder="1" applyAlignment="1">
      <alignment vertical="top" wrapText="1"/>
    </xf>
    <xf numFmtId="0" fontId="0" fillId="0" borderId="17" xfId="0" applyFill="1" applyBorder="1" applyAlignment="1">
      <alignment vertical="top" wrapText="1"/>
    </xf>
    <xf numFmtId="0" fontId="0" fillId="0" borderId="12" xfId="0" applyFill="1" applyBorder="1" applyAlignment="1">
      <alignment vertical="top" wrapText="1"/>
    </xf>
    <xf numFmtId="0" fontId="0" fillId="0" borderId="15" xfId="0" applyFill="1" applyBorder="1" applyAlignment="1">
      <alignment vertical="top" wrapText="1"/>
    </xf>
    <xf numFmtId="0" fontId="0" fillId="0" borderId="18" xfId="0" applyFill="1" applyBorder="1" applyAlignment="1">
      <alignment vertical="top" wrapText="1"/>
    </xf>
    <xf numFmtId="0" fontId="0" fillId="0" borderId="11" xfId="0" applyFill="1" applyBorder="1" applyAlignment="1">
      <alignment horizontal="center" vertical="top"/>
    </xf>
    <xf numFmtId="0" fontId="0" fillId="0" borderId="14" xfId="0" applyFill="1" applyBorder="1" applyAlignment="1">
      <alignment horizontal="center" vertical="top"/>
    </xf>
    <xf numFmtId="0" fontId="0" fillId="0" borderId="17" xfId="0" applyFill="1" applyBorder="1" applyAlignment="1">
      <alignment horizontal="center" vertical="top"/>
    </xf>
    <xf numFmtId="0" fontId="11" fillId="4" borderId="7" xfId="0" applyFont="1" applyFill="1" applyBorder="1" applyAlignment="1">
      <alignment horizontal="center" vertical="center" wrapText="1"/>
    </xf>
    <xf numFmtId="0" fontId="11" fillId="4" borderId="8" xfId="0" applyFont="1" applyFill="1" applyBorder="1" applyAlignment="1">
      <alignment horizontal="center" vertical="center" wrapText="1"/>
    </xf>
    <xf numFmtId="0" fontId="11" fillId="4" borderId="9" xfId="0" applyFont="1" applyFill="1" applyBorder="1" applyAlignment="1">
      <alignment horizontal="center" vertical="center" wrapText="1"/>
    </xf>
    <xf numFmtId="0" fontId="8" fillId="0" borderId="0" xfId="0" applyFont="1" applyFill="1" applyAlignment="1">
      <alignment horizontal="left" vertical="center"/>
    </xf>
    <xf numFmtId="0" fontId="14" fillId="5" borderId="0" xfId="0" applyFont="1" applyAlignment="1">
      <alignment vertical="top" wrapText="1"/>
    </xf>
    <xf numFmtId="1" fontId="14" fillId="5" borderId="0" xfId="0" applyNumberFormat="1" applyFont="1" applyAlignment="1">
      <alignment vertical="top" wrapText="1"/>
    </xf>
    <xf numFmtId="168" fontId="14" fillId="5" borderId="0" xfId="0" applyNumberFormat="1" applyFont="1" applyAlignment="1">
      <alignment vertical="top" wrapText="1"/>
    </xf>
  </cellXfs>
  <cellStyles count="1">
    <cellStyle name="Standard"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eweihteWunderTable" displayName="GeweihteWunderTable" ref="A1:L61" totalsRowShown="0">
  <autoFilter ref="A1:L61" xr:uid="{00000000-0009-0000-0100-000001000000}"/>
  <tableColumns count="12">
    <tableColumn id="1" xr3:uid="{00000000-0010-0000-0000-000001000000}" name="Typ"/>
    <tableColumn id="2" xr3:uid="{00000000-0010-0000-0000-000002000000}" name="Name"/>
    <tableColumn id="3" xr3:uid="{00000000-0010-0000-0000-000003000000}" name="Gebet"/>
    <tableColumn id="4" xr3:uid="{00000000-0010-0000-0000-000004000000}" name="Wirkung"/>
    <tableColumn id="5" xr3:uid="{00000000-0010-0000-0000-000005000000}" name="Ziel"/>
    <tableColumn id="6" xr3:uid="{00000000-0010-0000-0000-000006000000}" name="RW"/>
    <tableColumn id="7" xr3:uid="{00000000-0010-0000-0000-000007000000}" name="VD"/>
    <tableColumn id="8" xr3:uid="{00000000-0010-0000-0000-000008000000}" name="ED"/>
    <tableColumn id="9" xr3:uid="{00000000-0010-0000-0000-000009000000}" name="WD"/>
    <tableColumn id="10" xr3:uid="{00000000-0010-0000-0000-00000A000000}" name="MinKarma"/>
    <tableColumn id="11" xr3:uid="{00000000-0010-0000-0000-00000B000000}" name="Malus"/>
    <tableColumn id="12" xr3:uid="{00000000-0010-0000-0000-00000C000000}" name="KPP"/>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5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251"/>
  <sheetViews>
    <sheetView tabSelected="1" topLeftCell="Q670" workbookViewId="0">
      <selection activeCell="Q670" sqref="Q670"/>
    </sheetView>
  </sheetViews>
  <sheetFormatPr baseColWidth="10" defaultColWidth="9.140625" defaultRowHeight="15"/>
  <cols>
    <col min="1" max="1" width="25.7109375" style="29" customWidth="1"/>
    <col min="2" max="2" width="19" style="11" customWidth="1"/>
    <col min="3" max="3" width="39.7109375" style="12" customWidth="1"/>
    <col min="4" max="4" width="9.140625" style="11" customWidth="1"/>
    <col min="5" max="5" width="30.85546875" style="11" customWidth="1"/>
    <col min="6" max="6" width="12.5703125" style="11" customWidth="1"/>
    <col min="7" max="11" width="9.140625" style="11" customWidth="1"/>
    <col min="12" max="12" width="9.140625" style="29" customWidth="1"/>
    <col min="13" max="16" width="9.140625" style="11" customWidth="1"/>
    <col min="17" max="17" width="255" style="11" customWidth="1"/>
    <col min="18" max="78" width="9.140625" style="11" customWidth="1"/>
    <col min="79" max="16384" width="9.140625" style="11"/>
  </cols>
  <sheetData>
    <row r="1" spans="1:17" ht="15.75" customHeight="1">
      <c r="A1" s="29" t="s">
        <v>0</v>
      </c>
      <c r="B1" s="11" t="s">
        <v>1</v>
      </c>
      <c r="C1" s="12" t="s">
        <v>2</v>
      </c>
      <c r="D1" s="11" t="s">
        <v>3</v>
      </c>
      <c r="E1" s="11" t="s">
        <v>4</v>
      </c>
      <c r="F1" s="11" t="s">
        <v>5</v>
      </c>
      <c r="G1" s="11" t="s">
        <v>6</v>
      </c>
      <c r="H1" s="11" t="s">
        <v>7</v>
      </c>
      <c r="I1" s="11" t="s">
        <v>8</v>
      </c>
      <c r="J1" s="11" t="s">
        <v>9</v>
      </c>
      <c r="K1" s="11" t="s">
        <v>10</v>
      </c>
      <c r="L1" s="28" t="s">
        <v>11</v>
      </c>
      <c r="M1" t="s">
        <v>12</v>
      </c>
      <c r="O1" t="s">
        <v>13</v>
      </c>
      <c r="P1" t="s">
        <v>14</v>
      </c>
      <c r="Q1" t="s">
        <v>15</v>
      </c>
    </row>
    <row r="2" spans="1:17" ht="15.75" customHeight="1">
      <c r="A2" s="29" t="s">
        <v>16</v>
      </c>
      <c r="B2" s="11" t="s">
        <v>17</v>
      </c>
      <c r="C2" s="12" t="s">
        <v>18</v>
      </c>
      <c r="F2" t="s">
        <v>19</v>
      </c>
      <c r="G2" s="11" t="s">
        <v>20</v>
      </c>
      <c r="J2" t="s">
        <v>21</v>
      </c>
      <c r="K2">
        <v>1</v>
      </c>
      <c r="L2" s="28" t="s">
        <v>22</v>
      </c>
      <c r="P2" t="s">
        <v>23</v>
      </c>
      <c r="Q2" t="s">
        <v>24</v>
      </c>
    </row>
    <row r="3" spans="1:17" ht="15.75" customHeight="1">
      <c r="A3" s="29" t="s">
        <v>25</v>
      </c>
      <c r="B3" s="11" t="s">
        <v>17</v>
      </c>
      <c r="C3" s="12" t="s">
        <v>26</v>
      </c>
      <c r="F3" t="s">
        <v>19</v>
      </c>
      <c r="G3" s="11" t="s">
        <v>20</v>
      </c>
      <c r="J3" t="s">
        <v>21</v>
      </c>
      <c r="K3">
        <v>2</v>
      </c>
      <c r="L3" s="28" t="s">
        <v>22</v>
      </c>
      <c r="P3" t="s">
        <v>23</v>
      </c>
      <c r="Q3" t="s">
        <v>27</v>
      </c>
    </row>
    <row r="4" spans="1:17" ht="15.75" customHeight="1">
      <c r="A4" s="29" t="s">
        <v>28</v>
      </c>
      <c r="B4" s="11" t="s">
        <v>17</v>
      </c>
      <c r="C4" s="12" t="s">
        <v>29</v>
      </c>
      <c r="F4" t="s">
        <v>19</v>
      </c>
      <c r="G4" s="11" t="s">
        <v>20</v>
      </c>
      <c r="J4" t="s">
        <v>21</v>
      </c>
      <c r="K4">
        <v>3</v>
      </c>
      <c r="L4" s="28" t="s">
        <v>22</v>
      </c>
      <c r="P4" t="s">
        <v>23</v>
      </c>
      <c r="Q4" t="s">
        <v>30</v>
      </c>
    </row>
    <row r="5" spans="1:17" ht="15.75" customHeight="1">
      <c r="A5" s="29" t="s">
        <v>31</v>
      </c>
      <c r="B5" s="11" t="s">
        <v>17</v>
      </c>
      <c r="C5" s="12" t="s">
        <v>32</v>
      </c>
      <c r="F5" t="s">
        <v>19</v>
      </c>
      <c r="G5" s="11" t="s">
        <v>20</v>
      </c>
      <c r="J5" t="s">
        <v>21</v>
      </c>
      <c r="K5">
        <v>4</v>
      </c>
      <c r="L5" s="28" t="s">
        <v>22</v>
      </c>
      <c r="P5" t="s">
        <v>23</v>
      </c>
      <c r="Q5" t="s">
        <v>33</v>
      </c>
    </row>
    <row r="6" spans="1:17" ht="15.75" customHeight="1">
      <c r="A6" s="29" t="s">
        <v>34</v>
      </c>
      <c r="B6" s="11" t="s">
        <v>17</v>
      </c>
      <c r="C6" s="12" t="s">
        <v>35</v>
      </c>
      <c r="F6" t="s">
        <v>19</v>
      </c>
      <c r="G6" s="11" t="s">
        <v>20</v>
      </c>
      <c r="J6" t="s">
        <v>21</v>
      </c>
      <c r="K6">
        <v>5</v>
      </c>
      <c r="L6" s="28" t="s">
        <v>22</v>
      </c>
      <c r="P6" t="s">
        <v>23</v>
      </c>
      <c r="Q6" t="s">
        <v>36</v>
      </c>
    </row>
    <row r="7" spans="1:17" ht="15.75" customHeight="1">
      <c r="A7" s="29" t="s">
        <v>37</v>
      </c>
      <c r="B7" s="11" t="s">
        <v>17</v>
      </c>
      <c r="C7" s="12" t="s">
        <v>38</v>
      </c>
      <c r="F7" t="s">
        <v>19</v>
      </c>
      <c r="G7" s="11" t="s">
        <v>20</v>
      </c>
      <c r="J7" t="s">
        <v>21</v>
      </c>
      <c r="K7">
        <v>5</v>
      </c>
      <c r="L7" s="28" t="s">
        <v>22</v>
      </c>
      <c r="P7" t="s">
        <v>23</v>
      </c>
      <c r="Q7" t="s">
        <v>39</v>
      </c>
    </row>
    <row r="8" spans="1:17" ht="15.75" customHeight="1">
      <c r="A8" s="29" t="s">
        <v>40</v>
      </c>
      <c r="B8" s="11" t="s">
        <v>17</v>
      </c>
      <c r="C8" s="12" t="s">
        <v>41</v>
      </c>
      <c r="F8" t="s">
        <v>19</v>
      </c>
      <c r="G8" s="11" t="s">
        <v>20</v>
      </c>
      <c r="J8" t="s">
        <v>21</v>
      </c>
      <c r="K8">
        <v>5</v>
      </c>
      <c r="L8" s="28" t="s">
        <v>22</v>
      </c>
      <c r="P8" t="s">
        <v>23</v>
      </c>
      <c r="Q8" t="s">
        <v>42</v>
      </c>
    </row>
    <row r="9" spans="1:17" ht="15.75" customHeight="1">
      <c r="A9" s="29" t="s">
        <v>43</v>
      </c>
      <c r="B9" s="11" t="s">
        <v>17</v>
      </c>
      <c r="C9" s="12" t="s">
        <v>44</v>
      </c>
      <c r="F9" t="s">
        <v>19</v>
      </c>
      <c r="G9" s="11" t="s">
        <v>20</v>
      </c>
      <c r="J9" t="s">
        <v>21</v>
      </c>
      <c r="K9">
        <v>6</v>
      </c>
      <c r="L9" s="28" t="s">
        <v>22</v>
      </c>
      <c r="P9" t="s">
        <v>23</v>
      </c>
      <c r="Q9" t="s">
        <v>45</v>
      </c>
    </row>
    <row r="10" spans="1:17" ht="15.75" customHeight="1">
      <c r="A10" s="29" t="s">
        <v>46</v>
      </c>
      <c r="B10" s="11" t="s">
        <v>17</v>
      </c>
      <c r="C10" s="12" t="s">
        <v>47</v>
      </c>
      <c r="F10" t="s">
        <v>19</v>
      </c>
      <c r="G10" s="11" t="s">
        <v>20</v>
      </c>
      <c r="J10" t="s">
        <v>21</v>
      </c>
      <c r="K10">
        <v>6</v>
      </c>
      <c r="L10" s="28" t="s">
        <v>22</v>
      </c>
      <c r="P10" t="s">
        <v>23</v>
      </c>
      <c r="Q10" t="s">
        <v>48</v>
      </c>
    </row>
    <row r="11" spans="1:17" ht="15.75" customHeight="1">
      <c r="A11" s="29" t="s">
        <v>49</v>
      </c>
      <c r="B11" s="11" t="s">
        <v>17</v>
      </c>
      <c r="C11" s="12" t="s">
        <v>50</v>
      </c>
      <c r="F11" t="s">
        <v>19</v>
      </c>
      <c r="G11" s="11" t="s">
        <v>20</v>
      </c>
      <c r="J11" t="s">
        <v>21</v>
      </c>
      <c r="K11">
        <v>7</v>
      </c>
      <c r="L11" s="28" t="s">
        <v>22</v>
      </c>
      <c r="P11" t="s">
        <v>23</v>
      </c>
      <c r="Q11" t="s">
        <v>51</v>
      </c>
    </row>
    <row r="12" spans="1:17" ht="15.75" customHeight="1">
      <c r="A12" s="29" t="s">
        <v>52</v>
      </c>
      <c r="B12" s="11" t="s">
        <v>17</v>
      </c>
      <c r="C12" s="12" t="s">
        <v>53</v>
      </c>
      <c r="F12" t="s">
        <v>54</v>
      </c>
      <c r="G12" s="11" t="s">
        <v>20</v>
      </c>
      <c r="J12" t="s">
        <v>21</v>
      </c>
      <c r="K12">
        <v>1</v>
      </c>
      <c r="L12" s="28" t="s">
        <v>22</v>
      </c>
      <c r="P12" t="s">
        <v>55</v>
      </c>
      <c r="Q12" t="s">
        <v>56</v>
      </c>
    </row>
    <row r="13" spans="1:17" ht="15.75" customHeight="1">
      <c r="A13" s="29" t="s">
        <v>57</v>
      </c>
      <c r="B13" s="11" t="s">
        <v>17</v>
      </c>
      <c r="C13" s="12" t="s">
        <v>58</v>
      </c>
      <c r="F13" t="s">
        <v>54</v>
      </c>
      <c r="G13" s="11" t="s">
        <v>20</v>
      </c>
      <c r="J13" t="s">
        <v>21</v>
      </c>
      <c r="K13">
        <v>2</v>
      </c>
      <c r="L13" s="28" t="s">
        <v>22</v>
      </c>
      <c r="P13" t="s">
        <v>55</v>
      </c>
      <c r="Q13" t="s">
        <v>59</v>
      </c>
    </row>
    <row r="14" spans="1:17" ht="15.75" customHeight="1">
      <c r="A14" s="29" t="s">
        <v>60</v>
      </c>
      <c r="B14" s="11" t="s">
        <v>17</v>
      </c>
      <c r="C14" s="12" t="s">
        <v>61</v>
      </c>
      <c r="F14" t="s">
        <v>54</v>
      </c>
      <c r="G14" s="11" t="s">
        <v>20</v>
      </c>
      <c r="J14" t="s">
        <v>21</v>
      </c>
      <c r="K14">
        <v>2</v>
      </c>
      <c r="L14" s="28" t="s">
        <v>22</v>
      </c>
      <c r="P14" t="s">
        <v>55</v>
      </c>
      <c r="Q14" t="s">
        <v>62</v>
      </c>
    </row>
    <row r="15" spans="1:17" ht="15.75" customHeight="1">
      <c r="A15" s="29" t="s">
        <v>63</v>
      </c>
      <c r="B15" s="11" t="s">
        <v>17</v>
      </c>
      <c r="C15" s="12" t="s">
        <v>64</v>
      </c>
      <c r="F15" t="s">
        <v>54</v>
      </c>
      <c r="G15" s="11" t="s">
        <v>20</v>
      </c>
      <c r="J15" t="s">
        <v>21</v>
      </c>
      <c r="K15">
        <v>3</v>
      </c>
      <c r="L15" s="28" t="s">
        <v>22</v>
      </c>
      <c r="P15" t="s">
        <v>55</v>
      </c>
      <c r="Q15" t="s">
        <v>65</v>
      </c>
    </row>
    <row r="16" spans="1:17" ht="15.75" customHeight="1">
      <c r="A16" s="29" t="s">
        <v>66</v>
      </c>
      <c r="B16" s="11" t="s">
        <v>17</v>
      </c>
      <c r="C16" s="12" t="s">
        <v>67</v>
      </c>
      <c r="F16" t="s">
        <v>54</v>
      </c>
      <c r="G16" s="11" t="s">
        <v>20</v>
      </c>
      <c r="J16" t="s">
        <v>21</v>
      </c>
      <c r="K16">
        <v>4</v>
      </c>
      <c r="L16" s="28" t="s">
        <v>22</v>
      </c>
      <c r="P16" t="s">
        <v>55</v>
      </c>
      <c r="Q16" t="s">
        <v>68</v>
      </c>
    </row>
    <row r="17" spans="1:17" ht="15.75" customHeight="1">
      <c r="A17" s="29" t="s">
        <v>69</v>
      </c>
      <c r="B17" s="11" t="s">
        <v>17</v>
      </c>
      <c r="C17" s="12" t="s">
        <v>70</v>
      </c>
      <c r="F17" t="s">
        <v>54</v>
      </c>
      <c r="G17" s="11" t="s">
        <v>20</v>
      </c>
      <c r="J17" t="s">
        <v>21</v>
      </c>
      <c r="K17">
        <v>5</v>
      </c>
      <c r="L17" s="28" t="s">
        <v>22</v>
      </c>
      <c r="P17" t="s">
        <v>55</v>
      </c>
      <c r="Q17" t="s">
        <v>71</v>
      </c>
    </row>
    <row r="18" spans="1:17" ht="15.75" customHeight="1">
      <c r="A18" s="29" t="s">
        <v>72</v>
      </c>
      <c r="B18" s="11" t="s">
        <v>17</v>
      </c>
      <c r="C18" s="12" t="s">
        <v>73</v>
      </c>
      <c r="F18" t="s">
        <v>54</v>
      </c>
      <c r="G18" s="11" t="s">
        <v>20</v>
      </c>
      <c r="J18" t="s">
        <v>21</v>
      </c>
      <c r="K18">
        <v>5</v>
      </c>
      <c r="L18" s="28" t="s">
        <v>22</v>
      </c>
      <c r="P18" t="s">
        <v>55</v>
      </c>
      <c r="Q18" t="s">
        <v>74</v>
      </c>
    </row>
    <row r="19" spans="1:17" ht="15.75" customHeight="1">
      <c r="A19" s="29" t="s">
        <v>75</v>
      </c>
      <c r="B19" s="11" t="s">
        <v>17</v>
      </c>
      <c r="C19" s="12" t="s">
        <v>76</v>
      </c>
      <c r="F19" t="s">
        <v>54</v>
      </c>
      <c r="G19" s="11" t="s">
        <v>20</v>
      </c>
      <c r="J19" t="s">
        <v>21</v>
      </c>
      <c r="K19">
        <v>5</v>
      </c>
      <c r="L19" s="28" t="s">
        <v>22</v>
      </c>
      <c r="P19" t="s">
        <v>55</v>
      </c>
      <c r="Q19" t="s">
        <v>77</v>
      </c>
    </row>
    <row r="20" spans="1:17" ht="15.75" customHeight="1">
      <c r="A20" s="29" t="s">
        <v>78</v>
      </c>
      <c r="B20" s="11" t="s">
        <v>17</v>
      </c>
      <c r="C20" s="12" t="s">
        <v>79</v>
      </c>
      <c r="F20" t="s">
        <v>54</v>
      </c>
      <c r="G20" s="11" t="s">
        <v>20</v>
      </c>
      <c r="J20" t="s">
        <v>21</v>
      </c>
      <c r="K20">
        <v>6</v>
      </c>
      <c r="L20" s="28" t="s">
        <v>22</v>
      </c>
      <c r="P20" t="s">
        <v>55</v>
      </c>
      <c r="Q20" t="s">
        <v>80</v>
      </c>
    </row>
    <row r="21" spans="1:17" ht="15.75" customHeight="1">
      <c r="A21" s="29" t="s">
        <v>81</v>
      </c>
      <c r="B21" s="11" t="s">
        <v>17</v>
      </c>
      <c r="C21" s="12" t="s">
        <v>82</v>
      </c>
      <c r="F21" t="s">
        <v>54</v>
      </c>
      <c r="G21" s="11" t="s">
        <v>20</v>
      </c>
      <c r="H21" s="29"/>
      <c r="I21" s="29"/>
      <c r="J21" t="s">
        <v>21</v>
      </c>
      <c r="K21">
        <v>6</v>
      </c>
      <c r="L21" s="28" t="s">
        <v>22</v>
      </c>
      <c r="P21" t="s">
        <v>55</v>
      </c>
      <c r="Q21" t="s">
        <v>83</v>
      </c>
    </row>
    <row r="22" spans="1:17" ht="15.75" customHeight="1">
      <c r="A22" s="29" t="s">
        <v>84</v>
      </c>
      <c r="B22" s="11" t="s">
        <v>17</v>
      </c>
      <c r="C22" s="12" t="s">
        <v>85</v>
      </c>
      <c r="F22" t="s">
        <v>54</v>
      </c>
      <c r="G22" s="11" t="s">
        <v>20</v>
      </c>
      <c r="J22" t="s">
        <v>21</v>
      </c>
      <c r="K22">
        <v>7</v>
      </c>
      <c r="L22" s="28" t="s">
        <v>22</v>
      </c>
      <c r="P22" t="s">
        <v>55</v>
      </c>
      <c r="Q22" t="s">
        <v>86</v>
      </c>
    </row>
    <row r="23" spans="1:17" ht="15.75" customHeight="1">
      <c r="A23" s="29" t="s">
        <v>87</v>
      </c>
      <c r="B23" s="11" t="s">
        <v>17</v>
      </c>
      <c r="C23" s="12" t="s">
        <v>88</v>
      </c>
      <c r="F23" t="s">
        <v>89</v>
      </c>
      <c r="G23" s="11" t="s">
        <v>20</v>
      </c>
      <c r="J23" t="s">
        <v>21</v>
      </c>
      <c r="K23">
        <v>1</v>
      </c>
      <c r="L23" s="28" t="s">
        <v>22</v>
      </c>
      <c r="P23" t="s">
        <v>90</v>
      </c>
      <c r="Q23" t="s">
        <v>91</v>
      </c>
    </row>
    <row r="24" spans="1:17" ht="15.75" customHeight="1">
      <c r="A24" s="29" t="s">
        <v>92</v>
      </c>
      <c r="B24" s="11" t="s">
        <v>17</v>
      </c>
      <c r="C24" s="12" t="s">
        <v>93</v>
      </c>
      <c r="F24" t="s">
        <v>89</v>
      </c>
      <c r="G24" s="11" t="s">
        <v>20</v>
      </c>
      <c r="J24" t="s">
        <v>21</v>
      </c>
      <c r="K24">
        <v>2</v>
      </c>
      <c r="L24" s="28" t="s">
        <v>22</v>
      </c>
      <c r="P24" t="s">
        <v>90</v>
      </c>
      <c r="Q24" t="s">
        <v>94</v>
      </c>
    </row>
    <row r="25" spans="1:17" ht="15.75" customHeight="1">
      <c r="A25" s="29" t="s">
        <v>95</v>
      </c>
      <c r="B25" s="11" t="s">
        <v>17</v>
      </c>
      <c r="C25" s="12" t="s">
        <v>96</v>
      </c>
      <c r="F25" t="s">
        <v>89</v>
      </c>
      <c r="G25" s="11" t="s">
        <v>20</v>
      </c>
      <c r="J25" t="s">
        <v>21</v>
      </c>
      <c r="K25">
        <v>2</v>
      </c>
      <c r="L25" s="28" t="s">
        <v>22</v>
      </c>
      <c r="P25" t="s">
        <v>90</v>
      </c>
      <c r="Q25" t="s">
        <v>97</v>
      </c>
    </row>
    <row r="26" spans="1:17" ht="15.75" customHeight="1">
      <c r="A26" s="29" t="s">
        <v>98</v>
      </c>
      <c r="B26" s="11" t="s">
        <v>17</v>
      </c>
      <c r="C26" s="12" t="s">
        <v>99</v>
      </c>
      <c r="F26" t="s">
        <v>89</v>
      </c>
      <c r="G26" s="11" t="s">
        <v>20</v>
      </c>
      <c r="J26" t="s">
        <v>21</v>
      </c>
      <c r="K26">
        <v>3</v>
      </c>
      <c r="L26" s="28" t="s">
        <v>22</v>
      </c>
      <c r="P26" t="s">
        <v>90</v>
      </c>
      <c r="Q26" t="s">
        <v>100</v>
      </c>
    </row>
    <row r="27" spans="1:17" ht="15.75" customHeight="1">
      <c r="A27" s="29" t="s">
        <v>101</v>
      </c>
      <c r="B27" s="11" t="s">
        <v>17</v>
      </c>
      <c r="C27" s="12" t="s">
        <v>102</v>
      </c>
      <c r="F27" t="s">
        <v>89</v>
      </c>
      <c r="G27" s="11" t="s">
        <v>20</v>
      </c>
      <c r="J27" t="s">
        <v>21</v>
      </c>
      <c r="K27">
        <v>4</v>
      </c>
      <c r="L27" s="28" t="s">
        <v>22</v>
      </c>
      <c r="P27" t="s">
        <v>90</v>
      </c>
      <c r="Q27" t="s">
        <v>103</v>
      </c>
    </row>
    <row r="28" spans="1:17" ht="15.75" customHeight="1">
      <c r="A28" s="29" t="s">
        <v>104</v>
      </c>
      <c r="B28" s="11" t="s">
        <v>17</v>
      </c>
      <c r="C28" s="12" t="s">
        <v>105</v>
      </c>
      <c r="F28" t="s">
        <v>89</v>
      </c>
      <c r="G28" s="11" t="s">
        <v>20</v>
      </c>
      <c r="J28" t="s">
        <v>21</v>
      </c>
      <c r="K28">
        <v>5</v>
      </c>
      <c r="L28" s="28" t="s">
        <v>22</v>
      </c>
      <c r="P28" t="s">
        <v>90</v>
      </c>
      <c r="Q28" t="s">
        <v>106</v>
      </c>
    </row>
    <row r="29" spans="1:17" ht="15.75" customHeight="1">
      <c r="A29" s="29" t="s">
        <v>107</v>
      </c>
      <c r="B29" s="11" t="s">
        <v>17</v>
      </c>
      <c r="C29" s="12" t="s">
        <v>108</v>
      </c>
      <c r="F29" t="s">
        <v>89</v>
      </c>
      <c r="G29" s="11" t="s">
        <v>20</v>
      </c>
      <c r="J29" t="s">
        <v>21</v>
      </c>
      <c r="K29">
        <v>5</v>
      </c>
      <c r="L29" s="28" t="s">
        <v>22</v>
      </c>
      <c r="P29" t="s">
        <v>90</v>
      </c>
      <c r="Q29" t="s">
        <v>109</v>
      </c>
    </row>
    <row r="30" spans="1:17" ht="15.75" customHeight="1">
      <c r="A30" s="29" t="s">
        <v>110</v>
      </c>
      <c r="B30" s="11" t="s">
        <v>17</v>
      </c>
      <c r="C30" s="12" t="s">
        <v>111</v>
      </c>
      <c r="F30" t="s">
        <v>89</v>
      </c>
      <c r="G30" s="11" t="s">
        <v>20</v>
      </c>
      <c r="J30" t="s">
        <v>21</v>
      </c>
      <c r="K30">
        <v>5</v>
      </c>
      <c r="L30" s="28" t="s">
        <v>22</v>
      </c>
      <c r="P30" t="s">
        <v>90</v>
      </c>
      <c r="Q30" t="s">
        <v>112</v>
      </c>
    </row>
    <row r="31" spans="1:17" ht="15.75" customHeight="1">
      <c r="A31" s="29" t="s">
        <v>113</v>
      </c>
      <c r="B31" s="11" t="s">
        <v>17</v>
      </c>
      <c r="C31" s="12" t="s">
        <v>114</v>
      </c>
      <c r="F31" t="s">
        <v>89</v>
      </c>
      <c r="G31" s="11" t="s">
        <v>20</v>
      </c>
      <c r="J31" t="s">
        <v>21</v>
      </c>
      <c r="K31">
        <v>6</v>
      </c>
      <c r="L31" s="28" t="s">
        <v>22</v>
      </c>
      <c r="P31" t="s">
        <v>90</v>
      </c>
      <c r="Q31" t="s">
        <v>115</v>
      </c>
    </row>
    <row r="32" spans="1:17" ht="15.75" customHeight="1">
      <c r="A32" s="29" t="s">
        <v>116</v>
      </c>
      <c r="B32" s="11" t="s">
        <v>17</v>
      </c>
      <c r="C32" s="12" t="s">
        <v>117</v>
      </c>
      <c r="F32" t="s">
        <v>89</v>
      </c>
      <c r="G32" s="11" t="s">
        <v>20</v>
      </c>
      <c r="J32" t="s">
        <v>21</v>
      </c>
      <c r="K32">
        <v>6</v>
      </c>
      <c r="L32" s="28" t="s">
        <v>22</v>
      </c>
      <c r="P32" t="s">
        <v>90</v>
      </c>
      <c r="Q32" t="s">
        <v>118</v>
      </c>
    </row>
    <row r="33" spans="1:17" ht="15.75" customHeight="1">
      <c r="A33" s="29" t="s">
        <v>119</v>
      </c>
      <c r="B33" s="11" t="s">
        <v>17</v>
      </c>
      <c r="C33" s="12" t="s">
        <v>120</v>
      </c>
      <c r="F33" t="s">
        <v>89</v>
      </c>
      <c r="G33" s="11" t="s">
        <v>20</v>
      </c>
      <c r="J33" t="s">
        <v>21</v>
      </c>
      <c r="K33">
        <v>7</v>
      </c>
      <c r="L33" s="28" t="s">
        <v>22</v>
      </c>
      <c r="P33" t="s">
        <v>90</v>
      </c>
      <c r="Q33" t="s">
        <v>121</v>
      </c>
    </row>
    <row r="34" spans="1:17" ht="15.75" customHeight="1">
      <c r="A34" s="29" t="s">
        <v>122</v>
      </c>
      <c r="B34" s="11" t="s">
        <v>17</v>
      </c>
      <c r="C34" s="12" t="s">
        <v>123</v>
      </c>
      <c r="F34" t="s">
        <v>124</v>
      </c>
      <c r="G34" s="11" t="s">
        <v>20</v>
      </c>
      <c r="J34" t="s">
        <v>21</v>
      </c>
      <c r="K34">
        <v>1</v>
      </c>
      <c r="L34" s="28" t="s">
        <v>22</v>
      </c>
      <c r="P34" t="s">
        <v>125</v>
      </c>
      <c r="Q34" t="s">
        <v>126</v>
      </c>
    </row>
    <row r="35" spans="1:17" ht="15.75" customHeight="1">
      <c r="A35" s="29" t="s">
        <v>127</v>
      </c>
      <c r="B35" s="11" t="s">
        <v>17</v>
      </c>
      <c r="C35" s="12" t="s">
        <v>128</v>
      </c>
      <c r="F35" t="s">
        <v>124</v>
      </c>
      <c r="G35" s="11" t="s">
        <v>20</v>
      </c>
      <c r="J35" t="s">
        <v>21</v>
      </c>
      <c r="K35">
        <v>2</v>
      </c>
      <c r="L35" s="28" t="s">
        <v>22</v>
      </c>
      <c r="P35" t="s">
        <v>125</v>
      </c>
      <c r="Q35" t="s">
        <v>129</v>
      </c>
    </row>
    <row r="36" spans="1:17" ht="15.75" customHeight="1">
      <c r="A36" s="29" t="s">
        <v>130</v>
      </c>
      <c r="B36" s="11" t="s">
        <v>17</v>
      </c>
      <c r="C36" s="12" t="s">
        <v>131</v>
      </c>
      <c r="F36" t="s">
        <v>124</v>
      </c>
      <c r="G36" s="11" t="s">
        <v>20</v>
      </c>
      <c r="J36" t="s">
        <v>21</v>
      </c>
      <c r="K36">
        <v>2</v>
      </c>
      <c r="L36" s="28" t="s">
        <v>22</v>
      </c>
      <c r="P36" t="s">
        <v>125</v>
      </c>
      <c r="Q36" t="s">
        <v>132</v>
      </c>
    </row>
    <row r="37" spans="1:17" ht="15.75" customHeight="1">
      <c r="A37" s="29" t="s">
        <v>133</v>
      </c>
      <c r="B37" s="11" t="s">
        <v>17</v>
      </c>
      <c r="C37" s="12" t="s">
        <v>134</v>
      </c>
      <c r="F37" t="s">
        <v>124</v>
      </c>
      <c r="G37" s="11" t="s">
        <v>20</v>
      </c>
      <c r="H37" s="29"/>
      <c r="I37" s="29"/>
      <c r="J37" t="s">
        <v>21</v>
      </c>
      <c r="K37">
        <v>3</v>
      </c>
      <c r="L37" s="28" t="s">
        <v>22</v>
      </c>
      <c r="P37" t="s">
        <v>125</v>
      </c>
      <c r="Q37" t="s">
        <v>135</v>
      </c>
    </row>
    <row r="38" spans="1:17" ht="15.75" customHeight="1">
      <c r="A38" s="29" t="s">
        <v>136</v>
      </c>
      <c r="B38" s="11" t="s">
        <v>17</v>
      </c>
      <c r="C38" s="12" t="s">
        <v>137</v>
      </c>
      <c r="F38" t="s">
        <v>124</v>
      </c>
      <c r="G38" s="11" t="s">
        <v>20</v>
      </c>
      <c r="J38" t="s">
        <v>21</v>
      </c>
      <c r="K38">
        <v>4</v>
      </c>
      <c r="L38" s="28" t="s">
        <v>22</v>
      </c>
      <c r="P38" t="s">
        <v>125</v>
      </c>
      <c r="Q38" t="s">
        <v>138</v>
      </c>
    </row>
    <row r="39" spans="1:17" ht="15.75" customHeight="1">
      <c r="A39" s="29" t="s">
        <v>139</v>
      </c>
      <c r="B39" s="11" t="s">
        <v>17</v>
      </c>
      <c r="C39" s="12" t="s">
        <v>140</v>
      </c>
      <c r="F39" t="s">
        <v>124</v>
      </c>
      <c r="G39" s="11" t="s">
        <v>20</v>
      </c>
      <c r="J39" t="s">
        <v>21</v>
      </c>
      <c r="K39">
        <v>5</v>
      </c>
      <c r="L39" s="28" t="s">
        <v>22</v>
      </c>
      <c r="P39" t="s">
        <v>125</v>
      </c>
      <c r="Q39" t="s">
        <v>141</v>
      </c>
    </row>
    <row r="40" spans="1:17" ht="15.75" customHeight="1">
      <c r="A40" s="29" t="s">
        <v>142</v>
      </c>
      <c r="B40" s="11" t="s">
        <v>17</v>
      </c>
      <c r="C40" s="12" t="s">
        <v>143</v>
      </c>
      <c r="F40" t="s">
        <v>124</v>
      </c>
      <c r="G40" s="11" t="s">
        <v>20</v>
      </c>
      <c r="J40" t="s">
        <v>21</v>
      </c>
      <c r="K40">
        <v>5</v>
      </c>
      <c r="L40" s="28" t="s">
        <v>22</v>
      </c>
      <c r="P40" t="s">
        <v>125</v>
      </c>
      <c r="Q40" t="s">
        <v>144</v>
      </c>
    </row>
    <row r="41" spans="1:17" ht="15.75" customHeight="1">
      <c r="A41" s="29" t="s">
        <v>145</v>
      </c>
      <c r="B41" s="11" t="s">
        <v>17</v>
      </c>
      <c r="C41" s="12" t="s">
        <v>146</v>
      </c>
      <c r="F41" t="s">
        <v>124</v>
      </c>
      <c r="G41" s="11" t="s">
        <v>20</v>
      </c>
      <c r="J41" t="s">
        <v>21</v>
      </c>
      <c r="K41">
        <v>5</v>
      </c>
      <c r="L41" s="28" t="s">
        <v>22</v>
      </c>
      <c r="P41" t="s">
        <v>125</v>
      </c>
      <c r="Q41" t="s">
        <v>147</v>
      </c>
    </row>
    <row r="42" spans="1:17" ht="15.75" customHeight="1">
      <c r="A42" s="29" t="s">
        <v>148</v>
      </c>
      <c r="B42" s="11" t="s">
        <v>17</v>
      </c>
      <c r="C42" s="12" t="s">
        <v>149</v>
      </c>
      <c r="F42" t="s">
        <v>124</v>
      </c>
      <c r="G42" s="11" t="s">
        <v>20</v>
      </c>
      <c r="J42" t="s">
        <v>21</v>
      </c>
      <c r="K42">
        <v>6</v>
      </c>
      <c r="L42" s="28" t="s">
        <v>22</v>
      </c>
      <c r="P42" t="s">
        <v>125</v>
      </c>
      <c r="Q42" t="s">
        <v>150</v>
      </c>
    </row>
    <row r="43" spans="1:17" ht="15.75" customHeight="1">
      <c r="A43" s="29" t="s">
        <v>151</v>
      </c>
      <c r="B43" s="11" t="s">
        <v>17</v>
      </c>
      <c r="C43" s="12" t="s">
        <v>152</v>
      </c>
      <c r="F43" t="s">
        <v>124</v>
      </c>
      <c r="G43" s="11" t="s">
        <v>20</v>
      </c>
      <c r="H43" s="29"/>
      <c r="I43" s="29"/>
      <c r="J43" t="s">
        <v>21</v>
      </c>
      <c r="K43">
        <v>6</v>
      </c>
      <c r="L43" s="28" t="s">
        <v>22</v>
      </c>
      <c r="P43" t="s">
        <v>125</v>
      </c>
      <c r="Q43" t="s">
        <v>153</v>
      </c>
    </row>
    <row r="44" spans="1:17" ht="15.75" customHeight="1">
      <c r="A44" s="29" t="s">
        <v>154</v>
      </c>
      <c r="B44" s="11" t="s">
        <v>17</v>
      </c>
      <c r="C44" s="12" t="s">
        <v>155</v>
      </c>
      <c r="F44" t="s">
        <v>124</v>
      </c>
      <c r="G44" s="11" t="s">
        <v>20</v>
      </c>
      <c r="H44" s="29"/>
      <c r="I44" s="29"/>
      <c r="J44" t="s">
        <v>21</v>
      </c>
      <c r="K44">
        <v>7</v>
      </c>
      <c r="L44" s="28" t="s">
        <v>22</v>
      </c>
      <c r="P44" t="s">
        <v>125</v>
      </c>
      <c r="Q44" t="s">
        <v>156</v>
      </c>
    </row>
    <row r="45" spans="1:17" ht="15.75" customHeight="1">
      <c r="A45" s="29" t="s">
        <v>157</v>
      </c>
      <c r="B45" s="11" t="s">
        <v>17</v>
      </c>
      <c r="C45" s="18" t="s">
        <v>158</v>
      </c>
      <c r="E45" s="14"/>
      <c r="F45" s="14" t="s">
        <v>159</v>
      </c>
      <c r="G45" s="11" t="s">
        <v>20</v>
      </c>
      <c r="J45" t="s">
        <v>21</v>
      </c>
      <c r="K45">
        <v>1</v>
      </c>
      <c r="L45" s="28" t="s">
        <v>22</v>
      </c>
      <c r="P45" t="s">
        <v>160</v>
      </c>
      <c r="Q45" t="s">
        <v>161</v>
      </c>
    </row>
    <row r="46" spans="1:17" ht="15.75" customHeight="1">
      <c r="A46" s="29" t="s">
        <v>162</v>
      </c>
      <c r="B46" s="11" t="s">
        <v>17</v>
      </c>
      <c r="C46" s="18" t="s">
        <v>163</v>
      </c>
      <c r="E46" s="14"/>
      <c r="F46" s="14" t="s">
        <v>159</v>
      </c>
      <c r="G46" s="11" t="s">
        <v>20</v>
      </c>
      <c r="J46" t="s">
        <v>21</v>
      </c>
      <c r="K46">
        <v>2</v>
      </c>
      <c r="L46" s="28" t="s">
        <v>22</v>
      </c>
      <c r="P46" t="s">
        <v>160</v>
      </c>
      <c r="Q46" t="s">
        <v>164</v>
      </c>
    </row>
    <row r="47" spans="1:17" ht="15.75" customHeight="1">
      <c r="A47" s="29" t="s">
        <v>165</v>
      </c>
      <c r="B47" s="11" t="s">
        <v>17</v>
      </c>
      <c r="C47" s="18" t="s">
        <v>166</v>
      </c>
      <c r="E47" s="14"/>
      <c r="F47" s="14" t="s">
        <v>159</v>
      </c>
      <c r="G47" s="11" t="s">
        <v>20</v>
      </c>
      <c r="J47" t="s">
        <v>21</v>
      </c>
      <c r="K47">
        <v>3</v>
      </c>
      <c r="L47" s="28" t="s">
        <v>22</v>
      </c>
      <c r="P47" t="s">
        <v>160</v>
      </c>
      <c r="Q47" t="s">
        <v>167</v>
      </c>
    </row>
    <row r="48" spans="1:17" ht="15.75" customHeight="1">
      <c r="A48" s="29" t="s">
        <v>168</v>
      </c>
      <c r="B48" s="11" t="s">
        <v>17</v>
      </c>
      <c r="C48" s="18" t="s">
        <v>169</v>
      </c>
      <c r="E48" s="14"/>
      <c r="F48" s="14" t="s">
        <v>159</v>
      </c>
      <c r="G48" s="11" t="s">
        <v>20</v>
      </c>
      <c r="J48" t="s">
        <v>21</v>
      </c>
      <c r="K48">
        <v>4</v>
      </c>
      <c r="L48" s="28" t="s">
        <v>22</v>
      </c>
      <c r="P48" t="s">
        <v>160</v>
      </c>
      <c r="Q48" t="s">
        <v>170</v>
      </c>
    </row>
    <row r="49" spans="1:17" ht="15.75" customHeight="1">
      <c r="A49" s="29" t="s">
        <v>171</v>
      </c>
      <c r="B49" s="11" t="s">
        <v>17</v>
      </c>
      <c r="C49" s="18" t="s">
        <v>172</v>
      </c>
      <c r="E49" s="14"/>
      <c r="F49" s="14" t="s">
        <v>159</v>
      </c>
      <c r="G49" s="11" t="s">
        <v>20</v>
      </c>
      <c r="J49" t="s">
        <v>21</v>
      </c>
      <c r="K49">
        <v>5</v>
      </c>
      <c r="L49" s="28" t="s">
        <v>22</v>
      </c>
      <c r="P49" t="s">
        <v>160</v>
      </c>
      <c r="Q49" t="s">
        <v>173</v>
      </c>
    </row>
    <row r="50" spans="1:17" ht="15.75" customHeight="1">
      <c r="A50" s="29" t="s">
        <v>174</v>
      </c>
      <c r="B50" s="11" t="s">
        <v>17</v>
      </c>
      <c r="C50" s="18" t="s">
        <v>175</v>
      </c>
      <c r="E50" s="14"/>
      <c r="F50" s="14" t="s">
        <v>159</v>
      </c>
      <c r="G50" s="11" t="s">
        <v>20</v>
      </c>
      <c r="J50" t="s">
        <v>21</v>
      </c>
      <c r="K50">
        <v>5</v>
      </c>
      <c r="L50" s="28" t="s">
        <v>22</v>
      </c>
      <c r="P50" t="s">
        <v>160</v>
      </c>
      <c r="Q50" t="s">
        <v>176</v>
      </c>
    </row>
    <row r="51" spans="1:17" ht="15.75" customHeight="1">
      <c r="A51" s="29" t="s">
        <v>177</v>
      </c>
      <c r="B51" s="11" t="s">
        <v>17</v>
      </c>
      <c r="C51" s="18" t="s">
        <v>178</v>
      </c>
      <c r="E51" s="14"/>
      <c r="F51" s="14" t="s">
        <v>159</v>
      </c>
      <c r="G51" s="11" t="s">
        <v>20</v>
      </c>
      <c r="J51" t="s">
        <v>21</v>
      </c>
      <c r="K51">
        <v>5</v>
      </c>
      <c r="L51" s="28" t="s">
        <v>22</v>
      </c>
      <c r="P51" t="s">
        <v>160</v>
      </c>
      <c r="Q51" t="s">
        <v>179</v>
      </c>
    </row>
    <row r="52" spans="1:17" ht="15.75" customHeight="1">
      <c r="A52" s="29" t="s">
        <v>180</v>
      </c>
      <c r="B52" s="11" t="s">
        <v>17</v>
      </c>
      <c r="C52" s="18" t="s">
        <v>181</v>
      </c>
      <c r="E52" s="14"/>
      <c r="F52" s="14" t="s">
        <v>159</v>
      </c>
      <c r="G52" s="11" t="s">
        <v>20</v>
      </c>
      <c r="J52" t="s">
        <v>21</v>
      </c>
      <c r="K52">
        <v>6</v>
      </c>
      <c r="L52" s="28" t="s">
        <v>22</v>
      </c>
      <c r="P52" t="s">
        <v>160</v>
      </c>
      <c r="Q52" t="s">
        <v>182</v>
      </c>
    </row>
    <row r="53" spans="1:17" ht="15.75" customHeight="1">
      <c r="A53" s="29" t="s">
        <v>183</v>
      </c>
      <c r="B53" s="11" t="s">
        <v>17</v>
      </c>
      <c r="C53" s="18" t="s">
        <v>184</v>
      </c>
      <c r="E53" s="14"/>
      <c r="F53" s="14" t="s">
        <v>159</v>
      </c>
      <c r="G53" s="11" t="s">
        <v>20</v>
      </c>
      <c r="J53" t="s">
        <v>21</v>
      </c>
      <c r="K53">
        <v>6</v>
      </c>
      <c r="L53" s="28" t="s">
        <v>22</v>
      </c>
      <c r="P53" t="s">
        <v>160</v>
      </c>
      <c r="Q53" t="s">
        <v>185</v>
      </c>
    </row>
    <row r="54" spans="1:17" ht="15.75" customHeight="1">
      <c r="A54" s="29" t="s">
        <v>186</v>
      </c>
      <c r="B54" s="11" t="s">
        <v>17</v>
      </c>
      <c r="C54" s="18" t="s">
        <v>187</v>
      </c>
      <c r="E54" s="14"/>
      <c r="F54" s="14" t="s">
        <v>159</v>
      </c>
      <c r="G54" s="11" t="s">
        <v>20</v>
      </c>
      <c r="J54" t="s">
        <v>21</v>
      </c>
      <c r="K54">
        <v>7</v>
      </c>
      <c r="L54" s="28" t="s">
        <v>22</v>
      </c>
      <c r="P54" t="s">
        <v>160</v>
      </c>
      <c r="Q54" t="s">
        <v>188</v>
      </c>
    </row>
    <row r="55" spans="1:17" ht="15.75" customHeight="1">
      <c r="A55" s="29" t="s">
        <v>189</v>
      </c>
      <c r="B55" s="11" t="s">
        <v>17</v>
      </c>
      <c r="C55" s="12" t="s">
        <v>190</v>
      </c>
      <c r="F55" t="s">
        <v>19</v>
      </c>
      <c r="G55" s="11" t="s">
        <v>20</v>
      </c>
      <c r="J55" t="s">
        <v>191</v>
      </c>
      <c r="K55">
        <v>2</v>
      </c>
      <c r="L55" s="28" t="s">
        <v>22</v>
      </c>
      <c r="P55" t="s">
        <v>23</v>
      </c>
      <c r="Q55" t="s">
        <v>192</v>
      </c>
    </row>
    <row r="56" spans="1:17" ht="15.75" customHeight="1">
      <c r="A56" s="29" t="s">
        <v>193</v>
      </c>
      <c r="B56" s="11" t="s">
        <v>17</v>
      </c>
      <c r="C56" s="12" t="s">
        <v>194</v>
      </c>
      <c r="F56" t="s">
        <v>19</v>
      </c>
      <c r="G56" s="11" t="s">
        <v>20</v>
      </c>
      <c r="J56" t="s">
        <v>191</v>
      </c>
      <c r="K56">
        <v>3</v>
      </c>
      <c r="L56" s="28" t="s">
        <v>22</v>
      </c>
      <c r="P56" t="s">
        <v>23</v>
      </c>
      <c r="Q56" t="s">
        <v>195</v>
      </c>
    </row>
    <row r="57" spans="1:17" ht="15.75" customHeight="1">
      <c r="A57" s="29" t="s">
        <v>196</v>
      </c>
      <c r="B57" s="11" t="s">
        <v>17</v>
      </c>
      <c r="C57" s="12" t="s">
        <v>197</v>
      </c>
      <c r="F57" t="s">
        <v>19</v>
      </c>
      <c r="G57" s="11" t="s">
        <v>20</v>
      </c>
      <c r="J57" t="s">
        <v>191</v>
      </c>
      <c r="K57">
        <v>3</v>
      </c>
      <c r="L57" s="28" t="s">
        <v>22</v>
      </c>
      <c r="P57" t="s">
        <v>23</v>
      </c>
      <c r="Q57" t="s">
        <v>198</v>
      </c>
    </row>
    <row r="58" spans="1:17" ht="15.75" customHeight="1">
      <c r="A58" s="29" t="s">
        <v>199</v>
      </c>
      <c r="B58" s="11" t="s">
        <v>17</v>
      </c>
      <c r="C58" s="12" t="s">
        <v>200</v>
      </c>
      <c r="F58" t="s">
        <v>19</v>
      </c>
      <c r="G58" s="11" t="s">
        <v>20</v>
      </c>
      <c r="J58" t="s">
        <v>191</v>
      </c>
      <c r="K58">
        <v>7</v>
      </c>
      <c r="L58" s="28" t="s">
        <v>22</v>
      </c>
      <c r="P58" t="s">
        <v>23</v>
      </c>
      <c r="Q58" t="s">
        <v>201</v>
      </c>
    </row>
    <row r="59" spans="1:17" ht="15.75" customHeight="1">
      <c r="A59" s="29" t="s">
        <v>202</v>
      </c>
      <c r="B59" s="11" t="s">
        <v>17</v>
      </c>
      <c r="C59" s="12" t="s">
        <v>203</v>
      </c>
      <c r="F59" t="s">
        <v>54</v>
      </c>
      <c r="G59" s="11" t="s">
        <v>20</v>
      </c>
      <c r="J59" t="s">
        <v>191</v>
      </c>
      <c r="K59">
        <v>3</v>
      </c>
      <c r="L59" s="28" t="s">
        <v>22</v>
      </c>
      <c r="P59" t="s">
        <v>55</v>
      </c>
      <c r="Q59" t="s">
        <v>204</v>
      </c>
    </row>
    <row r="60" spans="1:17" ht="15.75" customHeight="1">
      <c r="A60" s="29" t="s">
        <v>205</v>
      </c>
      <c r="B60" s="11" t="s">
        <v>17</v>
      </c>
      <c r="C60" s="12" t="s">
        <v>206</v>
      </c>
      <c r="F60" t="s">
        <v>54</v>
      </c>
      <c r="G60" s="11" t="s">
        <v>20</v>
      </c>
      <c r="J60" t="s">
        <v>191</v>
      </c>
      <c r="K60">
        <v>3</v>
      </c>
      <c r="L60" s="28" t="s">
        <v>22</v>
      </c>
      <c r="P60" t="s">
        <v>55</v>
      </c>
      <c r="Q60" t="s">
        <v>207</v>
      </c>
    </row>
    <row r="61" spans="1:17" ht="15.75" customHeight="1">
      <c r="A61" s="29" t="s">
        <v>208</v>
      </c>
      <c r="B61" s="11" t="s">
        <v>17</v>
      </c>
      <c r="C61" s="12" t="s">
        <v>209</v>
      </c>
      <c r="F61" t="s">
        <v>54</v>
      </c>
      <c r="G61" s="11" t="s">
        <v>20</v>
      </c>
      <c r="J61" t="s">
        <v>191</v>
      </c>
      <c r="K61">
        <v>7</v>
      </c>
      <c r="L61" s="28" t="s">
        <v>22</v>
      </c>
      <c r="P61" t="s">
        <v>55</v>
      </c>
      <c r="Q61" t="s">
        <v>210</v>
      </c>
    </row>
    <row r="62" spans="1:17" ht="15.75" customHeight="1">
      <c r="A62" s="29" t="s">
        <v>211</v>
      </c>
      <c r="B62" s="11" t="s">
        <v>17</v>
      </c>
      <c r="C62" s="12" t="s">
        <v>212</v>
      </c>
      <c r="F62" t="s">
        <v>89</v>
      </c>
      <c r="G62" s="11" t="s">
        <v>20</v>
      </c>
      <c r="J62" t="s">
        <v>191</v>
      </c>
      <c r="K62">
        <v>3</v>
      </c>
      <c r="L62" s="28" t="s">
        <v>22</v>
      </c>
      <c r="P62" t="s">
        <v>90</v>
      </c>
      <c r="Q62" t="s">
        <v>213</v>
      </c>
    </row>
    <row r="63" spans="1:17" ht="15.75" customHeight="1">
      <c r="A63" s="29" t="s">
        <v>214</v>
      </c>
      <c r="B63" s="11" t="s">
        <v>17</v>
      </c>
      <c r="C63" s="12" t="s">
        <v>215</v>
      </c>
      <c r="F63" t="s">
        <v>89</v>
      </c>
      <c r="G63" s="11" t="s">
        <v>20</v>
      </c>
      <c r="J63" t="s">
        <v>191</v>
      </c>
      <c r="K63">
        <v>3</v>
      </c>
      <c r="L63" s="28" t="s">
        <v>22</v>
      </c>
      <c r="P63" t="s">
        <v>90</v>
      </c>
      <c r="Q63" t="s">
        <v>216</v>
      </c>
    </row>
    <row r="64" spans="1:17" ht="15.75" customHeight="1">
      <c r="A64" s="29" t="s">
        <v>217</v>
      </c>
      <c r="B64" s="11" t="s">
        <v>17</v>
      </c>
      <c r="C64" s="12" t="s">
        <v>218</v>
      </c>
      <c r="F64" t="s">
        <v>89</v>
      </c>
      <c r="G64" s="11" t="s">
        <v>20</v>
      </c>
      <c r="J64" t="s">
        <v>191</v>
      </c>
      <c r="K64">
        <v>7</v>
      </c>
      <c r="L64" s="28" t="s">
        <v>22</v>
      </c>
      <c r="P64" t="s">
        <v>90</v>
      </c>
      <c r="Q64" t="s">
        <v>219</v>
      </c>
    </row>
    <row r="65" spans="1:17" ht="15.75" customHeight="1">
      <c r="A65" s="29" t="s">
        <v>220</v>
      </c>
      <c r="B65" s="11" t="s">
        <v>17</v>
      </c>
      <c r="C65" s="12" t="s">
        <v>221</v>
      </c>
      <c r="F65" t="s">
        <v>124</v>
      </c>
      <c r="G65" s="11" t="s">
        <v>20</v>
      </c>
      <c r="J65" t="s">
        <v>191</v>
      </c>
      <c r="K65">
        <v>3</v>
      </c>
      <c r="L65" s="28" t="s">
        <v>22</v>
      </c>
      <c r="P65" t="s">
        <v>125</v>
      </c>
      <c r="Q65" t="s">
        <v>222</v>
      </c>
    </row>
    <row r="66" spans="1:17" ht="15.75" customHeight="1">
      <c r="A66" s="29" t="s">
        <v>223</v>
      </c>
      <c r="B66" s="11" t="s">
        <v>17</v>
      </c>
      <c r="C66" s="12" t="s">
        <v>224</v>
      </c>
      <c r="F66" t="s">
        <v>124</v>
      </c>
      <c r="G66" s="11" t="s">
        <v>20</v>
      </c>
      <c r="J66" t="s">
        <v>191</v>
      </c>
      <c r="K66">
        <v>3</v>
      </c>
      <c r="L66" s="28" t="s">
        <v>22</v>
      </c>
      <c r="P66" t="s">
        <v>125</v>
      </c>
      <c r="Q66" t="s">
        <v>225</v>
      </c>
    </row>
    <row r="67" spans="1:17" ht="15.75" customHeight="1">
      <c r="A67" s="29" t="s">
        <v>226</v>
      </c>
      <c r="B67" s="11" t="s">
        <v>17</v>
      </c>
      <c r="C67" s="12" t="s">
        <v>227</v>
      </c>
      <c r="F67" t="s">
        <v>124</v>
      </c>
      <c r="G67" s="11" t="s">
        <v>20</v>
      </c>
      <c r="J67" t="s">
        <v>191</v>
      </c>
      <c r="K67">
        <v>7</v>
      </c>
      <c r="L67" s="28" t="s">
        <v>22</v>
      </c>
      <c r="P67" t="s">
        <v>125</v>
      </c>
      <c r="Q67" t="s">
        <v>228</v>
      </c>
    </row>
    <row r="68" spans="1:17" ht="15.75" customHeight="1">
      <c r="A68" s="29" t="s">
        <v>229</v>
      </c>
      <c r="B68" s="11" t="s">
        <v>17</v>
      </c>
      <c r="C68" s="18" t="s">
        <v>230</v>
      </c>
      <c r="E68" s="14"/>
      <c r="F68" s="14" t="s">
        <v>159</v>
      </c>
      <c r="G68" s="11" t="s">
        <v>20</v>
      </c>
      <c r="J68" t="s">
        <v>191</v>
      </c>
      <c r="K68">
        <v>2</v>
      </c>
      <c r="L68" s="28" t="s">
        <v>22</v>
      </c>
      <c r="P68" t="s">
        <v>160</v>
      </c>
      <c r="Q68" t="s">
        <v>231</v>
      </c>
    </row>
    <row r="69" spans="1:17" ht="15.75" customHeight="1">
      <c r="A69" s="29" t="s">
        <v>232</v>
      </c>
      <c r="B69" s="11" t="s">
        <v>17</v>
      </c>
      <c r="C69" s="18" t="s">
        <v>233</v>
      </c>
      <c r="E69" s="14"/>
      <c r="F69" s="14" t="s">
        <v>159</v>
      </c>
      <c r="G69" s="11" t="s">
        <v>20</v>
      </c>
      <c r="J69" t="s">
        <v>191</v>
      </c>
      <c r="K69">
        <v>3</v>
      </c>
      <c r="L69" s="28" t="s">
        <v>22</v>
      </c>
      <c r="P69" t="s">
        <v>160</v>
      </c>
      <c r="Q69" t="s">
        <v>234</v>
      </c>
    </row>
    <row r="70" spans="1:17" ht="15.75" customHeight="1">
      <c r="A70" s="29" t="s">
        <v>235</v>
      </c>
      <c r="B70" s="11" t="s">
        <v>17</v>
      </c>
      <c r="C70" s="18" t="s">
        <v>236</v>
      </c>
      <c r="E70" s="14"/>
      <c r="F70" s="14" t="s">
        <v>159</v>
      </c>
      <c r="G70" s="11" t="s">
        <v>20</v>
      </c>
      <c r="J70" t="s">
        <v>191</v>
      </c>
      <c r="K70">
        <v>3</v>
      </c>
      <c r="L70" s="28" t="s">
        <v>22</v>
      </c>
      <c r="P70" t="s">
        <v>160</v>
      </c>
      <c r="Q70" t="s">
        <v>237</v>
      </c>
    </row>
    <row r="71" spans="1:17" ht="15.75" customHeight="1">
      <c r="A71" s="29" t="s">
        <v>238</v>
      </c>
      <c r="B71" s="11" t="s">
        <v>17</v>
      </c>
      <c r="C71" s="18" t="s">
        <v>239</v>
      </c>
      <c r="E71" s="14"/>
      <c r="F71" s="14" t="s">
        <v>159</v>
      </c>
      <c r="G71" s="11" t="s">
        <v>20</v>
      </c>
      <c r="J71" t="s">
        <v>191</v>
      </c>
      <c r="K71">
        <v>7</v>
      </c>
      <c r="L71" s="28" t="s">
        <v>22</v>
      </c>
      <c r="P71" t="s">
        <v>160</v>
      </c>
      <c r="Q71" t="s">
        <v>240</v>
      </c>
    </row>
    <row r="72" spans="1:17" ht="15.75" customHeight="1">
      <c r="A72" s="29" t="s">
        <v>241</v>
      </c>
      <c r="B72" s="11" t="s">
        <v>242</v>
      </c>
      <c r="C72" s="7" t="s">
        <v>243</v>
      </c>
      <c r="E72" s="10" t="s">
        <v>244</v>
      </c>
      <c r="F72" s="10"/>
      <c r="G72" s="10" t="s">
        <v>7</v>
      </c>
      <c r="H72" s="11" t="s">
        <v>245</v>
      </c>
    </row>
    <row r="73" spans="1:17" ht="15.75" customHeight="1">
      <c r="A73" s="29" t="s">
        <v>246</v>
      </c>
      <c r="B73" s="11" t="s">
        <v>247</v>
      </c>
      <c r="C73" s="12" t="s">
        <v>248</v>
      </c>
      <c r="E73" s="11" t="s">
        <v>249</v>
      </c>
      <c r="G73" s="11" t="s">
        <v>8</v>
      </c>
    </row>
    <row r="74" spans="1:17" ht="15.75" customHeight="1">
      <c r="A74" s="29" t="s">
        <v>250</v>
      </c>
      <c r="B74" s="11" t="s">
        <v>242</v>
      </c>
      <c r="C74" s="6" t="s">
        <v>251</v>
      </c>
      <c r="E74" s="10" t="s">
        <v>244</v>
      </c>
      <c r="G74" s="11" t="s">
        <v>20</v>
      </c>
    </row>
    <row r="75" spans="1:17" ht="15.75" customHeight="1">
      <c r="A75" s="29" t="s">
        <v>252</v>
      </c>
      <c r="B75" s="11" t="s">
        <v>242</v>
      </c>
      <c r="C75" s="7" t="s">
        <v>253</v>
      </c>
      <c r="E75" s="10" t="s">
        <v>244</v>
      </c>
      <c r="F75" s="10"/>
      <c r="G75" s="10" t="s">
        <v>20</v>
      </c>
    </row>
    <row r="76" spans="1:17" ht="15.75" customHeight="1">
      <c r="A76" s="29" t="s">
        <v>254</v>
      </c>
      <c r="B76" s="11" t="s">
        <v>255</v>
      </c>
      <c r="C76" s="12" t="s">
        <v>256</v>
      </c>
      <c r="E76" s="11" t="s">
        <v>257</v>
      </c>
      <c r="G76" s="11" t="s">
        <v>7</v>
      </c>
      <c r="H76" s="11" t="s">
        <v>258</v>
      </c>
    </row>
    <row r="77" spans="1:17" ht="15.75" customHeight="1">
      <c r="A77" s="29" t="s">
        <v>259</v>
      </c>
      <c r="B77" s="11" t="s">
        <v>255</v>
      </c>
      <c r="C77" s="12" t="s">
        <v>260</v>
      </c>
      <c r="E77" s="11" t="s">
        <v>257</v>
      </c>
      <c r="G77" s="11" t="s">
        <v>7</v>
      </c>
      <c r="H77" s="11" t="s">
        <v>261</v>
      </c>
    </row>
    <row r="78" spans="1:17" ht="15.75" customHeight="1">
      <c r="A78" s="29" t="s">
        <v>262</v>
      </c>
      <c r="B78" s="11" t="s">
        <v>17</v>
      </c>
      <c r="C78" s="12" t="s">
        <v>263</v>
      </c>
      <c r="F78" t="s">
        <v>264</v>
      </c>
      <c r="G78" s="11" t="s">
        <v>20</v>
      </c>
      <c r="K78">
        <v>4</v>
      </c>
      <c r="L78" s="28" t="s">
        <v>22</v>
      </c>
      <c r="P78" t="s">
        <v>125</v>
      </c>
      <c r="Q78" t="s">
        <v>265</v>
      </c>
    </row>
    <row r="79" spans="1:17" ht="15.75" customHeight="1">
      <c r="A79" s="29" t="s">
        <v>266</v>
      </c>
      <c r="B79" s="11" t="s">
        <v>17</v>
      </c>
      <c r="C79" s="12" t="s">
        <v>267</v>
      </c>
      <c r="F79" t="s">
        <v>264</v>
      </c>
      <c r="G79" s="11" t="s">
        <v>20</v>
      </c>
      <c r="K79">
        <v>7</v>
      </c>
      <c r="L79" s="28" t="s">
        <v>22</v>
      </c>
      <c r="P79" t="s">
        <v>125</v>
      </c>
      <c r="Q79" t="s">
        <v>268</v>
      </c>
    </row>
    <row r="80" spans="1:17" ht="15.75" customHeight="1">
      <c r="A80" s="29" t="s">
        <v>269</v>
      </c>
      <c r="B80" s="11" t="s">
        <v>17</v>
      </c>
      <c r="C80" s="12" t="s">
        <v>270</v>
      </c>
      <c r="F80" t="s">
        <v>264</v>
      </c>
      <c r="G80" s="11" t="s">
        <v>20</v>
      </c>
      <c r="K80">
        <v>5</v>
      </c>
      <c r="L80" s="28" t="s">
        <v>22</v>
      </c>
      <c r="P80" t="s">
        <v>125</v>
      </c>
      <c r="Q80" t="s">
        <v>271</v>
      </c>
    </row>
    <row r="81" spans="1:17" ht="15.75" customHeight="1">
      <c r="A81" s="29" t="s">
        <v>272</v>
      </c>
      <c r="B81" s="11" t="s">
        <v>17</v>
      </c>
      <c r="C81" s="12" t="s">
        <v>273</v>
      </c>
      <c r="F81" t="s">
        <v>264</v>
      </c>
      <c r="G81" s="11" t="s">
        <v>20</v>
      </c>
      <c r="K81">
        <v>3</v>
      </c>
      <c r="L81" s="28" t="s">
        <v>22</v>
      </c>
      <c r="P81" t="s">
        <v>274</v>
      </c>
      <c r="Q81" t="s">
        <v>275</v>
      </c>
    </row>
    <row r="82" spans="1:17" ht="15.75" customHeight="1">
      <c r="A82" s="29" t="s">
        <v>276</v>
      </c>
      <c r="B82" s="11" t="s">
        <v>17</v>
      </c>
      <c r="C82" s="12" t="s">
        <v>277</v>
      </c>
      <c r="F82" t="s">
        <v>264</v>
      </c>
      <c r="G82" s="11" t="s">
        <v>20</v>
      </c>
      <c r="K82">
        <v>2</v>
      </c>
      <c r="L82" s="28" t="s">
        <v>22</v>
      </c>
      <c r="P82" t="s">
        <v>278</v>
      </c>
      <c r="Q82" t="s">
        <v>279</v>
      </c>
    </row>
    <row r="83" spans="1:17" ht="15.75" customHeight="1">
      <c r="A83" t="s">
        <v>280</v>
      </c>
      <c r="B83" t="s">
        <v>281</v>
      </c>
      <c r="C83" t="s">
        <v>282</v>
      </c>
      <c r="E83" t="s">
        <v>283</v>
      </c>
      <c r="F83" t="s">
        <v>284</v>
      </c>
      <c r="G83" t="s">
        <v>285</v>
      </c>
      <c r="J83" t="s">
        <v>286</v>
      </c>
      <c r="K83">
        <v>10</v>
      </c>
      <c r="L83" s="28">
        <v>-100</v>
      </c>
      <c r="M83" t="s">
        <v>287</v>
      </c>
      <c r="Q83" t="s">
        <v>288</v>
      </c>
    </row>
    <row r="84" spans="1:17" ht="15.75" customHeight="1">
      <c r="A84" t="s">
        <v>289</v>
      </c>
      <c r="B84" t="s">
        <v>281</v>
      </c>
      <c r="C84" t="s">
        <v>290</v>
      </c>
      <c r="E84" t="s">
        <v>291</v>
      </c>
      <c r="F84" t="s">
        <v>284</v>
      </c>
      <c r="G84" t="s">
        <v>285</v>
      </c>
      <c r="J84" t="s">
        <v>292</v>
      </c>
      <c r="K84">
        <v>15</v>
      </c>
      <c r="L84" s="28">
        <v>-150</v>
      </c>
      <c r="M84" t="s">
        <v>287</v>
      </c>
      <c r="Q84" t="s">
        <v>293</v>
      </c>
    </row>
    <row r="85" spans="1:17" ht="15.75" customHeight="1">
      <c r="A85" t="s">
        <v>294</v>
      </c>
      <c r="B85" t="s">
        <v>281</v>
      </c>
      <c r="C85" t="s">
        <v>284</v>
      </c>
      <c r="E85" t="s">
        <v>295</v>
      </c>
      <c r="F85" t="s">
        <v>284</v>
      </c>
      <c r="G85" t="s">
        <v>285</v>
      </c>
      <c r="J85" t="s">
        <v>296</v>
      </c>
      <c r="K85">
        <v>20</v>
      </c>
      <c r="L85" s="28">
        <v>-200</v>
      </c>
      <c r="M85" t="s">
        <v>287</v>
      </c>
      <c r="Q85" t="s">
        <v>297</v>
      </c>
    </row>
    <row r="86" spans="1:17" ht="15.75" customHeight="1">
      <c r="A86" t="s">
        <v>298</v>
      </c>
      <c r="B86" t="s">
        <v>281</v>
      </c>
      <c r="C86" t="s">
        <v>299</v>
      </c>
      <c r="E86" t="s">
        <v>300</v>
      </c>
      <c r="F86" t="s">
        <v>284</v>
      </c>
      <c r="G86" t="s">
        <v>285</v>
      </c>
      <c r="J86" t="s">
        <v>301</v>
      </c>
      <c r="K86">
        <v>30</v>
      </c>
      <c r="L86" s="28">
        <v>-300</v>
      </c>
      <c r="M86" t="s">
        <v>287</v>
      </c>
      <c r="Q86" t="s">
        <v>302</v>
      </c>
    </row>
    <row r="87" spans="1:17" ht="15.75" customHeight="1">
      <c r="A87" t="s">
        <v>303</v>
      </c>
      <c r="B87" t="s">
        <v>281</v>
      </c>
      <c r="C87" t="s">
        <v>304</v>
      </c>
      <c r="E87" t="s">
        <v>305</v>
      </c>
      <c r="F87" t="s">
        <v>284</v>
      </c>
      <c r="G87" t="s">
        <v>285</v>
      </c>
      <c r="J87" t="s">
        <v>306</v>
      </c>
      <c r="K87">
        <v>5</v>
      </c>
      <c r="L87" s="28">
        <v>-50</v>
      </c>
      <c r="M87" t="s">
        <v>287</v>
      </c>
      <c r="Q87" t="s">
        <v>307</v>
      </c>
    </row>
    <row r="88" spans="1:17" ht="15.75" customHeight="1">
      <c r="A88" t="s">
        <v>308</v>
      </c>
      <c r="B88" t="s">
        <v>281</v>
      </c>
      <c r="C88" t="s">
        <v>309</v>
      </c>
      <c r="E88" t="s">
        <v>310</v>
      </c>
      <c r="G88" t="s">
        <v>285</v>
      </c>
      <c r="J88" t="s">
        <v>311</v>
      </c>
      <c r="L88" s="28">
        <v>-200</v>
      </c>
      <c r="M88" t="s">
        <v>312</v>
      </c>
      <c r="Q88" t="s">
        <v>313</v>
      </c>
    </row>
    <row r="89" spans="1:17" ht="15.75" customHeight="1">
      <c r="A89" t="s">
        <v>314</v>
      </c>
      <c r="B89" t="s">
        <v>281</v>
      </c>
      <c r="C89" t="s">
        <v>315</v>
      </c>
      <c r="E89" t="s">
        <v>310</v>
      </c>
      <c r="G89" t="s">
        <v>285</v>
      </c>
      <c r="J89" t="s">
        <v>311</v>
      </c>
      <c r="L89" s="28">
        <v>-200</v>
      </c>
      <c r="M89" t="s">
        <v>312</v>
      </c>
      <c r="Q89" t="s">
        <v>316</v>
      </c>
    </row>
    <row r="90" spans="1:17" ht="15.75" customHeight="1">
      <c r="A90" t="s">
        <v>317</v>
      </c>
      <c r="B90" t="s">
        <v>281</v>
      </c>
      <c r="C90" t="s">
        <v>318</v>
      </c>
      <c r="E90" t="s">
        <v>310</v>
      </c>
      <c r="G90" t="s">
        <v>285</v>
      </c>
      <c r="J90" t="s">
        <v>311</v>
      </c>
      <c r="L90" s="28">
        <v>-200</v>
      </c>
      <c r="M90" t="s">
        <v>312</v>
      </c>
      <c r="Q90" t="s">
        <v>319</v>
      </c>
    </row>
    <row r="91" spans="1:17" ht="15.75" customHeight="1">
      <c r="A91" t="s">
        <v>320</v>
      </c>
      <c r="B91" t="s">
        <v>281</v>
      </c>
      <c r="C91" t="s">
        <v>321</v>
      </c>
      <c r="E91" t="s">
        <v>310</v>
      </c>
      <c r="G91" t="s">
        <v>285</v>
      </c>
      <c r="J91" t="s">
        <v>311</v>
      </c>
      <c r="L91" s="28">
        <v>-200</v>
      </c>
      <c r="M91" t="s">
        <v>312</v>
      </c>
      <c r="Q91" t="s">
        <v>322</v>
      </c>
    </row>
    <row r="92" spans="1:17" ht="15.75" customHeight="1">
      <c r="A92" t="s">
        <v>323</v>
      </c>
      <c r="B92" t="s">
        <v>281</v>
      </c>
      <c r="C92" t="s">
        <v>324</v>
      </c>
      <c r="E92" t="s">
        <v>310</v>
      </c>
      <c r="G92" t="s">
        <v>285</v>
      </c>
      <c r="J92" t="s">
        <v>311</v>
      </c>
      <c r="L92" s="28">
        <v>-200</v>
      </c>
      <c r="M92" t="s">
        <v>312</v>
      </c>
      <c r="Q92" t="s">
        <v>325</v>
      </c>
    </row>
    <row r="93" spans="1:17" ht="15.75" customHeight="1">
      <c r="A93" t="s">
        <v>326</v>
      </c>
      <c r="B93" t="s">
        <v>281</v>
      </c>
      <c r="C93" t="s">
        <v>327</v>
      </c>
      <c r="E93" t="s">
        <v>310</v>
      </c>
      <c r="G93" t="s">
        <v>285</v>
      </c>
      <c r="J93" t="s">
        <v>311</v>
      </c>
      <c r="L93" s="28">
        <v>-200</v>
      </c>
      <c r="M93" t="s">
        <v>312</v>
      </c>
      <c r="Q93" t="s">
        <v>328</v>
      </c>
    </row>
    <row r="94" spans="1:17" ht="15.75" customHeight="1">
      <c r="A94" t="s">
        <v>329</v>
      </c>
      <c r="B94" t="s">
        <v>281</v>
      </c>
      <c r="C94" t="s">
        <v>330</v>
      </c>
      <c r="E94" t="s">
        <v>310</v>
      </c>
      <c r="G94" t="s">
        <v>285</v>
      </c>
      <c r="J94" t="s">
        <v>311</v>
      </c>
      <c r="L94" s="28">
        <v>-200</v>
      </c>
      <c r="M94" t="s">
        <v>312</v>
      </c>
      <c r="Q94" t="s">
        <v>331</v>
      </c>
    </row>
    <row r="95" spans="1:17" ht="15.75" customHeight="1">
      <c r="A95" t="s">
        <v>332</v>
      </c>
      <c r="B95" t="s">
        <v>281</v>
      </c>
      <c r="C95" t="s">
        <v>333</v>
      </c>
      <c r="E95" t="s">
        <v>310</v>
      </c>
      <c r="G95" t="s">
        <v>285</v>
      </c>
      <c r="J95" t="s">
        <v>311</v>
      </c>
      <c r="L95" s="28">
        <v>-200</v>
      </c>
      <c r="M95" t="s">
        <v>312</v>
      </c>
      <c r="Q95" t="s">
        <v>334</v>
      </c>
    </row>
    <row r="96" spans="1:17" ht="15.75" customHeight="1">
      <c r="A96" t="s">
        <v>335</v>
      </c>
      <c r="B96" t="s">
        <v>281</v>
      </c>
      <c r="C96" t="s">
        <v>336</v>
      </c>
      <c r="E96" t="s">
        <v>310</v>
      </c>
      <c r="G96" t="s">
        <v>285</v>
      </c>
      <c r="J96" t="s">
        <v>311</v>
      </c>
      <c r="L96" s="28">
        <v>-200</v>
      </c>
      <c r="M96" t="s">
        <v>312</v>
      </c>
      <c r="Q96" t="s">
        <v>337</v>
      </c>
    </row>
    <row r="97" spans="1:17" ht="15.75" customHeight="1">
      <c r="A97" t="s">
        <v>338</v>
      </c>
      <c r="B97" t="s">
        <v>281</v>
      </c>
      <c r="C97" t="s">
        <v>339</v>
      </c>
      <c r="E97" t="s">
        <v>310</v>
      </c>
      <c r="G97" t="s">
        <v>285</v>
      </c>
      <c r="J97" t="s">
        <v>311</v>
      </c>
      <c r="L97" s="28">
        <v>-200</v>
      </c>
      <c r="M97" t="s">
        <v>312</v>
      </c>
      <c r="Q97" t="s">
        <v>340</v>
      </c>
    </row>
    <row r="98" spans="1:17" ht="15.75" customHeight="1">
      <c r="A98" s="11" t="s">
        <v>341</v>
      </c>
      <c r="B98" s="11" t="s">
        <v>342</v>
      </c>
      <c r="C98" s="12" t="s">
        <v>343</v>
      </c>
      <c r="G98" s="11" t="s">
        <v>8</v>
      </c>
      <c r="H98" s="16"/>
      <c r="I98" s="16" t="s">
        <v>344</v>
      </c>
      <c r="J98" t="s">
        <v>345</v>
      </c>
    </row>
    <row r="99" spans="1:17" ht="15.75" customHeight="1">
      <c r="A99" s="29" t="s">
        <v>346</v>
      </c>
      <c r="B99" s="11" t="s">
        <v>242</v>
      </c>
      <c r="C99" s="7" t="s">
        <v>347</v>
      </c>
      <c r="D99" s="11" t="s">
        <v>348</v>
      </c>
      <c r="E99" s="10" t="s">
        <v>349</v>
      </c>
      <c r="F99" s="10"/>
      <c r="G99" s="10" t="s">
        <v>7</v>
      </c>
      <c r="H99" s="11" t="s">
        <v>350</v>
      </c>
      <c r="J99" t="s">
        <v>351</v>
      </c>
    </row>
    <row r="100" spans="1:17" ht="15.75" customHeight="1">
      <c r="A100" s="29" t="s">
        <v>352</v>
      </c>
      <c r="B100" s="11" t="s">
        <v>242</v>
      </c>
      <c r="C100" s="12" t="s">
        <v>353</v>
      </c>
      <c r="D100" s="11" t="s">
        <v>354</v>
      </c>
      <c r="E100" s="12"/>
      <c r="F100" s="12"/>
      <c r="G100" s="11" t="s">
        <v>7</v>
      </c>
      <c r="H100" s="11" t="s">
        <v>355</v>
      </c>
      <c r="J100" t="s">
        <v>356</v>
      </c>
    </row>
    <row r="101" spans="1:17" ht="15.75" customHeight="1">
      <c r="A101" s="29" t="s">
        <v>357</v>
      </c>
      <c r="B101" s="11" t="s">
        <v>242</v>
      </c>
      <c r="C101" s="7" t="s">
        <v>358</v>
      </c>
      <c r="D101" s="11" t="s">
        <v>359</v>
      </c>
      <c r="E101" s="10" t="s">
        <v>349</v>
      </c>
      <c r="F101" s="10"/>
      <c r="G101" s="10" t="s">
        <v>7</v>
      </c>
      <c r="H101" s="11" t="s">
        <v>360</v>
      </c>
      <c r="J101" t="s">
        <v>361</v>
      </c>
    </row>
    <row r="102" spans="1:17" ht="15.75" customHeight="1">
      <c r="A102" s="11" t="s">
        <v>362</v>
      </c>
      <c r="B102" s="11" t="s">
        <v>363</v>
      </c>
      <c r="C102" s="7" t="s">
        <v>364</v>
      </c>
      <c r="E102" s="10"/>
      <c r="F102" s="10"/>
      <c r="G102" s="10" t="s">
        <v>7</v>
      </c>
      <c r="H102" s="11" t="s">
        <v>365</v>
      </c>
      <c r="J102" t="s">
        <v>366</v>
      </c>
    </row>
    <row r="103" spans="1:17" ht="15.75" customHeight="1">
      <c r="A103" s="11" t="s">
        <v>367</v>
      </c>
      <c r="B103" s="11" t="s">
        <v>363</v>
      </c>
      <c r="C103" s="7" t="s">
        <v>368</v>
      </c>
      <c r="E103" s="10"/>
      <c r="F103" s="10"/>
      <c r="G103" s="10" t="s">
        <v>7</v>
      </c>
      <c r="H103" s="11" t="s">
        <v>369</v>
      </c>
      <c r="J103" t="s">
        <v>370</v>
      </c>
    </row>
    <row r="104" spans="1:17" ht="15.75" customHeight="1">
      <c r="A104" s="29" t="s">
        <v>371</v>
      </c>
      <c r="B104" s="11" t="s">
        <v>247</v>
      </c>
      <c r="C104" s="7" t="s">
        <v>372</v>
      </c>
      <c r="D104" s="11" t="s">
        <v>373</v>
      </c>
      <c r="E104" s="10" t="s">
        <v>349</v>
      </c>
      <c r="F104" s="10"/>
      <c r="G104" s="10" t="s">
        <v>7</v>
      </c>
      <c r="H104" s="11" t="s">
        <v>374</v>
      </c>
      <c r="J104" t="s">
        <v>375</v>
      </c>
    </row>
    <row r="105" spans="1:17" ht="15.75" customHeight="1">
      <c r="A105" s="29" t="s">
        <v>376</v>
      </c>
      <c r="B105" s="11" t="s">
        <v>247</v>
      </c>
      <c r="C105" s="7" t="s">
        <v>377</v>
      </c>
      <c r="D105" s="11" t="s">
        <v>378</v>
      </c>
      <c r="E105" s="10" t="s">
        <v>349</v>
      </c>
      <c r="F105" s="10"/>
      <c r="G105" s="10" t="s">
        <v>7</v>
      </c>
      <c r="H105" s="11" t="s">
        <v>379</v>
      </c>
      <c r="J105" t="s">
        <v>375</v>
      </c>
    </row>
    <row r="106" spans="1:17" ht="15.75" customHeight="1">
      <c r="A106" s="29" t="s">
        <v>380</v>
      </c>
      <c r="B106" s="11" t="s">
        <v>247</v>
      </c>
      <c r="C106" s="7" t="s">
        <v>381</v>
      </c>
      <c r="D106" s="11" t="s">
        <v>382</v>
      </c>
      <c r="E106" s="10" t="s">
        <v>349</v>
      </c>
      <c r="F106" s="10"/>
      <c r="G106" s="10" t="s">
        <v>7</v>
      </c>
      <c r="H106" s="11" t="s">
        <v>383</v>
      </c>
      <c r="J106" t="s">
        <v>384</v>
      </c>
    </row>
    <row r="107" spans="1:17" ht="15.75" customHeight="1">
      <c r="A107" s="29" t="s">
        <v>385</v>
      </c>
      <c r="B107" s="11" t="s">
        <v>242</v>
      </c>
      <c r="C107" s="7" t="s">
        <v>386</v>
      </c>
      <c r="E107" s="10" t="s">
        <v>244</v>
      </c>
      <c r="F107" s="10"/>
      <c r="G107" s="10" t="s">
        <v>7</v>
      </c>
      <c r="H107" s="11" t="s">
        <v>387</v>
      </c>
      <c r="J107" t="s">
        <v>388</v>
      </c>
    </row>
    <row r="108" spans="1:17" ht="15.75" customHeight="1">
      <c r="A108" s="29" t="s">
        <v>389</v>
      </c>
      <c r="B108" s="11" t="s">
        <v>247</v>
      </c>
      <c r="C108" s="7" t="s">
        <v>390</v>
      </c>
      <c r="D108" s="11" t="s">
        <v>391</v>
      </c>
      <c r="E108" s="10" t="s">
        <v>349</v>
      </c>
      <c r="F108" s="10"/>
      <c r="G108" s="10" t="s">
        <v>7</v>
      </c>
      <c r="H108" s="11" t="s">
        <v>392</v>
      </c>
      <c r="J108" t="s">
        <v>393</v>
      </c>
    </row>
    <row r="109" spans="1:17" ht="15.75" customHeight="1">
      <c r="A109" s="29" t="s">
        <v>394</v>
      </c>
      <c r="B109" s="11" t="s">
        <v>395</v>
      </c>
      <c r="C109" s="12" t="s">
        <v>396</v>
      </c>
      <c r="G109" s="11" t="s">
        <v>7</v>
      </c>
      <c r="H109" s="11" t="s">
        <v>397</v>
      </c>
      <c r="J109" t="s">
        <v>398</v>
      </c>
    </row>
    <row r="110" spans="1:17" ht="15.75" customHeight="1">
      <c r="A110" s="29" t="s">
        <v>399</v>
      </c>
      <c r="B110" s="11" t="s">
        <v>395</v>
      </c>
      <c r="C110" s="12" t="s">
        <v>400</v>
      </c>
      <c r="G110" s="11" t="s">
        <v>7</v>
      </c>
      <c r="H110" s="11" t="s">
        <v>401</v>
      </c>
      <c r="J110" t="s">
        <v>398</v>
      </c>
    </row>
    <row r="111" spans="1:17" ht="15.75" customHeight="1">
      <c r="A111" s="29" t="s">
        <v>402</v>
      </c>
      <c r="B111" s="11" t="s">
        <v>395</v>
      </c>
      <c r="C111" s="12" t="s">
        <v>403</v>
      </c>
      <c r="G111" s="11" t="s">
        <v>7</v>
      </c>
      <c r="H111" s="11" t="s">
        <v>404</v>
      </c>
      <c r="J111" t="s">
        <v>398</v>
      </c>
    </row>
    <row r="112" spans="1:17" ht="15.75" customHeight="1">
      <c r="A112" s="29" t="s">
        <v>405</v>
      </c>
      <c r="B112" s="11" t="s">
        <v>395</v>
      </c>
      <c r="C112" s="12" t="s">
        <v>406</v>
      </c>
      <c r="G112" s="11" t="s">
        <v>7</v>
      </c>
      <c r="H112" s="11" t="s">
        <v>407</v>
      </c>
      <c r="J112" t="s">
        <v>398</v>
      </c>
    </row>
    <row r="113" spans="1:10" ht="15.75" customHeight="1">
      <c r="A113" s="29" t="s">
        <v>408</v>
      </c>
      <c r="B113" s="11" t="s">
        <v>395</v>
      </c>
      <c r="C113" s="12" t="s">
        <v>409</v>
      </c>
      <c r="G113" s="11" t="s">
        <v>7</v>
      </c>
      <c r="H113" s="11" t="s">
        <v>410</v>
      </c>
      <c r="J113" t="s">
        <v>398</v>
      </c>
    </row>
    <row r="114" spans="1:10" ht="15.75" customHeight="1">
      <c r="A114" s="29" t="s">
        <v>411</v>
      </c>
      <c r="B114" s="11" t="s">
        <v>395</v>
      </c>
      <c r="C114" s="12" t="s">
        <v>412</v>
      </c>
      <c r="G114" s="11" t="s">
        <v>7</v>
      </c>
      <c r="H114" s="11" t="s">
        <v>413</v>
      </c>
      <c r="J114" t="s">
        <v>398</v>
      </c>
    </row>
    <row r="115" spans="1:10" ht="15.75" customHeight="1">
      <c r="A115" s="29" t="s">
        <v>414</v>
      </c>
      <c r="B115" s="11" t="s">
        <v>395</v>
      </c>
      <c r="C115" s="12" t="s">
        <v>415</v>
      </c>
      <c r="G115" s="11" t="s">
        <v>7</v>
      </c>
      <c r="H115" s="11" t="s">
        <v>416</v>
      </c>
      <c r="J115" t="s">
        <v>398</v>
      </c>
    </row>
    <row r="116" spans="1:10" ht="15.75" customHeight="1">
      <c r="A116" t="s">
        <v>417</v>
      </c>
      <c r="B116" t="s">
        <v>363</v>
      </c>
      <c r="C116" t="s">
        <v>418</v>
      </c>
      <c r="E116" t="s">
        <v>419</v>
      </c>
      <c r="G116" t="s">
        <v>7</v>
      </c>
      <c r="H116" t="s">
        <v>420</v>
      </c>
      <c r="J116" t="s">
        <v>421</v>
      </c>
    </row>
    <row r="117" spans="1:10" ht="15.75" customHeight="1">
      <c r="A117" t="s">
        <v>422</v>
      </c>
      <c r="B117" t="s">
        <v>363</v>
      </c>
      <c r="C117" t="s">
        <v>423</v>
      </c>
      <c r="E117" t="s">
        <v>419</v>
      </c>
      <c r="G117" t="s">
        <v>7</v>
      </c>
      <c r="H117" t="s">
        <v>424</v>
      </c>
      <c r="J117" t="s">
        <v>421</v>
      </c>
    </row>
    <row r="118" spans="1:10" ht="15.75" customHeight="1">
      <c r="A118" t="s">
        <v>425</v>
      </c>
      <c r="B118" t="s">
        <v>363</v>
      </c>
      <c r="C118" t="s">
        <v>426</v>
      </c>
      <c r="E118" t="s">
        <v>419</v>
      </c>
      <c r="G118" t="s">
        <v>7</v>
      </c>
      <c r="H118" t="s">
        <v>427</v>
      </c>
      <c r="J118" t="s">
        <v>421</v>
      </c>
    </row>
    <row r="119" spans="1:10" ht="15.75" customHeight="1">
      <c r="A119" t="s">
        <v>428</v>
      </c>
      <c r="B119" t="s">
        <v>363</v>
      </c>
      <c r="C119" t="s">
        <v>429</v>
      </c>
      <c r="E119" t="s">
        <v>419</v>
      </c>
      <c r="G119" t="s">
        <v>7</v>
      </c>
      <c r="H119" t="s">
        <v>430</v>
      </c>
      <c r="J119" t="s">
        <v>421</v>
      </c>
    </row>
    <row r="120" spans="1:10" ht="15.75" customHeight="1">
      <c r="A120" t="s">
        <v>431</v>
      </c>
      <c r="B120" t="s">
        <v>363</v>
      </c>
      <c r="C120" t="s">
        <v>432</v>
      </c>
      <c r="E120" t="s">
        <v>419</v>
      </c>
      <c r="G120" t="s">
        <v>7</v>
      </c>
      <c r="H120" t="s">
        <v>433</v>
      </c>
      <c r="J120" t="s">
        <v>421</v>
      </c>
    </row>
    <row r="121" spans="1:10" ht="15.75" customHeight="1">
      <c r="A121" t="s">
        <v>434</v>
      </c>
      <c r="B121" t="s">
        <v>363</v>
      </c>
      <c r="C121" t="s">
        <v>435</v>
      </c>
      <c r="E121" t="s">
        <v>419</v>
      </c>
      <c r="G121" t="s">
        <v>7</v>
      </c>
      <c r="H121" t="s">
        <v>436</v>
      </c>
      <c r="J121" t="s">
        <v>437</v>
      </c>
    </row>
    <row r="122" spans="1:10" ht="15.75" customHeight="1">
      <c r="A122" t="s">
        <v>438</v>
      </c>
      <c r="B122" t="s">
        <v>363</v>
      </c>
      <c r="C122" t="s">
        <v>439</v>
      </c>
      <c r="E122" t="s">
        <v>419</v>
      </c>
      <c r="G122" t="s">
        <v>7</v>
      </c>
      <c r="H122" t="s">
        <v>440</v>
      </c>
      <c r="J122" t="s">
        <v>437</v>
      </c>
    </row>
    <row r="123" spans="1:10" ht="15.75" customHeight="1">
      <c r="A123" t="s">
        <v>441</v>
      </c>
      <c r="B123" t="s">
        <v>363</v>
      </c>
      <c r="C123" t="s">
        <v>442</v>
      </c>
      <c r="E123" t="s">
        <v>419</v>
      </c>
      <c r="G123" t="s">
        <v>7</v>
      </c>
      <c r="H123" t="s">
        <v>443</v>
      </c>
      <c r="J123" t="s">
        <v>437</v>
      </c>
    </row>
    <row r="124" spans="1:10" ht="15.75" customHeight="1">
      <c r="A124" t="s">
        <v>444</v>
      </c>
      <c r="B124" t="s">
        <v>363</v>
      </c>
      <c r="C124" t="s">
        <v>445</v>
      </c>
      <c r="E124" t="s">
        <v>419</v>
      </c>
      <c r="G124" t="s">
        <v>7</v>
      </c>
      <c r="H124" t="s">
        <v>446</v>
      </c>
      <c r="J124" t="s">
        <v>437</v>
      </c>
    </row>
    <row r="125" spans="1:10" ht="15.75" customHeight="1">
      <c r="A125" t="s">
        <v>447</v>
      </c>
      <c r="B125" t="s">
        <v>363</v>
      </c>
      <c r="C125" t="s">
        <v>448</v>
      </c>
      <c r="E125" t="s">
        <v>419</v>
      </c>
      <c r="G125" t="s">
        <v>7</v>
      </c>
      <c r="H125" t="s">
        <v>449</v>
      </c>
      <c r="J125" t="s">
        <v>437</v>
      </c>
    </row>
    <row r="126" spans="1:10" ht="15.75" customHeight="1">
      <c r="A126" s="29" t="s">
        <v>450</v>
      </c>
      <c r="B126" s="11" t="s">
        <v>247</v>
      </c>
      <c r="C126" s="7" t="s">
        <v>451</v>
      </c>
      <c r="E126" s="10" t="s">
        <v>349</v>
      </c>
      <c r="F126" s="10"/>
      <c r="G126" s="10" t="s">
        <v>7</v>
      </c>
      <c r="H126" t="s">
        <v>452</v>
      </c>
      <c r="J126" t="s">
        <v>453</v>
      </c>
    </row>
    <row r="127" spans="1:10" ht="15.75" customHeight="1">
      <c r="A127" s="29" t="s">
        <v>454</v>
      </c>
      <c r="B127" s="11" t="s">
        <v>247</v>
      </c>
      <c r="C127" s="7" t="s">
        <v>455</v>
      </c>
      <c r="E127" s="10" t="s">
        <v>349</v>
      </c>
      <c r="F127" s="10"/>
      <c r="G127" s="10" t="s">
        <v>7</v>
      </c>
      <c r="H127" t="s">
        <v>456</v>
      </c>
      <c r="J127" t="s">
        <v>453</v>
      </c>
    </row>
    <row r="128" spans="1:10" ht="15.75" customHeight="1">
      <c r="A128" s="29" t="s">
        <v>457</v>
      </c>
      <c r="B128" s="11" t="s">
        <v>247</v>
      </c>
      <c r="C128" s="7" t="s">
        <v>458</v>
      </c>
      <c r="E128" s="10" t="s">
        <v>349</v>
      </c>
      <c r="F128" s="10"/>
      <c r="G128" s="10" t="s">
        <v>7</v>
      </c>
      <c r="H128" t="s">
        <v>459</v>
      </c>
      <c r="J128" t="s">
        <v>453</v>
      </c>
    </row>
    <row r="129" spans="1:17" ht="15.75" customHeight="1">
      <c r="A129" s="29" t="s">
        <v>460</v>
      </c>
      <c r="B129" s="11" t="s">
        <v>247</v>
      </c>
      <c r="C129" s="7" t="s">
        <v>461</v>
      </c>
      <c r="E129" s="10" t="s">
        <v>349</v>
      </c>
      <c r="F129" s="10"/>
      <c r="G129" s="10" t="s">
        <v>7</v>
      </c>
      <c r="H129" t="s">
        <v>462</v>
      </c>
      <c r="J129" t="s">
        <v>453</v>
      </c>
    </row>
    <row r="130" spans="1:17" ht="15.75" customHeight="1">
      <c r="A130" s="29" t="s">
        <v>463</v>
      </c>
      <c r="B130" s="10" t="s">
        <v>464</v>
      </c>
      <c r="C130" s="12" t="s">
        <v>465</v>
      </c>
      <c r="E130" s="10"/>
      <c r="F130" s="10" t="s">
        <v>466</v>
      </c>
      <c r="G130" s="10" t="s">
        <v>285</v>
      </c>
      <c r="H130" s="10"/>
      <c r="I130" s="10"/>
      <c r="J130" t="s">
        <v>467</v>
      </c>
      <c r="L130" s="28">
        <v>2</v>
      </c>
      <c r="Q130" t="s">
        <v>468</v>
      </c>
    </row>
    <row r="131" spans="1:17" ht="15.75" customHeight="1">
      <c r="A131" s="29" t="s">
        <v>469</v>
      </c>
      <c r="B131" s="11" t="s">
        <v>255</v>
      </c>
      <c r="C131" s="12" t="s">
        <v>470</v>
      </c>
      <c r="E131" s="11" t="s">
        <v>257</v>
      </c>
      <c r="G131" s="11" t="s">
        <v>7</v>
      </c>
      <c r="H131" s="11" t="s">
        <v>471</v>
      </c>
      <c r="J131" s="11" t="s">
        <v>472</v>
      </c>
    </row>
    <row r="132" spans="1:17" ht="15.75" customHeight="1">
      <c r="A132" s="29" t="s">
        <v>473</v>
      </c>
      <c r="B132" s="11" t="s">
        <v>255</v>
      </c>
      <c r="C132" s="12" t="s">
        <v>474</v>
      </c>
      <c r="E132" s="11" t="s">
        <v>257</v>
      </c>
      <c r="G132" s="11" t="s">
        <v>7</v>
      </c>
      <c r="H132" s="11" t="s">
        <v>471</v>
      </c>
      <c r="J132" s="11" t="s">
        <v>472</v>
      </c>
    </row>
    <row r="133" spans="1:17" ht="15.75" customHeight="1">
      <c r="A133" s="29" t="s">
        <v>475</v>
      </c>
      <c r="B133" s="11" t="s">
        <v>242</v>
      </c>
      <c r="C133" s="8" t="s">
        <v>476</v>
      </c>
      <c r="D133" s="11" t="s">
        <v>477</v>
      </c>
      <c r="E133" s="11" t="s">
        <v>349</v>
      </c>
      <c r="G133" s="10" t="s">
        <v>7</v>
      </c>
      <c r="H133" s="11" t="s">
        <v>478</v>
      </c>
      <c r="J133" s="11" t="s">
        <v>479</v>
      </c>
    </row>
    <row r="134" spans="1:17" ht="15.75" customHeight="1">
      <c r="A134" s="29" t="s">
        <v>480</v>
      </c>
      <c r="B134" s="11" t="s">
        <v>255</v>
      </c>
      <c r="C134" s="6" t="s">
        <v>481</v>
      </c>
      <c r="E134" s="11" t="s">
        <v>257</v>
      </c>
      <c r="G134" s="11" t="s">
        <v>7</v>
      </c>
      <c r="H134" s="11" t="s">
        <v>471</v>
      </c>
      <c r="J134" s="11" t="s">
        <v>482</v>
      </c>
    </row>
    <row r="135" spans="1:17" ht="15.75" customHeight="1">
      <c r="A135" s="29" t="s">
        <v>483</v>
      </c>
      <c r="B135" s="11" t="s">
        <v>242</v>
      </c>
      <c r="C135" s="7" t="s">
        <v>484</v>
      </c>
      <c r="E135" s="10" t="s">
        <v>244</v>
      </c>
      <c r="F135" s="10"/>
      <c r="G135" s="10" t="s">
        <v>7</v>
      </c>
      <c r="H135" t="s">
        <v>485</v>
      </c>
      <c r="J135" t="s">
        <v>486</v>
      </c>
    </row>
    <row r="136" spans="1:17" ht="15.75" customHeight="1">
      <c r="A136" t="s">
        <v>487</v>
      </c>
      <c r="B136" t="s">
        <v>242</v>
      </c>
      <c r="C136" t="s">
        <v>488</v>
      </c>
      <c r="E136" t="s">
        <v>489</v>
      </c>
      <c r="G136" t="s">
        <v>490</v>
      </c>
      <c r="H136" t="s">
        <v>491</v>
      </c>
      <c r="J136" t="s">
        <v>492</v>
      </c>
    </row>
    <row r="137" spans="1:17" ht="15.75" customHeight="1">
      <c r="A137" s="29" t="s">
        <v>493</v>
      </c>
      <c r="B137" s="11" t="s">
        <v>494</v>
      </c>
      <c r="C137" s="8" t="s">
        <v>495</v>
      </c>
      <c r="E137" t="s">
        <v>496</v>
      </c>
      <c r="G137" s="11" t="s">
        <v>20</v>
      </c>
      <c r="J137" t="s">
        <v>497</v>
      </c>
      <c r="L137" s="28" t="s">
        <v>498</v>
      </c>
    </row>
    <row r="138" spans="1:17" ht="15.75" customHeight="1">
      <c r="A138" s="29" t="s">
        <v>499</v>
      </c>
      <c r="B138" s="11" t="s">
        <v>494</v>
      </c>
      <c r="C138" s="8" t="s">
        <v>500</v>
      </c>
      <c r="E138" t="s">
        <v>501</v>
      </c>
      <c r="G138" s="11" t="s">
        <v>20</v>
      </c>
      <c r="J138" t="s">
        <v>497</v>
      </c>
      <c r="L138" s="28" t="s">
        <v>498</v>
      </c>
    </row>
    <row r="139" spans="1:17" ht="15.75" customHeight="1">
      <c r="A139" s="29" t="s">
        <v>502</v>
      </c>
      <c r="B139" s="11" t="s">
        <v>494</v>
      </c>
      <c r="C139" s="8" t="s">
        <v>503</v>
      </c>
      <c r="E139" t="s">
        <v>504</v>
      </c>
      <c r="G139" s="11" t="s">
        <v>20</v>
      </c>
      <c r="J139" t="s">
        <v>497</v>
      </c>
      <c r="L139" s="28" t="s">
        <v>498</v>
      </c>
    </row>
    <row r="140" spans="1:17" ht="15.75" customHeight="1">
      <c r="A140" s="29" t="s">
        <v>505</v>
      </c>
      <c r="B140" s="11" t="s">
        <v>494</v>
      </c>
      <c r="C140" s="12" t="s">
        <v>506</v>
      </c>
      <c r="E140" t="s">
        <v>507</v>
      </c>
      <c r="G140" s="11" t="s">
        <v>20</v>
      </c>
      <c r="J140" t="s">
        <v>497</v>
      </c>
      <c r="L140" s="28" t="s">
        <v>498</v>
      </c>
    </row>
    <row r="141" spans="1:17" ht="15.75" customHeight="1">
      <c r="A141" s="29" t="s">
        <v>508</v>
      </c>
      <c r="B141" s="11" t="s">
        <v>494</v>
      </c>
      <c r="C141" s="12" t="s">
        <v>509</v>
      </c>
      <c r="E141" t="s">
        <v>510</v>
      </c>
      <c r="G141" s="11" t="s">
        <v>20</v>
      </c>
      <c r="J141" t="s">
        <v>497</v>
      </c>
      <c r="L141" s="28" t="s">
        <v>498</v>
      </c>
    </row>
    <row r="142" spans="1:17" ht="15.75" customHeight="1">
      <c r="A142" s="29" t="s">
        <v>511</v>
      </c>
      <c r="B142" s="11" t="s">
        <v>494</v>
      </c>
      <c r="C142" s="8" t="s">
        <v>512</v>
      </c>
      <c r="D142" s="11" t="s">
        <v>513</v>
      </c>
      <c r="E142" t="s">
        <v>514</v>
      </c>
      <c r="G142" s="11" t="s">
        <v>20</v>
      </c>
      <c r="J142" t="s">
        <v>497</v>
      </c>
      <c r="L142" s="28" t="s">
        <v>498</v>
      </c>
    </row>
    <row r="143" spans="1:17" ht="15.75" customHeight="1">
      <c r="A143" s="29" t="s">
        <v>515</v>
      </c>
      <c r="B143" s="11" t="s">
        <v>494</v>
      </c>
      <c r="C143" s="25" t="s">
        <v>516</v>
      </c>
      <c r="E143" t="s">
        <v>517</v>
      </c>
      <c r="G143" s="11" t="s">
        <v>20</v>
      </c>
      <c r="J143" t="s">
        <v>497</v>
      </c>
      <c r="L143" s="28" t="s">
        <v>498</v>
      </c>
    </row>
    <row r="144" spans="1:17" ht="15.75" customHeight="1">
      <c r="A144" s="11" t="s">
        <v>518</v>
      </c>
      <c r="B144" s="11" t="s">
        <v>494</v>
      </c>
      <c r="C144" s="12" t="s">
        <v>519</v>
      </c>
      <c r="E144" t="s">
        <v>520</v>
      </c>
      <c r="G144" s="11" t="s">
        <v>20</v>
      </c>
      <c r="J144" t="s">
        <v>497</v>
      </c>
      <c r="L144" s="28" t="s">
        <v>498</v>
      </c>
    </row>
    <row r="145" spans="1:16" ht="15.75" customHeight="1">
      <c r="A145" s="11" t="s">
        <v>521</v>
      </c>
      <c r="B145" s="11" t="s">
        <v>494</v>
      </c>
      <c r="C145" s="12" t="s">
        <v>522</v>
      </c>
      <c r="E145" t="s">
        <v>523</v>
      </c>
      <c r="G145" s="11" t="s">
        <v>20</v>
      </c>
      <c r="J145" t="s">
        <v>497</v>
      </c>
      <c r="L145" s="28" t="s">
        <v>498</v>
      </c>
    </row>
    <row r="146" spans="1:16" ht="15.75" customHeight="1">
      <c r="A146" s="11" t="s">
        <v>524</v>
      </c>
      <c r="B146" s="11" t="s">
        <v>494</v>
      </c>
      <c r="C146" s="12" t="s">
        <v>525</v>
      </c>
      <c r="E146" t="s">
        <v>526</v>
      </c>
      <c r="G146" s="11" t="s">
        <v>20</v>
      </c>
      <c r="J146" t="s">
        <v>497</v>
      </c>
      <c r="L146" s="28" t="s">
        <v>498</v>
      </c>
    </row>
    <row r="147" spans="1:16" ht="15.75" customHeight="1">
      <c r="A147" s="11" t="s">
        <v>527</v>
      </c>
      <c r="B147" s="11" t="s">
        <v>494</v>
      </c>
      <c r="C147" s="12" t="s">
        <v>528</v>
      </c>
      <c r="E147" t="s">
        <v>529</v>
      </c>
      <c r="G147" s="11" t="s">
        <v>20</v>
      </c>
      <c r="J147" t="s">
        <v>497</v>
      </c>
      <c r="L147" s="28" t="s">
        <v>498</v>
      </c>
    </row>
    <row r="148" spans="1:16" ht="15.75" customHeight="1">
      <c r="A148" s="11" t="s">
        <v>530</v>
      </c>
      <c r="B148" s="11" t="s">
        <v>494</v>
      </c>
      <c r="C148" s="12" t="s">
        <v>531</v>
      </c>
      <c r="E148" t="s">
        <v>532</v>
      </c>
      <c r="G148" s="11" t="s">
        <v>20</v>
      </c>
      <c r="J148" t="s">
        <v>497</v>
      </c>
      <c r="L148" s="28" t="s">
        <v>498</v>
      </c>
    </row>
    <row r="149" spans="1:16" ht="15.75" customHeight="1">
      <c r="A149" s="11" t="s">
        <v>533</v>
      </c>
      <c r="B149" s="11" t="s">
        <v>494</v>
      </c>
      <c r="C149" s="8" t="s">
        <v>534</v>
      </c>
      <c r="E149" t="s">
        <v>535</v>
      </c>
      <c r="G149" s="11" t="s">
        <v>20</v>
      </c>
      <c r="J149" t="s">
        <v>497</v>
      </c>
      <c r="L149" s="28" t="s">
        <v>498</v>
      </c>
    </row>
    <row r="150" spans="1:16" ht="15.75" customHeight="1">
      <c r="A150" s="11" t="s">
        <v>536</v>
      </c>
      <c r="B150" s="11" t="s">
        <v>494</v>
      </c>
      <c r="C150" s="12" t="s">
        <v>537</v>
      </c>
      <c r="E150" t="s">
        <v>538</v>
      </c>
      <c r="G150" s="11" t="s">
        <v>20</v>
      </c>
      <c r="J150" t="s">
        <v>497</v>
      </c>
      <c r="L150" s="28" t="s">
        <v>498</v>
      </c>
    </row>
    <row r="151" spans="1:16" ht="15.75" customHeight="1">
      <c r="A151" s="11" t="s">
        <v>539</v>
      </c>
      <c r="B151" s="11" t="s">
        <v>494</v>
      </c>
      <c r="C151" s="12" t="s">
        <v>540</v>
      </c>
      <c r="E151" t="s">
        <v>541</v>
      </c>
      <c r="G151" s="11" t="s">
        <v>20</v>
      </c>
      <c r="J151" t="s">
        <v>497</v>
      </c>
      <c r="L151" s="28" t="s">
        <v>498</v>
      </c>
    </row>
    <row r="152" spans="1:16" ht="15.75" customHeight="1">
      <c r="A152" s="11" t="s">
        <v>542</v>
      </c>
      <c r="B152" s="11" t="s">
        <v>494</v>
      </c>
      <c r="C152" s="12" t="s">
        <v>543</v>
      </c>
      <c r="E152" t="s">
        <v>544</v>
      </c>
      <c r="G152" s="11" t="s">
        <v>20</v>
      </c>
      <c r="J152" t="s">
        <v>497</v>
      </c>
      <c r="L152" s="28" t="s">
        <v>498</v>
      </c>
    </row>
    <row r="153" spans="1:16" ht="15.75" customHeight="1">
      <c r="A153" s="11" t="s">
        <v>545</v>
      </c>
      <c r="B153" s="11" t="s">
        <v>494</v>
      </c>
      <c r="C153" s="12" t="s">
        <v>546</v>
      </c>
      <c r="E153" t="s">
        <v>547</v>
      </c>
      <c r="G153" s="11" t="s">
        <v>20</v>
      </c>
      <c r="J153" t="s">
        <v>497</v>
      </c>
      <c r="L153" s="28" t="s">
        <v>498</v>
      </c>
    </row>
    <row r="154" spans="1:16" ht="15.75" customHeight="1">
      <c r="A154" s="11" t="s">
        <v>548</v>
      </c>
      <c r="B154" s="11" t="s">
        <v>494</v>
      </c>
      <c r="C154" s="12" t="s">
        <v>549</v>
      </c>
      <c r="E154" t="s">
        <v>550</v>
      </c>
      <c r="G154" s="11" t="s">
        <v>20</v>
      </c>
      <c r="J154" t="s">
        <v>497</v>
      </c>
      <c r="L154" s="28" t="s">
        <v>498</v>
      </c>
    </row>
    <row r="155" spans="1:16" ht="15.75" customHeight="1">
      <c r="A155" s="11" t="s">
        <v>551</v>
      </c>
      <c r="B155" s="11" t="s">
        <v>494</v>
      </c>
      <c r="C155" s="8" t="s">
        <v>552</v>
      </c>
      <c r="E155" t="s">
        <v>553</v>
      </c>
      <c r="G155" s="11" t="s">
        <v>20</v>
      </c>
      <c r="J155" t="s">
        <v>497</v>
      </c>
      <c r="L155" s="28" t="s">
        <v>498</v>
      </c>
    </row>
    <row r="156" spans="1:16" ht="15.75" customHeight="1">
      <c r="A156" s="29" t="s">
        <v>554</v>
      </c>
      <c r="B156" s="11" t="s">
        <v>494</v>
      </c>
      <c r="C156" s="13" t="s">
        <v>555</v>
      </c>
      <c r="E156" t="s">
        <v>556</v>
      </c>
      <c r="G156" s="11" t="s">
        <v>20</v>
      </c>
      <c r="J156" t="s">
        <v>497</v>
      </c>
      <c r="L156" s="28" t="s">
        <v>498</v>
      </c>
    </row>
    <row r="157" spans="1:16" ht="15.75" customHeight="1">
      <c r="A157" s="29" t="s">
        <v>557</v>
      </c>
      <c r="B157" s="11" t="s">
        <v>558</v>
      </c>
      <c r="C157" s="13" t="s">
        <v>559</v>
      </c>
      <c r="D157" s="17"/>
      <c r="E157" s="10" t="s">
        <v>560</v>
      </c>
      <c r="F157" s="10" t="s">
        <v>561</v>
      </c>
      <c r="G157" s="11" t="s">
        <v>20</v>
      </c>
      <c r="J157" t="s">
        <v>497</v>
      </c>
      <c r="L157" s="28" t="s">
        <v>498</v>
      </c>
      <c r="O157">
        <v>10</v>
      </c>
      <c r="P157" t="s">
        <v>23</v>
      </c>
    </row>
    <row r="158" spans="1:16" ht="15.75" customHeight="1">
      <c r="A158" s="29" t="s">
        <v>562</v>
      </c>
      <c r="B158" s="11" t="s">
        <v>558</v>
      </c>
      <c r="C158" s="13" t="s">
        <v>563</v>
      </c>
      <c r="D158" s="17"/>
      <c r="E158" s="10" t="s">
        <v>560</v>
      </c>
      <c r="F158" s="10" t="s">
        <v>564</v>
      </c>
      <c r="G158" s="11" t="s">
        <v>20</v>
      </c>
      <c r="J158" t="s">
        <v>497</v>
      </c>
      <c r="L158" s="28" t="s">
        <v>498</v>
      </c>
      <c r="O158">
        <v>15</v>
      </c>
      <c r="P158" t="s">
        <v>274</v>
      </c>
    </row>
    <row r="159" spans="1:16" ht="15.75" customHeight="1">
      <c r="A159" s="29" t="s">
        <v>565</v>
      </c>
      <c r="B159" s="11" t="s">
        <v>558</v>
      </c>
      <c r="C159" s="13" t="s">
        <v>566</v>
      </c>
      <c r="D159" s="17"/>
      <c r="E159" s="10" t="s">
        <v>560</v>
      </c>
      <c r="F159" s="10" t="s">
        <v>557</v>
      </c>
      <c r="G159" s="11" t="s">
        <v>20</v>
      </c>
      <c r="J159" t="s">
        <v>497</v>
      </c>
      <c r="L159" s="28" t="s">
        <v>498</v>
      </c>
      <c r="O159">
        <v>10</v>
      </c>
      <c r="P159" t="s">
        <v>90</v>
      </c>
    </row>
    <row r="160" spans="1:16" ht="15.75" customHeight="1">
      <c r="A160" s="29" t="s">
        <v>561</v>
      </c>
      <c r="B160" s="11" t="s">
        <v>558</v>
      </c>
      <c r="C160" s="13" t="s">
        <v>567</v>
      </c>
      <c r="D160" s="17"/>
      <c r="E160" s="10" t="s">
        <v>560</v>
      </c>
      <c r="F160" s="10" t="s">
        <v>568</v>
      </c>
      <c r="G160" s="11" t="s">
        <v>20</v>
      </c>
      <c r="J160" t="s">
        <v>497</v>
      </c>
      <c r="L160" s="28" t="s">
        <v>498</v>
      </c>
      <c r="O160">
        <v>15</v>
      </c>
      <c r="P160" t="s">
        <v>274</v>
      </c>
    </row>
    <row r="161" spans="1:16" ht="15.75" customHeight="1">
      <c r="A161" s="29" t="s">
        <v>569</v>
      </c>
      <c r="B161" s="11" t="s">
        <v>558</v>
      </c>
      <c r="C161" s="13" t="s">
        <v>570</v>
      </c>
      <c r="D161" s="10"/>
      <c r="E161" s="10" t="s">
        <v>560</v>
      </c>
      <c r="F161" s="10" t="s">
        <v>571</v>
      </c>
      <c r="G161" s="11" t="s">
        <v>20</v>
      </c>
      <c r="J161" t="s">
        <v>497</v>
      </c>
      <c r="L161" s="28" t="s">
        <v>498</v>
      </c>
      <c r="O161">
        <v>10</v>
      </c>
      <c r="P161" t="s">
        <v>125</v>
      </c>
    </row>
    <row r="162" spans="1:16" ht="15.75" customHeight="1">
      <c r="A162" s="29" t="s">
        <v>572</v>
      </c>
      <c r="B162" s="11" t="s">
        <v>558</v>
      </c>
      <c r="C162" s="13" t="s">
        <v>573</v>
      </c>
      <c r="D162" s="10"/>
      <c r="E162" s="10" t="s">
        <v>560</v>
      </c>
      <c r="F162" s="10" t="s">
        <v>571</v>
      </c>
      <c r="G162" s="11" t="s">
        <v>20</v>
      </c>
      <c r="J162" t="s">
        <v>497</v>
      </c>
      <c r="L162" s="28" t="s">
        <v>498</v>
      </c>
      <c r="O162">
        <v>10</v>
      </c>
      <c r="P162" t="s">
        <v>125</v>
      </c>
    </row>
    <row r="163" spans="1:16" ht="15.75" customHeight="1">
      <c r="A163" s="29" t="s">
        <v>574</v>
      </c>
      <c r="B163" s="11" t="s">
        <v>558</v>
      </c>
      <c r="C163" s="13" t="s">
        <v>575</v>
      </c>
      <c r="D163" s="10"/>
      <c r="E163" s="10" t="s">
        <v>560</v>
      </c>
      <c r="F163" s="10" t="s">
        <v>571</v>
      </c>
      <c r="G163" s="11" t="s">
        <v>20</v>
      </c>
      <c r="J163" t="s">
        <v>497</v>
      </c>
      <c r="L163" s="28" t="s">
        <v>498</v>
      </c>
      <c r="O163">
        <v>10</v>
      </c>
      <c r="P163" t="s">
        <v>125</v>
      </c>
    </row>
    <row r="164" spans="1:16" ht="15.75" customHeight="1">
      <c r="A164" s="29" t="s">
        <v>576</v>
      </c>
      <c r="B164" s="11" t="s">
        <v>558</v>
      </c>
      <c r="C164" s="13" t="s">
        <v>577</v>
      </c>
      <c r="D164" s="10"/>
      <c r="E164" s="10" t="s">
        <v>560</v>
      </c>
      <c r="F164" s="10" t="s">
        <v>571</v>
      </c>
      <c r="G164" s="11" t="s">
        <v>20</v>
      </c>
      <c r="J164" t="s">
        <v>497</v>
      </c>
      <c r="L164" s="28" t="s">
        <v>498</v>
      </c>
      <c r="O164">
        <v>10</v>
      </c>
      <c r="P164" t="s">
        <v>125</v>
      </c>
    </row>
    <row r="165" spans="1:16" ht="15.75" customHeight="1">
      <c r="A165" s="29" t="s">
        <v>578</v>
      </c>
      <c r="B165" s="11" t="s">
        <v>558</v>
      </c>
      <c r="C165" s="13" t="s">
        <v>579</v>
      </c>
      <c r="D165" s="10"/>
      <c r="E165" s="10" t="s">
        <v>560</v>
      </c>
      <c r="F165" s="10" t="s">
        <v>568</v>
      </c>
      <c r="G165" s="11" t="s">
        <v>20</v>
      </c>
      <c r="J165" t="s">
        <v>497</v>
      </c>
      <c r="L165" s="28" t="s">
        <v>498</v>
      </c>
      <c r="O165">
        <v>10</v>
      </c>
      <c r="P165" t="s">
        <v>278</v>
      </c>
    </row>
    <row r="166" spans="1:16" ht="15.75" customHeight="1">
      <c r="A166" s="29" t="s">
        <v>564</v>
      </c>
      <c r="B166" s="11" t="s">
        <v>558</v>
      </c>
      <c r="C166" s="13" t="s">
        <v>580</v>
      </c>
      <c r="D166" s="10"/>
      <c r="E166" s="10" t="s">
        <v>560</v>
      </c>
      <c r="F166" s="10" t="s">
        <v>578</v>
      </c>
      <c r="G166" s="11" t="s">
        <v>20</v>
      </c>
      <c r="J166" t="s">
        <v>497</v>
      </c>
      <c r="L166" s="28" t="s">
        <v>498</v>
      </c>
      <c r="O166">
        <v>15</v>
      </c>
      <c r="P166" t="s">
        <v>278</v>
      </c>
    </row>
    <row r="167" spans="1:16" ht="15.75" customHeight="1">
      <c r="A167" s="29" t="s">
        <v>581</v>
      </c>
      <c r="B167" s="11" t="s">
        <v>558</v>
      </c>
      <c r="C167" s="13" t="s">
        <v>582</v>
      </c>
      <c r="D167" s="17"/>
      <c r="E167" s="10" t="s">
        <v>560</v>
      </c>
      <c r="F167" s="10" t="s">
        <v>561</v>
      </c>
      <c r="G167" s="11" t="s">
        <v>20</v>
      </c>
      <c r="J167" t="s">
        <v>497</v>
      </c>
      <c r="L167" s="28" t="s">
        <v>498</v>
      </c>
      <c r="O167">
        <v>15</v>
      </c>
      <c r="P167" t="s">
        <v>23</v>
      </c>
    </row>
    <row r="168" spans="1:16" ht="15.75" customHeight="1">
      <c r="A168" s="29" t="s">
        <v>583</v>
      </c>
      <c r="B168" s="11" t="s">
        <v>558</v>
      </c>
      <c r="C168" s="13" t="s">
        <v>584</v>
      </c>
      <c r="D168" s="17"/>
      <c r="E168" s="10" t="s">
        <v>560</v>
      </c>
      <c r="F168" s="10" t="s">
        <v>568</v>
      </c>
      <c r="G168" s="11" t="s">
        <v>20</v>
      </c>
      <c r="J168" t="s">
        <v>497</v>
      </c>
      <c r="L168" s="28" t="s">
        <v>498</v>
      </c>
      <c r="O168">
        <v>12</v>
      </c>
      <c r="P168" t="s">
        <v>274</v>
      </c>
    </row>
    <row r="169" spans="1:16" ht="15.75" customHeight="1">
      <c r="A169" s="29" t="s">
        <v>585</v>
      </c>
      <c r="B169" s="11" t="s">
        <v>586</v>
      </c>
      <c r="C169" s="12" t="s">
        <v>353</v>
      </c>
      <c r="E169" t="s">
        <v>587</v>
      </c>
      <c r="G169" s="11" t="s">
        <v>20</v>
      </c>
      <c r="J169" t="s">
        <v>588</v>
      </c>
      <c r="L169" s="28" t="s">
        <v>498</v>
      </c>
    </row>
    <row r="170" spans="1:16" ht="15.75" customHeight="1">
      <c r="A170" s="29" t="s">
        <v>589</v>
      </c>
      <c r="B170" s="11" t="s">
        <v>586</v>
      </c>
      <c r="C170" s="12" t="s">
        <v>347</v>
      </c>
      <c r="E170" t="s">
        <v>590</v>
      </c>
      <c r="G170" s="11" t="s">
        <v>20</v>
      </c>
      <c r="J170" t="s">
        <v>497</v>
      </c>
      <c r="L170" s="28" t="s">
        <v>498</v>
      </c>
    </row>
    <row r="171" spans="1:16" ht="15.75" customHeight="1">
      <c r="A171" s="29" t="s">
        <v>591</v>
      </c>
      <c r="B171" s="11" t="s">
        <v>586</v>
      </c>
      <c r="C171" s="12" t="s">
        <v>592</v>
      </c>
      <c r="D171" s="11" t="s">
        <v>593</v>
      </c>
      <c r="E171" t="s">
        <v>594</v>
      </c>
      <c r="G171" s="11" t="s">
        <v>20</v>
      </c>
      <c r="J171" t="s">
        <v>497</v>
      </c>
      <c r="L171" s="28" t="s">
        <v>498</v>
      </c>
    </row>
    <row r="172" spans="1:16" ht="15.75" customHeight="1">
      <c r="A172" s="29" t="s">
        <v>595</v>
      </c>
      <c r="B172" s="11" t="s">
        <v>586</v>
      </c>
      <c r="C172" s="12" t="s">
        <v>596</v>
      </c>
      <c r="E172" t="s">
        <v>597</v>
      </c>
      <c r="G172" s="11" t="s">
        <v>20</v>
      </c>
      <c r="J172" t="s">
        <v>497</v>
      </c>
      <c r="L172" s="28" t="s">
        <v>498</v>
      </c>
    </row>
    <row r="173" spans="1:16" ht="15.75" customHeight="1">
      <c r="A173" s="29" t="s">
        <v>598</v>
      </c>
      <c r="B173" s="11" t="s">
        <v>586</v>
      </c>
      <c r="C173" s="8" t="s">
        <v>476</v>
      </c>
      <c r="E173" t="s">
        <v>599</v>
      </c>
      <c r="G173" s="11" t="s">
        <v>20</v>
      </c>
      <c r="J173" t="s">
        <v>497</v>
      </c>
      <c r="L173" s="28" t="s">
        <v>498</v>
      </c>
    </row>
    <row r="174" spans="1:16" ht="15.75" customHeight="1">
      <c r="A174" s="29" t="s">
        <v>600</v>
      </c>
      <c r="B174" s="11" t="s">
        <v>586</v>
      </c>
      <c r="C174" s="12" t="s">
        <v>601</v>
      </c>
      <c r="D174" s="11" t="s">
        <v>382</v>
      </c>
      <c r="E174" t="s">
        <v>602</v>
      </c>
      <c r="G174" s="11" t="s">
        <v>20</v>
      </c>
      <c r="J174" t="s">
        <v>497</v>
      </c>
      <c r="L174" s="28" t="s">
        <v>498</v>
      </c>
    </row>
    <row r="175" spans="1:16" ht="15.75" customHeight="1">
      <c r="A175" s="29" t="s">
        <v>603</v>
      </c>
      <c r="B175" s="11" t="s">
        <v>586</v>
      </c>
      <c r="C175" s="12" t="s">
        <v>604</v>
      </c>
      <c r="E175" t="s">
        <v>605</v>
      </c>
      <c r="G175" s="11" t="s">
        <v>20</v>
      </c>
      <c r="J175" t="s">
        <v>497</v>
      </c>
      <c r="L175" s="28" t="s">
        <v>498</v>
      </c>
    </row>
    <row r="176" spans="1:16" ht="15.75" customHeight="1">
      <c r="A176" s="29" t="s">
        <v>606</v>
      </c>
      <c r="B176" s="11" t="s">
        <v>586</v>
      </c>
      <c r="C176" s="12" t="s">
        <v>607</v>
      </c>
      <c r="E176" t="s">
        <v>608</v>
      </c>
      <c r="G176" s="11" t="s">
        <v>20</v>
      </c>
      <c r="J176" t="s">
        <v>497</v>
      </c>
      <c r="L176" s="28" t="s">
        <v>498</v>
      </c>
    </row>
    <row r="177" spans="1:16" ht="15.75" customHeight="1">
      <c r="A177" s="29" t="s">
        <v>609</v>
      </c>
      <c r="B177" s="11" t="s">
        <v>586</v>
      </c>
      <c r="C177" s="12" t="s">
        <v>610</v>
      </c>
      <c r="E177" t="s">
        <v>611</v>
      </c>
      <c r="G177" s="11" t="s">
        <v>20</v>
      </c>
      <c r="J177" t="s">
        <v>497</v>
      </c>
      <c r="L177" s="28" t="s">
        <v>498</v>
      </c>
    </row>
    <row r="178" spans="1:16" ht="15.75" customHeight="1">
      <c r="A178" s="29" t="s">
        <v>612</v>
      </c>
      <c r="B178" s="11" t="s">
        <v>586</v>
      </c>
      <c r="C178" s="8" t="s">
        <v>613</v>
      </c>
      <c r="E178" t="s">
        <v>614</v>
      </c>
      <c r="G178" s="11" t="s">
        <v>20</v>
      </c>
      <c r="J178" t="s">
        <v>497</v>
      </c>
      <c r="L178" s="28" t="s">
        <v>498</v>
      </c>
    </row>
    <row r="179" spans="1:16" ht="15.75" customHeight="1">
      <c r="A179" s="29" t="s">
        <v>615</v>
      </c>
      <c r="B179" s="11" t="s">
        <v>586</v>
      </c>
      <c r="C179" s="12" t="s">
        <v>616</v>
      </c>
      <c r="E179" t="s">
        <v>617</v>
      </c>
      <c r="G179" s="11" t="s">
        <v>20</v>
      </c>
      <c r="J179" t="s">
        <v>497</v>
      </c>
      <c r="L179" s="28" t="s">
        <v>498</v>
      </c>
    </row>
    <row r="180" spans="1:16" ht="15.75" customHeight="1">
      <c r="A180" s="29" t="s">
        <v>618</v>
      </c>
      <c r="B180" s="11" t="s">
        <v>586</v>
      </c>
      <c r="C180" s="8" t="s">
        <v>619</v>
      </c>
      <c r="E180" t="s">
        <v>620</v>
      </c>
      <c r="G180" s="11" t="s">
        <v>20</v>
      </c>
      <c r="J180" t="s">
        <v>497</v>
      </c>
      <c r="L180" s="28" t="s">
        <v>498</v>
      </c>
    </row>
    <row r="181" spans="1:16" ht="15.75" customHeight="1">
      <c r="A181" s="29" t="s">
        <v>621</v>
      </c>
      <c r="B181" s="11" t="s">
        <v>586</v>
      </c>
      <c r="C181" s="12" t="s">
        <v>622</v>
      </c>
      <c r="G181" s="11" t="s">
        <v>20</v>
      </c>
      <c r="J181" t="s">
        <v>497</v>
      </c>
      <c r="L181" s="28" t="s">
        <v>498</v>
      </c>
    </row>
    <row r="182" spans="1:16" ht="15.75" customHeight="1">
      <c r="A182" s="29" t="s">
        <v>623</v>
      </c>
      <c r="B182" s="11" t="s">
        <v>586</v>
      </c>
      <c r="C182" s="12" t="s">
        <v>624</v>
      </c>
      <c r="E182" t="s">
        <v>625</v>
      </c>
      <c r="G182" s="11" t="s">
        <v>20</v>
      </c>
      <c r="J182" t="s">
        <v>497</v>
      </c>
      <c r="L182" s="28" t="s">
        <v>498</v>
      </c>
    </row>
    <row r="183" spans="1:16" ht="15.75" customHeight="1">
      <c r="A183" s="29" t="s">
        <v>626</v>
      </c>
      <c r="B183" s="11" t="s">
        <v>586</v>
      </c>
      <c r="C183" s="12" t="s">
        <v>627</v>
      </c>
      <c r="E183" t="s">
        <v>628</v>
      </c>
      <c r="G183" s="11" t="s">
        <v>20</v>
      </c>
      <c r="J183" t="s">
        <v>497</v>
      </c>
      <c r="L183" s="28" t="s">
        <v>498</v>
      </c>
    </row>
    <row r="184" spans="1:16" ht="15.75" customHeight="1">
      <c r="A184" s="29" t="s">
        <v>629</v>
      </c>
      <c r="B184" s="11" t="s">
        <v>586</v>
      </c>
      <c r="C184" s="12" t="s">
        <v>630</v>
      </c>
      <c r="E184" t="s">
        <v>631</v>
      </c>
      <c r="G184" s="11" t="s">
        <v>20</v>
      </c>
      <c r="J184" t="s">
        <v>497</v>
      </c>
      <c r="L184" s="28" t="s">
        <v>498</v>
      </c>
    </row>
    <row r="185" spans="1:16" ht="15.75" customHeight="1">
      <c r="A185" s="29" t="s">
        <v>632</v>
      </c>
      <c r="B185" s="11" t="s">
        <v>586</v>
      </c>
      <c r="C185" s="12" t="s">
        <v>633</v>
      </c>
      <c r="E185" t="s">
        <v>634</v>
      </c>
      <c r="G185" s="11" t="s">
        <v>20</v>
      </c>
      <c r="J185" t="s">
        <v>497</v>
      </c>
      <c r="L185" s="28" t="s">
        <v>498</v>
      </c>
    </row>
    <row r="186" spans="1:16" ht="15.75" customHeight="1">
      <c r="A186" s="29" t="s">
        <v>635</v>
      </c>
      <c r="B186" s="11" t="s">
        <v>586</v>
      </c>
      <c r="C186" s="12" t="s">
        <v>390</v>
      </c>
      <c r="D186" s="11" t="s">
        <v>391</v>
      </c>
      <c r="E186" t="s">
        <v>636</v>
      </c>
      <c r="G186" s="11" t="s">
        <v>20</v>
      </c>
      <c r="J186" t="s">
        <v>497</v>
      </c>
      <c r="L186" s="28" t="s">
        <v>498</v>
      </c>
    </row>
    <row r="187" spans="1:16" ht="15.75" customHeight="1">
      <c r="A187" s="29" t="s">
        <v>637</v>
      </c>
      <c r="B187" s="11" t="s">
        <v>586</v>
      </c>
      <c r="C187" s="12" t="s">
        <v>638</v>
      </c>
      <c r="D187" s="11" t="s">
        <v>639</v>
      </c>
      <c r="E187" t="s">
        <v>640</v>
      </c>
      <c r="G187" s="11" t="s">
        <v>20</v>
      </c>
      <c r="J187" t="s">
        <v>497</v>
      </c>
      <c r="L187" s="28" t="s">
        <v>498</v>
      </c>
    </row>
    <row r="188" spans="1:16" ht="15.75" customHeight="1">
      <c r="A188" s="29" t="s">
        <v>641</v>
      </c>
      <c r="B188" s="11" t="s">
        <v>586</v>
      </c>
      <c r="C188" s="12" t="s">
        <v>642</v>
      </c>
      <c r="D188" s="11" t="s">
        <v>643</v>
      </c>
      <c r="E188" t="s">
        <v>644</v>
      </c>
      <c r="G188" s="11" t="s">
        <v>20</v>
      </c>
      <c r="J188" t="s">
        <v>497</v>
      </c>
      <c r="L188" s="28" t="s">
        <v>498</v>
      </c>
    </row>
    <row r="189" spans="1:16" ht="15.75" customHeight="1">
      <c r="A189" s="29" t="s">
        <v>645</v>
      </c>
      <c r="B189" s="11" t="s">
        <v>586</v>
      </c>
      <c r="C189" s="12" t="s">
        <v>646</v>
      </c>
      <c r="D189" s="11" t="s">
        <v>647</v>
      </c>
      <c r="E189" t="s">
        <v>648</v>
      </c>
      <c r="G189" s="11" t="s">
        <v>20</v>
      </c>
      <c r="J189" t="s">
        <v>497</v>
      </c>
      <c r="L189" s="28" t="s">
        <v>498</v>
      </c>
    </row>
    <row r="190" spans="1:16" ht="15.75" customHeight="1">
      <c r="A190" s="29" t="s">
        <v>649</v>
      </c>
      <c r="B190" s="11" t="s">
        <v>586</v>
      </c>
      <c r="C190" s="12" t="s">
        <v>358</v>
      </c>
      <c r="D190" s="11" t="s">
        <v>359</v>
      </c>
      <c r="E190" t="s">
        <v>650</v>
      </c>
      <c r="G190" s="11" t="s">
        <v>20</v>
      </c>
      <c r="J190" t="s">
        <v>497</v>
      </c>
      <c r="L190" s="28" t="s">
        <v>498</v>
      </c>
    </row>
    <row r="191" spans="1:16" ht="15.75" customHeight="1">
      <c r="A191" s="29" t="s">
        <v>651</v>
      </c>
      <c r="B191" s="11" t="s">
        <v>586</v>
      </c>
      <c r="C191" s="12" t="s">
        <v>652</v>
      </c>
      <c r="E191" t="s">
        <v>653</v>
      </c>
      <c r="G191" s="11" t="s">
        <v>20</v>
      </c>
      <c r="J191" t="s">
        <v>497</v>
      </c>
      <c r="L191" s="28" t="s">
        <v>498</v>
      </c>
    </row>
    <row r="192" spans="1:16" ht="15.75" customHeight="1">
      <c r="A192" s="29" t="s">
        <v>571</v>
      </c>
      <c r="B192" s="11" t="s">
        <v>558</v>
      </c>
      <c r="C192" s="13" t="s">
        <v>654</v>
      </c>
      <c r="D192" s="10"/>
      <c r="E192" s="10" t="s">
        <v>560</v>
      </c>
      <c r="F192" s="10" t="s">
        <v>655</v>
      </c>
      <c r="G192" s="11" t="s">
        <v>20</v>
      </c>
      <c r="J192" t="s">
        <v>656</v>
      </c>
      <c r="L192" s="28" t="s">
        <v>498</v>
      </c>
      <c r="O192">
        <v>15</v>
      </c>
      <c r="P192" t="s">
        <v>125</v>
      </c>
    </row>
    <row r="193" spans="1:16" ht="15.75" customHeight="1">
      <c r="A193" s="29" t="s">
        <v>655</v>
      </c>
      <c r="B193" s="11" t="s">
        <v>558</v>
      </c>
      <c r="C193" s="13" t="s">
        <v>657</v>
      </c>
      <c r="D193" s="10"/>
      <c r="E193" s="10" t="s">
        <v>560</v>
      </c>
      <c r="F193" s="10"/>
      <c r="G193" s="11" t="s">
        <v>20</v>
      </c>
      <c r="J193" t="s">
        <v>658</v>
      </c>
      <c r="L193" s="28" t="s">
        <v>498</v>
      </c>
      <c r="P193" t="s">
        <v>274</v>
      </c>
    </row>
    <row r="194" spans="1:16" ht="15.75" customHeight="1">
      <c r="A194" s="29" t="s">
        <v>568</v>
      </c>
      <c r="B194" s="11" t="s">
        <v>558</v>
      </c>
      <c r="C194" s="13" t="s">
        <v>659</v>
      </c>
      <c r="D194" s="17"/>
      <c r="E194" s="10" t="s">
        <v>560</v>
      </c>
      <c r="F194" s="10"/>
      <c r="G194" s="11" t="s">
        <v>20</v>
      </c>
      <c r="J194" t="s">
        <v>658</v>
      </c>
      <c r="L194" s="28" t="s">
        <v>498</v>
      </c>
      <c r="P194" t="s">
        <v>274</v>
      </c>
    </row>
    <row r="195" spans="1:16" ht="15.75" customHeight="1">
      <c r="A195" s="11" t="s">
        <v>660</v>
      </c>
      <c r="B195" s="11" t="s">
        <v>661</v>
      </c>
      <c r="C195" s="12" t="s">
        <v>662</v>
      </c>
      <c r="D195" s="11" t="s">
        <v>663</v>
      </c>
      <c r="E195" t="s">
        <v>664</v>
      </c>
      <c r="G195" s="11" t="s">
        <v>20</v>
      </c>
      <c r="L195" s="28" t="s">
        <v>665</v>
      </c>
    </row>
    <row r="196" spans="1:16" ht="15.75" customHeight="1">
      <c r="A196" s="11" t="s">
        <v>666</v>
      </c>
      <c r="B196" s="11" t="s">
        <v>661</v>
      </c>
      <c r="C196" s="12" t="s">
        <v>667</v>
      </c>
      <c r="D196" s="11" t="s">
        <v>668</v>
      </c>
      <c r="G196" s="11" t="s">
        <v>20</v>
      </c>
      <c r="L196" s="28" t="s">
        <v>669</v>
      </c>
    </row>
    <row r="197" spans="1:16" ht="15.75" customHeight="1">
      <c r="A197" s="11" t="s">
        <v>670</v>
      </c>
      <c r="B197" s="11" t="s">
        <v>661</v>
      </c>
      <c r="C197" s="12" t="s">
        <v>671</v>
      </c>
      <c r="D197" s="11" t="s">
        <v>672</v>
      </c>
      <c r="E197" t="s">
        <v>673</v>
      </c>
      <c r="G197" s="11" t="s">
        <v>20</v>
      </c>
      <c r="L197" s="28" t="s">
        <v>665</v>
      </c>
    </row>
    <row r="198" spans="1:16" ht="15.75" customHeight="1">
      <c r="A198" s="11" t="s">
        <v>674</v>
      </c>
      <c r="B198" s="11" t="s">
        <v>661</v>
      </c>
      <c r="C198" s="12" t="s">
        <v>675</v>
      </c>
      <c r="D198" s="11" t="s">
        <v>676</v>
      </c>
      <c r="E198" t="s">
        <v>677</v>
      </c>
      <c r="G198" s="11" t="s">
        <v>20</v>
      </c>
      <c r="L198" s="28" t="s">
        <v>665</v>
      </c>
    </row>
    <row r="199" spans="1:16" ht="15.75" customHeight="1">
      <c r="A199" s="11" t="s">
        <v>678</v>
      </c>
      <c r="B199" s="11" t="s">
        <v>661</v>
      </c>
      <c r="C199" s="12" t="s">
        <v>679</v>
      </c>
      <c r="D199" s="11" t="s">
        <v>680</v>
      </c>
      <c r="E199" t="s">
        <v>681</v>
      </c>
      <c r="G199" s="11" t="s">
        <v>20</v>
      </c>
      <c r="L199" s="28" t="s">
        <v>665</v>
      </c>
    </row>
    <row r="200" spans="1:16" ht="15.75" customHeight="1">
      <c r="A200" s="11" t="s">
        <v>682</v>
      </c>
      <c r="B200" s="11" t="s">
        <v>661</v>
      </c>
      <c r="C200" s="12" t="s">
        <v>683</v>
      </c>
      <c r="D200" s="11" t="s">
        <v>684</v>
      </c>
      <c r="E200" t="s">
        <v>685</v>
      </c>
      <c r="G200" s="11" t="s">
        <v>20</v>
      </c>
      <c r="L200" s="28" t="s">
        <v>665</v>
      </c>
    </row>
    <row r="201" spans="1:16" ht="15.75" customHeight="1">
      <c r="A201" s="11" t="s">
        <v>686</v>
      </c>
      <c r="B201" s="11" t="s">
        <v>661</v>
      </c>
      <c r="C201" s="12" t="s">
        <v>687</v>
      </c>
      <c r="D201" s="11" t="s">
        <v>688</v>
      </c>
      <c r="E201" t="s">
        <v>689</v>
      </c>
      <c r="G201" s="11" t="s">
        <v>7</v>
      </c>
      <c r="H201" s="11" t="s">
        <v>690</v>
      </c>
      <c r="L201" s="28"/>
    </row>
    <row r="202" spans="1:16" ht="15.75" customHeight="1">
      <c r="A202" s="11" t="s">
        <v>691</v>
      </c>
      <c r="B202" s="11" t="s">
        <v>692</v>
      </c>
      <c r="C202" s="12" t="s">
        <v>693</v>
      </c>
      <c r="D202" s="11" t="s">
        <v>694</v>
      </c>
      <c r="E202" t="s">
        <v>695</v>
      </c>
      <c r="G202" s="11" t="s">
        <v>20</v>
      </c>
      <c r="L202" s="28" t="s">
        <v>696</v>
      </c>
    </row>
    <row r="203" spans="1:16" ht="15.75" customHeight="1">
      <c r="A203" s="11" t="s">
        <v>697</v>
      </c>
      <c r="B203" s="11" t="s">
        <v>692</v>
      </c>
      <c r="C203" s="12" t="s">
        <v>698</v>
      </c>
      <c r="D203" s="11" t="s">
        <v>698</v>
      </c>
      <c r="E203" t="s">
        <v>699</v>
      </c>
      <c r="G203" s="11" t="s">
        <v>20</v>
      </c>
      <c r="L203" s="28" t="s">
        <v>696</v>
      </c>
    </row>
    <row r="204" spans="1:16" ht="15.75" customHeight="1">
      <c r="A204" s="11" t="s">
        <v>700</v>
      </c>
      <c r="B204" s="11" t="s">
        <v>692</v>
      </c>
      <c r="C204" s="12" t="s">
        <v>701</v>
      </c>
      <c r="D204" s="11" t="s">
        <v>702</v>
      </c>
      <c r="E204" t="s">
        <v>703</v>
      </c>
      <c r="G204" s="11" t="s">
        <v>20</v>
      </c>
      <c r="L204" s="28" t="s">
        <v>696</v>
      </c>
    </row>
    <row r="205" spans="1:16" ht="15.75" customHeight="1">
      <c r="A205" s="11" t="s">
        <v>704</v>
      </c>
      <c r="B205" s="11" t="s">
        <v>692</v>
      </c>
      <c r="C205" s="12" t="s">
        <v>705</v>
      </c>
      <c r="D205" s="11" t="s">
        <v>706</v>
      </c>
      <c r="E205" t="s">
        <v>707</v>
      </c>
      <c r="G205" s="11" t="s">
        <v>20</v>
      </c>
      <c r="L205" s="28" t="s">
        <v>696</v>
      </c>
    </row>
    <row r="206" spans="1:16" ht="15.75" customHeight="1">
      <c r="A206" s="11" t="s">
        <v>708</v>
      </c>
      <c r="B206" s="11" t="s">
        <v>692</v>
      </c>
      <c r="C206" s="12" t="s">
        <v>709</v>
      </c>
      <c r="D206" s="11" t="s">
        <v>710</v>
      </c>
      <c r="E206" t="s">
        <v>711</v>
      </c>
      <c r="G206" s="11" t="s">
        <v>20</v>
      </c>
      <c r="L206" s="28" t="s">
        <v>696</v>
      </c>
    </row>
    <row r="207" spans="1:16" ht="15.75" customHeight="1">
      <c r="A207" s="11" t="s">
        <v>712</v>
      </c>
      <c r="B207" s="11" t="s">
        <v>692</v>
      </c>
      <c r="C207" s="12" t="s">
        <v>713</v>
      </c>
      <c r="D207" s="11" t="s">
        <v>714</v>
      </c>
      <c r="E207" t="s">
        <v>715</v>
      </c>
      <c r="G207" s="11" t="s">
        <v>20</v>
      </c>
      <c r="L207" s="28" t="s">
        <v>696</v>
      </c>
    </row>
    <row r="208" spans="1:16" ht="15.75" customHeight="1">
      <c r="A208" s="11" t="s">
        <v>716</v>
      </c>
      <c r="B208" s="11" t="s">
        <v>692</v>
      </c>
      <c r="C208" s="12" t="s">
        <v>717</v>
      </c>
      <c r="D208" s="11" t="s">
        <v>718</v>
      </c>
      <c r="E208" t="s">
        <v>719</v>
      </c>
      <c r="G208" s="11" t="s">
        <v>20</v>
      </c>
      <c r="L208" s="28" t="s">
        <v>696</v>
      </c>
    </row>
    <row r="209" spans="1:17" ht="15.75" customHeight="1">
      <c r="A209" s="11" t="s">
        <v>720</v>
      </c>
      <c r="B209" s="11" t="s">
        <v>692</v>
      </c>
      <c r="C209" s="12" t="s">
        <v>721</v>
      </c>
      <c r="D209" s="11" t="s">
        <v>722</v>
      </c>
      <c r="E209" t="s">
        <v>723</v>
      </c>
      <c r="G209" s="11" t="s">
        <v>20</v>
      </c>
      <c r="L209" s="28" t="s">
        <v>696</v>
      </c>
    </row>
    <row r="210" spans="1:17" ht="15.75" customHeight="1">
      <c r="A210" s="11" t="s">
        <v>724</v>
      </c>
      <c r="B210" s="11" t="s">
        <v>692</v>
      </c>
      <c r="C210" s="12" t="s">
        <v>725</v>
      </c>
      <c r="D210" s="11" t="s">
        <v>726</v>
      </c>
      <c r="E210" t="s">
        <v>727</v>
      </c>
      <c r="G210" s="11" t="s">
        <v>20</v>
      </c>
      <c r="L210" s="28" t="s">
        <v>696</v>
      </c>
    </row>
    <row r="211" spans="1:17" ht="15.75" customHeight="1">
      <c r="A211" s="11" t="s">
        <v>728</v>
      </c>
      <c r="B211" s="11" t="s">
        <v>692</v>
      </c>
      <c r="C211" s="12" t="s">
        <v>729</v>
      </c>
      <c r="D211" s="11" t="s">
        <v>730</v>
      </c>
      <c r="E211" t="s">
        <v>731</v>
      </c>
      <c r="G211" s="11" t="s">
        <v>20</v>
      </c>
      <c r="L211" s="28" t="s">
        <v>696</v>
      </c>
    </row>
    <row r="212" spans="1:17" ht="15.75" customHeight="1">
      <c r="A212" s="29" t="s">
        <v>732</v>
      </c>
      <c r="B212" s="11" t="s">
        <v>733</v>
      </c>
      <c r="C212" s="12" t="s">
        <v>734</v>
      </c>
      <c r="E212" s="14" t="s">
        <v>735</v>
      </c>
      <c r="F212" s="14"/>
      <c r="G212" s="11" t="s">
        <v>20</v>
      </c>
      <c r="L212" s="28" t="s">
        <v>736</v>
      </c>
      <c r="P212" t="s">
        <v>737</v>
      </c>
      <c r="Q212" t="s">
        <v>738</v>
      </c>
    </row>
    <row r="213" spans="1:17" ht="15.75" customHeight="1">
      <c r="A213" s="29" t="s">
        <v>739</v>
      </c>
      <c r="B213" s="11" t="s">
        <v>733</v>
      </c>
      <c r="C213" s="12" t="s">
        <v>740</v>
      </c>
      <c r="E213" s="14" t="s">
        <v>735</v>
      </c>
      <c r="F213" s="14"/>
      <c r="G213" s="11" t="s">
        <v>20</v>
      </c>
      <c r="L213" s="28" t="s">
        <v>736</v>
      </c>
      <c r="P213" t="s">
        <v>741</v>
      </c>
      <c r="Q213" t="s">
        <v>742</v>
      </c>
    </row>
    <row r="214" spans="1:17" ht="15.75" customHeight="1">
      <c r="A214" s="29" t="s">
        <v>743</v>
      </c>
      <c r="B214" s="11" t="s">
        <v>733</v>
      </c>
      <c r="C214" s="13" t="s">
        <v>744</v>
      </c>
      <c r="D214" s="10"/>
      <c r="E214" s="15" t="s">
        <v>735</v>
      </c>
      <c r="F214" s="15"/>
      <c r="G214" s="11" t="s">
        <v>20</v>
      </c>
      <c r="L214" s="28" t="s">
        <v>736</v>
      </c>
      <c r="P214" t="s">
        <v>125</v>
      </c>
      <c r="Q214" t="s">
        <v>745</v>
      </c>
    </row>
    <row r="215" spans="1:17" ht="15.75" customHeight="1">
      <c r="A215" s="29" t="s">
        <v>746</v>
      </c>
      <c r="B215" s="11" t="s">
        <v>733</v>
      </c>
      <c r="C215" s="13" t="s">
        <v>747</v>
      </c>
      <c r="D215" s="10"/>
      <c r="E215" s="15" t="s">
        <v>735</v>
      </c>
      <c r="F215" s="15"/>
      <c r="G215" s="11" t="s">
        <v>20</v>
      </c>
      <c r="L215" s="28" t="s">
        <v>736</v>
      </c>
      <c r="P215" t="s">
        <v>278</v>
      </c>
      <c r="Q215" t="s">
        <v>748</v>
      </c>
    </row>
    <row r="216" spans="1:17" ht="15.75" customHeight="1">
      <c r="A216" s="29" t="s">
        <v>749</v>
      </c>
      <c r="B216" s="11" t="s">
        <v>733</v>
      </c>
      <c r="C216" s="13" t="s">
        <v>750</v>
      </c>
      <c r="D216" s="10"/>
      <c r="E216" s="15" t="s">
        <v>735</v>
      </c>
      <c r="F216" s="15"/>
      <c r="G216" s="11" t="s">
        <v>20</v>
      </c>
      <c r="L216" s="28" t="s">
        <v>736</v>
      </c>
      <c r="P216" t="s">
        <v>278</v>
      </c>
      <c r="Q216" t="s">
        <v>751</v>
      </c>
    </row>
    <row r="217" spans="1:17" ht="15.75" customHeight="1">
      <c r="A217" s="29" t="s">
        <v>752</v>
      </c>
      <c r="B217" s="11" t="s">
        <v>733</v>
      </c>
      <c r="C217" s="12" t="s">
        <v>753</v>
      </c>
      <c r="E217" s="14" t="s">
        <v>735</v>
      </c>
      <c r="F217" s="14"/>
      <c r="G217" s="11" t="s">
        <v>20</v>
      </c>
      <c r="L217" s="28" t="s">
        <v>736</v>
      </c>
      <c r="P217" t="s">
        <v>741</v>
      </c>
      <c r="Q217" t="s">
        <v>754</v>
      </c>
    </row>
    <row r="218" spans="1:17" ht="15.75" customHeight="1">
      <c r="A218" s="29" t="s">
        <v>755</v>
      </c>
      <c r="B218" s="11" t="s">
        <v>733</v>
      </c>
      <c r="C218" s="12" t="s">
        <v>756</v>
      </c>
      <c r="E218" s="14" t="s">
        <v>735</v>
      </c>
      <c r="F218" s="14"/>
      <c r="G218" s="11" t="s">
        <v>20</v>
      </c>
      <c r="L218" s="28" t="s">
        <v>736</v>
      </c>
      <c r="P218" t="s">
        <v>274</v>
      </c>
      <c r="Q218" t="s">
        <v>757</v>
      </c>
    </row>
    <row r="219" spans="1:17" ht="15.75" customHeight="1">
      <c r="A219" s="29" t="s">
        <v>758</v>
      </c>
      <c r="B219" s="11" t="s">
        <v>733</v>
      </c>
      <c r="C219" s="12" t="s">
        <v>759</v>
      </c>
      <c r="E219" s="14" t="s">
        <v>735</v>
      </c>
      <c r="F219" s="14"/>
      <c r="G219" s="11" t="s">
        <v>20</v>
      </c>
      <c r="L219" s="28" t="s">
        <v>736</v>
      </c>
      <c r="P219" t="s">
        <v>90</v>
      </c>
      <c r="Q219" t="s">
        <v>760</v>
      </c>
    </row>
    <row r="220" spans="1:17" ht="15.75" customHeight="1">
      <c r="A220" s="29" t="s">
        <v>761</v>
      </c>
      <c r="B220" s="11" t="s">
        <v>733</v>
      </c>
      <c r="C220" s="12" t="s">
        <v>762</v>
      </c>
      <c r="E220" s="14" t="s">
        <v>735</v>
      </c>
      <c r="F220" s="14"/>
      <c r="G220" s="11" t="s">
        <v>20</v>
      </c>
      <c r="L220" s="28" t="s">
        <v>736</v>
      </c>
      <c r="P220" t="s">
        <v>763</v>
      </c>
      <c r="Q220" t="s">
        <v>764</v>
      </c>
    </row>
    <row r="221" spans="1:17" ht="15.75" customHeight="1">
      <c r="A221" s="29" t="s">
        <v>765</v>
      </c>
      <c r="B221" s="11" t="s">
        <v>733</v>
      </c>
      <c r="C221" s="12" t="s">
        <v>766</v>
      </c>
      <c r="E221" s="14" t="s">
        <v>735</v>
      </c>
      <c r="F221" s="14"/>
      <c r="G221" s="11" t="s">
        <v>20</v>
      </c>
      <c r="L221" s="28" t="s">
        <v>736</v>
      </c>
      <c r="P221" t="s">
        <v>125</v>
      </c>
      <c r="Q221" t="s">
        <v>767</v>
      </c>
    </row>
    <row r="222" spans="1:17" ht="15.75" customHeight="1">
      <c r="A222" s="29" t="s">
        <v>768</v>
      </c>
      <c r="B222" s="11" t="s">
        <v>733</v>
      </c>
      <c r="C222" s="12" t="s">
        <v>769</v>
      </c>
      <c r="E222" s="14" t="s">
        <v>735</v>
      </c>
      <c r="F222" s="14"/>
      <c r="G222" s="11" t="s">
        <v>20</v>
      </c>
      <c r="L222" s="28" t="s">
        <v>736</v>
      </c>
      <c r="P222" t="s">
        <v>55</v>
      </c>
      <c r="Q222" t="s">
        <v>770</v>
      </c>
    </row>
    <row r="223" spans="1:17" ht="15.75" customHeight="1">
      <c r="A223" s="29" t="s">
        <v>771</v>
      </c>
      <c r="B223" s="11" t="s">
        <v>733</v>
      </c>
      <c r="C223" s="12" t="s">
        <v>772</v>
      </c>
      <c r="E223" s="14" t="s">
        <v>735</v>
      </c>
      <c r="F223" s="14"/>
      <c r="G223" s="11" t="s">
        <v>20</v>
      </c>
      <c r="L223" s="28" t="s">
        <v>736</v>
      </c>
      <c r="P223" t="s">
        <v>741</v>
      </c>
      <c r="Q223" t="s">
        <v>773</v>
      </c>
    </row>
    <row r="224" spans="1:17" ht="15.75" customHeight="1">
      <c r="A224" s="29" t="s">
        <v>774</v>
      </c>
      <c r="B224" s="11" t="s">
        <v>733</v>
      </c>
      <c r="C224" s="12" t="s">
        <v>775</v>
      </c>
      <c r="E224" s="14" t="s">
        <v>735</v>
      </c>
      <c r="F224" s="14"/>
      <c r="G224" s="11" t="s">
        <v>20</v>
      </c>
      <c r="L224" s="28" t="s">
        <v>736</v>
      </c>
      <c r="P224" t="s">
        <v>90</v>
      </c>
      <c r="Q224" t="s">
        <v>776</v>
      </c>
    </row>
    <row r="225" spans="1:17" ht="15.75" customHeight="1">
      <c r="A225" s="29" t="s">
        <v>777</v>
      </c>
      <c r="B225" s="11" t="s">
        <v>733</v>
      </c>
      <c r="C225" s="12" t="s">
        <v>778</v>
      </c>
      <c r="E225" s="14" t="s">
        <v>735</v>
      </c>
      <c r="F225" s="14"/>
      <c r="G225" s="11" t="s">
        <v>20</v>
      </c>
      <c r="L225" s="28" t="s">
        <v>736</v>
      </c>
      <c r="P225" t="s">
        <v>23</v>
      </c>
      <c r="Q225" t="s">
        <v>779</v>
      </c>
    </row>
    <row r="226" spans="1:17" ht="15.75" customHeight="1">
      <c r="A226" s="29" t="s">
        <v>780</v>
      </c>
      <c r="B226" s="11" t="s">
        <v>733</v>
      </c>
      <c r="C226" s="12" t="s">
        <v>781</v>
      </c>
      <c r="E226" s="14" t="s">
        <v>735</v>
      </c>
      <c r="F226" s="14"/>
      <c r="G226" s="11" t="s">
        <v>20</v>
      </c>
      <c r="L226" s="28" t="s">
        <v>736</v>
      </c>
      <c r="P226" t="s">
        <v>741</v>
      </c>
      <c r="Q226" t="s">
        <v>782</v>
      </c>
    </row>
    <row r="227" spans="1:17" ht="15.75" customHeight="1">
      <c r="A227" s="29" t="s">
        <v>783</v>
      </c>
      <c r="B227" s="11" t="s">
        <v>733</v>
      </c>
      <c r="C227" s="12" t="s">
        <v>784</v>
      </c>
      <c r="E227" s="14" t="s">
        <v>735</v>
      </c>
      <c r="F227" s="14"/>
      <c r="G227" s="11" t="s">
        <v>20</v>
      </c>
      <c r="L227" s="28" t="s">
        <v>736</v>
      </c>
      <c r="P227" t="s">
        <v>90</v>
      </c>
      <c r="Q227" t="s">
        <v>785</v>
      </c>
    </row>
    <row r="228" spans="1:17" ht="15.75" customHeight="1">
      <c r="A228" s="29" t="s">
        <v>786</v>
      </c>
      <c r="B228" s="11" t="s">
        <v>733</v>
      </c>
      <c r="C228" s="12" t="s">
        <v>787</v>
      </c>
      <c r="E228" s="14" t="s">
        <v>735</v>
      </c>
      <c r="F228" s="14"/>
      <c r="G228" s="11" t="s">
        <v>20</v>
      </c>
      <c r="L228" s="28" t="s">
        <v>736</v>
      </c>
      <c r="P228" t="s">
        <v>737</v>
      </c>
      <c r="Q228" t="s">
        <v>788</v>
      </c>
    </row>
    <row r="229" spans="1:17" ht="15.75" customHeight="1">
      <c r="A229" s="29" t="s">
        <v>789</v>
      </c>
      <c r="B229" s="11" t="s">
        <v>733</v>
      </c>
      <c r="C229" s="12" t="s">
        <v>790</v>
      </c>
      <c r="E229" s="14" t="s">
        <v>735</v>
      </c>
      <c r="F229" s="14"/>
      <c r="G229" s="11" t="s">
        <v>20</v>
      </c>
      <c r="L229" s="28" t="s">
        <v>736</v>
      </c>
      <c r="P229" t="s">
        <v>125</v>
      </c>
      <c r="Q229" t="s">
        <v>791</v>
      </c>
    </row>
    <row r="230" spans="1:17" ht="15.75" customHeight="1">
      <c r="A230" s="29" t="s">
        <v>792</v>
      </c>
      <c r="B230" s="11" t="s">
        <v>733</v>
      </c>
      <c r="C230" s="12" t="s">
        <v>793</v>
      </c>
      <c r="E230" s="14" t="s">
        <v>735</v>
      </c>
      <c r="F230" s="14"/>
      <c r="G230" s="11" t="s">
        <v>20</v>
      </c>
      <c r="L230" s="28" t="s">
        <v>736</v>
      </c>
      <c r="P230" t="s">
        <v>160</v>
      </c>
      <c r="Q230" t="s">
        <v>794</v>
      </c>
    </row>
    <row r="231" spans="1:17" ht="15.75" customHeight="1">
      <c r="A231" s="29" t="s">
        <v>795</v>
      </c>
      <c r="B231" s="11" t="s">
        <v>733</v>
      </c>
      <c r="C231" s="12" t="s">
        <v>796</v>
      </c>
      <c r="E231" s="14" t="s">
        <v>735</v>
      </c>
      <c r="F231" s="14"/>
      <c r="G231" s="11" t="s">
        <v>20</v>
      </c>
      <c r="L231" s="28" t="s">
        <v>736</v>
      </c>
      <c r="P231" t="s">
        <v>160</v>
      </c>
      <c r="Q231" t="s">
        <v>797</v>
      </c>
    </row>
    <row r="232" spans="1:17" ht="15.75" customHeight="1">
      <c r="A232" s="29" t="s">
        <v>798</v>
      </c>
      <c r="B232" s="11" t="s">
        <v>733</v>
      </c>
      <c r="C232" s="12" t="s">
        <v>799</v>
      </c>
      <c r="E232" s="14" t="s">
        <v>735</v>
      </c>
      <c r="F232" s="14"/>
      <c r="G232" s="11" t="s">
        <v>20</v>
      </c>
      <c r="L232" s="28" t="s">
        <v>736</v>
      </c>
      <c r="P232" t="s">
        <v>737</v>
      </c>
      <c r="Q232" t="s">
        <v>800</v>
      </c>
    </row>
    <row r="233" spans="1:17" ht="15.75" customHeight="1">
      <c r="A233" s="29" t="s">
        <v>801</v>
      </c>
      <c r="B233" s="11" t="s">
        <v>733</v>
      </c>
      <c r="C233" s="12" t="s">
        <v>802</v>
      </c>
      <c r="E233" s="14" t="s">
        <v>735</v>
      </c>
      <c r="F233" s="14"/>
      <c r="G233" s="11" t="s">
        <v>20</v>
      </c>
      <c r="L233" s="28" t="s">
        <v>736</v>
      </c>
      <c r="P233" t="s">
        <v>90</v>
      </c>
      <c r="Q233" t="s">
        <v>803</v>
      </c>
    </row>
    <row r="234" spans="1:17" ht="15.75" customHeight="1">
      <c r="A234" s="29" t="s">
        <v>804</v>
      </c>
      <c r="B234" s="11" t="s">
        <v>733</v>
      </c>
      <c r="C234" s="12" t="s">
        <v>805</v>
      </c>
      <c r="E234" s="14" t="s">
        <v>735</v>
      </c>
      <c r="F234" s="14"/>
      <c r="G234" s="11" t="s">
        <v>20</v>
      </c>
      <c r="L234" s="28" t="s">
        <v>736</v>
      </c>
      <c r="P234" t="s">
        <v>274</v>
      </c>
      <c r="Q234" t="s">
        <v>806</v>
      </c>
    </row>
    <row r="235" spans="1:17" ht="15.75" customHeight="1">
      <c r="A235" s="29" t="s">
        <v>807</v>
      </c>
      <c r="B235" s="11" t="s">
        <v>733</v>
      </c>
      <c r="C235" s="12" t="s">
        <v>808</v>
      </c>
      <c r="E235" s="14" t="s">
        <v>735</v>
      </c>
      <c r="F235" s="14"/>
      <c r="G235" s="11" t="s">
        <v>20</v>
      </c>
      <c r="L235" s="28" t="s">
        <v>736</v>
      </c>
      <c r="P235" t="s">
        <v>23</v>
      </c>
      <c r="Q235" t="s">
        <v>809</v>
      </c>
    </row>
    <row r="236" spans="1:17" ht="15.75" customHeight="1">
      <c r="A236" s="29" t="s">
        <v>810</v>
      </c>
      <c r="B236" s="11" t="s">
        <v>733</v>
      </c>
      <c r="C236" s="13" t="s">
        <v>811</v>
      </c>
      <c r="D236" s="10"/>
      <c r="E236" s="15" t="s">
        <v>735</v>
      </c>
      <c r="F236" s="15"/>
      <c r="G236" s="11" t="s">
        <v>20</v>
      </c>
      <c r="H236" t="s">
        <v>812</v>
      </c>
      <c r="L236" s="28" t="s">
        <v>736</v>
      </c>
      <c r="P236" t="s">
        <v>763</v>
      </c>
      <c r="Q236" t="s">
        <v>813</v>
      </c>
    </row>
    <row r="237" spans="1:17" ht="15.75" customHeight="1">
      <c r="A237" s="29" t="s">
        <v>814</v>
      </c>
      <c r="B237" s="11" t="s">
        <v>733</v>
      </c>
      <c r="C237" s="7" t="s">
        <v>638</v>
      </c>
      <c r="E237" s="15" t="s">
        <v>733</v>
      </c>
      <c r="F237" s="10"/>
      <c r="G237" s="10" t="s">
        <v>7</v>
      </c>
      <c r="H237" s="11" t="s">
        <v>815</v>
      </c>
      <c r="L237" s="28" t="s">
        <v>736</v>
      </c>
    </row>
    <row r="238" spans="1:17" ht="15.75" customHeight="1">
      <c r="A238" s="29" t="s">
        <v>816</v>
      </c>
      <c r="B238" s="11" t="s">
        <v>733</v>
      </c>
      <c r="C238" s="12" t="s">
        <v>642</v>
      </c>
      <c r="E238" s="15" t="s">
        <v>733</v>
      </c>
      <c r="F238" s="14"/>
      <c r="G238" s="11" t="s">
        <v>7</v>
      </c>
      <c r="H238" s="11" t="s">
        <v>817</v>
      </c>
      <c r="L238" s="28" t="s">
        <v>736</v>
      </c>
    </row>
    <row r="239" spans="1:17" ht="15.75" customHeight="1">
      <c r="A239" s="29" t="s">
        <v>818</v>
      </c>
      <c r="B239" s="11" t="s">
        <v>733</v>
      </c>
      <c r="C239" s="12" t="s">
        <v>819</v>
      </c>
      <c r="E239" s="14" t="s">
        <v>735</v>
      </c>
      <c r="F239" s="14"/>
      <c r="G239" s="11" t="s">
        <v>20</v>
      </c>
      <c r="L239" s="28" t="s">
        <v>736</v>
      </c>
      <c r="P239" t="s">
        <v>737</v>
      </c>
      <c r="Q239" t="s">
        <v>820</v>
      </c>
    </row>
    <row r="240" spans="1:17" ht="15.75" customHeight="1">
      <c r="A240" s="29" t="s">
        <v>821</v>
      </c>
      <c r="B240" s="11" t="s">
        <v>733</v>
      </c>
      <c r="C240" s="13" t="s">
        <v>822</v>
      </c>
      <c r="E240" s="14" t="s">
        <v>733</v>
      </c>
      <c r="F240" s="14"/>
      <c r="G240" s="11" t="s">
        <v>20</v>
      </c>
      <c r="L240" s="28" t="s">
        <v>736</v>
      </c>
    </row>
    <row r="241" spans="1:31" ht="15.75" customHeight="1">
      <c r="A241" s="29" t="s">
        <v>823</v>
      </c>
      <c r="B241" s="11" t="s">
        <v>733</v>
      </c>
      <c r="C241" s="12" t="s">
        <v>824</v>
      </c>
      <c r="E241" s="14" t="s">
        <v>735</v>
      </c>
      <c r="F241" s="14"/>
      <c r="G241" s="11" t="s">
        <v>20</v>
      </c>
      <c r="L241" s="28" t="s">
        <v>736</v>
      </c>
      <c r="P241" t="s">
        <v>737</v>
      </c>
      <c r="Q241" t="s">
        <v>825</v>
      </c>
    </row>
    <row r="242" spans="1:31" ht="15.75" customHeight="1">
      <c r="A242" s="29" t="s">
        <v>826</v>
      </c>
      <c r="B242" s="11" t="s">
        <v>733</v>
      </c>
      <c r="C242" s="12" t="s">
        <v>827</v>
      </c>
      <c r="E242" s="14" t="s">
        <v>735</v>
      </c>
      <c r="F242" s="14"/>
      <c r="G242" s="11" t="s">
        <v>20</v>
      </c>
      <c r="L242" s="28" t="s">
        <v>736</v>
      </c>
      <c r="P242" t="s">
        <v>274</v>
      </c>
      <c r="Q242" t="s">
        <v>828</v>
      </c>
    </row>
    <row r="243" spans="1:31" ht="15.75" customHeight="1">
      <c r="A243" s="29" t="s">
        <v>829</v>
      </c>
      <c r="B243" s="11" t="s">
        <v>242</v>
      </c>
      <c r="C243" s="7" t="s">
        <v>830</v>
      </c>
      <c r="E243" s="10" t="s">
        <v>244</v>
      </c>
      <c r="F243" s="10"/>
      <c r="G243" s="10" t="s">
        <v>831</v>
      </c>
      <c r="H243" t="s">
        <v>832</v>
      </c>
    </row>
    <row r="244" spans="1:31" ht="15.75" customHeight="1">
      <c r="A244" s="29" t="s">
        <v>833</v>
      </c>
      <c r="B244" s="11" t="s">
        <v>242</v>
      </c>
      <c r="C244" s="12" t="s">
        <v>834</v>
      </c>
      <c r="E244" s="10" t="s">
        <v>244</v>
      </c>
      <c r="F244" s="10"/>
      <c r="G244" s="11" t="s">
        <v>831</v>
      </c>
      <c r="H244" t="s">
        <v>835</v>
      </c>
    </row>
    <row r="245" spans="1:31" ht="15.75" customHeight="1">
      <c r="A245" t="s">
        <v>836</v>
      </c>
      <c r="B245" t="s">
        <v>242</v>
      </c>
      <c r="C245" t="s">
        <v>837</v>
      </c>
      <c r="G245" t="s">
        <v>7</v>
      </c>
      <c r="H245" t="s">
        <v>838</v>
      </c>
      <c r="AE245" s="1"/>
    </row>
    <row r="246" spans="1:31" ht="15.75" customHeight="1">
      <c r="A246" t="s">
        <v>839</v>
      </c>
      <c r="B246" t="s">
        <v>840</v>
      </c>
      <c r="C246" t="s">
        <v>841</v>
      </c>
      <c r="G246" t="s">
        <v>20</v>
      </c>
      <c r="L246" s="28" t="s">
        <v>842</v>
      </c>
      <c r="AE246" s="3"/>
    </row>
    <row r="247" spans="1:31" ht="15.75" customHeight="1">
      <c r="A247" t="s">
        <v>843</v>
      </c>
      <c r="B247" t="s">
        <v>840</v>
      </c>
      <c r="C247" t="s">
        <v>844</v>
      </c>
      <c r="G247" t="s">
        <v>20</v>
      </c>
      <c r="L247" s="28" t="s">
        <v>842</v>
      </c>
      <c r="AE247" s="3"/>
    </row>
    <row r="248" spans="1:31" ht="15.75" customHeight="1">
      <c r="A248" t="s">
        <v>845</v>
      </c>
      <c r="B248" t="s">
        <v>840</v>
      </c>
      <c r="C248" t="s">
        <v>846</v>
      </c>
      <c r="G248" t="s">
        <v>20</v>
      </c>
      <c r="L248" s="28" t="s">
        <v>842</v>
      </c>
    </row>
    <row r="249" spans="1:31" ht="15.75" customHeight="1">
      <c r="A249" t="s">
        <v>847</v>
      </c>
      <c r="B249" t="s">
        <v>840</v>
      </c>
      <c r="C249" t="s">
        <v>848</v>
      </c>
      <c r="G249" t="s">
        <v>20</v>
      </c>
      <c r="L249" s="28" t="s">
        <v>842</v>
      </c>
    </row>
    <row r="250" spans="1:31" ht="15.75" customHeight="1">
      <c r="A250" t="s">
        <v>849</v>
      </c>
      <c r="B250" t="s">
        <v>840</v>
      </c>
      <c r="C250" t="s">
        <v>850</v>
      </c>
      <c r="G250" t="s">
        <v>20</v>
      </c>
      <c r="L250" s="28" t="s">
        <v>842</v>
      </c>
      <c r="U250" s="1"/>
      <c r="X250" s="2"/>
    </row>
    <row r="251" spans="1:31" ht="15.75" customHeight="1">
      <c r="A251" t="s">
        <v>851</v>
      </c>
      <c r="B251" t="s">
        <v>840</v>
      </c>
      <c r="C251" t="s">
        <v>852</v>
      </c>
      <c r="G251" t="s">
        <v>20</v>
      </c>
      <c r="L251" s="28" t="s">
        <v>842</v>
      </c>
    </row>
    <row r="252" spans="1:31" ht="15.75" customHeight="1">
      <c r="A252" t="s">
        <v>853</v>
      </c>
      <c r="B252" t="s">
        <v>840</v>
      </c>
      <c r="C252" t="s">
        <v>854</v>
      </c>
      <c r="G252" t="s">
        <v>20</v>
      </c>
      <c r="L252" s="28" t="s">
        <v>842</v>
      </c>
    </row>
    <row r="253" spans="1:31" ht="15.75" customHeight="1">
      <c r="A253" t="s">
        <v>855</v>
      </c>
      <c r="B253" t="s">
        <v>840</v>
      </c>
      <c r="C253" t="s">
        <v>856</v>
      </c>
      <c r="G253" t="s">
        <v>20</v>
      </c>
      <c r="L253" s="28" t="s">
        <v>842</v>
      </c>
    </row>
    <row r="254" spans="1:31" ht="15.75" customHeight="1">
      <c r="A254" t="s">
        <v>857</v>
      </c>
      <c r="B254" t="s">
        <v>840</v>
      </c>
      <c r="C254" t="s">
        <v>858</v>
      </c>
      <c r="G254" t="s">
        <v>20</v>
      </c>
      <c r="L254" s="28" t="s">
        <v>842</v>
      </c>
    </row>
    <row r="255" spans="1:31" ht="15.75" customHeight="1">
      <c r="A255" t="s">
        <v>859</v>
      </c>
      <c r="B255" t="s">
        <v>840</v>
      </c>
      <c r="C255" t="s">
        <v>860</v>
      </c>
      <c r="G255" t="s">
        <v>20</v>
      </c>
      <c r="L255" s="28" t="s">
        <v>842</v>
      </c>
      <c r="U255" s="2"/>
    </row>
    <row r="256" spans="1:31" ht="15.75" customHeight="1">
      <c r="A256" t="s">
        <v>861</v>
      </c>
      <c r="B256" t="s">
        <v>840</v>
      </c>
      <c r="C256" t="s">
        <v>862</v>
      </c>
      <c r="G256" t="s">
        <v>20</v>
      </c>
      <c r="L256" s="28" t="s">
        <v>842</v>
      </c>
      <c r="U256" s="2"/>
    </row>
    <row r="257" spans="1:31" ht="15.75" customHeight="1">
      <c r="A257" t="s">
        <v>863</v>
      </c>
      <c r="B257" t="s">
        <v>242</v>
      </c>
      <c r="C257" t="s">
        <v>864</v>
      </c>
      <c r="G257" t="s">
        <v>7</v>
      </c>
      <c r="H257" t="s">
        <v>833</v>
      </c>
      <c r="U257" s="4"/>
    </row>
    <row r="258" spans="1:31" ht="15.75" customHeight="1">
      <c r="A258" t="s">
        <v>865</v>
      </c>
      <c r="B258" t="s">
        <v>363</v>
      </c>
      <c r="C258" t="s">
        <v>866</v>
      </c>
      <c r="E258" t="s">
        <v>419</v>
      </c>
      <c r="G258" t="s">
        <v>7</v>
      </c>
      <c r="H258" t="s">
        <v>867</v>
      </c>
      <c r="J258" t="s">
        <v>868</v>
      </c>
      <c r="U258" s="1"/>
    </row>
    <row r="259" spans="1:31" ht="15.75" customHeight="1">
      <c r="A259" t="s">
        <v>869</v>
      </c>
      <c r="B259" t="s">
        <v>363</v>
      </c>
      <c r="C259" t="s">
        <v>870</v>
      </c>
      <c r="E259" t="s">
        <v>419</v>
      </c>
      <c r="G259" t="s">
        <v>7</v>
      </c>
      <c r="H259" t="s">
        <v>871</v>
      </c>
      <c r="J259" t="s">
        <v>868</v>
      </c>
      <c r="U259" s="1"/>
    </row>
    <row r="260" spans="1:31" ht="15.75" customHeight="1">
      <c r="A260" t="s">
        <v>872</v>
      </c>
      <c r="B260" t="s">
        <v>363</v>
      </c>
      <c r="C260" t="s">
        <v>873</v>
      </c>
      <c r="E260" t="s">
        <v>419</v>
      </c>
      <c r="G260" t="s">
        <v>7</v>
      </c>
      <c r="H260" t="s">
        <v>874</v>
      </c>
      <c r="J260" t="s">
        <v>868</v>
      </c>
      <c r="AE260" s="1"/>
    </row>
    <row r="261" spans="1:31" ht="15.75" customHeight="1">
      <c r="A261" t="s">
        <v>875</v>
      </c>
      <c r="B261" t="s">
        <v>363</v>
      </c>
      <c r="C261" t="s">
        <v>876</v>
      </c>
      <c r="E261" t="s">
        <v>419</v>
      </c>
      <c r="G261" t="s">
        <v>7</v>
      </c>
      <c r="H261" t="s">
        <v>877</v>
      </c>
      <c r="J261" t="s">
        <v>868</v>
      </c>
      <c r="AE261" s="3"/>
    </row>
    <row r="262" spans="1:31" ht="15.75" customHeight="1">
      <c r="A262" t="s">
        <v>878</v>
      </c>
      <c r="B262" t="s">
        <v>363</v>
      </c>
      <c r="C262" t="s">
        <v>879</v>
      </c>
      <c r="E262" t="s">
        <v>419</v>
      </c>
      <c r="G262" t="s">
        <v>7</v>
      </c>
      <c r="H262" t="s">
        <v>880</v>
      </c>
      <c r="J262" t="s">
        <v>881</v>
      </c>
      <c r="AE262" s="3"/>
    </row>
    <row r="263" spans="1:31" ht="15.75" customHeight="1">
      <c r="A263" t="s">
        <v>882</v>
      </c>
      <c r="B263" t="s">
        <v>363</v>
      </c>
      <c r="C263" t="s">
        <v>883</v>
      </c>
      <c r="E263" t="s">
        <v>419</v>
      </c>
      <c r="G263" t="s">
        <v>7</v>
      </c>
      <c r="H263" t="s">
        <v>884</v>
      </c>
      <c r="J263" t="s">
        <v>881</v>
      </c>
    </row>
    <row r="264" spans="1:31" ht="15.75" customHeight="1">
      <c r="A264" t="s">
        <v>885</v>
      </c>
      <c r="B264" t="s">
        <v>363</v>
      </c>
      <c r="C264" t="s">
        <v>886</v>
      </c>
      <c r="E264" t="s">
        <v>419</v>
      </c>
      <c r="G264" t="s">
        <v>7</v>
      </c>
      <c r="H264" t="s">
        <v>887</v>
      </c>
      <c r="J264" t="s">
        <v>881</v>
      </c>
    </row>
    <row r="265" spans="1:31" ht="15.75" customHeight="1">
      <c r="A265" t="s">
        <v>888</v>
      </c>
      <c r="B265" t="s">
        <v>363</v>
      </c>
      <c r="C265" t="s">
        <v>889</v>
      </c>
      <c r="E265" t="s">
        <v>419</v>
      </c>
      <c r="G265" t="s">
        <v>7</v>
      </c>
      <c r="H265" t="s">
        <v>890</v>
      </c>
      <c r="J265" t="s">
        <v>881</v>
      </c>
    </row>
    <row r="266" spans="1:31" ht="15.75" customHeight="1">
      <c r="A266" s="12" t="s">
        <v>891</v>
      </c>
      <c r="B266" s="11" t="s">
        <v>242</v>
      </c>
      <c r="C266" s="12" t="s">
        <v>395</v>
      </c>
      <c r="D266" s="11" t="s">
        <v>892</v>
      </c>
      <c r="G266" s="11" t="s">
        <v>7</v>
      </c>
      <c r="H266" s="11" t="s">
        <v>893</v>
      </c>
      <c r="J266" t="s">
        <v>894</v>
      </c>
    </row>
    <row r="267" spans="1:31" ht="15.75" customHeight="1">
      <c r="A267" t="s">
        <v>895</v>
      </c>
      <c r="B267" t="s">
        <v>242</v>
      </c>
      <c r="C267" t="s">
        <v>896</v>
      </c>
      <c r="E267" t="s">
        <v>897</v>
      </c>
      <c r="G267" t="s">
        <v>490</v>
      </c>
      <c r="H267" t="s">
        <v>898</v>
      </c>
    </row>
    <row r="268" spans="1:31" ht="15.75" customHeight="1">
      <c r="A268" s="11" t="s">
        <v>899</v>
      </c>
      <c r="B268" s="11" t="s">
        <v>342</v>
      </c>
      <c r="C268" s="13" t="s">
        <v>900</v>
      </c>
      <c r="D268" s="10"/>
      <c r="F268" s="11" t="s">
        <v>901</v>
      </c>
      <c r="G268" s="11" t="s">
        <v>20</v>
      </c>
    </row>
    <row r="269" spans="1:31" ht="15.75" customHeight="1">
      <c r="A269" s="11" t="s">
        <v>902</v>
      </c>
      <c r="B269" s="11" t="s">
        <v>342</v>
      </c>
      <c r="C269" s="12" t="s">
        <v>903</v>
      </c>
      <c r="G269" s="11" t="s">
        <v>8</v>
      </c>
      <c r="I269" t="s">
        <v>904</v>
      </c>
    </row>
    <row r="270" spans="1:31" ht="15.75" customHeight="1">
      <c r="A270" s="29" t="s">
        <v>905</v>
      </c>
      <c r="B270" s="11" t="s">
        <v>17</v>
      </c>
      <c r="C270" s="12" t="s">
        <v>906</v>
      </c>
      <c r="F270" t="s">
        <v>19</v>
      </c>
      <c r="G270" s="11" t="s">
        <v>20</v>
      </c>
      <c r="K270">
        <v>3</v>
      </c>
      <c r="L270" s="28" t="s">
        <v>22</v>
      </c>
      <c r="P270" t="s">
        <v>23</v>
      </c>
      <c r="Q270" t="s">
        <v>907</v>
      </c>
      <c r="X270" s="2"/>
    </row>
    <row r="271" spans="1:31" ht="15.75" customHeight="1">
      <c r="A271" s="29" t="s">
        <v>908</v>
      </c>
      <c r="B271" s="11" t="s">
        <v>17</v>
      </c>
      <c r="C271" s="12" t="s">
        <v>909</v>
      </c>
      <c r="F271" t="s">
        <v>19</v>
      </c>
      <c r="G271" s="11" t="s">
        <v>20</v>
      </c>
      <c r="K271">
        <v>3</v>
      </c>
      <c r="L271" s="28" t="s">
        <v>22</v>
      </c>
      <c r="P271" t="s">
        <v>23</v>
      </c>
      <c r="Q271" t="s">
        <v>910</v>
      </c>
    </row>
    <row r="272" spans="1:31" ht="15.75" customHeight="1">
      <c r="A272" s="29" t="s">
        <v>911</v>
      </c>
      <c r="B272" s="11" t="s">
        <v>17</v>
      </c>
      <c r="C272" s="12" t="s">
        <v>912</v>
      </c>
      <c r="F272" t="s">
        <v>19</v>
      </c>
      <c r="G272" s="11" t="s">
        <v>20</v>
      </c>
      <c r="K272">
        <v>4</v>
      </c>
      <c r="L272" s="28" t="s">
        <v>22</v>
      </c>
      <c r="P272" t="s">
        <v>23</v>
      </c>
      <c r="Q272" t="s">
        <v>913</v>
      </c>
    </row>
    <row r="273" spans="1:17" ht="15.75" customHeight="1">
      <c r="A273" s="29" t="s">
        <v>914</v>
      </c>
      <c r="B273" s="11" t="s">
        <v>17</v>
      </c>
      <c r="C273" s="12" t="s">
        <v>915</v>
      </c>
      <c r="F273" t="s">
        <v>19</v>
      </c>
      <c r="G273" s="11" t="s">
        <v>20</v>
      </c>
      <c r="K273">
        <v>4</v>
      </c>
      <c r="L273" s="28" t="s">
        <v>22</v>
      </c>
      <c r="P273" t="s">
        <v>23</v>
      </c>
      <c r="Q273" t="s">
        <v>916</v>
      </c>
    </row>
    <row r="274" spans="1:17" ht="15.75" customHeight="1">
      <c r="A274" s="29" t="s">
        <v>917</v>
      </c>
      <c r="B274" s="11" t="s">
        <v>17</v>
      </c>
      <c r="C274" s="12" t="s">
        <v>918</v>
      </c>
      <c r="F274" t="s">
        <v>19</v>
      </c>
      <c r="G274" s="11" t="s">
        <v>20</v>
      </c>
      <c r="K274">
        <v>6</v>
      </c>
      <c r="L274" s="28" t="s">
        <v>22</v>
      </c>
      <c r="P274" t="s">
        <v>23</v>
      </c>
      <c r="Q274" t="s">
        <v>919</v>
      </c>
    </row>
    <row r="275" spans="1:17" ht="15.75" customHeight="1">
      <c r="A275" s="29" t="s">
        <v>920</v>
      </c>
      <c r="B275" s="11" t="s">
        <v>17</v>
      </c>
      <c r="C275" s="12" t="s">
        <v>921</v>
      </c>
      <c r="F275" t="s">
        <v>19</v>
      </c>
      <c r="G275" s="11" t="s">
        <v>20</v>
      </c>
      <c r="K275">
        <v>6</v>
      </c>
      <c r="L275" s="28" t="s">
        <v>22</v>
      </c>
      <c r="P275" t="s">
        <v>23</v>
      </c>
      <c r="Q275" t="s">
        <v>922</v>
      </c>
    </row>
    <row r="276" spans="1:17" ht="15.75" customHeight="1">
      <c r="A276" s="29" t="s">
        <v>923</v>
      </c>
      <c r="B276" s="11" t="s">
        <v>17</v>
      </c>
      <c r="C276" s="12" t="s">
        <v>924</v>
      </c>
      <c r="F276" t="s">
        <v>54</v>
      </c>
      <c r="G276" s="11" t="s">
        <v>20</v>
      </c>
      <c r="K276">
        <v>3</v>
      </c>
      <c r="L276" s="28" t="s">
        <v>22</v>
      </c>
      <c r="P276" t="s">
        <v>55</v>
      </c>
      <c r="Q276" t="s">
        <v>925</v>
      </c>
    </row>
    <row r="277" spans="1:17" ht="15.75" customHeight="1">
      <c r="A277" s="29" t="s">
        <v>926</v>
      </c>
      <c r="B277" s="11" t="s">
        <v>17</v>
      </c>
      <c r="C277" s="12" t="s">
        <v>927</v>
      </c>
      <c r="F277" t="s">
        <v>54</v>
      </c>
      <c r="G277" s="11" t="s">
        <v>20</v>
      </c>
      <c r="K277">
        <v>3</v>
      </c>
      <c r="L277" s="28" t="s">
        <v>22</v>
      </c>
      <c r="P277" t="s">
        <v>55</v>
      </c>
      <c r="Q277" t="s">
        <v>928</v>
      </c>
    </row>
    <row r="278" spans="1:17" ht="15.75" customHeight="1">
      <c r="A278" s="29" t="s">
        <v>929</v>
      </c>
      <c r="B278" s="11" t="s">
        <v>17</v>
      </c>
      <c r="C278" s="12" t="s">
        <v>930</v>
      </c>
      <c r="F278" t="s">
        <v>54</v>
      </c>
      <c r="G278" s="11" t="s">
        <v>20</v>
      </c>
      <c r="K278">
        <v>4</v>
      </c>
      <c r="L278" s="28" t="s">
        <v>22</v>
      </c>
      <c r="P278" t="s">
        <v>55</v>
      </c>
      <c r="Q278" t="s">
        <v>931</v>
      </c>
    </row>
    <row r="279" spans="1:17" ht="15.75" customHeight="1">
      <c r="A279" s="29" t="s">
        <v>932</v>
      </c>
      <c r="B279" s="11" t="s">
        <v>17</v>
      </c>
      <c r="C279" s="12" t="s">
        <v>933</v>
      </c>
      <c r="F279" t="s">
        <v>54</v>
      </c>
      <c r="G279" s="11" t="s">
        <v>20</v>
      </c>
      <c r="K279">
        <v>4</v>
      </c>
      <c r="L279" s="28" t="s">
        <v>22</v>
      </c>
      <c r="P279" t="s">
        <v>55</v>
      </c>
      <c r="Q279" t="s">
        <v>934</v>
      </c>
    </row>
    <row r="280" spans="1:17" ht="15.75" customHeight="1">
      <c r="A280" s="29" t="s">
        <v>935</v>
      </c>
      <c r="B280" s="11" t="s">
        <v>17</v>
      </c>
      <c r="C280" s="12" t="s">
        <v>936</v>
      </c>
      <c r="F280" t="s">
        <v>54</v>
      </c>
      <c r="G280" s="11" t="s">
        <v>20</v>
      </c>
      <c r="H280" s="29"/>
      <c r="I280" s="29"/>
      <c r="K280">
        <v>6</v>
      </c>
      <c r="L280" s="28" t="s">
        <v>22</v>
      </c>
      <c r="P280" t="s">
        <v>55</v>
      </c>
      <c r="Q280" t="s">
        <v>937</v>
      </c>
    </row>
    <row r="281" spans="1:17" ht="15.75" customHeight="1">
      <c r="A281" s="29" t="s">
        <v>938</v>
      </c>
      <c r="B281" s="11" t="s">
        <v>17</v>
      </c>
      <c r="C281" s="12" t="s">
        <v>939</v>
      </c>
      <c r="F281" t="s">
        <v>54</v>
      </c>
      <c r="G281" s="11" t="s">
        <v>20</v>
      </c>
      <c r="K281">
        <v>6</v>
      </c>
      <c r="L281" s="28" t="s">
        <v>22</v>
      </c>
      <c r="P281" t="s">
        <v>55</v>
      </c>
      <c r="Q281" t="s">
        <v>940</v>
      </c>
    </row>
    <row r="282" spans="1:17" ht="15.75" customHeight="1">
      <c r="A282" s="29" t="s">
        <v>941</v>
      </c>
      <c r="B282" s="11" t="s">
        <v>17</v>
      </c>
      <c r="C282" s="12" t="s">
        <v>942</v>
      </c>
      <c r="F282" t="s">
        <v>89</v>
      </c>
      <c r="G282" s="11" t="s">
        <v>20</v>
      </c>
      <c r="K282">
        <v>3</v>
      </c>
      <c r="L282" s="28" t="s">
        <v>22</v>
      </c>
      <c r="P282" t="s">
        <v>90</v>
      </c>
      <c r="Q282" t="s">
        <v>943</v>
      </c>
    </row>
    <row r="283" spans="1:17" ht="15.75" customHeight="1">
      <c r="A283" s="29" t="s">
        <v>944</v>
      </c>
      <c r="B283" s="11" t="s">
        <v>17</v>
      </c>
      <c r="C283" s="12" t="s">
        <v>945</v>
      </c>
      <c r="F283" t="s">
        <v>89</v>
      </c>
      <c r="G283" s="11" t="s">
        <v>20</v>
      </c>
      <c r="K283">
        <v>3</v>
      </c>
      <c r="L283" s="28" t="s">
        <v>22</v>
      </c>
      <c r="P283" t="s">
        <v>90</v>
      </c>
      <c r="Q283" t="s">
        <v>946</v>
      </c>
    </row>
    <row r="284" spans="1:17" ht="15.75" customHeight="1">
      <c r="A284" s="29" t="s">
        <v>947</v>
      </c>
      <c r="B284" s="11" t="s">
        <v>17</v>
      </c>
      <c r="C284" s="12" t="s">
        <v>948</v>
      </c>
      <c r="F284" t="s">
        <v>89</v>
      </c>
      <c r="G284" s="11" t="s">
        <v>20</v>
      </c>
      <c r="K284">
        <v>4</v>
      </c>
      <c r="L284" s="28" t="s">
        <v>22</v>
      </c>
      <c r="P284" t="s">
        <v>90</v>
      </c>
      <c r="Q284" t="s">
        <v>949</v>
      </c>
    </row>
    <row r="285" spans="1:17" ht="15.75" customHeight="1">
      <c r="A285" s="29" t="s">
        <v>950</v>
      </c>
      <c r="B285" s="11" t="s">
        <v>17</v>
      </c>
      <c r="C285" s="12" t="s">
        <v>951</v>
      </c>
      <c r="F285" t="s">
        <v>89</v>
      </c>
      <c r="G285" s="11" t="s">
        <v>20</v>
      </c>
      <c r="K285">
        <v>4</v>
      </c>
      <c r="L285" s="28" t="s">
        <v>22</v>
      </c>
      <c r="P285" t="s">
        <v>90</v>
      </c>
      <c r="Q285" t="s">
        <v>952</v>
      </c>
    </row>
    <row r="286" spans="1:17" ht="15.75" customHeight="1">
      <c r="A286" s="29" t="s">
        <v>953</v>
      </c>
      <c r="B286" s="11" t="s">
        <v>17</v>
      </c>
      <c r="C286" s="12" t="s">
        <v>954</v>
      </c>
      <c r="F286" t="s">
        <v>89</v>
      </c>
      <c r="G286" s="11" t="s">
        <v>20</v>
      </c>
      <c r="K286">
        <v>6</v>
      </c>
      <c r="L286" s="28" t="s">
        <v>22</v>
      </c>
      <c r="P286" t="s">
        <v>90</v>
      </c>
      <c r="Q286" t="s">
        <v>955</v>
      </c>
    </row>
    <row r="287" spans="1:17" ht="15.75" customHeight="1">
      <c r="A287" s="29" t="s">
        <v>956</v>
      </c>
      <c r="B287" s="11" t="s">
        <v>17</v>
      </c>
      <c r="C287" s="12" t="s">
        <v>957</v>
      </c>
      <c r="F287" t="s">
        <v>89</v>
      </c>
      <c r="G287" s="11" t="s">
        <v>20</v>
      </c>
      <c r="K287">
        <v>6</v>
      </c>
      <c r="L287" s="28" t="s">
        <v>22</v>
      </c>
      <c r="P287" t="s">
        <v>90</v>
      </c>
      <c r="Q287" t="s">
        <v>958</v>
      </c>
    </row>
    <row r="288" spans="1:17" ht="15.75" customHeight="1">
      <c r="A288" s="29" t="s">
        <v>959</v>
      </c>
      <c r="B288" s="11" t="s">
        <v>17</v>
      </c>
      <c r="C288" s="12" t="s">
        <v>960</v>
      </c>
      <c r="F288" t="s">
        <v>124</v>
      </c>
      <c r="G288" s="11" t="s">
        <v>20</v>
      </c>
      <c r="K288">
        <v>3</v>
      </c>
      <c r="L288" s="28" t="s">
        <v>22</v>
      </c>
      <c r="P288" t="s">
        <v>125</v>
      </c>
      <c r="Q288" t="s">
        <v>961</v>
      </c>
    </row>
    <row r="289" spans="1:22" ht="15.75" customHeight="1">
      <c r="A289" s="29" t="s">
        <v>962</v>
      </c>
      <c r="B289" s="11" t="s">
        <v>17</v>
      </c>
      <c r="C289" s="12" t="s">
        <v>963</v>
      </c>
      <c r="F289" t="s">
        <v>124</v>
      </c>
      <c r="G289" s="11" t="s">
        <v>20</v>
      </c>
      <c r="K289">
        <v>3</v>
      </c>
      <c r="L289" s="28" t="s">
        <v>22</v>
      </c>
      <c r="P289" t="s">
        <v>125</v>
      </c>
      <c r="Q289" t="s">
        <v>964</v>
      </c>
    </row>
    <row r="290" spans="1:22" ht="15.75" customHeight="1">
      <c r="A290" s="29" t="s">
        <v>965</v>
      </c>
      <c r="B290" s="11" t="s">
        <v>17</v>
      </c>
      <c r="C290" s="12" t="s">
        <v>966</v>
      </c>
      <c r="F290" t="s">
        <v>124</v>
      </c>
      <c r="G290" s="11" t="s">
        <v>20</v>
      </c>
      <c r="K290">
        <v>4</v>
      </c>
      <c r="L290" s="28" t="s">
        <v>22</v>
      </c>
      <c r="P290" t="s">
        <v>125</v>
      </c>
      <c r="Q290" t="s">
        <v>967</v>
      </c>
    </row>
    <row r="291" spans="1:22" ht="15.75" customHeight="1">
      <c r="A291" s="29" t="s">
        <v>968</v>
      </c>
      <c r="B291" s="11" t="s">
        <v>17</v>
      </c>
      <c r="C291" s="12" t="s">
        <v>969</v>
      </c>
      <c r="F291" t="s">
        <v>124</v>
      </c>
      <c r="G291" s="11" t="s">
        <v>20</v>
      </c>
      <c r="K291">
        <v>4</v>
      </c>
      <c r="L291" s="28" t="s">
        <v>22</v>
      </c>
      <c r="P291" t="s">
        <v>125</v>
      </c>
      <c r="Q291" t="s">
        <v>970</v>
      </c>
    </row>
    <row r="292" spans="1:22" ht="15.75" customHeight="1">
      <c r="A292" s="29" t="s">
        <v>971</v>
      </c>
      <c r="B292" s="11" t="s">
        <v>17</v>
      </c>
      <c r="C292" s="12" t="s">
        <v>972</v>
      </c>
      <c r="F292" t="s">
        <v>124</v>
      </c>
      <c r="G292" s="11" t="s">
        <v>20</v>
      </c>
      <c r="K292">
        <v>6</v>
      </c>
      <c r="L292" s="28" t="s">
        <v>22</v>
      </c>
      <c r="P292" t="s">
        <v>125</v>
      </c>
      <c r="Q292" t="s">
        <v>973</v>
      </c>
    </row>
    <row r="293" spans="1:22" ht="15.75" customHeight="1">
      <c r="A293" s="29" t="s">
        <v>974</v>
      </c>
      <c r="B293" s="11" t="s">
        <v>17</v>
      </c>
      <c r="C293" s="12" t="s">
        <v>975</v>
      </c>
      <c r="F293" t="s">
        <v>124</v>
      </c>
      <c r="G293" s="11" t="s">
        <v>20</v>
      </c>
      <c r="K293">
        <v>6</v>
      </c>
      <c r="L293" s="28" t="s">
        <v>22</v>
      </c>
      <c r="P293" t="s">
        <v>125</v>
      </c>
      <c r="Q293" t="s">
        <v>976</v>
      </c>
    </row>
    <row r="294" spans="1:22" ht="15.75" customHeight="1">
      <c r="A294" s="29" t="s">
        <v>977</v>
      </c>
      <c r="B294" s="11" t="s">
        <v>17</v>
      </c>
      <c r="C294" s="18" t="s">
        <v>978</v>
      </c>
      <c r="E294" s="14"/>
      <c r="F294" s="14" t="s">
        <v>979</v>
      </c>
      <c r="G294" s="11" t="s">
        <v>20</v>
      </c>
      <c r="K294">
        <v>2</v>
      </c>
      <c r="L294" s="28" t="s">
        <v>22</v>
      </c>
      <c r="P294" t="s">
        <v>278</v>
      </c>
      <c r="Q294" t="s">
        <v>980</v>
      </c>
      <c r="V294" s="5"/>
    </row>
    <row r="295" spans="1:22" ht="15.75" customHeight="1">
      <c r="A295" s="29" t="s">
        <v>981</v>
      </c>
      <c r="B295" s="11" t="s">
        <v>17</v>
      </c>
      <c r="C295" s="18" t="s">
        <v>982</v>
      </c>
      <c r="E295" s="14"/>
      <c r="F295" s="14" t="s">
        <v>979</v>
      </c>
      <c r="G295" s="11" t="s">
        <v>20</v>
      </c>
      <c r="K295">
        <v>3</v>
      </c>
      <c r="L295" s="28" t="s">
        <v>22</v>
      </c>
      <c r="P295" t="s">
        <v>125</v>
      </c>
      <c r="Q295" t="s">
        <v>983</v>
      </c>
      <c r="V295" s="5"/>
    </row>
    <row r="296" spans="1:22" ht="15.75" customHeight="1">
      <c r="A296" s="29" t="s">
        <v>984</v>
      </c>
      <c r="B296" s="11" t="s">
        <v>17</v>
      </c>
      <c r="C296" s="18" t="s">
        <v>985</v>
      </c>
      <c r="E296" s="14"/>
      <c r="F296" s="14" t="s">
        <v>979</v>
      </c>
      <c r="G296" s="11" t="s">
        <v>20</v>
      </c>
      <c r="K296">
        <v>3</v>
      </c>
      <c r="L296" s="28" t="s">
        <v>22</v>
      </c>
      <c r="P296" t="s">
        <v>23</v>
      </c>
      <c r="Q296" t="s">
        <v>986</v>
      </c>
      <c r="V296" s="5"/>
    </row>
    <row r="297" spans="1:22" ht="15.75" customHeight="1">
      <c r="A297" s="29" t="s">
        <v>987</v>
      </c>
      <c r="B297" s="11" t="s">
        <v>17</v>
      </c>
      <c r="C297" s="18" t="s">
        <v>988</v>
      </c>
      <c r="E297" s="14"/>
      <c r="F297" s="14" t="s">
        <v>979</v>
      </c>
      <c r="G297" s="11" t="s">
        <v>20</v>
      </c>
      <c r="K297">
        <v>3</v>
      </c>
      <c r="L297" s="28" t="s">
        <v>22</v>
      </c>
      <c r="P297" t="s">
        <v>55</v>
      </c>
      <c r="Q297" t="s">
        <v>989</v>
      </c>
      <c r="V297" s="5"/>
    </row>
    <row r="298" spans="1:22" ht="15.75" customHeight="1">
      <c r="A298" s="29" t="s">
        <v>990</v>
      </c>
      <c r="B298" s="11" t="s">
        <v>17</v>
      </c>
      <c r="C298" s="18" t="s">
        <v>991</v>
      </c>
      <c r="E298" s="14"/>
      <c r="F298" s="14" t="s">
        <v>979</v>
      </c>
      <c r="G298" s="11" t="s">
        <v>20</v>
      </c>
      <c r="K298">
        <v>3</v>
      </c>
      <c r="L298" s="28" t="s">
        <v>22</v>
      </c>
      <c r="P298" t="s">
        <v>55</v>
      </c>
      <c r="Q298" t="s">
        <v>992</v>
      </c>
    </row>
    <row r="299" spans="1:22" ht="15.75" customHeight="1">
      <c r="A299" s="29" t="s">
        <v>993</v>
      </c>
      <c r="B299" s="11" t="s">
        <v>17</v>
      </c>
      <c r="C299" s="18" t="s">
        <v>994</v>
      </c>
      <c r="E299" s="14"/>
      <c r="F299" s="14" t="s">
        <v>979</v>
      </c>
      <c r="G299" s="11" t="s">
        <v>20</v>
      </c>
      <c r="K299">
        <v>3</v>
      </c>
      <c r="L299" s="28" t="s">
        <v>22</v>
      </c>
      <c r="P299" t="s">
        <v>160</v>
      </c>
      <c r="Q299" t="s">
        <v>995</v>
      </c>
    </row>
    <row r="300" spans="1:22" ht="15.75" customHeight="1">
      <c r="A300" s="29" t="s">
        <v>996</v>
      </c>
      <c r="B300" s="11" t="s">
        <v>17</v>
      </c>
      <c r="C300" s="18" t="s">
        <v>997</v>
      </c>
      <c r="E300" s="14"/>
      <c r="F300" s="14" t="s">
        <v>979</v>
      </c>
      <c r="G300" s="11" t="s">
        <v>20</v>
      </c>
      <c r="K300">
        <v>3</v>
      </c>
      <c r="L300" s="28" t="s">
        <v>22</v>
      </c>
      <c r="P300" t="s">
        <v>160</v>
      </c>
      <c r="Q300" t="s">
        <v>998</v>
      </c>
    </row>
    <row r="301" spans="1:22" ht="15.75" customHeight="1">
      <c r="A301" s="29" t="s">
        <v>999</v>
      </c>
      <c r="B301" s="11" t="s">
        <v>17</v>
      </c>
      <c r="C301" s="18" t="s">
        <v>1000</v>
      </c>
      <c r="E301" s="14"/>
      <c r="F301" s="14" t="s">
        <v>979</v>
      </c>
      <c r="G301" s="11" t="s">
        <v>20</v>
      </c>
      <c r="K301">
        <v>3</v>
      </c>
      <c r="L301" s="28" t="s">
        <v>22</v>
      </c>
      <c r="P301" t="s">
        <v>90</v>
      </c>
      <c r="Q301" t="s">
        <v>1001</v>
      </c>
    </row>
    <row r="302" spans="1:22" ht="15.75" customHeight="1">
      <c r="A302" s="29" t="s">
        <v>1002</v>
      </c>
      <c r="B302" s="11" t="s">
        <v>17</v>
      </c>
      <c r="C302" s="18" t="s">
        <v>1003</v>
      </c>
      <c r="E302" s="14"/>
      <c r="F302" s="14" t="s">
        <v>979</v>
      </c>
      <c r="G302" s="11" t="s">
        <v>20</v>
      </c>
      <c r="K302">
        <v>3</v>
      </c>
      <c r="L302" s="28" t="s">
        <v>22</v>
      </c>
      <c r="P302" t="s">
        <v>125</v>
      </c>
      <c r="Q302" t="s">
        <v>1004</v>
      </c>
    </row>
    <row r="303" spans="1:22" ht="15.75" customHeight="1">
      <c r="A303" s="29" t="s">
        <v>1005</v>
      </c>
      <c r="B303" s="11" t="s">
        <v>17</v>
      </c>
      <c r="C303" s="18" t="s">
        <v>1006</v>
      </c>
      <c r="E303" s="14"/>
      <c r="F303" s="14" t="s">
        <v>979</v>
      </c>
      <c r="G303" s="11" t="s">
        <v>20</v>
      </c>
      <c r="K303">
        <v>3</v>
      </c>
      <c r="L303" s="28" t="s">
        <v>22</v>
      </c>
      <c r="P303" t="s">
        <v>23</v>
      </c>
      <c r="Q303" t="s">
        <v>1007</v>
      </c>
    </row>
    <row r="304" spans="1:22" ht="15.75" customHeight="1">
      <c r="A304" s="29" t="s">
        <v>1008</v>
      </c>
      <c r="B304" s="11" t="s">
        <v>17</v>
      </c>
      <c r="C304" s="18" t="s">
        <v>1009</v>
      </c>
      <c r="E304" s="14"/>
      <c r="F304" s="14" t="s">
        <v>979</v>
      </c>
      <c r="G304" s="11" t="s">
        <v>20</v>
      </c>
      <c r="K304">
        <v>3</v>
      </c>
      <c r="L304" s="28" t="s">
        <v>22</v>
      </c>
      <c r="P304" t="s">
        <v>90</v>
      </c>
      <c r="Q304" t="s">
        <v>1010</v>
      </c>
    </row>
    <row r="305" spans="1:17" ht="15.75" customHeight="1">
      <c r="A305" s="29" t="s">
        <v>1011</v>
      </c>
      <c r="B305" s="11" t="s">
        <v>17</v>
      </c>
      <c r="C305" s="18" t="s">
        <v>1012</v>
      </c>
      <c r="E305" s="14"/>
      <c r="F305" s="14" t="s">
        <v>159</v>
      </c>
      <c r="G305" s="11" t="s">
        <v>20</v>
      </c>
      <c r="K305">
        <v>3</v>
      </c>
      <c r="L305" s="28" t="s">
        <v>22</v>
      </c>
      <c r="P305" t="s">
        <v>160</v>
      </c>
      <c r="Q305" t="s">
        <v>1013</v>
      </c>
    </row>
    <row r="306" spans="1:17" ht="15.75" customHeight="1">
      <c r="A306" s="29" t="s">
        <v>1014</v>
      </c>
      <c r="B306" s="11" t="s">
        <v>17</v>
      </c>
      <c r="C306" s="18" t="s">
        <v>1015</v>
      </c>
      <c r="E306" s="14"/>
      <c r="F306" s="14" t="s">
        <v>159</v>
      </c>
      <c r="G306" s="11" t="s">
        <v>20</v>
      </c>
      <c r="K306">
        <v>3</v>
      </c>
      <c r="L306" s="28" t="s">
        <v>22</v>
      </c>
      <c r="P306" t="s">
        <v>160</v>
      </c>
      <c r="Q306" t="s">
        <v>1016</v>
      </c>
    </row>
    <row r="307" spans="1:17" ht="15.75" customHeight="1">
      <c r="A307" s="29" t="s">
        <v>1017</v>
      </c>
      <c r="B307" s="11" t="s">
        <v>17</v>
      </c>
      <c r="C307" s="18" t="s">
        <v>1018</v>
      </c>
      <c r="E307" s="14"/>
      <c r="F307" s="14" t="s">
        <v>159</v>
      </c>
      <c r="G307" s="11" t="s">
        <v>20</v>
      </c>
      <c r="K307">
        <v>4</v>
      </c>
      <c r="L307" s="28" t="s">
        <v>22</v>
      </c>
      <c r="P307" t="s">
        <v>160</v>
      </c>
      <c r="Q307" t="s">
        <v>1019</v>
      </c>
    </row>
    <row r="308" spans="1:17" ht="15.75" customHeight="1">
      <c r="A308" s="29" t="s">
        <v>1020</v>
      </c>
      <c r="B308" s="11" t="s">
        <v>17</v>
      </c>
      <c r="C308" s="18" t="s">
        <v>1021</v>
      </c>
      <c r="E308" s="14"/>
      <c r="F308" s="14" t="s">
        <v>159</v>
      </c>
      <c r="G308" s="11" t="s">
        <v>20</v>
      </c>
      <c r="K308">
        <v>4</v>
      </c>
      <c r="L308" s="28" t="s">
        <v>22</v>
      </c>
      <c r="P308" t="s">
        <v>160</v>
      </c>
      <c r="Q308" t="s">
        <v>1022</v>
      </c>
    </row>
    <row r="309" spans="1:17" ht="15.75" customHeight="1">
      <c r="A309" s="29" t="s">
        <v>1023</v>
      </c>
      <c r="B309" s="11" t="s">
        <v>17</v>
      </c>
      <c r="C309" s="18" t="s">
        <v>1024</v>
      </c>
      <c r="E309" s="14"/>
      <c r="F309" s="14" t="s">
        <v>159</v>
      </c>
      <c r="G309" s="11" t="s">
        <v>20</v>
      </c>
      <c r="K309">
        <v>6</v>
      </c>
      <c r="L309" s="28" t="s">
        <v>22</v>
      </c>
      <c r="P309" t="s">
        <v>160</v>
      </c>
      <c r="Q309" t="s">
        <v>1025</v>
      </c>
    </row>
    <row r="310" spans="1:17" ht="15.75" customHeight="1">
      <c r="A310" s="29" t="s">
        <v>1026</v>
      </c>
      <c r="B310" s="11" t="s">
        <v>17</v>
      </c>
      <c r="C310" s="18" t="s">
        <v>1027</v>
      </c>
      <c r="E310" s="14"/>
      <c r="F310" s="14" t="s">
        <v>159</v>
      </c>
      <c r="G310" s="11" t="s">
        <v>20</v>
      </c>
      <c r="K310">
        <v>6</v>
      </c>
      <c r="L310" s="28" t="s">
        <v>22</v>
      </c>
      <c r="P310" t="s">
        <v>160</v>
      </c>
      <c r="Q310" t="s">
        <v>1028</v>
      </c>
    </row>
    <row r="311" spans="1:17" ht="15.75" customHeight="1">
      <c r="A311" s="29" t="s">
        <v>1029</v>
      </c>
      <c r="B311" s="11" t="s">
        <v>17</v>
      </c>
      <c r="C311" s="18" t="s">
        <v>1030</v>
      </c>
      <c r="E311" s="14"/>
      <c r="F311" s="14" t="s">
        <v>1031</v>
      </c>
      <c r="G311" s="11" t="s">
        <v>20</v>
      </c>
      <c r="K311">
        <v>3</v>
      </c>
      <c r="L311" s="28" t="s">
        <v>22</v>
      </c>
      <c r="P311" t="s">
        <v>274</v>
      </c>
      <c r="Q311" t="s">
        <v>1032</v>
      </c>
    </row>
    <row r="312" spans="1:17" ht="15.75" customHeight="1">
      <c r="A312" s="29" t="s">
        <v>1033</v>
      </c>
      <c r="B312" s="11" t="s">
        <v>17</v>
      </c>
      <c r="C312" s="18" t="s">
        <v>1034</v>
      </c>
      <c r="E312" s="14"/>
      <c r="F312" s="14" t="s">
        <v>1031</v>
      </c>
      <c r="G312" s="11" t="s">
        <v>20</v>
      </c>
      <c r="K312">
        <v>3</v>
      </c>
      <c r="L312" s="28" t="s">
        <v>22</v>
      </c>
      <c r="P312" t="s">
        <v>274</v>
      </c>
      <c r="Q312" t="s">
        <v>1035</v>
      </c>
    </row>
    <row r="313" spans="1:17" ht="15.75" customHeight="1">
      <c r="A313" s="29" t="s">
        <v>1036</v>
      </c>
      <c r="B313" s="11" t="s">
        <v>17</v>
      </c>
      <c r="C313" s="18" t="s">
        <v>1037</v>
      </c>
      <c r="E313" s="14"/>
      <c r="F313" s="14" t="s">
        <v>1031</v>
      </c>
      <c r="G313" s="11" t="s">
        <v>20</v>
      </c>
      <c r="K313">
        <v>3</v>
      </c>
      <c r="L313" s="28" t="s">
        <v>22</v>
      </c>
      <c r="P313" t="s">
        <v>274</v>
      </c>
      <c r="Q313" t="s">
        <v>1038</v>
      </c>
    </row>
    <row r="314" spans="1:17" ht="15.75" customHeight="1">
      <c r="A314" s="29" t="s">
        <v>1039</v>
      </c>
      <c r="B314" s="11" t="s">
        <v>17</v>
      </c>
      <c r="C314" s="18" t="s">
        <v>1040</v>
      </c>
      <c r="E314" s="14"/>
      <c r="F314" s="14" t="s">
        <v>1031</v>
      </c>
      <c r="G314" s="11" t="s">
        <v>20</v>
      </c>
      <c r="K314">
        <v>3</v>
      </c>
      <c r="L314" s="28" t="s">
        <v>22</v>
      </c>
      <c r="P314" t="s">
        <v>274</v>
      </c>
      <c r="Q314" t="s">
        <v>1041</v>
      </c>
    </row>
    <row r="315" spans="1:17" ht="15.75" customHeight="1">
      <c r="A315" s="29" t="s">
        <v>1042</v>
      </c>
      <c r="B315" s="11" t="s">
        <v>17</v>
      </c>
      <c r="C315" s="18" t="s">
        <v>1043</v>
      </c>
      <c r="E315" s="14"/>
      <c r="F315" s="14" t="s">
        <v>1031</v>
      </c>
      <c r="G315" s="11" t="s">
        <v>20</v>
      </c>
      <c r="K315">
        <v>4</v>
      </c>
      <c r="L315" s="28" t="s">
        <v>22</v>
      </c>
      <c r="P315" t="s">
        <v>274</v>
      </c>
      <c r="Q315" t="s">
        <v>1044</v>
      </c>
    </row>
    <row r="316" spans="1:17" ht="15.75" customHeight="1">
      <c r="A316" s="29" t="s">
        <v>1045</v>
      </c>
      <c r="B316" s="11" t="s">
        <v>17</v>
      </c>
      <c r="C316" s="18" t="s">
        <v>1046</v>
      </c>
      <c r="E316" s="14"/>
      <c r="F316" s="14" t="s">
        <v>1031</v>
      </c>
      <c r="G316" s="11" t="s">
        <v>20</v>
      </c>
      <c r="K316">
        <v>4</v>
      </c>
      <c r="L316" s="28" t="s">
        <v>22</v>
      </c>
      <c r="P316" t="s">
        <v>274</v>
      </c>
      <c r="Q316" t="s">
        <v>1047</v>
      </c>
    </row>
    <row r="317" spans="1:17" ht="15.75" customHeight="1">
      <c r="A317" s="29" t="s">
        <v>1048</v>
      </c>
      <c r="B317" s="11" t="s">
        <v>17</v>
      </c>
      <c r="C317" s="18" t="s">
        <v>1049</v>
      </c>
      <c r="E317" s="14"/>
      <c r="F317" s="14" t="s">
        <v>1031</v>
      </c>
      <c r="G317" s="11" t="s">
        <v>20</v>
      </c>
      <c r="K317">
        <v>4</v>
      </c>
      <c r="L317" s="28" t="s">
        <v>22</v>
      </c>
      <c r="P317" t="s">
        <v>274</v>
      </c>
      <c r="Q317" t="s">
        <v>1050</v>
      </c>
    </row>
    <row r="318" spans="1:17" ht="15.75" customHeight="1">
      <c r="A318" s="29" t="s">
        <v>1051</v>
      </c>
      <c r="B318" s="11" t="s">
        <v>17</v>
      </c>
      <c r="C318" s="12" t="s">
        <v>1052</v>
      </c>
      <c r="F318" t="s">
        <v>1031</v>
      </c>
      <c r="G318" s="11" t="s">
        <v>20</v>
      </c>
      <c r="K318">
        <v>5</v>
      </c>
      <c r="L318" s="28" t="s">
        <v>22</v>
      </c>
      <c r="P318" t="s">
        <v>274</v>
      </c>
      <c r="Q318" t="s">
        <v>1053</v>
      </c>
    </row>
    <row r="319" spans="1:17" ht="15.75" customHeight="1">
      <c r="A319" s="29" t="s">
        <v>1054</v>
      </c>
      <c r="B319" s="11" t="s">
        <v>17</v>
      </c>
      <c r="C319" s="18" t="s">
        <v>1055</v>
      </c>
      <c r="E319" s="14"/>
      <c r="F319" s="14" t="s">
        <v>1031</v>
      </c>
      <c r="G319" s="11" t="s">
        <v>20</v>
      </c>
      <c r="K319">
        <v>5</v>
      </c>
      <c r="L319" s="28" t="s">
        <v>22</v>
      </c>
      <c r="P319" t="s">
        <v>274</v>
      </c>
      <c r="Q319" t="s">
        <v>1056</v>
      </c>
    </row>
    <row r="320" spans="1:17" ht="15.75" customHeight="1">
      <c r="A320" s="29" t="s">
        <v>1057</v>
      </c>
      <c r="B320" s="11" t="s">
        <v>17</v>
      </c>
      <c r="C320" s="18" t="s">
        <v>1058</v>
      </c>
      <c r="E320" s="14"/>
      <c r="F320" s="14" t="s">
        <v>1031</v>
      </c>
      <c r="G320" s="11" t="s">
        <v>20</v>
      </c>
      <c r="K320">
        <v>5</v>
      </c>
      <c r="L320" s="28" t="s">
        <v>22</v>
      </c>
      <c r="P320" t="s">
        <v>274</v>
      </c>
      <c r="Q320" t="s">
        <v>1059</v>
      </c>
    </row>
    <row r="321" spans="1:17" ht="15.75" customHeight="1">
      <c r="A321" s="29" t="s">
        <v>1060</v>
      </c>
      <c r="B321" s="11" t="s">
        <v>17</v>
      </c>
      <c r="C321" s="18" t="s">
        <v>1061</v>
      </c>
      <c r="E321" s="14"/>
      <c r="F321" s="14" t="s">
        <v>1031</v>
      </c>
      <c r="G321" s="11" t="s">
        <v>20</v>
      </c>
      <c r="K321">
        <v>6</v>
      </c>
      <c r="L321" s="28" t="s">
        <v>22</v>
      </c>
      <c r="P321" t="s">
        <v>274</v>
      </c>
      <c r="Q321" t="s">
        <v>1062</v>
      </c>
    </row>
    <row r="322" spans="1:17" ht="15.75" customHeight="1">
      <c r="A322" s="29" t="s">
        <v>1063</v>
      </c>
      <c r="B322" s="11" t="s">
        <v>17</v>
      </c>
      <c r="C322" s="18" t="s">
        <v>1064</v>
      </c>
      <c r="E322" s="14"/>
      <c r="F322" s="14" t="s">
        <v>1031</v>
      </c>
      <c r="G322" s="11" t="s">
        <v>20</v>
      </c>
      <c r="K322">
        <v>6</v>
      </c>
      <c r="L322" s="28" t="s">
        <v>22</v>
      </c>
      <c r="P322" t="s">
        <v>274</v>
      </c>
      <c r="Q322" t="s">
        <v>1065</v>
      </c>
    </row>
    <row r="323" spans="1:17" ht="15.75" customHeight="1">
      <c r="A323" s="29" t="s">
        <v>1066</v>
      </c>
      <c r="B323" s="11" t="s">
        <v>17</v>
      </c>
      <c r="C323" s="18" t="s">
        <v>1067</v>
      </c>
      <c r="E323" s="14"/>
      <c r="F323" s="14" t="s">
        <v>1031</v>
      </c>
      <c r="G323" s="11" t="s">
        <v>20</v>
      </c>
      <c r="K323">
        <v>6</v>
      </c>
      <c r="L323" s="28" t="s">
        <v>22</v>
      </c>
      <c r="P323" t="s">
        <v>274</v>
      </c>
      <c r="Q323" t="s">
        <v>1068</v>
      </c>
    </row>
    <row r="324" spans="1:17" ht="15.75" customHeight="1">
      <c r="A324" s="29" t="s">
        <v>1069</v>
      </c>
      <c r="B324" s="11" t="s">
        <v>17</v>
      </c>
      <c r="C324" s="13" t="s">
        <v>1070</v>
      </c>
      <c r="E324" s="29"/>
      <c r="F324" s="29" t="s">
        <v>1031</v>
      </c>
      <c r="G324" s="11" t="s">
        <v>20</v>
      </c>
      <c r="K324">
        <v>7</v>
      </c>
      <c r="L324" s="28" t="s">
        <v>22</v>
      </c>
      <c r="P324" t="s">
        <v>274</v>
      </c>
      <c r="Q324" t="s">
        <v>1071</v>
      </c>
    </row>
    <row r="325" spans="1:17" ht="15.75" customHeight="1">
      <c r="A325" s="29" t="s">
        <v>1072</v>
      </c>
      <c r="B325" s="11" t="s">
        <v>17</v>
      </c>
      <c r="C325" s="18" t="s">
        <v>1073</v>
      </c>
      <c r="E325" s="14"/>
      <c r="F325" s="14" t="s">
        <v>1031</v>
      </c>
      <c r="G325" s="11" t="s">
        <v>20</v>
      </c>
      <c r="K325">
        <v>7</v>
      </c>
      <c r="L325" s="28" t="s">
        <v>22</v>
      </c>
      <c r="P325" t="s">
        <v>274</v>
      </c>
      <c r="Q325" t="s">
        <v>1074</v>
      </c>
    </row>
    <row r="326" spans="1:17" ht="15.75" customHeight="1">
      <c r="A326" s="29" t="s">
        <v>1075</v>
      </c>
      <c r="B326" s="10" t="s">
        <v>464</v>
      </c>
      <c r="C326" s="7" t="s">
        <v>1076</v>
      </c>
      <c r="E326" s="10"/>
      <c r="F326" s="10" t="s">
        <v>466</v>
      </c>
      <c r="G326" s="10" t="s">
        <v>285</v>
      </c>
      <c r="L326" s="28">
        <v>18</v>
      </c>
      <c r="Q326" t="s">
        <v>1077</v>
      </c>
    </row>
    <row r="327" spans="1:17" ht="15.75" customHeight="1">
      <c r="A327" s="29" t="s">
        <v>1078</v>
      </c>
      <c r="B327" s="10" t="s">
        <v>464</v>
      </c>
      <c r="C327" s="7" t="s">
        <v>1079</v>
      </c>
      <c r="E327" s="10"/>
      <c r="F327" s="10" t="s">
        <v>466</v>
      </c>
      <c r="G327" s="10" t="s">
        <v>285</v>
      </c>
      <c r="L327" s="28">
        <v>18</v>
      </c>
      <c r="Q327" t="s">
        <v>1077</v>
      </c>
    </row>
    <row r="328" spans="1:17" ht="15.75" customHeight="1">
      <c r="A328" s="29" t="s">
        <v>1080</v>
      </c>
      <c r="B328" s="10" t="s">
        <v>464</v>
      </c>
      <c r="C328" s="7" t="s">
        <v>1081</v>
      </c>
      <c r="E328" s="10"/>
      <c r="F328" s="10" t="s">
        <v>466</v>
      </c>
      <c r="G328" s="10" t="s">
        <v>285</v>
      </c>
      <c r="L328" s="28">
        <v>18</v>
      </c>
      <c r="Q328" t="s">
        <v>1077</v>
      </c>
    </row>
    <row r="329" spans="1:17" ht="15.75" customHeight="1">
      <c r="A329" s="29" t="s">
        <v>1082</v>
      </c>
      <c r="B329" s="10" t="s">
        <v>464</v>
      </c>
      <c r="C329" s="7" t="s">
        <v>1083</v>
      </c>
      <c r="E329" s="10"/>
      <c r="F329" s="10" t="s">
        <v>466</v>
      </c>
      <c r="G329" s="10" t="s">
        <v>285</v>
      </c>
      <c r="L329" s="28">
        <v>18</v>
      </c>
      <c r="Q329" t="s">
        <v>1077</v>
      </c>
    </row>
    <row r="330" spans="1:17" ht="15.75" customHeight="1">
      <c r="A330" s="29" t="s">
        <v>1084</v>
      </c>
      <c r="B330" s="10" t="s">
        <v>464</v>
      </c>
      <c r="C330" s="7" t="s">
        <v>1085</v>
      </c>
      <c r="E330" s="10"/>
      <c r="F330" s="10" t="s">
        <v>466</v>
      </c>
      <c r="G330" s="10" t="s">
        <v>285</v>
      </c>
      <c r="L330" s="28">
        <v>18</v>
      </c>
      <c r="Q330" t="s">
        <v>1077</v>
      </c>
    </row>
    <row r="331" spans="1:17" ht="15.75" customHeight="1">
      <c r="A331" s="29" t="s">
        <v>1086</v>
      </c>
      <c r="B331" s="10" t="s">
        <v>464</v>
      </c>
      <c r="C331" s="13" t="s">
        <v>1087</v>
      </c>
      <c r="E331" s="10"/>
      <c r="F331" s="10" t="s">
        <v>1088</v>
      </c>
      <c r="G331" s="10" t="s">
        <v>285</v>
      </c>
      <c r="L331" s="28">
        <v>1</v>
      </c>
      <c r="Q331" t="s">
        <v>1089</v>
      </c>
    </row>
    <row r="332" spans="1:17" ht="15.75" customHeight="1">
      <c r="A332" s="29" t="s">
        <v>1090</v>
      </c>
      <c r="B332" s="10" t="s">
        <v>464</v>
      </c>
      <c r="C332" s="13" t="s">
        <v>1091</v>
      </c>
      <c r="E332" s="10"/>
      <c r="F332" s="10" t="s">
        <v>1092</v>
      </c>
      <c r="G332" s="10" t="s">
        <v>285</v>
      </c>
      <c r="L332" s="28">
        <v>6</v>
      </c>
      <c r="Q332" t="s">
        <v>1093</v>
      </c>
    </row>
    <row r="333" spans="1:17" ht="15.75" customHeight="1">
      <c r="A333" s="29" t="s">
        <v>1094</v>
      </c>
      <c r="B333" s="10" t="s">
        <v>464</v>
      </c>
      <c r="C333" s="13" t="s">
        <v>1095</v>
      </c>
      <c r="E333" s="10"/>
      <c r="F333" s="10" t="s">
        <v>1092</v>
      </c>
      <c r="G333" s="10" t="s">
        <v>285</v>
      </c>
      <c r="L333" s="28">
        <v>6</v>
      </c>
      <c r="Q333" t="s">
        <v>1093</v>
      </c>
    </row>
    <row r="334" spans="1:17" ht="15.75" customHeight="1">
      <c r="A334" s="29" t="s">
        <v>1096</v>
      </c>
      <c r="B334" s="10" t="s">
        <v>464</v>
      </c>
      <c r="C334" s="13" t="s">
        <v>1097</v>
      </c>
      <c r="E334" s="10"/>
      <c r="F334" s="10" t="s">
        <v>1092</v>
      </c>
      <c r="G334" s="10" t="s">
        <v>285</v>
      </c>
      <c r="L334" s="28">
        <v>6</v>
      </c>
      <c r="Q334" t="s">
        <v>1093</v>
      </c>
    </row>
    <row r="335" spans="1:17" ht="15.75" customHeight="1">
      <c r="A335" s="29" t="s">
        <v>1098</v>
      </c>
      <c r="B335" s="10" t="s">
        <v>464</v>
      </c>
      <c r="C335" s="13" t="s">
        <v>1099</v>
      </c>
      <c r="E335" s="10"/>
      <c r="F335" s="10" t="s">
        <v>1092</v>
      </c>
      <c r="G335" s="10" t="s">
        <v>285</v>
      </c>
      <c r="L335" s="28">
        <v>6</v>
      </c>
      <c r="Q335" t="s">
        <v>1093</v>
      </c>
    </row>
    <row r="336" spans="1:17" ht="15.75" customHeight="1">
      <c r="A336" s="29" t="s">
        <v>1100</v>
      </c>
      <c r="B336" s="10" t="s">
        <v>464</v>
      </c>
      <c r="C336" s="13" t="s">
        <v>1101</v>
      </c>
      <c r="E336" s="10"/>
      <c r="F336" s="10" t="s">
        <v>1092</v>
      </c>
      <c r="G336" s="10" t="s">
        <v>285</v>
      </c>
      <c r="L336" s="28">
        <v>6</v>
      </c>
      <c r="Q336" t="s">
        <v>1093</v>
      </c>
    </row>
    <row r="337" spans="1:17" ht="15.75" customHeight="1">
      <c r="A337" s="29" t="s">
        <v>1102</v>
      </c>
      <c r="B337" s="10" t="s">
        <v>464</v>
      </c>
      <c r="C337" s="13" t="s">
        <v>1103</v>
      </c>
      <c r="E337" s="10"/>
      <c r="F337" s="10" t="s">
        <v>1092</v>
      </c>
      <c r="G337" s="10" t="s">
        <v>285</v>
      </c>
      <c r="L337" s="28">
        <v>6</v>
      </c>
      <c r="Q337" t="s">
        <v>1093</v>
      </c>
    </row>
    <row r="338" spans="1:17" ht="15.75" customHeight="1">
      <c r="A338" s="29" t="s">
        <v>1104</v>
      </c>
      <c r="B338" s="10" t="s">
        <v>464</v>
      </c>
      <c r="C338" s="13" t="s">
        <v>1105</v>
      </c>
      <c r="E338" s="10"/>
      <c r="F338" s="10" t="s">
        <v>1092</v>
      </c>
      <c r="G338" s="10" t="s">
        <v>285</v>
      </c>
      <c r="L338" s="28">
        <v>6</v>
      </c>
      <c r="Q338" t="s">
        <v>1093</v>
      </c>
    </row>
    <row r="339" spans="1:17" ht="15.75" customHeight="1">
      <c r="A339" s="29" t="s">
        <v>1106</v>
      </c>
      <c r="B339" s="10" t="s">
        <v>464</v>
      </c>
      <c r="C339" s="13" t="s">
        <v>1107</v>
      </c>
      <c r="E339" s="10"/>
      <c r="F339" s="10" t="s">
        <v>1092</v>
      </c>
      <c r="G339" s="10" t="s">
        <v>285</v>
      </c>
      <c r="L339" s="28">
        <v>6</v>
      </c>
      <c r="Q339" t="s">
        <v>1093</v>
      </c>
    </row>
    <row r="340" spans="1:17" ht="15.75" customHeight="1">
      <c r="A340" s="29" t="s">
        <v>1108</v>
      </c>
      <c r="B340" s="10" t="s">
        <v>464</v>
      </c>
      <c r="C340" s="13" t="s">
        <v>1109</v>
      </c>
      <c r="E340" s="10"/>
      <c r="F340" s="10" t="s">
        <v>1092</v>
      </c>
      <c r="G340" s="10" t="s">
        <v>285</v>
      </c>
      <c r="L340" s="28">
        <v>6</v>
      </c>
      <c r="Q340" t="s">
        <v>1093</v>
      </c>
    </row>
    <row r="341" spans="1:17" ht="15.75" customHeight="1">
      <c r="A341" s="29" t="s">
        <v>1110</v>
      </c>
      <c r="B341" s="10" t="s">
        <v>464</v>
      </c>
      <c r="C341" s="13" t="s">
        <v>1111</v>
      </c>
      <c r="E341" s="10"/>
      <c r="F341" s="10" t="s">
        <v>1092</v>
      </c>
      <c r="G341" s="10" t="s">
        <v>285</v>
      </c>
      <c r="L341" s="28">
        <v>6</v>
      </c>
      <c r="Q341" t="s">
        <v>1093</v>
      </c>
    </row>
    <row r="342" spans="1:17" ht="15.75" customHeight="1">
      <c r="A342" s="29" t="s">
        <v>1112</v>
      </c>
      <c r="B342" s="10" t="s">
        <v>464</v>
      </c>
      <c r="C342" s="13" t="s">
        <v>1113</v>
      </c>
      <c r="E342" s="10"/>
      <c r="F342" s="10" t="s">
        <v>1092</v>
      </c>
      <c r="G342" s="10" t="s">
        <v>285</v>
      </c>
      <c r="L342" s="28">
        <v>6</v>
      </c>
      <c r="Q342" t="s">
        <v>1093</v>
      </c>
    </row>
    <row r="343" spans="1:17" ht="15.75" customHeight="1">
      <c r="A343" s="29" t="s">
        <v>1114</v>
      </c>
      <c r="B343" s="10" t="s">
        <v>464</v>
      </c>
      <c r="C343" s="13" t="s">
        <v>1115</v>
      </c>
      <c r="E343" s="10"/>
      <c r="F343" s="10" t="s">
        <v>1092</v>
      </c>
      <c r="G343" s="10" t="s">
        <v>285</v>
      </c>
      <c r="L343" s="28">
        <v>6</v>
      </c>
      <c r="Q343" t="s">
        <v>1093</v>
      </c>
    </row>
    <row r="344" spans="1:17" ht="15.75" customHeight="1">
      <c r="A344" s="29" t="s">
        <v>1116</v>
      </c>
      <c r="B344" s="10" t="s">
        <v>464</v>
      </c>
      <c r="C344" s="13" t="s">
        <v>1117</v>
      </c>
      <c r="E344" s="10"/>
      <c r="F344" s="10" t="s">
        <v>1092</v>
      </c>
      <c r="G344" s="10" t="s">
        <v>285</v>
      </c>
      <c r="L344" s="28">
        <v>12</v>
      </c>
      <c r="Q344" t="s">
        <v>1118</v>
      </c>
    </row>
    <row r="345" spans="1:17" ht="15.75" customHeight="1">
      <c r="A345" s="29" t="s">
        <v>1119</v>
      </c>
      <c r="B345" s="10" t="s">
        <v>464</v>
      </c>
      <c r="C345" s="13" t="s">
        <v>1120</v>
      </c>
      <c r="E345" s="10"/>
      <c r="F345" s="10" t="s">
        <v>1092</v>
      </c>
      <c r="G345" s="10" t="s">
        <v>285</v>
      </c>
      <c r="L345" s="28">
        <v>12</v>
      </c>
      <c r="Q345" t="s">
        <v>1118</v>
      </c>
    </row>
    <row r="346" spans="1:17" ht="15.75" customHeight="1">
      <c r="A346" s="29" t="s">
        <v>1121</v>
      </c>
      <c r="B346" s="10" t="s">
        <v>464</v>
      </c>
      <c r="C346" s="13" t="s">
        <v>1122</v>
      </c>
      <c r="E346" s="10"/>
      <c r="F346" s="10" t="s">
        <v>1092</v>
      </c>
      <c r="G346" s="10" t="s">
        <v>285</v>
      </c>
      <c r="L346" s="28">
        <v>12</v>
      </c>
      <c r="Q346" t="s">
        <v>1118</v>
      </c>
    </row>
    <row r="347" spans="1:17" ht="15.75" customHeight="1">
      <c r="A347" s="29" t="s">
        <v>1123</v>
      </c>
      <c r="B347" s="10" t="s">
        <v>464</v>
      </c>
      <c r="C347" s="13" t="s">
        <v>1124</v>
      </c>
      <c r="E347" s="10"/>
      <c r="F347" s="10" t="s">
        <v>1092</v>
      </c>
      <c r="G347" s="10" t="s">
        <v>285</v>
      </c>
      <c r="L347" s="28">
        <v>12</v>
      </c>
      <c r="Q347" t="s">
        <v>1118</v>
      </c>
    </row>
    <row r="348" spans="1:17" ht="15.75" customHeight="1">
      <c r="A348" s="29" t="s">
        <v>1125</v>
      </c>
      <c r="B348" s="10" t="s">
        <v>464</v>
      </c>
      <c r="C348" s="13" t="s">
        <v>1126</v>
      </c>
      <c r="E348" s="10"/>
      <c r="F348" s="10" t="s">
        <v>1092</v>
      </c>
      <c r="G348" s="10" t="s">
        <v>285</v>
      </c>
      <c r="L348" s="28">
        <v>12</v>
      </c>
      <c r="Q348" t="s">
        <v>1118</v>
      </c>
    </row>
    <row r="349" spans="1:17" ht="15.75" customHeight="1">
      <c r="A349" s="29" t="s">
        <v>1127</v>
      </c>
      <c r="B349" s="10" t="s">
        <v>464</v>
      </c>
      <c r="C349" s="13" t="s">
        <v>1128</v>
      </c>
      <c r="E349" s="10"/>
      <c r="F349" s="10" t="s">
        <v>1092</v>
      </c>
      <c r="G349" s="10" t="s">
        <v>285</v>
      </c>
      <c r="L349" s="28">
        <v>12</v>
      </c>
      <c r="Q349" t="s">
        <v>1118</v>
      </c>
    </row>
    <row r="350" spans="1:17" ht="15.75" customHeight="1">
      <c r="A350" s="29" t="s">
        <v>1129</v>
      </c>
      <c r="B350" s="10" t="s">
        <v>464</v>
      </c>
      <c r="C350" s="13" t="s">
        <v>1130</v>
      </c>
      <c r="E350" s="10"/>
      <c r="F350" s="10" t="s">
        <v>1092</v>
      </c>
      <c r="G350" s="10" t="s">
        <v>285</v>
      </c>
      <c r="L350" s="28">
        <v>12</v>
      </c>
      <c r="Q350" t="s">
        <v>1118</v>
      </c>
    </row>
    <row r="351" spans="1:17" ht="15.75" customHeight="1">
      <c r="A351" s="29" t="s">
        <v>1131</v>
      </c>
      <c r="B351" s="10" t="s">
        <v>464</v>
      </c>
      <c r="C351" s="13" t="s">
        <v>1132</v>
      </c>
      <c r="E351" s="10"/>
      <c r="F351" s="10" t="s">
        <v>1092</v>
      </c>
      <c r="G351" s="10" t="s">
        <v>285</v>
      </c>
      <c r="L351" s="28">
        <v>12</v>
      </c>
      <c r="Q351" t="s">
        <v>1118</v>
      </c>
    </row>
    <row r="352" spans="1:17" ht="15.75" customHeight="1">
      <c r="A352" s="29" t="s">
        <v>1133</v>
      </c>
      <c r="B352" s="10" t="s">
        <v>464</v>
      </c>
      <c r="C352" s="13" t="s">
        <v>1134</v>
      </c>
      <c r="E352" s="10"/>
      <c r="F352" s="10" t="s">
        <v>1092</v>
      </c>
      <c r="G352" s="10" t="s">
        <v>285</v>
      </c>
      <c r="L352" s="28">
        <v>12</v>
      </c>
      <c r="Q352" t="s">
        <v>1118</v>
      </c>
    </row>
    <row r="353" spans="1:17" ht="15.75" customHeight="1">
      <c r="A353" s="29" t="s">
        <v>1135</v>
      </c>
      <c r="B353" s="10" t="s">
        <v>464</v>
      </c>
      <c r="C353" s="13" t="s">
        <v>1136</v>
      </c>
      <c r="E353" s="10"/>
      <c r="F353" s="10" t="s">
        <v>1092</v>
      </c>
      <c r="G353" s="10" t="s">
        <v>285</v>
      </c>
      <c r="L353" s="28">
        <v>12</v>
      </c>
      <c r="Q353" t="s">
        <v>1118</v>
      </c>
    </row>
    <row r="354" spans="1:17" ht="15.75" customHeight="1">
      <c r="A354" s="29" t="s">
        <v>1137</v>
      </c>
      <c r="B354" s="10" t="s">
        <v>464</v>
      </c>
      <c r="C354" s="13" t="s">
        <v>1138</v>
      </c>
      <c r="E354" s="10"/>
      <c r="F354" s="10" t="s">
        <v>1092</v>
      </c>
      <c r="G354" s="10" t="s">
        <v>285</v>
      </c>
      <c r="L354" s="28">
        <v>12</v>
      </c>
      <c r="Q354" t="s">
        <v>1118</v>
      </c>
    </row>
    <row r="355" spans="1:17" ht="15.75" customHeight="1">
      <c r="A355" s="29" t="s">
        <v>1139</v>
      </c>
      <c r="B355" s="10" t="s">
        <v>464</v>
      </c>
      <c r="C355" s="13" t="s">
        <v>1140</v>
      </c>
      <c r="E355" s="10"/>
      <c r="F355" s="10" t="s">
        <v>1092</v>
      </c>
      <c r="G355" s="10" t="s">
        <v>285</v>
      </c>
      <c r="L355" s="28">
        <v>12</v>
      </c>
      <c r="Q355" t="s">
        <v>1118</v>
      </c>
    </row>
    <row r="356" spans="1:17" ht="15.75" customHeight="1">
      <c r="A356" s="29" t="s">
        <v>1141</v>
      </c>
      <c r="B356" s="10" t="s">
        <v>464</v>
      </c>
      <c r="C356" s="13" t="s">
        <v>1142</v>
      </c>
      <c r="E356" s="10"/>
      <c r="F356" s="10" t="s">
        <v>1092</v>
      </c>
      <c r="G356" s="10" t="s">
        <v>285</v>
      </c>
      <c r="L356" s="28">
        <v>16</v>
      </c>
      <c r="Q356" t="s">
        <v>1143</v>
      </c>
    </row>
    <row r="357" spans="1:17" ht="15.75" customHeight="1">
      <c r="A357" s="29" t="s">
        <v>1144</v>
      </c>
      <c r="B357" s="10" t="s">
        <v>464</v>
      </c>
      <c r="C357" s="13" t="s">
        <v>1145</v>
      </c>
      <c r="E357" s="10"/>
      <c r="F357" s="10" t="s">
        <v>1092</v>
      </c>
      <c r="G357" s="10" t="s">
        <v>285</v>
      </c>
      <c r="L357" s="28">
        <v>16</v>
      </c>
      <c r="Q357" t="s">
        <v>1143</v>
      </c>
    </row>
    <row r="358" spans="1:17" ht="15.75" customHeight="1">
      <c r="A358" s="29" t="s">
        <v>1146</v>
      </c>
      <c r="B358" s="10" t="s">
        <v>464</v>
      </c>
      <c r="C358" s="13" t="s">
        <v>1147</v>
      </c>
      <c r="E358" s="10"/>
      <c r="F358" s="10" t="s">
        <v>1092</v>
      </c>
      <c r="G358" s="10" t="s">
        <v>285</v>
      </c>
      <c r="L358" s="28">
        <v>16</v>
      </c>
      <c r="Q358" t="s">
        <v>1143</v>
      </c>
    </row>
    <row r="359" spans="1:17" ht="15.75" customHeight="1">
      <c r="A359" s="29" t="s">
        <v>1148</v>
      </c>
      <c r="B359" s="10" t="s">
        <v>464</v>
      </c>
      <c r="C359" s="13" t="s">
        <v>1149</v>
      </c>
      <c r="E359" s="10"/>
      <c r="F359" s="10" t="s">
        <v>1092</v>
      </c>
      <c r="G359" s="10" t="s">
        <v>285</v>
      </c>
      <c r="L359" s="28">
        <v>16</v>
      </c>
      <c r="Q359" t="s">
        <v>1143</v>
      </c>
    </row>
    <row r="360" spans="1:17" ht="15.75" customHeight="1">
      <c r="A360" s="29" t="s">
        <v>1150</v>
      </c>
      <c r="B360" s="10" t="s">
        <v>464</v>
      </c>
      <c r="C360" s="13" t="s">
        <v>1151</v>
      </c>
      <c r="E360" s="10"/>
      <c r="F360" s="10" t="s">
        <v>1092</v>
      </c>
      <c r="G360" s="10" t="s">
        <v>285</v>
      </c>
      <c r="L360" s="28">
        <v>16</v>
      </c>
      <c r="Q360" t="s">
        <v>1143</v>
      </c>
    </row>
    <row r="361" spans="1:17" ht="15.75" customHeight="1">
      <c r="A361" s="29" t="s">
        <v>1152</v>
      </c>
      <c r="B361" s="10" t="s">
        <v>464</v>
      </c>
      <c r="C361" s="13" t="s">
        <v>1153</v>
      </c>
      <c r="E361" s="10"/>
      <c r="F361" s="10" t="s">
        <v>1092</v>
      </c>
      <c r="G361" s="10" t="s">
        <v>285</v>
      </c>
      <c r="L361" s="28">
        <v>16</v>
      </c>
      <c r="Q361" t="s">
        <v>1143</v>
      </c>
    </row>
    <row r="362" spans="1:17" ht="15.75" customHeight="1">
      <c r="A362" s="29" t="s">
        <v>1154</v>
      </c>
      <c r="B362" s="10" t="s">
        <v>464</v>
      </c>
      <c r="C362" s="13" t="s">
        <v>1155</v>
      </c>
      <c r="E362" s="10"/>
      <c r="F362" s="10" t="s">
        <v>1092</v>
      </c>
      <c r="G362" s="10" t="s">
        <v>285</v>
      </c>
      <c r="L362" s="28">
        <v>16</v>
      </c>
      <c r="Q362" t="s">
        <v>1143</v>
      </c>
    </row>
    <row r="363" spans="1:17" ht="15.75" customHeight="1">
      <c r="A363" s="29" t="s">
        <v>1156</v>
      </c>
      <c r="B363" s="10" t="s">
        <v>464</v>
      </c>
      <c r="C363" s="13" t="s">
        <v>1157</v>
      </c>
      <c r="E363" s="10"/>
      <c r="F363" s="10" t="s">
        <v>1092</v>
      </c>
      <c r="G363" s="10" t="s">
        <v>285</v>
      </c>
      <c r="L363" s="28">
        <v>16</v>
      </c>
      <c r="Q363" t="s">
        <v>1143</v>
      </c>
    </row>
    <row r="364" spans="1:17" ht="15.75" customHeight="1">
      <c r="A364" s="29" t="s">
        <v>1158</v>
      </c>
      <c r="B364" s="10" t="s">
        <v>464</v>
      </c>
      <c r="C364" s="13" t="s">
        <v>1159</v>
      </c>
      <c r="E364" s="10"/>
      <c r="F364" s="10" t="s">
        <v>1092</v>
      </c>
      <c r="G364" s="10" t="s">
        <v>285</v>
      </c>
      <c r="L364" s="28">
        <v>16</v>
      </c>
      <c r="Q364" t="s">
        <v>1143</v>
      </c>
    </row>
    <row r="365" spans="1:17" ht="15.75" customHeight="1">
      <c r="A365" s="29" t="s">
        <v>1160</v>
      </c>
      <c r="B365" s="10" t="s">
        <v>464</v>
      </c>
      <c r="C365" s="13" t="s">
        <v>1161</v>
      </c>
      <c r="E365" s="10"/>
      <c r="F365" s="10" t="s">
        <v>1092</v>
      </c>
      <c r="G365" s="10" t="s">
        <v>285</v>
      </c>
      <c r="L365" s="28">
        <v>16</v>
      </c>
      <c r="Q365" t="s">
        <v>1143</v>
      </c>
    </row>
    <row r="366" spans="1:17" ht="15.75" customHeight="1">
      <c r="A366" s="29" t="s">
        <v>1162</v>
      </c>
      <c r="B366" s="10" t="s">
        <v>464</v>
      </c>
      <c r="C366" s="13" t="s">
        <v>1163</v>
      </c>
      <c r="E366" s="10"/>
      <c r="F366" s="10" t="s">
        <v>1092</v>
      </c>
      <c r="G366" s="10" t="s">
        <v>285</v>
      </c>
      <c r="L366" s="28">
        <v>16</v>
      </c>
      <c r="Q366" t="s">
        <v>1143</v>
      </c>
    </row>
    <row r="367" spans="1:17" ht="15.75" customHeight="1">
      <c r="A367" s="29" t="s">
        <v>1164</v>
      </c>
      <c r="B367" s="10" t="s">
        <v>464</v>
      </c>
      <c r="C367" s="13" t="s">
        <v>1165</v>
      </c>
      <c r="E367" s="10"/>
      <c r="F367" s="10" t="s">
        <v>1092</v>
      </c>
      <c r="G367" s="10" t="s">
        <v>285</v>
      </c>
      <c r="L367" s="28">
        <v>16</v>
      </c>
      <c r="Q367" t="s">
        <v>1143</v>
      </c>
    </row>
    <row r="368" spans="1:17" ht="15.75" customHeight="1">
      <c r="A368" s="29" t="s">
        <v>1166</v>
      </c>
      <c r="B368" s="10" t="s">
        <v>464</v>
      </c>
      <c r="C368" s="25" t="s">
        <v>1167</v>
      </c>
      <c r="E368" s="10"/>
      <c r="F368" s="10" t="s">
        <v>1168</v>
      </c>
      <c r="G368" s="10" t="s">
        <v>285</v>
      </c>
      <c r="L368" s="28">
        <v>10</v>
      </c>
      <c r="Q368" t="s">
        <v>1169</v>
      </c>
    </row>
    <row r="369" spans="1:19" ht="15.75" customHeight="1">
      <c r="A369" s="14" t="s">
        <v>1170</v>
      </c>
      <c r="B369" s="11" t="s">
        <v>840</v>
      </c>
      <c r="C369" s="21" t="s">
        <v>1171</v>
      </c>
      <c r="G369" s="11" t="s">
        <v>20</v>
      </c>
      <c r="L369" s="28" t="s">
        <v>1172</v>
      </c>
    </row>
    <row r="370" spans="1:19" ht="15.75" customHeight="1">
      <c r="A370" s="14" t="s">
        <v>1173</v>
      </c>
      <c r="B370" s="11" t="s">
        <v>840</v>
      </c>
      <c r="C370" s="25" t="s">
        <v>1174</v>
      </c>
      <c r="G370" s="11" t="s">
        <v>20</v>
      </c>
      <c r="L370" s="28" t="s">
        <v>1172</v>
      </c>
      <c r="S370" s="1"/>
    </row>
    <row r="371" spans="1:19" ht="15.75" customHeight="1">
      <c r="A371" s="14" t="s">
        <v>1175</v>
      </c>
      <c r="B371" s="11" t="s">
        <v>840</v>
      </c>
      <c r="C371" s="25" t="s">
        <v>1176</v>
      </c>
      <c r="G371" s="11" t="s">
        <v>20</v>
      </c>
      <c r="L371" s="28" t="s">
        <v>1172</v>
      </c>
    </row>
    <row r="372" spans="1:19" ht="15.75" customHeight="1">
      <c r="A372" s="14" t="s">
        <v>1177</v>
      </c>
      <c r="B372" s="11" t="s">
        <v>840</v>
      </c>
      <c r="C372" s="18" t="s">
        <v>1178</v>
      </c>
      <c r="G372" s="11" t="s">
        <v>20</v>
      </c>
      <c r="L372" s="28" t="s">
        <v>1172</v>
      </c>
    </row>
    <row r="373" spans="1:19" ht="15.75" customHeight="1">
      <c r="A373" s="14" t="s">
        <v>1179</v>
      </c>
      <c r="B373" s="11" t="s">
        <v>840</v>
      </c>
      <c r="C373" s="25" t="s">
        <v>1180</v>
      </c>
      <c r="G373" s="11" t="s">
        <v>20</v>
      </c>
      <c r="L373" s="28" t="s">
        <v>1172</v>
      </c>
    </row>
    <row r="374" spans="1:19" ht="15.75" customHeight="1">
      <c r="A374" s="14" t="s">
        <v>1181</v>
      </c>
      <c r="B374" s="11" t="s">
        <v>840</v>
      </c>
      <c r="C374" s="25" t="s">
        <v>1182</v>
      </c>
      <c r="G374" s="11" t="s">
        <v>20</v>
      </c>
      <c r="L374" s="28" t="s">
        <v>1172</v>
      </c>
    </row>
    <row r="375" spans="1:19" ht="15.75" customHeight="1">
      <c r="A375" s="14" t="s">
        <v>1183</v>
      </c>
      <c r="B375" s="11" t="s">
        <v>840</v>
      </c>
      <c r="C375" s="25" t="s">
        <v>1184</v>
      </c>
      <c r="G375" s="11" t="s">
        <v>20</v>
      </c>
      <c r="L375" s="28" t="s">
        <v>1172</v>
      </c>
    </row>
    <row r="376" spans="1:19" ht="15.75" customHeight="1">
      <c r="A376" s="14" t="s">
        <v>1185</v>
      </c>
      <c r="B376" s="11" t="s">
        <v>840</v>
      </c>
      <c r="C376" s="25" t="s">
        <v>1186</v>
      </c>
      <c r="G376" s="11" t="s">
        <v>20</v>
      </c>
      <c r="L376" s="28" t="s">
        <v>1172</v>
      </c>
    </row>
    <row r="377" spans="1:19" ht="15.75" customHeight="1">
      <c r="A377" s="14" t="s">
        <v>1187</v>
      </c>
      <c r="B377" s="11" t="s">
        <v>840</v>
      </c>
      <c r="C377" s="25" t="s">
        <v>1188</v>
      </c>
      <c r="G377" s="11" t="s">
        <v>20</v>
      </c>
      <c r="L377" s="28" t="s">
        <v>1172</v>
      </c>
    </row>
    <row r="378" spans="1:19" ht="15.75" customHeight="1">
      <c r="A378" s="14" t="s">
        <v>1189</v>
      </c>
      <c r="B378" s="11" t="s">
        <v>840</v>
      </c>
      <c r="C378" s="25" t="s">
        <v>1190</v>
      </c>
      <c r="G378" s="11" t="s">
        <v>20</v>
      </c>
      <c r="L378" s="28" t="s">
        <v>1172</v>
      </c>
    </row>
    <row r="379" spans="1:19" ht="15.75" customHeight="1">
      <c r="A379" s="14" t="s">
        <v>1191</v>
      </c>
      <c r="B379" s="11" t="s">
        <v>840</v>
      </c>
      <c r="C379" s="25" t="s">
        <v>1192</v>
      </c>
      <c r="G379" s="11" t="s">
        <v>20</v>
      </c>
      <c r="L379" s="28" t="s">
        <v>1172</v>
      </c>
    </row>
    <row r="380" spans="1:19" ht="15.75" customHeight="1">
      <c r="A380" s="14" t="s">
        <v>1193</v>
      </c>
      <c r="B380" s="11" t="s">
        <v>840</v>
      </c>
      <c r="C380" s="25" t="s">
        <v>1194</v>
      </c>
      <c r="G380" s="11" t="s">
        <v>20</v>
      </c>
      <c r="L380" s="28" t="s">
        <v>1172</v>
      </c>
    </row>
    <row r="381" spans="1:19" ht="15.75" customHeight="1">
      <c r="A381" s="14" t="s">
        <v>1195</v>
      </c>
      <c r="B381" s="11" t="s">
        <v>840</v>
      </c>
      <c r="C381" s="25" t="s">
        <v>1196</v>
      </c>
      <c r="G381" s="11" t="s">
        <v>20</v>
      </c>
      <c r="L381" s="28" t="s">
        <v>1172</v>
      </c>
    </row>
    <row r="382" spans="1:19" ht="15.75" customHeight="1">
      <c r="A382" s="14" t="s">
        <v>1197</v>
      </c>
      <c r="B382" s="11" t="s">
        <v>840</v>
      </c>
      <c r="C382" s="25" t="s">
        <v>1198</v>
      </c>
      <c r="G382" s="11" t="s">
        <v>20</v>
      </c>
      <c r="L382" s="28" t="s">
        <v>1172</v>
      </c>
    </row>
    <row r="383" spans="1:19" ht="15.75" customHeight="1">
      <c r="A383" s="14" t="s">
        <v>1199</v>
      </c>
      <c r="B383" s="11" t="s">
        <v>840</v>
      </c>
      <c r="C383" s="21" t="s">
        <v>1200</v>
      </c>
      <c r="G383" s="11" t="s">
        <v>20</v>
      </c>
      <c r="L383" s="28" t="s">
        <v>1172</v>
      </c>
    </row>
    <row r="384" spans="1:19" ht="15.75" customHeight="1">
      <c r="A384" s="14" t="s">
        <v>1201</v>
      </c>
      <c r="B384" s="11" t="s">
        <v>840</v>
      </c>
      <c r="C384" s="18" t="s">
        <v>1202</v>
      </c>
      <c r="G384" s="11" t="s">
        <v>20</v>
      </c>
      <c r="L384" s="28" t="s">
        <v>1172</v>
      </c>
    </row>
    <row r="385" spans="1:12" ht="15.75" customHeight="1">
      <c r="A385" s="14" t="s">
        <v>1203</v>
      </c>
      <c r="B385" s="11" t="s">
        <v>840</v>
      </c>
      <c r="C385" s="12" t="s">
        <v>1204</v>
      </c>
      <c r="G385" s="11" t="s">
        <v>20</v>
      </c>
      <c r="L385" s="28" t="s">
        <v>1172</v>
      </c>
    </row>
    <row r="386" spans="1:12" ht="15.75" customHeight="1">
      <c r="A386" s="14" t="s">
        <v>1205</v>
      </c>
      <c r="B386" s="11" t="s">
        <v>840</v>
      </c>
      <c r="C386" s="25" t="s">
        <v>1206</v>
      </c>
      <c r="G386" s="11" t="s">
        <v>20</v>
      </c>
      <c r="L386" s="28" t="s">
        <v>1172</v>
      </c>
    </row>
    <row r="387" spans="1:12" ht="15.75" customHeight="1">
      <c r="A387" s="14" t="s">
        <v>1207</v>
      </c>
      <c r="B387" s="11" t="s">
        <v>840</v>
      </c>
      <c r="C387" s="25" t="s">
        <v>1208</v>
      </c>
      <c r="G387" s="11" t="s">
        <v>20</v>
      </c>
      <c r="L387" s="28" t="s">
        <v>1172</v>
      </c>
    </row>
    <row r="388" spans="1:12" ht="15.75" customHeight="1">
      <c r="A388" s="14" t="s">
        <v>1209</v>
      </c>
      <c r="B388" s="11" t="s">
        <v>840</v>
      </c>
      <c r="C388" s="25" t="s">
        <v>1210</v>
      </c>
      <c r="G388" s="11" t="s">
        <v>20</v>
      </c>
      <c r="L388" s="28" t="s">
        <v>1172</v>
      </c>
    </row>
    <row r="389" spans="1:12" ht="15.75" customHeight="1">
      <c r="A389" s="14" t="s">
        <v>1211</v>
      </c>
      <c r="B389" s="11" t="s">
        <v>840</v>
      </c>
      <c r="C389" s="25" t="s">
        <v>1212</v>
      </c>
      <c r="G389" s="11" t="s">
        <v>20</v>
      </c>
      <c r="L389" s="28" t="s">
        <v>1172</v>
      </c>
    </row>
    <row r="390" spans="1:12" ht="15.75" customHeight="1">
      <c r="A390" s="14" t="s">
        <v>1213</v>
      </c>
      <c r="B390" s="11" t="s">
        <v>840</v>
      </c>
      <c r="C390" s="25" t="s">
        <v>1214</v>
      </c>
      <c r="G390" s="11" t="s">
        <v>20</v>
      </c>
      <c r="L390" s="28" t="s">
        <v>1172</v>
      </c>
    </row>
    <row r="391" spans="1:12" ht="15.75" customHeight="1">
      <c r="A391" s="14" t="s">
        <v>1215</v>
      </c>
      <c r="B391" s="11" t="s">
        <v>840</v>
      </c>
      <c r="C391" s="21" t="s">
        <v>1216</v>
      </c>
      <c r="G391" s="11" t="s">
        <v>20</v>
      </c>
      <c r="L391" s="28" t="s">
        <v>1172</v>
      </c>
    </row>
    <row r="392" spans="1:12" ht="15.75" customHeight="1">
      <c r="A392" s="14" t="s">
        <v>1217</v>
      </c>
      <c r="B392" s="11" t="s">
        <v>840</v>
      </c>
      <c r="C392" s="25" t="s">
        <v>1218</v>
      </c>
      <c r="G392" s="11" t="s">
        <v>20</v>
      </c>
      <c r="L392" s="28" t="s">
        <v>1172</v>
      </c>
    </row>
    <row r="393" spans="1:12" ht="15.75" customHeight="1">
      <c r="A393" s="14" t="s">
        <v>1219</v>
      </c>
      <c r="B393" s="11" t="s">
        <v>840</v>
      </c>
      <c r="C393" s="21" t="s">
        <v>1220</v>
      </c>
      <c r="G393" s="11" t="s">
        <v>20</v>
      </c>
      <c r="L393" s="28" t="s">
        <v>1172</v>
      </c>
    </row>
    <row r="394" spans="1:12" ht="15.75" customHeight="1">
      <c r="A394" s="14" t="s">
        <v>1221</v>
      </c>
      <c r="B394" s="11" t="s">
        <v>840</v>
      </c>
      <c r="C394" s="25" t="s">
        <v>1222</v>
      </c>
      <c r="G394" s="11" t="s">
        <v>20</v>
      </c>
      <c r="L394" s="28" t="s">
        <v>1172</v>
      </c>
    </row>
    <row r="395" spans="1:12" ht="15.75" customHeight="1">
      <c r="A395" s="14" t="s">
        <v>1223</v>
      </c>
      <c r="B395" s="11" t="s">
        <v>840</v>
      </c>
      <c r="C395" s="18" t="s">
        <v>1224</v>
      </c>
      <c r="G395" s="11" t="s">
        <v>20</v>
      </c>
      <c r="L395" s="28" t="s">
        <v>1172</v>
      </c>
    </row>
    <row r="396" spans="1:12" ht="15.75" customHeight="1">
      <c r="A396" s="14" t="s">
        <v>1225</v>
      </c>
      <c r="B396" s="11" t="s">
        <v>840</v>
      </c>
      <c r="C396" s="25" t="s">
        <v>1226</v>
      </c>
      <c r="G396" s="11" t="s">
        <v>20</v>
      </c>
      <c r="L396" s="28" t="s">
        <v>1172</v>
      </c>
    </row>
    <row r="397" spans="1:12" ht="15.75" customHeight="1">
      <c r="A397" s="29" t="s">
        <v>1227</v>
      </c>
      <c r="B397" s="11" t="s">
        <v>281</v>
      </c>
      <c r="C397" s="23" t="s">
        <v>1228</v>
      </c>
      <c r="G397" s="11" t="s">
        <v>285</v>
      </c>
      <c r="J397" t="s">
        <v>1229</v>
      </c>
      <c r="L397" s="28">
        <v>0</v>
      </c>
    </row>
    <row r="398" spans="1:12" ht="15.75" customHeight="1">
      <c r="A398" s="29" t="s">
        <v>1230</v>
      </c>
      <c r="B398" s="11" t="s">
        <v>255</v>
      </c>
      <c r="C398" s="12" t="s">
        <v>1231</v>
      </c>
      <c r="E398" s="11" t="s">
        <v>257</v>
      </c>
      <c r="G398" s="11" t="s">
        <v>7</v>
      </c>
      <c r="H398" s="11" t="s">
        <v>1232</v>
      </c>
    </row>
    <row r="399" spans="1:12" ht="15.75" customHeight="1">
      <c r="A399" s="29" t="s">
        <v>1233</v>
      </c>
      <c r="B399" s="11" t="s">
        <v>255</v>
      </c>
      <c r="C399" s="12" t="s">
        <v>1234</v>
      </c>
      <c r="E399" s="11" t="s">
        <v>257</v>
      </c>
      <c r="G399" s="11" t="s">
        <v>7</v>
      </c>
      <c r="H399" s="11" t="s">
        <v>1235</v>
      </c>
    </row>
    <row r="400" spans="1:12" ht="15.75" customHeight="1">
      <c r="A400" s="29" t="s">
        <v>1236</v>
      </c>
      <c r="B400" s="11" t="s">
        <v>255</v>
      </c>
      <c r="C400" s="12" t="s">
        <v>1237</v>
      </c>
      <c r="E400" s="11" t="s">
        <v>257</v>
      </c>
      <c r="G400" s="11" t="s">
        <v>7</v>
      </c>
      <c r="H400" s="11" t="s">
        <v>1238</v>
      </c>
    </row>
    <row r="401" spans="1:8" ht="15.75" customHeight="1">
      <c r="A401" s="29" t="s">
        <v>1239</v>
      </c>
      <c r="B401" s="11" t="s">
        <v>255</v>
      </c>
      <c r="C401" s="6" t="s">
        <v>1240</v>
      </c>
      <c r="E401" s="11" t="s">
        <v>257</v>
      </c>
      <c r="G401" s="11" t="s">
        <v>7</v>
      </c>
      <c r="H401" s="11" t="s">
        <v>1241</v>
      </c>
    </row>
    <row r="402" spans="1:8" ht="15.75" customHeight="1">
      <c r="A402" s="29" t="s">
        <v>1242</v>
      </c>
      <c r="B402" s="11" t="s">
        <v>255</v>
      </c>
      <c r="C402" s="12" t="s">
        <v>1243</v>
      </c>
      <c r="E402" s="11" t="s">
        <v>257</v>
      </c>
      <c r="G402" s="11" t="s">
        <v>7</v>
      </c>
      <c r="H402" s="11" t="s">
        <v>1244</v>
      </c>
    </row>
    <row r="403" spans="1:8" ht="15.75" customHeight="1">
      <c r="A403" s="29" t="s">
        <v>1245</v>
      </c>
      <c r="B403" s="11" t="s">
        <v>255</v>
      </c>
      <c r="C403" s="12" t="s">
        <v>1246</v>
      </c>
      <c r="E403" s="11" t="s">
        <v>257</v>
      </c>
      <c r="G403" s="11" t="s">
        <v>7</v>
      </c>
      <c r="H403" s="11" t="s">
        <v>1247</v>
      </c>
    </row>
    <row r="404" spans="1:8" ht="15.75" customHeight="1">
      <c r="A404" s="29" t="s">
        <v>1248</v>
      </c>
      <c r="B404" s="11" t="s">
        <v>255</v>
      </c>
      <c r="C404" s="7" t="s">
        <v>819</v>
      </c>
      <c r="E404" s="10" t="s">
        <v>349</v>
      </c>
      <c r="F404" s="10"/>
      <c r="G404" s="10" t="s">
        <v>7</v>
      </c>
      <c r="H404" s="11" t="s">
        <v>1249</v>
      </c>
    </row>
    <row r="405" spans="1:8" ht="15.75" customHeight="1">
      <c r="A405" s="29" t="s">
        <v>1250</v>
      </c>
      <c r="B405" s="11" t="s">
        <v>255</v>
      </c>
      <c r="C405" s="12" t="s">
        <v>1251</v>
      </c>
      <c r="E405" s="11" t="s">
        <v>257</v>
      </c>
      <c r="G405" s="11" t="s">
        <v>490</v>
      </c>
      <c r="H405" s="11" t="s">
        <v>1252</v>
      </c>
    </row>
    <row r="406" spans="1:8" ht="15.75" customHeight="1">
      <c r="A406" s="29" t="s">
        <v>1253</v>
      </c>
      <c r="B406" s="11" t="s">
        <v>255</v>
      </c>
      <c r="C406" s="12" t="s">
        <v>1254</v>
      </c>
      <c r="E406" s="11" t="s">
        <v>257</v>
      </c>
      <c r="G406" s="11" t="s">
        <v>490</v>
      </c>
      <c r="H406" s="11" t="s">
        <v>1255</v>
      </c>
    </row>
    <row r="407" spans="1:8" ht="15.75" customHeight="1">
      <c r="A407" s="29" t="s">
        <v>1256</v>
      </c>
      <c r="B407" s="11" t="s">
        <v>255</v>
      </c>
      <c r="C407" s="12" t="s">
        <v>1257</v>
      </c>
      <c r="E407" s="11" t="s">
        <v>257</v>
      </c>
      <c r="G407" s="11" t="s">
        <v>490</v>
      </c>
      <c r="H407" s="11" t="s">
        <v>1258</v>
      </c>
    </row>
    <row r="408" spans="1:8" ht="15.75" customHeight="1">
      <c r="A408" s="29" t="s">
        <v>1259</v>
      </c>
      <c r="B408" s="11" t="s">
        <v>255</v>
      </c>
      <c r="C408" s="12" t="s">
        <v>1260</v>
      </c>
      <c r="E408" s="11" t="s">
        <v>257</v>
      </c>
      <c r="G408" s="11" t="s">
        <v>490</v>
      </c>
      <c r="H408" s="11" t="s">
        <v>1261</v>
      </c>
    </row>
    <row r="409" spans="1:8" ht="15.75" customHeight="1">
      <c r="A409" s="29" t="s">
        <v>1262</v>
      </c>
      <c r="B409" s="11" t="s">
        <v>255</v>
      </c>
      <c r="C409" s="12" t="s">
        <v>1263</v>
      </c>
      <c r="E409" s="11" t="s">
        <v>257</v>
      </c>
      <c r="G409" s="11" t="s">
        <v>490</v>
      </c>
      <c r="H409" s="11" t="s">
        <v>1264</v>
      </c>
    </row>
    <row r="410" spans="1:8" ht="15.75" customHeight="1">
      <c r="A410" s="29" t="s">
        <v>1265</v>
      </c>
      <c r="B410" s="11" t="s">
        <v>255</v>
      </c>
      <c r="C410" s="12" t="s">
        <v>1266</v>
      </c>
      <c r="E410" s="11" t="s">
        <v>257</v>
      </c>
      <c r="G410" s="11" t="s">
        <v>490</v>
      </c>
      <c r="H410" s="11" t="s">
        <v>1267</v>
      </c>
    </row>
    <row r="411" spans="1:8" ht="15.75" customHeight="1">
      <c r="A411" s="29" t="s">
        <v>1268</v>
      </c>
      <c r="B411" s="11" t="s">
        <v>242</v>
      </c>
      <c r="C411" s="7" t="s">
        <v>1269</v>
      </c>
      <c r="D411" s="11" t="s">
        <v>1270</v>
      </c>
      <c r="E411" s="10" t="s">
        <v>244</v>
      </c>
      <c r="F411" s="10"/>
      <c r="G411" s="10" t="s">
        <v>7</v>
      </c>
      <c r="H411" s="11" t="s">
        <v>1271</v>
      </c>
    </row>
    <row r="412" spans="1:8" ht="15.75" customHeight="1">
      <c r="A412" s="29" t="s">
        <v>1272</v>
      </c>
      <c r="B412" s="11" t="s">
        <v>242</v>
      </c>
      <c r="C412" s="7" t="s">
        <v>1273</v>
      </c>
      <c r="E412" s="10" t="s">
        <v>1274</v>
      </c>
      <c r="F412" s="10"/>
      <c r="G412" s="10" t="s">
        <v>20</v>
      </c>
    </row>
    <row r="413" spans="1:8" ht="15.75" customHeight="1">
      <c r="A413" s="29" t="s">
        <v>1275</v>
      </c>
      <c r="B413" s="11" t="s">
        <v>242</v>
      </c>
      <c r="C413" s="7" t="s">
        <v>1276</v>
      </c>
      <c r="E413" s="10" t="s">
        <v>1274</v>
      </c>
      <c r="F413" s="10"/>
      <c r="G413" s="10" t="s">
        <v>20</v>
      </c>
    </row>
    <row r="414" spans="1:8" ht="15.75" customHeight="1">
      <c r="A414" s="29" t="s">
        <v>1277</v>
      </c>
      <c r="B414" s="11" t="s">
        <v>242</v>
      </c>
      <c r="C414" s="7" t="s">
        <v>1278</v>
      </c>
      <c r="E414" s="10" t="s">
        <v>244</v>
      </c>
      <c r="F414" s="10"/>
      <c r="G414" s="10" t="s">
        <v>7</v>
      </c>
      <c r="H414" s="11" t="s">
        <v>1279</v>
      </c>
    </row>
    <row r="415" spans="1:8" ht="15.75" customHeight="1">
      <c r="A415" t="s">
        <v>1280</v>
      </c>
      <c r="B415" t="s">
        <v>242</v>
      </c>
      <c r="C415" t="s">
        <v>1281</v>
      </c>
      <c r="E415" t="s">
        <v>1282</v>
      </c>
      <c r="G415" t="s">
        <v>20</v>
      </c>
    </row>
    <row r="416" spans="1:8" ht="15.75" customHeight="1">
      <c r="A416" s="29" t="s">
        <v>1283</v>
      </c>
      <c r="B416" s="11" t="s">
        <v>242</v>
      </c>
      <c r="C416" s="7" t="s">
        <v>1284</v>
      </c>
      <c r="D416" s="11" t="s">
        <v>1285</v>
      </c>
      <c r="E416" s="10" t="s">
        <v>349</v>
      </c>
      <c r="F416" s="10"/>
      <c r="G416" s="10" t="s">
        <v>7</v>
      </c>
      <c r="H416" s="11" t="s">
        <v>1286</v>
      </c>
    </row>
    <row r="417" spans="1:8" ht="15.75" customHeight="1">
      <c r="A417" s="29" t="s">
        <v>1287</v>
      </c>
      <c r="B417" s="11" t="s">
        <v>242</v>
      </c>
      <c r="C417" s="7" t="s">
        <v>1288</v>
      </c>
      <c r="E417" s="10" t="s">
        <v>349</v>
      </c>
      <c r="F417" s="10"/>
      <c r="G417" s="10" t="s">
        <v>7</v>
      </c>
      <c r="H417" s="11" t="s">
        <v>1289</v>
      </c>
    </row>
    <row r="418" spans="1:8" ht="15.75" customHeight="1">
      <c r="A418" s="29" t="s">
        <v>1290</v>
      </c>
      <c r="B418" s="11" t="s">
        <v>242</v>
      </c>
      <c r="C418" s="7" t="s">
        <v>1291</v>
      </c>
      <c r="E418" s="10" t="s">
        <v>349</v>
      </c>
      <c r="F418" s="10"/>
      <c r="G418" s="10" t="s">
        <v>7</v>
      </c>
      <c r="H418" s="11" t="s">
        <v>1289</v>
      </c>
    </row>
    <row r="419" spans="1:8" ht="15.75" customHeight="1">
      <c r="A419" s="29" t="s">
        <v>1292</v>
      </c>
      <c r="B419" s="11" t="s">
        <v>242</v>
      </c>
      <c r="C419" s="7" t="s">
        <v>1293</v>
      </c>
      <c r="E419" s="10" t="s">
        <v>349</v>
      </c>
      <c r="F419" s="10"/>
      <c r="G419" s="10" t="s">
        <v>7</v>
      </c>
      <c r="H419" s="11" t="s">
        <v>1294</v>
      </c>
    </row>
    <row r="420" spans="1:8" ht="15.75" customHeight="1">
      <c r="A420" s="29" t="s">
        <v>1295</v>
      </c>
      <c r="B420" s="11" t="s">
        <v>242</v>
      </c>
      <c r="C420" s="7" t="s">
        <v>1296</v>
      </c>
      <c r="E420" s="10" t="s">
        <v>349</v>
      </c>
      <c r="F420" s="10"/>
      <c r="G420" s="10" t="s">
        <v>7</v>
      </c>
      <c r="H420" s="11" t="s">
        <v>1294</v>
      </c>
    </row>
    <row r="421" spans="1:8" ht="15.75" customHeight="1">
      <c r="A421" s="29" t="s">
        <v>1297</v>
      </c>
      <c r="B421" s="11" t="s">
        <v>242</v>
      </c>
      <c r="C421" s="7" t="s">
        <v>1298</v>
      </c>
      <c r="D421" s="11" t="s">
        <v>1299</v>
      </c>
      <c r="E421" s="10" t="s">
        <v>349</v>
      </c>
      <c r="F421" s="10"/>
      <c r="G421" s="10" t="s">
        <v>7</v>
      </c>
      <c r="H421" s="11" t="s">
        <v>1300</v>
      </c>
    </row>
    <row r="422" spans="1:8" ht="15.75" customHeight="1">
      <c r="A422" s="29" t="s">
        <v>1301</v>
      </c>
      <c r="B422" s="11" t="s">
        <v>242</v>
      </c>
      <c r="C422" s="7" t="s">
        <v>1302</v>
      </c>
      <c r="E422" s="10" t="s">
        <v>349</v>
      </c>
      <c r="F422" s="10"/>
      <c r="G422" s="10" t="s">
        <v>7</v>
      </c>
      <c r="H422" s="11" t="s">
        <v>1303</v>
      </c>
    </row>
    <row r="423" spans="1:8" ht="15.75" customHeight="1">
      <c r="A423" s="29" t="s">
        <v>1304</v>
      </c>
      <c r="B423" s="11" t="s">
        <v>242</v>
      </c>
      <c r="C423" s="7" t="s">
        <v>1305</v>
      </c>
      <c r="E423" s="10" t="s">
        <v>349</v>
      </c>
      <c r="F423" s="10"/>
      <c r="G423" s="10" t="s">
        <v>7</v>
      </c>
      <c r="H423" s="11" t="s">
        <v>1306</v>
      </c>
    </row>
    <row r="424" spans="1:8" ht="15.75" customHeight="1">
      <c r="A424" s="29" t="s">
        <v>1307</v>
      </c>
      <c r="B424" s="11" t="s">
        <v>242</v>
      </c>
      <c r="C424" s="6" t="s">
        <v>519</v>
      </c>
      <c r="E424" s="11" t="s">
        <v>257</v>
      </c>
      <c r="G424" s="11" t="s">
        <v>7</v>
      </c>
      <c r="H424" s="11" t="s">
        <v>1308</v>
      </c>
    </row>
    <row r="425" spans="1:8" ht="15.75" customHeight="1">
      <c r="A425" s="29" t="s">
        <v>1309</v>
      </c>
      <c r="B425" s="11" t="s">
        <v>242</v>
      </c>
      <c r="C425" s="6" t="s">
        <v>1310</v>
      </c>
      <c r="E425" s="11" t="s">
        <v>257</v>
      </c>
      <c r="G425" s="11" t="s">
        <v>7</v>
      </c>
      <c r="H425" s="11" t="s">
        <v>1311</v>
      </c>
    </row>
    <row r="426" spans="1:8" ht="15.75" customHeight="1">
      <c r="A426" s="29" t="s">
        <v>1312</v>
      </c>
      <c r="B426" s="11" t="s">
        <v>242</v>
      </c>
      <c r="C426" s="6" t="s">
        <v>1313</v>
      </c>
      <c r="E426" s="11" t="s">
        <v>257</v>
      </c>
      <c r="G426" s="11" t="s">
        <v>7</v>
      </c>
      <c r="H426" s="11" t="s">
        <v>1314</v>
      </c>
    </row>
    <row r="427" spans="1:8" ht="15.75" customHeight="1">
      <c r="A427" s="29" t="s">
        <v>1315</v>
      </c>
      <c r="B427" s="11" t="s">
        <v>242</v>
      </c>
      <c r="C427" s="6" t="s">
        <v>1316</v>
      </c>
      <c r="E427" s="11" t="s">
        <v>257</v>
      </c>
      <c r="G427" s="11" t="s">
        <v>7</v>
      </c>
      <c r="H427" s="11" t="s">
        <v>1317</v>
      </c>
    </row>
    <row r="428" spans="1:8" ht="15.75" customHeight="1">
      <c r="A428" s="29" t="s">
        <v>1318</v>
      </c>
      <c r="B428" s="11" t="s">
        <v>242</v>
      </c>
      <c r="C428" s="6" t="s">
        <v>1319</v>
      </c>
      <c r="E428" s="11" t="s">
        <v>257</v>
      </c>
      <c r="G428" s="11" t="s">
        <v>7</v>
      </c>
      <c r="H428" s="11" t="s">
        <v>1320</v>
      </c>
    </row>
    <row r="429" spans="1:8" ht="15.75" customHeight="1">
      <c r="A429" s="29" t="s">
        <v>1321</v>
      </c>
      <c r="B429" s="11" t="s">
        <v>242</v>
      </c>
      <c r="C429" s="7" t="s">
        <v>1322</v>
      </c>
      <c r="E429" s="10" t="s">
        <v>349</v>
      </c>
      <c r="F429" s="10"/>
      <c r="G429" s="10" t="s">
        <v>7</v>
      </c>
      <c r="H429" t="s">
        <v>1323</v>
      </c>
    </row>
    <row r="430" spans="1:8" ht="15.75" customHeight="1">
      <c r="A430" s="11" t="s">
        <v>278</v>
      </c>
      <c r="B430" s="11" t="s">
        <v>1324</v>
      </c>
      <c r="C430" s="12" t="s">
        <v>1325</v>
      </c>
      <c r="D430" s="11" t="s">
        <v>1326</v>
      </c>
      <c r="G430" s="11" t="s">
        <v>7</v>
      </c>
      <c r="H430" s="11" t="s">
        <v>1327</v>
      </c>
    </row>
    <row r="431" spans="1:8" ht="15.75" customHeight="1">
      <c r="A431" s="11" t="s">
        <v>55</v>
      </c>
      <c r="B431" s="11" t="s">
        <v>1324</v>
      </c>
      <c r="C431" s="12" t="s">
        <v>1328</v>
      </c>
      <c r="D431" s="11" t="s">
        <v>1329</v>
      </c>
      <c r="G431" s="11" t="s">
        <v>7</v>
      </c>
      <c r="H431" s="11" t="s">
        <v>1330</v>
      </c>
    </row>
    <row r="432" spans="1:8" ht="15.75" customHeight="1">
      <c r="A432" s="11" t="s">
        <v>741</v>
      </c>
      <c r="B432" s="11" t="s">
        <v>1324</v>
      </c>
      <c r="C432" s="12" t="s">
        <v>1331</v>
      </c>
      <c r="D432" s="11" t="s">
        <v>1332</v>
      </c>
      <c r="G432" s="11" t="s">
        <v>7</v>
      </c>
      <c r="H432" s="11" t="s">
        <v>1333</v>
      </c>
    </row>
    <row r="433" spans="1:12" ht="15.75" customHeight="1">
      <c r="A433" s="11" t="s">
        <v>274</v>
      </c>
      <c r="B433" s="11" t="s">
        <v>1324</v>
      </c>
      <c r="C433" s="12" t="s">
        <v>1334</v>
      </c>
      <c r="D433" s="11" t="s">
        <v>1335</v>
      </c>
      <c r="G433" s="11" t="s">
        <v>7</v>
      </c>
      <c r="H433" s="11" t="s">
        <v>1336</v>
      </c>
    </row>
    <row r="434" spans="1:12" ht="15.75" customHeight="1">
      <c r="A434" s="11" t="s">
        <v>160</v>
      </c>
      <c r="B434" s="11" t="s">
        <v>1324</v>
      </c>
      <c r="C434" s="12" t="s">
        <v>1337</v>
      </c>
      <c r="D434" s="11" t="s">
        <v>1338</v>
      </c>
      <c r="G434" s="11" t="s">
        <v>7</v>
      </c>
      <c r="H434" s="11" t="s">
        <v>1339</v>
      </c>
    </row>
    <row r="435" spans="1:12" ht="15.75" customHeight="1">
      <c r="A435" s="11" t="s">
        <v>125</v>
      </c>
      <c r="B435" s="11" t="s">
        <v>1324</v>
      </c>
      <c r="C435" s="12" t="s">
        <v>1340</v>
      </c>
      <c r="D435" s="11" t="s">
        <v>1341</v>
      </c>
      <c r="G435" s="11" t="s">
        <v>7</v>
      </c>
      <c r="H435" s="11" t="s">
        <v>1342</v>
      </c>
    </row>
    <row r="436" spans="1:12" ht="15.75" customHeight="1">
      <c r="A436" s="11" t="s">
        <v>763</v>
      </c>
      <c r="B436" s="11" t="s">
        <v>1324</v>
      </c>
      <c r="C436" s="12" t="s">
        <v>1343</v>
      </c>
      <c r="D436" s="11" t="s">
        <v>1344</v>
      </c>
      <c r="G436" s="11" t="s">
        <v>7</v>
      </c>
      <c r="H436" s="11" t="s">
        <v>1345</v>
      </c>
    </row>
    <row r="437" spans="1:12" ht="15.75" customHeight="1">
      <c r="A437" s="11" t="s">
        <v>737</v>
      </c>
      <c r="B437" s="11" t="s">
        <v>1324</v>
      </c>
      <c r="C437" s="12" t="s">
        <v>1346</v>
      </c>
      <c r="D437" s="11" t="s">
        <v>1347</v>
      </c>
      <c r="G437" s="11" t="s">
        <v>7</v>
      </c>
      <c r="H437" s="11" t="s">
        <v>1348</v>
      </c>
      <c r="J437" s="9"/>
    </row>
    <row r="438" spans="1:12" ht="15.75" customHeight="1">
      <c r="A438" s="11" t="s">
        <v>90</v>
      </c>
      <c r="B438" s="11" t="s">
        <v>1324</v>
      </c>
      <c r="C438" s="12" t="s">
        <v>1349</v>
      </c>
      <c r="D438" s="11" t="s">
        <v>1350</v>
      </c>
      <c r="G438" s="11" t="s">
        <v>7</v>
      </c>
      <c r="H438" s="11" t="s">
        <v>1351</v>
      </c>
    </row>
    <row r="439" spans="1:12" ht="15.75" customHeight="1">
      <c r="A439" s="11" t="s">
        <v>23</v>
      </c>
      <c r="B439" s="11" t="s">
        <v>1324</v>
      </c>
      <c r="C439" s="12" t="s">
        <v>1352</v>
      </c>
      <c r="D439" s="11" t="s">
        <v>1353</v>
      </c>
      <c r="G439" s="11" t="s">
        <v>7</v>
      </c>
      <c r="H439" s="11" t="s">
        <v>1354</v>
      </c>
    </row>
    <row r="440" spans="1:12" ht="15.75" customHeight="1">
      <c r="A440" s="29" t="s">
        <v>1355</v>
      </c>
      <c r="B440" s="11" t="s">
        <v>363</v>
      </c>
      <c r="C440" s="7" t="s">
        <v>1356</v>
      </c>
      <c r="E440" s="10"/>
      <c r="F440" s="10"/>
      <c r="G440" s="10" t="s">
        <v>7</v>
      </c>
      <c r="H440" s="11" t="s">
        <v>1357</v>
      </c>
    </row>
    <row r="441" spans="1:12" ht="15.75" customHeight="1">
      <c r="A441" s="11" t="s">
        <v>1358</v>
      </c>
      <c r="B441" s="11" t="s">
        <v>363</v>
      </c>
      <c r="C441" s="7" t="s">
        <v>1359</v>
      </c>
      <c r="D441" s="10"/>
      <c r="E441" s="10"/>
      <c r="F441" s="10"/>
      <c r="G441" s="10" t="s">
        <v>7</v>
      </c>
      <c r="H441" s="11" t="s">
        <v>1360</v>
      </c>
    </row>
    <row r="442" spans="1:12" ht="15.75" customHeight="1">
      <c r="A442" s="11" t="s">
        <v>1361</v>
      </c>
      <c r="B442" s="11" t="s">
        <v>363</v>
      </c>
      <c r="C442" s="7" t="s">
        <v>1362</v>
      </c>
      <c r="D442" s="29"/>
      <c r="E442" s="10"/>
      <c r="F442" s="10"/>
      <c r="G442" s="10" t="s">
        <v>7</v>
      </c>
      <c r="H442" s="11" t="s">
        <v>1363</v>
      </c>
    </row>
    <row r="443" spans="1:12" ht="15.75" customHeight="1">
      <c r="A443" s="29" t="s">
        <v>1364</v>
      </c>
      <c r="B443" s="11" t="s">
        <v>363</v>
      </c>
      <c r="C443" s="7" t="s">
        <v>1365</v>
      </c>
      <c r="E443" s="10"/>
      <c r="F443" s="10"/>
      <c r="G443" s="10" t="s">
        <v>7</v>
      </c>
      <c r="H443" s="11" t="s">
        <v>1366</v>
      </c>
    </row>
    <row r="444" spans="1:12" ht="15.75" customHeight="1">
      <c r="A444" s="11" t="s">
        <v>1367</v>
      </c>
      <c r="B444" s="11" t="s">
        <v>363</v>
      </c>
      <c r="C444" s="7" t="s">
        <v>1368</v>
      </c>
      <c r="E444" s="10"/>
      <c r="F444" s="10"/>
      <c r="G444" s="10" t="s">
        <v>7</v>
      </c>
      <c r="H444" s="11" t="s">
        <v>1369</v>
      </c>
    </row>
    <row r="445" spans="1:12" ht="15.75" customHeight="1">
      <c r="A445" s="11" t="s">
        <v>1370</v>
      </c>
      <c r="B445" s="11" t="s">
        <v>363</v>
      </c>
      <c r="C445" s="7" t="s">
        <v>1371</v>
      </c>
      <c r="E445" s="10"/>
      <c r="F445" s="10"/>
      <c r="G445" s="10" t="s">
        <v>7</v>
      </c>
      <c r="H445" s="11" t="s">
        <v>1372</v>
      </c>
    </row>
    <row r="446" spans="1:12" ht="15.75" customHeight="1">
      <c r="A446" s="11" t="s">
        <v>1373</v>
      </c>
      <c r="B446" s="11" t="s">
        <v>363</v>
      </c>
      <c r="C446" s="12" t="s">
        <v>1374</v>
      </c>
      <c r="G446" s="11" t="s">
        <v>20</v>
      </c>
      <c r="L446" t="s">
        <v>1375</v>
      </c>
    </row>
    <row r="447" spans="1:12" ht="15.75" customHeight="1">
      <c r="A447" s="11" t="s">
        <v>1376</v>
      </c>
      <c r="B447" s="11" t="s">
        <v>363</v>
      </c>
      <c r="C447" s="12" t="s">
        <v>1377</v>
      </c>
      <c r="G447" s="11" t="s">
        <v>20</v>
      </c>
      <c r="L447" t="s">
        <v>1375</v>
      </c>
    </row>
    <row r="448" spans="1:12" ht="15.75" customHeight="1">
      <c r="A448" s="11" t="s">
        <v>1378</v>
      </c>
      <c r="B448" s="11" t="s">
        <v>363</v>
      </c>
      <c r="C448" s="6" t="s">
        <v>1379</v>
      </c>
      <c r="G448" s="11" t="s">
        <v>20</v>
      </c>
      <c r="L448" t="s">
        <v>1375</v>
      </c>
    </row>
    <row r="449" spans="1:12" ht="15.75" customHeight="1">
      <c r="A449" s="11" t="s">
        <v>1380</v>
      </c>
      <c r="B449" s="11" t="s">
        <v>363</v>
      </c>
      <c r="C449" s="12" t="s">
        <v>1381</v>
      </c>
      <c r="F449" s="11" t="s">
        <v>1373</v>
      </c>
      <c r="G449" s="11" t="s">
        <v>20</v>
      </c>
    </row>
    <row r="450" spans="1:12" ht="15.75" customHeight="1">
      <c r="A450" s="11" t="s">
        <v>1382</v>
      </c>
      <c r="B450" s="11" t="s">
        <v>363</v>
      </c>
      <c r="C450" s="13" t="s">
        <v>1383</v>
      </c>
      <c r="F450" s="11" t="s">
        <v>1376</v>
      </c>
      <c r="G450" s="11" t="s">
        <v>20</v>
      </c>
    </row>
    <row r="451" spans="1:12" ht="15.75" customHeight="1">
      <c r="A451" s="11" t="s">
        <v>1384</v>
      </c>
      <c r="B451" s="11" t="s">
        <v>363</v>
      </c>
      <c r="C451" s="13" t="s">
        <v>1385</v>
      </c>
      <c r="D451" s="10"/>
      <c r="F451" s="11" t="s">
        <v>1378</v>
      </c>
      <c r="G451" s="11" t="s">
        <v>20</v>
      </c>
    </row>
    <row r="452" spans="1:12" ht="15.75" customHeight="1">
      <c r="A452" s="11" t="s">
        <v>1386</v>
      </c>
      <c r="B452" s="11" t="s">
        <v>363</v>
      </c>
      <c r="C452" s="13" t="s">
        <v>1387</v>
      </c>
      <c r="D452" s="10"/>
      <c r="F452" s="11" t="s">
        <v>1388</v>
      </c>
      <c r="G452" s="11" t="s">
        <v>20</v>
      </c>
    </row>
    <row r="453" spans="1:12" ht="15.75" customHeight="1">
      <c r="A453" s="11" t="s">
        <v>1389</v>
      </c>
      <c r="B453" s="11" t="s">
        <v>363</v>
      </c>
      <c r="C453" s="13" t="s">
        <v>1390</v>
      </c>
      <c r="D453" s="10"/>
      <c r="F453" s="11" t="s">
        <v>1388</v>
      </c>
      <c r="G453" s="11" t="s">
        <v>20</v>
      </c>
    </row>
    <row r="454" spans="1:12" ht="15.75" customHeight="1">
      <c r="A454" s="11" t="s">
        <v>1391</v>
      </c>
      <c r="B454" s="11" t="s">
        <v>363</v>
      </c>
      <c r="C454" s="6" t="s">
        <v>1392</v>
      </c>
      <c r="G454" s="11" t="s">
        <v>20</v>
      </c>
      <c r="L454" t="s">
        <v>1375</v>
      </c>
    </row>
    <row r="455" spans="1:12" ht="15.75" customHeight="1">
      <c r="A455" s="11" t="s">
        <v>1393</v>
      </c>
      <c r="B455" s="11" t="s">
        <v>363</v>
      </c>
      <c r="C455" s="7" t="s">
        <v>1394</v>
      </c>
      <c r="E455" s="10"/>
      <c r="F455" s="10"/>
      <c r="G455" s="10" t="s">
        <v>7</v>
      </c>
      <c r="H455" s="11" t="s">
        <v>1395</v>
      </c>
    </row>
    <row r="456" spans="1:12" ht="15.75" customHeight="1">
      <c r="A456" s="29" t="s">
        <v>1396</v>
      </c>
      <c r="B456" s="11" t="s">
        <v>247</v>
      </c>
      <c r="C456" s="7" t="s">
        <v>1397</v>
      </c>
      <c r="D456" s="11" t="s">
        <v>1398</v>
      </c>
      <c r="E456" s="10" t="s">
        <v>349</v>
      </c>
      <c r="F456" s="10"/>
      <c r="G456" s="10" t="s">
        <v>7</v>
      </c>
      <c r="H456" s="11" t="s">
        <v>1399</v>
      </c>
    </row>
    <row r="457" spans="1:12" ht="15.75" customHeight="1">
      <c r="A457" s="29" t="s">
        <v>1400</v>
      </c>
      <c r="B457" s="11" t="s">
        <v>342</v>
      </c>
      <c r="C457" s="7" t="s">
        <v>1401</v>
      </c>
      <c r="E457" s="10" t="s">
        <v>349</v>
      </c>
      <c r="F457" s="10"/>
      <c r="G457" s="10" t="s">
        <v>7</v>
      </c>
      <c r="H457" s="11" t="s">
        <v>1402</v>
      </c>
    </row>
    <row r="458" spans="1:12" ht="15.75" customHeight="1">
      <c r="A458" s="29" t="s">
        <v>1403</v>
      </c>
      <c r="B458" s="11" t="s">
        <v>342</v>
      </c>
      <c r="C458" s="7" t="s">
        <v>1404</v>
      </c>
      <c r="E458" s="10" t="s">
        <v>349</v>
      </c>
      <c r="F458" s="10"/>
      <c r="G458" s="10" t="s">
        <v>7</v>
      </c>
      <c r="H458" s="11" t="s">
        <v>1405</v>
      </c>
    </row>
    <row r="459" spans="1:12" ht="15.75" customHeight="1">
      <c r="A459" s="29" t="s">
        <v>1406</v>
      </c>
      <c r="B459" s="11" t="s">
        <v>342</v>
      </c>
      <c r="C459" s="7" t="s">
        <v>1407</v>
      </c>
      <c r="E459" s="10" t="s">
        <v>349</v>
      </c>
      <c r="F459" s="10"/>
      <c r="G459" s="10" t="s">
        <v>7</v>
      </c>
      <c r="H459" s="11" t="s">
        <v>1408</v>
      </c>
    </row>
    <row r="460" spans="1:12" ht="15.75" customHeight="1">
      <c r="A460" s="29" t="s">
        <v>1409</v>
      </c>
      <c r="B460" s="11" t="s">
        <v>342</v>
      </c>
      <c r="C460" s="7" t="s">
        <v>1410</v>
      </c>
      <c r="E460" s="10" t="s">
        <v>349</v>
      </c>
      <c r="F460" s="10"/>
      <c r="G460" s="10" t="s">
        <v>7</v>
      </c>
      <c r="H460" s="11" t="s">
        <v>1411</v>
      </c>
    </row>
    <row r="461" spans="1:12" ht="15.75" customHeight="1">
      <c r="A461" s="29" t="s">
        <v>1412</v>
      </c>
      <c r="B461" s="11" t="s">
        <v>342</v>
      </c>
      <c r="C461" s="7" t="s">
        <v>1413</v>
      </c>
      <c r="E461" s="10" t="s">
        <v>349</v>
      </c>
      <c r="F461" s="10"/>
      <c r="G461" s="10" t="s">
        <v>7</v>
      </c>
      <c r="H461" s="11" t="s">
        <v>1414</v>
      </c>
    </row>
    <row r="462" spans="1:12" ht="15.75" customHeight="1">
      <c r="A462" s="11" t="s">
        <v>901</v>
      </c>
      <c r="B462" s="11" t="s">
        <v>342</v>
      </c>
      <c r="C462" s="6" t="s">
        <v>1415</v>
      </c>
      <c r="G462" s="11" t="s">
        <v>20</v>
      </c>
      <c r="L462" t="s">
        <v>1416</v>
      </c>
    </row>
    <row r="463" spans="1:12" ht="15.75" customHeight="1">
      <c r="A463" s="11" t="s">
        <v>1417</v>
      </c>
      <c r="B463" s="11" t="s">
        <v>342</v>
      </c>
      <c r="C463" s="6" t="s">
        <v>1418</v>
      </c>
      <c r="G463" s="11" t="s">
        <v>20</v>
      </c>
      <c r="L463" t="s">
        <v>1416</v>
      </c>
    </row>
    <row r="464" spans="1:12" ht="15.75" customHeight="1">
      <c r="A464" s="11" t="s">
        <v>1419</v>
      </c>
      <c r="B464" s="11" t="s">
        <v>342</v>
      </c>
      <c r="C464" s="24" t="s">
        <v>1420</v>
      </c>
      <c r="D464" s="29"/>
      <c r="G464" s="11" t="s">
        <v>20</v>
      </c>
      <c r="L464" t="s">
        <v>1416</v>
      </c>
    </row>
    <row r="465" spans="1:12" ht="15.75" customHeight="1">
      <c r="A465" s="11" t="s">
        <v>1421</v>
      </c>
      <c r="B465" s="11" t="s">
        <v>342</v>
      </c>
      <c r="C465" s="6" t="s">
        <v>1422</v>
      </c>
      <c r="D465" s="29"/>
      <c r="G465" s="11" t="s">
        <v>20</v>
      </c>
      <c r="L465" t="s">
        <v>1416</v>
      </c>
    </row>
    <row r="466" spans="1:12" ht="15.75" customHeight="1">
      <c r="A466" s="11" t="s">
        <v>1423</v>
      </c>
      <c r="B466" s="11" t="s">
        <v>342</v>
      </c>
      <c r="C466" s="6" t="s">
        <v>1424</v>
      </c>
      <c r="D466" s="29"/>
      <c r="G466" s="11" t="s">
        <v>20</v>
      </c>
      <c r="L466" t="s">
        <v>1416</v>
      </c>
    </row>
    <row r="467" spans="1:12" ht="15.75" customHeight="1">
      <c r="A467" s="11" t="s">
        <v>1425</v>
      </c>
      <c r="B467" s="11" t="s">
        <v>342</v>
      </c>
      <c r="C467" s="13" t="s">
        <v>1426</v>
      </c>
      <c r="D467" s="10"/>
      <c r="F467" s="11" t="s">
        <v>901</v>
      </c>
      <c r="G467" s="11" t="s">
        <v>20</v>
      </c>
    </row>
    <row r="468" spans="1:12" ht="15.75" customHeight="1">
      <c r="A468" s="11" t="s">
        <v>1427</v>
      </c>
      <c r="B468" s="11" t="s">
        <v>342</v>
      </c>
      <c r="C468" s="13" t="s">
        <v>1428</v>
      </c>
      <c r="D468" s="10"/>
      <c r="F468" s="11" t="s">
        <v>901</v>
      </c>
      <c r="G468" s="11" t="s">
        <v>20</v>
      </c>
    </row>
    <row r="469" spans="1:12" ht="15.75" customHeight="1">
      <c r="A469" s="11" t="s">
        <v>1429</v>
      </c>
      <c r="B469" s="11" t="s">
        <v>342</v>
      </c>
      <c r="C469" s="13" t="s">
        <v>1430</v>
      </c>
      <c r="D469" s="10"/>
      <c r="F469" s="11" t="s">
        <v>901</v>
      </c>
      <c r="G469" s="11" t="s">
        <v>20</v>
      </c>
    </row>
    <row r="470" spans="1:12" ht="15.75" customHeight="1">
      <c r="A470" s="11" t="s">
        <v>1431</v>
      </c>
      <c r="B470" s="11" t="s">
        <v>342</v>
      </c>
      <c r="C470" s="13" t="s">
        <v>1432</v>
      </c>
      <c r="D470" s="10"/>
      <c r="F470" s="11" t="s">
        <v>1417</v>
      </c>
      <c r="G470" s="11" t="s">
        <v>20</v>
      </c>
    </row>
    <row r="471" spans="1:12" ht="15.75" customHeight="1">
      <c r="A471" s="11" t="s">
        <v>1433</v>
      </c>
      <c r="B471" s="11" t="s">
        <v>342</v>
      </c>
      <c r="C471" s="13" t="s">
        <v>1434</v>
      </c>
      <c r="D471" s="10"/>
      <c r="F471" s="11" t="s">
        <v>1417</v>
      </c>
      <c r="G471" s="11" t="s">
        <v>20</v>
      </c>
    </row>
    <row r="472" spans="1:12" ht="15.75" customHeight="1">
      <c r="A472" s="11" t="s">
        <v>1435</v>
      </c>
      <c r="B472" s="11" t="s">
        <v>342</v>
      </c>
      <c r="C472" s="13" t="s">
        <v>1436</v>
      </c>
      <c r="D472" s="10"/>
      <c r="F472" s="11" t="s">
        <v>1417</v>
      </c>
      <c r="G472" s="11" t="s">
        <v>20</v>
      </c>
    </row>
    <row r="473" spans="1:12" ht="15.75" customHeight="1">
      <c r="A473" s="11" t="s">
        <v>1437</v>
      </c>
      <c r="B473" s="11" t="s">
        <v>342</v>
      </c>
      <c r="C473" s="13" t="s">
        <v>1438</v>
      </c>
      <c r="D473" s="10"/>
      <c r="F473" s="11" t="s">
        <v>1419</v>
      </c>
      <c r="G473" s="11" t="s">
        <v>20</v>
      </c>
    </row>
    <row r="474" spans="1:12" ht="15.75" customHeight="1">
      <c r="A474" s="11" t="s">
        <v>1439</v>
      </c>
      <c r="B474" s="11" t="s">
        <v>342</v>
      </c>
      <c r="C474" s="13" t="s">
        <v>1440</v>
      </c>
      <c r="D474" s="10"/>
      <c r="F474" s="11" t="s">
        <v>1419</v>
      </c>
      <c r="G474" s="11" t="s">
        <v>20</v>
      </c>
    </row>
    <row r="475" spans="1:12" ht="15.75" customHeight="1">
      <c r="A475" s="11" t="s">
        <v>1441</v>
      </c>
      <c r="B475" s="11" t="s">
        <v>342</v>
      </c>
      <c r="C475" s="13" t="s">
        <v>1442</v>
      </c>
      <c r="D475" s="10"/>
      <c r="F475" s="11" t="s">
        <v>1419</v>
      </c>
      <c r="G475" s="11" t="s">
        <v>20</v>
      </c>
    </row>
    <row r="476" spans="1:12" ht="15.75" customHeight="1">
      <c r="A476" s="11" t="s">
        <v>1443</v>
      </c>
      <c r="B476" s="11" t="s">
        <v>342</v>
      </c>
      <c r="C476" s="13" t="s">
        <v>1444</v>
      </c>
      <c r="D476" s="10"/>
      <c r="F476" s="11" t="s">
        <v>1419</v>
      </c>
      <c r="G476" s="11" t="s">
        <v>20</v>
      </c>
    </row>
    <row r="477" spans="1:12" ht="15.75" customHeight="1">
      <c r="A477" s="11" t="s">
        <v>1445</v>
      </c>
      <c r="B477" s="11" t="s">
        <v>342</v>
      </c>
      <c r="C477" s="13" t="s">
        <v>1446</v>
      </c>
      <c r="D477" s="10"/>
      <c r="F477" s="11" t="s">
        <v>1421</v>
      </c>
      <c r="G477" s="11" t="s">
        <v>20</v>
      </c>
    </row>
    <row r="478" spans="1:12" ht="15.75" customHeight="1">
      <c r="A478" s="11" t="s">
        <v>1447</v>
      </c>
      <c r="B478" s="11" t="s">
        <v>342</v>
      </c>
      <c r="C478" s="13" t="s">
        <v>1448</v>
      </c>
      <c r="D478" s="10"/>
      <c r="F478" s="11" t="s">
        <v>1421</v>
      </c>
      <c r="G478" s="11" t="s">
        <v>20</v>
      </c>
    </row>
    <row r="479" spans="1:12" ht="15.75" customHeight="1">
      <c r="A479" s="11" t="s">
        <v>1449</v>
      </c>
      <c r="B479" s="11" t="s">
        <v>342</v>
      </c>
      <c r="C479" s="13" t="s">
        <v>1450</v>
      </c>
      <c r="D479" s="10"/>
      <c r="F479" s="11" t="s">
        <v>1423</v>
      </c>
      <c r="G479" s="11" t="s">
        <v>20</v>
      </c>
    </row>
    <row r="480" spans="1:12" ht="15.75" customHeight="1">
      <c r="A480" s="11" t="s">
        <v>1451</v>
      </c>
      <c r="B480" s="11" t="s">
        <v>342</v>
      </c>
      <c r="C480" s="13" t="s">
        <v>1452</v>
      </c>
      <c r="D480" s="10"/>
      <c r="F480" s="11" t="s">
        <v>1423</v>
      </c>
      <c r="G480" s="11" t="s">
        <v>20</v>
      </c>
    </row>
    <row r="481" spans="1:9" ht="15.75" customHeight="1">
      <c r="A481" s="11" t="s">
        <v>1453</v>
      </c>
      <c r="B481" s="11" t="s">
        <v>342</v>
      </c>
      <c r="C481" s="13" t="s">
        <v>1454</v>
      </c>
      <c r="D481" s="10"/>
      <c r="F481" s="11" t="s">
        <v>1423</v>
      </c>
      <c r="G481" s="11" t="s">
        <v>20</v>
      </c>
    </row>
    <row r="482" spans="1:9" ht="15.75" customHeight="1">
      <c r="A482" s="11" t="s">
        <v>1455</v>
      </c>
      <c r="B482" s="11" t="s">
        <v>342</v>
      </c>
      <c r="C482" s="13" t="s">
        <v>1456</v>
      </c>
      <c r="D482" s="10"/>
      <c r="F482" s="11" t="s">
        <v>1423</v>
      </c>
      <c r="G482" s="11" t="s">
        <v>20</v>
      </c>
    </row>
    <row r="483" spans="1:9" ht="15.75" customHeight="1">
      <c r="A483" s="11" t="s">
        <v>1457</v>
      </c>
      <c r="B483" s="11" t="s">
        <v>342</v>
      </c>
      <c r="C483" s="13" t="s">
        <v>1458</v>
      </c>
      <c r="D483" s="10"/>
      <c r="F483" s="11" t="s">
        <v>1423</v>
      </c>
      <c r="G483" s="11" t="s">
        <v>20</v>
      </c>
    </row>
    <row r="484" spans="1:9" ht="15.75" customHeight="1">
      <c r="A484" s="29" t="s">
        <v>1459</v>
      </c>
      <c r="B484" s="11" t="s">
        <v>342</v>
      </c>
      <c r="C484" s="7" t="s">
        <v>1460</v>
      </c>
      <c r="E484" s="10" t="s">
        <v>349</v>
      </c>
      <c r="F484" s="10"/>
      <c r="G484" s="10" t="s">
        <v>7</v>
      </c>
      <c r="H484" s="11" t="s">
        <v>1461</v>
      </c>
    </row>
    <row r="485" spans="1:9" ht="15.75" customHeight="1">
      <c r="A485" s="29" t="s">
        <v>1462</v>
      </c>
      <c r="B485" s="11" t="s">
        <v>342</v>
      </c>
      <c r="C485" s="7" t="s">
        <v>1463</v>
      </c>
      <c r="E485" s="10" t="s">
        <v>349</v>
      </c>
      <c r="F485" s="10"/>
      <c r="G485" s="10" t="s">
        <v>7</v>
      </c>
      <c r="H485" s="11" t="s">
        <v>1464</v>
      </c>
    </row>
    <row r="486" spans="1:9" ht="15.75" customHeight="1">
      <c r="A486" s="29" t="s">
        <v>1465</v>
      </c>
      <c r="B486" s="11" t="s">
        <v>342</v>
      </c>
      <c r="C486" s="7" t="s">
        <v>1466</v>
      </c>
      <c r="E486" s="10" t="s">
        <v>349</v>
      </c>
      <c r="F486" s="10"/>
      <c r="G486" s="10" t="s">
        <v>7</v>
      </c>
      <c r="H486" s="11" t="s">
        <v>1467</v>
      </c>
    </row>
    <row r="487" spans="1:9" ht="15.75" customHeight="1">
      <c r="A487" s="29" t="s">
        <v>1468</v>
      </c>
      <c r="B487" s="11" t="s">
        <v>342</v>
      </c>
      <c r="C487" s="7" t="s">
        <v>1469</v>
      </c>
      <c r="E487" s="10" t="s">
        <v>349</v>
      </c>
      <c r="F487" s="10"/>
      <c r="G487" s="10" t="s">
        <v>7</v>
      </c>
      <c r="H487" s="11" t="s">
        <v>1470</v>
      </c>
    </row>
    <row r="488" spans="1:9" ht="15.75" customHeight="1">
      <c r="A488" s="29" t="s">
        <v>1471</v>
      </c>
      <c r="B488" s="11" t="s">
        <v>342</v>
      </c>
      <c r="C488" s="7" t="s">
        <v>1472</v>
      </c>
      <c r="E488" s="10" t="s">
        <v>349</v>
      </c>
      <c r="F488" s="10"/>
      <c r="G488" s="10" t="s">
        <v>7</v>
      </c>
      <c r="H488" s="11" t="s">
        <v>1473</v>
      </c>
    </row>
    <row r="489" spans="1:9" ht="15.75" customHeight="1">
      <c r="A489" s="11" t="s">
        <v>1474</v>
      </c>
      <c r="B489" s="11" t="s">
        <v>342</v>
      </c>
      <c r="C489" s="12" t="s">
        <v>1475</v>
      </c>
      <c r="G489" s="11" t="s">
        <v>8</v>
      </c>
      <c r="I489" t="s">
        <v>1476</v>
      </c>
    </row>
    <row r="490" spans="1:9" ht="15.75" customHeight="1">
      <c r="A490" s="11" t="s">
        <v>1477</v>
      </c>
      <c r="B490" s="11" t="s">
        <v>342</v>
      </c>
      <c r="C490" s="12" t="s">
        <v>1478</v>
      </c>
      <c r="G490" s="11" t="s">
        <v>8</v>
      </c>
      <c r="I490" t="s">
        <v>1479</v>
      </c>
    </row>
    <row r="491" spans="1:9" ht="15.75" customHeight="1">
      <c r="A491" s="11" t="s">
        <v>1480</v>
      </c>
      <c r="B491" s="11" t="s">
        <v>342</v>
      </c>
      <c r="C491" s="12" t="s">
        <v>1481</v>
      </c>
      <c r="G491" s="11" t="s">
        <v>8</v>
      </c>
      <c r="I491" t="s">
        <v>1482</v>
      </c>
    </row>
    <row r="492" spans="1:9" ht="15.75" customHeight="1">
      <c r="A492" s="11" t="s">
        <v>1483</v>
      </c>
      <c r="B492" s="11" t="s">
        <v>342</v>
      </c>
      <c r="C492" s="12" t="s">
        <v>1484</v>
      </c>
      <c r="G492" s="11" t="s">
        <v>8</v>
      </c>
      <c r="I492" t="s">
        <v>1485</v>
      </c>
    </row>
    <row r="493" spans="1:9" ht="15.75" customHeight="1">
      <c r="A493" s="11" t="s">
        <v>1486</v>
      </c>
      <c r="B493" s="11" t="s">
        <v>342</v>
      </c>
      <c r="C493" s="12" t="s">
        <v>1487</v>
      </c>
      <c r="G493" s="11" t="s">
        <v>8</v>
      </c>
      <c r="I493" t="s">
        <v>1488</v>
      </c>
    </row>
    <row r="494" spans="1:9" ht="15.75" customHeight="1">
      <c r="A494" s="11" t="s">
        <v>1489</v>
      </c>
      <c r="B494" s="11" t="s">
        <v>342</v>
      </c>
      <c r="C494" s="12" t="s">
        <v>1490</v>
      </c>
      <c r="G494" s="11" t="s">
        <v>8</v>
      </c>
      <c r="I494" t="s">
        <v>1491</v>
      </c>
    </row>
    <row r="495" spans="1:9" ht="15.75" customHeight="1">
      <c r="A495" s="11" t="s">
        <v>1492</v>
      </c>
      <c r="B495" s="11" t="s">
        <v>342</v>
      </c>
      <c r="C495" s="12" t="s">
        <v>1493</v>
      </c>
      <c r="G495" s="11" t="s">
        <v>8</v>
      </c>
      <c r="I495" t="s">
        <v>1494</v>
      </c>
    </row>
    <row r="496" spans="1:9" ht="15.75" customHeight="1">
      <c r="A496" s="11" t="s">
        <v>1495</v>
      </c>
      <c r="B496" s="11" t="s">
        <v>342</v>
      </c>
      <c r="C496" s="12" t="s">
        <v>1496</v>
      </c>
      <c r="G496" s="11" t="s">
        <v>8</v>
      </c>
      <c r="I496" t="s">
        <v>1497</v>
      </c>
    </row>
    <row r="497" spans="1:9" ht="15.75" customHeight="1">
      <c r="A497" s="11" t="s">
        <v>1498</v>
      </c>
      <c r="B497" s="11" t="s">
        <v>342</v>
      </c>
      <c r="C497" s="12" t="s">
        <v>1499</v>
      </c>
      <c r="G497" s="11" t="s">
        <v>8</v>
      </c>
      <c r="I497" t="s">
        <v>1500</v>
      </c>
    </row>
    <row r="498" spans="1:9" ht="15.75" customHeight="1">
      <c r="A498" s="11" t="s">
        <v>1501</v>
      </c>
      <c r="B498" s="11" t="s">
        <v>342</v>
      </c>
      <c r="C498" s="12" t="s">
        <v>1502</v>
      </c>
      <c r="G498" s="11" t="s">
        <v>8</v>
      </c>
      <c r="I498" t="s">
        <v>1503</v>
      </c>
    </row>
    <row r="499" spans="1:9" ht="15.75" customHeight="1">
      <c r="A499" s="11" t="s">
        <v>1504</v>
      </c>
      <c r="B499" s="11" t="s">
        <v>342</v>
      </c>
      <c r="C499" s="12" t="s">
        <v>1505</v>
      </c>
      <c r="G499" s="11" t="s">
        <v>8</v>
      </c>
      <c r="I499" t="s">
        <v>1506</v>
      </c>
    </row>
    <row r="500" spans="1:9" ht="15.75" customHeight="1">
      <c r="A500" s="11" t="s">
        <v>1507</v>
      </c>
      <c r="B500" s="11" t="s">
        <v>342</v>
      </c>
      <c r="C500" s="12" t="s">
        <v>1508</v>
      </c>
      <c r="G500" s="11" t="s">
        <v>8</v>
      </c>
      <c r="I500" t="s">
        <v>1509</v>
      </c>
    </row>
    <row r="501" spans="1:9" ht="15.75" customHeight="1">
      <c r="A501" s="11" t="s">
        <v>1510</v>
      </c>
      <c r="B501" s="11" t="s">
        <v>342</v>
      </c>
      <c r="C501" s="12" t="s">
        <v>1511</v>
      </c>
      <c r="G501" s="11" t="s">
        <v>8</v>
      </c>
      <c r="I501" t="s">
        <v>1512</v>
      </c>
    </row>
    <row r="502" spans="1:9" ht="15.75" customHeight="1">
      <c r="A502" s="11" t="s">
        <v>1513</v>
      </c>
      <c r="B502" s="11" t="s">
        <v>342</v>
      </c>
      <c r="C502" s="12" t="s">
        <v>1514</v>
      </c>
      <c r="G502" s="11" t="s">
        <v>8</v>
      </c>
      <c r="I502" t="s">
        <v>1515</v>
      </c>
    </row>
    <row r="503" spans="1:9" ht="15.75" customHeight="1">
      <c r="A503" s="11" t="s">
        <v>1516</v>
      </c>
      <c r="B503" s="11" t="s">
        <v>342</v>
      </c>
      <c r="C503" s="12" t="s">
        <v>1517</v>
      </c>
      <c r="G503" s="11" t="s">
        <v>8</v>
      </c>
      <c r="I503" t="s">
        <v>1518</v>
      </c>
    </row>
    <row r="504" spans="1:9" ht="15.75" customHeight="1">
      <c r="A504" s="11" t="s">
        <v>1519</v>
      </c>
      <c r="B504" s="11" t="s">
        <v>342</v>
      </c>
      <c r="C504" s="12" t="s">
        <v>1520</v>
      </c>
      <c r="G504" s="11" t="s">
        <v>8</v>
      </c>
      <c r="I504" t="s">
        <v>1521</v>
      </c>
    </row>
    <row r="505" spans="1:9" ht="15.75" customHeight="1">
      <c r="A505" s="11" t="s">
        <v>1522</v>
      </c>
      <c r="B505" s="11" t="s">
        <v>342</v>
      </c>
      <c r="C505" s="12" t="s">
        <v>1523</v>
      </c>
      <c r="G505" s="11" t="s">
        <v>8</v>
      </c>
      <c r="I505" t="s">
        <v>1524</v>
      </c>
    </row>
    <row r="506" spans="1:9" ht="15.75" customHeight="1">
      <c r="A506" s="11" t="s">
        <v>1525</v>
      </c>
      <c r="B506" s="11" t="s">
        <v>342</v>
      </c>
      <c r="C506" s="12" t="s">
        <v>1526</v>
      </c>
      <c r="G506" s="11" t="s">
        <v>8</v>
      </c>
      <c r="I506" t="s">
        <v>1527</v>
      </c>
    </row>
    <row r="507" spans="1:9" ht="15.75" customHeight="1">
      <c r="A507" s="11" t="s">
        <v>1528</v>
      </c>
      <c r="B507" s="11" t="s">
        <v>342</v>
      </c>
      <c r="C507" s="12" t="s">
        <v>1529</v>
      </c>
      <c r="G507" s="11" t="s">
        <v>8</v>
      </c>
      <c r="I507" t="s">
        <v>1530</v>
      </c>
    </row>
    <row r="508" spans="1:9" ht="15.75" customHeight="1">
      <c r="A508" s="11" t="s">
        <v>1531</v>
      </c>
      <c r="B508" s="11" t="s">
        <v>342</v>
      </c>
      <c r="C508" s="12" t="s">
        <v>343</v>
      </c>
      <c r="G508" s="11" t="s">
        <v>8</v>
      </c>
      <c r="H508" s="16"/>
      <c r="I508" s="16" t="s">
        <v>1532</v>
      </c>
    </row>
    <row r="509" spans="1:9" ht="15.75" customHeight="1">
      <c r="A509" s="11" t="s">
        <v>1533</v>
      </c>
      <c r="B509" s="11" t="s">
        <v>342</v>
      </c>
      <c r="C509" s="12" t="s">
        <v>1534</v>
      </c>
      <c r="G509" s="11" t="s">
        <v>8</v>
      </c>
      <c r="I509" t="s">
        <v>1535</v>
      </c>
    </row>
    <row r="510" spans="1:9" ht="15.75" customHeight="1">
      <c r="A510" t="s">
        <v>1536</v>
      </c>
      <c r="B510" t="s">
        <v>342</v>
      </c>
      <c r="C510" t="s">
        <v>1537</v>
      </c>
      <c r="E510" t="s">
        <v>1538</v>
      </c>
      <c r="F510" t="s">
        <v>1423</v>
      </c>
      <c r="G510" t="s">
        <v>20</v>
      </c>
    </row>
    <row r="511" spans="1:9" ht="15.75" customHeight="1">
      <c r="A511" t="s">
        <v>1539</v>
      </c>
      <c r="B511" t="s">
        <v>342</v>
      </c>
      <c r="C511" t="s">
        <v>1540</v>
      </c>
      <c r="E511" t="s">
        <v>1541</v>
      </c>
      <c r="F511" t="s">
        <v>1423</v>
      </c>
      <c r="G511" t="s">
        <v>20</v>
      </c>
    </row>
    <row r="512" spans="1:9" ht="15.75" customHeight="1">
      <c r="A512" t="s">
        <v>1542</v>
      </c>
      <c r="B512" t="s">
        <v>342</v>
      </c>
      <c r="C512" t="s">
        <v>1543</v>
      </c>
      <c r="E512" t="s">
        <v>1544</v>
      </c>
      <c r="F512" t="s">
        <v>1423</v>
      </c>
      <c r="G512" t="s">
        <v>20</v>
      </c>
    </row>
    <row r="513" spans="1:17" ht="15.75" customHeight="1">
      <c r="A513" t="s">
        <v>1545</v>
      </c>
      <c r="B513" t="s">
        <v>342</v>
      </c>
      <c r="C513" t="s">
        <v>1546</v>
      </c>
      <c r="E513" t="s">
        <v>1547</v>
      </c>
      <c r="F513" t="s">
        <v>1423</v>
      </c>
      <c r="G513" t="s">
        <v>20</v>
      </c>
    </row>
    <row r="514" spans="1:17" ht="15.75" customHeight="1">
      <c r="A514" t="s">
        <v>1548</v>
      </c>
      <c r="B514" t="s">
        <v>342</v>
      </c>
      <c r="C514" t="s">
        <v>1549</v>
      </c>
      <c r="E514" t="s">
        <v>1550</v>
      </c>
      <c r="F514" t="s">
        <v>1423</v>
      </c>
      <c r="G514" t="s">
        <v>20</v>
      </c>
    </row>
    <row r="515" spans="1:17" ht="15.75" customHeight="1">
      <c r="A515" t="s">
        <v>1551</v>
      </c>
      <c r="B515" t="s">
        <v>342</v>
      </c>
      <c r="C515" t="s">
        <v>1552</v>
      </c>
      <c r="E515" t="s">
        <v>1553</v>
      </c>
      <c r="F515" t="s">
        <v>1423</v>
      </c>
      <c r="G515" t="s">
        <v>20</v>
      </c>
    </row>
    <row r="516" spans="1:17" ht="15.75" customHeight="1">
      <c r="A516" t="s">
        <v>1554</v>
      </c>
      <c r="B516" t="s">
        <v>342</v>
      </c>
      <c r="C516" t="s">
        <v>1555</v>
      </c>
      <c r="E516" t="s">
        <v>1556</v>
      </c>
      <c r="F516" t="s">
        <v>1423</v>
      </c>
      <c r="G516" t="s">
        <v>20</v>
      </c>
    </row>
    <row r="517" spans="1:17" ht="15.75" customHeight="1">
      <c r="A517" t="s">
        <v>1557</v>
      </c>
      <c r="B517" t="s">
        <v>342</v>
      </c>
      <c r="C517" t="s">
        <v>1558</v>
      </c>
      <c r="G517" t="s">
        <v>8</v>
      </c>
      <c r="I517" t="s">
        <v>1559</v>
      </c>
    </row>
    <row r="518" spans="1:17" ht="15.75" customHeight="1">
      <c r="A518" t="s">
        <v>1560</v>
      </c>
      <c r="B518" t="s">
        <v>342</v>
      </c>
      <c r="C518" t="s">
        <v>1561</v>
      </c>
      <c r="G518" t="s">
        <v>8</v>
      </c>
      <c r="I518" t="s">
        <v>1562</v>
      </c>
    </row>
    <row r="519" spans="1:17" ht="15.75" customHeight="1">
      <c r="A519" t="s">
        <v>1563</v>
      </c>
      <c r="B519" t="s">
        <v>342</v>
      </c>
      <c r="C519" t="s">
        <v>1564</v>
      </c>
      <c r="G519" t="s">
        <v>8</v>
      </c>
      <c r="I519" t="s">
        <v>1565</v>
      </c>
    </row>
    <row r="520" spans="1:17" ht="15.75" customHeight="1">
      <c r="A520" t="s">
        <v>1566</v>
      </c>
      <c r="B520" t="s">
        <v>342</v>
      </c>
      <c r="C520" t="s">
        <v>1567</v>
      </c>
      <c r="G520" t="s">
        <v>8</v>
      </c>
      <c r="I520" t="s">
        <v>1568</v>
      </c>
    </row>
    <row r="521" spans="1:17" ht="15.75" customHeight="1">
      <c r="A521" t="s">
        <v>1569</v>
      </c>
      <c r="B521" t="s">
        <v>342</v>
      </c>
      <c r="C521" t="s">
        <v>1570</v>
      </c>
      <c r="G521" t="s">
        <v>8</v>
      </c>
      <c r="I521" t="s">
        <v>1571</v>
      </c>
    </row>
    <row r="522" spans="1:17" ht="15.75" customHeight="1">
      <c r="A522" t="s">
        <v>1572</v>
      </c>
      <c r="B522" t="s">
        <v>342</v>
      </c>
      <c r="C522" t="s">
        <v>1573</v>
      </c>
      <c r="G522" t="s">
        <v>8</v>
      </c>
      <c r="I522" t="s">
        <v>1574</v>
      </c>
    </row>
    <row r="523" spans="1:17" ht="15.75" customHeight="1">
      <c r="A523" t="s">
        <v>1575</v>
      </c>
      <c r="B523" t="s">
        <v>342</v>
      </c>
      <c r="C523" t="s">
        <v>1576</v>
      </c>
      <c r="G523" t="s">
        <v>8</v>
      </c>
      <c r="I523" t="s">
        <v>1577</v>
      </c>
    </row>
    <row r="524" spans="1:17" ht="15.75" customHeight="1">
      <c r="A524" s="29" t="s">
        <v>1578</v>
      </c>
      <c r="B524" s="11" t="s">
        <v>17</v>
      </c>
      <c r="C524" s="12" t="s">
        <v>1579</v>
      </c>
      <c r="F524" t="s">
        <v>1580</v>
      </c>
      <c r="G524" s="11" t="s">
        <v>20</v>
      </c>
      <c r="K524">
        <v>1</v>
      </c>
      <c r="L524" s="28" t="s">
        <v>22</v>
      </c>
      <c r="P524" t="s">
        <v>274</v>
      </c>
      <c r="Q524" t="s">
        <v>1581</v>
      </c>
    </row>
    <row r="525" spans="1:17" ht="15.75" customHeight="1">
      <c r="A525" s="29" t="s">
        <v>1582</v>
      </c>
      <c r="B525" s="11" t="s">
        <v>17</v>
      </c>
      <c r="C525" s="12" t="s">
        <v>1583</v>
      </c>
      <c r="F525" t="s">
        <v>1580</v>
      </c>
      <c r="G525" s="11" t="s">
        <v>20</v>
      </c>
      <c r="K525">
        <v>1</v>
      </c>
      <c r="L525" s="28" t="s">
        <v>22</v>
      </c>
      <c r="P525" t="s">
        <v>741</v>
      </c>
      <c r="Q525" t="s">
        <v>1584</v>
      </c>
    </row>
    <row r="526" spans="1:17" ht="15.75" customHeight="1">
      <c r="A526" s="29" t="s">
        <v>1585</v>
      </c>
      <c r="B526" s="11" t="s">
        <v>17</v>
      </c>
      <c r="C526" s="12" t="s">
        <v>1586</v>
      </c>
      <c r="F526" t="s">
        <v>1580</v>
      </c>
      <c r="G526" s="11" t="s">
        <v>20</v>
      </c>
      <c r="K526">
        <v>2</v>
      </c>
      <c r="L526" s="28" t="s">
        <v>22</v>
      </c>
      <c r="P526" t="s">
        <v>274</v>
      </c>
      <c r="Q526" t="s">
        <v>1587</v>
      </c>
    </row>
    <row r="527" spans="1:17" ht="15.75" customHeight="1">
      <c r="A527" s="29" t="s">
        <v>1588</v>
      </c>
      <c r="B527" s="11" t="s">
        <v>17</v>
      </c>
      <c r="C527" s="12" t="s">
        <v>1589</v>
      </c>
      <c r="F527" t="s">
        <v>1580</v>
      </c>
      <c r="G527" s="11" t="s">
        <v>20</v>
      </c>
      <c r="K527">
        <v>2</v>
      </c>
      <c r="L527" s="28" t="s">
        <v>22</v>
      </c>
      <c r="P527" t="s">
        <v>741</v>
      </c>
      <c r="Q527" t="s">
        <v>1590</v>
      </c>
    </row>
    <row r="528" spans="1:17" ht="15.75" customHeight="1">
      <c r="A528" s="29" t="s">
        <v>1591</v>
      </c>
      <c r="B528" s="11" t="s">
        <v>17</v>
      </c>
      <c r="C528" s="12" t="s">
        <v>1592</v>
      </c>
      <c r="F528" t="s">
        <v>1580</v>
      </c>
      <c r="G528" s="11" t="s">
        <v>20</v>
      </c>
      <c r="H528" s="29"/>
      <c r="I528" s="29"/>
      <c r="K528">
        <v>2</v>
      </c>
      <c r="L528" s="28" t="s">
        <v>22</v>
      </c>
      <c r="P528" t="s">
        <v>274</v>
      </c>
      <c r="Q528" t="s">
        <v>1593</v>
      </c>
    </row>
    <row r="529" spans="1:17" ht="15.75" customHeight="1">
      <c r="A529" s="29" t="s">
        <v>1594</v>
      </c>
      <c r="B529" s="11" t="s">
        <v>17</v>
      </c>
      <c r="C529" s="12" t="s">
        <v>1595</v>
      </c>
      <c r="F529" t="s">
        <v>1580</v>
      </c>
      <c r="G529" s="11" t="s">
        <v>20</v>
      </c>
      <c r="H529" s="29"/>
      <c r="I529" s="29"/>
      <c r="K529">
        <v>2</v>
      </c>
      <c r="L529" s="28" t="s">
        <v>22</v>
      </c>
      <c r="P529" t="s">
        <v>274</v>
      </c>
      <c r="Q529" t="s">
        <v>1596</v>
      </c>
    </row>
    <row r="530" spans="1:17" ht="15.75" customHeight="1">
      <c r="A530" s="29" t="s">
        <v>1597</v>
      </c>
      <c r="B530" s="11" t="s">
        <v>17</v>
      </c>
      <c r="C530" s="12" t="s">
        <v>1598</v>
      </c>
      <c r="F530" t="s">
        <v>1580</v>
      </c>
      <c r="G530" s="11" t="s">
        <v>20</v>
      </c>
      <c r="K530">
        <v>3</v>
      </c>
      <c r="L530" s="28" t="s">
        <v>22</v>
      </c>
      <c r="P530" t="s">
        <v>274</v>
      </c>
      <c r="Q530" t="s">
        <v>1599</v>
      </c>
    </row>
    <row r="531" spans="1:17" ht="15.75" customHeight="1">
      <c r="A531" s="29" t="s">
        <v>1600</v>
      </c>
      <c r="B531" s="11" t="s">
        <v>17</v>
      </c>
      <c r="C531" s="12" t="s">
        <v>1601</v>
      </c>
      <c r="F531" t="s">
        <v>1580</v>
      </c>
      <c r="G531" s="11" t="s">
        <v>20</v>
      </c>
      <c r="H531" s="29"/>
      <c r="I531" s="29"/>
      <c r="K531">
        <v>3</v>
      </c>
      <c r="L531" s="28" t="s">
        <v>22</v>
      </c>
      <c r="P531" t="s">
        <v>741</v>
      </c>
      <c r="Q531" t="s">
        <v>1602</v>
      </c>
    </row>
    <row r="532" spans="1:17" ht="15.75" customHeight="1">
      <c r="A532" s="29" t="s">
        <v>1603</v>
      </c>
      <c r="B532" s="11" t="s">
        <v>17</v>
      </c>
      <c r="C532" s="12" t="s">
        <v>1604</v>
      </c>
      <c r="F532" t="s">
        <v>1580</v>
      </c>
      <c r="G532" s="11" t="s">
        <v>20</v>
      </c>
      <c r="K532">
        <v>3</v>
      </c>
      <c r="L532" s="28" t="s">
        <v>22</v>
      </c>
      <c r="P532" t="s">
        <v>274</v>
      </c>
      <c r="Q532" t="s">
        <v>1605</v>
      </c>
    </row>
    <row r="533" spans="1:17" ht="15.75" customHeight="1">
      <c r="A533" s="29" t="s">
        <v>1606</v>
      </c>
      <c r="B533" s="11" t="s">
        <v>17</v>
      </c>
      <c r="C533" s="12" t="s">
        <v>1607</v>
      </c>
      <c r="F533" t="s">
        <v>1580</v>
      </c>
      <c r="G533" s="11" t="s">
        <v>20</v>
      </c>
      <c r="K533">
        <v>3</v>
      </c>
      <c r="L533" s="28" t="s">
        <v>22</v>
      </c>
      <c r="P533" t="s">
        <v>274</v>
      </c>
      <c r="Q533" t="s">
        <v>1605</v>
      </c>
    </row>
    <row r="534" spans="1:17" ht="15.75" customHeight="1">
      <c r="A534" s="29" t="s">
        <v>1608</v>
      </c>
      <c r="B534" s="11" t="s">
        <v>17</v>
      </c>
      <c r="C534" s="12" t="s">
        <v>1609</v>
      </c>
      <c r="F534" t="s">
        <v>1580</v>
      </c>
      <c r="G534" s="11" t="s">
        <v>20</v>
      </c>
      <c r="K534">
        <v>3</v>
      </c>
      <c r="L534" s="28" t="s">
        <v>22</v>
      </c>
      <c r="P534" t="s">
        <v>274</v>
      </c>
      <c r="Q534" t="s">
        <v>1605</v>
      </c>
    </row>
    <row r="535" spans="1:17" ht="15.75" customHeight="1">
      <c r="A535" s="29" t="s">
        <v>1610</v>
      </c>
      <c r="B535" s="11" t="s">
        <v>17</v>
      </c>
      <c r="C535" s="12" t="s">
        <v>1611</v>
      </c>
      <c r="F535" t="s">
        <v>1580</v>
      </c>
      <c r="G535" s="11" t="s">
        <v>20</v>
      </c>
      <c r="K535">
        <v>3</v>
      </c>
      <c r="L535" s="28" t="s">
        <v>22</v>
      </c>
      <c r="P535" t="s">
        <v>274</v>
      </c>
      <c r="Q535" t="s">
        <v>1605</v>
      </c>
    </row>
    <row r="536" spans="1:17" ht="15.75" customHeight="1">
      <c r="A536" s="29" t="s">
        <v>1612</v>
      </c>
      <c r="B536" s="11" t="s">
        <v>17</v>
      </c>
      <c r="C536" s="12" t="s">
        <v>1613</v>
      </c>
      <c r="F536" t="s">
        <v>1580</v>
      </c>
      <c r="G536" s="11" t="s">
        <v>20</v>
      </c>
      <c r="K536">
        <v>3</v>
      </c>
      <c r="L536" s="28" t="s">
        <v>22</v>
      </c>
      <c r="P536" t="s">
        <v>274</v>
      </c>
      <c r="Q536" t="s">
        <v>1605</v>
      </c>
    </row>
    <row r="537" spans="1:17" ht="15.75" customHeight="1">
      <c r="A537" s="29" t="s">
        <v>1614</v>
      </c>
      <c r="B537" s="11" t="s">
        <v>17</v>
      </c>
      <c r="C537" s="12" t="s">
        <v>1615</v>
      </c>
      <c r="F537" t="s">
        <v>1580</v>
      </c>
      <c r="G537" s="11" t="s">
        <v>20</v>
      </c>
      <c r="K537">
        <v>3</v>
      </c>
      <c r="L537" s="28" t="s">
        <v>22</v>
      </c>
      <c r="P537" t="s">
        <v>274</v>
      </c>
      <c r="Q537" t="s">
        <v>1605</v>
      </c>
    </row>
    <row r="538" spans="1:17" ht="15.75" customHeight="1">
      <c r="A538" s="29" t="s">
        <v>1616</v>
      </c>
      <c r="B538" s="11" t="s">
        <v>17</v>
      </c>
      <c r="C538" s="12" t="s">
        <v>1617</v>
      </c>
      <c r="F538" t="s">
        <v>1580</v>
      </c>
      <c r="G538" s="11" t="s">
        <v>20</v>
      </c>
      <c r="H538" s="29"/>
      <c r="I538" s="29"/>
      <c r="K538">
        <v>3</v>
      </c>
      <c r="L538" s="28" t="s">
        <v>22</v>
      </c>
      <c r="P538" t="s">
        <v>274</v>
      </c>
      <c r="Q538" s="1" t="s">
        <v>1605</v>
      </c>
    </row>
    <row r="539" spans="1:17" ht="15.75" customHeight="1">
      <c r="A539" s="29" t="s">
        <v>1618</v>
      </c>
      <c r="B539" s="11" t="s">
        <v>17</v>
      </c>
      <c r="C539" s="12" t="s">
        <v>1619</v>
      </c>
      <c r="F539" t="s">
        <v>1580</v>
      </c>
      <c r="G539" s="11" t="s">
        <v>20</v>
      </c>
      <c r="H539" s="29"/>
      <c r="I539" s="29"/>
      <c r="K539">
        <v>3</v>
      </c>
      <c r="L539" s="28" t="s">
        <v>22</v>
      </c>
      <c r="P539" t="s">
        <v>274</v>
      </c>
      <c r="Q539" s="1" t="s">
        <v>1605</v>
      </c>
    </row>
    <row r="540" spans="1:17" ht="15.75" customHeight="1">
      <c r="A540" s="29" t="s">
        <v>1620</v>
      </c>
      <c r="B540" s="11" t="s">
        <v>17</v>
      </c>
      <c r="C540" s="12" t="s">
        <v>1621</v>
      </c>
      <c r="F540" t="s">
        <v>1580</v>
      </c>
      <c r="G540" s="11" t="s">
        <v>20</v>
      </c>
      <c r="K540">
        <v>3</v>
      </c>
      <c r="L540" s="28" t="s">
        <v>22</v>
      </c>
      <c r="P540" t="s">
        <v>274</v>
      </c>
      <c r="Q540" s="1" t="s">
        <v>1605</v>
      </c>
    </row>
    <row r="541" spans="1:17" ht="15.75" customHeight="1">
      <c r="A541" s="29" t="s">
        <v>1622</v>
      </c>
      <c r="B541" s="11" t="s">
        <v>17</v>
      </c>
      <c r="C541" s="12" t="s">
        <v>1623</v>
      </c>
      <c r="F541" t="s">
        <v>1580</v>
      </c>
      <c r="G541" s="11" t="s">
        <v>20</v>
      </c>
      <c r="K541">
        <v>3</v>
      </c>
      <c r="L541" s="28" t="s">
        <v>22</v>
      </c>
      <c r="P541" t="s">
        <v>274</v>
      </c>
      <c r="Q541" t="s">
        <v>1605</v>
      </c>
    </row>
    <row r="542" spans="1:17" ht="15.75" customHeight="1">
      <c r="A542" s="29" t="s">
        <v>1624</v>
      </c>
      <c r="B542" s="11" t="s">
        <v>17</v>
      </c>
      <c r="C542" s="12" t="s">
        <v>1625</v>
      </c>
      <c r="F542" t="s">
        <v>1580</v>
      </c>
      <c r="G542" s="11" t="s">
        <v>20</v>
      </c>
      <c r="H542" s="29"/>
      <c r="I542" s="29"/>
      <c r="K542">
        <v>3</v>
      </c>
      <c r="L542" s="28" t="s">
        <v>22</v>
      </c>
      <c r="P542" t="s">
        <v>274</v>
      </c>
      <c r="Q542" t="s">
        <v>1605</v>
      </c>
    </row>
    <row r="543" spans="1:17" ht="15.75" customHeight="1">
      <c r="A543" s="29" t="s">
        <v>1626</v>
      </c>
      <c r="B543" s="11" t="s">
        <v>17</v>
      </c>
      <c r="C543" s="12" t="s">
        <v>1627</v>
      </c>
      <c r="F543" t="s">
        <v>1580</v>
      </c>
      <c r="G543" s="11" t="s">
        <v>20</v>
      </c>
      <c r="H543" s="29"/>
      <c r="I543" s="29"/>
      <c r="K543">
        <v>3</v>
      </c>
      <c r="L543" s="28" t="s">
        <v>22</v>
      </c>
      <c r="P543" t="s">
        <v>274</v>
      </c>
      <c r="Q543" s="1" t="s">
        <v>1605</v>
      </c>
    </row>
    <row r="544" spans="1:17" ht="15.75" customHeight="1">
      <c r="A544" s="29" t="s">
        <v>1628</v>
      </c>
      <c r="B544" s="11" t="s">
        <v>17</v>
      </c>
      <c r="C544" s="12" t="s">
        <v>1629</v>
      </c>
      <c r="F544" t="s">
        <v>1580</v>
      </c>
      <c r="G544" s="11" t="s">
        <v>20</v>
      </c>
      <c r="H544" s="29"/>
      <c r="I544" s="29"/>
      <c r="K544">
        <v>4</v>
      </c>
      <c r="L544" s="28" t="s">
        <v>22</v>
      </c>
      <c r="P544" t="s">
        <v>274</v>
      </c>
      <c r="Q544" s="3" t="s">
        <v>1630</v>
      </c>
    </row>
    <row r="545" spans="1:17" ht="15.75" customHeight="1">
      <c r="A545" s="29" t="s">
        <v>1631</v>
      </c>
      <c r="B545" s="11" t="s">
        <v>17</v>
      </c>
      <c r="C545" s="12" t="s">
        <v>1632</v>
      </c>
      <c r="F545" t="s">
        <v>1580</v>
      </c>
      <c r="G545" s="11" t="s">
        <v>20</v>
      </c>
      <c r="H545" s="29"/>
      <c r="I545" s="29"/>
      <c r="K545">
        <v>4</v>
      </c>
      <c r="L545" s="28" t="s">
        <v>22</v>
      </c>
      <c r="P545" t="s">
        <v>741</v>
      </c>
      <c r="Q545" s="3" t="s">
        <v>1633</v>
      </c>
    </row>
    <row r="546" spans="1:17" ht="15.75" customHeight="1">
      <c r="A546" s="29" t="s">
        <v>1634</v>
      </c>
      <c r="B546" s="11" t="s">
        <v>17</v>
      </c>
      <c r="C546" s="12" t="s">
        <v>1635</v>
      </c>
      <c r="F546" t="s">
        <v>1580</v>
      </c>
      <c r="G546" s="11" t="s">
        <v>20</v>
      </c>
      <c r="K546">
        <v>5</v>
      </c>
      <c r="L546" s="28" t="s">
        <v>22</v>
      </c>
      <c r="P546" t="s">
        <v>274</v>
      </c>
      <c r="Q546" s="3" t="s">
        <v>1636</v>
      </c>
    </row>
    <row r="547" spans="1:17" ht="15.75" customHeight="1">
      <c r="A547" s="29" t="s">
        <v>1637</v>
      </c>
      <c r="B547" s="11" t="s">
        <v>17</v>
      </c>
      <c r="C547" s="12" t="s">
        <v>1638</v>
      </c>
      <c r="F547" t="s">
        <v>1580</v>
      </c>
      <c r="G547" s="11" t="s">
        <v>20</v>
      </c>
      <c r="H547" s="29"/>
      <c r="I547" s="29"/>
      <c r="K547">
        <v>5</v>
      </c>
      <c r="L547" s="28" t="s">
        <v>22</v>
      </c>
      <c r="P547" t="s">
        <v>274</v>
      </c>
      <c r="Q547" t="s">
        <v>1639</v>
      </c>
    </row>
    <row r="548" spans="1:17" ht="15.75" customHeight="1">
      <c r="A548" s="29" t="s">
        <v>1640</v>
      </c>
      <c r="B548" s="11" t="s">
        <v>17</v>
      </c>
      <c r="C548" s="12" t="s">
        <v>1641</v>
      </c>
      <c r="F548" t="s">
        <v>1580</v>
      </c>
      <c r="G548" s="11" t="s">
        <v>20</v>
      </c>
      <c r="K548">
        <v>5</v>
      </c>
      <c r="L548" s="28" t="s">
        <v>22</v>
      </c>
      <c r="P548" t="s">
        <v>741</v>
      </c>
      <c r="Q548" t="s">
        <v>1642</v>
      </c>
    </row>
    <row r="549" spans="1:17" ht="15.75" customHeight="1">
      <c r="A549" s="29" t="s">
        <v>1643</v>
      </c>
      <c r="B549" s="11" t="s">
        <v>17</v>
      </c>
      <c r="C549" s="12" t="s">
        <v>1644</v>
      </c>
      <c r="F549" t="s">
        <v>1580</v>
      </c>
      <c r="G549" s="11" t="s">
        <v>20</v>
      </c>
      <c r="H549" s="29"/>
      <c r="I549" s="29"/>
      <c r="K549">
        <v>5</v>
      </c>
      <c r="L549" s="28" t="s">
        <v>22</v>
      </c>
      <c r="P549" t="s">
        <v>741</v>
      </c>
      <c r="Q549" t="s">
        <v>1642</v>
      </c>
    </row>
    <row r="550" spans="1:17" ht="15.75" customHeight="1">
      <c r="A550" s="29" t="s">
        <v>1645</v>
      </c>
      <c r="B550" s="11" t="s">
        <v>17</v>
      </c>
      <c r="C550" s="12" t="s">
        <v>1646</v>
      </c>
      <c r="F550" t="s">
        <v>1580</v>
      </c>
      <c r="G550" s="11" t="s">
        <v>20</v>
      </c>
      <c r="K550">
        <v>5</v>
      </c>
      <c r="L550" s="28" t="s">
        <v>22</v>
      </c>
      <c r="P550" t="s">
        <v>741</v>
      </c>
      <c r="Q550" t="s">
        <v>1642</v>
      </c>
    </row>
    <row r="551" spans="1:17" ht="15.75" customHeight="1">
      <c r="A551" s="29" t="s">
        <v>1647</v>
      </c>
      <c r="B551" s="11" t="s">
        <v>17</v>
      </c>
      <c r="C551" s="12" t="s">
        <v>1648</v>
      </c>
      <c r="F551" t="s">
        <v>1580</v>
      </c>
      <c r="G551" s="11" t="s">
        <v>20</v>
      </c>
      <c r="K551">
        <v>5</v>
      </c>
      <c r="L551" s="28" t="s">
        <v>22</v>
      </c>
      <c r="P551" t="s">
        <v>741</v>
      </c>
      <c r="Q551" t="s">
        <v>1642</v>
      </c>
    </row>
    <row r="552" spans="1:17" ht="15.75" customHeight="1">
      <c r="A552" s="29" t="s">
        <v>1649</v>
      </c>
      <c r="B552" s="11" t="s">
        <v>17</v>
      </c>
      <c r="C552" s="12" t="s">
        <v>1650</v>
      </c>
      <c r="F552" t="s">
        <v>1580</v>
      </c>
      <c r="G552" s="11" t="s">
        <v>20</v>
      </c>
      <c r="H552" s="29"/>
      <c r="I552" s="29"/>
      <c r="K552">
        <v>5</v>
      </c>
      <c r="L552" s="28" t="s">
        <v>22</v>
      </c>
      <c r="P552" t="s">
        <v>741</v>
      </c>
      <c r="Q552" t="s">
        <v>1642</v>
      </c>
    </row>
    <row r="553" spans="1:17" ht="15.75" customHeight="1">
      <c r="A553" s="29" t="s">
        <v>1651</v>
      </c>
      <c r="B553" s="11" t="s">
        <v>17</v>
      </c>
      <c r="C553" s="12" t="s">
        <v>1652</v>
      </c>
      <c r="F553" t="s">
        <v>1580</v>
      </c>
      <c r="G553" s="11" t="s">
        <v>20</v>
      </c>
      <c r="K553">
        <v>5</v>
      </c>
      <c r="L553" s="28" t="s">
        <v>22</v>
      </c>
      <c r="P553" t="s">
        <v>741</v>
      </c>
      <c r="Q553" t="s">
        <v>1642</v>
      </c>
    </row>
    <row r="554" spans="1:17" ht="15.75" customHeight="1">
      <c r="A554" s="29" t="s">
        <v>1653</v>
      </c>
      <c r="B554" s="11" t="s">
        <v>17</v>
      </c>
      <c r="C554" s="12" t="s">
        <v>1654</v>
      </c>
      <c r="F554" t="s">
        <v>1580</v>
      </c>
      <c r="G554" s="11" t="s">
        <v>20</v>
      </c>
      <c r="K554">
        <v>5</v>
      </c>
      <c r="L554" s="28" t="s">
        <v>22</v>
      </c>
      <c r="P554" t="s">
        <v>741</v>
      </c>
      <c r="Q554" t="s">
        <v>1642</v>
      </c>
    </row>
    <row r="555" spans="1:17" ht="15.75" customHeight="1">
      <c r="A555" s="29" t="s">
        <v>1655</v>
      </c>
      <c r="B555" s="11" t="s">
        <v>17</v>
      </c>
      <c r="C555" s="12" t="s">
        <v>1656</v>
      </c>
      <c r="F555" t="s">
        <v>1580</v>
      </c>
      <c r="G555" s="11" t="s">
        <v>20</v>
      </c>
      <c r="H555" s="29"/>
      <c r="I555" s="29"/>
      <c r="K555">
        <v>5</v>
      </c>
      <c r="L555" s="28" t="s">
        <v>22</v>
      </c>
      <c r="P555" t="s">
        <v>741</v>
      </c>
      <c r="Q555" t="s">
        <v>1642</v>
      </c>
    </row>
    <row r="556" spans="1:17" ht="15.75" customHeight="1">
      <c r="A556" s="29" t="s">
        <v>1657</v>
      </c>
      <c r="B556" s="11" t="s">
        <v>17</v>
      </c>
      <c r="C556" s="12" t="s">
        <v>1658</v>
      </c>
      <c r="F556" t="s">
        <v>1580</v>
      </c>
      <c r="G556" s="11" t="s">
        <v>20</v>
      </c>
      <c r="H556" s="29"/>
      <c r="I556" s="29"/>
      <c r="K556">
        <v>5</v>
      </c>
      <c r="L556" s="28" t="s">
        <v>22</v>
      </c>
      <c r="P556" t="s">
        <v>741</v>
      </c>
      <c r="Q556" t="s">
        <v>1642</v>
      </c>
    </row>
    <row r="557" spans="1:17" ht="15.75" customHeight="1">
      <c r="A557" s="29" t="s">
        <v>1659</v>
      </c>
      <c r="B557" s="11" t="s">
        <v>17</v>
      </c>
      <c r="C557" s="12" t="s">
        <v>1660</v>
      </c>
      <c r="F557" t="s">
        <v>1580</v>
      </c>
      <c r="G557" s="11" t="s">
        <v>20</v>
      </c>
      <c r="K557">
        <v>5</v>
      </c>
      <c r="L557" s="28" t="s">
        <v>22</v>
      </c>
      <c r="P557" t="s">
        <v>741</v>
      </c>
      <c r="Q557" t="s">
        <v>1642</v>
      </c>
    </row>
    <row r="558" spans="1:17" ht="15.75" customHeight="1">
      <c r="A558" s="29" t="s">
        <v>1661</v>
      </c>
      <c r="B558" s="11" t="s">
        <v>17</v>
      </c>
      <c r="C558" s="12" t="s">
        <v>1662</v>
      </c>
      <c r="F558" t="s">
        <v>1580</v>
      </c>
      <c r="G558" s="11" t="s">
        <v>20</v>
      </c>
      <c r="K558">
        <v>5</v>
      </c>
      <c r="L558" s="28" t="s">
        <v>22</v>
      </c>
      <c r="P558" t="s">
        <v>741</v>
      </c>
      <c r="Q558" t="s">
        <v>1642</v>
      </c>
    </row>
    <row r="559" spans="1:17" ht="15.75" customHeight="1">
      <c r="A559" s="29" t="s">
        <v>1663</v>
      </c>
      <c r="B559" s="11" t="s">
        <v>17</v>
      </c>
      <c r="C559" s="12" t="s">
        <v>1664</v>
      </c>
      <c r="F559" t="s">
        <v>1580</v>
      </c>
      <c r="G559" s="11" t="s">
        <v>20</v>
      </c>
      <c r="K559">
        <v>5</v>
      </c>
      <c r="L559" s="28" t="s">
        <v>22</v>
      </c>
      <c r="P559" t="s">
        <v>741</v>
      </c>
      <c r="Q559" t="s">
        <v>1642</v>
      </c>
    </row>
    <row r="560" spans="1:17" ht="15.75" customHeight="1">
      <c r="A560" s="29" t="s">
        <v>1665</v>
      </c>
      <c r="B560" s="11" t="s">
        <v>17</v>
      </c>
      <c r="C560" s="12" t="s">
        <v>1666</v>
      </c>
      <c r="F560" t="s">
        <v>1580</v>
      </c>
      <c r="G560" s="11" t="s">
        <v>20</v>
      </c>
      <c r="K560">
        <v>5</v>
      </c>
      <c r="L560" s="28" t="s">
        <v>22</v>
      </c>
      <c r="P560" t="s">
        <v>274</v>
      </c>
      <c r="Q560" t="s">
        <v>1667</v>
      </c>
    </row>
    <row r="561" spans="1:17" ht="15.75" customHeight="1">
      <c r="A561" s="29" t="s">
        <v>1668</v>
      </c>
      <c r="B561" s="11" t="s">
        <v>17</v>
      </c>
      <c r="C561" s="12" t="s">
        <v>1669</v>
      </c>
      <c r="F561" t="s">
        <v>1580</v>
      </c>
      <c r="G561" s="11" t="s">
        <v>20</v>
      </c>
      <c r="K561">
        <v>6</v>
      </c>
      <c r="L561" s="28" t="s">
        <v>22</v>
      </c>
      <c r="P561" t="s">
        <v>274</v>
      </c>
      <c r="Q561" t="s">
        <v>1670</v>
      </c>
    </row>
    <row r="562" spans="1:17" ht="15.75" customHeight="1">
      <c r="A562" s="29" t="s">
        <v>1671</v>
      </c>
      <c r="B562" s="11" t="s">
        <v>17</v>
      </c>
      <c r="C562" s="12" t="s">
        <v>1672</v>
      </c>
      <c r="F562" t="s">
        <v>1580</v>
      </c>
      <c r="G562" s="11" t="s">
        <v>20</v>
      </c>
      <c r="K562">
        <v>6</v>
      </c>
      <c r="L562" s="28" t="s">
        <v>22</v>
      </c>
      <c r="P562" t="s">
        <v>274</v>
      </c>
      <c r="Q562" t="s">
        <v>1673</v>
      </c>
    </row>
    <row r="563" spans="1:17" ht="15.75" customHeight="1">
      <c r="A563" s="29" t="s">
        <v>1674</v>
      </c>
      <c r="B563" s="11" t="s">
        <v>17</v>
      </c>
      <c r="C563" s="12" t="s">
        <v>1675</v>
      </c>
      <c r="F563" t="s">
        <v>1580</v>
      </c>
      <c r="G563" s="11" t="s">
        <v>20</v>
      </c>
      <c r="K563">
        <v>6</v>
      </c>
      <c r="L563" s="28" t="s">
        <v>22</v>
      </c>
      <c r="P563" t="s">
        <v>274</v>
      </c>
      <c r="Q563" t="s">
        <v>1673</v>
      </c>
    </row>
    <row r="564" spans="1:17" ht="15.75" customHeight="1">
      <c r="A564" s="29" t="s">
        <v>1676</v>
      </c>
      <c r="B564" s="11" t="s">
        <v>17</v>
      </c>
      <c r="C564" s="12" t="s">
        <v>1677</v>
      </c>
      <c r="F564" t="s">
        <v>1580</v>
      </c>
      <c r="G564" s="11" t="s">
        <v>20</v>
      </c>
      <c r="K564">
        <v>6</v>
      </c>
      <c r="L564" s="28" t="s">
        <v>22</v>
      </c>
      <c r="P564" t="s">
        <v>274</v>
      </c>
      <c r="Q564" t="s">
        <v>1673</v>
      </c>
    </row>
    <row r="565" spans="1:17" ht="15.75" customHeight="1">
      <c r="A565" s="29" t="s">
        <v>1678</v>
      </c>
      <c r="B565" s="11" t="s">
        <v>17</v>
      </c>
      <c r="C565" s="12" t="s">
        <v>1679</v>
      </c>
      <c r="F565" t="s">
        <v>1580</v>
      </c>
      <c r="G565" s="11" t="s">
        <v>20</v>
      </c>
      <c r="K565">
        <v>6</v>
      </c>
      <c r="L565" s="28" t="s">
        <v>22</v>
      </c>
      <c r="P565" t="s">
        <v>274</v>
      </c>
      <c r="Q565" t="s">
        <v>1673</v>
      </c>
    </row>
    <row r="566" spans="1:17" ht="15.75" customHeight="1">
      <c r="A566" s="29" t="s">
        <v>1680</v>
      </c>
      <c r="B566" s="11" t="s">
        <v>17</v>
      </c>
      <c r="C566" s="12" t="s">
        <v>1681</v>
      </c>
      <c r="F566" t="s">
        <v>1580</v>
      </c>
      <c r="G566" s="11" t="s">
        <v>20</v>
      </c>
      <c r="K566">
        <v>6</v>
      </c>
      <c r="L566" s="28" t="s">
        <v>22</v>
      </c>
      <c r="P566" t="s">
        <v>274</v>
      </c>
      <c r="Q566" t="s">
        <v>1673</v>
      </c>
    </row>
    <row r="567" spans="1:17" ht="15.75" customHeight="1">
      <c r="A567" s="29" t="s">
        <v>1682</v>
      </c>
      <c r="B567" s="11" t="s">
        <v>17</v>
      </c>
      <c r="C567" s="12" t="s">
        <v>1683</v>
      </c>
      <c r="F567" t="s">
        <v>1580</v>
      </c>
      <c r="G567" s="11" t="s">
        <v>20</v>
      </c>
      <c r="K567">
        <v>6</v>
      </c>
      <c r="L567" s="28" t="s">
        <v>22</v>
      </c>
      <c r="P567" t="s">
        <v>274</v>
      </c>
      <c r="Q567" t="s">
        <v>1673</v>
      </c>
    </row>
    <row r="568" spans="1:17" ht="15.75" customHeight="1">
      <c r="A568" s="29" t="s">
        <v>1684</v>
      </c>
      <c r="B568" s="11" t="s">
        <v>17</v>
      </c>
      <c r="C568" s="12" t="s">
        <v>1685</v>
      </c>
      <c r="F568" t="s">
        <v>1580</v>
      </c>
      <c r="G568" s="11" t="s">
        <v>20</v>
      </c>
      <c r="K568">
        <v>6</v>
      </c>
      <c r="L568" s="28" t="s">
        <v>22</v>
      </c>
      <c r="P568" t="s">
        <v>274</v>
      </c>
      <c r="Q568" t="s">
        <v>1673</v>
      </c>
    </row>
    <row r="569" spans="1:17" ht="15.75" customHeight="1">
      <c r="A569" s="29" t="s">
        <v>1686</v>
      </c>
      <c r="B569" s="11" t="s">
        <v>17</v>
      </c>
      <c r="C569" s="12" t="s">
        <v>1687</v>
      </c>
      <c r="F569" t="s">
        <v>1580</v>
      </c>
      <c r="G569" s="11" t="s">
        <v>20</v>
      </c>
      <c r="K569">
        <v>6</v>
      </c>
      <c r="L569" s="28" t="s">
        <v>22</v>
      </c>
      <c r="P569" t="s">
        <v>274</v>
      </c>
      <c r="Q569" t="s">
        <v>1673</v>
      </c>
    </row>
    <row r="570" spans="1:17" ht="15.75" customHeight="1">
      <c r="A570" s="29" t="s">
        <v>1688</v>
      </c>
      <c r="B570" s="11" t="s">
        <v>17</v>
      </c>
      <c r="C570" s="12" t="s">
        <v>1689</v>
      </c>
      <c r="F570" t="s">
        <v>1580</v>
      </c>
      <c r="G570" s="11" t="s">
        <v>20</v>
      </c>
      <c r="K570">
        <v>6</v>
      </c>
      <c r="L570" s="28" t="s">
        <v>22</v>
      </c>
      <c r="P570" t="s">
        <v>274</v>
      </c>
      <c r="Q570" t="s">
        <v>1673</v>
      </c>
    </row>
    <row r="571" spans="1:17" ht="15.75" customHeight="1">
      <c r="A571" s="29" t="s">
        <v>1690</v>
      </c>
      <c r="B571" s="11" t="s">
        <v>17</v>
      </c>
      <c r="C571" s="12" t="s">
        <v>1691</v>
      </c>
      <c r="F571" t="s">
        <v>1580</v>
      </c>
      <c r="G571" s="11" t="s">
        <v>20</v>
      </c>
      <c r="K571">
        <v>6</v>
      </c>
      <c r="L571" s="28" t="s">
        <v>22</v>
      </c>
      <c r="P571" t="s">
        <v>274</v>
      </c>
      <c r="Q571" t="s">
        <v>1673</v>
      </c>
    </row>
    <row r="572" spans="1:17" ht="15.75" customHeight="1">
      <c r="A572" s="29" t="s">
        <v>1692</v>
      </c>
      <c r="B572" s="11" t="s">
        <v>17</v>
      </c>
      <c r="C572" s="12" t="s">
        <v>1693</v>
      </c>
      <c r="F572" t="s">
        <v>1580</v>
      </c>
      <c r="G572" s="11" t="s">
        <v>20</v>
      </c>
      <c r="K572">
        <v>6</v>
      </c>
      <c r="L572" s="28" t="s">
        <v>22</v>
      </c>
      <c r="P572" t="s">
        <v>274</v>
      </c>
      <c r="Q572" t="s">
        <v>1673</v>
      </c>
    </row>
    <row r="573" spans="1:17" ht="15.75" customHeight="1">
      <c r="A573" s="29" t="s">
        <v>1694</v>
      </c>
      <c r="B573" s="11" t="s">
        <v>17</v>
      </c>
      <c r="C573" s="12" t="s">
        <v>1695</v>
      </c>
      <c r="F573" t="s">
        <v>1580</v>
      </c>
      <c r="G573" s="11" t="s">
        <v>20</v>
      </c>
      <c r="K573">
        <v>6</v>
      </c>
      <c r="L573" s="28" t="s">
        <v>22</v>
      </c>
      <c r="P573" t="s">
        <v>278</v>
      </c>
      <c r="Q573" t="s">
        <v>1696</v>
      </c>
    </row>
    <row r="574" spans="1:17" ht="15.75" customHeight="1">
      <c r="A574" s="29" t="s">
        <v>1697</v>
      </c>
      <c r="B574" s="11" t="s">
        <v>17</v>
      </c>
      <c r="C574" s="12" t="s">
        <v>1698</v>
      </c>
      <c r="F574" t="s">
        <v>1580</v>
      </c>
      <c r="G574" s="11" t="s">
        <v>20</v>
      </c>
      <c r="K574">
        <v>7</v>
      </c>
      <c r="L574" s="28" t="s">
        <v>22</v>
      </c>
      <c r="P574" t="s">
        <v>278</v>
      </c>
      <c r="Q574" t="s">
        <v>1699</v>
      </c>
    </row>
    <row r="575" spans="1:17" ht="15.75" customHeight="1">
      <c r="A575" s="29" t="s">
        <v>1700</v>
      </c>
      <c r="B575" s="11" t="s">
        <v>17</v>
      </c>
      <c r="C575" s="12" t="s">
        <v>1701</v>
      </c>
      <c r="F575" t="s">
        <v>1580</v>
      </c>
      <c r="G575" s="11" t="s">
        <v>20</v>
      </c>
      <c r="K575">
        <v>7</v>
      </c>
      <c r="L575" s="28" t="s">
        <v>22</v>
      </c>
      <c r="P575" t="s">
        <v>274</v>
      </c>
      <c r="Q575" t="s">
        <v>1702</v>
      </c>
    </row>
    <row r="576" spans="1:17" ht="15.75" customHeight="1">
      <c r="A576" s="29" t="s">
        <v>1703</v>
      </c>
      <c r="B576" s="11" t="s">
        <v>17</v>
      </c>
      <c r="C576" s="12" t="s">
        <v>1704</v>
      </c>
      <c r="F576" t="s">
        <v>1580</v>
      </c>
      <c r="G576" s="11" t="s">
        <v>20</v>
      </c>
      <c r="K576">
        <v>7</v>
      </c>
      <c r="L576" s="28" t="s">
        <v>22</v>
      </c>
      <c r="P576" t="s">
        <v>274</v>
      </c>
      <c r="Q576" t="s">
        <v>1705</v>
      </c>
    </row>
    <row r="577" spans="1:17" ht="15.75" customHeight="1">
      <c r="A577" s="29" t="s">
        <v>1706</v>
      </c>
      <c r="B577" s="11" t="s">
        <v>17</v>
      </c>
      <c r="C577" s="12" t="s">
        <v>1707</v>
      </c>
      <c r="F577" t="s">
        <v>264</v>
      </c>
      <c r="G577" s="11" t="s">
        <v>20</v>
      </c>
      <c r="K577">
        <v>1</v>
      </c>
      <c r="L577" s="28" t="s">
        <v>22</v>
      </c>
      <c r="P577" t="s">
        <v>125</v>
      </c>
      <c r="Q577" t="s">
        <v>1708</v>
      </c>
    </row>
    <row r="578" spans="1:17" ht="15.75" customHeight="1">
      <c r="A578" s="29" t="s">
        <v>1709</v>
      </c>
      <c r="B578" s="11" t="s">
        <v>17</v>
      </c>
      <c r="C578" s="12" t="s">
        <v>1710</v>
      </c>
      <c r="F578" t="s">
        <v>264</v>
      </c>
      <c r="G578" s="11" t="s">
        <v>20</v>
      </c>
      <c r="K578">
        <v>1</v>
      </c>
      <c r="L578" s="28" t="s">
        <v>22</v>
      </c>
      <c r="P578" t="s">
        <v>125</v>
      </c>
      <c r="Q578" t="s">
        <v>1711</v>
      </c>
    </row>
    <row r="579" spans="1:17" ht="15.75" customHeight="1">
      <c r="A579" s="29" t="s">
        <v>1712</v>
      </c>
      <c r="B579" s="11" t="s">
        <v>17</v>
      </c>
      <c r="C579" s="12" t="s">
        <v>1713</v>
      </c>
      <c r="F579" t="s">
        <v>264</v>
      </c>
      <c r="G579" s="11" t="s">
        <v>20</v>
      </c>
      <c r="K579">
        <v>1</v>
      </c>
      <c r="L579" s="28" t="s">
        <v>22</v>
      </c>
      <c r="P579" t="s">
        <v>125</v>
      </c>
      <c r="Q579" t="s">
        <v>1714</v>
      </c>
    </row>
    <row r="580" spans="1:17" ht="15.75" customHeight="1">
      <c r="A580" s="29" t="s">
        <v>1715</v>
      </c>
      <c r="B580" s="11" t="s">
        <v>17</v>
      </c>
      <c r="C580" s="12" t="s">
        <v>1716</v>
      </c>
      <c r="F580" t="s">
        <v>264</v>
      </c>
      <c r="G580" s="11" t="s">
        <v>20</v>
      </c>
      <c r="K580">
        <v>1</v>
      </c>
      <c r="L580" s="28" t="s">
        <v>22</v>
      </c>
      <c r="P580" t="s">
        <v>125</v>
      </c>
      <c r="Q580" t="s">
        <v>1717</v>
      </c>
    </row>
    <row r="581" spans="1:17" ht="15.75" customHeight="1">
      <c r="A581" s="29" t="s">
        <v>1718</v>
      </c>
      <c r="B581" s="11" t="s">
        <v>17</v>
      </c>
      <c r="C581" s="12" t="s">
        <v>1719</v>
      </c>
      <c r="F581" t="s">
        <v>264</v>
      </c>
      <c r="G581" s="11" t="s">
        <v>20</v>
      </c>
      <c r="K581">
        <v>2</v>
      </c>
      <c r="L581" s="28" t="s">
        <v>22</v>
      </c>
      <c r="P581" t="s">
        <v>125</v>
      </c>
      <c r="Q581" t="s">
        <v>1720</v>
      </c>
    </row>
    <row r="582" spans="1:17" ht="15.75" customHeight="1">
      <c r="A582" s="29" t="s">
        <v>1721</v>
      </c>
      <c r="B582" s="11" t="s">
        <v>17</v>
      </c>
      <c r="C582" s="12" t="s">
        <v>1722</v>
      </c>
      <c r="F582" t="s">
        <v>264</v>
      </c>
      <c r="G582" s="11" t="s">
        <v>20</v>
      </c>
      <c r="K582">
        <v>2</v>
      </c>
      <c r="L582" s="28" t="s">
        <v>22</v>
      </c>
      <c r="P582" t="s">
        <v>125</v>
      </c>
      <c r="Q582" t="s">
        <v>1723</v>
      </c>
    </row>
    <row r="583" spans="1:17" ht="15.75" customHeight="1">
      <c r="A583" s="29" t="s">
        <v>1724</v>
      </c>
      <c r="B583" s="11" t="s">
        <v>17</v>
      </c>
      <c r="C583" s="12" t="s">
        <v>1725</v>
      </c>
      <c r="F583" t="s">
        <v>264</v>
      </c>
      <c r="G583" s="11" t="s">
        <v>20</v>
      </c>
      <c r="K583">
        <v>2</v>
      </c>
      <c r="L583" s="28" t="s">
        <v>22</v>
      </c>
      <c r="P583" t="s">
        <v>125</v>
      </c>
      <c r="Q583" t="s">
        <v>1726</v>
      </c>
    </row>
    <row r="584" spans="1:17" ht="15.75" customHeight="1">
      <c r="A584" s="29" t="s">
        <v>1727</v>
      </c>
      <c r="B584" s="11" t="s">
        <v>17</v>
      </c>
      <c r="C584" s="12" t="s">
        <v>1728</v>
      </c>
      <c r="F584" t="s">
        <v>264</v>
      </c>
      <c r="G584" s="11" t="s">
        <v>20</v>
      </c>
      <c r="K584">
        <v>2</v>
      </c>
      <c r="L584" s="28" t="s">
        <v>22</v>
      </c>
      <c r="P584" t="s">
        <v>125</v>
      </c>
      <c r="Q584" t="s">
        <v>1729</v>
      </c>
    </row>
    <row r="585" spans="1:17" ht="15.75" customHeight="1">
      <c r="A585" s="29" t="s">
        <v>1730</v>
      </c>
      <c r="B585" s="11" t="s">
        <v>17</v>
      </c>
      <c r="C585" s="12" t="s">
        <v>1731</v>
      </c>
      <c r="F585" t="s">
        <v>264</v>
      </c>
      <c r="G585" s="11" t="s">
        <v>20</v>
      </c>
      <c r="K585">
        <v>2</v>
      </c>
      <c r="L585" s="28" t="s">
        <v>22</v>
      </c>
      <c r="P585" t="s">
        <v>125</v>
      </c>
      <c r="Q585" t="s">
        <v>1732</v>
      </c>
    </row>
    <row r="586" spans="1:17" ht="15.75" customHeight="1">
      <c r="A586" s="29" t="s">
        <v>1733</v>
      </c>
      <c r="B586" s="11" t="s">
        <v>17</v>
      </c>
      <c r="C586" s="12" t="s">
        <v>1734</v>
      </c>
      <c r="F586" t="s">
        <v>264</v>
      </c>
      <c r="G586" s="11" t="s">
        <v>20</v>
      </c>
      <c r="K586">
        <v>3</v>
      </c>
      <c r="L586" s="28" t="s">
        <v>22</v>
      </c>
      <c r="P586" t="s">
        <v>125</v>
      </c>
      <c r="Q586" t="s">
        <v>1735</v>
      </c>
    </row>
    <row r="587" spans="1:17" ht="15.75" customHeight="1">
      <c r="A587" s="29" t="s">
        <v>1736</v>
      </c>
      <c r="B587" s="11" t="s">
        <v>17</v>
      </c>
      <c r="C587" s="12" t="s">
        <v>1737</v>
      </c>
      <c r="F587" t="s">
        <v>264</v>
      </c>
      <c r="G587" s="11" t="s">
        <v>20</v>
      </c>
      <c r="K587">
        <v>3</v>
      </c>
      <c r="L587" s="28" t="s">
        <v>22</v>
      </c>
      <c r="P587" t="s">
        <v>125</v>
      </c>
      <c r="Q587" t="s">
        <v>1738</v>
      </c>
    </row>
    <row r="588" spans="1:17" ht="15.75" customHeight="1">
      <c r="A588" s="29" t="s">
        <v>1739</v>
      </c>
      <c r="B588" s="11" t="s">
        <v>17</v>
      </c>
      <c r="C588" s="12" t="s">
        <v>1740</v>
      </c>
      <c r="F588" t="s">
        <v>264</v>
      </c>
      <c r="G588" s="11" t="s">
        <v>20</v>
      </c>
      <c r="K588">
        <v>3</v>
      </c>
      <c r="L588" s="28" t="s">
        <v>22</v>
      </c>
      <c r="P588" t="s">
        <v>55</v>
      </c>
      <c r="Q588" t="s">
        <v>1741</v>
      </c>
    </row>
    <row r="589" spans="1:17" ht="15.75" customHeight="1">
      <c r="A589" s="29" t="s">
        <v>1742</v>
      </c>
      <c r="B589" s="11" t="s">
        <v>17</v>
      </c>
      <c r="C589" s="12" t="s">
        <v>1743</v>
      </c>
      <c r="F589" t="s">
        <v>264</v>
      </c>
      <c r="G589" s="11" t="s">
        <v>20</v>
      </c>
      <c r="K589">
        <v>3</v>
      </c>
      <c r="L589" s="28" t="s">
        <v>22</v>
      </c>
      <c r="P589" t="s">
        <v>125</v>
      </c>
      <c r="Q589" t="s">
        <v>1744</v>
      </c>
    </row>
    <row r="590" spans="1:17" ht="15.75" customHeight="1">
      <c r="A590" s="29" t="s">
        <v>1745</v>
      </c>
      <c r="B590" s="11" t="s">
        <v>17</v>
      </c>
      <c r="C590" s="12" t="s">
        <v>1746</v>
      </c>
      <c r="F590" t="s">
        <v>264</v>
      </c>
      <c r="G590" s="11" t="s">
        <v>20</v>
      </c>
      <c r="K590">
        <v>3</v>
      </c>
      <c r="L590" s="28" t="s">
        <v>22</v>
      </c>
      <c r="P590" t="s">
        <v>55</v>
      </c>
      <c r="Q590" t="s">
        <v>1747</v>
      </c>
    </row>
    <row r="591" spans="1:17" ht="15.75" customHeight="1">
      <c r="A591" s="29" t="s">
        <v>1748</v>
      </c>
      <c r="B591" s="11" t="s">
        <v>17</v>
      </c>
      <c r="C591" s="12" t="s">
        <v>1749</v>
      </c>
      <c r="F591" t="s">
        <v>264</v>
      </c>
      <c r="G591" s="11" t="s">
        <v>20</v>
      </c>
      <c r="K591">
        <v>4</v>
      </c>
      <c r="L591" s="28" t="s">
        <v>22</v>
      </c>
      <c r="P591" t="s">
        <v>125</v>
      </c>
      <c r="Q591" t="s">
        <v>1750</v>
      </c>
    </row>
    <row r="592" spans="1:17" ht="15.75" customHeight="1">
      <c r="A592" s="29" t="s">
        <v>1751</v>
      </c>
      <c r="B592" s="11" t="s">
        <v>17</v>
      </c>
      <c r="C592" s="12" t="s">
        <v>1752</v>
      </c>
      <c r="F592" t="s">
        <v>264</v>
      </c>
      <c r="G592" s="11" t="s">
        <v>20</v>
      </c>
      <c r="K592">
        <v>4</v>
      </c>
      <c r="L592" s="28" t="s">
        <v>22</v>
      </c>
      <c r="P592" t="s">
        <v>55</v>
      </c>
      <c r="Q592" t="s">
        <v>1753</v>
      </c>
    </row>
    <row r="593" spans="1:17" ht="15.75" customHeight="1">
      <c r="A593" s="29" t="s">
        <v>1754</v>
      </c>
      <c r="B593" s="11" t="s">
        <v>17</v>
      </c>
      <c r="C593" s="12" t="s">
        <v>1755</v>
      </c>
      <c r="F593" t="s">
        <v>264</v>
      </c>
      <c r="G593" s="11" t="s">
        <v>20</v>
      </c>
      <c r="K593">
        <v>4</v>
      </c>
      <c r="L593" s="28" t="s">
        <v>22</v>
      </c>
      <c r="P593" t="s">
        <v>125</v>
      </c>
      <c r="Q593" t="s">
        <v>1756</v>
      </c>
    </row>
    <row r="594" spans="1:17" ht="15.75" customHeight="1">
      <c r="A594" s="29" t="s">
        <v>1757</v>
      </c>
      <c r="B594" s="11" t="s">
        <v>17</v>
      </c>
      <c r="C594" s="12" t="s">
        <v>1758</v>
      </c>
      <c r="F594" t="s">
        <v>264</v>
      </c>
      <c r="G594" s="11" t="s">
        <v>20</v>
      </c>
      <c r="K594">
        <v>4</v>
      </c>
      <c r="L594" s="28" t="s">
        <v>22</v>
      </c>
      <c r="P594" t="s">
        <v>125</v>
      </c>
      <c r="Q594" t="s">
        <v>1759</v>
      </c>
    </row>
    <row r="595" spans="1:17" ht="15.75" customHeight="1">
      <c r="A595" s="29" t="s">
        <v>1760</v>
      </c>
      <c r="B595" s="11" t="s">
        <v>17</v>
      </c>
      <c r="C595" s="12" t="s">
        <v>1761</v>
      </c>
      <c r="F595" t="s">
        <v>264</v>
      </c>
      <c r="G595" s="11" t="s">
        <v>20</v>
      </c>
      <c r="K595">
        <v>4</v>
      </c>
      <c r="L595" s="28" t="s">
        <v>22</v>
      </c>
      <c r="P595" t="s">
        <v>278</v>
      </c>
      <c r="Q595" t="s">
        <v>1762</v>
      </c>
    </row>
    <row r="596" spans="1:17" ht="15.75" customHeight="1">
      <c r="A596" s="29" t="s">
        <v>1763</v>
      </c>
      <c r="B596" s="11" t="s">
        <v>17</v>
      </c>
      <c r="C596" s="12" t="s">
        <v>1764</v>
      </c>
      <c r="F596" t="s">
        <v>264</v>
      </c>
      <c r="G596" s="11" t="s">
        <v>20</v>
      </c>
      <c r="K596">
        <v>5</v>
      </c>
      <c r="L596" s="28" t="s">
        <v>22</v>
      </c>
      <c r="P596" t="s">
        <v>125</v>
      </c>
      <c r="Q596" t="s">
        <v>1765</v>
      </c>
    </row>
    <row r="597" spans="1:17" ht="15.75" customHeight="1">
      <c r="A597" s="29" t="s">
        <v>1766</v>
      </c>
      <c r="B597" s="11" t="s">
        <v>17</v>
      </c>
      <c r="C597" s="12" t="s">
        <v>1767</v>
      </c>
      <c r="F597" t="s">
        <v>264</v>
      </c>
      <c r="G597" s="11" t="s">
        <v>20</v>
      </c>
      <c r="K597">
        <v>5</v>
      </c>
      <c r="L597" s="28" t="s">
        <v>22</v>
      </c>
      <c r="P597" t="s">
        <v>125</v>
      </c>
      <c r="Q597" t="s">
        <v>1768</v>
      </c>
    </row>
    <row r="598" spans="1:17" ht="15.75" customHeight="1">
      <c r="A598" s="29" t="s">
        <v>1769</v>
      </c>
      <c r="B598" s="11" t="s">
        <v>17</v>
      </c>
      <c r="C598" s="12" t="s">
        <v>1770</v>
      </c>
      <c r="F598" t="s">
        <v>264</v>
      </c>
      <c r="G598" s="11" t="s">
        <v>20</v>
      </c>
      <c r="K598">
        <v>5</v>
      </c>
      <c r="L598" s="28" t="s">
        <v>22</v>
      </c>
      <c r="P598" t="s">
        <v>274</v>
      </c>
      <c r="Q598" t="s">
        <v>1771</v>
      </c>
    </row>
    <row r="599" spans="1:17" ht="15.75" customHeight="1">
      <c r="A599" s="29" t="s">
        <v>1772</v>
      </c>
      <c r="B599" s="11" t="s">
        <v>17</v>
      </c>
      <c r="C599" s="12" t="s">
        <v>1773</v>
      </c>
      <c r="F599" t="s">
        <v>264</v>
      </c>
      <c r="G599" s="11" t="s">
        <v>20</v>
      </c>
      <c r="K599">
        <v>6</v>
      </c>
      <c r="L599" s="28" t="s">
        <v>22</v>
      </c>
      <c r="P599" t="s">
        <v>125</v>
      </c>
      <c r="Q599" t="s">
        <v>1774</v>
      </c>
    </row>
    <row r="600" spans="1:17" ht="15.75" customHeight="1">
      <c r="A600" s="29" t="s">
        <v>1775</v>
      </c>
      <c r="B600" s="11" t="s">
        <v>17</v>
      </c>
      <c r="C600" s="12" t="s">
        <v>1776</v>
      </c>
      <c r="F600" t="s">
        <v>264</v>
      </c>
      <c r="G600" s="11" t="s">
        <v>20</v>
      </c>
      <c r="K600">
        <v>6</v>
      </c>
      <c r="L600" s="28" t="s">
        <v>22</v>
      </c>
      <c r="P600" t="s">
        <v>55</v>
      </c>
      <c r="Q600" t="s">
        <v>1777</v>
      </c>
    </row>
    <row r="601" spans="1:17" ht="15.75" customHeight="1">
      <c r="A601" s="29" t="s">
        <v>1778</v>
      </c>
      <c r="B601" s="11" t="s">
        <v>17</v>
      </c>
      <c r="C601" s="12" t="s">
        <v>1779</v>
      </c>
      <c r="F601" t="s">
        <v>264</v>
      </c>
      <c r="G601" s="11" t="s">
        <v>20</v>
      </c>
      <c r="K601">
        <v>6</v>
      </c>
      <c r="L601" s="28" t="s">
        <v>22</v>
      </c>
      <c r="P601" t="s">
        <v>274</v>
      </c>
      <c r="Q601" t="s">
        <v>1780</v>
      </c>
    </row>
    <row r="602" spans="1:17" ht="15.75" customHeight="1">
      <c r="A602" s="29" t="s">
        <v>1781</v>
      </c>
      <c r="B602" s="11" t="s">
        <v>17</v>
      </c>
      <c r="C602" s="12" t="s">
        <v>1782</v>
      </c>
      <c r="F602" t="s">
        <v>264</v>
      </c>
      <c r="G602" s="11" t="s">
        <v>20</v>
      </c>
      <c r="K602">
        <v>6</v>
      </c>
      <c r="L602" s="28" t="s">
        <v>22</v>
      </c>
      <c r="P602" t="s">
        <v>274</v>
      </c>
      <c r="Q602" t="s">
        <v>1783</v>
      </c>
    </row>
    <row r="603" spans="1:17" ht="15.75" customHeight="1">
      <c r="A603" s="29" t="s">
        <v>1784</v>
      </c>
      <c r="B603" s="11" t="s">
        <v>17</v>
      </c>
      <c r="C603" s="12" t="s">
        <v>1785</v>
      </c>
      <c r="F603" t="s">
        <v>264</v>
      </c>
      <c r="G603" s="11" t="s">
        <v>20</v>
      </c>
      <c r="K603">
        <v>7</v>
      </c>
      <c r="L603" s="28" t="s">
        <v>22</v>
      </c>
      <c r="P603" t="s">
        <v>125</v>
      </c>
      <c r="Q603" t="s">
        <v>1786</v>
      </c>
    </row>
    <row r="604" spans="1:17" ht="15.75" customHeight="1">
      <c r="A604" s="29" t="s">
        <v>1787</v>
      </c>
      <c r="B604" s="11" t="s">
        <v>17</v>
      </c>
      <c r="C604" s="12" t="s">
        <v>1788</v>
      </c>
      <c r="F604" t="s">
        <v>264</v>
      </c>
      <c r="G604" s="11" t="s">
        <v>20</v>
      </c>
      <c r="K604">
        <v>7</v>
      </c>
      <c r="L604" s="28" t="s">
        <v>22</v>
      </c>
      <c r="P604" t="s">
        <v>125</v>
      </c>
      <c r="Q604" t="s">
        <v>1789</v>
      </c>
    </row>
    <row r="605" spans="1:17" ht="15.75" customHeight="1">
      <c r="A605" s="29" t="s">
        <v>1790</v>
      </c>
      <c r="B605" s="11" t="s">
        <v>17</v>
      </c>
      <c r="C605" s="12" t="s">
        <v>1791</v>
      </c>
      <c r="F605" t="s">
        <v>264</v>
      </c>
      <c r="G605" s="11" t="s">
        <v>20</v>
      </c>
      <c r="K605">
        <v>7</v>
      </c>
      <c r="L605" s="28" t="s">
        <v>22</v>
      </c>
      <c r="P605" t="s">
        <v>125</v>
      </c>
      <c r="Q605" t="s">
        <v>1792</v>
      </c>
    </row>
    <row r="606" spans="1:17" ht="15.75" customHeight="1">
      <c r="A606" s="29" t="s">
        <v>1793</v>
      </c>
      <c r="B606" s="11" t="s">
        <v>17</v>
      </c>
      <c r="C606" s="12" t="s">
        <v>1794</v>
      </c>
      <c r="F606" t="s">
        <v>19</v>
      </c>
      <c r="G606" s="11" t="s">
        <v>20</v>
      </c>
      <c r="K606">
        <v>1</v>
      </c>
      <c r="L606" s="28" t="s">
        <v>22</v>
      </c>
      <c r="P606" t="s">
        <v>23</v>
      </c>
      <c r="Q606" t="s">
        <v>1795</v>
      </c>
    </row>
    <row r="607" spans="1:17" ht="15.75" customHeight="1">
      <c r="A607" s="29" t="s">
        <v>1796</v>
      </c>
      <c r="B607" s="11" t="s">
        <v>17</v>
      </c>
      <c r="C607" s="12" t="s">
        <v>1797</v>
      </c>
      <c r="F607" t="s">
        <v>19</v>
      </c>
      <c r="G607" s="11" t="s">
        <v>20</v>
      </c>
      <c r="K607">
        <v>1</v>
      </c>
      <c r="L607" s="28" t="s">
        <v>22</v>
      </c>
      <c r="P607" t="s">
        <v>23</v>
      </c>
      <c r="Q607" t="s">
        <v>1798</v>
      </c>
    </row>
    <row r="608" spans="1:17" ht="15.75" customHeight="1">
      <c r="A608" s="29" t="s">
        <v>1799</v>
      </c>
      <c r="B608" s="11" t="s">
        <v>17</v>
      </c>
      <c r="C608" s="12" t="s">
        <v>1800</v>
      </c>
      <c r="F608" t="s">
        <v>19</v>
      </c>
      <c r="G608" s="11" t="s">
        <v>20</v>
      </c>
      <c r="K608">
        <v>1</v>
      </c>
      <c r="L608" s="28" t="s">
        <v>22</v>
      </c>
      <c r="P608" t="s">
        <v>23</v>
      </c>
      <c r="Q608" t="s">
        <v>1801</v>
      </c>
    </row>
    <row r="609" spans="1:17" ht="15.75" customHeight="1">
      <c r="A609" s="29" t="s">
        <v>1802</v>
      </c>
      <c r="B609" s="11" t="s">
        <v>17</v>
      </c>
      <c r="C609" s="12" t="s">
        <v>1803</v>
      </c>
      <c r="F609" t="s">
        <v>19</v>
      </c>
      <c r="G609" s="11" t="s">
        <v>20</v>
      </c>
      <c r="K609">
        <v>1</v>
      </c>
      <c r="L609" s="28" t="s">
        <v>22</v>
      </c>
      <c r="P609" t="s">
        <v>23</v>
      </c>
      <c r="Q609" t="s">
        <v>1804</v>
      </c>
    </row>
    <row r="610" spans="1:17" ht="15.75" customHeight="1">
      <c r="A610" s="29" t="s">
        <v>1805</v>
      </c>
      <c r="B610" s="11" t="s">
        <v>17</v>
      </c>
      <c r="C610" s="12" t="s">
        <v>1806</v>
      </c>
      <c r="F610" t="s">
        <v>19</v>
      </c>
      <c r="G610" s="11" t="s">
        <v>20</v>
      </c>
      <c r="K610">
        <v>2</v>
      </c>
      <c r="L610" s="28" t="s">
        <v>22</v>
      </c>
      <c r="P610" t="s">
        <v>23</v>
      </c>
      <c r="Q610" t="s">
        <v>1807</v>
      </c>
    </row>
    <row r="611" spans="1:17" ht="15.75" customHeight="1">
      <c r="A611" s="29" t="s">
        <v>1808</v>
      </c>
      <c r="B611" s="11" t="s">
        <v>17</v>
      </c>
      <c r="C611" s="12" t="s">
        <v>1809</v>
      </c>
      <c r="F611" t="s">
        <v>19</v>
      </c>
      <c r="G611" s="11" t="s">
        <v>20</v>
      </c>
      <c r="K611">
        <v>2</v>
      </c>
      <c r="L611" s="28" t="s">
        <v>22</v>
      </c>
      <c r="P611" t="s">
        <v>23</v>
      </c>
      <c r="Q611" t="s">
        <v>1810</v>
      </c>
    </row>
    <row r="612" spans="1:17" ht="15.75" customHeight="1">
      <c r="A612" s="29" t="s">
        <v>1811</v>
      </c>
      <c r="B612" s="11" t="s">
        <v>17</v>
      </c>
      <c r="C612" s="12" t="s">
        <v>1812</v>
      </c>
      <c r="F612" t="s">
        <v>19</v>
      </c>
      <c r="G612" s="11" t="s">
        <v>20</v>
      </c>
      <c r="K612">
        <v>3</v>
      </c>
      <c r="L612" s="28" t="s">
        <v>22</v>
      </c>
      <c r="P612" t="s">
        <v>23</v>
      </c>
      <c r="Q612" t="s">
        <v>1813</v>
      </c>
    </row>
    <row r="613" spans="1:17" ht="15.75" customHeight="1">
      <c r="A613" s="29" t="s">
        <v>1814</v>
      </c>
      <c r="B613" s="11" t="s">
        <v>17</v>
      </c>
      <c r="C613" s="12" t="s">
        <v>1815</v>
      </c>
      <c r="F613" t="s">
        <v>19</v>
      </c>
      <c r="G613" s="11" t="s">
        <v>20</v>
      </c>
      <c r="K613">
        <v>3</v>
      </c>
      <c r="L613" s="28" t="s">
        <v>22</v>
      </c>
      <c r="P613" t="s">
        <v>23</v>
      </c>
      <c r="Q613" t="s">
        <v>1816</v>
      </c>
    </row>
    <row r="614" spans="1:17" ht="15.75" customHeight="1">
      <c r="A614" s="29" t="s">
        <v>1817</v>
      </c>
      <c r="B614" s="11" t="s">
        <v>17</v>
      </c>
      <c r="C614" s="12" t="s">
        <v>1818</v>
      </c>
      <c r="F614" t="s">
        <v>19</v>
      </c>
      <c r="G614" s="11" t="s">
        <v>20</v>
      </c>
      <c r="K614">
        <v>4</v>
      </c>
      <c r="L614" s="28" t="s">
        <v>22</v>
      </c>
      <c r="P614" t="s">
        <v>23</v>
      </c>
      <c r="Q614" t="s">
        <v>1819</v>
      </c>
    </row>
    <row r="615" spans="1:17" ht="15.75" customHeight="1">
      <c r="A615" s="29" t="s">
        <v>1820</v>
      </c>
      <c r="B615" s="11" t="s">
        <v>17</v>
      </c>
      <c r="C615" s="12" t="s">
        <v>1821</v>
      </c>
      <c r="F615" t="s">
        <v>19</v>
      </c>
      <c r="G615" s="11" t="s">
        <v>20</v>
      </c>
      <c r="K615">
        <v>4</v>
      </c>
      <c r="L615" s="28" t="s">
        <v>22</v>
      </c>
      <c r="P615" t="s">
        <v>23</v>
      </c>
      <c r="Q615" t="s">
        <v>1822</v>
      </c>
    </row>
    <row r="616" spans="1:17" ht="15.75" customHeight="1">
      <c r="A616" s="29" t="s">
        <v>1823</v>
      </c>
      <c r="B616" s="11" t="s">
        <v>17</v>
      </c>
      <c r="C616" s="12" t="s">
        <v>1824</v>
      </c>
      <c r="F616" t="s">
        <v>54</v>
      </c>
      <c r="G616" s="11" t="s">
        <v>20</v>
      </c>
      <c r="K616">
        <v>1</v>
      </c>
      <c r="L616" s="28" t="s">
        <v>22</v>
      </c>
      <c r="P616" t="s">
        <v>55</v>
      </c>
      <c r="Q616" t="s">
        <v>1825</v>
      </c>
    </row>
    <row r="617" spans="1:17" ht="15.75" customHeight="1">
      <c r="A617" s="29" t="s">
        <v>1826</v>
      </c>
      <c r="B617" s="11" t="s">
        <v>17</v>
      </c>
      <c r="C617" s="12" t="s">
        <v>1827</v>
      </c>
      <c r="F617" t="s">
        <v>54</v>
      </c>
      <c r="G617" s="11" t="s">
        <v>20</v>
      </c>
      <c r="K617">
        <v>1</v>
      </c>
      <c r="L617" s="28" t="s">
        <v>22</v>
      </c>
      <c r="P617" t="s">
        <v>55</v>
      </c>
      <c r="Q617" t="s">
        <v>1828</v>
      </c>
    </row>
    <row r="618" spans="1:17" ht="15.75" customHeight="1">
      <c r="A618" s="29" t="s">
        <v>1829</v>
      </c>
      <c r="B618" s="11" t="s">
        <v>17</v>
      </c>
      <c r="C618" s="12" t="s">
        <v>1830</v>
      </c>
      <c r="F618" t="s">
        <v>54</v>
      </c>
      <c r="G618" s="11" t="s">
        <v>20</v>
      </c>
      <c r="K618">
        <v>1</v>
      </c>
      <c r="L618" s="28" t="s">
        <v>22</v>
      </c>
      <c r="P618" t="s">
        <v>55</v>
      </c>
      <c r="Q618" t="s">
        <v>1831</v>
      </c>
    </row>
    <row r="619" spans="1:17" ht="15.75" customHeight="1">
      <c r="A619" s="29" t="s">
        <v>1832</v>
      </c>
      <c r="B619" s="11" t="s">
        <v>17</v>
      </c>
      <c r="C619" s="12" t="s">
        <v>1833</v>
      </c>
      <c r="F619" t="s">
        <v>54</v>
      </c>
      <c r="G619" s="11" t="s">
        <v>20</v>
      </c>
      <c r="K619">
        <v>1</v>
      </c>
      <c r="L619" s="28" t="s">
        <v>22</v>
      </c>
      <c r="P619" t="s">
        <v>55</v>
      </c>
      <c r="Q619" t="s">
        <v>1834</v>
      </c>
    </row>
    <row r="620" spans="1:17" ht="15.75" customHeight="1">
      <c r="A620" s="29" t="s">
        <v>1835</v>
      </c>
      <c r="B620" s="11" t="s">
        <v>17</v>
      </c>
      <c r="C620" s="12" t="s">
        <v>1836</v>
      </c>
      <c r="F620" t="s">
        <v>54</v>
      </c>
      <c r="G620" s="11" t="s">
        <v>20</v>
      </c>
      <c r="K620">
        <v>2</v>
      </c>
      <c r="L620" s="28" t="s">
        <v>22</v>
      </c>
      <c r="P620" t="s">
        <v>55</v>
      </c>
      <c r="Q620" t="s">
        <v>1837</v>
      </c>
    </row>
    <row r="621" spans="1:17" ht="15.75" customHeight="1">
      <c r="A621" s="29" t="s">
        <v>1838</v>
      </c>
      <c r="B621" s="11" t="s">
        <v>17</v>
      </c>
      <c r="C621" s="12" t="s">
        <v>1839</v>
      </c>
      <c r="F621" t="s">
        <v>54</v>
      </c>
      <c r="G621" s="11" t="s">
        <v>20</v>
      </c>
      <c r="K621">
        <v>2</v>
      </c>
      <c r="L621" s="28" t="s">
        <v>22</v>
      </c>
      <c r="P621" t="s">
        <v>55</v>
      </c>
      <c r="Q621" t="s">
        <v>1840</v>
      </c>
    </row>
    <row r="622" spans="1:17" ht="15.75" customHeight="1">
      <c r="A622" s="29" t="s">
        <v>1841</v>
      </c>
      <c r="B622" s="11" t="s">
        <v>17</v>
      </c>
      <c r="C622" s="12" t="s">
        <v>1842</v>
      </c>
      <c r="F622" t="s">
        <v>54</v>
      </c>
      <c r="G622" s="11" t="s">
        <v>20</v>
      </c>
      <c r="K622">
        <v>3</v>
      </c>
      <c r="L622" s="28" t="s">
        <v>22</v>
      </c>
      <c r="P622" t="s">
        <v>55</v>
      </c>
      <c r="Q622" t="s">
        <v>1843</v>
      </c>
    </row>
    <row r="623" spans="1:17" ht="15.75" customHeight="1">
      <c r="A623" s="29" t="s">
        <v>1844</v>
      </c>
      <c r="B623" s="11" t="s">
        <v>17</v>
      </c>
      <c r="C623" s="12" t="s">
        <v>1845</v>
      </c>
      <c r="F623" t="s">
        <v>54</v>
      </c>
      <c r="G623" s="11" t="s">
        <v>20</v>
      </c>
      <c r="H623" s="29"/>
      <c r="I623" s="29"/>
      <c r="K623">
        <v>3</v>
      </c>
      <c r="L623" s="28" t="s">
        <v>22</v>
      </c>
      <c r="P623" t="s">
        <v>55</v>
      </c>
      <c r="Q623" t="s">
        <v>1846</v>
      </c>
    </row>
    <row r="624" spans="1:17" ht="15.75" customHeight="1">
      <c r="A624" s="29" t="s">
        <v>1847</v>
      </c>
      <c r="B624" s="11" t="s">
        <v>17</v>
      </c>
      <c r="C624" s="12" t="s">
        <v>1848</v>
      </c>
      <c r="F624" t="s">
        <v>54</v>
      </c>
      <c r="G624" s="11" t="s">
        <v>20</v>
      </c>
      <c r="K624">
        <v>4</v>
      </c>
      <c r="L624" s="28" t="s">
        <v>22</v>
      </c>
      <c r="P624" t="s">
        <v>55</v>
      </c>
      <c r="Q624" t="s">
        <v>1849</v>
      </c>
    </row>
    <row r="625" spans="1:17" ht="15.75" customHeight="1">
      <c r="A625" s="29" t="s">
        <v>1850</v>
      </c>
      <c r="B625" s="11" t="s">
        <v>17</v>
      </c>
      <c r="C625" s="12" t="s">
        <v>1851</v>
      </c>
      <c r="F625" t="s">
        <v>54</v>
      </c>
      <c r="G625" s="11" t="s">
        <v>20</v>
      </c>
      <c r="K625">
        <v>4</v>
      </c>
      <c r="L625" s="28" t="s">
        <v>22</v>
      </c>
      <c r="P625" t="s">
        <v>55</v>
      </c>
      <c r="Q625" t="s">
        <v>1852</v>
      </c>
    </row>
    <row r="626" spans="1:17" ht="15.75" customHeight="1">
      <c r="A626" s="29" t="s">
        <v>1853</v>
      </c>
      <c r="B626" s="11" t="s">
        <v>17</v>
      </c>
      <c r="C626" s="12" t="s">
        <v>1854</v>
      </c>
      <c r="F626" t="s">
        <v>1855</v>
      </c>
      <c r="G626" s="11" t="s">
        <v>20</v>
      </c>
      <c r="K626">
        <v>1</v>
      </c>
      <c r="L626" s="28" t="s">
        <v>22</v>
      </c>
      <c r="P626" t="s">
        <v>737</v>
      </c>
      <c r="Q626" t="s">
        <v>1856</v>
      </c>
    </row>
    <row r="627" spans="1:17" ht="15.75" customHeight="1">
      <c r="A627" s="29" t="s">
        <v>1857</v>
      </c>
      <c r="B627" s="11" t="s">
        <v>17</v>
      </c>
      <c r="C627" s="12" t="s">
        <v>1858</v>
      </c>
      <c r="F627" t="s">
        <v>1855</v>
      </c>
      <c r="G627" s="11" t="s">
        <v>20</v>
      </c>
      <c r="K627">
        <v>1</v>
      </c>
      <c r="L627" s="28" t="s">
        <v>22</v>
      </c>
      <c r="P627" t="s">
        <v>741</v>
      </c>
      <c r="Q627" t="s">
        <v>1859</v>
      </c>
    </row>
    <row r="628" spans="1:17" ht="15.75" customHeight="1">
      <c r="A628" s="29" t="s">
        <v>1860</v>
      </c>
      <c r="B628" s="11" t="s">
        <v>17</v>
      </c>
      <c r="C628" s="12" t="s">
        <v>1861</v>
      </c>
      <c r="F628" t="s">
        <v>1855</v>
      </c>
      <c r="G628" s="11" t="s">
        <v>20</v>
      </c>
      <c r="K628">
        <v>1</v>
      </c>
      <c r="L628" s="28" t="s">
        <v>22</v>
      </c>
      <c r="P628" t="s">
        <v>737</v>
      </c>
      <c r="Q628" t="s">
        <v>1862</v>
      </c>
    </row>
    <row r="629" spans="1:17" ht="15.75" customHeight="1">
      <c r="A629" s="29" t="s">
        <v>1863</v>
      </c>
      <c r="B629" s="11" t="s">
        <v>17</v>
      </c>
      <c r="C629" s="12" t="s">
        <v>1864</v>
      </c>
      <c r="F629" t="s">
        <v>1855</v>
      </c>
      <c r="G629" s="11" t="s">
        <v>20</v>
      </c>
      <c r="K629">
        <v>1</v>
      </c>
      <c r="L629" s="28" t="s">
        <v>22</v>
      </c>
      <c r="P629" t="s">
        <v>274</v>
      </c>
      <c r="Q629" t="s">
        <v>1865</v>
      </c>
    </row>
    <row r="630" spans="1:17" ht="15.75" customHeight="1">
      <c r="A630" s="29" t="s">
        <v>1866</v>
      </c>
      <c r="B630" s="11" t="s">
        <v>17</v>
      </c>
      <c r="C630" s="12" t="s">
        <v>1867</v>
      </c>
      <c r="F630" t="s">
        <v>1855</v>
      </c>
      <c r="G630" s="11" t="s">
        <v>20</v>
      </c>
      <c r="K630">
        <v>2</v>
      </c>
      <c r="L630" s="28" t="s">
        <v>22</v>
      </c>
      <c r="P630" t="s">
        <v>160</v>
      </c>
      <c r="Q630" t="s">
        <v>1868</v>
      </c>
    </row>
    <row r="631" spans="1:17" ht="15.75" customHeight="1">
      <c r="A631" s="29" t="s">
        <v>1869</v>
      </c>
      <c r="B631" s="11" t="s">
        <v>17</v>
      </c>
      <c r="C631" s="12" t="s">
        <v>1870</v>
      </c>
      <c r="F631" t="s">
        <v>1855</v>
      </c>
      <c r="G631" s="11" t="s">
        <v>20</v>
      </c>
      <c r="K631">
        <v>2</v>
      </c>
      <c r="L631" s="28" t="s">
        <v>22</v>
      </c>
      <c r="P631" t="s">
        <v>737</v>
      </c>
      <c r="Q631" t="s">
        <v>1871</v>
      </c>
    </row>
    <row r="632" spans="1:17" ht="15.75" customHeight="1">
      <c r="A632" s="29" t="s">
        <v>1872</v>
      </c>
      <c r="B632" s="11" t="s">
        <v>17</v>
      </c>
      <c r="C632" s="12" t="s">
        <v>1873</v>
      </c>
      <c r="F632" t="s">
        <v>1855</v>
      </c>
      <c r="G632" s="11" t="s">
        <v>20</v>
      </c>
      <c r="H632" s="29"/>
      <c r="I632" s="29"/>
      <c r="K632">
        <v>2</v>
      </c>
      <c r="L632" s="28" t="s">
        <v>22</v>
      </c>
      <c r="P632" t="s">
        <v>737</v>
      </c>
      <c r="Q632" t="s">
        <v>1874</v>
      </c>
    </row>
    <row r="633" spans="1:17" ht="15.75" customHeight="1">
      <c r="A633" s="29" t="s">
        <v>1875</v>
      </c>
      <c r="B633" s="11" t="s">
        <v>17</v>
      </c>
      <c r="C633" s="12" t="s">
        <v>1876</v>
      </c>
      <c r="F633" t="s">
        <v>1855</v>
      </c>
      <c r="G633" s="11" t="s">
        <v>20</v>
      </c>
      <c r="K633">
        <v>2</v>
      </c>
      <c r="L633" s="28" t="s">
        <v>22</v>
      </c>
      <c r="P633" t="s">
        <v>737</v>
      </c>
      <c r="Q633" t="s">
        <v>1877</v>
      </c>
    </row>
    <row r="634" spans="1:17" ht="15.75" customHeight="1">
      <c r="A634" s="29" t="s">
        <v>1878</v>
      </c>
      <c r="B634" s="11" t="s">
        <v>17</v>
      </c>
      <c r="C634" s="12" t="s">
        <v>1879</v>
      </c>
      <c r="F634" t="s">
        <v>1855</v>
      </c>
      <c r="G634" s="11" t="s">
        <v>20</v>
      </c>
      <c r="K634">
        <v>3</v>
      </c>
      <c r="L634" s="28" t="s">
        <v>22</v>
      </c>
      <c r="P634" t="s">
        <v>737</v>
      </c>
      <c r="Q634" t="s">
        <v>1880</v>
      </c>
    </row>
    <row r="635" spans="1:17" ht="15.75" customHeight="1">
      <c r="A635" s="29" t="s">
        <v>1881</v>
      </c>
      <c r="B635" s="11" t="s">
        <v>17</v>
      </c>
      <c r="C635" s="12" t="s">
        <v>1882</v>
      </c>
      <c r="F635" t="s">
        <v>1855</v>
      </c>
      <c r="G635" s="11" t="s">
        <v>20</v>
      </c>
      <c r="K635">
        <v>3</v>
      </c>
      <c r="L635" s="28" t="s">
        <v>22</v>
      </c>
      <c r="P635" t="s">
        <v>274</v>
      </c>
      <c r="Q635" t="s">
        <v>1883</v>
      </c>
    </row>
    <row r="636" spans="1:17" ht="15.75" customHeight="1">
      <c r="A636" s="29" t="s">
        <v>1884</v>
      </c>
      <c r="B636" s="11" t="s">
        <v>17</v>
      </c>
      <c r="C636" s="12" t="s">
        <v>1885</v>
      </c>
      <c r="F636" t="s">
        <v>1855</v>
      </c>
      <c r="G636" s="11" t="s">
        <v>20</v>
      </c>
      <c r="K636">
        <v>3</v>
      </c>
      <c r="L636" s="28" t="s">
        <v>22</v>
      </c>
      <c r="P636" t="s">
        <v>737</v>
      </c>
      <c r="Q636" t="s">
        <v>1886</v>
      </c>
    </row>
    <row r="637" spans="1:17" ht="15.75" customHeight="1">
      <c r="A637" s="29" t="s">
        <v>1887</v>
      </c>
      <c r="B637" s="11" t="s">
        <v>17</v>
      </c>
      <c r="C637" s="12" t="s">
        <v>1888</v>
      </c>
      <c r="F637" t="s">
        <v>1855</v>
      </c>
      <c r="G637" s="11" t="s">
        <v>20</v>
      </c>
      <c r="K637">
        <v>3</v>
      </c>
      <c r="L637" s="28" t="s">
        <v>22</v>
      </c>
      <c r="P637" t="s">
        <v>737</v>
      </c>
      <c r="Q637" t="s">
        <v>1889</v>
      </c>
    </row>
    <row r="638" spans="1:17" ht="15.75" customHeight="1">
      <c r="A638" s="29" t="s">
        <v>1890</v>
      </c>
      <c r="B638" s="11" t="s">
        <v>17</v>
      </c>
      <c r="C638" s="12" t="s">
        <v>1891</v>
      </c>
      <c r="F638" t="s">
        <v>1855</v>
      </c>
      <c r="G638" s="11" t="s">
        <v>20</v>
      </c>
      <c r="K638">
        <v>4</v>
      </c>
      <c r="L638" s="28" t="s">
        <v>22</v>
      </c>
      <c r="P638" t="s">
        <v>737</v>
      </c>
      <c r="Q638" t="s">
        <v>1892</v>
      </c>
    </row>
    <row r="639" spans="1:17" ht="15.75" customHeight="1">
      <c r="A639" s="29" t="s">
        <v>1893</v>
      </c>
      <c r="B639" s="11" t="s">
        <v>17</v>
      </c>
      <c r="C639" s="12" t="s">
        <v>1894</v>
      </c>
      <c r="F639" t="s">
        <v>1855</v>
      </c>
      <c r="G639" s="11" t="s">
        <v>20</v>
      </c>
      <c r="K639">
        <v>4</v>
      </c>
      <c r="L639" s="28" t="s">
        <v>22</v>
      </c>
      <c r="P639" t="s">
        <v>737</v>
      </c>
      <c r="Q639" t="s">
        <v>1895</v>
      </c>
    </row>
    <row r="640" spans="1:17" ht="15.75" customHeight="1">
      <c r="A640" s="29" t="s">
        <v>1896</v>
      </c>
      <c r="B640" s="11" t="s">
        <v>17</v>
      </c>
      <c r="C640" s="12" t="s">
        <v>1897</v>
      </c>
      <c r="F640" t="s">
        <v>1855</v>
      </c>
      <c r="G640" s="11" t="s">
        <v>20</v>
      </c>
      <c r="K640">
        <v>4</v>
      </c>
      <c r="L640" s="28" t="s">
        <v>22</v>
      </c>
      <c r="P640" t="s">
        <v>737</v>
      </c>
      <c r="Q640" t="s">
        <v>1898</v>
      </c>
    </row>
    <row r="641" spans="1:17" ht="15.75" customHeight="1">
      <c r="A641" s="29" t="s">
        <v>1899</v>
      </c>
      <c r="B641" s="11" t="s">
        <v>17</v>
      </c>
      <c r="C641" s="12" t="s">
        <v>1900</v>
      </c>
      <c r="F641" t="s">
        <v>1855</v>
      </c>
      <c r="G641" s="11" t="s">
        <v>20</v>
      </c>
      <c r="K641">
        <v>4</v>
      </c>
      <c r="L641" s="28" t="s">
        <v>22</v>
      </c>
      <c r="P641" t="s">
        <v>737</v>
      </c>
      <c r="Q641" t="s">
        <v>1901</v>
      </c>
    </row>
    <row r="642" spans="1:17" ht="15.75" customHeight="1">
      <c r="A642" s="29" t="s">
        <v>1902</v>
      </c>
      <c r="B642" s="11" t="s">
        <v>17</v>
      </c>
      <c r="C642" s="12" t="s">
        <v>1903</v>
      </c>
      <c r="F642" t="s">
        <v>1855</v>
      </c>
      <c r="G642" s="11" t="s">
        <v>20</v>
      </c>
      <c r="K642">
        <v>4</v>
      </c>
      <c r="L642" s="28" t="s">
        <v>22</v>
      </c>
      <c r="P642" t="s">
        <v>737</v>
      </c>
      <c r="Q642" t="s">
        <v>1904</v>
      </c>
    </row>
    <row r="643" spans="1:17" ht="15.75" customHeight="1">
      <c r="A643" s="29" t="s">
        <v>1905</v>
      </c>
      <c r="B643" s="11" t="s">
        <v>17</v>
      </c>
      <c r="C643" s="12" t="s">
        <v>1906</v>
      </c>
      <c r="F643" t="s">
        <v>1855</v>
      </c>
      <c r="G643" s="11" t="s">
        <v>20</v>
      </c>
      <c r="K643">
        <v>5</v>
      </c>
      <c r="L643" s="28" t="s">
        <v>22</v>
      </c>
      <c r="P643" t="s">
        <v>737</v>
      </c>
      <c r="Q643" t="s">
        <v>1907</v>
      </c>
    </row>
    <row r="644" spans="1:17" ht="15.75" customHeight="1">
      <c r="A644" s="29" t="s">
        <v>1908</v>
      </c>
      <c r="B644" s="11" t="s">
        <v>17</v>
      </c>
      <c r="C644" s="12" t="s">
        <v>1909</v>
      </c>
      <c r="F644" t="s">
        <v>1855</v>
      </c>
      <c r="G644" s="11" t="s">
        <v>20</v>
      </c>
      <c r="K644">
        <v>5</v>
      </c>
      <c r="L644" s="28" t="s">
        <v>22</v>
      </c>
      <c r="P644" t="s">
        <v>737</v>
      </c>
      <c r="Q644" t="s">
        <v>1910</v>
      </c>
    </row>
    <row r="645" spans="1:17" ht="15.75" customHeight="1">
      <c r="A645" s="29" t="s">
        <v>1911</v>
      </c>
      <c r="B645" s="11" t="s">
        <v>17</v>
      </c>
      <c r="C645" s="12" t="s">
        <v>1912</v>
      </c>
      <c r="F645" t="s">
        <v>1855</v>
      </c>
      <c r="G645" s="11" t="s">
        <v>20</v>
      </c>
      <c r="K645">
        <v>5</v>
      </c>
      <c r="L645" s="28" t="s">
        <v>22</v>
      </c>
      <c r="P645" t="s">
        <v>737</v>
      </c>
      <c r="Q645" t="s">
        <v>1913</v>
      </c>
    </row>
    <row r="646" spans="1:17" ht="15.75" customHeight="1">
      <c r="A646" s="29" t="s">
        <v>1914</v>
      </c>
      <c r="B646" s="11" t="s">
        <v>17</v>
      </c>
      <c r="C646" s="12" t="s">
        <v>1915</v>
      </c>
      <c r="F646" t="s">
        <v>1855</v>
      </c>
      <c r="G646" s="11" t="s">
        <v>20</v>
      </c>
      <c r="K646">
        <v>5</v>
      </c>
      <c r="L646" s="28" t="s">
        <v>22</v>
      </c>
      <c r="P646" t="s">
        <v>737</v>
      </c>
      <c r="Q646" t="s">
        <v>1916</v>
      </c>
    </row>
    <row r="647" spans="1:17" ht="15.75" customHeight="1">
      <c r="A647" s="29" t="s">
        <v>1917</v>
      </c>
      <c r="B647" s="11" t="s">
        <v>17</v>
      </c>
      <c r="C647" s="12" t="s">
        <v>1918</v>
      </c>
      <c r="F647" t="s">
        <v>1855</v>
      </c>
      <c r="G647" s="11" t="s">
        <v>20</v>
      </c>
      <c r="K647">
        <v>5</v>
      </c>
      <c r="L647" s="28" t="s">
        <v>22</v>
      </c>
      <c r="P647" t="s">
        <v>737</v>
      </c>
      <c r="Q647" t="s">
        <v>1919</v>
      </c>
    </row>
    <row r="648" spans="1:17" ht="15.75" customHeight="1">
      <c r="A648" s="29" t="s">
        <v>1920</v>
      </c>
      <c r="B648" s="11" t="s">
        <v>17</v>
      </c>
      <c r="C648" s="12" t="s">
        <v>1921</v>
      </c>
      <c r="F648" t="s">
        <v>1855</v>
      </c>
      <c r="G648" s="11" t="s">
        <v>20</v>
      </c>
      <c r="K648">
        <v>6</v>
      </c>
      <c r="L648" s="28" t="s">
        <v>22</v>
      </c>
      <c r="P648" t="s">
        <v>737</v>
      </c>
      <c r="Q648" t="s">
        <v>1922</v>
      </c>
    </row>
    <row r="649" spans="1:17" ht="15.75" customHeight="1">
      <c r="A649" s="29" t="s">
        <v>1923</v>
      </c>
      <c r="B649" s="11" t="s">
        <v>17</v>
      </c>
      <c r="C649" s="12" t="s">
        <v>1924</v>
      </c>
      <c r="F649" t="s">
        <v>1855</v>
      </c>
      <c r="G649" s="11" t="s">
        <v>20</v>
      </c>
      <c r="K649">
        <v>6</v>
      </c>
      <c r="L649" s="28" t="s">
        <v>22</v>
      </c>
      <c r="P649" t="s">
        <v>737</v>
      </c>
      <c r="Q649" t="s">
        <v>1925</v>
      </c>
    </row>
    <row r="650" spans="1:17" ht="15.75" customHeight="1">
      <c r="A650" s="29" t="s">
        <v>1926</v>
      </c>
      <c r="B650" s="11" t="s">
        <v>17</v>
      </c>
      <c r="C650" s="12" t="s">
        <v>1927</v>
      </c>
      <c r="F650" t="s">
        <v>1855</v>
      </c>
      <c r="G650" s="11" t="s">
        <v>20</v>
      </c>
      <c r="K650">
        <v>6</v>
      </c>
      <c r="L650" s="28" t="s">
        <v>22</v>
      </c>
      <c r="P650" t="s">
        <v>737</v>
      </c>
      <c r="Q650" t="s">
        <v>1928</v>
      </c>
    </row>
    <row r="651" spans="1:17" ht="15.75" customHeight="1">
      <c r="A651" s="29" t="s">
        <v>1929</v>
      </c>
      <c r="B651" s="11" t="s">
        <v>17</v>
      </c>
      <c r="C651" s="12" t="s">
        <v>1930</v>
      </c>
      <c r="F651" t="s">
        <v>1855</v>
      </c>
      <c r="G651" s="11" t="s">
        <v>20</v>
      </c>
      <c r="K651">
        <v>6</v>
      </c>
      <c r="L651" s="28" t="s">
        <v>22</v>
      </c>
      <c r="P651" t="s">
        <v>737</v>
      </c>
      <c r="Q651" t="s">
        <v>1931</v>
      </c>
    </row>
    <row r="652" spans="1:17" ht="15.75" customHeight="1">
      <c r="A652" s="29" t="s">
        <v>1932</v>
      </c>
      <c r="B652" s="11" t="s">
        <v>17</v>
      </c>
      <c r="C652" s="12" t="s">
        <v>1933</v>
      </c>
      <c r="F652" t="s">
        <v>1855</v>
      </c>
      <c r="G652" s="11" t="s">
        <v>20</v>
      </c>
      <c r="K652">
        <v>6</v>
      </c>
      <c r="L652" s="28" t="s">
        <v>22</v>
      </c>
      <c r="P652" t="s">
        <v>737</v>
      </c>
      <c r="Q652" t="s">
        <v>1934</v>
      </c>
    </row>
    <row r="653" spans="1:17" ht="15.75" customHeight="1">
      <c r="A653" s="29" t="s">
        <v>1935</v>
      </c>
      <c r="B653" s="11" t="s">
        <v>17</v>
      </c>
      <c r="C653" s="12" t="s">
        <v>1936</v>
      </c>
      <c r="F653" t="s">
        <v>1855</v>
      </c>
      <c r="G653" s="11" t="s">
        <v>20</v>
      </c>
      <c r="K653">
        <v>6</v>
      </c>
      <c r="L653" s="28" t="s">
        <v>22</v>
      </c>
      <c r="P653" t="s">
        <v>737</v>
      </c>
      <c r="Q653" t="s">
        <v>1937</v>
      </c>
    </row>
    <row r="654" spans="1:17" ht="15.75" customHeight="1">
      <c r="A654" s="29" t="s">
        <v>1938</v>
      </c>
      <c r="B654" s="11" t="s">
        <v>17</v>
      </c>
      <c r="C654" s="12" t="s">
        <v>1939</v>
      </c>
      <c r="F654" t="s">
        <v>1855</v>
      </c>
      <c r="G654" s="11" t="s">
        <v>20</v>
      </c>
      <c r="H654" s="29"/>
      <c r="I654" s="29"/>
      <c r="K654">
        <v>7</v>
      </c>
      <c r="L654" s="28" t="s">
        <v>22</v>
      </c>
      <c r="P654" t="s">
        <v>737</v>
      </c>
      <c r="Q654" t="s">
        <v>1940</v>
      </c>
    </row>
    <row r="655" spans="1:17" ht="15.75" customHeight="1">
      <c r="A655" s="29" t="s">
        <v>1941</v>
      </c>
      <c r="B655" s="11" t="s">
        <v>17</v>
      </c>
      <c r="C655" s="12" t="s">
        <v>1942</v>
      </c>
      <c r="F655" t="s">
        <v>1855</v>
      </c>
      <c r="G655" s="11" t="s">
        <v>20</v>
      </c>
      <c r="K655">
        <v>7</v>
      </c>
      <c r="L655" s="28" t="s">
        <v>22</v>
      </c>
      <c r="P655" t="s">
        <v>737</v>
      </c>
      <c r="Q655" t="s">
        <v>1943</v>
      </c>
    </row>
    <row r="656" spans="1:17" ht="15.75" customHeight="1">
      <c r="A656" s="29" t="s">
        <v>1944</v>
      </c>
      <c r="B656" s="11" t="s">
        <v>17</v>
      </c>
      <c r="C656" s="12" t="s">
        <v>1945</v>
      </c>
      <c r="F656" t="s">
        <v>1855</v>
      </c>
      <c r="G656" s="11" t="s">
        <v>20</v>
      </c>
      <c r="K656">
        <v>7</v>
      </c>
      <c r="L656" s="28" t="s">
        <v>22</v>
      </c>
      <c r="P656" t="s">
        <v>737</v>
      </c>
      <c r="Q656" t="s">
        <v>1946</v>
      </c>
    </row>
    <row r="657" spans="1:17" ht="15.75" customHeight="1">
      <c r="A657" s="29" t="s">
        <v>1947</v>
      </c>
      <c r="B657" s="11" t="s">
        <v>17</v>
      </c>
      <c r="C657" s="12" t="s">
        <v>1948</v>
      </c>
      <c r="F657" t="s">
        <v>1855</v>
      </c>
      <c r="G657" s="11" t="s">
        <v>20</v>
      </c>
      <c r="K657">
        <v>7</v>
      </c>
      <c r="L657" s="28" t="s">
        <v>22</v>
      </c>
      <c r="P657" t="s">
        <v>737</v>
      </c>
      <c r="Q657" t="s">
        <v>1949</v>
      </c>
    </row>
    <row r="658" spans="1:17" ht="15.75" customHeight="1">
      <c r="A658" s="29" t="s">
        <v>1950</v>
      </c>
      <c r="B658" s="11" t="s">
        <v>17</v>
      </c>
      <c r="C658" s="12" t="s">
        <v>1951</v>
      </c>
      <c r="F658" t="s">
        <v>1952</v>
      </c>
      <c r="G658" s="11" t="s">
        <v>20</v>
      </c>
      <c r="H658" s="29"/>
      <c r="I658" s="29"/>
      <c r="K658">
        <v>1</v>
      </c>
      <c r="L658" s="28" t="s">
        <v>22</v>
      </c>
      <c r="P658" t="s">
        <v>741</v>
      </c>
      <c r="Q658" t="s">
        <v>1581</v>
      </c>
    </row>
    <row r="659" spans="1:17" ht="15.75" customHeight="1">
      <c r="A659" s="29" t="s">
        <v>1953</v>
      </c>
      <c r="B659" s="11" t="s">
        <v>17</v>
      </c>
      <c r="C659" s="12" t="s">
        <v>1954</v>
      </c>
      <c r="F659" t="s">
        <v>1952</v>
      </c>
      <c r="G659" s="11" t="s">
        <v>20</v>
      </c>
      <c r="K659">
        <v>1</v>
      </c>
      <c r="L659" s="28" t="s">
        <v>22</v>
      </c>
      <c r="P659" t="s">
        <v>741</v>
      </c>
      <c r="Q659" t="s">
        <v>1955</v>
      </c>
    </row>
    <row r="660" spans="1:17" ht="15.75" customHeight="1">
      <c r="A660" s="29" t="s">
        <v>1956</v>
      </c>
      <c r="B660" s="11" t="s">
        <v>17</v>
      </c>
      <c r="C660" s="12" t="s">
        <v>1957</v>
      </c>
      <c r="F660" t="s">
        <v>1952</v>
      </c>
      <c r="G660" s="11" t="s">
        <v>20</v>
      </c>
      <c r="K660">
        <v>2</v>
      </c>
      <c r="L660" s="28" t="s">
        <v>22</v>
      </c>
      <c r="P660" t="s">
        <v>741</v>
      </c>
      <c r="Q660" t="s">
        <v>1958</v>
      </c>
    </row>
    <row r="661" spans="1:17" ht="15.75" customHeight="1">
      <c r="A661" s="29" t="s">
        <v>1959</v>
      </c>
      <c r="B661" s="11" t="s">
        <v>17</v>
      </c>
      <c r="C661" s="12" t="s">
        <v>1960</v>
      </c>
      <c r="F661" t="s">
        <v>1952</v>
      </c>
      <c r="G661" s="11" t="s">
        <v>20</v>
      </c>
      <c r="K661">
        <v>2</v>
      </c>
      <c r="L661" s="28" t="s">
        <v>22</v>
      </c>
      <c r="P661" t="s">
        <v>741</v>
      </c>
      <c r="Q661" t="s">
        <v>1961</v>
      </c>
    </row>
    <row r="662" spans="1:17" ht="15.75" customHeight="1">
      <c r="A662" s="29" t="s">
        <v>1962</v>
      </c>
      <c r="B662" s="11" t="s">
        <v>17</v>
      </c>
      <c r="C662" s="12" t="s">
        <v>1963</v>
      </c>
      <c r="F662" t="s">
        <v>1952</v>
      </c>
      <c r="G662" s="11" t="s">
        <v>20</v>
      </c>
      <c r="K662">
        <v>3</v>
      </c>
      <c r="L662" s="28" t="s">
        <v>22</v>
      </c>
      <c r="P662" t="s">
        <v>741</v>
      </c>
      <c r="Q662" t="s">
        <v>1964</v>
      </c>
    </row>
    <row r="663" spans="1:17" ht="15.75" customHeight="1">
      <c r="A663" s="29" t="s">
        <v>1965</v>
      </c>
      <c r="B663" s="11" t="s">
        <v>17</v>
      </c>
      <c r="C663" s="12" t="s">
        <v>1966</v>
      </c>
      <c r="F663" t="s">
        <v>1952</v>
      </c>
      <c r="G663" s="11" t="s">
        <v>20</v>
      </c>
      <c r="K663">
        <v>3</v>
      </c>
      <c r="L663" s="28" t="s">
        <v>22</v>
      </c>
      <c r="P663" t="s">
        <v>741</v>
      </c>
      <c r="Q663" t="s">
        <v>1967</v>
      </c>
    </row>
    <row r="664" spans="1:17" ht="15.75" customHeight="1">
      <c r="A664" s="29" t="s">
        <v>1968</v>
      </c>
      <c r="B664" s="11" t="s">
        <v>17</v>
      </c>
      <c r="C664" s="12" t="s">
        <v>1969</v>
      </c>
      <c r="F664" t="s">
        <v>1952</v>
      </c>
      <c r="G664" s="11" t="s">
        <v>20</v>
      </c>
      <c r="K664">
        <v>4</v>
      </c>
      <c r="L664" s="28" t="s">
        <v>22</v>
      </c>
      <c r="P664" t="s">
        <v>741</v>
      </c>
      <c r="Q664" t="s">
        <v>1970</v>
      </c>
    </row>
    <row r="665" spans="1:17" ht="15.75" customHeight="1">
      <c r="A665" s="29" t="s">
        <v>1971</v>
      </c>
      <c r="B665" s="11" t="s">
        <v>17</v>
      </c>
      <c r="C665" s="12" t="s">
        <v>1972</v>
      </c>
      <c r="F665" t="s">
        <v>1952</v>
      </c>
      <c r="G665" s="11" t="s">
        <v>20</v>
      </c>
      <c r="H665" s="29"/>
      <c r="I665" s="29"/>
      <c r="K665">
        <v>4</v>
      </c>
      <c r="L665" s="28" t="s">
        <v>22</v>
      </c>
      <c r="P665" t="s">
        <v>741</v>
      </c>
      <c r="Q665" t="s">
        <v>1973</v>
      </c>
    </row>
    <row r="666" spans="1:17" ht="15.75" customHeight="1">
      <c r="A666" s="29" t="s">
        <v>1974</v>
      </c>
      <c r="B666" s="11" t="s">
        <v>17</v>
      </c>
      <c r="C666" s="12" t="s">
        <v>1975</v>
      </c>
      <c r="F666" t="s">
        <v>1952</v>
      </c>
      <c r="G666" s="11" t="s">
        <v>20</v>
      </c>
      <c r="H666" s="29"/>
      <c r="I666" s="29"/>
      <c r="K666">
        <v>5</v>
      </c>
      <c r="L666" s="28" t="s">
        <v>22</v>
      </c>
      <c r="P666" t="s">
        <v>741</v>
      </c>
      <c r="Q666" t="s">
        <v>1976</v>
      </c>
    </row>
    <row r="667" spans="1:17" ht="15.75" customHeight="1">
      <c r="A667" s="29" t="s">
        <v>1977</v>
      </c>
      <c r="B667" s="11" t="s">
        <v>17</v>
      </c>
      <c r="C667" s="12" t="s">
        <v>1978</v>
      </c>
      <c r="F667" t="s">
        <v>1952</v>
      </c>
      <c r="G667" s="11" t="s">
        <v>20</v>
      </c>
      <c r="K667">
        <v>6</v>
      </c>
      <c r="L667" s="28" t="s">
        <v>22</v>
      </c>
      <c r="P667" t="s">
        <v>741</v>
      </c>
      <c r="Q667" t="s">
        <v>1979</v>
      </c>
    </row>
    <row r="668" spans="1:17" ht="15.75" customHeight="1">
      <c r="A668" s="29" t="s">
        <v>1980</v>
      </c>
      <c r="B668" s="11" t="s">
        <v>17</v>
      </c>
      <c r="C668" s="12" t="s">
        <v>1981</v>
      </c>
      <c r="F668" t="s">
        <v>1952</v>
      </c>
      <c r="G668" s="11" t="s">
        <v>20</v>
      </c>
      <c r="K668">
        <v>7</v>
      </c>
      <c r="L668" s="28" t="s">
        <v>22</v>
      </c>
      <c r="P668" t="s">
        <v>741</v>
      </c>
      <c r="Q668" t="s">
        <v>1982</v>
      </c>
    </row>
    <row r="669" spans="1:17" ht="15.75" customHeight="1">
      <c r="A669" s="29" t="s">
        <v>1983</v>
      </c>
      <c r="B669" s="11" t="s">
        <v>17</v>
      </c>
      <c r="C669" s="12" t="s">
        <v>1984</v>
      </c>
      <c r="F669" t="s">
        <v>1985</v>
      </c>
      <c r="G669" s="11" t="s">
        <v>20</v>
      </c>
      <c r="H669" s="29"/>
      <c r="I669" s="29"/>
      <c r="K669">
        <v>1</v>
      </c>
      <c r="L669" s="28" t="s">
        <v>22</v>
      </c>
      <c r="P669" t="s">
        <v>741</v>
      </c>
      <c r="Q669" t="s">
        <v>1986</v>
      </c>
    </row>
    <row r="670" spans="1:17" ht="15.75" customHeight="1">
      <c r="A670" s="29" t="s">
        <v>1987</v>
      </c>
      <c r="B670" s="11" t="s">
        <v>17</v>
      </c>
      <c r="C670" s="12" t="s">
        <v>1988</v>
      </c>
      <c r="F670" t="s">
        <v>1985</v>
      </c>
      <c r="G670" s="11" t="s">
        <v>20</v>
      </c>
      <c r="H670" s="29"/>
      <c r="I670" s="29"/>
      <c r="K670">
        <v>1</v>
      </c>
      <c r="L670" s="28" t="s">
        <v>22</v>
      </c>
      <c r="P670" t="s">
        <v>125</v>
      </c>
      <c r="Q670" t="s">
        <v>1989</v>
      </c>
    </row>
    <row r="671" spans="1:17" ht="15.75" customHeight="1">
      <c r="A671" s="29" t="s">
        <v>1990</v>
      </c>
      <c r="B671" s="11" t="s">
        <v>17</v>
      </c>
      <c r="C671" s="12" t="s">
        <v>1991</v>
      </c>
      <c r="F671" t="s">
        <v>1985</v>
      </c>
      <c r="G671" s="11" t="s">
        <v>20</v>
      </c>
      <c r="K671">
        <v>1</v>
      </c>
      <c r="L671" s="28" t="s">
        <v>22</v>
      </c>
      <c r="P671" t="s">
        <v>278</v>
      </c>
      <c r="Q671" t="s">
        <v>1992</v>
      </c>
    </row>
    <row r="672" spans="1:17" ht="15.75" customHeight="1">
      <c r="A672" s="29" t="s">
        <v>1993</v>
      </c>
      <c r="B672" s="11" t="s">
        <v>17</v>
      </c>
      <c r="C672" s="12" t="s">
        <v>1994</v>
      </c>
      <c r="F672" t="s">
        <v>1985</v>
      </c>
      <c r="G672" s="11" t="s">
        <v>20</v>
      </c>
      <c r="K672">
        <v>1</v>
      </c>
      <c r="L672" s="28" t="s">
        <v>22</v>
      </c>
      <c r="P672" t="s">
        <v>125</v>
      </c>
      <c r="Q672" t="s">
        <v>1995</v>
      </c>
    </row>
    <row r="673" spans="1:17" ht="15.75" customHeight="1">
      <c r="A673" s="29" t="s">
        <v>1996</v>
      </c>
      <c r="B673" s="11" t="s">
        <v>17</v>
      </c>
      <c r="C673" s="12" t="s">
        <v>1997</v>
      </c>
      <c r="F673" t="s">
        <v>1985</v>
      </c>
      <c r="G673" s="11" t="s">
        <v>20</v>
      </c>
      <c r="K673">
        <v>2</v>
      </c>
      <c r="L673" s="28" t="s">
        <v>22</v>
      </c>
      <c r="P673" t="s">
        <v>125</v>
      </c>
      <c r="Q673" t="s">
        <v>1998</v>
      </c>
    </row>
    <row r="674" spans="1:17" ht="15.75" customHeight="1">
      <c r="A674" s="29" t="s">
        <v>1999</v>
      </c>
      <c r="B674" s="11" t="s">
        <v>17</v>
      </c>
      <c r="C674" s="12" t="s">
        <v>2000</v>
      </c>
      <c r="F674" t="s">
        <v>1985</v>
      </c>
      <c r="G674" s="11" t="s">
        <v>20</v>
      </c>
      <c r="K674">
        <v>2</v>
      </c>
      <c r="L674" s="28" t="s">
        <v>22</v>
      </c>
      <c r="P674" t="s">
        <v>741</v>
      </c>
      <c r="Q674" t="s">
        <v>2001</v>
      </c>
    </row>
    <row r="675" spans="1:17" ht="15.75" customHeight="1">
      <c r="A675" s="29" t="s">
        <v>2002</v>
      </c>
      <c r="B675" s="11" t="s">
        <v>17</v>
      </c>
      <c r="C675" s="12" t="s">
        <v>2003</v>
      </c>
      <c r="F675" t="s">
        <v>1985</v>
      </c>
      <c r="G675" s="11" t="s">
        <v>20</v>
      </c>
      <c r="K675">
        <v>2</v>
      </c>
      <c r="L675" s="28" t="s">
        <v>22</v>
      </c>
      <c r="P675" t="s">
        <v>90</v>
      </c>
      <c r="Q675" t="s">
        <v>2004</v>
      </c>
    </row>
    <row r="676" spans="1:17" ht="15.75" customHeight="1">
      <c r="A676" s="29" t="s">
        <v>2005</v>
      </c>
      <c r="B676" s="11" t="s">
        <v>17</v>
      </c>
      <c r="C676" s="12" t="s">
        <v>2006</v>
      </c>
      <c r="F676" t="s">
        <v>1985</v>
      </c>
      <c r="G676" s="11" t="s">
        <v>20</v>
      </c>
      <c r="K676">
        <v>2</v>
      </c>
      <c r="L676" s="28" t="s">
        <v>22</v>
      </c>
      <c r="P676" t="s">
        <v>741</v>
      </c>
      <c r="Q676" t="s">
        <v>2007</v>
      </c>
    </row>
    <row r="677" spans="1:17" ht="15.75" customHeight="1">
      <c r="A677" s="29" t="s">
        <v>2008</v>
      </c>
      <c r="B677" s="11" t="s">
        <v>17</v>
      </c>
      <c r="C677" s="12" t="s">
        <v>2009</v>
      </c>
      <c r="F677" t="s">
        <v>1985</v>
      </c>
      <c r="G677" s="11" t="s">
        <v>20</v>
      </c>
      <c r="K677">
        <v>2</v>
      </c>
      <c r="L677" s="28" t="s">
        <v>22</v>
      </c>
      <c r="P677" t="s">
        <v>125</v>
      </c>
      <c r="Q677" t="s">
        <v>2010</v>
      </c>
    </row>
    <row r="678" spans="1:17" ht="15.75" customHeight="1">
      <c r="A678" s="29" t="s">
        <v>2011</v>
      </c>
      <c r="B678" s="11" t="s">
        <v>17</v>
      </c>
      <c r="C678" s="12" t="s">
        <v>2012</v>
      </c>
      <c r="F678" t="s">
        <v>1985</v>
      </c>
      <c r="G678" s="11" t="s">
        <v>20</v>
      </c>
      <c r="K678">
        <v>3</v>
      </c>
      <c r="L678" s="28" t="s">
        <v>22</v>
      </c>
      <c r="P678" t="s">
        <v>741</v>
      </c>
      <c r="Q678" t="s">
        <v>2013</v>
      </c>
    </row>
    <row r="679" spans="1:17" ht="15.75" customHeight="1">
      <c r="A679" s="29" t="s">
        <v>2014</v>
      </c>
      <c r="B679" s="11" t="s">
        <v>17</v>
      </c>
      <c r="C679" s="12" t="s">
        <v>2015</v>
      </c>
      <c r="F679" t="s">
        <v>1985</v>
      </c>
      <c r="G679" s="11" t="s">
        <v>20</v>
      </c>
      <c r="K679">
        <v>3</v>
      </c>
      <c r="L679" s="28" t="s">
        <v>22</v>
      </c>
      <c r="P679" t="s">
        <v>741</v>
      </c>
      <c r="Q679" t="s">
        <v>2016</v>
      </c>
    </row>
    <row r="680" spans="1:17" ht="15.75" customHeight="1">
      <c r="A680" s="29" t="s">
        <v>2017</v>
      </c>
      <c r="B680" s="11" t="s">
        <v>17</v>
      </c>
      <c r="C680" s="12" t="s">
        <v>2018</v>
      </c>
      <c r="F680" t="s">
        <v>1985</v>
      </c>
      <c r="G680" s="11" t="s">
        <v>20</v>
      </c>
      <c r="K680">
        <v>3</v>
      </c>
      <c r="L680" s="28" t="s">
        <v>22</v>
      </c>
      <c r="P680" t="s">
        <v>125</v>
      </c>
      <c r="Q680" t="s">
        <v>2019</v>
      </c>
    </row>
    <row r="681" spans="1:17" ht="15.75" customHeight="1">
      <c r="A681" s="29" t="s">
        <v>2020</v>
      </c>
      <c r="B681" s="11" t="s">
        <v>17</v>
      </c>
      <c r="C681" s="12" t="s">
        <v>2021</v>
      </c>
      <c r="F681" t="s">
        <v>1985</v>
      </c>
      <c r="G681" s="11" t="s">
        <v>20</v>
      </c>
      <c r="K681">
        <v>3</v>
      </c>
      <c r="L681" s="28" t="s">
        <v>22</v>
      </c>
      <c r="P681" t="s">
        <v>125</v>
      </c>
      <c r="Q681" t="s">
        <v>2022</v>
      </c>
    </row>
    <row r="682" spans="1:17" ht="15.75" customHeight="1">
      <c r="A682" s="29" t="s">
        <v>2023</v>
      </c>
      <c r="B682" s="11" t="s">
        <v>17</v>
      </c>
      <c r="C682" s="12" t="s">
        <v>2024</v>
      </c>
      <c r="F682" t="s">
        <v>1985</v>
      </c>
      <c r="G682" s="11" t="s">
        <v>20</v>
      </c>
      <c r="K682">
        <v>4</v>
      </c>
      <c r="L682" s="28" t="s">
        <v>22</v>
      </c>
      <c r="P682" t="s">
        <v>741</v>
      </c>
      <c r="Q682" t="s">
        <v>2025</v>
      </c>
    </row>
    <row r="683" spans="1:17" ht="15.75" customHeight="1">
      <c r="A683" s="29" t="s">
        <v>2026</v>
      </c>
      <c r="B683" s="11" t="s">
        <v>17</v>
      </c>
      <c r="C683" s="12" t="s">
        <v>2027</v>
      </c>
      <c r="F683" t="s">
        <v>1985</v>
      </c>
      <c r="G683" s="11" t="s">
        <v>20</v>
      </c>
      <c r="K683">
        <v>4</v>
      </c>
      <c r="L683" s="28" t="s">
        <v>22</v>
      </c>
      <c r="P683" t="s">
        <v>741</v>
      </c>
      <c r="Q683" t="s">
        <v>2028</v>
      </c>
    </row>
    <row r="684" spans="1:17" ht="15.75" customHeight="1">
      <c r="A684" s="29" t="s">
        <v>2029</v>
      </c>
      <c r="B684" s="11" t="s">
        <v>17</v>
      </c>
      <c r="C684" s="12" t="s">
        <v>2030</v>
      </c>
      <c r="F684" t="s">
        <v>1985</v>
      </c>
      <c r="G684" s="11" t="s">
        <v>20</v>
      </c>
      <c r="K684">
        <v>4</v>
      </c>
      <c r="L684" s="28" t="s">
        <v>22</v>
      </c>
      <c r="P684" t="s">
        <v>741</v>
      </c>
      <c r="Q684" t="s">
        <v>2031</v>
      </c>
    </row>
    <row r="685" spans="1:17" ht="15.75" customHeight="1">
      <c r="A685" s="29" t="s">
        <v>2032</v>
      </c>
      <c r="B685" s="11" t="s">
        <v>17</v>
      </c>
      <c r="C685" s="12" t="s">
        <v>2033</v>
      </c>
      <c r="F685" t="s">
        <v>1985</v>
      </c>
      <c r="G685" s="11" t="s">
        <v>20</v>
      </c>
      <c r="K685">
        <v>5</v>
      </c>
      <c r="L685" s="28" t="s">
        <v>22</v>
      </c>
      <c r="P685" t="s">
        <v>741</v>
      </c>
      <c r="Q685" t="s">
        <v>2034</v>
      </c>
    </row>
    <row r="686" spans="1:17" ht="15.75" customHeight="1">
      <c r="A686" s="29" t="s">
        <v>2035</v>
      </c>
      <c r="B686" s="11" t="s">
        <v>17</v>
      </c>
      <c r="C686" s="12" t="s">
        <v>2036</v>
      </c>
      <c r="F686" t="s">
        <v>1985</v>
      </c>
      <c r="G686" s="11" t="s">
        <v>20</v>
      </c>
      <c r="K686">
        <v>5</v>
      </c>
      <c r="L686" s="28" t="s">
        <v>22</v>
      </c>
      <c r="P686" t="s">
        <v>741</v>
      </c>
      <c r="Q686" t="s">
        <v>2037</v>
      </c>
    </row>
    <row r="687" spans="1:17" ht="15.75" customHeight="1">
      <c r="A687" s="29" t="s">
        <v>2038</v>
      </c>
      <c r="B687" s="11" t="s">
        <v>17</v>
      </c>
      <c r="C687" s="12" t="s">
        <v>2039</v>
      </c>
      <c r="F687" t="s">
        <v>1985</v>
      </c>
      <c r="G687" s="11" t="s">
        <v>20</v>
      </c>
      <c r="K687">
        <v>5</v>
      </c>
      <c r="L687" s="28" t="s">
        <v>22</v>
      </c>
      <c r="P687" t="s">
        <v>741</v>
      </c>
      <c r="Q687" t="s">
        <v>2040</v>
      </c>
    </row>
    <row r="688" spans="1:17" ht="15.75" customHeight="1">
      <c r="A688" s="29" t="s">
        <v>2041</v>
      </c>
      <c r="B688" s="11" t="s">
        <v>17</v>
      </c>
      <c r="C688" s="12" t="s">
        <v>2042</v>
      </c>
      <c r="F688" t="s">
        <v>1985</v>
      </c>
      <c r="G688" s="11" t="s">
        <v>20</v>
      </c>
      <c r="K688">
        <v>6</v>
      </c>
      <c r="L688" s="28" t="s">
        <v>22</v>
      </c>
      <c r="P688" t="s">
        <v>741</v>
      </c>
      <c r="Q688" t="s">
        <v>2043</v>
      </c>
    </row>
    <row r="689" spans="1:17" ht="15.75" customHeight="1">
      <c r="A689" s="29" t="s">
        <v>2044</v>
      </c>
      <c r="B689" s="11" t="s">
        <v>17</v>
      </c>
      <c r="C689" s="12" t="s">
        <v>2045</v>
      </c>
      <c r="F689" t="s">
        <v>1985</v>
      </c>
      <c r="G689" s="11" t="s">
        <v>20</v>
      </c>
      <c r="K689">
        <v>6</v>
      </c>
      <c r="L689" s="28" t="s">
        <v>22</v>
      </c>
      <c r="P689" t="s">
        <v>741</v>
      </c>
      <c r="Q689" t="s">
        <v>2046</v>
      </c>
    </row>
    <row r="690" spans="1:17" ht="15.75" customHeight="1">
      <c r="A690" s="29" t="s">
        <v>2047</v>
      </c>
      <c r="B690" s="11" t="s">
        <v>17</v>
      </c>
      <c r="C690" s="12" t="s">
        <v>2048</v>
      </c>
      <c r="F690" t="s">
        <v>1985</v>
      </c>
      <c r="G690" s="11" t="s">
        <v>20</v>
      </c>
      <c r="K690">
        <v>6</v>
      </c>
      <c r="L690" s="28" t="s">
        <v>22</v>
      </c>
      <c r="P690" t="s">
        <v>741</v>
      </c>
      <c r="Q690" t="s">
        <v>2049</v>
      </c>
    </row>
    <row r="691" spans="1:17" ht="15.75" customHeight="1">
      <c r="A691" s="29" t="s">
        <v>2050</v>
      </c>
      <c r="B691" s="11" t="s">
        <v>17</v>
      </c>
      <c r="C691" s="12" t="s">
        <v>2051</v>
      </c>
      <c r="F691" t="s">
        <v>1985</v>
      </c>
      <c r="G691" s="11" t="s">
        <v>20</v>
      </c>
      <c r="K691">
        <v>7</v>
      </c>
      <c r="L691" s="28" t="s">
        <v>22</v>
      </c>
      <c r="P691" t="s">
        <v>741</v>
      </c>
      <c r="Q691" t="s">
        <v>2052</v>
      </c>
    </row>
    <row r="692" spans="1:17" ht="15.75" customHeight="1">
      <c r="A692" s="29" t="s">
        <v>2053</v>
      </c>
      <c r="B692" s="11" t="s">
        <v>17</v>
      </c>
      <c r="C692" s="12" t="s">
        <v>2054</v>
      </c>
      <c r="F692" t="s">
        <v>89</v>
      </c>
      <c r="G692" s="11" t="s">
        <v>20</v>
      </c>
      <c r="K692">
        <v>1</v>
      </c>
      <c r="L692" s="28" t="s">
        <v>22</v>
      </c>
      <c r="P692" t="s">
        <v>90</v>
      </c>
      <c r="Q692" t="s">
        <v>2055</v>
      </c>
    </row>
    <row r="693" spans="1:17" ht="15.75" customHeight="1">
      <c r="A693" s="29" t="s">
        <v>2056</v>
      </c>
      <c r="B693" s="11" t="s">
        <v>17</v>
      </c>
      <c r="C693" s="12" t="s">
        <v>2057</v>
      </c>
      <c r="F693" t="s">
        <v>89</v>
      </c>
      <c r="G693" s="11" t="s">
        <v>20</v>
      </c>
      <c r="K693">
        <v>1</v>
      </c>
      <c r="L693" s="28" t="s">
        <v>22</v>
      </c>
      <c r="P693" t="s">
        <v>90</v>
      </c>
      <c r="Q693" t="s">
        <v>2058</v>
      </c>
    </row>
    <row r="694" spans="1:17" ht="15.75" customHeight="1">
      <c r="A694" s="29" t="s">
        <v>2059</v>
      </c>
      <c r="B694" s="11" t="s">
        <v>17</v>
      </c>
      <c r="C694" s="12" t="s">
        <v>2060</v>
      </c>
      <c r="F694" t="s">
        <v>89</v>
      </c>
      <c r="G694" s="11" t="s">
        <v>20</v>
      </c>
      <c r="K694">
        <v>1</v>
      </c>
      <c r="L694" s="28" t="s">
        <v>22</v>
      </c>
      <c r="P694" t="s">
        <v>90</v>
      </c>
      <c r="Q694" t="s">
        <v>2061</v>
      </c>
    </row>
    <row r="695" spans="1:17" ht="15.75" customHeight="1">
      <c r="A695" s="29" t="s">
        <v>2062</v>
      </c>
      <c r="B695" s="11" t="s">
        <v>17</v>
      </c>
      <c r="C695" s="12" t="s">
        <v>2063</v>
      </c>
      <c r="F695" t="s">
        <v>89</v>
      </c>
      <c r="G695" s="11" t="s">
        <v>20</v>
      </c>
      <c r="K695">
        <v>1</v>
      </c>
      <c r="L695" s="28" t="s">
        <v>22</v>
      </c>
      <c r="P695" t="s">
        <v>90</v>
      </c>
      <c r="Q695" t="s">
        <v>2064</v>
      </c>
    </row>
    <row r="696" spans="1:17" ht="15.75" customHeight="1">
      <c r="A696" s="29" t="s">
        <v>2065</v>
      </c>
      <c r="B696" s="11" t="s">
        <v>17</v>
      </c>
      <c r="C696" s="12" t="s">
        <v>2066</v>
      </c>
      <c r="F696" t="s">
        <v>89</v>
      </c>
      <c r="G696" s="11" t="s">
        <v>20</v>
      </c>
      <c r="K696">
        <v>2</v>
      </c>
      <c r="L696" s="28" t="s">
        <v>22</v>
      </c>
      <c r="P696" t="s">
        <v>90</v>
      </c>
      <c r="Q696" t="s">
        <v>2067</v>
      </c>
    </row>
    <row r="697" spans="1:17" ht="15.75" customHeight="1">
      <c r="A697" s="29" t="s">
        <v>2068</v>
      </c>
      <c r="B697" s="11" t="s">
        <v>17</v>
      </c>
      <c r="C697" s="12" t="s">
        <v>2069</v>
      </c>
      <c r="F697" t="s">
        <v>89</v>
      </c>
      <c r="G697" s="11" t="s">
        <v>20</v>
      </c>
      <c r="K697">
        <v>2</v>
      </c>
      <c r="L697" s="28" t="s">
        <v>22</v>
      </c>
      <c r="P697" t="s">
        <v>90</v>
      </c>
      <c r="Q697" t="s">
        <v>2070</v>
      </c>
    </row>
    <row r="698" spans="1:17" ht="15.75" customHeight="1">
      <c r="A698" s="29" t="s">
        <v>2071</v>
      </c>
      <c r="B698" s="11" t="s">
        <v>17</v>
      </c>
      <c r="C698" s="12" t="s">
        <v>2072</v>
      </c>
      <c r="F698" t="s">
        <v>89</v>
      </c>
      <c r="G698" s="11" t="s">
        <v>20</v>
      </c>
      <c r="H698" s="29"/>
      <c r="I698" s="29"/>
      <c r="K698">
        <v>3</v>
      </c>
      <c r="L698" s="28" t="s">
        <v>22</v>
      </c>
      <c r="P698" t="s">
        <v>90</v>
      </c>
      <c r="Q698" t="s">
        <v>2073</v>
      </c>
    </row>
    <row r="699" spans="1:17" ht="15.75" customHeight="1">
      <c r="A699" s="29" t="s">
        <v>2074</v>
      </c>
      <c r="B699" s="11" t="s">
        <v>17</v>
      </c>
      <c r="C699" s="12" t="s">
        <v>2075</v>
      </c>
      <c r="F699" t="s">
        <v>89</v>
      </c>
      <c r="G699" s="11" t="s">
        <v>20</v>
      </c>
      <c r="K699">
        <v>3</v>
      </c>
      <c r="L699" s="28" t="s">
        <v>22</v>
      </c>
      <c r="P699" t="s">
        <v>90</v>
      </c>
      <c r="Q699" t="s">
        <v>2076</v>
      </c>
    </row>
    <row r="700" spans="1:17" ht="15.75" customHeight="1">
      <c r="A700" s="29" t="s">
        <v>2077</v>
      </c>
      <c r="B700" s="11" t="s">
        <v>17</v>
      </c>
      <c r="C700" s="12" t="s">
        <v>2078</v>
      </c>
      <c r="F700" t="s">
        <v>89</v>
      </c>
      <c r="G700" s="11" t="s">
        <v>20</v>
      </c>
      <c r="K700">
        <v>4</v>
      </c>
      <c r="L700" s="28" t="s">
        <v>22</v>
      </c>
      <c r="P700" t="s">
        <v>90</v>
      </c>
      <c r="Q700" t="s">
        <v>2079</v>
      </c>
    </row>
    <row r="701" spans="1:17" ht="15.75" customHeight="1">
      <c r="A701" s="29" t="s">
        <v>2080</v>
      </c>
      <c r="B701" s="11" t="s">
        <v>17</v>
      </c>
      <c r="C701" s="12" t="s">
        <v>2081</v>
      </c>
      <c r="F701" t="s">
        <v>89</v>
      </c>
      <c r="G701" s="11" t="s">
        <v>20</v>
      </c>
      <c r="K701">
        <v>4</v>
      </c>
      <c r="L701" s="28" t="s">
        <v>22</v>
      </c>
      <c r="P701" t="s">
        <v>90</v>
      </c>
      <c r="Q701" t="s">
        <v>2082</v>
      </c>
    </row>
    <row r="702" spans="1:17" ht="15.75" customHeight="1">
      <c r="A702" s="29" t="s">
        <v>2083</v>
      </c>
      <c r="B702" s="11" t="s">
        <v>17</v>
      </c>
      <c r="C702" s="12" t="s">
        <v>2084</v>
      </c>
      <c r="F702" t="s">
        <v>124</v>
      </c>
      <c r="G702" s="11" t="s">
        <v>20</v>
      </c>
      <c r="K702">
        <v>1</v>
      </c>
      <c r="L702" s="28" t="s">
        <v>22</v>
      </c>
      <c r="P702" t="s">
        <v>125</v>
      </c>
      <c r="Q702" t="s">
        <v>2085</v>
      </c>
    </row>
    <row r="703" spans="1:17" ht="15.75" customHeight="1">
      <c r="A703" s="29" t="s">
        <v>2086</v>
      </c>
      <c r="B703" s="11" t="s">
        <v>17</v>
      </c>
      <c r="C703" s="12" t="s">
        <v>2087</v>
      </c>
      <c r="F703" t="s">
        <v>124</v>
      </c>
      <c r="G703" s="11" t="s">
        <v>20</v>
      </c>
      <c r="K703">
        <v>1</v>
      </c>
      <c r="L703" s="28" t="s">
        <v>22</v>
      </c>
      <c r="P703" t="s">
        <v>125</v>
      </c>
      <c r="Q703" t="s">
        <v>2088</v>
      </c>
    </row>
    <row r="704" spans="1:17" ht="15.75" customHeight="1">
      <c r="A704" s="29" t="s">
        <v>2089</v>
      </c>
      <c r="B704" s="11" t="s">
        <v>17</v>
      </c>
      <c r="C704" s="12" t="s">
        <v>2090</v>
      </c>
      <c r="F704" t="s">
        <v>124</v>
      </c>
      <c r="G704" s="11" t="s">
        <v>20</v>
      </c>
      <c r="K704">
        <v>1</v>
      </c>
      <c r="L704" s="28" t="s">
        <v>22</v>
      </c>
      <c r="P704" t="s">
        <v>125</v>
      </c>
      <c r="Q704" t="s">
        <v>2091</v>
      </c>
    </row>
    <row r="705" spans="1:17" ht="15.75" customHeight="1">
      <c r="A705" s="29" t="s">
        <v>2092</v>
      </c>
      <c r="B705" s="11" t="s">
        <v>17</v>
      </c>
      <c r="C705" s="12" t="s">
        <v>2093</v>
      </c>
      <c r="F705" t="s">
        <v>124</v>
      </c>
      <c r="G705" s="11" t="s">
        <v>20</v>
      </c>
      <c r="K705">
        <v>1</v>
      </c>
      <c r="L705" s="28" t="s">
        <v>22</v>
      </c>
      <c r="P705" t="s">
        <v>125</v>
      </c>
      <c r="Q705" t="s">
        <v>2094</v>
      </c>
    </row>
    <row r="706" spans="1:17" ht="15.75" customHeight="1">
      <c r="A706" s="29" t="s">
        <v>2095</v>
      </c>
      <c r="B706" s="11" t="s">
        <v>17</v>
      </c>
      <c r="C706" s="12" t="s">
        <v>2096</v>
      </c>
      <c r="F706" t="s">
        <v>124</v>
      </c>
      <c r="G706" s="11" t="s">
        <v>20</v>
      </c>
      <c r="K706">
        <v>2</v>
      </c>
      <c r="L706" s="28" t="s">
        <v>22</v>
      </c>
      <c r="P706" t="s">
        <v>125</v>
      </c>
      <c r="Q706" t="s">
        <v>2097</v>
      </c>
    </row>
    <row r="707" spans="1:17" ht="15.75" customHeight="1">
      <c r="A707" s="29" t="s">
        <v>2098</v>
      </c>
      <c r="B707" s="11" t="s">
        <v>17</v>
      </c>
      <c r="C707" s="12" t="s">
        <v>2099</v>
      </c>
      <c r="F707" t="s">
        <v>124</v>
      </c>
      <c r="G707" s="11" t="s">
        <v>20</v>
      </c>
      <c r="H707" s="29"/>
      <c r="I707" s="29"/>
      <c r="K707">
        <v>2</v>
      </c>
      <c r="L707" s="28" t="s">
        <v>22</v>
      </c>
      <c r="P707" t="s">
        <v>125</v>
      </c>
      <c r="Q707" t="s">
        <v>2100</v>
      </c>
    </row>
    <row r="708" spans="1:17" ht="15.75" customHeight="1">
      <c r="A708" s="29" t="s">
        <v>2101</v>
      </c>
      <c r="B708" s="11" t="s">
        <v>17</v>
      </c>
      <c r="C708" s="12" t="s">
        <v>2102</v>
      </c>
      <c r="F708" t="s">
        <v>124</v>
      </c>
      <c r="G708" s="11" t="s">
        <v>20</v>
      </c>
      <c r="K708">
        <v>3</v>
      </c>
      <c r="L708" s="28" t="s">
        <v>22</v>
      </c>
      <c r="P708" t="s">
        <v>125</v>
      </c>
      <c r="Q708" t="s">
        <v>2103</v>
      </c>
    </row>
    <row r="709" spans="1:17" ht="15.75" customHeight="1">
      <c r="A709" s="29" t="s">
        <v>2104</v>
      </c>
      <c r="B709" s="11" t="s">
        <v>17</v>
      </c>
      <c r="C709" s="12" t="s">
        <v>2105</v>
      </c>
      <c r="F709" t="s">
        <v>124</v>
      </c>
      <c r="G709" s="11" t="s">
        <v>20</v>
      </c>
      <c r="K709">
        <v>3</v>
      </c>
      <c r="L709" s="28" t="s">
        <v>22</v>
      </c>
      <c r="P709" t="s">
        <v>125</v>
      </c>
      <c r="Q709" t="s">
        <v>2106</v>
      </c>
    </row>
    <row r="710" spans="1:17" ht="15.75" customHeight="1">
      <c r="A710" s="29" t="s">
        <v>2107</v>
      </c>
      <c r="B710" s="11" t="s">
        <v>17</v>
      </c>
      <c r="C710" s="12" t="s">
        <v>2108</v>
      </c>
      <c r="F710" t="s">
        <v>124</v>
      </c>
      <c r="G710" s="11" t="s">
        <v>20</v>
      </c>
      <c r="K710">
        <v>4</v>
      </c>
      <c r="L710" s="28" t="s">
        <v>22</v>
      </c>
      <c r="P710" t="s">
        <v>125</v>
      </c>
      <c r="Q710" t="s">
        <v>2109</v>
      </c>
    </row>
    <row r="711" spans="1:17" ht="15.75" customHeight="1">
      <c r="A711" s="29" t="s">
        <v>2110</v>
      </c>
      <c r="B711" s="11" t="s">
        <v>17</v>
      </c>
      <c r="C711" s="12" t="s">
        <v>2111</v>
      </c>
      <c r="F711" t="s">
        <v>124</v>
      </c>
      <c r="G711" s="11" t="s">
        <v>20</v>
      </c>
      <c r="K711">
        <v>4</v>
      </c>
      <c r="L711" s="28" t="s">
        <v>22</v>
      </c>
      <c r="P711" t="s">
        <v>125</v>
      </c>
      <c r="Q711" t="s">
        <v>2112</v>
      </c>
    </row>
    <row r="712" spans="1:17" ht="15.75" customHeight="1">
      <c r="A712" s="29" t="s">
        <v>2113</v>
      </c>
      <c r="B712" s="11" t="s">
        <v>17</v>
      </c>
      <c r="C712" s="7" t="s">
        <v>2114</v>
      </c>
      <c r="E712" s="10"/>
      <c r="F712" s="10" t="s">
        <v>2115</v>
      </c>
      <c r="G712" s="11" t="s">
        <v>20</v>
      </c>
      <c r="K712">
        <v>1</v>
      </c>
      <c r="L712" s="28" t="s">
        <v>22</v>
      </c>
      <c r="P712" t="s">
        <v>278</v>
      </c>
      <c r="Q712" t="s">
        <v>2116</v>
      </c>
    </row>
    <row r="713" spans="1:17" ht="15.75" customHeight="1">
      <c r="A713" s="29" t="s">
        <v>2117</v>
      </c>
      <c r="B713" s="11" t="s">
        <v>17</v>
      </c>
      <c r="C713" s="7" t="s">
        <v>2118</v>
      </c>
      <c r="E713" s="10"/>
      <c r="F713" s="10" t="s">
        <v>2115</v>
      </c>
      <c r="G713" s="11" t="s">
        <v>20</v>
      </c>
      <c r="K713">
        <v>1</v>
      </c>
      <c r="L713" s="28" t="s">
        <v>22</v>
      </c>
      <c r="P713" t="s">
        <v>125</v>
      </c>
      <c r="Q713" t="s">
        <v>2119</v>
      </c>
    </row>
    <row r="714" spans="1:17" ht="15.75" customHeight="1">
      <c r="A714" s="29" t="s">
        <v>2120</v>
      </c>
      <c r="B714" s="11" t="s">
        <v>17</v>
      </c>
      <c r="C714" s="7" t="s">
        <v>2121</v>
      </c>
      <c r="E714" s="10"/>
      <c r="F714" s="10" t="s">
        <v>2115</v>
      </c>
      <c r="G714" s="11" t="s">
        <v>20</v>
      </c>
      <c r="K714">
        <v>1</v>
      </c>
      <c r="L714" s="28" t="s">
        <v>22</v>
      </c>
      <c r="P714" t="s">
        <v>160</v>
      </c>
      <c r="Q714" t="s">
        <v>2122</v>
      </c>
    </row>
    <row r="715" spans="1:17" ht="15.75" customHeight="1">
      <c r="A715" s="29" t="s">
        <v>2123</v>
      </c>
      <c r="B715" s="11" t="s">
        <v>17</v>
      </c>
      <c r="C715" s="7" t="s">
        <v>2124</v>
      </c>
      <c r="E715" s="10"/>
      <c r="F715" s="10" t="s">
        <v>2115</v>
      </c>
      <c r="G715" s="11" t="s">
        <v>20</v>
      </c>
      <c r="K715">
        <v>2</v>
      </c>
      <c r="L715" s="28" t="s">
        <v>22</v>
      </c>
      <c r="P715" t="s">
        <v>23</v>
      </c>
      <c r="Q715" t="s">
        <v>2125</v>
      </c>
    </row>
    <row r="716" spans="1:17" ht="15.75" customHeight="1">
      <c r="A716" s="29" t="s">
        <v>2126</v>
      </c>
      <c r="B716" s="11" t="s">
        <v>17</v>
      </c>
      <c r="C716" s="18" t="s">
        <v>2127</v>
      </c>
      <c r="F716" t="s">
        <v>2115</v>
      </c>
      <c r="G716" s="11" t="s">
        <v>20</v>
      </c>
      <c r="K716">
        <v>2</v>
      </c>
      <c r="L716" s="28" t="s">
        <v>22</v>
      </c>
      <c r="P716" t="s">
        <v>763</v>
      </c>
      <c r="Q716" t="s">
        <v>2128</v>
      </c>
    </row>
    <row r="717" spans="1:17" ht="15.75" customHeight="1">
      <c r="A717" s="29" t="s">
        <v>2129</v>
      </c>
      <c r="B717" s="11" t="s">
        <v>17</v>
      </c>
      <c r="C717" s="18" t="s">
        <v>2130</v>
      </c>
      <c r="E717" s="14"/>
      <c r="F717" s="14" t="s">
        <v>2115</v>
      </c>
      <c r="G717" s="11" t="s">
        <v>20</v>
      </c>
      <c r="K717">
        <v>2</v>
      </c>
      <c r="L717" s="28" t="s">
        <v>22</v>
      </c>
      <c r="P717" t="s">
        <v>23</v>
      </c>
      <c r="Q717" t="s">
        <v>2131</v>
      </c>
    </row>
    <row r="718" spans="1:17" ht="15.75" customHeight="1">
      <c r="A718" s="29" t="s">
        <v>2132</v>
      </c>
      <c r="B718" s="11" t="s">
        <v>17</v>
      </c>
      <c r="C718" s="18" t="s">
        <v>2133</v>
      </c>
      <c r="E718" s="14"/>
      <c r="F718" s="14" t="s">
        <v>2115</v>
      </c>
      <c r="G718" s="11" t="s">
        <v>20</v>
      </c>
      <c r="K718">
        <v>2</v>
      </c>
      <c r="L718" s="28" t="s">
        <v>22</v>
      </c>
      <c r="P718" t="s">
        <v>763</v>
      </c>
      <c r="Q718" t="s">
        <v>2134</v>
      </c>
    </row>
    <row r="719" spans="1:17" ht="15.75" customHeight="1">
      <c r="A719" s="29" t="s">
        <v>2135</v>
      </c>
      <c r="B719" s="11" t="s">
        <v>17</v>
      </c>
      <c r="C719" s="18" t="s">
        <v>2136</v>
      </c>
      <c r="E719" s="14"/>
      <c r="F719" s="14" t="s">
        <v>2115</v>
      </c>
      <c r="G719" s="11" t="s">
        <v>20</v>
      </c>
      <c r="K719">
        <v>3</v>
      </c>
      <c r="L719" s="28" t="s">
        <v>22</v>
      </c>
      <c r="P719" t="s">
        <v>23</v>
      </c>
      <c r="Q719" t="s">
        <v>2137</v>
      </c>
    </row>
    <row r="720" spans="1:17" ht="15.75" customHeight="1">
      <c r="A720" s="29" t="s">
        <v>2138</v>
      </c>
      <c r="B720" s="11" t="s">
        <v>17</v>
      </c>
      <c r="C720" s="18" t="s">
        <v>2139</v>
      </c>
      <c r="E720" s="14"/>
      <c r="F720" s="14" t="s">
        <v>2115</v>
      </c>
      <c r="G720" s="11" t="s">
        <v>20</v>
      </c>
      <c r="K720">
        <v>3</v>
      </c>
      <c r="L720" s="28" t="s">
        <v>22</v>
      </c>
      <c r="P720" t="s">
        <v>737</v>
      </c>
      <c r="Q720" t="s">
        <v>2140</v>
      </c>
    </row>
    <row r="721" spans="1:17" ht="15.75" customHeight="1">
      <c r="A721" s="29" t="s">
        <v>2141</v>
      </c>
      <c r="B721" s="11" t="s">
        <v>17</v>
      </c>
      <c r="C721" s="18" t="s">
        <v>2142</v>
      </c>
      <c r="E721" s="14"/>
      <c r="F721" s="14" t="s">
        <v>2115</v>
      </c>
      <c r="G721" s="11" t="s">
        <v>20</v>
      </c>
      <c r="K721">
        <v>3</v>
      </c>
      <c r="L721" s="28" t="s">
        <v>22</v>
      </c>
      <c r="P721" t="s">
        <v>737</v>
      </c>
      <c r="Q721" t="s">
        <v>2143</v>
      </c>
    </row>
    <row r="722" spans="1:17" ht="15.75" customHeight="1">
      <c r="A722" s="29" t="s">
        <v>2144</v>
      </c>
      <c r="B722" s="11" t="s">
        <v>17</v>
      </c>
      <c r="C722" s="18" t="s">
        <v>2145</v>
      </c>
      <c r="E722" s="14"/>
      <c r="F722" s="14" t="s">
        <v>2115</v>
      </c>
      <c r="G722" s="11" t="s">
        <v>20</v>
      </c>
      <c r="K722">
        <v>3</v>
      </c>
      <c r="L722" s="28" t="s">
        <v>22</v>
      </c>
      <c r="P722" t="s">
        <v>737</v>
      </c>
      <c r="Q722" t="s">
        <v>2146</v>
      </c>
    </row>
    <row r="723" spans="1:17" ht="15.75" customHeight="1">
      <c r="A723" s="29" t="s">
        <v>2147</v>
      </c>
      <c r="B723" s="11" t="s">
        <v>17</v>
      </c>
      <c r="C723" s="18" t="s">
        <v>2148</v>
      </c>
      <c r="E723" s="14"/>
      <c r="F723" s="14" t="s">
        <v>2115</v>
      </c>
      <c r="G723" s="11" t="s">
        <v>20</v>
      </c>
      <c r="K723">
        <v>3</v>
      </c>
      <c r="L723" s="28" t="s">
        <v>22</v>
      </c>
      <c r="P723" t="s">
        <v>274</v>
      </c>
      <c r="Q723" t="s">
        <v>2149</v>
      </c>
    </row>
    <row r="724" spans="1:17" ht="15.75" customHeight="1">
      <c r="A724" s="29" t="s">
        <v>2150</v>
      </c>
      <c r="B724" s="11" t="s">
        <v>17</v>
      </c>
      <c r="C724" s="18" t="s">
        <v>2151</v>
      </c>
      <c r="E724" s="14"/>
      <c r="F724" s="14" t="s">
        <v>2115</v>
      </c>
      <c r="G724" s="11" t="s">
        <v>20</v>
      </c>
      <c r="K724">
        <v>4</v>
      </c>
      <c r="L724" s="28" t="s">
        <v>22</v>
      </c>
      <c r="P724" t="s">
        <v>278</v>
      </c>
      <c r="Q724" t="s">
        <v>2152</v>
      </c>
    </row>
    <row r="725" spans="1:17" ht="15.75" customHeight="1">
      <c r="A725" s="29" t="s">
        <v>2153</v>
      </c>
      <c r="B725" s="11" t="s">
        <v>17</v>
      </c>
      <c r="C725" s="18" t="s">
        <v>2154</v>
      </c>
      <c r="E725" s="14"/>
      <c r="F725" s="14" t="s">
        <v>2115</v>
      </c>
      <c r="G725" s="11" t="s">
        <v>20</v>
      </c>
      <c r="K725">
        <v>4</v>
      </c>
      <c r="L725" s="28" t="s">
        <v>22</v>
      </c>
      <c r="P725" t="s">
        <v>737</v>
      </c>
      <c r="Q725" t="s">
        <v>2155</v>
      </c>
    </row>
    <row r="726" spans="1:17" ht="15.75" customHeight="1">
      <c r="A726" s="29" t="s">
        <v>2156</v>
      </c>
      <c r="B726" s="11" t="s">
        <v>17</v>
      </c>
      <c r="C726" s="18" t="s">
        <v>2157</v>
      </c>
      <c r="E726" s="14"/>
      <c r="F726" s="14" t="s">
        <v>2115</v>
      </c>
      <c r="G726" s="11" t="s">
        <v>20</v>
      </c>
      <c r="K726">
        <v>4</v>
      </c>
      <c r="L726" s="28" t="s">
        <v>22</v>
      </c>
      <c r="P726" t="s">
        <v>23</v>
      </c>
      <c r="Q726" t="s">
        <v>2158</v>
      </c>
    </row>
    <row r="727" spans="1:17" ht="15.75" customHeight="1">
      <c r="A727" s="29" t="s">
        <v>2159</v>
      </c>
      <c r="B727" s="11" t="s">
        <v>17</v>
      </c>
      <c r="C727" s="18" t="s">
        <v>2160</v>
      </c>
      <c r="E727" s="14"/>
      <c r="F727" s="14" t="s">
        <v>2115</v>
      </c>
      <c r="G727" s="11" t="s">
        <v>20</v>
      </c>
      <c r="K727">
        <v>4</v>
      </c>
      <c r="L727" s="28" t="s">
        <v>22</v>
      </c>
      <c r="P727" t="s">
        <v>737</v>
      </c>
      <c r="Q727" t="s">
        <v>2161</v>
      </c>
    </row>
    <row r="728" spans="1:17" ht="15.75" customHeight="1">
      <c r="A728" s="29" t="s">
        <v>2162</v>
      </c>
      <c r="B728" s="11" t="s">
        <v>17</v>
      </c>
      <c r="C728" s="18" t="s">
        <v>2163</v>
      </c>
      <c r="E728" s="14"/>
      <c r="F728" s="14" t="s">
        <v>2115</v>
      </c>
      <c r="G728" s="11" t="s">
        <v>20</v>
      </c>
      <c r="K728">
        <v>4</v>
      </c>
      <c r="L728" s="28" t="s">
        <v>22</v>
      </c>
      <c r="P728" t="s">
        <v>274</v>
      </c>
      <c r="Q728" t="s">
        <v>2164</v>
      </c>
    </row>
    <row r="729" spans="1:17" ht="15.75" customHeight="1">
      <c r="A729" s="29" t="s">
        <v>2165</v>
      </c>
      <c r="B729" s="11" t="s">
        <v>17</v>
      </c>
      <c r="C729" s="18" t="s">
        <v>2166</v>
      </c>
      <c r="E729" s="14"/>
      <c r="F729" s="14" t="s">
        <v>2115</v>
      </c>
      <c r="G729" s="11" t="s">
        <v>20</v>
      </c>
      <c r="K729">
        <v>5</v>
      </c>
      <c r="L729" s="28" t="s">
        <v>22</v>
      </c>
      <c r="P729" t="s">
        <v>23</v>
      </c>
      <c r="Q729" t="s">
        <v>2167</v>
      </c>
    </row>
    <row r="730" spans="1:17" ht="15.75" customHeight="1">
      <c r="A730" s="29" t="s">
        <v>2168</v>
      </c>
      <c r="B730" s="11" t="s">
        <v>17</v>
      </c>
      <c r="C730" s="18" t="s">
        <v>2169</v>
      </c>
      <c r="E730" s="14"/>
      <c r="F730" s="14" t="s">
        <v>2115</v>
      </c>
      <c r="G730" s="11" t="s">
        <v>20</v>
      </c>
      <c r="K730">
        <v>5</v>
      </c>
      <c r="L730" s="28" t="s">
        <v>22</v>
      </c>
      <c r="P730" t="s">
        <v>737</v>
      </c>
      <c r="Q730" t="s">
        <v>2170</v>
      </c>
    </row>
    <row r="731" spans="1:17" ht="15.75" customHeight="1">
      <c r="A731" s="29" t="s">
        <v>2171</v>
      </c>
      <c r="B731" s="11" t="s">
        <v>17</v>
      </c>
      <c r="C731" s="18" t="s">
        <v>2172</v>
      </c>
      <c r="E731" s="14"/>
      <c r="F731" s="14" t="s">
        <v>2115</v>
      </c>
      <c r="G731" s="11" t="s">
        <v>20</v>
      </c>
      <c r="K731">
        <v>5</v>
      </c>
      <c r="L731" s="28" t="s">
        <v>22</v>
      </c>
      <c r="P731" t="s">
        <v>23</v>
      </c>
      <c r="Q731" t="s">
        <v>2173</v>
      </c>
    </row>
    <row r="732" spans="1:17" ht="15.75" customHeight="1">
      <c r="A732" s="29" t="s">
        <v>2174</v>
      </c>
      <c r="B732" s="11" t="s">
        <v>17</v>
      </c>
      <c r="C732" s="18" t="s">
        <v>2175</v>
      </c>
      <c r="E732" s="14"/>
      <c r="F732" s="14" t="s">
        <v>2115</v>
      </c>
      <c r="G732" s="11" t="s">
        <v>20</v>
      </c>
      <c r="K732">
        <v>6</v>
      </c>
      <c r="L732" s="28" t="s">
        <v>22</v>
      </c>
      <c r="P732" t="s">
        <v>23</v>
      </c>
      <c r="Q732" t="s">
        <v>2176</v>
      </c>
    </row>
    <row r="733" spans="1:17" ht="15.75" customHeight="1">
      <c r="A733" s="29" t="s">
        <v>2177</v>
      </c>
      <c r="B733" s="11" t="s">
        <v>17</v>
      </c>
      <c r="C733" s="18" t="s">
        <v>2178</v>
      </c>
      <c r="E733" s="14"/>
      <c r="F733" s="14" t="s">
        <v>2115</v>
      </c>
      <c r="G733" s="11" t="s">
        <v>20</v>
      </c>
      <c r="K733">
        <v>6</v>
      </c>
      <c r="L733" s="28" t="s">
        <v>22</v>
      </c>
      <c r="P733" t="s">
        <v>23</v>
      </c>
      <c r="Q733" t="s">
        <v>2179</v>
      </c>
    </row>
    <row r="734" spans="1:17" ht="15.75" customHeight="1">
      <c r="A734" s="29" t="s">
        <v>2180</v>
      </c>
      <c r="B734" s="11" t="s">
        <v>17</v>
      </c>
      <c r="C734" s="18" t="s">
        <v>2181</v>
      </c>
      <c r="E734" s="14"/>
      <c r="F734" s="14" t="s">
        <v>2115</v>
      </c>
      <c r="G734" s="11" t="s">
        <v>20</v>
      </c>
      <c r="K734">
        <v>6</v>
      </c>
      <c r="L734" s="28" t="s">
        <v>22</v>
      </c>
      <c r="P734" t="s">
        <v>274</v>
      </c>
      <c r="Q734" t="s">
        <v>2182</v>
      </c>
    </row>
    <row r="735" spans="1:17" ht="15.75" customHeight="1">
      <c r="A735" s="29" t="s">
        <v>2183</v>
      </c>
      <c r="B735" s="11" t="s">
        <v>17</v>
      </c>
      <c r="C735" s="18" t="s">
        <v>2184</v>
      </c>
      <c r="E735" s="14"/>
      <c r="F735" s="14" t="s">
        <v>2115</v>
      </c>
      <c r="G735" s="11" t="s">
        <v>20</v>
      </c>
      <c r="K735">
        <v>7</v>
      </c>
      <c r="L735" s="28" t="s">
        <v>22</v>
      </c>
      <c r="P735" t="s">
        <v>737</v>
      </c>
      <c r="Q735" t="s">
        <v>2185</v>
      </c>
    </row>
    <row r="736" spans="1:17" ht="15.75" customHeight="1">
      <c r="A736" s="29" t="s">
        <v>2186</v>
      </c>
      <c r="B736" s="11" t="s">
        <v>17</v>
      </c>
      <c r="C736" s="18" t="s">
        <v>2187</v>
      </c>
      <c r="E736" s="14"/>
      <c r="F736" s="14" t="s">
        <v>2115</v>
      </c>
      <c r="G736" s="11" t="s">
        <v>20</v>
      </c>
      <c r="K736">
        <v>7</v>
      </c>
      <c r="L736" s="28" t="s">
        <v>22</v>
      </c>
      <c r="P736" t="s">
        <v>23</v>
      </c>
      <c r="Q736" t="s">
        <v>2188</v>
      </c>
    </row>
    <row r="737" spans="1:17" ht="15.75" customHeight="1">
      <c r="A737" s="29" t="s">
        <v>2189</v>
      </c>
      <c r="B737" s="11" t="s">
        <v>17</v>
      </c>
      <c r="C737" s="18" t="s">
        <v>2190</v>
      </c>
      <c r="E737" s="14"/>
      <c r="F737" s="14" t="s">
        <v>2115</v>
      </c>
      <c r="G737" s="11" t="s">
        <v>20</v>
      </c>
      <c r="K737">
        <v>7</v>
      </c>
      <c r="L737" s="28" t="s">
        <v>22</v>
      </c>
      <c r="P737" t="s">
        <v>274</v>
      </c>
      <c r="Q737" t="s">
        <v>2191</v>
      </c>
    </row>
    <row r="738" spans="1:17" ht="15.75" customHeight="1">
      <c r="A738" s="29" t="s">
        <v>2192</v>
      </c>
      <c r="B738" s="11" t="s">
        <v>17</v>
      </c>
      <c r="C738" s="18" t="s">
        <v>2193</v>
      </c>
      <c r="E738" s="14"/>
      <c r="F738" s="14" t="s">
        <v>979</v>
      </c>
      <c r="G738" s="11" t="s">
        <v>20</v>
      </c>
      <c r="K738">
        <v>1</v>
      </c>
      <c r="L738" s="28" t="s">
        <v>22</v>
      </c>
      <c r="P738" t="s">
        <v>125</v>
      </c>
      <c r="Q738" t="s">
        <v>2194</v>
      </c>
    </row>
    <row r="739" spans="1:17" ht="15.75" customHeight="1">
      <c r="A739" s="29" t="s">
        <v>2195</v>
      </c>
      <c r="B739" s="11" t="s">
        <v>17</v>
      </c>
      <c r="C739" s="18" t="s">
        <v>2196</v>
      </c>
      <c r="E739" s="14"/>
      <c r="F739" s="14" t="s">
        <v>979</v>
      </c>
      <c r="G739" s="11" t="s">
        <v>20</v>
      </c>
      <c r="K739">
        <v>1</v>
      </c>
      <c r="L739" s="28" t="s">
        <v>22</v>
      </c>
      <c r="P739" t="s">
        <v>274</v>
      </c>
      <c r="Q739" t="s">
        <v>2197</v>
      </c>
    </row>
    <row r="740" spans="1:17" ht="15.75" customHeight="1">
      <c r="A740" s="29" t="s">
        <v>2198</v>
      </c>
      <c r="B740" s="11" t="s">
        <v>17</v>
      </c>
      <c r="C740" s="18" t="s">
        <v>2199</v>
      </c>
      <c r="E740" s="14"/>
      <c r="F740" s="14" t="s">
        <v>979</v>
      </c>
      <c r="G740" s="11" t="s">
        <v>20</v>
      </c>
      <c r="K740">
        <v>1</v>
      </c>
      <c r="L740" s="28" t="s">
        <v>22</v>
      </c>
      <c r="P740" t="s">
        <v>23</v>
      </c>
      <c r="Q740" t="s">
        <v>2200</v>
      </c>
    </row>
    <row r="741" spans="1:17" ht="15.75" customHeight="1">
      <c r="A741" s="29" t="s">
        <v>2201</v>
      </c>
      <c r="B741" s="11" t="s">
        <v>17</v>
      </c>
      <c r="C741" s="18" t="s">
        <v>2202</v>
      </c>
      <c r="E741" s="14"/>
      <c r="F741" s="14" t="s">
        <v>979</v>
      </c>
      <c r="G741" s="11" t="s">
        <v>20</v>
      </c>
      <c r="K741">
        <v>1</v>
      </c>
      <c r="L741" s="28" t="s">
        <v>22</v>
      </c>
      <c r="P741" t="s">
        <v>278</v>
      </c>
      <c r="Q741" t="s">
        <v>2203</v>
      </c>
    </row>
    <row r="742" spans="1:17" ht="15.75" customHeight="1">
      <c r="A742" s="29" t="s">
        <v>2204</v>
      </c>
      <c r="B742" s="11" t="s">
        <v>17</v>
      </c>
      <c r="C742" s="18" t="s">
        <v>2205</v>
      </c>
      <c r="E742" s="14"/>
      <c r="F742" s="14" t="s">
        <v>979</v>
      </c>
      <c r="G742" s="11" t="s">
        <v>20</v>
      </c>
      <c r="K742">
        <v>1</v>
      </c>
      <c r="L742" s="28" t="s">
        <v>22</v>
      </c>
      <c r="P742" t="s">
        <v>278</v>
      </c>
      <c r="Q742" t="s">
        <v>2206</v>
      </c>
    </row>
    <row r="743" spans="1:17" ht="15.75" customHeight="1">
      <c r="A743" s="29" t="s">
        <v>2207</v>
      </c>
      <c r="B743" s="11" t="s">
        <v>17</v>
      </c>
      <c r="C743" s="18" t="s">
        <v>2208</v>
      </c>
      <c r="E743" s="14"/>
      <c r="F743" s="14" t="s">
        <v>979</v>
      </c>
      <c r="G743" s="11" t="s">
        <v>20</v>
      </c>
      <c r="K743">
        <v>2</v>
      </c>
      <c r="L743" s="28" t="s">
        <v>22</v>
      </c>
      <c r="P743" t="s">
        <v>55</v>
      </c>
      <c r="Q743" t="s">
        <v>2209</v>
      </c>
    </row>
    <row r="744" spans="1:17" ht="15.75" customHeight="1">
      <c r="A744" s="29" t="s">
        <v>2210</v>
      </c>
      <c r="B744" s="11" t="s">
        <v>17</v>
      </c>
      <c r="C744" s="18" t="s">
        <v>2211</v>
      </c>
      <c r="E744" s="14"/>
      <c r="F744" s="14" t="s">
        <v>979</v>
      </c>
      <c r="G744" s="11" t="s">
        <v>20</v>
      </c>
      <c r="K744">
        <v>2</v>
      </c>
      <c r="L744" s="28" t="s">
        <v>22</v>
      </c>
      <c r="P744" t="s">
        <v>160</v>
      </c>
      <c r="Q744" t="s">
        <v>2212</v>
      </c>
    </row>
    <row r="745" spans="1:17" ht="15.75" customHeight="1">
      <c r="A745" s="29" t="s">
        <v>2213</v>
      </c>
      <c r="B745" s="11" t="s">
        <v>17</v>
      </c>
      <c r="C745" s="18" t="s">
        <v>2214</v>
      </c>
      <c r="E745" s="14"/>
      <c r="F745" s="14" t="s">
        <v>979</v>
      </c>
      <c r="G745" s="11" t="s">
        <v>20</v>
      </c>
      <c r="K745">
        <v>2</v>
      </c>
      <c r="L745" s="28" t="s">
        <v>22</v>
      </c>
      <c r="P745" t="s">
        <v>278</v>
      </c>
      <c r="Q745" t="s">
        <v>2215</v>
      </c>
    </row>
    <row r="746" spans="1:17" ht="15.75" customHeight="1">
      <c r="A746" s="29" t="s">
        <v>2216</v>
      </c>
      <c r="B746" s="11" t="s">
        <v>17</v>
      </c>
      <c r="C746" s="18" t="s">
        <v>2217</v>
      </c>
      <c r="E746" s="14"/>
      <c r="F746" s="14" t="s">
        <v>979</v>
      </c>
      <c r="G746" s="11" t="s">
        <v>20</v>
      </c>
      <c r="K746">
        <v>2</v>
      </c>
      <c r="L746" s="28" t="s">
        <v>22</v>
      </c>
      <c r="P746" t="s">
        <v>274</v>
      </c>
      <c r="Q746" t="s">
        <v>2218</v>
      </c>
    </row>
    <row r="747" spans="1:17" ht="15.75" customHeight="1">
      <c r="A747" s="29" t="s">
        <v>2219</v>
      </c>
      <c r="B747" s="11" t="s">
        <v>17</v>
      </c>
      <c r="C747" s="18" t="s">
        <v>2220</v>
      </c>
      <c r="E747" s="14"/>
      <c r="F747" s="14" t="s">
        <v>979</v>
      </c>
      <c r="G747" s="11" t="s">
        <v>20</v>
      </c>
      <c r="K747">
        <v>3</v>
      </c>
      <c r="L747" s="28" t="s">
        <v>22</v>
      </c>
      <c r="P747" t="s">
        <v>90</v>
      </c>
      <c r="Q747" t="s">
        <v>2221</v>
      </c>
    </row>
    <row r="748" spans="1:17" ht="15.75" customHeight="1">
      <c r="A748" s="29" t="s">
        <v>2222</v>
      </c>
      <c r="B748" s="11" t="s">
        <v>17</v>
      </c>
      <c r="C748" s="18" t="s">
        <v>2223</v>
      </c>
      <c r="E748" s="14"/>
      <c r="F748" s="14" t="s">
        <v>979</v>
      </c>
      <c r="G748" s="11" t="s">
        <v>20</v>
      </c>
      <c r="K748">
        <v>3</v>
      </c>
      <c r="L748" s="28" t="s">
        <v>22</v>
      </c>
      <c r="P748" t="s">
        <v>278</v>
      </c>
      <c r="Q748" t="s">
        <v>2224</v>
      </c>
    </row>
    <row r="749" spans="1:17" ht="15.75" customHeight="1">
      <c r="A749" s="29" t="s">
        <v>2225</v>
      </c>
      <c r="B749" s="11" t="s">
        <v>17</v>
      </c>
      <c r="C749" s="18" t="s">
        <v>2226</v>
      </c>
      <c r="E749" s="14"/>
      <c r="F749" s="14" t="s">
        <v>979</v>
      </c>
      <c r="G749" s="11" t="s">
        <v>20</v>
      </c>
      <c r="K749">
        <v>3</v>
      </c>
      <c r="L749" s="28" t="s">
        <v>22</v>
      </c>
      <c r="P749" t="s">
        <v>125</v>
      </c>
      <c r="Q749" t="s">
        <v>2227</v>
      </c>
    </row>
    <row r="750" spans="1:17" ht="15.75" customHeight="1">
      <c r="A750" s="29" t="s">
        <v>2228</v>
      </c>
      <c r="B750" s="11" t="s">
        <v>17</v>
      </c>
      <c r="C750" s="18" t="s">
        <v>2229</v>
      </c>
      <c r="E750" s="14"/>
      <c r="F750" s="14" t="s">
        <v>979</v>
      </c>
      <c r="G750" s="11" t="s">
        <v>20</v>
      </c>
      <c r="K750">
        <v>3</v>
      </c>
      <c r="L750" s="28" t="s">
        <v>22</v>
      </c>
      <c r="P750" t="s">
        <v>278</v>
      </c>
      <c r="Q750" t="s">
        <v>2230</v>
      </c>
    </row>
    <row r="751" spans="1:17" ht="15.75" customHeight="1">
      <c r="A751" s="29" t="s">
        <v>2231</v>
      </c>
      <c r="B751" s="11" t="s">
        <v>17</v>
      </c>
      <c r="C751" s="18" t="s">
        <v>2232</v>
      </c>
      <c r="E751" s="14"/>
      <c r="F751" s="14" t="s">
        <v>979</v>
      </c>
      <c r="G751" s="11" t="s">
        <v>20</v>
      </c>
      <c r="K751">
        <v>3</v>
      </c>
      <c r="L751" s="28" t="s">
        <v>22</v>
      </c>
      <c r="P751" t="s">
        <v>125</v>
      </c>
      <c r="Q751" t="s">
        <v>2019</v>
      </c>
    </row>
    <row r="752" spans="1:17" ht="15.75" customHeight="1">
      <c r="A752" s="29" t="s">
        <v>2233</v>
      </c>
      <c r="B752" s="11" t="s">
        <v>17</v>
      </c>
      <c r="C752" s="18" t="s">
        <v>2234</v>
      </c>
      <c r="E752" s="14"/>
      <c r="F752" s="14" t="s">
        <v>979</v>
      </c>
      <c r="G752" s="11" t="s">
        <v>20</v>
      </c>
      <c r="K752">
        <v>3</v>
      </c>
      <c r="L752" s="28" t="s">
        <v>22</v>
      </c>
      <c r="P752" t="s">
        <v>274</v>
      </c>
      <c r="Q752" t="s">
        <v>2235</v>
      </c>
    </row>
    <row r="753" spans="1:17" ht="15.75" customHeight="1">
      <c r="A753" s="29" t="s">
        <v>2236</v>
      </c>
      <c r="B753" s="11" t="s">
        <v>17</v>
      </c>
      <c r="C753" s="18" t="s">
        <v>2237</v>
      </c>
      <c r="E753" s="14"/>
      <c r="F753" s="14" t="s">
        <v>979</v>
      </c>
      <c r="G753" s="11" t="s">
        <v>20</v>
      </c>
      <c r="K753">
        <v>3</v>
      </c>
      <c r="L753" s="28" t="s">
        <v>22</v>
      </c>
      <c r="P753" t="s">
        <v>741</v>
      </c>
      <c r="Q753" t="s">
        <v>2238</v>
      </c>
    </row>
    <row r="754" spans="1:17" ht="15.75" customHeight="1">
      <c r="A754" s="29" t="s">
        <v>2239</v>
      </c>
      <c r="B754" s="11" t="s">
        <v>17</v>
      </c>
      <c r="C754" s="18" t="s">
        <v>2240</v>
      </c>
      <c r="E754" s="14"/>
      <c r="F754" s="14" t="s">
        <v>979</v>
      </c>
      <c r="G754" s="11" t="s">
        <v>20</v>
      </c>
      <c r="K754">
        <v>3</v>
      </c>
      <c r="L754" s="28" t="s">
        <v>22</v>
      </c>
      <c r="P754" t="s">
        <v>741</v>
      </c>
      <c r="Q754" t="s">
        <v>2241</v>
      </c>
    </row>
    <row r="755" spans="1:17" ht="15.75" customHeight="1">
      <c r="A755" s="29" t="s">
        <v>2242</v>
      </c>
      <c r="B755" s="11" t="s">
        <v>17</v>
      </c>
      <c r="C755" s="18" t="s">
        <v>2243</v>
      </c>
      <c r="E755" s="14"/>
      <c r="F755" s="14" t="s">
        <v>979</v>
      </c>
      <c r="G755" s="11" t="s">
        <v>20</v>
      </c>
      <c r="K755">
        <v>4</v>
      </c>
      <c r="L755" s="28" t="s">
        <v>22</v>
      </c>
      <c r="P755" t="s">
        <v>278</v>
      </c>
      <c r="Q755" t="s">
        <v>2244</v>
      </c>
    </row>
    <row r="756" spans="1:17" ht="15.75" customHeight="1">
      <c r="A756" s="29" t="s">
        <v>2245</v>
      </c>
      <c r="B756" s="11" t="s">
        <v>17</v>
      </c>
      <c r="C756" s="18" t="s">
        <v>2246</v>
      </c>
      <c r="E756" s="14"/>
      <c r="F756" s="14" t="s">
        <v>979</v>
      </c>
      <c r="G756" s="11" t="s">
        <v>20</v>
      </c>
      <c r="K756">
        <v>4</v>
      </c>
      <c r="L756" s="28" t="s">
        <v>22</v>
      </c>
      <c r="P756" t="s">
        <v>278</v>
      </c>
      <c r="Q756" t="s">
        <v>2247</v>
      </c>
    </row>
    <row r="757" spans="1:17" ht="15.75" customHeight="1">
      <c r="A757" s="29" t="s">
        <v>2248</v>
      </c>
      <c r="B757" s="11" t="s">
        <v>17</v>
      </c>
      <c r="C757" s="18" t="s">
        <v>2249</v>
      </c>
      <c r="E757" s="14"/>
      <c r="F757" s="14" t="s">
        <v>979</v>
      </c>
      <c r="G757" s="11" t="s">
        <v>20</v>
      </c>
      <c r="K757">
        <v>4</v>
      </c>
      <c r="L757" s="28" t="s">
        <v>22</v>
      </c>
      <c r="P757" t="s">
        <v>278</v>
      </c>
      <c r="Q757" t="s">
        <v>2250</v>
      </c>
    </row>
    <row r="758" spans="1:17" ht="15.75" customHeight="1">
      <c r="A758" s="29" t="s">
        <v>2251</v>
      </c>
      <c r="B758" s="11" t="s">
        <v>17</v>
      </c>
      <c r="C758" s="18" t="s">
        <v>2252</v>
      </c>
      <c r="E758" s="14"/>
      <c r="F758" s="14" t="s">
        <v>979</v>
      </c>
      <c r="G758" s="11" t="s">
        <v>20</v>
      </c>
      <c r="K758">
        <v>4</v>
      </c>
      <c r="L758" s="28" t="s">
        <v>22</v>
      </c>
      <c r="P758" t="s">
        <v>23</v>
      </c>
      <c r="Q758" t="s">
        <v>2253</v>
      </c>
    </row>
    <row r="759" spans="1:17" ht="15.75" customHeight="1">
      <c r="A759" s="29" t="s">
        <v>2254</v>
      </c>
      <c r="B759" s="11" t="s">
        <v>17</v>
      </c>
      <c r="C759" s="18" t="s">
        <v>2255</v>
      </c>
      <c r="E759" s="14"/>
      <c r="F759" s="14" t="s">
        <v>979</v>
      </c>
      <c r="G759" s="11" t="s">
        <v>20</v>
      </c>
      <c r="K759">
        <v>4</v>
      </c>
      <c r="L759" s="28" t="s">
        <v>22</v>
      </c>
      <c r="P759" t="s">
        <v>737</v>
      </c>
      <c r="Q759" t="s">
        <v>2256</v>
      </c>
    </row>
    <row r="760" spans="1:17" ht="15.75" customHeight="1">
      <c r="A760" s="29" t="s">
        <v>2257</v>
      </c>
      <c r="B760" s="11" t="s">
        <v>17</v>
      </c>
      <c r="C760" s="18" t="s">
        <v>2258</v>
      </c>
      <c r="E760" s="14"/>
      <c r="F760" s="14" t="s">
        <v>979</v>
      </c>
      <c r="G760" s="11" t="s">
        <v>20</v>
      </c>
      <c r="K760">
        <v>4</v>
      </c>
      <c r="L760" s="28" t="s">
        <v>22</v>
      </c>
      <c r="P760" t="s">
        <v>274</v>
      </c>
      <c r="Q760" t="s">
        <v>2259</v>
      </c>
    </row>
    <row r="761" spans="1:17" ht="15.75" customHeight="1">
      <c r="A761" s="29" t="s">
        <v>2260</v>
      </c>
      <c r="B761" s="11" t="s">
        <v>17</v>
      </c>
      <c r="C761" s="18" t="s">
        <v>2261</v>
      </c>
      <c r="E761" s="14"/>
      <c r="F761" s="14" t="s">
        <v>979</v>
      </c>
      <c r="G761" s="11" t="s">
        <v>20</v>
      </c>
      <c r="K761">
        <v>4</v>
      </c>
      <c r="L761" s="28" t="s">
        <v>22</v>
      </c>
      <c r="P761" t="s">
        <v>274</v>
      </c>
      <c r="Q761" t="s">
        <v>2262</v>
      </c>
    </row>
    <row r="762" spans="1:17" ht="15.75" customHeight="1">
      <c r="A762" s="29" t="s">
        <v>2263</v>
      </c>
      <c r="B762" s="11" t="s">
        <v>17</v>
      </c>
      <c r="C762" s="18" t="s">
        <v>2264</v>
      </c>
      <c r="E762" s="14"/>
      <c r="F762" s="14" t="s">
        <v>979</v>
      </c>
      <c r="G762" s="11" t="s">
        <v>20</v>
      </c>
      <c r="K762">
        <v>5</v>
      </c>
      <c r="L762" s="28" t="s">
        <v>22</v>
      </c>
      <c r="P762" t="s">
        <v>763</v>
      </c>
      <c r="Q762" t="s">
        <v>2265</v>
      </c>
    </row>
    <row r="763" spans="1:17" ht="15.75" customHeight="1">
      <c r="A763" s="29" t="s">
        <v>2266</v>
      </c>
      <c r="B763" s="11" t="s">
        <v>17</v>
      </c>
      <c r="C763" s="18" t="s">
        <v>2267</v>
      </c>
      <c r="E763" s="14"/>
      <c r="F763" s="14" t="s">
        <v>979</v>
      </c>
      <c r="G763" s="11" t="s">
        <v>20</v>
      </c>
      <c r="K763">
        <v>5</v>
      </c>
      <c r="L763" s="28" t="s">
        <v>22</v>
      </c>
      <c r="P763" t="s">
        <v>278</v>
      </c>
      <c r="Q763" t="s">
        <v>2268</v>
      </c>
    </row>
    <row r="764" spans="1:17" ht="15.75" customHeight="1">
      <c r="A764" s="29" t="s">
        <v>2269</v>
      </c>
      <c r="B764" s="11" t="s">
        <v>17</v>
      </c>
      <c r="C764" s="18" t="s">
        <v>2270</v>
      </c>
      <c r="E764" s="14"/>
      <c r="F764" s="14" t="s">
        <v>979</v>
      </c>
      <c r="G764" s="11" t="s">
        <v>20</v>
      </c>
      <c r="K764">
        <v>5</v>
      </c>
      <c r="L764" s="28" t="s">
        <v>22</v>
      </c>
      <c r="P764" t="s">
        <v>23</v>
      </c>
      <c r="Q764" t="s">
        <v>2271</v>
      </c>
    </row>
    <row r="765" spans="1:17" ht="15.75" customHeight="1">
      <c r="A765" s="29" t="s">
        <v>2272</v>
      </c>
      <c r="B765" s="11" t="s">
        <v>17</v>
      </c>
      <c r="C765" s="18" t="s">
        <v>2273</v>
      </c>
      <c r="E765" s="14"/>
      <c r="F765" s="14" t="s">
        <v>979</v>
      </c>
      <c r="G765" s="11" t="s">
        <v>20</v>
      </c>
      <c r="K765">
        <v>5</v>
      </c>
      <c r="L765" s="28" t="s">
        <v>22</v>
      </c>
      <c r="P765" t="s">
        <v>741</v>
      </c>
      <c r="Q765" t="s">
        <v>2274</v>
      </c>
    </row>
    <row r="766" spans="1:17" ht="15.75" customHeight="1">
      <c r="A766" s="29" t="s">
        <v>2275</v>
      </c>
      <c r="B766" s="11" t="s">
        <v>17</v>
      </c>
      <c r="C766" s="18" t="s">
        <v>2276</v>
      </c>
      <c r="E766" s="14"/>
      <c r="F766" s="14" t="s">
        <v>979</v>
      </c>
      <c r="G766" s="11" t="s">
        <v>20</v>
      </c>
      <c r="K766">
        <v>5</v>
      </c>
      <c r="L766" s="28" t="s">
        <v>22</v>
      </c>
      <c r="P766" t="s">
        <v>278</v>
      </c>
      <c r="Q766" t="s">
        <v>2277</v>
      </c>
    </row>
    <row r="767" spans="1:17" ht="15.75" customHeight="1">
      <c r="A767" s="29" t="s">
        <v>2278</v>
      </c>
      <c r="B767" s="11" t="s">
        <v>17</v>
      </c>
      <c r="C767" s="18" t="s">
        <v>2279</v>
      </c>
      <c r="E767" s="14"/>
      <c r="F767" s="14" t="s">
        <v>979</v>
      </c>
      <c r="G767" s="11" t="s">
        <v>20</v>
      </c>
      <c r="K767">
        <v>5</v>
      </c>
      <c r="L767" s="28" t="s">
        <v>22</v>
      </c>
      <c r="P767" t="s">
        <v>278</v>
      </c>
      <c r="Q767" t="s">
        <v>2280</v>
      </c>
    </row>
    <row r="768" spans="1:17" ht="15.75" customHeight="1">
      <c r="A768" s="29" t="s">
        <v>2281</v>
      </c>
      <c r="B768" s="11" t="s">
        <v>17</v>
      </c>
      <c r="C768" s="18" t="s">
        <v>2282</v>
      </c>
      <c r="E768" s="14"/>
      <c r="F768" s="14" t="s">
        <v>979</v>
      </c>
      <c r="G768" s="11" t="s">
        <v>20</v>
      </c>
      <c r="K768">
        <v>5</v>
      </c>
      <c r="L768" s="28" t="s">
        <v>22</v>
      </c>
      <c r="P768" t="s">
        <v>125</v>
      </c>
      <c r="Q768" t="s">
        <v>2283</v>
      </c>
    </row>
    <row r="769" spans="1:17" ht="15.75" customHeight="1">
      <c r="A769" s="29" t="s">
        <v>2284</v>
      </c>
      <c r="B769" s="11" t="s">
        <v>17</v>
      </c>
      <c r="C769" s="18" t="s">
        <v>2285</v>
      </c>
      <c r="E769" s="14"/>
      <c r="F769" s="14" t="s">
        <v>979</v>
      </c>
      <c r="G769" s="11" t="s">
        <v>20</v>
      </c>
      <c r="K769">
        <v>5</v>
      </c>
      <c r="L769" s="28" t="s">
        <v>22</v>
      </c>
      <c r="P769" t="s">
        <v>741</v>
      </c>
      <c r="Q769" t="s">
        <v>2286</v>
      </c>
    </row>
    <row r="770" spans="1:17" ht="15.75" customHeight="1">
      <c r="A770" s="29" t="s">
        <v>2287</v>
      </c>
      <c r="B770" s="11" t="s">
        <v>17</v>
      </c>
      <c r="C770" s="18" t="s">
        <v>2288</v>
      </c>
      <c r="E770" s="14"/>
      <c r="F770" s="14" t="s">
        <v>979</v>
      </c>
      <c r="G770" s="11" t="s">
        <v>20</v>
      </c>
      <c r="K770">
        <v>6</v>
      </c>
      <c r="L770" s="28" t="s">
        <v>22</v>
      </c>
      <c r="P770" t="s">
        <v>278</v>
      </c>
      <c r="Q770" t="s">
        <v>2289</v>
      </c>
    </row>
    <row r="771" spans="1:17" ht="15.75" customHeight="1">
      <c r="A771" s="29" t="s">
        <v>2290</v>
      </c>
      <c r="B771" s="11" t="s">
        <v>17</v>
      </c>
      <c r="C771" s="18" t="s">
        <v>2291</v>
      </c>
      <c r="E771" s="14"/>
      <c r="F771" s="14" t="s">
        <v>979</v>
      </c>
      <c r="G771" s="11" t="s">
        <v>20</v>
      </c>
      <c r="K771">
        <v>6</v>
      </c>
      <c r="L771" s="28" t="s">
        <v>22</v>
      </c>
      <c r="P771" t="s">
        <v>737</v>
      </c>
      <c r="Q771" t="s">
        <v>2292</v>
      </c>
    </row>
    <row r="772" spans="1:17" ht="15.75" customHeight="1">
      <c r="A772" s="29" t="s">
        <v>2293</v>
      </c>
      <c r="B772" s="11" t="s">
        <v>17</v>
      </c>
      <c r="C772" s="18" t="s">
        <v>2294</v>
      </c>
      <c r="E772" s="14"/>
      <c r="F772" s="14" t="s">
        <v>979</v>
      </c>
      <c r="G772" s="11" t="s">
        <v>20</v>
      </c>
      <c r="K772">
        <v>6</v>
      </c>
      <c r="L772" s="28" t="s">
        <v>22</v>
      </c>
      <c r="P772" t="s">
        <v>125</v>
      </c>
      <c r="Q772" t="s">
        <v>2295</v>
      </c>
    </row>
    <row r="773" spans="1:17" ht="15.75" customHeight="1">
      <c r="A773" s="29" t="s">
        <v>2296</v>
      </c>
      <c r="B773" s="11" t="s">
        <v>17</v>
      </c>
      <c r="C773" s="18" t="s">
        <v>2297</v>
      </c>
      <c r="E773" s="14"/>
      <c r="F773" s="14" t="s">
        <v>979</v>
      </c>
      <c r="G773" s="11" t="s">
        <v>20</v>
      </c>
      <c r="K773">
        <v>7</v>
      </c>
      <c r="L773" s="28" t="s">
        <v>22</v>
      </c>
      <c r="P773" t="s">
        <v>274</v>
      </c>
      <c r="Q773" t="s">
        <v>2298</v>
      </c>
    </row>
    <row r="774" spans="1:17" ht="15.75" customHeight="1">
      <c r="A774" s="29" t="s">
        <v>2299</v>
      </c>
      <c r="B774" s="11" t="s">
        <v>17</v>
      </c>
      <c r="C774" s="18" t="s">
        <v>2300</v>
      </c>
      <c r="E774" s="14"/>
      <c r="F774" s="14" t="s">
        <v>979</v>
      </c>
      <c r="G774" s="11" t="s">
        <v>20</v>
      </c>
      <c r="K774">
        <v>7</v>
      </c>
      <c r="L774" s="28" t="s">
        <v>22</v>
      </c>
      <c r="P774" t="s">
        <v>278</v>
      </c>
      <c r="Q774" t="s">
        <v>2301</v>
      </c>
    </row>
    <row r="775" spans="1:17" ht="15.75" customHeight="1">
      <c r="A775" s="29" t="s">
        <v>2302</v>
      </c>
      <c r="B775" s="11" t="s">
        <v>17</v>
      </c>
      <c r="C775" s="18" t="s">
        <v>2303</v>
      </c>
      <c r="E775" s="14"/>
      <c r="F775" s="14" t="s">
        <v>979</v>
      </c>
      <c r="G775" s="11" t="s">
        <v>20</v>
      </c>
      <c r="K775">
        <v>7</v>
      </c>
      <c r="L775" s="28" t="s">
        <v>22</v>
      </c>
      <c r="P775" t="s">
        <v>274</v>
      </c>
      <c r="Q775" t="s">
        <v>2304</v>
      </c>
    </row>
    <row r="776" spans="1:17" ht="15.75" customHeight="1">
      <c r="A776" s="29" t="s">
        <v>2305</v>
      </c>
      <c r="B776" s="11" t="s">
        <v>17</v>
      </c>
      <c r="C776" s="18" t="s">
        <v>2306</v>
      </c>
      <c r="E776" s="14"/>
      <c r="F776" s="14" t="s">
        <v>979</v>
      </c>
      <c r="G776" s="11" t="s">
        <v>20</v>
      </c>
      <c r="K776">
        <v>7</v>
      </c>
      <c r="L776" s="28" t="s">
        <v>22</v>
      </c>
      <c r="P776" t="s">
        <v>23</v>
      </c>
      <c r="Q776" t="s">
        <v>2307</v>
      </c>
    </row>
    <row r="777" spans="1:17" ht="15.75" customHeight="1">
      <c r="A777" s="29" t="s">
        <v>2308</v>
      </c>
      <c r="B777" s="11" t="s">
        <v>17</v>
      </c>
      <c r="C777" s="18" t="s">
        <v>2309</v>
      </c>
      <c r="E777" s="14"/>
      <c r="F777" s="14" t="s">
        <v>979</v>
      </c>
      <c r="G777" s="11" t="s">
        <v>20</v>
      </c>
      <c r="K777">
        <v>7</v>
      </c>
      <c r="L777" s="28" t="s">
        <v>22</v>
      </c>
      <c r="P777" t="s">
        <v>23</v>
      </c>
      <c r="Q777" t="s">
        <v>2310</v>
      </c>
    </row>
    <row r="778" spans="1:17" ht="15.75" customHeight="1">
      <c r="A778" s="29" t="s">
        <v>2311</v>
      </c>
      <c r="B778" s="11" t="s">
        <v>17</v>
      </c>
      <c r="C778" s="18" t="s">
        <v>2312</v>
      </c>
      <c r="E778" s="14"/>
      <c r="F778" s="14" t="s">
        <v>979</v>
      </c>
      <c r="G778" s="11" t="s">
        <v>20</v>
      </c>
      <c r="K778">
        <v>7</v>
      </c>
      <c r="L778" s="28" t="s">
        <v>22</v>
      </c>
      <c r="P778" t="s">
        <v>125</v>
      </c>
      <c r="Q778" t="s">
        <v>2313</v>
      </c>
    </row>
    <row r="779" spans="1:17" ht="15.75" customHeight="1">
      <c r="A779" s="29" t="s">
        <v>2314</v>
      </c>
      <c r="B779" s="11" t="s">
        <v>17</v>
      </c>
      <c r="C779" s="18" t="s">
        <v>2315</v>
      </c>
      <c r="E779" s="14"/>
      <c r="F779" s="14" t="s">
        <v>159</v>
      </c>
      <c r="G779" s="11" t="s">
        <v>20</v>
      </c>
      <c r="K779">
        <v>1</v>
      </c>
      <c r="L779" s="28" t="s">
        <v>22</v>
      </c>
      <c r="P779" t="s">
        <v>160</v>
      </c>
      <c r="Q779" t="s">
        <v>2316</v>
      </c>
    </row>
    <row r="780" spans="1:17" ht="15.75" customHeight="1">
      <c r="A780" s="29" t="s">
        <v>2317</v>
      </c>
      <c r="B780" s="11" t="s">
        <v>17</v>
      </c>
      <c r="C780" s="18" t="s">
        <v>2318</v>
      </c>
      <c r="E780" s="14"/>
      <c r="F780" s="14" t="s">
        <v>159</v>
      </c>
      <c r="G780" s="11" t="s">
        <v>20</v>
      </c>
      <c r="K780">
        <v>1</v>
      </c>
      <c r="L780" s="28" t="s">
        <v>22</v>
      </c>
      <c r="P780" t="s">
        <v>160</v>
      </c>
      <c r="Q780" t="s">
        <v>2319</v>
      </c>
    </row>
    <row r="781" spans="1:17" ht="15.75" customHeight="1">
      <c r="A781" s="29" t="s">
        <v>2320</v>
      </c>
      <c r="B781" s="11" t="s">
        <v>17</v>
      </c>
      <c r="C781" s="18" t="s">
        <v>2321</v>
      </c>
      <c r="E781" s="14"/>
      <c r="F781" s="14" t="s">
        <v>159</v>
      </c>
      <c r="G781" s="11" t="s">
        <v>20</v>
      </c>
      <c r="K781">
        <v>1</v>
      </c>
      <c r="L781" s="28" t="s">
        <v>22</v>
      </c>
      <c r="P781" t="s">
        <v>160</v>
      </c>
      <c r="Q781" t="s">
        <v>2322</v>
      </c>
    </row>
    <row r="782" spans="1:17" ht="15.75" customHeight="1">
      <c r="A782" s="29" t="s">
        <v>2323</v>
      </c>
      <c r="B782" s="11" t="s">
        <v>17</v>
      </c>
      <c r="C782" s="18" t="s">
        <v>2324</v>
      </c>
      <c r="E782" s="14"/>
      <c r="F782" s="14" t="s">
        <v>159</v>
      </c>
      <c r="G782" s="11" t="s">
        <v>20</v>
      </c>
      <c r="K782">
        <v>1</v>
      </c>
      <c r="L782" s="28" t="s">
        <v>22</v>
      </c>
      <c r="P782" t="s">
        <v>160</v>
      </c>
      <c r="Q782" t="s">
        <v>2325</v>
      </c>
    </row>
    <row r="783" spans="1:17" ht="15.75" customHeight="1">
      <c r="A783" s="29" t="s">
        <v>2326</v>
      </c>
      <c r="B783" s="11" t="s">
        <v>17</v>
      </c>
      <c r="C783" s="18" t="s">
        <v>2327</v>
      </c>
      <c r="E783" s="14"/>
      <c r="F783" s="14" t="s">
        <v>159</v>
      </c>
      <c r="G783" s="11" t="s">
        <v>20</v>
      </c>
      <c r="K783">
        <v>2</v>
      </c>
      <c r="L783" s="28" t="s">
        <v>22</v>
      </c>
      <c r="P783" t="s">
        <v>160</v>
      </c>
      <c r="Q783" t="s">
        <v>2328</v>
      </c>
    </row>
    <row r="784" spans="1:17" ht="15.75" customHeight="1">
      <c r="A784" s="29" t="s">
        <v>2329</v>
      </c>
      <c r="B784" s="11" t="s">
        <v>17</v>
      </c>
      <c r="C784" s="18" t="s">
        <v>2330</v>
      </c>
      <c r="E784" s="14"/>
      <c r="F784" s="14" t="s">
        <v>159</v>
      </c>
      <c r="G784" s="11" t="s">
        <v>20</v>
      </c>
      <c r="K784">
        <v>2</v>
      </c>
      <c r="L784" s="28" t="s">
        <v>22</v>
      </c>
      <c r="P784" t="s">
        <v>160</v>
      </c>
      <c r="Q784" t="s">
        <v>2331</v>
      </c>
    </row>
    <row r="785" spans="1:17" ht="15.75" customHeight="1">
      <c r="A785" s="29" t="s">
        <v>2332</v>
      </c>
      <c r="B785" s="11" t="s">
        <v>17</v>
      </c>
      <c r="C785" s="18" t="s">
        <v>2333</v>
      </c>
      <c r="E785" s="14"/>
      <c r="F785" s="14" t="s">
        <v>159</v>
      </c>
      <c r="G785" s="11" t="s">
        <v>20</v>
      </c>
      <c r="K785">
        <v>3</v>
      </c>
      <c r="L785" s="28" t="s">
        <v>22</v>
      </c>
      <c r="P785" t="s">
        <v>160</v>
      </c>
      <c r="Q785" t="s">
        <v>2334</v>
      </c>
    </row>
    <row r="786" spans="1:17" ht="15.75" customHeight="1">
      <c r="A786" s="29" t="s">
        <v>2335</v>
      </c>
      <c r="B786" s="11" t="s">
        <v>17</v>
      </c>
      <c r="C786" s="18" t="s">
        <v>2336</v>
      </c>
      <c r="E786" s="14"/>
      <c r="F786" s="14" t="s">
        <v>159</v>
      </c>
      <c r="G786" s="11" t="s">
        <v>20</v>
      </c>
      <c r="K786">
        <v>3</v>
      </c>
      <c r="L786" s="28" t="s">
        <v>22</v>
      </c>
      <c r="P786" t="s">
        <v>160</v>
      </c>
      <c r="Q786" t="s">
        <v>2337</v>
      </c>
    </row>
    <row r="787" spans="1:17" ht="15.75" customHeight="1">
      <c r="A787" s="29" t="s">
        <v>2338</v>
      </c>
      <c r="B787" s="11" t="s">
        <v>17</v>
      </c>
      <c r="C787" s="18" t="s">
        <v>2339</v>
      </c>
      <c r="E787" s="14"/>
      <c r="F787" s="14" t="s">
        <v>159</v>
      </c>
      <c r="G787" s="11" t="s">
        <v>20</v>
      </c>
      <c r="K787">
        <v>4</v>
      </c>
      <c r="L787" s="28" t="s">
        <v>22</v>
      </c>
      <c r="P787" t="s">
        <v>160</v>
      </c>
      <c r="Q787" t="s">
        <v>2340</v>
      </c>
    </row>
    <row r="788" spans="1:17" ht="15.75" customHeight="1">
      <c r="A788" s="29" t="s">
        <v>2341</v>
      </c>
      <c r="B788" s="11" t="s">
        <v>17</v>
      </c>
      <c r="C788" s="18" t="s">
        <v>2342</v>
      </c>
      <c r="E788" s="14"/>
      <c r="F788" s="14" t="s">
        <v>159</v>
      </c>
      <c r="G788" s="11" t="s">
        <v>20</v>
      </c>
      <c r="K788">
        <v>4</v>
      </c>
      <c r="L788" s="28" t="s">
        <v>22</v>
      </c>
      <c r="P788" t="s">
        <v>160</v>
      </c>
      <c r="Q788" t="s">
        <v>2343</v>
      </c>
    </row>
    <row r="789" spans="1:17" ht="15.75" customHeight="1">
      <c r="A789" s="29" t="s">
        <v>2344</v>
      </c>
      <c r="B789" s="11" t="s">
        <v>17</v>
      </c>
      <c r="C789" s="18" t="s">
        <v>2345</v>
      </c>
      <c r="E789" s="14"/>
      <c r="F789" s="14" t="s">
        <v>1031</v>
      </c>
      <c r="G789" s="11" t="s">
        <v>20</v>
      </c>
      <c r="K789">
        <v>1</v>
      </c>
      <c r="L789" s="28" t="s">
        <v>22</v>
      </c>
      <c r="P789" t="s">
        <v>274</v>
      </c>
      <c r="Q789" t="s">
        <v>2346</v>
      </c>
    </row>
    <row r="790" spans="1:17" ht="15.75" customHeight="1">
      <c r="A790" s="29" t="s">
        <v>2347</v>
      </c>
      <c r="B790" s="11" t="s">
        <v>17</v>
      </c>
      <c r="C790" s="18" t="s">
        <v>2348</v>
      </c>
      <c r="E790" s="14"/>
      <c r="F790" s="14" t="s">
        <v>1031</v>
      </c>
      <c r="G790" s="11" t="s">
        <v>20</v>
      </c>
      <c r="K790">
        <v>1</v>
      </c>
      <c r="L790" s="28" t="s">
        <v>22</v>
      </c>
      <c r="P790" t="s">
        <v>274</v>
      </c>
      <c r="Q790" t="s">
        <v>2349</v>
      </c>
    </row>
    <row r="791" spans="1:17" ht="15.75" customHeight="1">
      <c r="A791" s="29" t="s">
        <v>2350</v>
      </c>
      <c r="B791" s="11" t="s">
        <v>17</v>
      </c>
      <c r="C791" s="18" t="s">
        <v>2351</v>
      </c>
      <c r="E791" s="14"/>
      <c r="F791" s="14" t="s">
        <v>1031</v>
      </c>
      <c r="G791" s="11" t="s">
        <v>20</v>
      </c>
      <c r="K791">
        <v>1</v>
      </c>
      <c r="L791" s="28" t="s">
        <v>22</v>
      </c>
      <c r="P791" t="s">
        <v>274</v>
      </c>
      <c r="Q791" t="s">
        <v>2352</v>
      </c>
    </row>
    <row r="792" spans="1:17" ht="15.75" customHeight="1">
      <c r="A792" s="29" t="s">
        <v>2353</v>
      </c>
      <c r="B792" s="11" t="s">
        <v>17</v>
      </c>
      <c r="C792" s="18" t="s">
        <v>2354</v>
      </c>
      <c r="E792" s="14"/>
      <c r="F792" s="14" t="s">
        <v>1031</v>
      </c>
      <c r="G792" s="11" t="s">
        <v>20</v>
      </c>
      <c r="K792">
        <v>1</v>
      </c>
      <c r="L792" s="28" t="s">
        <v>22</v>
      </c>
      <c r="P792" t="s">
        <v>274</v>
      </c>
      <c r="Q792" t="s">
        <v>2355</v>
      </c>
    </row>
    <row r="793" spans="1:17" ht="15.75" customHeight="1">
      <c r="A793" s="29" t="s">
        <v>2356</v>
      </c>
      <c r="B793" s="11" t="s">
        <v>17</v>
      </c>
      <c r="C793" s="18" t="s">
        <v>2357</v>
      </c>
      <c r="E793" s="14"/>
      <c r="F793" s="14" t="s">
        <v>1031</v>
      </c>
      <c r="G793" s="11" t="s">
        <v>20</v>
      </c>
      <c r="K793">
        <v>1</v>
      </c>
      <c r="L793" s="28" t="s">
        <v>22</v>
      </c>
      <c r="P793" t="s">
        <v>274</v>
      </c>
      <c r="Q793" t="s">
        <v>2358</v>
      </c>
    </row>
    <row r="794" spans="1:17" ht="15.75" customHeight="1">
      <c r="A794" s="29" t="s">
        <v>2359</v>
      </c>
      <c r="B794" s="11" t="s">
        <v>17</v>
      </c>
      <c r="C794" s="18" t="s">
        <v>2360</v>
      </c>
      <c r="E794" s="14"/>
      <c r="F794" s="14" t="s">
        <v>1031</v>
      </c>
      <c r="G794" s="11" t="s">
        <v>20</v>
      </c>
      <c r="K794">
        <v>2</v>
      </c>
      <c r="L794" s="28" t="s">
        <v>22</v>
      </c>
      <c r="P794" t="s">
        <v>274</v>
      </c>
      <c r="Q794" t="s">
        <v>2361</v>
      </c>
    </row>
    <row r="795" spans="1:17" ht="15.75" customHeight="1">
      <c r="A795" s="29" t="s">
        <v>2362</v>
      </c>
      <c r="B795" s="11" t="s">
        <v>17</v>
      </c>
      <c r="C795" s="18" t="s">
        <v>2363</v>
      </c>
      <c r="E795" s="14"/>
      <c r="F795" s="14" t="s">
        <v>1031</v>
      </c>
      <c r="G795" s="11" t="s">
        <v>20</v>
      </c>
      <c r="K795">
        <v>2</v>
      </c>
      <c r="L795" s="28" t="s">
        <v>22</v>
      </c>
      <c r="P795" t="s">
        <v>274</v>
      </c>
      <c r="Q795" t="s">
        <v>2364</v>
      </c>
    </row>
    <row r="796" spans="1:17" ht="15.75" customHeight="1">
      <c r="A796" s="29" t="s">
        <v>2365</v>
      </c>
      <c r="B796" s="11" t="s">
        <v>17</v>
      </c>
      <c r="C796" s="18" t="s">
        <v>2366</v>
      </c>
      <c r="E796" s="14"/>
      <c r="F796" s="14" t="s">
        <v>1031</v>
      </c>
      <c r="G796" s="11" t="s">
        <v>20</v>
      </c>
      <c r="K796">
        <v>2</v>
      </c>
      <c r="L796" s="28" t="s">
        <v>22</v>
      </c>
      <c r="P796" t="s">
        <v>274</v>
      </c>
      <c r="Q796" t="s">
        <v>2367</v>
      </c>
    </row>
    <row r="797" spans="1:17" ht="15.75" customHeight="1">
      <c r="A797" s="29" t="s">
        <v>2368</v>
      </c>
      <c r="B797" s="11" t="s">
        <v>17</v>
      </c>
      <c r="C797" s="18" t="s">
        <v>2369</v>
      </c>
      <c r="E797" s="14"/>
      <c r="F797" s="14" t="s">
        <v>1031</v>
      </c>
      <c r="G797" s="11" t="s">
        <v>20</v>
      </c>
      <c r="K797">
        <v>2</v>
      </c>
      <c r="L797" s="28" t="s">
        <v>22</v>
      </c>
      <c r="P797" t="s">
        <v>274</v>
      </c>
      <c r="Q797" t="s">
        <v>2370</v>
      </c>
    </row>
    <row r="798" spans="1:17" ht="15.75" customHeight="1">
      <c r="A798" s="29" t="s">
        <v>2371</v>
      </c>
      <c r="B798" s="11" t="s">
        <v>17</v>
      </c>
      <c r="C798" s="18" t="s">
        <v>2372</v>
      </c>
      <c r="E798" s="14"/>
      <c r="F798" s="14" t="s">
        <v>1031</v>
      </c>
      <c r="G798" s="11" t="s">
        <v>20</v>
      </c>
      <c r="K798">
        <v>2</v>
      </c>
      <c r="L798" s="28" t="s">
        <v>22</v>
      </c>
      <c r="P798" t="s">
        <v>274</v>
      </c>
      <c r="Q798" t="s">
        <v>2373</v>
      </c>
    </row>
    <row r="799" spans="1:17" ht="15.75" customHeight="1">
      <c r="A799" s="29" t="s">
        <v>2374</v>
      </c>
      <c r="B799" s="11" t="s">
        <v>17</v>
      </c>
      <c r="C799" s="18" t="s">
        <v>2375</v>
      </c>
      <c r="E799" s="14"/>
      <c r="F799" s="14" t="s">
        <v>1031</v>
      </c>
      <c r="G799" s="11" t="s">
        <v>20</v>
      </c>
      <c r="K799">
        <v>2</v>
      </c>
      <c r="L799" s="28" t="s">
        <v>22</v>
      </c>
      <c r="P799" t="s">
        <v>274</v>
      </c>
      <c r="Q799" t="s">
        <v>2376</v>
      </c>
    </row>
    <row r="800" spans="1:17" ht="15.75" customHeight="1">
      <c r="A800" s="29" t="s">
        <v>2377</v>
      </c>
      <c r="B800" s="11" t="s">
        <v>17</v>
      </c>
      <c r="C800" s="18" t="s">
        <v>2378</v>
      </c>
      <c r="E800" s="14"/>
      <c r="F800" s="14" t="s">
        <v>1031</v>
      </c>
      <c r="G800" s="11" t="s">
        <v>20</v>
      </c>
      <c r="K800">
        <v>3</v>
      </c>
      <c r="L800" s="28" t="s">
        <v>22</v>
      </c>
      <c r="P800" t="s">
        <v>274</v>
      </c>
      <c r="Q800" t="s">
        <v>2379</v>
      </c>
    </row>
    <row r="801" spans="1:17" ht="15.75" customHeight="1">
      <c r="A801" s="29" t="s">
        <v>2380</v>
      </c>
      <c r="B801" s="11" t="s">
        <v>17</v>
      </c>
      <c r="C801" s="18" t="s">
        <v>2381</v>
      </c>
      <c r="E801" s="14"/>
      <c r="F801" s="14" t="s">
        <v>1031</v>
      </c>
      <c r="G801" s="11" t="s">
        <v>20</v>
      </c>
      <c r="K801">
        <v>3</v>
      </c>
      <c r="L801" s="28" t="s">
        <v>22</v>
      </c>
      <c r="P801" t="s">
        <v>274</v>
      </c>
      <c r="Q801" t="s">
        <v>2382</v>
      </c>
    </row>
    <row r="802" spans="1:17" ht="15.75" customHeight="1">
      <c r="A802" s="29" t="s">
        <v>2383</v>
      </c>
      <c r="B802" s="11" t="s">
        <v>17</v>
      </c>
      <c r="C802" s="18" t="s">
        <v>2384</v>
      </c>
      <c r="E802" s="14"/>
      <c r="F802" s="14" t="s">
        <v>1031</v>
      </c>
      <c r="G802" s="11" t="s">
        <v>20</v>
      </c>
      <c r="K802">
        <v>3</v>
      </c>
      <c r="L802" s="28" t="s">
        <v>22</v>
      </c>
      <c r="P802" t="s">
        <v>274</v>
      </c>
      <c r="Q802" t="s">
        <v>2385</v>
      </c>
    </row>
    <row r="803" spans="1:17" ht="15.75" customHeight="1">
      <c r="A803" s="29" t="s">
        <v>2386</v>
      </c>
      <c r="B803" s="11" t="s">
        <v>17</v>
      </c>
      <c r="C803" s="18" t="s">
        <v>2387</v>
      </c>
      <c r="E803" s="14"/>
      <c r="F803" s="14" t="s">
        <v>1031</v>
      </c>
      <c r="G803" s="11" t="s">
        <v>20</v>
      </c>
      <c r="K803">
        <v>3</v>
      </c>
      <c r="L803" s="28" t="s">
        <v>22</v>
      </c>
      <c r="P803" t="s">
        <v>274</v>
      </c>
      <c r="Q803" t="s">
        <v>2388</v>
      </c>
    </row>
    <row r="804" spans="1:17" ht="15.75" customHeight="1">
      <c r="A804" s="29" t="s">
        <v>2389</v>
      </c>
      <c r="B804" s="11" t="s">
        <v>17</v>
      </c>
      <c r="C804" s="18" t="s">
        <v>2390</v>
      </c>
      <c r="E804" s="14"/>
      <c r="F804" s="14" t="s">
        <v>1031</v>
      </c>
      <c r="G804" s="11" t="s">
        <v>20</v>
      </c>
      <c r="K804">
        <v>3</v>
      </c>
      <c r="L804" s="28" t="s">
        <v>22</v>
      </c>
      <c r="P804" t="s">
        <v>274</v>
      </c>
      <c r="Q804" t="s">
        <v>2391</v>
      </c>
    </row>
    <row r="805" spans="1:17" ht="15.75" customHeight="1">
      <c r="A805" s="29" t="s">
        <v>2392</v>
      </c>
      <c r="B805" s="11" t="s">
        <v>17</v>
      </c>
      <c r="C805" s="12" t="s">
        <v>2393</v>
      </c>
      <c r="F805" t="s">
        <v>1031</v>
      </c>
      <c r="G805" s="11" t="s">
        <v>20</v>
      </c>
      <c r="K805">
        <v>3</v>
      </c>
      <c r="L805" s="28" t="s">
        <v>22</v>
      </c>
      <c r="P805" t="s">
        <v>274</v>
      </c>
      <c r="Q805" t="s">
        <v>2394</v>
      </c>
    </row>
    <row r="806" spans="1:17" ht="15.75" customHeight="1">
      <c r="A806" s="29" t="s">
        <v>2395</v>
      </c>
      <c r="B806" s="11" t="s">
        <v>17</v>
      </c>
      <c r="C806" s="18" t="s">
        <v>2396</v>
      </c>
      <c r="E806" s="14"/>
      <c r="F806" s="14" t="s">
        <v>1031</v>
      </c>
      <c r="G806" s="11" t="s">
        <v>20</v>
      </c>
      <c r="K806">
        <v>3</v>
      </c>
      <c r="L806" s="28" t="s">
        <v>22</v>
      </c>
      <c r="P806" t="s">
        <v>274</v>
      </c>
      <c r="Q806" t="s">
        <v>2397</v>
      </c>
    </row>
    <row r="807" spans="1:17" ht="15.75" customHeight="1">
      <c r="A807" s="29" t="s">
        <v>2398</v>
      </c>
      <c r="B807" s="11" t="s">
        <v>17</v>
      </c>
      <c r="C807" s="18" t="s">
        <v>2399</v>
      </c>
      <c r="E807" s="14"/>
      <c r="F807" s="14" t="s">
        <v>1031</v>
      </c>
      <c r="G807" s="11" t="s">
        <v>20</v>
      </c>
      <c r="K807">
        <v>3</v>
      </c>
      <c r="L807" s="28" t="s">
        <v>22</v>
      </c>
      <c r="P807" t="s">
        <v>274</v>
      </c>
      <c r="Q807" t="s">
        <v>2400</v>
      </c>
    </row>
    <row r="808" spans="1:17" ht="15.75" customHeight="1">
      <c r="A808" s="29" t="s">
        <v>2401</v>
      </c>
      <c r="B808" s="11" t="s">
        <v>17</v>
      </c>
      <c r="C808" s="18" t="s">
        <v>2402</v>
      </c>
      <c r="E808" s="14"/>
      <c r="F808" s="14" t="s">
        <v>1031</v>
      </c>
      <c r="G808" s="11" t="s">
        <v>20</v>
      </c>
      <c r="K808">
        <v>4</v>
      </c>
      <c r="L808" s="28" t="s">
        <v>22</v>
      </c>
      <c r="P808" t="s">
        <v>274</v>
      </c>
      <c r="Q808" t="s">
        <v>2403</v>
      </c>
    </row>
    <row r="809" spans="1:17" ht="15.75" customHeight="1">
      <c r="A809" s="29" t="s">
        <v>2404</v>
      </c>
      <c r="B809" s="11" t="s">
        <v>17</v>
      </c>
      <c r="C809" s="18" t="s">
        <v>2405</v>
      </c>
      <c r="E809" s="14"/>
      <c r="F809" s="14" t="s">
        <v>1031</v>
      </c>
      <c r="G809" s="11" t="s">
        <v>20</v>
      </c>
      <c r="K809">
        <v>4</v>
      </c>
      <c r="L809" s="28" t="s">
        <v>22</v>
      </c>
      <c r="P809" t="s">
        <v>274</v>
      </c>
      <c r="Q809" t="s">
        <v>2406</v>
      </c>
    </row>
    <row r="810" spans="1:17" ht="15.75" customHeight="1">
      <c r="A810" s="29" t="s">
        <v>2407</v>
      </c>
      <c r="B810" s="11" t="s">
        <v>17</v>
      </c>
      <c r="C810" s="18" t="s">
        <v>2408</v>
      </c>
      <c r="E810" s="14"/>
      <c r="F810" s="14" t="s">
        <v>1031</v>
      </c>
      <c r="G810" s="11" t="s">
        <v>20</v>
      </c>
      <c r="K810">
        <v>4</v>
      </c>
      <c r="L810" s="28" t="s">
        <v>22</v>
      </c>
      <c r="P810" t="s">
        <v>274</v>
      </c>
      <c r="Q810" t="s">
        <v>2409</v>
      </c>
    </row>
    <row r="811" spans="1:17" ht="15.75" customHeight="1">
      <c r="A811" s="29" t="s">
        <v>2410</v>
      </c>
      <c r="B811" s="11" t="s">
        <v>17</v>
      </c>
      <c r="C811" s="18" t="s">
        <v>2411</v>
      </c>
      <c r="E811" s="14"/>
      <c r="F811" s="14" t="s">
        <v>1031</v>
      </c>
      <c r="G811" s="11" t="s">
        <v>20</v>
      </c>
      <c r="K811">
        <v>4</v>
      </c>
      <c r="L811" s="28" t="s">
        <v>22</v>
      </c>
      <c r="P811" t="s">
        <v>274</v>
      </c>
      <c r="Q811" t="s">
        <v>2412</v>
      </c>
    </row>
    <row r="812" spans="1:17" ht="15.75" customHeight="1">
      <c r="A812" s="29" t="s">
        <v>2413</v>
      </c>
      <c r="B812" s="11" t="s">
        <v>17</v>
      </c>
      <c r="C812" s="18" t="s">
        <v>2414</v>
      </c>
      <c r="E812" s="14"/>
      <c r="F812" s="14" t="s">
        <v>1031</v>
      </c>
      <c r="G812" s="11" t="s">
        <v>20</v>
      </c>
      <c r="K812">
        <v>4</v>
      </c>
      <c r="L812" s="28" t="s">
        <v>22</v>
      </c>
      <c r="P812" t="s">
        <v>274</v>
      </c>
      <c r="Q812" t="s">
        <v>2415</v>
      </c>
    </row>
    <row r="813" spans="1:17" ht="15.75" customHeight="1">
      <c r="A813" s="29" t="s">
        <v>2416</v>
      </c>
      <c r="B813" s="11" t="s">
        <v>17</v>
      </c>
      <c r="C813" s="18" t="s">
        <v>2417</v>
      </c>
      <c r="E813" s="14"/>
      <c r="F813" s="14" t="s">
        <v>1031</v>
      </c>
      <c r="G813" s="11" t="s">
        <v>20</v>
      </c>
      <c r="K813">
        <v>4</v>
      </c>
      <c r="L813" s="28" t="s">
        <v>22</v>
      </c>
      <c r="P813" t="s">
        <v>274</v>
      </c>
      <c r="Q813" t="s">
        <v>2418</v>
      </c>
    </row>
    <row r="814" spans="1:17" ht="15.75" customHeight="1">
      <c r="A814" s="29" t="s">
        <v>2419</v>
      </c>
      <c r="B814" s="11" t="s">
        <v>17</v>
      </c>
      <c r="C814" s="18" t="s">
        <v>2420</v>
      </c>
      <c r="E814" s="14"/>
      <c r="F814" s="14" t="s">
        <v>1031</v>
      </c>
      <c r="G814" s="11" t="s">
        <v>20</v>
      </c>
      <c r="K814">
        <v>4</v>
      </c>
      <c r="L814" s="28" t="s">
        <v>22</v>
      </c>
      <c r="P814" t="s">
        <v>274</v>
      </c>
      <c r="Q814" t="s">
        <v>2421</v>
      </c>
    </row>
    <row r="815" spans="1:17" ht="15.75" customHeight="1">
      <c r="A815" s="29" t="s">
        <v>2422</v>
      </c>
      <c r="B815" s="11" t="s">
        <v>17</v>
      </c>
      <c r="C815" s="18" t="s">
        <v>2423</v>
      </c>
      <c r="E815" s="14"/>
      <c r="F815" s="14" t="s">
        <v>1031</v>
      </c>
      <c r="G815" s="11" t="s">
        <v>20</v>
      </c>
      <c r="K815">
        <v>4</v>
      </c>
      <c r="L815" s="28" t="s">
        <v>22</v>
      </c>
      <c r="P815" t="s">
        <v>274</v>
      </c>
      <c r="Q815" t="s">
        <v>2424</v>
      </c>
    </row>
    <row r="816" spans="1:17" ht="15.75" customHeight="1">
      <c r="A816" s="29" t="s">
        <v>2425</v>
      </c>
      <c r="B816" s="11" t="s">
        <v>17</v>
      </c>
      <c r="C816" s="18" t="s">
        <v>2426</v>
      </c>
      <c r="E816" s="14"/>
      <c r="F816" s="14" t="s">
        <v>1031</v>
      </c>
      <c r="G816" s="11" t="s">
        <v>20</v>
      </c>
      <c r="K816">
        <v>4</v>
      </c>
      <c r="L816" s="28" t="s">
        <v>22</v>
      </c>
      <c r="P816" t="s">
        <v>274</v>
      </c>
      <c r="Q816" t="s">
        <v>2427</v>
      </c>
    </row>
    <row r="817" spans="1:17" ht="15.75" customHeight="1">
      <c r="A817" s="29" t="s">
        <v>2428</v>
      </c>
      <c r="B817" s="11" t="s">
        <v>17</v>
      </c>
      <c r="C817" s="18" t="s">
        <v>2429</v>
      </c>
      <c r="E817" s="14"/>
      <c r="F817" s="14" t="s">
        <v>1031</v>
      </c>
      <c r="G817" s="11" t="s">
        <v>20</v>
      </c>
      <c r="K817">
        <v>5</v>
      </c>
      <c r="L817" s="28" t="s">
        <v>22</v>
      </c>
      <c r="P817" t="s">
        <v>274</v>
      </c>
      <c r="Q817" t="s">
        <v>2430</v>
      </c>
    </row>
    <row r="818" spans="1:17" ht="15.75" customHeight="1">
      <c r="A818" s="29" t="s">
        <v>2431</v>
      </c>
      <c r="B818" s="11" t="s">
        <v>17</v>
      </c>
      <c r="C818" s="18" t="s">
        <v>2432</v>
      </c>
      <c r="E818" s="14"/>
      <c r="F818" s="14" t="s">
        <v>1031</v>
      </c>
      <c r="G818" s="11" t="s">
        <v>20</v>
      </c>
      <c r="K818">
        <v>5</v>
      </c>
      <c r="L818" s="28" t="s">
        <v>22</v>
      </c>
      <c r="P818" t="s">
        <v>274</v>
      </c>
      <c r="Q818" t="s">
        <v>2433</v>
      </c>
    </row>
    <row r="819" spans="1:17" ht="15.75" customHeight="1">
      <c r="A819" s="29" t="s">
        <v>2434</v>
      </c>
      <c r="B819" s="11" t="s">
        <v>17</v>
      </c>
      <c r="C819" s="18" t="s">
        <v>2435</v>
      </c>
      <c r="E819" s="14"/>
      <c r="F819" s="14" t="s">
        <v>1031</v>
      </c>
      <c r="G819" s="11" t="s">
        <v>20</v>
      </c>
      <c r="K819">
        <v>5</v>
      </c>
      <c r="L819" s="28" t="s">
        <v>22</v>
      </c>
      <c r="P819" t="s">
        <v>274</v>
      </c>
      <c r="Q819" t="s">
        <v>2436</v>
      </c>
    </row>
    <row r="820" spans="1:17" ht="15.75" customHeight="1">
      <c r="A820" s="29" t="s">
        <v>2437</v>
      </c>
      <c r="B820" s="11" t="s">
        <v>17</v>
      </c>
      <c r="C820" s="18" t="s">
        <v>2438</v>
      </c>
      <c r="E820" s="14"/>
      <c r="F820" s="14" t="s">
        <v>1031</v>
      </c>
      <c r="G820" s="11" t="s">
        <v>20</v>
      </c>
      <c r="K820">
        <v>5</v>
      </c>
      <c r="L820" s="28" t="s">
        <v>22</v>
      </c>
      <c r="P820" t="s">
        <v>274</v>
      </c>
      <c r="Q820" t="s">
        <v>2439</v>
      </c>
    </row>
    <row r="821" spans="1:17" ht="15.75" customHeight="1">
      <c r="A821" s="29" t="s">
        <v>2440</v>
      </c>
      <c r="B821" s="11" t="s">
        <v>17</v>
      </c>
      <c r="C821" s="18" t="s">
        <v>2441</v>
      </c>
      <c r="E821" s="14"/>
      <c r="F821" s="14" t="s">
        <v>1031</v>
      </c>
      <c r="G821" s="11" t="s">
        <v>20</v>
      </c>
      <c r="K821">
        <v>5</v>
      </c>
      <c r="L821" s="28" t="s">
        <v>22</v>
      </c>
      <c r="P821" t="s">
        <v>274</v>
      </c>
      <c r="Q821" t="s">
        <v>2442</v>
      </c>
    </row>
    <row r="822" spans="1:17" ht="15.75" customHeight="1">
      <c r="A822" s="29" t="s">
        <v>2443</v>
      </c>
      <c r="B822" s="11" t="s">
        <v>17</v>
      </c>
      <c r="C822" s="18" t="s">
        <v>2444</v>
      </c>
      <c r="E822" s="14"/>
      <c r="F822" s="14" t="s">
        <v>1031</v>
      </c>
      <c r="G822" s="11" t="s">
        <v>20</v>
      </c>
      <c r="K822">
        <v>5</v>
      </c>
      <c r="L822" s="28" t="s">
        <v>22</v>
      </c>
      <c r="P822" t="s">
        <v>274</v>
      </c>
      <c r="Q822" t="s">
        <v>2445</v>
      </c>
    </row>
    <row r="823" spans="1:17" ht="15.75" customHeight="1">
      <c r="A823" s="29" t="s">
        <v>2446</v>
      </c>
      <c r="B823" s="11" t="s">
        <v>17</v>
      </c>
      <c r="C823" s="12" t="s">
        <v>2447</v>
      </c>
      <c r="F823" t="s">
        <v>1031</v>
      </c>
      <c r="G823" s="11" t="s">
        <v>20</v>
      </c>
      <c r="K823">
        <v>6</v>
      </c>
      <c r="L823" s="28" t="s">
        <v>22</v>
      </c>
      <c r="P823" t="s">
        <v>274</v>
      </c>
      <c r="Q823" t="s">
        <v>2448</v>
      </c>
    </row>
    <row r="824" spans="1:17" ht="15.75" customHeight="1">
      <c r="A824" s="29" t="s">
        <v>2449</v>
      </c>
      <c r="B824" s="11" t="s">
        <v>17</v>
      </c>
      <c r="C824" s="18" t="s">
        <v>2450</v>
      </c>
      <c r="E824" s="14"/>
      <c r="F824" s="14" t="s">
        <v>1031</v>
      </c>
      <c r="G824" s="11" t="s">
        <v>20</v>
      </c>
      <c r="K824">
        <v>6</v>
      </c>
      <c r="L824" s="28" t="s">
        <v>22</v>
      </c>
      <c r="P824" t="s">
        <v>274</v>
      </c>
      <c r="Q824" t="s">
        <v>2451</v>
      </c>
    </row>
    <row r="825" spans="1:17" ht="15.75" customHeight="1">
      <c r="A825" s="29" t="s">
        <v>2452</v>
      </c>
      <c r="B825" s="11" t="s">
        <v>17</v>
      </c>
      <c r="C825" s="18" t="s">
        <v>2453</v>
      </c>
      <c r="E825" s="14"/>
      <c r="F825" s="14" t="s">
        <v>1031</v>
      </c>
      <c r="G825" s="11" t="s">
        <v>20</v>
      </c>
      <c r="K825">
        <v>6</v>
      </c>
      <c r="L825" s="28" t="s">
        <v>22</v>
      </c>
      <c r="P825" t="s">
        <v>274</v>
      </c>
      <c r="Q825" t="s">
        <v>2454</v>
      </c>
    </row>
    <row r="826" spans="1:17" ht="15.75" customHeight="1">
      <c r="A826" s="29" t="s">
        <v>2455</v>
      </c>
      <c r="B826" s="11" t="s">
        <v>17</v>
      </c>
      <c r="C826" s="18" t="s">
        <v>2456</v>
      </c>
      <c r="E826" s="14"/>
      <c r="F826" s="14" t="s">
        <v>1031</v>
      </c>
      <c r="G826" s="11" t="s">
        <v>20</v>
      </c>
      <c r="K826">
        <v>6</v>
      </c>
      <c r="L826" s="28" t="s">
        <v>22</v>
      </c>
      <c r="P826" t="s">
        <v>274</v>
      </c>
      <c r="Q826" t="s">
        <v>2457</v>
      </c>
    </row>
    <row r="827" spans="1:17" ht="15.75" customHeight="1">
      <c r="A827" s="29" t="s">
        <v>2458</v>
      </c>
      <c r="B827" s="11" t="s">
        <v>17</v>
      </c>
      <c r="C827" s="18" t="s">
        <v>2459</v>
      </c>
      <c r="E827" s="14"/>
      <c r="F827" s="14" t="s">
        <v>1031</v>
      </c>
      <c r="G827" s="11" t="s">
        <v>20</v>
      </c>
      <c r="K827">
        <v>6</v>
      </c>
      <c r="L827" s="28" t="s">
        <v>22</v>
      </c>
      <c r="P827" t="s">
        <v>274</v>
      </c>
      <c r="Q827" t="s">
        <v>2460</v>
      </c>
    </row>
    <row r="828" spans="1:17" ht="15.75" customHeight="1">
      <c r="A828" s="29" t="s">
        <v>2461</v>
      </c>
      <c r="B828" s="11" t="s">
        <v>17</v>
      </c>
      <c r="C828" s="18" t="s">
        <v>2462</v>
      </c>
      <c r="E828" s="14"/>
      <c r="F828" s="14" t="s">
        <v>1031</v>
      </c>
      <c r="G828" s="11" t="s">
        <v>20</v>
      </c>
      <c r="K828">
        <v>6</v>
      </c>
      <c r="L828" s="28" t="s">
        <v>22</v>
      </c>
      <c r="P828" t="s">
        <v>274</v>
      </c>
      <c r="Q828" t="s">
        <v>2421</v>
      </c>
    </row>
    <row r="829" spans="1:17" ht="15.75" customHeight="1">
      <c r="A829" s="29" t="s">
        <v>2463</v>
      </c>
      <c r="B829" s="11" t="s">
        <v>17</v>
      </c>
      <c r="C829" s="18" t="s">
        <v>2464</v>
      </c>
      <c r="E829" s="14"/>
      <c r="F829" s="14" t="s">
        <v>1031</v>
      </c>
      <c r="G829" s="11" t="s">
        <v>20</v>
      </c>
      <c r="K829">
        <v>7</v>
      </c>
      <c r="L829" s="28" t="s">
        <v>22</v>
      </c>
      <c r="P829" t="s">
        <v>274</v>
      </c>
      <c r="Q829" t="s">
        <v>2465</v>
      </c>
    </row>
    <row r="830" spans="1:17" ht="15.75" customHeight="1">
      <c r="A830" s="29" t="s">
        <v>2466</v>
      </c>
      <c r="B830" s="11" t="s">
        <v>17</v>
      </c>
      <c r="C830" s="18" t="s">
        <v>2467</v>
      </c>
      <c r="E830" s="14"/>
      <c r="F830" s="14" t="s">
        <v>1031</v>
      </c>
      <c r="G830" s="11" t="s">
        <v>20</v>
      </c>
      <c r="K830">
        <v>7</v>
      </c>
      <c r="L830" s="28" t="s">
        <v>22</v>
      </c>
      <c r="P830" t="s">
        <v>274</v>
      </c>
      <c r="Q830" t="s">
        <v>2468</v>
      </c>
    </row>
    <row r="831" spans="1:17" ht="15.75" customHeight="1">
      <c r="A831" s="29" t="s">
        <v>2469</v>
      </c>
      <c r="B831" s="11" t="s">
        <v>17</v>
      </c>
      <c r="C831" s="18" t="s">
        <v>2470</v>
      </c>
      <c r="E831" s="14"/>
      <c r="F831" s="14" t="s">
        <v>1031</v>
      </c>
      <c r="G831" s="11" t="s">
        <v>20</v>
      </c>
      <c r="K831">
        <v>7</v>
      </c>
      <c r="L831" s="28" t="s">
        <v>22</v>
      </c>
      <c r="P831" t="s">
        <v>274</v>
      </c>
      <c r="Q831" t="s">
        <v>2471</v>
      </c>
    </row>
    <row r="832" spans="1:17" ht="15.75" customHeight="1">
      <c r="A832" s="29" t="s">
        <v>2472</v>
      </c>
      <c r="B832" s="10" t="s">
        <v>464</v>
      </c>
      <c r="C832" s="12" t="s">
        <v>2473</v>
      </c>
      <c r="E832" s="10"/>
      <c r="F832" s="10" t="s">
        <v>466</v>
      </c>
      <c r="G832" s="10" t="s">
        <v>285</v>
      </c>
      <c r="L832" s="28">
        <v>2</v>
      </c>
      <c r="Q832" t="s">
        <v>2474</v>
      </c>
    </row>
    <row r="833" spans="1:17" ht="15.75" customHeight="1">
      <c r="A833" s="29" t="s">
        <v>2475</v>
      </c>
      <c r="B833" s="10" t="s">
        <v>464</v>
      </c>
      <c r="C833" s="12" t="s">
        <v>2476</v>
      </c>
      <c r="E833" s="10"/>
      <c r="F833" s="10" t="s">
        <v>2477</v>
      </c>
      <c r="G833" s="10" t="s">
        <v>285</v>
      </c>
      <c r="L833" s="28">
        <v>16</v>
      </c>
      <c r="Q833" t="s">
        <v>2478</v>
      </c>
    </row>
    <row r="834" spans="1:17" ht="15.75" customHeight="1">
      <c r="A834" s="29" t="s">
        <v>2479</v>
      </c>
      <c r="B834" s="10" t="s">
        <v>464</v>
      </c>
      <c r="C834" s="12" t="s">
        <v>2480</v>
      </c>
      <c r="E834" s="10"/>
      <c r="F834" s="10" t="s">
        <v>2477</v>
      </c>
      <c r="G834" s="10" t="s">
        <v>285</v>
      </c>
      <c r="L834" s="28">
        <v>32</v>
      </c>
      <c r="Q834" t="s">
        <v>2481</v>
      </c>
    </row>
    <row r="835" spans="1:17" ht="15.75" customHeight="1">
      <c r="A835" s="29" t="s">
        <v>2482</v>
      </c>
      <c r="B835" s="10" t="s">
        <v>464</v>
      </c>
      <c r="C835" s="12" t="s">
        <v>2483</v>
      </c>
      <c r="E835" s="10"/>
      <c r="F835" s="10" t="s">
        <v>2477</v>
      </c>
      <c r="G835" s="10" t="s">
        <v>285</v>
      </c>
      <c r="L835" s="28">
        <v>48</v>
      </c>
      <c r="Q835" t="s">
        <v>2484</v>
      </c>
    </row>
    <row r="836" spans="1:17" ht="15.75" customHeight="1">
      <c r="A836" s="29" t="s">
        <v>2485</v>
      </c>
      <c r="B836" s="10" t="s">
        <v>464</v>
      </c>
      <c r="C836" s="12" t="s">
        <v>2486</v>
      </c>
      <c r="E836" s="10"/>
      <c r="F836" s="10" t="s">
        <v>466</v>
      </c>
      <c r="G836" s="10" t="s">
        <v>285</v>
      </c>
      <c r="L836" s="28">
        <v>2</v>
      </c>
      <c r="Q836" t="s">
        <v>2487</v>
      </c>
    </row>
    <row r="837" spans="1:17" ht="15.75" customHeight="1">
      <c r="A837" s="29" t="s">
        <v>2488</v>
      </c>
      <c r="B837" s="10" t="s">
        <v>464</v>
      </c>
      <c r="C837" s="13" t="s">
        <v>2489</v>
      </c>
      <c r="E837" s="10"/>
      <c r="F837" s="10" t="s">
        <v>466</v>
      </c>
      <c r="G837" s="10" t="s">
        <v>285</v>
      </c>
      <c r="L837" s="28">
        <v>1</v>
      </c>
      <c r="Q837" t="s">
        <v>2490</v>
      </c>
    </row>
    <row r="838" spans="1:17" ht="15.75" customHeight="1">
      <c r="A838" s="29" t="s">
        <v>2491</v>
      </c>
      <c r="B838" s="10" t="s">
        <v>464</v>
      </c>
      <c r="C838" s="13" t="s">
        <v>2492</v>
      </c>
      <c r="E838" s="10"/>
      <c r="F838" s="10" t="s">
        <v>466</v>
      </c>
      <c r="G838" s="10" t="s">
        <v>285</v>
      </c>
      <c r="L838" s="28">
        <v>1</v>
      </c>
      <c r="Q838" t="s">
        <v>2493</v>
      </c>
    </row>
    <row r="839" spans="1:17" ht="15.75" customHeight="1">
      <c r="A839" s="29" t="s">
        <v>2494</v>
      </c>
      <c r="B839" s="10" t="s">
        <v>464</v>
      </c>
      <c r="C839" s="13" t="s">
        <v>2495</v>
      </c>
      <c r="E839" s="10"/>
      <c r="F839" s="10" t="s">
        <v>466</v>
      </c>
      <c r="G839" s="10" t="s">
        <v>285</v>
      </c>
      <c r="L839" s="28">
        <v>1</v>
      </c>
      <c r="Q839" t="s">
        <v>2496</v>
      </c>
    </row>
    <row r="840" spans="1:17" ht="15.75" customHeight="1">
      <c r="A840" s="29" t="s">
        <v>2497</v>
      </c>
      <c r="B840" s="10" t="s">
        <v>464</v>
      </c>
      <c r="C840" s="13" t="s">
        <v>2498</v>
      </c>
      <c r="E840" s="10"/>
      <c r="F840" s="10" t="s">
        <v>466</v>
      </c>
      <c r="G840" s="10" t="s">
        <v>285</v>
      </c>
      <c r="L840" s="28">
        <v>2</v>
      </c>
      <c r="Q840" t="s">
        <v>2499</v>
      </c>
    </row>
    <row r="841" spans="1:17" ht="15.75" customHeight="1">
      <c r="A841" s="29" t="s">
        <v>2500</v>
      </c>
      <c r="B841" s="10" t="s">
        <v>464</v>
      </c>
      <c r="C841" s="13" t="s">
        <v>2501</v>
      </c>
      <c r="E841" s="10"/>
      <c r="F841" s="10" t="s">
        <v>466</v>
      </c>
      <c r="G841" s="10" t="s">
        <v>285</v>
      </c>
      <c r="L841" s="28">
        <v>10</v>
      </c>
      <c r="Q841" t="s">
        <v>2502</v>
      </c>
    </row>
    <row r="842" spans="1:17" ht="15.75" customHeight="1">
      <c r="A842" s="29" t="s">
        <v>2503</v>
      </c>
      <c r="B842" s="10" t="s">
        <v>464</v>
      </c>
      <c r="C842" s="19" t="s">
        <v>2504</v>
      </c>
      <c r="D842" s="10"/>
      <c r="E842" s="10"/>
      <c r="F842" s="10" t="s">
        <v>1168</v>
      </c>
      <c r="G842" s="10" t="s">
        <v>285</v>
      </c>
      <c r="L842" s="28">
        <v>4</v>
      </c>
      <c r="Q842" t="s">
        <v>2505</v>
      </c>
    </row>
    <row r="843" spans="1:17" ht="15.75" hidden="1" customHeight="1">
      <c r="A843" s="29" t="s">
        <v>2506</v>
      </c>
      <c r="B843" s="10" t="s">
        <v>464</v>
      </c>
      <c r="C843" s="13" t="s">
        <v>2507</v>
      </c>
      <c r="E843" s="10"/>
      <c r="F843" s="10" t="s">
        <v>1168</v>
      </c>
      <c r="G843" s="10" t="s">
        <v>285</v>
      </c>
      <c r="L843" s="28">
        <v>6</v>
      </c>
      <c r="Q843" t="s">
        <v>2508</v>
      </c>
    </row>
    <row r="844" spans="1:17" ht="15.75" hidden="1" customHeight="1">
      <c r="A844" s="29" t="s">
        <v>2509</v>
      </c>
      <c r="B844" s="10" t="s">
        <v>464</v>
      </c>
      <c r="C844" s="13" t="s">
        <v>2510</v>
      </c>
      <c r="E844" s="10"/>
      <c r="F844" s="10" t="s">
        <v>1168</v>
      </c>
      <c r="G844" s="10" t="s">
        <v>285</v>
      </c>
      <c r="L844" s="28">
        <v>4</v>
      </c>
      <c r="Q844" t="s">
        <v>2511</v>
      </c>
    </row>
    <row r="845" spans="1:17" ht="15.75" hidden="1" customHeight="1">
      <c r="A845" s="29" t="s">
        <v>2512</v>
      </c>
      <c r="B845" s="10" t="s">
        <v>464</v>
      </c>
      <c r="C845" s="13" t="s">
        <v>2513</v>
      </c>
      <c r="E845" s="10"/>
      <c r="F845" s="10" t="s">
        <v>1168</v>
      </c>
      <c r="G845" s="10" t="s">
        <v>285</v>
      </c>
      <c r="L845" s="28">
        <v>6</v>
      </c>
      <c r="Q845" t="s">
        <v>2514</v>
      </c>
    </row>
    <row r="846" spans="1:17" ht="15.75" hidden="1" customHeight="1">
      <c r="A846" s="29" t="s">
        <v>2515</v>
      </c>
      <c r="B846" s="10" t="s">
        <v>464</v>
      </c>
      <c r="C846" s="13" t="s">
        <v>2516</v>
      </c>
      <c r="E846" s="10"/>
      <c r="F846" s="10" t="s">
        <v>1168</v>
      </c>
      <c r="G846" s="10" t="s">
        <v>285</v>
      </c>
      <c r="L846" s="28">
        <v>4</v>
      </c>
      <c r="Q846" t="s">
        <v>2517</v>
      </c>
    </row>
    <row r="847" spans="1:17" ht="15.75" hidden="1" customHeight="1">
      <c r="A847" s="29" t="s">
        <v>2518</v>
      </c>
      <c r="B847" s="10" t="s">
        <v>464</v>
      </c>
      <c r="C847" s="7" t="s">
        <v>2519</v>
      </c>
      <c r="E847" s="10"/>
      <c r="F847" s="10" t="s">
        <v>1168</v>
      </c>
      <c r="G847" s="10" t="s">
        <v>285</v>
      </c>
      <c r="L847" s="28">
        <v>6</v>
      </c>
      <c r="Q847" t="s">
        <v>2520</v>
      </c>
    </row>
    <row r="848" spans="1:17" ht="15.75" hidden="1" customHeight="1">
      <c r="A848" s="29" t="s">
        <v>2521</v>
      </c>
      <c r="B848" s="10" t="s">
        <v>464</v>
      </c>
      <c r="C848" s="18" t="s">
        <v>2522</v>
      </c>
      <c r="E848" s="10"/>
      <c r="F848" s="10" t="s">
        <v>1168</v>
      </c>
      <c r="G848" s="10" t="s">
        <v>285</v>
      </c>
      <c r="L848" s="28">
        <v>4</v>
      </c>
      <c r="Q848" t="s">
        <v>2523</v>
      </c>
    </row>
    <row r="849" spans="1:17" ht="15.75" hidden="1" customHeight="1">
      <c r="A849" s="29" t="s">
        <v>2524</v>
      </c>
      <c r="B849" s="10" t="s">
        <v>464</v>
      </c>
      <c r="C849" s="18" t="s">
        <v>2525</v>
      </c>
      <c r="E849" s="10"/>
      <c r="F849" s="10" t="s">
        <v>1168</v>
      </c>
      <c r="G849" s="10" t="s">
        <v>285</v>
      </c>
      <c r="L849" s="28">
        <v>6</v>
      </c>
      <c r="Q849" t="s">
        <v>2526</v>
      </c>
    </row>
    <row r="850" spans="1:17" ht="15.75" hidden="1" customHeight="1">
      <c r="A850" s="29" t="s">
        <v>2527</v>
      </c>
      <c r="B850" s="10" t="s">
        <v>464</v>
      </c>
      <c r="C850" s="18" t="s">
        <v>2528</v>
      </c>
      <c r="E850" s="10"/>
      <c r="F850" s="10" t="s">
        <v>1168</v>
      </c>
      <c r="G850" s="10" t="s">
        <v>285</v>
      </c>
      <c r="L850" s="28">
        <v>2</v>
      </c>
      <c r="Q850" t="s">
        <v>2529</v>
      </c>
    </row>
    <row r="851" spans="1:17" ht="15.75" hidden="1" customHeight="1">
      <c r="A851" s="29" t="s">
        <v>2530</v>
      </c>
      <c r="B851" s="10" t="s">
        <v>464</v>
      </c>
      <c r="C851" s="18" t="s">
        <v>2531</v>
      </c>
      <c r="E851" s="10"/>
      <c r="F851" s="10" t="s">
        <v>1168</v>
      </c>
      <c r="G851" s="10" t="s">
        <v>285</v>
      </c>
      <c r="L851" s="28">
        <v>4</v>
      </c>
      <c r="Q851" t="s">
        <v>2532</v>
      </c>
    </row>
    <row r="852" spans="1:17" ht="15.75" hidden="1" customHeight="1">
      <c r="A852" s="29" t="s">
        <v>2533</v>
      </c>
      <c r="B852" s="10" t="s">
        <v>464</v>
      </c>
      <c r="C852" s="12" t="s">
        <v>2534</v>
      </c>
      <c r="E852" s="10"/>
      <c r="F852" s="10" t="s">
        <v>1092</v>
      </c>
      <c r="G852" s="10" t="s">
        <v>285</v>
      </c>
      <c r="L852" s="28">
        <v>26</v>
      </c>
      <c r="Q852" t="s">
        <v>2535</v>
      </c>
    </row>
    <row r="853" spans="1:17" ht="15.75" hidden="1" customHeight="1">
      <c r="A853" s="29" t="s">
        <v>2536</v>
      </c>
      <c r="B853" s="10" t="s">
        <v>464</v>
      </c>
      <c r="C853" s="8" t="s">
        <v>2537</v>
      </c>
      <c r="E853" s="10"/>
      <c r="F853" s="10" t="s">
        <v>1092</v>
      </c>
      <c r="G853" s="10" t="s">
        <v>285</v>
      </c>
      <c r="L853" s="28">
        <v>26</v>
      </c>
      <c r="Q853" t="s">
        <v>2538</v>
      </c>
    </row>
    <row r="854" spans="1:17" ht="15.75" hidden="1" customHeight="1">
      <c r="A854" s="29" t="s">
        <v>2539</v>
      </c>
      <c r="B854" s="10" t="s">
        <v>464</v>
      </c>
      <c r="C854" s="12" t="s">
        <v>2540</v>
      </c>
      <c r="E854" s="10"/>
      <c r="F854" s="10" t="s">
        <v>1092</v>
      </c>
      <c r="G854" s="10" t="s">
        <v>285</v>
      </c>
      <c r="L854" s="28">
        <v>26</v>
      </c>
      <c r="Q854" t="s">
        <v>2541</v>
      </c>
    </row>
    <row r="855" spans="1:17" ht="15.75" hidden="1" customHeight="1">
      <c r="A855" s="29" t="s">
        <v>2542</v>
      </c>
      <c r="B855" s="10" t="s">
        <v>464</v>
      </c>
      <c r="C855" s="13" t="s">
        <v>2543</v>
      </c>
      <c r="E855" s="10"/>
      <c r="F855" s="10" t="s">
        <v>466</v>
      </c>
      <c r="G855" s="10" t="s">
        <v>285</v>
      </c>
      <c r="L855" s="28">
        <v>4</v>
      </c>
      <c r="Q855" t="s">
        <v>2544</v>
      </c>
    </row>
    <row r="856" spans="1:17" ht="15.75" hidden="1" customHeight="1">
      <c r="A856" s="29" t="s">
        <v>2545</v>
      </c>
      <c r="B856" s="10" t="s">
        <v>464</v>
      </c>
      <c r="C856" s="13" t="s">
        <v>2546</v>
      </c>
      <c r="E856" s="10"/>
      <c r="F856" s="10" t="s">
        <v>466</v>
      </c>
      <c r="G856" s="10" t="s">
        <v>285</v>
      </c>
      <c r="L856" s="28">
        <v>6</v>
      </c>
      <c r="Q856" t="s">
        <v>2547</v>
      </c>
    </row>
    <row r="857" spans="1:17" ht="15.75" hidden="1" customHeight="1">
      <c r="A857" s="29" t="s">
        <v>2548</v>
      </c>
      <c r="B857" s="10" t="s">
        <v>464</v>
      </c>
      <c r="C857" s="13" t="s">
        <v>2549</v>
      </c>
      <c r="E857" s="10"/>
      <c r="F857" s="10" t="s">
        <v>466</v>
      </c>
      <c r="G857" s="10" t="s">
        <v>285</v>
      </c>
      <c r="L857" s="28">
        <v>6</v>
      </c>
      <c r="Q857" t="s">
        <v>2547</v>
      </c>
    </row>
    <row r="858" spans="1:17" ht="15.75" hidden="1" customHeight="1">
      <c r="A858" s="29" t="s">
        <v>2550</v>
      </c>
      <c r="B858" s="10" t="s">
        <v>464</v>
      </c>
      <c r="C858" s="13" t="s">
        <v>2551</v>
      </c>
      <c r="E858" s="10"/>
      <c r="F858" s="10" t="s">
        <v>466</v>
      </c>
      <c r="G858" s="10" t="s">
        <v>285</v>
      </c>
      <c r="L858" s="28">
        <v>6</v>
      </c>
      <c r="Q858" t="s">
        <v>2547</v>
      </c>
    </row>
    <row r="859" spans="1:17" ht="15.75" hidden="1" customHeight="1">
      <c r="A859" s="29" t="s">
        <v>2552</v>
      </c>
      <c r="B859" s="10" t="s">
        <v>464</v>
      </c>
      <c r="C859" s="13" t="s">
        <v>2553</v>
      </c>
      <c r="E859" s="10"/>
      <c r="F859" s="10" t="s">
        <v>466</v>
      </c>
      <c r="G859" s="10" t="s">
        <v>285</v>
      </c>
      <c r="L859" s="28">
        <v>6</v>
      </c>
      <c r="Q859" t="s">
        <v>2547</v>
      </c>
    </row>
    <row r="860" spans="1:17" ht="15.75" hidden="1" customHeight="1">
      <c r="A860" s="29" t="s">
        <v>2554</v>
      </c>
      <c r="B860" s="10" t="s">
        <v>464</v>
      </c>
      <c r="C860" s="13" t="s">
        <v>2555</v>
      </c>
      <c r="E860" s="10"/>
      <c r="F860" s="10" t="s">
        <v>466</v>
      </c>
      <c r="G860" s="10" t="s">
        <v>285</v>
      </c>
      <c r="L860" s="28">
        <v>6</v>
      </c>
      <c r="Q860" t="s">
        <v>2547</v>
      </c>
    </row>
    <row r="861" spans="1:17" ht="15.75" hidden="1" customHeight="1">
      <c r="A861" s="29" t="s">
        <v>2556</v>
      </c>
      <c r="B861" s="10" t="s">
        <v>464</v>
      </c>
      <c r="C861" s="13" t="s">
        <v>2557</v>
      </c>
      <c r="E861" s="10"/>
      <c r="F861" s="10" t="s">
        <v>466</v>
      </c>
      <c r="G861" s="10" t="s">
        <v>285</v>
      </c>
      <c r="L861" s="28">
        <v>6</v>
      </c>
      <c r="Q861" t="s">
        <v>2547</v>
      </c>
    </row>
    <row r="862" spans="1:17" ht="15.75" hidden="1" customHeight="1">
      <c r="A862" s="29" t="s">
        <v>2558</v>
      </c>
      <c r="B862" s="10" t="s">
        <v>464</v>
      </c>
      <c r="C862" s="13" t="s">
        <v>2559</v>
      </c>
      <c r="E862" s="10"/>
      <c r="F862" s="10" t="s">
        <v>466</v>
      </c>
      <c r="G862" s="10" t="s">
        <v>285</v>
      </c>
      <c r="L862" s="28">
        <v>6</v>
      </c>
      <c r="Q862" t="s">
        <v>2547</v>
      </c>
    </row>
    <row r="863" spans="1:17" ht="15.75" hidden="1" customHeight="1">
      <c r="A863" s="29" t="s">
        <v>2560</v>
      </c>
      <c r="B863" s="10" t="s">
        <v>464</v>
      </c>
      <c r="C863" s="13" t="s">
        <v>2561</v>
      </c>
      <c r="E863" s="10"/>
      <c r="F863" s="10" t="s">
        <v>466</v>
      </c>
      <c r="G863" s="10" t="s">
        <v>285</v>
      </c>
      <c r="L863" s="28">
        <v>6</v>
      </c>
      <c r="Q863" t="s">
        <v>2547</v>
      </c>
    </row>
    <row r="864" spans="1:17" ht="15.75" hidden="1" customHeight="1">
      <c r="A864" s="29" t="s">
        <v>2562</v>
      </c>
      <c r="B864" s="10" t="s">
        <v>464</v>
      </c>
      <c r="C864" s="13" t="s">
        <v>2563</v>
      </c>
      <c r="E864" s="10"/>
      <c r="F864" s="10" t="s">
        <v>466</v>
      </c>
      <c r="G864" s="10" t="s">
        <v>285</v>
      </c>
      <c r="L864" s="28">
        <v>6</v>
      </c>
      <c r="Q864" t="s">
        <v>2547</v>
      </c>
    </row>
    <row r="865" spans="1:17" ht="15.75" hidden="1" customHeight="1">
      <c r="A865" s="29" t="s">
        <v>2564</v>
      </c>
      <c r="B865" s="10" t="s">
        <v>464</v>
      </c>
      <c r="C865" s="13" t="s">
        <v>2565</v>
      </c>
      <c r="E865" s="10"/>
      <c r="F865" s="10" t="s">
        <v>466</v>
      </c>
      <c r="G865" s="10" t="s">
        <v>285</v>
      </c>
      <c r="L865" s="28">
        <v>6</v>
      </c>
      <c r="Q865" t="s">
        <v>2547</v>
      </c>
    </row>
    <row r="866" spans="1:17" ht="15.75" hidden="1" customHeight="1">
      <c r="A866" s="29" t="s">
        <v>2566</v>
      </c>
      <c r="B866" s="10" t="s">
        <v>464</v>
      </c>
      <c r="C866" s="13" t="s">
        <v>2567</v>
      </c>
      <c r="E866" s="10"/>
      <c r="F866" s="10" t="s">
        <v>2477</v>
      </c>
      <c r="G866" s="10" t="s">
        <v>285</v>
      </c>
      <c r="L866" s="28">
        <v>40</v>
      </c>
      <c r="Q866" t="s">
        <v>2568</v>
      </c>
    </row>
    <row r="867" spans="1:17" ht="15.75" hidden="1" customHeight="1">
      <c r="A867" s="29" t="s">
        <v>2569</v>
      </c>
      <c r="B867" s="10" t="s">
        <v>464</v>
      </c>
      <c r="C867" s="18" t="s">
        <v>2570</v>
      </c>
      <c r="E867" s="10"/>
      <c r="F867" s="10" t="s">
        <v>1168</v>
      </c>
      <c r="G867" s="10" t="s">
        <v>285</v>
      </c>
      <c r="L867" s="28">
        <v>8</v>
      </c>
      <c r="Q867" t="s">
        <v>2571</v>
      </c>
    </row>
    <row r="868" spans="1:17" ht="15.75" hidden="1" customHeight="1">
      <c r="A868" s="29" t="s">
        <v>2572</v>
      </c>
      <c r="B868" s="10" t="s">
        <v>464</v>
      </c>
      <c r="C868" s="18" t="s">
        <v>2573</v>
      </c>
      <c r="E868" s="10"/>
      <c r="F868" s="10" t="s">
        <v>1168</v>
      </c>
      <c r="G868" s="10" t="s">
        <v>285</v>
      </c>
      <c r="H868" s="10"/>
      <c r="I868" s="10"/>
      <c r="L868" s="28">
        <v>12</v>
      </c>
      <c r="Q868" t="s">
        <v>2574</v>
      </c>
    </row>
    <row r="869" spans="1:17" ht="15.75" hidden="1" customHeight="1">
      <c r="A869" s="29" t="s">
        <v>2575</v>
      </c>
      <c r="B869" s="10" t="s">
        <v>464</v>
      </c>
      <c r="C869" s="18" t="s">
        <v>2576</v>
      </c>
      <c r="E869" s="10"/>
      <c r="F869" s="10" t="s">
        <v>1168</v>
      </c>
      <c r="G869" s="10" t="s">
        <v>285</v>
      </c>
      <c r="H869" s="10"/>
      <c r="I869" s="10"/>
      <c r="L869" s="28">
        <v>10</v>
      </c>
      <c r="Q869" t="s">
        <v>2577</v>
      </c>
    </row>
    <row r="870" spans="1:17" ht="15.75" hidden="1" customHeight="1">
      <c r="A870" s="29" t="s">
        <v>2578</v>
      </c>
      <c r="B870" s="10" t="s">
        <v>464</v>
      </c>
      <c r="C870" s="13" t="s">
        <v>2579</v>
      </c>
      <c r="E870" s="10"/>
      <c r="F870" s="10" t="s">
        <v>2477</v>
      </c>
      <c r="G870" s="10" t="s">
        <v>285</v>
      </c>
      <c r="H870" s="10"/>
      <c r="I870" s="10"/>
      <c r="L870" s="28">
        <v>30</v>
      </c>
      <c r="Q870" t="s">
        <v>2580</v>
      </c>
    </row>
    <row r="871" spans="1:17" ht="15.75" hidden="1" customHeight="1">
      <c r="A871" s="29" t="s">
        <v>2581</v>
      </c>
      <c r="B871" s="10" t="s">
        <v>464</v>
      </c>
      <c r="C871" s="18" t="s">
        <v>2582</v>
      </c>
      <c r="E871" s="10"/>
      <c r="F871" s="10" t="s">
        <v>1168</v>
      </c>
      <c r="G871" s="10" t="s">
        <v>285</v>
      </c>
      <c r="H871" s="10"/>
      <c r="I871" s="10"/>
      <c r="L871" s="28">
        <v>20</v>
      </c>
      <c r="Q871" t="s">
        <v>2583</v>
      </c>
    </row>
    <row r="872" spans="1:17" ht="15.75" hidden="1" customHeight="1">
      <c r="A872" s="29" t="s">
        <v>2584</v>
      </c>
      <c r="B872" s="10" t="s">
        <v>464</v>
      </c>
      <c r="C872" s="13" t="s">
        <v>2585</v>
      </c>
      <c r="E872" s="10"/>
      <c r="F872" s="10" t="s">
        <v>466</v>
      </c>
      <c r="G872" s="10" t="s">
        <v>285</v>
      </c>
      <c r="H872" s="10"/>
      <c r="I872" s="10"/>
      <c r="L872" s="28">
        <v>1</v>
      </c>
      <c r="Q872" t="s">
        <v>2586</v>
      </c>
    </row>
    <row r="873" spans="1:17" ht="15.75" customHeight="1">
      <c r="A873" s="29" t="s">
        <v>2587</v>
      </c>
      <c r="B873" s="10" t="s">
        <v>464</v>
      </c>
      <c r="C873" s="13" t="s">
        <v>2588</v>
      </c>
      <c r="E873" s="10"/>
      <c r="F873" s="10" t="s">
        <v>466</v>
      </c>
      <c r="G873" s="10" t="s">
        <v>285</v>
      </c>
      <c r="H873" s="10"/>
      <c r="I873" s="10"/>
      <c r="L873" s="28">
        <v>1</v>
      </c>
      <c r="Q873" t="s">
        <v>2589</v>
      </c>
    </row>
    <row r="874" spans="1:17" ht="15.75" hidden="1" customHeight="1">
      <c r="A874" s="29" t="s">
        <v>2590</v>
      </c>
      <c r="B874" s="10" t="s">
        <v>464</v>
      </c>
      <c r="C874" s="7" t="s">
        <v>2591</v>
      </c>
      <c r="E874" s="10"/>
      <c r="F874" s="10" t="s">
        <v>466</v>
      </c>
      <c r="G874" s="10" t="s">
        <v>285</v>
      </c>
      <c r="H874" s="10"/>
      <c r="I874" s="10"/>
      <c r="L874" s="28">
        <v>1</v>
      </c>
      <c r="Q874" t="s">
        <v>2592</v>
      </c>
    </row>
    <row r="875" spans="1:17" ht="15.75" hidden="1" customHeight="1">
      <c r="A875" s="29" t="s">
        <v>2593</v>
      </c>
      <c r="B875" s="10" t="s">
        <v>464</v>
      </c>
      <c r="C875" s="18" t="s">
        <v>2594</v>
      </c>
      <c r="E875" s="10"/>
      <c r="F875" s="10" t="s">
        <v>1168</v>
      </c>
      <c r="G875" s="10" t="s">
        <v>285</v>
      </c>
      <c r="H875" s="10"/>
      <c r="I875" s="10"/>
      <c r="L875" s="28">
        <v>50</v>
      </c>
      <c r="Q875" t="s">
        <v>2595</v>
      </c>
    </row>
    <row r="876" spans="1:17" ht="15.75" hidden="1" customHeight="1">
      <c r="A876" s="29" t="s">
        <v>2596</v>
      </c>
      <c r="B876" s="10" t="s">
        <v>464</v>
      </c>
      <c r="C876" s="12" t="s">
        <v>2597</v>
      </c>
      <c r="E876" s="10"/>
      <c r="F876" s="10" t="s">
        <v>466</v>
      </c>
      <c r="G876" s="10" t="s">
        <v>285</v>
      </c>
      <c r="H876" s="10"/>
      <c r="I876" s="10"/>
      <c r="L876" s="28">
        <v>4</v>
      </c>
      <c r="Q876" t="s">
        <v>2598</v>
      </c>
    </row>
    <row r="877" spans="1:17" ht="15.75" customHeight="1">
      <c r="A877" s="29" t="s">
        <v>2599</v>
      </c>
      <c r="B877" s="10" t="s">
        <v>464</v>
      </c>
      <c r="C877" s="12" t="s">
        <v>2600</v>
      </c>
      <c r="E877" s="10"/>
      <c r="F877" s="10" t="s">
        <v>466</v>
      </c>
      <c r="G877" s="10" t="s">
        <v>285</v>
      </c>
      <c r="H877" s="10"/>
      <c r="I877" s="10"/>
      <c r="L877" s="28">
        <v>6</v>
      </c>
      <c r="Q877" t="s">
        <v>2601</v>
      </c>
    </row>
    <row r="878" spans="1:17" ht="15.75" hidden="1" customHeight="1">
      <c r="A878" s="29" t="s">
        <v>2602</v>
      </c>
      <c r="B878" s="10" t="s">
        <v>464</v>
      </c>
      <c r="C878" s="12" t="s">
        <v>2603</v>
      </c>
      <c r="E878" s="10"/>
      <c r="F878" s="10" t="s">
        <v>466</v>
      </c>
      <c r="G878" s="10" t="s">
        <v>285</v>
      </c>
      <c r="H878" s="10"/>
      <c r="I878" s="10"/>
      <c r="L878" s="28">
        <v>8</v>
      </c>
      <c r="Q878" t="s">
        <v>2604</v>
      </c>
    </row>
    <row r="879" spans="1:17" ht="15.75" hidden="1" customHeight="1">
      <c r="A879" s="29" t="s">
        <v>2605</v>
      </c>
      <c r="B879" s="10" t="s">
        <v>464</v>
      </c>
      <c r="C879" s="12" t="s">
        <v>2606</v>
      </c>
      <c r="E879" s="10"/>
      <c r="F879" s="10" t="s">
        <v>466</v>
      </c>
      <c r="G879" s="10" t="s">
        <v>285</v>
      </c>
      <c r="H879" s="10"/>
      <c r="I879" s="10"/>
      <c r="L879" s="28">
        <v>10</v>
      </c>
      <c r="Q879" t="s">
        <v>2607</v>
      </c>
    </row>
    <row r="880" spans="1:17" ht="15.75" hidden="1" customHeight="1">
      <c r="A880" s="29" t="s">
        <v>2608</v>
      </c>
      <c r="B880" s="10" t="s">
        <v>464</v>
      </c>
      <c r="C880" s="13" t="s">
        <v>2609</v>
      </c>
      <c r="E880" s="10"/>
      <c r="F880" s="10" t="s">
        <v>2477</v>
      </c>
      <c r="G880" s="10" t="s">
        <v>285</v>
      </c>
      <c r="H880" s="10"/>
      <c r="I880" s="10"/>
      <c r="L880" s="28">
        <v>28</v>
      </c>
      <c r="Q880" t="s">
        <v>2610</v>
      </c>
    </row>
    <row r="881" spans="1:17" ht="15.75" hidden="1" customHeight="1">
      <c r="A881" s="29" t="s">
        <v>2611</v>
      </c>
      <c r="B881" s="10" t="s">
        <v>464</v>
      </c>
      <c r="C881" s="13" t="s">
        <v>2612</v>
      </c>
      <c r="E881" s="10"/>
      <c r="F881" s="10" t="s">
        <v>2477</v>
      </c>
      <c r="G881" s="10" t="s">
        <v>285</v>
      </c>
      <c r="H881" s="10"/>
      <c r="I881" s="10"/>
      <c r="L881" s="28">
        <v>8</v>
      </c>
      <c r="Q881" t="s">
        <v>2613</v>
      </c>
    </row>
    <row r="882" spans="1:17" ht="15.75" hidden="1" customHeight="1">
      <c r="A882" s="29" t="s">
        <v>2614</v>
      </c>
      <c r="B882" s="10" t="s">
        <v>464</v>
      </c>
      <c r="C882" s="13" t="s">
        <v>2615</v>
      </c>
      <c r="E882" s="10"/>
      <c r="F882" s="10" t="s">
        <v>2477</v>
      </c>
      <c r="G882" s="10" t="s">
        <v>285</v>
      </c>
      <c r="H882" s="10"/>
      <c r="I882" s="10"/>
      <c r="L882" s="28">
        <v>12</v>
      </c>
      <c r="Q882" t="s">
        <v>2616</v>
      </c>
    </row>
    <row r="883" spans="1:17" ht="15.75" hidden="1" customHeight="1">
      <c r="A883" s="29" t="s">
        <v>2617</v>
      </c>
      <c r="B883" s="10" t="s">
        <v>464</v>
      </c>
      <c r="C883" s="8" t="s">
        <v>2618</v>
      </c>
      <c r="E883" s="10"/>
      <c r="F883" s="10" t="s">
        <v>2477</v>
      </c>
      <c r="G883" s="10" t="s">
        <v>285</v>
      </c>
      <c r="H883" s="10"/>
      <c r="I883" s="10"/>
      <c r="L883" s="28">
        <v>16</v>
      </c>
      <c r="Q883" t="s">
        <v>2619</v>
      </c>
    </row>
    <row r="884" spans="1:17" ht="15.75" hidden="1" customHeight="1">
      <c r="A884" s="29" t="s">
        <v>2620</v>
      </c>
      <c r="B884" s="10" t="s">
        <v>464</v>
      </c>
      <c r="C884" s="13" t="s">
        <v>2621</v>
      </c>
      <c r="E884" s="10"/>
      <c r="F884" s="10" t="s">
        <v>1168</v>
      </c>
      <c r="G884" s="10" t="s">
        <v>285</v>
      </c>
      <c r="H884" s="10"/>
      <c r="I884" s="10"/>
      <c r="L884" s="28">
        <v>2</v>
      </c>
      <c r="Q884" t="s">
        <v>2622</v>
      </c>
    </row>
    <row r="885" spans="1:17" ht="15.75" hidden="1" customHeight="1">
      <c r="A885" s="29" t="s">
        <v>2623</v>
      </c>
      <c r="B885" s="10" t="s">
        <v>464</v>
      </c>
      <c r="C885" s="12" t="s">
        <v>2624</v>
      </c>
      <c r="E885" s="10"/>
      <c r="F885" s="10" t="s">
        <v>2477</v>
      </c>
      <c r="G885" s="10" t="s">
        <v>285</v>
      </c>
      <c r="H885" s="10"/>
      <c r="I885" s="10"/>
      <c r="L885" s="28">
        <v>2</v>
      </c>
      <c r="Q885" t="s">
        <v>2622</v>
      </c>
    </row>
    <row r="886" spans="1:17" ht="15.75" hidden="1" customHeight="1">
      <c r="A886" s="29" t="s">
        <v>2625</v>
      </c>
      <c r="B886" s="10" t="s">
        <v>464</v>
      </c>
      <c r="C886" s="20" t="s">
        <v>2626</v>
      </c>
      <c r="E886" s="10"/>
      <c r="F886" s="10" t="s">
        <v>2477</v>
      </c>
      <c r="G886" s="10" t="s">
        <v>285</v>
      </c>
      <c r="H886" s="10"/>
      <c r="I886" s="10"/>
      <c r="L886" s="28">
        <v>2</v>
      </c>
      <c r="Q886" t="s">
        <v>2622</v>
      </c>
    </row>
    <row r="887" spans="1:17" ht="15.75" customHeight="1">
      <c r="A887" s="29" t="s">
        <v>2627</v>
      </c>
      <c r="B887" s="10" t="s">
        <v>464</v>
      </c>
      <c r="C887" s="20" t="s">
        <v>2628</v>
      </c>
      <c r="E887" s="10"/>
      <c r="F887" s="10" t="s">
        <v>1168</v>
      </c>
      <c r="G887" s="10" t="s">
        <v>285</v>
      </c>
      <c r="H887" s="10"/>
      <c r="I887" s="10"/>
      <c r="L887" s="28">
        <v>2</v>
      </c>
      <c r="Q887" t="s">
        <v>2622</v>
      </c>
    </row>
    <row r="888" spans="1:17" ht="15.75" customHeight="1">
      <c r="A888" s="29" t="s">
        <v>2629</v>
      </c>
      <c r="B888" s="10" t="s">
        <v>464</v>
      </c>
      <c r="C888" s="20" t="s">
        <v>2630</v>
      </c>
      <c r="E888" s="10"/>
      <c r="F888" s="10" t="s">
        <v>2477</v>
      </c>
      <c r="G888" s="10" t="s">
        <v>285</v>
      </c>
      <c r="L888" s="28">
        <v>2</v>
      </c>
      <c r="Q888" t="s">
        <v>2622</v>
      </c>
    </row>
    <row r="889" spans="1:17" ht="15.75" customHeight="1">
      <c r="A889" s="29" t="s">
        <v>2631</v>
      </c>
      <c r="B889" s="10" t="s">
        <v>464</v>
      </c>
      <c r="C889" s="20" t="s">
        <v>2632</v>
      </c>
      <c r="E889" s="10"/>
      <c r="F889" s="10" t="s">
        <v>2477</v>
      </c>
      <c r="G889" s="10" t="s">
        <v>285</v>
      </c>
      <c r="L889" s="28">
        <v>2</v>
      </c>
      <c r="Q889" t="s">
        <v>2622</v>
      </c>
    </row>
    <row r="890" spans="1:17" ht="15.75" customHeight="1">
      <c r="A890" s="29" t="s">
        <v>2633</v>
      </c>
      <c r="B890" s="10" t="s">
        <v>464</v>
      </c>
      <c r="C890" s="13" t="s">
        <v>2634</v>
      </c>
      <c r="E890" s="10"/>
      <c r="F890" s="10" t="s">
        <v>2477</v>
      </c>
      <c r="G890" s="10" t="s">
        <v>285</v>
      </c>
      <c r="L890" s="28">
        <v>2</v>
      </c>
      <c r="Q890" t="s">
        <v>2622</v>
      </c>
    </row>
    <row r="891" spans="1:17" ht="15.75" customHeight="1">
      <c r="A891" s="29" t="s">
        <v>2635</v>
      </c>
      <c r="B891" s="10" t="s">
        <v>464</v>
      </c>
      <c r="C891" s="12" t="s">
        <v>2636</v>
      </c>
      <c r="E891" s="10"/>
      <c r="F891" s="10" t="s">
        <v>1088</v>
      </c>
      <c r="G891" s="10" t="s">
        <v>285</v>
      </c>
      <c r="L891" s="28">
        <v>30</v>
      </c>
      <c r="Q891" t="s">
        <v>2637</v>
      </c>
    </row>
    <row r="892" spans="1:17" ht="15.75" customHeight="1">
      <c r="A892" s="29" t="s">
        <v>2638</v>
      </c>
      <c r="B892" s="10" t="s">
        <v>464</v>
      </c>
      <c r="C892" s="12" t="s">
        <v>2639</v>
      </c>
      <c r="E892" s="10"/>
      <c r="F892" s="10" t="s">
        <v>1088</v>
      </c>
      <c r="G892" s="10" t="s">
        <v>285</v>
      </c>
      <c r="L892" s="28">
        <v>40</v>
      </c>
      <c r="Q892" t="s">
        <v>2640</v>
      </c>
    </row>
    <row r="893" spans="1:17" ht="15.75" customHeight="1">
      <c r="A893" s="29" t="s">
        <v>2641</v>
      </c>
      <c r="B893" s="10" t="s">
        <v>464</v>
      </c>
      <c r="C893" s="13" t="s">
        <v>2642</v>
      </c>
      <c r="E893" s="10"/>
      <c r="F893" s="10" t="s">
        <v>1088</v>
      </c>
      <c r="G893" s="10" t="s">
        <v>285</v>
      </c>
      <c r="L893" s="28">
        <v>2</v>
      </c>
      <c r="Q893" t="s">
        <v>2643</v>
      </c>
    </row>
    <row r="894" spans="1:17" ht="15.75" customHeight="1">
      <c r="A894" s="29" t="s">
        <v>2644</v>
      </c>
      <c r="B894" s="10" t="s">
        <v>464</v>
      </c>
      <c r="C894" s="13" t="s">
        <v>2645</v>
      </c>
      <c r="E894" s="10"/>
      <c r="F894" s="10" t="s">
        <v>1088</v>
      </c>
      <c r="G894" s="10" t="s">
        <v>285</v>
      </c>
      <c r="L894" s="28">
        <v>2</v>
      </c>
      <c r="Q894" t="s">
        <v>2646</v>
      </c>
    </row>
    <row r="895" spans="1:17" ht="15.75" customHeight="1">
      <c r="A895" s="29" t="s">
        <v>2647</v>
      </c>
      <c r="B895" s="10" t="s">
        <v>464</v>
      </c>
      <c r="C895" s="13" t="s">
        <v>2648</v>
      </c>
      <c r="E895" s="10"/>
      <c r="F895" s="10" t="s">
        <v>1088</v>
      </c>
      <c r="G895" s="10" t="s">
        <v>285</v>
      </c>
      <c r="L895" s="28">
        <v>4</v>
      </c>
      <c r="Q895" t="s">
        <v>2649</v>
      </c>
    </row>
    <row r="896" spans="1:17" ht="15.75" customHeight="1">
      <c r="A896" s="29" t="s">
        <v>2650</v>
      </c>
      <c r="B896" s="10" t="s">
        <v>464</v>
      </c>
      <c r="C896" s="13" t="s">
        <v>2651</v>
      </c>
      <c r="E896" s="10"/>
      <c r="F896" s="10" t="s">
        <v>2477</v>
      </c>
      <c r="G896" s="10" t="s">
        <v>285</v>
      </c>
      <c r="L896" s="28">
        <v>60</v>
      </c>
      <c r="Q896" t="s">
        <v>2652</v>
      </c>
    </row>
    <row r="897" spans="1:17" ht="15.75" customHeight="1">
      <c r="A897" s="29" t="s">
        <v>2653</v>
      </c>
      <c r="B897" s="10" t="s">
        <v>464</v>
      </c>
      <c r="C897" s="8" t="s">
        <v>2654</v>
      </c>
      <c r="E897" s="10"/>
      <c r="F897" s="10" t="s">
        <v>1092</v>
      </c>
      <c r="G897" s="10" t="s">
        <v>285</v>
      </c>
      <c r="L897" s="28">
        <v>2</v>
      </c>
      <c r="Q897" t="s">
        <v>2655</v>
      </c>
    </row>
    <row r="898" spans="1:17" ht="15.75" hidden="1" customHeight="1">
      <c r="A898" s="29" t="s">
        <v>2656</v>
      </c>
      <c r="B898" s="10" t="s">
        <v>464</v>
      </c>
      <c r="C898" s="12" t="s">
        <v>2657</v>
      </c>
      <c r="E898" s="10"/>
      <c r="F898" s="10" t="s">
        <v>1092</v>
      </c>
      <c r="G898" s="10" t="s">
        <v>285</v>
      </c>
      <c r="L898" s="28">
        <v>3</v>
      </c>
      <c r="Q898" t="s">
        <v>2658</v>
      </c>
    </row>
    <row r="899" spans="1:17" ht="15.75" hidden="1" customHeight="1">
      <c r="A899" s="29" t="s">
        <v>2659</v>
      </c>
      <c r="B899" s="10" t="s">
        <v>464</v>
      </c>
      <c r="C899" s="12" t="s">
        <v>2660</v>
      </c>
      <c r="E899" s="10"/>
      <c r="F899" s="10" t="s">
        <v>1092</v>
      </c>
      <c r="G899" s="10" t="s">
        <v>285</v>
      </c>
      <c r="L899" s="28">
        <v>5</v>
      </c>
      <c r="Q899" t="s">
        <v>2661</v>
      </c>
    </row>
    <row r="900" spans="1:17" ht="15.75" hidden="1" customHeight="1">
      <c r="A900" s="29" t="s">
        <v>2662</v>
      </c>
      <c r="B900" s="10" t="s">
        <v>464</v>
      </c>
      <c r="C900" s="18" t="s">
        <v>604</v>
      </c>
      <c r="E900" s="10"/>
      <c r="F900" s="10" t="s">
        <v>1168</v>
      </c>
      <c r="G900" s="10" t="s">
        <v>285</v>
      </c>
      <c r="L900" s="28">
        <v>2</v>
      </c>
      <c r="Q900" t="s">
        <v>2663</v>
      </c>
    </row>
    <row r="901" spans="1:17" ht="15.75" hidden="1" customHeight="1">
      <c r="A901" s="29" t="s">
        <v>2664</v>
      </c>
      <c r="B901" s="10" t="s">
        <v>464</v>
      </c>
      <c r="C901" s="18" t="s">
        <v>607</v>
      </c>
      <c r="E901" s="10"/>
      <c r="F901" s="10" t="s">
        <v>1168</v>
      </c>
      <c r="G901" s="10" t="s">
        <v>285</v>
      </c>
      <c r="L901" s="28">
        <v>2</v>
      </c>
      <c r="Q901" t="s">
        <v>2665</v>
      </c>
    </row>
    <row r="902" spans="1:17" ht="15.75" hidden="1" customHeight="1">
      <c r="A902" s="29" t="s">
        <v>2666</v>
      </c>
      <c r="B902" s="10" t="s">
        <v>464</v>
      </c>
      <c r="C902" s="18" t="s">
        <v>610</v>
      </c>
      <c r="E902" s="10"/>
      <c r="F902" s="10" t="s">
        <v>1168</v>
      </c>
      <c r="G902" s="10" t="s">
        <v>285</v>
      </c>
      <c r="L902" s="28">
        <v>2</v>
      </c>
      <c r="Q902" t="s">
        <v>2667</v>
      </c>
    </row>
    <row r="903" spans="1:17" ht="15.75" customHeight="1">
      <c r="A903" s="29" t="s">
        <v>2668</v>
      </c>
      <c r="B903" s="10" t="s">
        <v>464</v>
      </c>
      <c r="C903" s="18" t="s">
        <v>613</v>
      </c>
      <c r="E903" s="10"/>
      <c r="F903" s="10" t="s">
        <v>1168</v>
      </c>
      <c r="G903" s="10" t="s">
        <v>285</v>
      </c>
      <c r="L903" s="28">
        <v>2</v>
      </c>
      <c r="Q903" t="s">
        <v>2669</v>
      </c>
    </row>
    <row r="904" spans="1:17" ht="15.75" hidden="1" customHeight="1">
      <c r="A904" s="29" t="s">
        <v>2670</v>
      </c>
      <c r="B904" s="10" t="s">
        <v>464</v>
      </c>
      <c r="C904" s="18" t="s">
        <v>616</v>
      </c>
      <c r="E904" s="10"/>
      <c r="F904" s="10" t="s">
        <v>1168</v>
      </c>
      <c r="G904" s="10" t="s">
        <v>285</v>
      </c>
      <c r="L904" s="28">
        <v>2</v>
      </c>
      <c r="Q904" t="s">
        <v>2671</v>
      </c>
    </row>
    <row r="905" spans="1:17" ht="15.75" hidden="1" customHeight="1">
      <c r="A905" s="29" t="s">
        <v>2672</v>
      </c>
      <c r="B905" s="10" t="s">
        <v>464</v>
      </c>
      <c r="C905" s="18" t="s">
        <v>619</v>
      </c>
      <c r="E905" s="10"/>
      <c r="F905" s="10" t="s">
        <v>1168</v>
      </c>
      <c r="G905" s="10" t="s">
        <v>285</v>
      </c>
      <c r="L905" s="28">
        <v>2</v>
      </c>
      <c r="Q905" t="s">
        <v>2673</v>
      </c>
    </row>
    <row r="906" spans="1:17" ht="15.75" hidden="1" customHeight="1">
      <c r="A906" s="29" t="s">
        <v>2674</v>
      </c>
      <c r="B906" s="10" t="s">
        <v>464</v>
      </c>
      <c r="C906" s="18" t="s">
        <v>622</v>
      </c>
      <c r="E906" s="10"/>
      <c r="F906" s="10" t="s">
        <v>1168</v>
      </c>
      <c r="G906" s="10" t="s">
        <v>285</v>
      </c>
      <c r="L906" s="28">
        <v>2</v>
      </c>
      <c r="Q906" t="s">
        <v>2675</v>
      </c>
    </row>
    <row r="907" spans="1:17" ht="15.75" hidden="1" customHeight="1">
      <c r="A907" s="29" t="s">
        <v>2676</v>
      </c>
      <c r="B907" s="10" t="s">
        <v>464</v>
      </c>
      <c r="C907" s="18" t="s">
        <v>627</v>
      </c>
      <c r="E907" s="10"/>
      <c r="F907" s="10" t="s">
        <v>1168</v>
      </c>
      <c r="G907" s="10" t="s">
        <v>285</v>
      </c>
      <c r="L907" s="28">
        <v>2</v>
      </c>
      <c r="Q907" t="s">
        <v>2677</v>
      </c>
    </row>
    <row r="908" spans="1:17" ht="15.75" hidden="1" customHeight="1">
      <c r="A908" s="29" t="s">
        <v>2678</v>
      </c>
      <c r="B908" s="10" t="s">
        <v>464</v>
      </c>
      <c r="C908" s="18" t="s">
        <v>2679</v>
      </c>
      <c r="E908" s="10"/>
      <c r="F908" s="10" t="s">
        <v>1168</v>
      </c>
      <c r="G908" s="10" t="s">
        <v>285</v>
      </c>
      <c r="L908" s="28">
        <v>20</v>
      </c>
      <c r="Q908" t="s">
        <v>2680</v>
      </c>
    </row>
    <row r="909" spans="1:17" ht="15.75" hidden="1" customHeight="1">
      <c r="A909" s="29" t="s">
        <v>2681</v>
      </c>
      <c r="B909" s="10" t="s">
        <v>464</v>
      </c>
      <c r="C909" s="13" t="s">
        <v>2682</v>
      </c>
      <c r="E909" s="10"/>
      <c r="F909" s="10" t="s">
        <v>1092</v>
      </c>
      <c r="G909" s="10" t="s">
        <v>285</v>
      </c>
      <c r="L909" s="28">
        <v>2</v>
      </c>
      <c r="Q909" t="s">
        <v>2683</v>
      </c>
    </row>
    <row r="910" spans="1:17" ht="15.75" hidden="1" customHeight="1">
      <c r="A910" s="29" t="s">
        <v>2684</v>
      </c>
      <c r="B910" s="10" t="s">
        <v>464</v>
      </c>
      <c r="C910" s="13" t="s">
        <v>2685</v>
      </c>
      <c r="E910" s="10"/>
      <c r="F910" s="10" t="s">
        <v>1092</v>
      </c>
      <c r="G910" s="10" t="s">
        <v>285</v>
      </c>
      <c r="L910" s="28">
        <v>2</v>
      </c>
      <c r="Q910" t="s">
        <v>2686</v>
      </c>
    </row>
    <row r="911" spans="1:17" ht="15.75" hidden="1" customHeight="1">
      <c r="A911" s="29" t="s">
        <v>2687</v>
      </c>
      <c r="B911" s="10" t="s">
        <v>464</v>
      </c>
      <c r="C911" s="13" t="s">
        <v>2688</v>
      </c>
      <c r="E911" s="10"/>
      <c r="F911" s="10" t="s">
        <v>1092</v>
      </c>
      <c r="G911" s="10" t="s">
        <v>285</v>
      </c>
      <c r="L911" s="28">
        <v>2</v>
      </c>
      <c r="Q911" t="s">
        <v>2689</v>
      </c>
    </row>
    <row r="912" spans="1:17" ht="15.75" hidden="1" customHeight="1">
      <c r="A912" s="29" t="s">
        <v>2690</v>
      </c>
      <c r="B912" s="10" t="s">
        <v>464</v>
      </c>
      <c r="C912" s="13" t="s">
        <v>2691</v>
      </c>
      <c r="E912" s="10"/>
      <c r="F912" s="10" t="s">
        <v>1092</v>
      </c>
      <c r="G912" s="10" t="s">
        <v>285</v>
      </c>
      <c r="L912" s="28">
        <v>10</v>
      </c>
      <c r="Q912" t="s">
        <v>2692</v>
      </c>
    </row>
    <row r="913" spans="1:17" ht="15.75" hidden="1" customHeight="1">
      <c r="A913" s="29" t="s">
        <v>2693</v>
      </c>
      <c r="B913" s="10" t="s">
        <v>464</v>
      </c>
      <c r="C913" s="13" t="s">
        <v>2694</v>
      </c>
      <c r="E913" s="10"/>
      <c r="F913" s="10" t="s">
        <v>1092</v>
      </c>
      <c r="G913" s="10" t="s">
        <v>285</v>
      </c>
      <c r="L913" s="28">
        <v>13</v>
      </c>
      <c r="Q913" t="s">
        <v>2695</v>
      </c>
    </row>
    <row r="914" spans="1:17" ht="15.75" hidden="1" customHeight="1">
      <c r="A914" s="29" t="s">
        <v>2696</v>
      </c>
      <c r="B914" s="10" t="s">
        <v>464</v>
      </c>
      <c r="C914" s="13" t="s">
        <v>2697</v>
      </c>
      <c r="E914" s="10"/>
      <c r="F914" s="10" t="s">
        <v>1092</v>
      </c>
      <c r="G914" s="10" t="s">
        <v>285</v>
      </c>
      <c r="L914" s="28">
        <v>1</v>
      </c>
      <c r="Q914" t="s">
        <v>2698</v>
      </c>
    </row>
    <row r="915" spans="1:17" ht="15.75" hidden="1" customHeight="1">
      <c r="A915" s="29" t="s">
        <v>2699</v>
      </c>
      <c r="B915" s="10" t="s">
        <v>464</v>
      </c>
      <c r="C915" s="12" t="s">
        <v>2700</v>
      </c>
      <c r="E915" s="10"/>
      <c r="F915" s="10" t="s">
        <v>1092</v>
      </c>
      <c r="G915" s="10" t="s">
        <v>285</v>
      </c>
      <c r="L915" s="28">
        <v>1</v>
      </c>
      <c r="Q915" t="s">
        <v>2701</v>
      </c>
    </row>
    <row r="916" spans="1:17" ht="15.75" hidden="1" customHeight="1">
      <c r="A916" s="29" t="s">
        <v>2702</v>
      </c>
      <c r="B916" s="10" t="s">
        <v>464</v>
      </c>
      <c r="C916" s="12" t="s">
        <v>2703</v>
      </c>
      <c r="E916" s="10"/>
      <c r="F916" s="10" t="s">
        <v>1092</v>
      </c>
      <c r="G916" s="10" t="s">
        <v>285</v>
      </c>
      <c r="L916" s="28">
        <v>1</v>
      </c>
      <c r="Q916" t="s">
        <v>2704</v>
      </c>
    </row>
    <row r="917" spans="1:17" ht="15.75" hidden="1" customHeight="1">
      <c r="A917" s="29" t="s">
        <v>2705</v>
      </c>
      <c r="B917" s="10" t="s">
        <v>464</v>
      </c>
      <c r="C917" s="12" t="s">
        <v>2706</v>
      </c>
      <c r="E917" s="10"/>
      <c r="F917" s="10" t="s">
        <v>1092</v>
      </c>
      <c r="G917" s="10" t="s">
        <v>285</v>
      </c>
      <c r="L917" s="28">
        <v>2</v>
      </c>
      <c r="Q917" t="s">
        <v>2707</v>
      </c>
    </row>
    <row r="918" spans="1:17" ht="15.75" hidden="1" customHeight="1">
      <c r="A918" s="29" t="s">
        <v>2708</v>
      </c>
      <c r="B918" s="10" t="s">
        <v>464</v>
      </c>
      <c r="C918" s="13" t="s">
        <v>2709</v>
      </c>
      <c r="E918" s="10"/>
      <c r="F918" s="10" t="s">
        <v>1088</v>
      </c>
      <c r="G918" s="10" t="s">
        <v>285</v>
      </c>
      <c r="L918" s="28">
        <v>20</v>
      </c>
      <c r="Q918" t="s">
        <v>2710</v>
      </c>
    </row>
    <row r="919" spans="1:17" ht="15.75" hidden="1" customHeight="1">
      <c r="A919" s="29" t="s">
        <v>2711</v>
      </c>
      <c r="B919" s="10" t="s">
        <v>464</v>
      </c>
      <c r="C919" s="18" t="s">
        <v>2712</v>
      </c>
      <c r="E919" s="10"/>
      <c r="F919" s="10" t="s">
        <v>1168</v>
      </c>
      <c r="G919" s="10" t="s">
        <v>285</v>
      </c>
      <c r="L919" s="28">
        <v>40</v>
      </c>
      <c r="Q919" t="s">
        <v>2713</v>
      </c>
    </row>
    <row r="920" spans="1:17" ht="15.75" hidden="1" customHeight="1">
      <c r="A920" s="29" t="s">
        <v>2714</v>
      </c>
      <c r="B920" s="10" t="s">
        <v>464</v>
      </c>
      <c r="C920" s="18" t="s">
        <v>2715</v>
      </c>
      <c r="E920" s="10"/>
      <c r="F920" s="10" t="s">
        <v>1168</v>
      </c>
      <c r="G920" s="10" t="s">
        <v>285</v>
      </c>
      <c r="L920" s="28">
        <v>20</v>
      </c>
      <c r="Q920" t="s">
        <v>2716</v>
      </c>
    </row>
    <row r="921" spans="1:17" ht="15.75" hidden="1" customHeight="1">
      <c r="A921" s="29" t="s">
        <v>2717</v>
      </c>
      <c r="B921" s="10" t="s">
        <v>464</v>
      </c>
      <c r="C921" s="12" t="s">
        <v>2718</v>
      </c>
      <c r="E921" s="10"/>
      <c r="F921" s="10" t="s">
        <v>466</v>
      </c>
      <c r="G921" s="10" t="s">
        <v>285</v>
      </c>
      <c r="L921" s="28">
        <v>36</v>
      </c>
      <c r="Q921" t="s">
        <v>2719</v>
      </c>
    </row>
    <row r="922" spans="1:17" ht="15.75" hidden="1" customHeight="1">
      <c r="A922" s="29" t="s">
        <v>2720</v>
      </c>
      <c r="B922" s="10" t="s">
        <v>464</v>
      </c>
      <c r="C922" s="13" t="s">
        <v>2721</v>
      </c>
      <c r="E922" s="10"/>
      <c r="F922" s="10" t="s">
        <v>2477</v>
      </c>
      <c r="G922" s="10" t="s">
        <v>285</v>
      </c>
      <c r="L922" s="28">
        <v>34</v>
      </c>
      <c r="Q922" t="s">
        <v>2722</v>
      </c>
    </row>
    <row r="923" spans="1:17" ht="15.75" hidden="1" customHeight="1">
      <c r="B923" s="10"/>
      <c r="C923" s="18"/>
      <c r="E923" s="10"/>
      <c r="F923" s="10"/>
      <c r="G923" s="10"/>
      <c r="L923" s="28"/>
    </row>
    <row r="924" spans="1:17" ht="15.75" hidden="1" customHeight="1">
      <c r="A924" s="29" t="s">
        <v>2723</v>
      </c>
      <c r="B924" s="10" t="s">
        <v>464</v>
      </c>
      <c r="C924" s="13" t="s">
        <v>2724</v>
      </c>
      <c r="E924" s="10"/>
      <c r="F924" s="10" t="s">
        <v>2477</v>
      </c>
      <c r="G924" s="10" t="s">
        <v>285</v>
      </c>
      <c r="L924" s="28">
        <v>2</v>
      </c>
      <c r="Q924" t="s">
        <v>2725</v>
      </c>
    </row>
    <row r="925" spans="1:17" ht="15.75" hidden="1" customHeight="1">
      <c r="A925" s="29" t="s">
        <v>2726</v>
      </c>
      <c r="B925" s="10" t="s">
        <v>464</v>
      </c>
      <c r="C925" s="13" t="s">
        <v>2727</v>
      </c>
      <c r="E925" s="10"/>
      <c r="F925" s="10" t="s">
        <v>2477</v>
      </c>
      <c r="G925" s="10" t="s">
        <v>285</v>
      </c>
      <c r="L925" s="28">
        <v>2</v>
      </c>
      <c r="Q925" t="s">
        <v>2728</v>
      </c>
    </row>
    <row r="926" spans="1:17" ht="15.75" hidden="1" customHeight="1">
      <c r="A926" s="29" t="s">
        <v>2729</v>
      </c>
      <c r="B926" s="10" t="s">
        <v>464</v>
      </c>
      <c r="C926" s="13" t="s">
        <v>2730</v>
      </c>
      <c r="E926" s="10"/>
      <c r="F926" s="10" t="s">
        <v>2477</v>
      </c>
      <c r="G926" s="10" t="s">
        <v>285</v>
      </c>
      <c r="L926" s="28">
        <v>2</v>
      </c>
      <c r="Q926" t="s">
        <v>2731</v>
      </c>
    </row>
    <row r="927" spans="1:17" ht="15.75" hidden="1" customHeight="1">
      <c r="A927" s="29" t="s">
        <v>2732</v>
      </c>
      <c r="B927" s="10" t="s">
        <v>464</v>
      </c>
      <c r="C927" s="13" t="s">
        <v>2733</v>
      </c>
      <c r="E927" s="10"/>
      <c r="F927" s="10" t="s">
        <v>2734</v>
      </c>
      <c r="G927" s="10" t="s">
        <v>285</v>
      </c>
      <c r="L927" s="28">
        <v>14</v>
      </c>
      <c r="Q927" t="s">
        <v>2735</v>
      </c>
    </row>
    <row r="928" spans="1:17" ht="15.75" hidden="1" customHeight="1">
      <c r="A928" s="29" t="s">
        <v>2736</v>
      </c>
      <c r="B928" s="10" t="s">
        <v>464</v>
      </c>
      <c r="C928" s="13" t="s">
        <v>2737</v>
      </c>
      <c r="E928" s="10"/>
      <c r="F928" s="10" t="s">
        <v>2734</v>
      </c>
      <c r="G928" s="10" t="s">
        <v>285</v>
      </c>
      <c r="L928" s="28">
        <v>22</v>
      </c>
      <c r="Q928" t="s">
        <v>2738</v>
      </c>
    </row>
    <row r="929" spans="1:17" ht="15.75" customHeight="1">
      <c r="A929" s="29" t="s">
        <v>2739</v>
      </c>
      <c r="B929" s="10" t="s">
        <v>464</v>
      </c>
      <c r="C929" s="13" t="s">
        <v>2740</v>
      </c>
      <c r="E929" s="10"/>
      <c r="F929" s="10" t="s">
        <v>2734</v>
      </c>
      <c r="G929" s="10" t="s">
        <v>285</v>
      </c>
      <c r="L929" s="28">
        <v>1</v>
      </c>
      <c r="Q929" t="s">
        <v>2741</v>
      </c>
    </row>
    <row r="930" spans="1:17" ht="15.75" hidden="1" customHeight="1">
      <c r="A930" s="29" t="s">
        <v>2742</v>
      </c>
      <c r="B930" s="10" t="s">
        <v>464</v>
      </c>
      <c r="C930" s="13" t="s">
        <v>2743</v>
      </c>
      <c r="E930" s="10"/>
      <c r="F930" s="10" t="s">
        <v>2734</v>
      </c>
      <c r="G930" s="10" t="s">
        <v>285</v>
      </c>
      <c r="L930" s="28">
        <v>6</v>
      </c>
      <c r="Q930" t="s">
        <v>2744</v>
      </c>
    </row>
    <row r="931" spans="1:17" ht="15.75" customHeight="1">
      <c r="A931" s="29" t="s">
        <v>2745</v>
      </c>
      <c r="B931" s="10" t="s">
        <v>464</v>
      </c>
      <c r="C931" s="19" t="s">
        <v>2746</v>
      </c>
      <c r="D931" s="10"/>
      <c r="E931" s="10"/>
      <c r="F931" s="10" t="s">
        <v>2734</v>
      </c>
      <c r="G931" s="10" t="s">
        <v>285</v>
      </c>
      <c r="L931" s="28">
        <v>12</v>
      </c>
      <c r="Q931" t="s">
        <v>2747</v>
      </c>
    </row>
    <row r="932" spans="1:17" ht="15.75" customHeight="1">
      <c r="A932" s="29" t="s">
        <v>2748</v>
      </c>
      <c r="B932" s="10" t="s">
        <v>464</v>
      </c>
      <c r="C932" s="13" t="s">
        <v>2749</v>
      </c>
      <c r="E932" s="10"/>
      <c r="F932" s="10" t="s">
        <v>2477</v>
      </c>
      <c r="G932" s="10" t="s">
        <v>285</v>
      </c>
      <c r="L932" s="28">
        <v>2</v>
      </c>
      <c r="Q932" t="s">
        <v>2750</v>
      </c>
    </row>
    <row r="933" spans="1:17" ht="15.75" customHeight="1">
      <c r="A933" s="29" t="s">
        <v>2751</v>
      </c>
      <c r="B933" s="10" t="s">
        <v>464</v>
      </c>
      <c r="C933" s="13" t="s">
        <v>2752</v>
      </c>
      <c r="E933" s="10"/>
      <c r="F933" s="10" t="s">
        <v>2477</v>
      </c>
      <c r="G933" s="10" t="s">
        <v>285</v>
      </c>
      <c r="L933" s="28">
        <v>14</v>
      </c>
      <c r="Q933" t="s">
        <v>2753</v>
      </c>
    </row>
    <row r="934" spans="1:17" ht="15.75" hidden="1" customHeight="1">
      <c r="A934" s="29" t="s">
        <v>2754</v>
      </c>
      <c r="B934" s="10" t="s">
        <v>464</v>
      </c>
      <c r="C934" s="13" t="s">
        <v>2755</v>
      </c>
      <c r="E934" s="10"/>
      <c r="F934" s="10" t="s">
        <v>2477</v>
      </c>
      <c r="G934" s="10" t="s">
        <v>285</v>
      </c>
      <c r="L934" s="28">
        <v>16</v>
      </c>
      <c r="Q934" t="s">
        <v>2756</v>
      </c>
    </row>
    <row r="935" spans="1:17" ht="15.75" hidden="1" customHeight="1">
      <c r="A935" s="29" t="s">
        <v>2757</v>
      </c>
      <c r="B935" s="10" t="s">
        <v>464</v>
      </c>
      <c r="C935" s="25" t="s">
        <v>2758</v>
      </c>
      <c r="E935" s="10"/>
      <c r="F935" s="10" t="s">
        <v>1168</v>
      </c>
      <c r="G935" s="10" t="s">
        <v>285</v>
      </c>
      <c r="L935" s="28">
        <v>20</v>
      </c>
      <c r="Q935" t="s">
        <v>2759</v>
      </c>
    </row>
    <row r="936" spans="1:17" ht="15.75" hidden="1" customHeight="1">
      <c r="A936" s="29" t="s">
        <v>2760</v>
      </c>
      <c r="B936" s="10" t="s">
        <v>464</v>
      </c>
      <c r="C936" s="13" t="s">
        <v>2761</v>
      </c>
      <c r="E936" s="10"/>
      <c r="F936" s="10" t="s">
        <v>1092</v>
      </c>
      <c r="G936" s="10" t="s">
        <v>285</v>
      </c>
      <c r="L936" s="28">
        <v>85</v>
      </c>
      <c r="Q936" t="s">
        <v>2762</v>
      </c>
    </row>
    <row r="937" spans="1:17" ht="15.75" hidden="1" customHeight="1">
      <c r="A937" s="29" t="s">
        <v>2763</v>
      </c>
      <c r="B937" s="10" t="s">
        <v>464</v>
      </c>
      <c r="C937" s="13" t="s">
        <v>2764</v>
      </c>
      <c r="E937" s="10"/>
      <c r="F937" s="10" t="s">
        <v>1092</v>
      </c>
      <c r="G937" s="10" t="s">
        <v>285</v>
      </c>
      <c r="L937" s="28">
        <v>43</v>
      </c>
      <c r="Q937" t="s">
        <v>2765</v>
      </c>
    </row>
    <row r="938" spans="1:17" ht="15.75" hidden="1" customHeight="1">
      <c r="A938" s="29" t="s">
        <v>2766</v>
      </c>
      <c r="B938" s="10" t="s">
        <v>464</v>
      </c>
      <c r="C938" s="13" t="s">
        <v>2767</v>
      </c>
      <c r="E938" s="10"/>
      <c r="F938" s="10" t="s">
        <v>1092</v>
      </c>
      <c r="G938" s="10" t="s">
        <v>285</v>
      </c>
      <c r="L938" s="28">
        <v>21</v>
      </c>
      <c r="Q938" t="s">
        <v>2768</v>
      </c>
    </row>
    <row r="939" spans="1:17" ht="15.75" customHeight="1">
      <c r="A939" s="29" t="s">
        <v>2769</v>
      </c>
      <c r="B939" s="10" t="s">
        <v>464</v>
      </c>
      <c r="C939" s="25" t="s">
        <v>2770</v>
      </c>
      <c r="E939" s="10"/>
      <c r="F939" s="10" t="s">
        <v>1168</v>
      </c>
      <c r="G939" s="10" t="s">
        <v>285</v>
      </c>
      <c r="L939" s="28">
        <v>6</v>
      </c>
      <c r="Q939" t="s">
        <v>2771</v>
      </c>
    </row>
    <row r="940" spans="1:17" ht="15.75" customHeight="1">
      <c r="A940" s="29" t="s">
        <v>2772</v>
      </c>
      <c r="B940" s="10" t="s">
        <v>464</v>
      </c>
      <c r="C940" s="25" t="s">
        <v>2773</v>
      </c>
      <c r="E940" s="10"/>
      <c r="F940" s="10" t="s">
        <v>1168</v>
      </c>
      <c r="G940" s="10" t="s">
        <v>285</v>
      </c>
      <c r="L940" s="28">
        <v>4</v>
      </c>
      <c r="Q940" t="s">
        <v>2774</v>
      </c>
    </row>
    <row r="941" spans="1:17" ht="15.75" customHeight="1">
      <c r="A941" s="29" t="s">
        <v>2775</v>
      </c>
      <c r="B941" s="10" t="s">
        <v>464</v>
      </c>
      <c r="C941" s="25" t="s">
        <v>2776</v>
      </c>
      <c r="E941" s="10"/>
      <c r="F941" s="10" t="s">
        <v>1168</v>
      </c>
      <c r="G941" s="10" t="s">
        <v>285</v>
      </c>
      <c r="L941" s="28">
        <v>6</v>
      </c>
      <c r="Q941" t="s">
        <v>2771</v>
      </c>
    </row>
    <row r="942" spans="1:17" ht="15.75" hidden="1" customHeight="1">
      <c r="A942" s="29" t="s">
        <v>2777</v>
      </c>
      <c r="B942" s="10" t="s">
        <v>464</v>
      </c>
      <c r="C942" s="25" t="s">
        <v>2778</v>
      </c>
      <c r="E942" s="10"/>
      <c r="F942" s="10" t="s">
        <v>1168</v>
      </c>
      <c r="G942" s="10" t="s">
        <v>285</v>
      </c>
      <c r="L942" s="28">
        <v>10</v>
      </c>
      <c r="Q942" t="s">
        <v>2771</v>
      </c>
    </row>
    <row r="943" spans="1:17" ht="15.75" hidden="1" customHeight="1">
      <c r="A943" s="29" t="s">
        <v>2779</v>
      </c>
      <c r="B943" s="10" t="s">
        <v>464</v>
      </c>
      <c r="C943" s="25" t="s">
        <v>2780</v>
      </c>
      <c r="E943" s="10"/>
      <c r="F943" s="10" t="s">
        <v>1168</v>
      </c>
      <c r="G943" s="10" t="s">
        <v>285</v>
      </c>
      <c r="L943" s="28">
        <v>6</v>
      </c>
      <c r="Q943" t="s">
        <v>2781</v>
      </c>
    </row>
    <row r="944" spans="1:17" ht="15.75" hidden="1" customHeight="1">
      <c r="A944" s="29" t="s">
        <v>2782</v>
      </c>
      <c r="B944" s="10" t="s">
        <v>464</v>
      </c>
      <c r="C944" s="13" t="s">
        <v>2783</v>
      </c>
      <c r="E944" s="10"/>
      <c r="F944" s="10" t="s">
        <v>2477</v>
      </c>
      <c r="G944" s="10" t="s">
        <v>285</v>
      </c>
      <c r="L944" s="28">
        <v>12</v>
      </c>
      <c r="Q944" t="s">
        <v>2784</v>
      </c>
    </row>
    <row r="945" spans="1:17" ht="15.75" hidden="1" customHeight="1">
      <c r="A945" s="29" t="s">
        <v>2785</v>
      </c>
      <c r="B945" s="10" t="s">
        <v>464</v>
      </c>
      <c r="C945" s="13" t="s">
        <v>2786</v>
      </c>
      <c r="E945" s="10"/>
      <c r="F945" s="10" t="s">
        <v>2477</v>
      </c>
      <c r="G945" s="10" t="s">
        <v>285</v>
      </c>
      <c r="L945" s="28">
        <v>12</v>
      </c>
      <c r="Q945" t="s">
        <v>2784</v>
      </c>
    </row>
    <row r="946" spans="1:17" ht="15.75" hidden="1" customHeight="1">
      <c r="A946" s="29" t="s">
        <v>2787</v>
      </c>
      <c r="B946" s="10" t="s">
        <v>464</v>
      </c>
      <c r="C946" s="13" t="s">
        <v>2788</v>
      </c>
      <c r="E946" s="10"/>
      <c r="F946" s="10" t="s">
        <v>2477</v>
      </c>
      <c r="G946" s="10" t="s">
        <v>285</v>
      </c>
      <c r="L946" s="28">
        <v>12</v>
      </c>
      <c r="Q946" t="s">
        <v>2784</v>
      </c>
    </row>
    <row r="947" spans="1:17" ht="15.75" hidden="1" customHeight="1">
      <c r="A947" s="29" t="s">
        <v>2789</v>
      </c>
      <c r="B947" s="10" t="s">
        <v>464</v>
      </c>
      <c r="C947" s="13" t="s">
        <v>2790</v>
      </c>
      <c r="E947" s="10"/>
      <c r="F947" s="10" t="s">
        <v>2477</v>
      </c>
      <c r="G947" s="10" t="s">
        <v>285</v>
      </c>
      <c r="L947" s="28">
        <v>12</v>
      </c>
      <c r="Q947" t="s">
        <v>2784</v>
      </c>
    </row>
    <row r="948" spans="1:17" ht="15.75" hidden="1" customHeight="1">
      <c r="A948" s="29" t="s">
        <v>2791</v>
      </c>
      <c r="B948" s="10" t="s">
        <v>464</v>
      </c>
      <c r="C948" s="20" t="s">
        <v>2792</v>
      </c>
      <c r="E948" s="10"/>
      <c r="F948" s="10" t="s">
        <v>2477</v>
      </c>
      <c r="G948" s="10" t="s">
        <v>285</v>
      </c>
      <c r="L948" s="28">
        <v>2</v>
      </c>
      <c r="Q948" t="s">
        <v>2793</v>
      </c>
    </row>
    <row r="949" spans="1:17" ht="15.75" hidden="1" customHeight="1">
      <c r="A949" s="29" t="s">
        <v>2794</v>
      </c>
      <c r="B949" s="10" t="s">
        <v>464</v>
      </c>
      <c r="C949" s="20" t="s">
        <v>2795</v>
      </c>
      <c r="E949" s="10"/>
      <c r="F949" s="10" t="s">
        <v>2477</v>
      </c>
      <c r="G949" s="10" t="s">
        <v>285</v>
      </c>
      <c r="L949" s="28">
        <v>3</v>
      </c>
      <c r="Q949" t="s">
        <v>2796</v>
      </c>
    </row>
    <row r="950" spans="1:17" ht="15.75" hidden="1" customHeight="1">
      <c r="A950" s="29" t="s">
        <v>2797</v>
      </c>
      <c r="B950" s="10" t="s">
        <v>464</v>
      </c>
      <c r="C950" s="20" t="s">
        <v>2798</v>
      </c>
      <c r="E950" s="10"/>
      <c r="F950" s="10" t="s">
        <v>2477</v>
      </c>
      <c r="G950" s="10" t="s">
        <v>285</v>
      </c>
      <c r="L950" s="28">
        <v>4</v>
      </c>
      <c r="Q950" t="s">
        <v>2799</v>
      </c>
    </row>
    <row r="951" spans="1:17" ht="15.75" customHeight="1">
      <c r="A951" s="29" t="s">
        <v>2800</v>
      </c>
      <c r="B951" s="10" t="s">
        <v>464</v>
      </c>
      <c r="C951" s="25" t="s">
        <v>2801</v>
      </c>
      <c r="E951" s="10"/>
      <c r="F951" s="10" t="s">
        <v>1168</v>
      </c>
      <c r="G951" s="10" t="s">
        <v>285</v>
      </c>
      <c r="L951" s="28">
        <v>20</v>
      </c>
      <c r="Q951" t="s">
        <v>2802</v>
      </c>
    </row>
    <row r="952" spans="1:17" ht="15.75" customHeight="1">
      <c r="A952" s="29" t="s">
        <v>2803</v>
      </c>
      <c r="B952" s="10" t="s">
        <v>464</v>
      </c>
      <c r="C952" s="25" t="s">
        <v>2804</v>
      </c>
      <c r="E952" s="10"/>
      <c r="F952" s="10" t="s">
        <v>1168</v>
      </c>
      <c r="G952" s="10" t="s">
        <v>285</v>
      </c>
      <c r="L952" s="28">
        <v>10</v>
      </c>
      <c r="Q952" t="s">
        <v>2805</v>
      </c>
    </row>
    <row r="953" spans="1:17" ht="15.75" customHeight="1">
      <c r="A953" s="29" t="s">
        <v>2806</v>
      </c>
      <c r="B953" s="10" t="s">
        <v>464</v>
      </c>
      <c r="C953" s="13" t="s">
        <v>2807</v>
      </c>
      <c r="E953" s="10"/>
      <c r="F953" s="10" t="s">
        <v>1092</v>
      </c>
      <c r="G953" s="10" t="s">
        <v>285</v>
      </c>
      <c r="L953" s="28">
        <v>16</v>
      </c>
      <c r="Q953" t="s">
        <v>2808</v>
      </c>
    </row>
    <row r="954" spans="1:17" ht="15.75" customHeight="1">
      <c r="A954" s="29" t="s">
        <v>2809</v>
      </c>
      <c r="B954" s="10" t="s">
        <v>464</v>
      </c>
      <c r="C954" s="12" t="s">
        <v>2810</v>
      </c>
      <c r="E954" s="10"/>
      <c r="F954" s="10" t="s">
        <v>1092</v>
      </c>
      <c r="G954" s="10" t="s">
        <v>285</v>
      </c>
      <c r="L954" s="28">
        <v>24</v>
      </c>
      <c r="Q954" t="s">
        <v>2811</v>
      </c>
    </row>
    <row r="955" spans="1:17" ht="15.75" customHeight="1">
      <c r="A955" s="29" t="s">
        <v>2812</v>
      </c>
      <c r="B955" s="10" t="s">
        <v>464</v>
      </c>
      <c r="C955" s="12" t="s">
        <v>2813</v>
      </c>
      <c r="E955" s="10"/>
      <c r="F955" s="10" t="s">
        <v>1092</v>
      </c>
      <c r="G955" s="10" t="s">
        <v>285</v>
      </c>
      <c r="L955" s="28">
        <v>7</v>
      </c>
      <c r="Q955" t="s">
        <v>2814</v>
      </c>
    </row>
    <row r="956" spans="1:17" ht="15.75" customHeight="1">
      <c r="A956" s="29" t="s">
        <v>2815</v>
      </c>
      <c r="B956" s="10" t="s">
        <v>464</v>
      </c>
      <c r="C956" s="13" t="s">
        <v>2816</v>
      </c>
      <c r="E956" s="10"/>
      <c r="F956" s="10" t="s">
        <v>1092</v>
      </c>
      <c r="G956" s="10" t="s">
        <v>285</v>
      </c>
      <c r="L956" s="28">
        <v>7</v>
      </c>
      <c r="Q956" t="s">
        <v>2817</v>
      </c>
    </row>
    <row r="957" spans="1:17" ht="15.75" customHeight="1">
      <c r="A957" s="29" t="s">
        <v>2818</v>
      </c>
      <c r="B957" s="10" t="s">
        <v>464</v>
      </c>
      <c r="C957" s="20" t="s">
        <v>2819</v>
      </c>
      <c r="E957" s="10"/>
      <c r="F957" s="10" t="s">
        <v>2477</v>
      </c>
      <c r="G957" s="10" t="s">
        <v>285</v>
      </c>
      <c r="L957" s="28">
        <v>2</v>
      </c>
      <c r="Q957" t="s">
        <v>2820</v>
      </c>
    </row>
    <row r="958" spans="1:17" ht="15.75" hidden="1" customHeight="1">
      <c r="A958" s="29" t="s">
        <v>2821</v>
      </c>
      <c r="B958" s="10" t="s">
        <v>464</v>
      </c>
      <c r="C958" s="13" t="s">
        <v>2822</v>
      </c>
      <c r="E958" s="10"/>
      <c r="F958" s="10" t="s">
        <v>2477</v>
      </c>
      <c r="G958" s="10" t="s">
        <v>285</v>
      </c>
      <c r="L958" s="28">
        <v>2</v>
      </c>
      <c r="Q958" t="s">
        <v>2823</v>
      </c>
    </row>
    <row r="959" spans="1:17" ht="15.75" hidden="1" customHeight="1">
      <c r="A959" s="29" t="s">
        <v>2824</v>
      </c>
      <c r="B959" s="10" t="s">
        <v>464</v>
      </c>
      <c r="C959" s="12" t="s">
        <v>2825</v>
      </c>
      <c r="E959" s="10"/>
      <c r="F959" s="10" t="s">
        <v>2477</v>
      </c>
      <c r="G959" s="10" t="s">
        <v>285</v>
      </c>
      <c r="L959" s="28">
        <v>2</v>
      </c>
      <c r="Q959" t="s">
        <v>2826</v>
      </c>
    </row>
    <row r="960" spans="1:17" ht="15.75" hidden="1" customHeight="1">
      <c r="A960" s="29" t="s">
        <v>2827</v>
      </c>
      <c r="B960" s="10" t="s">
        <v>464</v>
      </c>
      <c r="C960" s="25" t="s">
        <v>2828</v>
      </c>
      <c r="E960" s="10"/>
      <c r="F960" s="10" t="s">
        <v>1168</v>
      </c>
      <c r="G960" s="10" t="s">
        <v>285</v>
      </c>
      <c r="L960" s="28">
        <v>4</v>
      </c>
      <c r="Q960" t="s">
        <v>2829</v>
      </c>
    </row>
    <row r="961" spans="1:17" ht="15.75" hidden="1" customHeight="1">
      <c r="A961" s="29" t="s">
        <v>2830</v>
      </c>
      <c r="B961" s="10" t="s">
        <v>464</v>
      </c>
      <c r="C961" s="21" t="s">
        <v>2831</v>
      </c>
      <c r="E961" s="10"/>
      <c r="F961" s="10" t="s">
        <v>1168</v>
      </c>
      <c r="G961" s="10" t="s">
        <v>285</v>
      </c>
      <c r="L961" s="28">
        <v>6</v>
      </c>
      <c r="Q961" t="s">
        <v>2832</v>
      </c>
    </row>
    <row r="962" spans="1:17" ht="15.75" hidden="1" customHeight="1">
      <c r="A962" s="29" t="s">
        <v>2833</v>
      </c>
      <c r="B962" s="10" t="s">
        <v>464</v>
      </c>
      <c r="C962" s="12" t="s">
        <v>2834</v>
      </c>
      <c r="E962" s="10"/>
      <c r="F962" s="10" t="s">
        <v>466</v>
      </c>
      <c r="G962" s="10" t="s">
        <v>285</v>
      </c>
      <c r="L962" s="28">
        <v>5</v>
      </c>
      <c r="Q962" t="s">
        <v>2835</v>
      </c>
    </row>
    <row r="963" spans="1:17" ht="15.75" hidden="1" customHeight="1">
      <c r="A963" s="29" t="s">
        <v>2836</v>
      </c>
      <c r="B963" s="10" t="s">
        <v>464</v>
      </c>
      <c r="C963" s="12" t="s">
        <v>2837</v>
      </c>
      <c r="E963" s="10"/>
      <c r="F963" s="10" t="s">
        <v>466</v>
      </c>
      <c r="G963" s="10" t="s">
        <v>285</v>
      </c>
      <c r="L963" s="28">
        <v>5</v>
      </c>
      <c r="Q963" t="s">
        <v>2838</v>
      </c>
    </row>
    <row r="964" spans="1:17" ht="15.75" customHeight="1">
      <c r="A964" s="29" t="s">
        <v>2839</v>
      </c>
      <c r="B964" s="10" t="s">
        <v>464</v>
      </c>
      <c r="C964" s="12" t="s">
        <v>808</v>
      </c>
      <c r="E964" s="10"/>
      <c r="F964" s="10" t="s">
        <v>2477</v>
      </c>
      <c r="G964" s="10" t="s">
        <v>285</v>
      </c>
      <c r="L964" s="28">
        <v>20</v>
      </c>
      <c r="Q964" t="s">
        <v>2840</v>
      </c>
    </row>
    <row r="965" spans="1:17" ht="15.75" customHeight="1">
      <c r="A965" t="s">
        <v>2841</v>
      </c>
      <c r="B965" t="s">
        <v>281</v>
      </c>
      <c r="C965" t="s">
        <v>2842</v>
      </c>
      <c r="G965" t="s">
        <v>285</v>
      </c>
      <c r="L965" s="28">
        <v>-20</v>
      </c>
      <c r="M965" t="s">
        <v>312</v>
      </c>
      <c r="Q965" t="s">
        <v>2843</v>
      </c>
    </row>
    <row r="966" spans="1:17" ht="15.75" customHeight="1">
      <c r="A966" t="s">
        <v>2844</v>
      </c>
      <c r="B966" t="s">
        <v>281</v>
      </c>
      <c r="C966" t="s">
        <v>2845</v>
      </c>
      <c r="G966" t="s">
        <v>285</v>
      </c>
      <c r="L966" s="28">
        <v>-40</v>
      </c>
      <c r="M966" t="s">
        <v>312</v>
      </c>
      <c r="Q966" t="s">
        <v>2846</v>
      </c>
    </row>
    <row r="967" spans="1:17" ht="15.75" hidden="1" customHeight="1">
      <c r="A967" t="s">
        <v>2847</v>
      </c>
      <c r="B967" t="s">
        <v>281</v>
      </c>
      <c r="C967" t="s">
        <v>2848</v>
      </c>
      <c r="G967" t="s">
        <v>285</v>
      </c>
      <c r="L967" s="28">
        <v>-60</v>
      </c>
      <c r="M967" t="s">
        <v>312</v>
      </c>
      <c r="Q967" t="s">
        <v>2849</v>
      </c>
    </row>
    <row r="968" spans="1:17" ht="15.75" hidden="1" customHeight="1">
      <c r="A968" t="s">
        <v>2850</v>
      </c>
      <c r="B968" t="s">
        <v>281</v>
      </c>
      <c r="C968" t="s">
        <v>2851</v>
      </c>
      <c r="G968" t="s">
        <v>285</v>
      </c>
      <c r="L968" s="28">
        <v>-80</v>
      </c>
      <c r="M968" t="s">
        <v>312</v>
      </c>
      <c r="Q968" t="s">
        <v>2852</v>
      </c>
    </row>
    <row r="969" spans="1:17" ht="15.75" hidden="1" customHeight="1">
      <c r="A969" t="s">
        <v>2853</v>
      </c>
      <c r="B969" t="s">
        <v>281</v>
      </c>
      <c r="C969" t="s">
        <v>2854</v>
      </c>
      <c r="G969" t="s">
        <v>285</v>
      </c>
      <c r="L969" s="28">
        <v>-120</v>
      </c>
      <c r="M969" t="s">
        <v>312</v>
      </c>
      <c r="Q969" t="s">
        <v>2855</v>
      </c>
    </row>
    <row r="970" spans="1:17" ht="15.75" hidden="1" customHeight="1">
      <c r="A970" s="29" t="s">
        <v>2856</v>
      </c>
      <c r="B970" s="11" t="s">
        <v>281</v>
      </c>
      <c r="C970" s="7" t="s">
        <v>2857</v>
      </c>
      <c r="E970" t="s">
        <v>2858</v>
      </c>
      <c r="G970" s="11" t="s">
        <v>285</v>
      </c>
      <c r="J970" t="s">
        <v>2859</v>
      </c>
      <c r="L970" s="28">
        <v>-200</v>
      </c>
      <c r="M970" t="s">
        <v>312</v>
      </c>
      <c r="Q970" t="s">
        <v>2860</v>
      </c>
    </row>
    <row r="971" spans="1:17" ht="15.75" customHeight="1">
      <c r="A971" s="29" t="s">
        <v>2861</v>
      </c>
      <c r="B971" s="11" t="s">
        <v>281</v>
      </c>
      <c r="C971" s="7" t="s">
        <v>2862</v>
      </c>
      <c r="E971" t="s">
        <v>2858</v>
      </c>
      <c r="G971" s="11" t="s">
        <v>285</v>
      </c>
      <c r="J971" t="s">
        <v>2859</v>
      </c>
      <c r="L971" s="28">
        <v>-500</v>
      </c>
      <c r="M971" t="s">
        <v>312</v>
      </c>
      <c r="Q971" t="s">
        <v>2863</v>
      </c>
    </row>
    <row r="972" spans="1:17" ht="15.75" hidden="1" customHeight="1">
      <c r="A972" s="29" t="s">
        <v>2864</v>
      </c>
      <c r="B972" s="11" t="s">
        <v>281</v>
      </c>
      <c r="C972" s="7" t="s">
        <v>2865</v>
      </c>
      <c r="E972" t="s">
        <v>2866</v>
      </c>
      <c r="G972" s="11" t="s">
        <v>285</v>
      </c>
      <c r="J972" t="s">
        <v>2867</v>
      </c>
      <c r="L972" s="28">
        <v>-200</v>
      </c>
      <c r="M972" t="s">
        <v>312</v>
      </c>
      <c r="Q972" t="s">
        <v>2868</v>
      </c>
    </row>
    <row r="973" spans="1:17" ht="15.75" hidden="1" customHeight="1">
      <c r="A973" s="29" t="s">
        <v>2869</v>
      </c>
      <c r="B973" s="11" t="s">
        <v>281</v>
      </c>
      <c r="C973" s="7" t="s">
        <v>2870</v>
      </c>
      <c r="E973" t="s">
        <v>2866</v>
      </c>
      <c r="G973" s="11" t="s">
        <v>285</v>
      </c>
      <c r="J973" t="s">
        <v>2867</v>
      </c>
      <c r="L973" s="28">
        <v>-500</v>
      </c>
      <c r="M973" t="s">
        <v>312</v>
      </c>
      <c r="Q973" t="s">
        <v>2871</v>
      </c>
    </row>
    <row r="974" spans="1:17" ht="15.75" hidden="1" customHeight="1">
      <c r="A974" s="29" t="s">
        <v>2872</v>
      </c>
      <c r="B974" s="11" t="s">
        <v>281</v>
      </c>
      <c r="C974" s="7" t="s">
        <v>2873</v>
      </c>
      <c r="E974" t="s">
        <v>2874</v>
      </c>
      <c r="G974" s="11" t="s">
        <v>285</v>
      </c>
      <c r="J974" t="s">
        <v>2875</v>
      </c>
      <c r="L974" s="28">
        <v>-200</v>
      </c>
      <c r="M974" t="s">
        <v>312</v>
      </c>
      <c r="Q974" t="s">
        <v>2876</v>
      </c>
    </row>
    <row r="975" spans="1:17" ht="15.75" hidden="1" customHeight="1">
      <c r="A975" s="29" t="s">
        <v>2877</v>
      </c>
      <c r="B975" s="11" t="s">
        <v>281</v>
      </c>
      <c r="C975" s="7" t="s">
        <v>2878</v>
      </c>
      <c r="E975" t="s">
        <v>2874</v>
      </c>
      <c r="G975" s="11" t="s">
        <v>285</v>
      </c>
      <c r="J975" t="s">
        <v>2875</v>
      </c>
      <c r="L975" s="28">
        <v>-500</v>
      </c>
      <c r="M975" t="s">
        <v>312</v>
      </c>
      <c r="Q975" t="s">
        <v>2879</v>
      </c>
    </row>
    <row r="976" spans="1:17" ht="15.75" hidden="1" customHeight="1">
      <c r="A976" s="29" t="s">
        <v>2880</v>
      </c>
      <c r="B976" s="11" t="s">
        <v>281</v>
      </c>
      <c r="C976" s="7" t="s">
        <v>2881</v>
      </c>
      <c r="E976" t="s">
        <v>2882</v>
      </c>
      <c r="G976" s="11" t="s">
        <v>285</v>
      </c>
      <c r="J976" t="s">
        <v>2883</v>
      </c>
      <c r="L976" s="28">
        <v>-200</v>
      </c>
      <c r="M976" t="s">
        <v>312</v>
      </c>
      <c r="Q976" t="s">
        <v>2884</v>
      </c>
    </row>
    <row r="977" spans="1:17" ht="15.75" hidden="1" customHeight="1">
      <c r="A977" s="29" t="s">
        <v>2885</v>
      </c>
      <c r="B977" s="11" t="s">
        <v>281</v>
      </c>
      <c r="C977" s="7" t="s">
        <v>2886</v>
      </c>
      <c r="E977" t="s">
        <v>2882</v>
      </c>
      <c r="G977" s="11" t="s">
        <v>285</v>
      </c>
      <c r="J977" t="s">
        <v>2883</v>
      </c>
      <c r="L977" s="28">
        <v>-500</v>
      </c>
      <c r="M977" t="s">
        <v>312</v>
      </c>
      <c r="Q977" t="s">
        <v>2887</v>
      </c>
    </row>
    <row r="978" spans="1:17" ht="15.75" hidden="1" customHeight="1">
      <c r="A978" s="29" t="s">
        <v>2888</v>
      </c>
      <c r="B978" s="11" t="s">
        <v>281</v>
      </c>
      <c r="C978" s="7" t="s">
        <v>2889</v>
      </c>
      <c r="E978" t="s">
        <v>2890</v>
      </c>
      <c r="G978" s="11" t="s">
        <v>285</v>
      </c>
      <c r="J978" t="s">
        <v>2891</v>
      </c>
      <c r="L978" s="28">
        <v>-200</v>
      </c>
      <c r="M978" t="s">
        <v>312</v>
      </c>
      <c r="Q978" t="s">
        <v>2892</v>
      </c>
    </row>
    <row r="979" spans="1:17" ht="15.75" hidden="1" customHeight="1">
      <c r="A979" s="29" t="s">
        <v>2893</v>
      </c>
      <c r="B979" s="11" t="s">
        <v>281</v>
      </c>
      <c r="C979" s="7" t="s">
        <v>2894</v>
      </c>
      <c r="E979" t="s">
        <v>2890</v>
      </c>
      <c r="G979" s="11" t="s">
        <v>285</v>
      </c>
      <c r="J979" t="s">
        <v>2891</v>
      </c>
      <c r="L979" s="28">
        <v>-500</v>
      </c>
      <c r="M979" t="s">
        <v>312</v>
      </c>
      <c r="Q979" t="s">
        <v>2895</v>
      </c>
    </row>
    <row r="980" spans="1:17" ht="15.75" hidden="1" customHeight="1">
      <c r="A980" s="29" t="s">
        <v>2896</v>
      </c>
      <c r="B980" s="11" t="s">
        <v>281</v>
      </c>
      <c r="C980" s="7" t="s">
        <v>2897</v>
      </c>
      <c r="E980" t="s">
        <v>2898</v>
      </c>
      <c r="G980" s="11" t="s">
        <v>285</v>
      </c>
      <c r="L980" s="28">
        <v>-500</v>
      </c>
      <c r="M980" t="s">
        <v>312</v>
      </c>
      <c r="Q980" t="s">
        <v>2899</v>
      </c>
    </row>
    <row r="981" spans="1:17" ht="15.75" hidden="1" customHeight="1">
      <c r="A981" s="29" t="s">
        <v>2900</v>
      </c>
      <c r="B981" s="11" t="s">
        <v>281</v>
      </c>
      <c r="C981" s="7" t="s">
        <v>2901</v>
      </c>
      <c r="G981" s="11" t="s">
        <v>285</v>
      </c>
      <c r="L981" s="28">
        <v>-200</v>
      </c>
      <c r="M981" t="s">
        <v>312</v>
      </c>
    </row>
    <row r="982" spans="1:17" ht="15.75" hidden="1" customHeight="1">
      <c r="A982" s="29" t="s">
        <v>2902</v>
      </c>
      <c r="B982" s="11" t="s">
        <v>281</v>
      </c>
      <c r="C982" s="7" t="s">
        <v>2903</v>
      </c>
      <c r="G982" s="11" t="s">
        <v>285</v>
      </c>
      <c r="L982" s="28">
        <v>-500</v>
      </c>
      <c r="M982" t="s">
        <v>312</v>
      </c>
    </row>
    <row r="983" spans="1:17" ht="15.75" hidden="1" customHeight="1">
      <c r="A983" s="29" t="s">
        <v>2904</v>
      </c>
      <c r="B983" s="11" t="s">
        <v>281</v>
      </c>
      <c r="C983" s="7" t="s">
        <v>2905</v>
      </c>
      <c r="E983" t="s">
        <v>2906</v>
      </c>
      <c r="G983" s="11" t="s">
        <v>285</v>
      </c>
      <c r="J983" t="s">
        <v>2907</v>
      </c>
      <c r="L983" s="28">
        <v>-200</v>
      </c>
      <c r="M983" t="s">
        <v>312</v>
      </c>
      <c r="Q983" t="s">
        <v>2908</v>
      </c>
    </row>
    <row r="984" spans="1:17" ht="15.75" hidden="1" customHeight="1">
      <c r="A984" s="29" t="s">
        <v>2909</v>
      </c>
      <c r="B984" s="11" t="s">
        <v>281</v>
      </c>
      <c r="C984" s="7" t="s">
        <v>2910</v>
      </c>
      <c r="E984" t="s">
        <v>2906</v>
      </c>
      <c r="G984" s="11" t="s">
        <v>285</v>
      </c>
      <c r="J984" t="s">
        <v>2907</v>
      </c>
      <c r="L984" s="28">
        <v>-500</v>
      </c>
      <c r="M984" t="s">
        <v>312</v>
      </c>
      <c r="Q984" t="s">
        <v>2911</v>
      </c>
    </row>
    <row r="985" spans="1:17" ht="15.75" hidden="1" customHeight="1">
      <c r="A985" t="s">
        <v>2912</v>
      </c>
      <c r="B985" t="s">
        <v>281</v>
      </c>
      <c r="C985" t="s">
        <v>2913</v>
      </c>
      <c r="E985" t="s">
        <v>2914</v>
      </c>
      <c r="F985" t="s">
        <v>2915</v>
      </c>
      <c r="G985" t="s">
        <v>285</v>
      </c>
      <c r="J985" t="s">
        <v>2916</v>
      </c>
      <c r="K985">
        <v>5</v>
      </c>
      <c r="L985" s="28">
        <v>-20</v>
      </c>
      <c r="M985" t="s">
        <v>287</v>
      </c>
      <c r="Q985" t="s">
        <v>2917</v>
      </c>
    </row>
    <row r="986" spans="1:17" ht="15.75" hidden="1" customHeight="1">
      <c r="A986" t="s">
        <v>2918</v>
      </c>
      <c r="B986" t="s">
        <v>281</v>
      </c>
      <c r="C986" t="s">
        <v>2919</v>
      </c>
      <c r="E986" t="s">
        <v>2920</v>
      </c>
      <c r="F986" t="s">
        <v>2915</v>
      </c>
      <c r="G986" t="s">
        <v>285</v>
      </c>
      <c r="J986" t="s">
        <v>2921</v>
      </c>
      <c r="K986">
        <v>10</v>
      </c>
      <c r="L986" s="28">
        <v>-40</v>
      </c>
      <c r="M986" t="s">
        <v>287</v>
      </c>
      <c r="Q986" t="s">
        <v>2922</v>
      </c>
    </row>
    <row r="987" spans="1:17" ht="15.75" hidden="1" customHeight="1">
      <c r="A987" t="s">
        <v>2923</v>
      </c>
      <c r="B987" t="s">
        <v>281</v>
      </c>
      <c r="C987" t="s">
        <v>2924</v>
      </c>
      <c r="E987" t="s">
        <v>2925</v>
      </c>
      <c r="F987" t="s">
        <v>2915</v>
      </c>
      <c r="G987" t="s">
        <v>285</v>
      </c>
      <c r="J987" t="s">
        <v>2926</v>
      </c>
      <c r="K987">
        <v>15</v>
      </c>
      <c r="L987" s="28">
        <v>-60</v>
      </c>
      <c r="M987" t="s">
        <v>287</v>
      </c>
      <c r="Q987" t="s">
        <v>2927</v>
      </c>
    </row>
    <row r="988" spans="1:17" ht="15.75" hidden="1" customHeight="1">
      <c r="A988" t="s">
        <v>2928</v>
      </c>
      <c r="B988" t="s">
        <v>281</v>
      </c>
      <c r="C988" t="s">
        <v>2915</v>
      </c>
      <c r="E988" t="s">
        <v>2929</v>
      </c>
      <c r="F988" t="s">
        <v>2915</v>
      </c>
      <c r="G988" t="s">
        <v>285</v>
      </c>
      <c r="J988" t="s">
        <v>2930</v>
      </c>
      <c r="K988">
        <v>20</v>
      </c>
      <c r="L988" s="28">
        <v>-80</v>
      </c>
      <c r="M988" t="s">
        <v>287</v>
      </c>
      <c r="Q988" t="s">
        <v>2931</v>
      </c>
    </row>
    <row r="989" spans="1:17" ht="15.75" hidden="1" customHeight="1">
      <c r="A989" t="s">
        <v>2932</v>
      </c>
      <c r="B989" t="s">
        <v>281</v>
      </c>
      <c r="C989" t="s">
        <v>2933</v>
      </c>
      <c r="E989" t="s">
        <v>2934</v>
      </c>
      <c r="F989" t="s">
        <v>2915</v>
      </c>
      <c r="G989" t="s">
        <v>285</v>
      </c>
      <c r="J989" t="s">
        <v>2935</v>
      </c>
      <c r="K989">
        <v>30</v>
      </c>
      <c r="L989" s="28">
        <v>-120</v>
      </c>
      <c r="M989" t="s">
        <v>287</v>
      </c>
      <c r="Q989" t="s">
        <v>2936</v>
      </c>
    </row>
    <row r="990" spans="1:17" ht="15.75" hidden="1" customHeight="1">
      <c r="A990" t="s">
        <v>2937</v>
      </c>
      <c r="B990" t="s">
        <v>281</v>
      </c>
      <c r="C990" t="s">
        <v>2938</v>
      </c>
      <c r="E990" t="s">
        <v>2939</v>
      </c>
      <c r="F990" t="s">
        <v>2940</v>
      </c>
      <c r="G990" t="s">
        <v>285</v>
      </c>
      <c r="J990" t="s">
        <v>2941</v>
      </c>
      <c r="K990">
        <v>5</v>
      </c>
      <c r="L990" s="28">
        <v>-30</v>
      </c>
      <c r="M990" t="s">
        <v>287</v>
      </c>
      <c r="Q990" t="s">
        <v>2942</v>
      </c>
    </row>
    <row r="991" spans="1:17" ht="15.75" hidden="1" customHeight="1">
      <c r="A991" t="s">
        <v>2943</v>
      </c>
      <c r="B991" t="s">
        <v>281</v>
      </c>
      <c r="C991" t="s">
        <v>2944</v>
      </c>
      <c r="E991" t="s">
        <v>2945</v>
      </c>
      <c r="F991" t="s">
        <v>2940</v>
      </c>
      <c r="G991" t="s">
        <v>285</v>
      </c>
      <c r="J991" t="s">
        <v>2946</v>
      </c>
      <c r="K991">
        <v>10</v>
      </c>
      <c r="L991" s="28">
        <v>-60</v>
      </c>
      <c r="M991" t="s">
        <v>287</v>
      </c>
      <c r="Q991" t="s">
        <v>2947</v>
      </c>
    </row>
    <row r="992" spans="1:17" ht="15.75" hidden="1" customHeight="1">
      <c r="A992" t="s">
        <v>2948</v>
      </c>
      <c r="B992" t="s">
        <v>281</v>
      </c>
      <c r="C992" t="s">
        <v>2949</v>
      </c>
      <c r="E992" t="s">
        <v>2950</v>
      </c>
      <c r="F992" t="s">
        <v>2940</v>
      </c>
      <c r="G992" t="s">
        <v>285</v>
      </c>
      <c r="J992" t="s">
        <v>2951</v>
      </c>
      <c r="K992">
        <v>15</v>
      </c>
      <c r="L992" s="28">
        <v>-90</v>
      </c>
      <c r="M992" t="s">
        <v>287</v>
      </c>
      <c r="Q992" t="s">
        <v>2952</v>
      </c>
    </row>
    <row r="993" spans="1:17" ht="15.75" hidden="1" customHeight="1">
      <c r="A993" t="s">
        <v>2953</v>
      </c>
      <c r="B993" t="s">
        <v>281</v>
      </c>
      <c r="C993" t="s">
        <v>2940</v>
      </c>
      <c r="E993" t="s">
        <v>2954</v>
      </c>
      <c r="F993" t="s">
        <v>2940</v>
      </c>
      <c r="G993" t="s">
        <v>285</v>
      </c>
      <c r="J993" t="s">
        <v>2955</v>
      </c>
      <c r="K993">
        <v>20</v>
      </c>
      <c r="L993" s="28">
        <v>-120</v>
      </c>
      <c r="M993" t="s">
        <v>287</v>
      </c>
      <c r="Q993" t="s">
        <v>2956</v>
      </c>
    </row>
    <row r="994" spans="1:17" ht="15.75" hidden="1" customHeight="1">
      <c r="A994" t="s">
        <v>2957</v>
      </c>
      <c r="B994" t="s">
        <v>281</v>
      </c>
      <c r="C994" t="s">
        <v>2958</v>
      </c>
      <c r="E994" t="s">
        <v>2959</v>
      </c>
      <c r="F994" t="s">
        <v>2940</v>
      </c>
      <c r="G994" t="s">
        <v>285</v>
      </c>
      <c r="J994" t="s">
        <v>2960</v>
      </c>
      <c r="K994">
        <v>30</v>
      </c>
      <c r="L994" s="28">
        <v>-180</v>
      </c>
      <c r="M994" t="s">
        <v>287</v>
      </c>
      <c r="Q994" t="s">
        <v>2961</v>
      </c>
    </row>
    <row r="995" spans="1:17" ht="15.75" hidden="1" customHeight="1">
      <c r="A995" t="s">
        <v>2962</v>
      </c>
      <c r="B995" t="s">
        <v>281</v>
      </c>
      <c r="C995" t="s">
        <v>2963</v>
      </c>
      <c r="E995" t="s">
        <v>2964</v>
      </c>
      <c r="F995" t="s">
        <v>2965</v>
      </c>
      <c r="G995" t="s">
        <v>285</v>
      </c>
      <c r="J995" t="s">
        <v>2966</v>
      </c>
      <c r="K995">
        <v>5</v>
      </c>
      <c r="L995" s="28">
        <v>-15</v>
      </c>
      <c r="M995" t="s">
        <v>287</v>
      </c>
      <c r="Q995" t="s">
        <v>2967</v>
      </c>
    </row>
    <row r="996" spans="1:17" ht="15.75" hidden="1" customHeight="1">
      <c r="A996" t="s">
        <v>2968</v>
      </c>
      <c r="B996" t="s">
        <v>281</v>
      </c>
      <c r="C996" t="s">
        <v>2969</v>
      </c>
      <c r="E996" t="s">
        <v>2970</v>
      </c>
      <c r="F996" t="s">
        <v>2965</v>
      </c>
      <c r="G996" t="s">
        <v>285</v>
      </c>
      <c r="J996" t="s">
        <v>2971</v>
      </c>
      <c r="K996">
        <v>10</v>
      </c>
      <c r="L996" s="28">
        <v>-30</v>
      </c>
      <c r="M996" t="s">
        <v>287</v>
      </c>
      <c r="Q996" t="s">
        <v>2972</v>
      </c>
    </row>
    <row r="997" spans="1:17" ht="15.75" hidden="1" customHeight="1">
      <c r="A997" t="s">
        <v>2973</v>
      </c>
      <c r="B997" t="s">
        <v>281</v>
      </c>
      <c r="C997" t="s">
        <v>2974</v>
      </c>
      <c r="E997" t="s">
        <v>2975</v>
      </c>
      <c r="F997" t="s">
        <v>2965</v>
      </c>
      <c r="G997" t="s">
        <v>285</v>
      </c>
      <c r="J997" t="s">
        <v>2976</v>
      </c>
      <c r="K997">
        <v>15</v>
      </c>
      <c r="L997" s="28">
        <v>-45</v>
      </c>
      <c r="M997" t="s">
        <v>287</v>
      </c>
      <c r="Q997" t="s">
        <v>2977</v>
      </c>
    </row>
    <row r="998" spans="1:17" ht="15.75" hidden="1" customHeight="1">
      <c r="A998" t="s">
        <v>2978</v>
      </c>
      <c r="B998" t="s">
        <v>281</v>
      </c>
      <c r="C998" t="s">
        <v>2965</v>
      </c>
      <c r="E998" t="s">
        <v>2979</v>
      </c>
      <c r="F998" t="s">
        <v>2965</v>
      </c>
      <c r="G998" t="s">
        <v>285</v>
      </c>
      <c r="J998" t="s">
        <v>2980</v>
      </c>
      <c r="K998">
        <v>20</v>
      </c>
      <c r="L998" s="28">
        <v>-60</v>
      </c>
      <c r="M998" t="s">
        <v>287</v>
      </c>
      <c r="Q998" t="s">
        <v>2981</v>
      </c>
    </row>
    <row r="999" spans="1:17" ht="15.75" hidden="1" customHeight="1">
      <c r="A999" t="s">
        <v>2982</v>
      </c>
      <c r="B999" t="s">
        <v>281</v>
      </c>
      <c r="C999" t="s">
        <v>2983</v>
      </c>
      <c r="E999" t="s">
        <v>2984</v>
      </c>
      <c r="F999" t="s">
        <v>2965</v>
      </c>
      <c r="G999" t="s">
        <v>285</v>
      </c>
      <c r="J999" t="s">
        <v>2985</v>
      </c>
      <c r="K999">
        <v>30</v>
      </c>
      <c r="L999" s="28">
        <v>-90</v>
      </c>
      <c r="M999" t="s">
        <v>287</v>
      </c>
      <c r="Q999" t="s">
        <v>2986</v>
      </c>
    </row>
    <row r="1000" spans="1:17" ht="15.75" hidden="1" customHeight="1">
      <c r="A1000" t="s">
        <v>2987</v>
      </c>
      <c r="B1000" t="s">
        <v>281</v>
      </c>
      <c r="C1000" t="s">
        <v>2988</v>
      </c>
      <c r="E1000" t="s">
        <v>2989</v>
      </c>
      <c r="F1000" t="s">
        <v>2990</v>
      </c>
      <c r="G1000" t="s">
        <v>285</v>
      </c>
      <c r="J1000" t="s">
        <v>2991</v>
      </c>
      <c r="K1000">
        <v>5</v>
      </c>
      <c r="L1000" s="28">
        <v>-25</v>
      </c>
      <c r="M1000" t="s">
        <v>287</v>
      </c>
      <c r="Q1000" t="s">
        <v>2992</v>
      </c>
    </row>
    <row r="1001" spans="1:17" ht="15.75" hidden="1" customHeight="1">
      <c r="A1001" t="s">
        <v>2993</v>
      </c>
      <c r="B1001" t="s">
        <v>281</v>
      </c>
      <c r="C1001" t="s">
        <v>2994</v>
      </c>
      <c r="E1001" t="s">
        <v>2995</v>
      </c>
      <c r="F1001" t="s">
        <v>2990</v>
      </c>
      <c r="G1001" t="s">
        <v>285</v>
      </c>
      <c r="J1001" t="s">
        <v>2996</v>
      </c>
      <c r="K1001">
        <v>10</v>
      </c>
      <c r="L1001" s="28">
        <v>-50</v>
      </c>
      <c r="M1001" t="s">
        <v>287</v>
      </c>
      <c r="Q1001" t="s">
        <v>2997</v>
      </c>
    </row>
    <row r="1002" spans="1:17" ht="15.75" hidden="1" customHeight="1">
      <c r="A1002" t="s">
        <v>2998</v>
      </c>
      <c r="B1002" t="s">
        <v>281</v>
      </c>
      <c r="C1002" t="s">
        <v>2999</v>
      </c>
      <c r="E1002" t="s">
        <v>3000</v>
      </c>
      <c r="F1002" t="s">
        <v>2990</v>
      </c>
      <c r="G1002" t="s">
        <v>285</v>
      </c>
      <c r="J1002" t="s">
        <v>3001</v>
      </c>
      <c r="K1002">
        <v>15</v>
      </c>
      <c r="L1002" s="28">
        <v>-75</v>
      </c>
      <c r="M1002" t="s">
        <v>287</v>
      </c>
      <c r="Q1002" t="s">
        <v>3002</v>
      </c>
    </row>
    <row r="1003" spans="1:17" ht="15.75" hidden="1" customHeight="1">
      <c r="A1003" t="s">
        <v>3003</v>
      </c>
      <c r="B1003" t="s">
        <v>281</v>
      </c>
      <c r="C1003" t="s">
        <v>2990</v>
      </c>
      <c r="E1003" t="s">
        <v>3004</v>
      </c>
      <c r="F1003" t="s">
        <v>2990</v>
      </c>
      <c r="G1003" t="s">
        <v>285</v>
      </c>
      <c r="J1003" t="s">
        <v>3005</v>
      </c>
      <c r="K1003">
        <v>20</v>
      </c>
      <c r="L1003" s="28">
        <v>-100</v>
      </c>
      <c r="M1003" t="s">
        <v>287</v>
      </c>
      <c r="Q1003" t="s">
        <v>3006</v>
      </c>
    </row>
    <row r="1004" spans="1:17" ht="15.75" hidden="1" customHeight="1">
      <c r="A1004" t="s">
        <v>3007</v>
      </c>
      <c r="B1004" t="s">
        <v>281</v>
      </c>
      <c r="C1004" t="s">
        <v>3008</v>
      </c>
      <c r="E1004" t="s">
        <v>3009</v>
      </c>
      <c r="F1004" t="s">
        <v>2990</v>
      </c>
      <c r="G1004" t="s">
        <v>285</v>
      </c>
      <c r="J1004" t="s">
        <v>3010</v>
      </c>
      <c r="K1004">
        <v>30</v>
      </c>
      <c r="L1004" s="28">
        <v>-150</v>
      </c>
      <c r="M1004" t="s">
        <v>287</v>
      </c>
      <c r="Q1004" t="s">
        <v>3011</v>
      </c>
    </row>
    <row r="1005" spans="1:17" ht="15.75" hidden="1" customHeight="1">
      <c r="A1005" t="s">
        <v>3012</v>
      </c>
      <c r="B1005" t="s">
        <v>281</v>
      </c>
      <c r="C1005" t="s">
        <v>3013</v>
      </c>
      <c r="E1005" t="s">
        <v>3014</v>
      </c>
      <c r="F1005" t="s">
        <v>3015</v>
      </c>
      <c r="G1005" t="s">
        <v>285</v>
      </c>
      <c r="J1005" t="s">
        <v>3016</v>
      </c>
      <c r="K1005">
        <v>5</v>
      </c>
      <c r="L1005" s="28">
        <v>-20</v>
      </c>
      <c r="M1005" t="s">
        <v>287</v>
      </c>
      <c r="Q1005" t="s">
        <v>3017</v>
      </c>
    </row>
    <row r="1006" spans="1:17" ht="15.75" hidden="1" customHeight="1">
      <c r="A1006" t="s">
        <v>3018</v>
      </c>
      <c r="B1006" t="s">
        <v>281</v>
      </c>
      <c r="C1006" t="s">
        <v>3019</v>
      </c>
      <c r="E1006" t="s">
        <v>3020</v>
      </c>
      <c r="F1006" t="s">
        <v>3015</v>
      </c>
      <c r="G1006" t="s">
        <v>285</v>
      </c>
      <c r="J1006" t="s">
        <v>3021</v>
      </c>
      <c r="K1006">
        <v>10</v>
      </c>
      <c r="L1006" s="28">
        <v>-40</v>
      </c>
      <c r="M1006" t="s">
        <v>287</v>
      </c>
      <c r="Q1006" t="s">
        <v>3022</v>
      </c>
    </row>
    <row r="1007" spans="1:17" ht="15.75" hidden="1" customHeight="1">
      <c r="A1007" t="s">
        <v>3023</v>
      </c>
      <c r="B1007" t="s">
        <v>281</v>
      </c>
      <c r="C1007" t="s">
        <v>3024</v>
      </c>
      <c r="E1007" t="s">
        <v>3025</v>
      </c>
      <c r="F1007" t="s">
        <v>3015</v>
      </c>
      <c r="G1007" t="s">
        <v>285</v>
      </c>
      <c r="J1007" t="s">
        <v>3026</v>
      </c>
      <c r="K1007">
        <v>15</v>
      </c>
      <c r="L1007" s="28">
        <v>-60</v>
      </c>
      <c r="M1007" t="s">
        <v>287</v>
      </c>
      <c r="Q1007" t="s">
        <v>3027</v>
      </c>
    </row>
    <row r="1008" spans="1:17" ht="15.75" hidden="1" customHeight="1">
      <c r="A1008" t="s">
        <v>3028</v>
      </c>
      <c r="B1008" t="s">
        <v>281</v>
      </c>
      <c r="C1008" t="s">
        <v>3015</v>
      </c>
      <c r="E1008" t="s">
        <v>3029</v>
      </c>
      <c r="F1008" t="s">
        <v>3015</v>
      </c>
      <c r="G1008" t="s">
        <v>285</v>
      </c>
      <c r="J1008" t="s">
        <v>3030</v>
      </c>
      <c r="K1008">
        <v>20</v>
      </c>
      <c r="L1008" s="28">
        <v>-80</v>
      </c>
      <c r="M1008" t="s">
        <v>287</v>
      </c>
      <c r="Q1008" t="s">
        <v>3031</v>
      </c>
    </row>
    <row r="1009" spans="1:17" ht="15.75" hidden="1" customHeight="1">
      <c r="A1009" t="s">
        <v>3032</v>
      </c>
      <c r="B1009" t="s">
        <v>281</v>
      </c>
      <c r="C1009" t="s">
        <v>3033</v>
      </c>
      <c r="E1009" t="s">
        <v>3034</v>
      </c>
      <c r="F1009" t="s">
        <v>3015</v>
      </c>
      <c r="G1009" t="s">
        <v>285</v>
      </c>
      <c r="J1009" t="s">
        <v>3035</v>
      </c>
      <c r="K1009">
        <v>30</v>
      </c>
      <c r="L1009" s="28">
        <v>-120</v>
      </c>
      <c r="M1009" t="s">
        <v>287</v>
      </c>
      <c r="Q1009" t="s">
        <v>3036</v>
      </c>
    </row>
    <row r="1010" spans="1:17" ht="15.75" hidden="1" customHeight="1">
      <c r="A1010" t="s">
        <v>3037</v>
      </c>
      <c r="B1010" t="s">
        <v>281</v>
      </c>
      <c r="C1010" t="s">
        <v>3038</v>
      </c>
      <c r="E1010" t="s">
        <v>3039</v>
      </c>
      <c r="F1010" t="s">
        <v>3040</v>
      </c>
      <c r="G1010" t="s">
        <v>285</v>
      </c>
      <c r="J1010" t="s">
        <v>3041</v>
      </c>
      <c r="K1010">
        <v>5</v>
      </c>
      <c r="L1010" s="28">
        <v>-15</v>
      </c>
      <c r="M1010" t="s">
        <v>287</v>
      </c>
      <c r="Q1010" t="s">
        <v>3042</v>
      </c>
    </row>
    <row r="1011" spans="1:17" ht="15.75" hidden="1" customHeight="1">
      <c r="A1011" t="s">
        <v>3043</v>
      </c>
      <c r="B1011" t="s">
        <v>281</v>
      </c>
      <c r="C1011" t="s">
        <v>3044</v>
      </c>
      <c r="E1011" t="s">
        <v>3045</v>
      </c>
      <c r="F1011" t="s">
        <v>3040</v>
      </c>
      <c r="G1011" t="s">
        <v>285</v>
      </c>
      <c r="J1011" t="s">
        <v>3046</v>
      </c>
      <c r="K1011">
        <v>10</v>
      </c>
      <c r="L1011" s="28">
        <v>-30</v>
      </c>
      <c r="M1011" t="s">
        <v>287</v>
      </c>
      <c r="Q1011" t="s">
        <v>3047</v>
      </c>
    </row>
    <row r="1012" spans="1:17" ht="15.75" hidden="1" customHeight="1">
      <c r="A1012" t="s">
        <v>3048</v>
      </c>
      <c r="B1012" t="s">
        <v>281</v>
      </c>
      <c r="C1012" t="s">
        <v>3049</v>
      </c>
      <c r="E1012" t="s">
        <v>3050</v>
      </c>
      <c r="F1012" t="s">
        <v>3040</v>
      </c>
      <c r="G1012" t="s">
        <v>285</v>
      </c>
      <c r="J1012" t="s">
        <v>3051</v>
      </c>
      <c r="K1012">
        <v>15</v>
      </c>
      <c r="L1012" s="28">
        <v>-45</v>
      </c>
      <c r="M1012" t="s">
        <v>287</v>
      </c>
      <c r="Q1012" t="s">
        <v>3052</v>
      </c>
    </row>
    <row r="1013" spans="1:17" ht="15.75" hidden="1" customHeight="1">
      <c r="A1013" t="s">
        <v>3053</v>
      </c>
      <c r="B1013" t="s">
        <v>281</v>
      </c>
      <c r="C1013" t="s">
        <v>3040</v>
      </c>
      <c r="E1013" t="s">
        <v>3054</v>
      </c>
      <c r="F1013" t="s">
        <v>3040</v>
      </c>
      <c r="G1013" t="s">
        <v>285</v>
      </c>
      <c r="J1013" t="s">
        <v>3055</v>
      </c>
      <c r="K1013">
        <v>20</v>
      </c>
      <c r="L1013" s="28">
        <v>-60</v>
      </c>
      <c r="M1013" t="s">
        <v>287</v>
      </c>
      <c r="Q1013" t="s">
        <v>3056</v>
      </c>
    </row>
    <row r="1014" spans="1:17" ht="15.75" hidden="1" customHeight="1">
      <c r="A1014" t="s">
        <v>3057</v>
      </c>
      <c r="B1014" t="s">
        <v>281</v>
      </c>
      <c r="C1014" t="s">
        <v>3058</v>
      </c>
      <c r="E1014" t="s">
        <v>3059</v>
      </c>
      <c r="F1014" t="s">
        <v>3040</v>
      </c>
      <c r="G1014" t="s">
        <v>285</v>
      </c>
      <c r="J1014" t="s">
        <v>3060</v>
      </c>
      <c r="K1014">
        <v>30</v>
      </c>
      <c r="L1014" s="28">
        <v>-90</v>
      </c>
      <c r="M1014" t="s">
        <v>287</v>
      </c>
      <c r="Q1014" t="s">
        <v>3061</v>
      </c>
    </row>
    <row r="1015" spans="1:17" ht="15.75" hidden="1" customHeight="1">
      <c r="A1015" t="s">
        <v>3062</v>
      </c>
      <c r="B1015" t="s">
        <v>281</v>
      </c>
      <c r="C1015" t="s">
        <v>3063</v>
      </c>
      <c r="E1015" t="s">
        <v>3064</v>
      </c>
      <c r="F1015" t="s">
        <v>3065</v>
      </c>
      <c r="G1015" t="s">
        <v>285</v>
      </c>
      <c r="J1015" t="s">
        <v>3066</v>
      </c>
      <c r="K1015">
        <v>5</v>
      </c>
      <c r="L1015" s="28">
        <v>-30</v>
      </c>
      <c r="M1015" t="s">
        <v>287</v>
      </c>
      <c r="Q1015" t="s">
        <v>3067</v>
      </c>
    </row>
    <row r="1016" spans="1:17" ht="15.75" hidden="1" customHeight="1">
      <c r="A1016" t="s">
        <v>3068</v>
      </c>
      <c r="B1016" t="s">
        <v>281</v>
      </c>
      <c r="C1016" t="s">
        <v>3069</v>
      </c>
      <c r="E1016" t="s">
        <v>3070</v>
      </c>
      <c r="F1016" t="s">
        <v>3065</v>
      </c>
      <c r="G1016" t="s">
        <v>285</v>
      </c>
      <c r="J1016" t="s">
        <v>3071</v>
      </c>
      <c r="K1016">
        <v>10</v>
      </c>
      <c r="L1016" s="28">
        <v>-60</v>
      </c>
      <c r="M1016" t="s">
        <v>287</v>
      </c>
      <c r="Q1016" t="s">
        <v>3072</v>
      </c>
    </row>
    <row r="1017" spans="1:17" ht="15.75" hidden="1" customHeight="1">
      <c r="A1017" t="s">
        <v>3073</v>
      </c>
      <c r="B1017" t="s">
        <v>281</v>
      </c>
      <c r="C1017" t="s">
        <v>3074</v>
      </c>
      <c r="E1017" t="s">
        <v>3075</v>
      </c>
      <c r="F1017" t="s">
        <v>3065</v>
      </c>
      <c r="G1017" t="s">
        <v>285</v>
      </c>
      <c r="J1017" t="s">
        <v>3076</v>
      </c>
      <c r="K1017">
        <v>15</v>
      </c>
      <c r="L1017" s="28">
        <v>-90</v>
      </c>
      <c r="M1017" t="s">
        <v>287</v>
      </c>
      <c r="Q1017" t="s">
        <v>3077</v>
      </c>
    </row>
    <row r="1018" spans="1:17" ht="15.75" hidden="1" customHeight="1">
      <c r="A1018" t="s">
        <v>3078</v>
      </c>
      <c r="B1018" t="s">
        <v>281</v>
      </c>
      <c r="C1018" t="s">
        <v>3065</v>
      </c>
      <c r="E1018" t="s">
        <v>3079</v>
      </c>
      <c r="F1018" t="s">
        <v>3065</v>
      </c>
      <c r="G1018" t="s">
        <v>285</v>
      </c>
      <c r="J1018" t="s">
        <v>3080</v>
      </c>
      <c r="K1018">
        <v>20</v>
      </c>
      <c r="L1018" s="28">
        <v>-120</v>
      </c>
      <c r="M1018" t="s">
        <v>287</v>
      </c>
      <c r="Q1018" t="s">
        <v>3081</v>
      </c>
    </row>
    <row r="1019" spans="1:17" ht="15.75" hidden="1" customHeight="1">
      <c r="A1019" t="s">
        <v>3082</v>
      </c>
      <c r="B1019" t="s">
        <v>281</v>
      </c>
      <c r="C1019" t="s">
        <v>3083</v>
      </c>
      <c r="E1019" t="s">
        <v>3084</v>
      </c>
      <c r="F1019" t="s">
        <v>3065</v>
      </c>
      <c r="G1019" t="s">
        <v>285</v>
      </c>
      <c r="J1019" t="s">
        <v>3085</v>
      </c>
      <c r="K1019">
        <v>30</v>
      </c>
      <c r="L1019" s="28">
        <v>-180</v>
      </c>
      <c r="M1019" t="s">
        <v>287</v>
      </c>
      <c r="Q1019" t="s">
        <v>3086</v>
      </c>
    </row>
    <row r="1020" spans="1:17" ht="15.75" hidden="1" customHeight="1">
      <c r="A1020" t="s">
        <v>3087</v>
      </c>
      <c r="B1020" t="s">
        <v>281</v>
      </c>
      <c r="C1020" t="s">
        <v>3088</v>
      </c>
      <c r="E1020" t="s">
        <v>3089</v>
      </c>
      <c r="F1020" t="s">
        <v>3090</v>
      </c>
      <c r="G1020" t="s">
        <v>285</v>
      </c>
      <c r="J1020" t="s">
        <v>3091</v>
      </c>
      <c r="K1020">
        <v>5</v>
      </c>
      <c r="L1020" s="28">
        <v>-30</v>
      </c>
      <c r="M1020" t="s">
        <v>287</v>
      </c>
      <c r="Q1020" t="s">
        <v>3092</v>
      </c>
    </row>
    <row r="1021" spans="1:17" ht="15.75" hidden="1" customHeight="1">
      <c r="A1021" t="s">
        <v>3093</v>
      </c>
      <c r="B1021" t="s">
        <v>281</v>
      </c>
      <c r="C1021" t="s">
        <v>3094</v>
      </c>
      <c r="E1021" t="s">
        <v>3095</v>
      </c>
      <c r="F1021" t="s">
        <v>3090</v>
      </c>
      <c r="G1021" t="s">
        <v>285</v>
      </c>
      <c r="J1021" t="s">
        <v>3096</v>
      </c>
      <c r="K1021">
        <v>10</v>
      </c>
      <c r="L1021" s="28">
        <v>-60</v>
      </c>
      <c r="M1021" t="s">
        <v>287</v>
      </c>
      <c r="Q1021" t="s">
        <v>3097</v>
      </c>
    </row>
    <row r="1022" spans="1:17" ht="15.75" hidden="1" customHeight="1">
      <c r="A1022" t="s">
        <v>3098</v>
      </c>
      <c r="B1022" t="s">
        <v>281</v>
      </c>
      <c r="C1022" t="s">
        <v>3099</v>
      </c>
      <c r="E1022" t="s">
        <v>3100</v>
      </c>
      <c r="F1022" t="s">
        <v>3090</v>
      </c>
      <c r="G1022" t="s">
        <v>285</v>
      </c>
      <c r="J1022" t="s">
        <v>3101</v>
      </c>
      <c r="K1022">
        <v>15</v>
      </c>
      <c r="L1022" s="28">
        <v>-90</v>
      </c>
      <c r="M1022" t="s">
        <v>287</v>
      </c>
      <c r="Q1022" t="s">
        <v>3102</v>
      </c>
    </row>
    <row r="1023" spans="1:17" ht="15.75" hidden="1" customHeight="1">
      <c r="A1023" t="s">
        <v>3103</v>
      </c>
      <c r="B1023" t="s">
        <v>281</v>
      </c>
      <c r="C1023" t="s">
        <v>3090</v>
      </c>
      <c r="E1023" t="s">
        <v>3104</v>
      </c>
      <c r="F1023" t="s">
        <v>3090</v>
      </c>
      <c r="G1023" t="s">
        <v>285</v>
      </c>
      <c r="J1023" t="s">
        <v>3105</v>
      </c>
      <c r="K1023">
        <v>20</v>
      </c>
      <c r="L1023" s="28">
        <v>-120</v>
      </c>
      <c r="M1023" t="s">
        <v>287</v>
      </c>
      <c r="Q1023" t="s">
        <v>3106</v>
      </c>
    </row>
    <row r="1024" spans="1:17" ht="15.75" hidden="1" customHeight="1">
      <c r="A1024" t="s">
        <v>3107</v>
      </c>
      <c r="B1024" t="s">
        <v>281</v>
      </c>
      <c r="C1024" t="s">
        <v>3108</v>
      </c>
      <c r="E1024" t="s">
        <v>3109</v>
      </c>
      <c r="F1024" t="s">
        <v>3090</v>
      </c>
      <c r="G1024" t="s">
        <v>285</v>
      </c>
      <c r="J1024" t="s">
        <v>3110</v>
      </c>
      <c r="K1024">
        <v>30</v>
      </c>
      <c r="L1024" s="28">
        <v>-180</v>
      </c>
      <c r="M1024" t="s">
        <v>287</v>
      </c>
      <c r="Q1024" t="s">
        <v>3111</v>
      </c>
    </row>
    <row r="1025" spans="1:17" ht="15.75" hidden="1" customHeight="1">
      <c r="A1025" t="s">
        <v>3112</v>
      </c>
      <c r="B1025" t="s">
        <v>281</v>
      </c>
      <c r="C1025" t="s">
        <v>3113</v>
      </c>
      <c r="E1025" t="s">
        <v>3114</v>
      </c>
      <c r="F1025" t="s">
        <v>3115</v>
      </c>
      <c r="G1025" t="s">
        <v>285</v>
      </c>
      <c r="J1025" t="s">
        <v>3116</v>
      </c>
      <c r="K1025">
        <v>5</v>
      </c>
      <c r="L1025" s="28">
        <v>-30</v>
      </c>
      <c r="M1025" t="s">
        <v>287</v>
      </c>
      <c r="Q1025" t="s">
        <v>3117</v>
      </c>
    </row>
    <row r="1026" spans="1:17" ht="15.75" hidden="1" customHeight="1">
      <c r="A1026" t="s">
        <v>3118</v>
      </c>
      <c r="B1026" t="s">
        <v>281</v>
      </c>
      <c r="C1026" t="s">
        <v>3119</v>
      </c>
      <c r="E1026" t="s">
        <v>3120</v>
      </c>
      <c r="F1026" t="s">
        <v>3115</v>
      </c>
      <c r="G1026" t="s">
        <v>285</v>
      </c>
      <c r="J1026" t="s">
        <v>3121</v>
      </c>
      <c r="K1026">
        <v>10</v>
      </c>
      <c r="L1026" s="28">
        <v>-60</v>
      </c>
      <c r="M1026" t="s">
        <v>287</v>
      </c>
      <c r="Q1026" t="s">
        <v>3122</v>
      </c>
    </row>
    <row r="1027" spans="1:17" ht="15.75" hidden="1" customHeight="1">
      <c r="A1027" t="s">
        <v>3123</v>
      </c>
      <c r="B1027" t="s">
        <v>281</v>
      </c>
      <c r="C1027" t="s">
        <v>3124</v>
      </c>
      <c r="E1027" t="s">
        <v>3125</v>
      </c>
      <c r="F1027" t="s">
        <v>3115</v>
      </c>
      <c r="G1027" t="s">
        <v>285</v>
      </c>
      <c r="J1027" t="s">
        <v>3126</v>
      </c>
      <c r="K1027">
        <v>15</v>
      </c>
      <c r="L1027" s="28">
        <v>-90</v>
      </c>
      <c r="M1027" t="s">
        <v>287</v>
      </c>
      <c r="Q1027" t="s">
        <v>3127</v>
      </c>
    </row>
    <row r="1028" spans="1:17" ht="15.75" hidden="1" customHeight="1">
      <c r="A1028" t="s">
        <v>3128</v>
      </c>
      <c r="B1028" t="s">
        <v>281</v>
      </c>
      <c r="C1028" t="s">
        <v>3115</v>
      </c>
      <c r="E1028" t="s">
        <v>3129</v>
      </c>
      <c r="F1028" t="s">
        <v>3115</v>
      </c>
      <c r="G1028" t="s">
        <v>285</v>
      </c>
      <c r="J1028" t="s">
        <v>3130</v>
      </c>
      <c r="K1028">
        <v>20</v>
      </c>
      <c r="L1028" s="28">
        <v>-120</v>
      </c>
      <c r="M1028" t="s">
        <v>287</v>
      </c>
      <c r="Q1028" t="s">
        <v>3131</v>
      </c>
    </row>
    <row r="1029" spans="1:17" ht="15.75" hidden="1" customHeight="1">
      <c r="A1029" t="s">
        <v>3132</v>
      </c>
      <c r="B1029" t="s">
        <v>281</v>
      </c>
      <c r="C1029" t="s">
        <v>3133</v>
      </c>
      <c r="E1029" t="s">
        <v>3134</v>
      </c>
      <c r="F1029" t="s">
        <v>3115</v>
      </c>
      <c r="G1029" t="s">
        <v>285</v>
      </c>
      <c r="J1029" t="s">
        <v>3135</v>
      </c>
      <c r="K1029">
        <v>30</v>
      </c>
      <c r="L1029" s="28">
        <v>-180</v>
      </c>
      <c r="M1029" t="s">
        <v>287</v>
      </c>
      <c r="Q1029" t="s">
        <v>3136</v>
      </c>
    </row>
    <row r="1030" spans="1:17" ht="15.75" hidden="1" customHeight="1">
      <c r="A1030" t="s">
        <v>3137</v>
      </c>
      <c r="B1030" t="s">
        <v>281</v>
      </c>
      <c r="C1030" t="s">
        <v>3138</v>
      </c>
      <c r="E1030" t="s">
        <v>3139</v>
      </c>
      <c r="F1030" t="s">
        <v>3140</v>
      </c>
      <c r="G1030" t="s">
        <v>285</v>
      </c>
      <c r="J1030" t="s">
        <v>3141</v>
      </c>
      <c r="K1030">
        <v>5</v>
      </c>
      <c r="L1030" s="28">
        <v>-35</v>
      </c>
      <c r="M1030" t="s">
        <v>287</v>
      </c>
      <c r="Q1030" t="s">
        <v>3142</v>
      </c>
    </row>
    <row r="1031" spans="1:17" ht="15.75" hidden="1" customHeight="1">
      <c r="A1031" t="s">
        <v>3143</v>
      </c>
      <c r="B1031" t="s">
        <v>281</v>
      </c>
      <c r="C1031" t="s">
        <v>3144</v>
      </c>
      <c r="E1031" t="s">
        <v>3145</v>
      </c>
      <c r="F1031" t="s">
        <v>3140</v>
      </c>
      <c r="G1031" t="s">
        <v>285</v>
      </c>
      <c r="J1031" t="s">
        <v>3146</v>
      </c>
      <c r="K1031">
        <v>10</v>
      </c>
      <c r="L1031" s="28">
        <v>-70</v>
      </c>
      <c r="M1031" t="s">
        <v>287</v>
      </c>
      <c r="Q1031" t="s">
        <v>3147</v>
      </c>
    </row>
    <row r="1032" spans="1:17" ht="15.75" hidden="1" customHeight="1">
      <c r="A1032" t="s">
        <v>3148</v>
      </c>
      <c r="B1032" t="s">
        <v>281</v>
      </c>
      <c r="C1032" t="s">
        <v>3149</v>
      </c>
      <c r="E1032" t="s">
        <v>3150</v>
      </c>
      <c r="F1032" t="s">
        <v>3140</v>
      </c>
      <c r="G1032" t="s">
        <v>285</v>
      </c>
      <c r="J1032" t="s">
        <v>3151</v>
      </c>
      <c r="K1032">
        <v>15</v>
      </c>
      <c r="L1032" s="28">
        <v>-105</v>
      </c>
      <c r="M1032" t="s">
        <v>287</v>
      </c>
      <c r="Q1032" t="s">
        <v>3152</v>
      </c>
    </row>
    <row r="1033" spans="1:17" ht="15.75" hidden="1" customHeight="1">
      <c r="A1033" t="s">
        <v>3153</v>
      </c>
      <c r="B1033" t="s">
        <v>281</v>
      </c>
      <c r="C1033" t="s">
        <v>3140</v>
      </c>
      <c r="E1033" t="s">
        <v>3154</v>
      </c>
      <c r="F1033" t="s">
        <v>3140</v>
      </c>
      <c r="G1033" t="s">
        <v>285</v>
      </c>
      <c r="J1033" t="s">
        <v>3155</v>
      </c>
      <c r="K1033">
        <v>20</v>
      </c>
      <c r="L1033" s="28">
        <v>-140</v>
      </c>
      <c r="M1033" t="s">
        <v>287</v>
      </c>
      <c r="Q1033" t="s">
        <v>3156</v>
      </c>
    </row>
    <row r="1034" spans="1:17" ht="15.75" hidden="1" customHeight="1">
      <c r="A1034" t="s">
        <v>3157</v>
      </c>
      <c r="B1034" t="s">
        <v>281</v>
      </c>
      <c r="C1034" t="s">
        <v>3158</v>
      </c>
      <c r="E1034" t="s">
        <v>3159</v>
      </c>
      <c r="F1034" t="s">
        <v>3140</v>
      </c>
      <c r="G1034" t="s">
        <v>285</v>
      </c>
      <c r="J1034" t="s">
        <v>3160</v>
      </c>
      <c r="K1034">
        <v>30</v>
      </c>
      <c r="L1034" s="28">
        <v>-210</v>
      </c>
      <c r="M1034" t="s">
        <v>287</v>
      </c>
      <c r="Q1034" t="s">
        <v>3161</v>
      </c>
    </row>
    <row r="1035" spans="1:17" ht="15.75" hidden="1" customHeight="1">
      <c r="A1035" t="s">
        <v>3162</v>
      </c>
      <c r="B1035" t="s">
        <v>281</v>
      </c>
      <c r="C1035" t="s">
        <v>3163</v>
      </c>
      <c r="E1035" t="s">
        <v>3164</v>
      </c>
      <c r="F1035" t="s">
        <v>3165</v>
      </c>
      <c r="G1035" t="s">
        <v>285</v>
      </c>
      <c r="J1035" t="s">
        <v>3166</v>
      </c>
      <c r="K1035">
        <v>5</v>
      </c>
      <c r="L1035" s="28">
        <v>-50</v>
      </c>
      <c r="M1035" t="s">
        <v>287</v>
      </c>
      <c r="Q1035" t="s">
        <v>3167</v>
      </c>
    </row>
    <row r="1036" spans="1:17" ht="15.75" hidden="1" customHeight="1">
      <c r="A1036" t="s">
        <v>3168</v>
      </c>
      <c r="B1036" t="s">
        <v>281</v>
      </c>
      <c r="C1036" t="s">
        <v>3169</v>
      </c>
      <c r="E1036" t="s">
        <v>3170</v>
      </c>
      <c r="F1036" t="s">
        <v>3165</v>
      </c>
      <c r="G1036" t="s">
        <v>285</v>
      </c>
      <c r="J1036" t="s">
        <v>3171</v>
      </c>
      <c r="K1036">
        <v>10</v>
      </c>
      <c r="L1036" s="28">
        <v>-100</v>
      </c>
      <c r="M1036" t="s">
        <v>287</v>
      </c>
      <c r="Q1036" t="s">
        <v>3172</v>
      </c>
    </row>
    <row r="1037" spans="1:17" ht="15.75" hidden="1" customHeight="1">
      <c r="A1037" t="s">
        <v>3173</v>
      </c>
      <c r="B1037" t="s">
        <v>281</v>
      </c>
      <c r="C1037" t="s">
        <v>3174</v>
      </c>
      <c r="E1037" t="s">
        <v>3175</v>
      </c>
      <c r="F1037" t="s">
        <v>3165</v>
      </c>
      <c r="G1037" t="s">
        <v>285</v>
      </c>
      <c r="J1037" t="s">
        <v>3176</v>
      </c>
      <c r="K1037">
        <v>15</v>
      </c>
      <c r="L1037" s="28">
        <v>-150</v>
      </c>
      <c r="M1037" t="s">
        <v>287</v>
      </c>
      <c r="Q1037" t="s">
        <v>3177</v>
      </c>
    </row>
    <row r="1038" spans="1:17" ht="15.75" hidden="1" customHeight="1">
      <c r="A1038" t="s">
        <v>3178</v>
      </c>
      <c r="B1038" t="s">
        <v>281</v>
      </c>
      <c r="C1038" t="s">
        <v>3165</v>
      </c>
      <c r="E1038" t="s">
        <v>3179</v>
      </c>
      <c r="F1038" t="s">
        <v>3165</v>
      </c>
      <c r="G1038" t="s">
        <v>285</v>
      </c>
      <c r="J1038" t="s">
        <v>3180</v>
      </c>
      <c r="K1038">
        <v>20</v>
      </c>
      <c r="L1038" s="28">
        <v>-200</v>
      </c>
      <c r="M1038" t="s">
        <v>287</v>
      </c>
      <c r="Q1038" t="s">
        <v>3181</v>
      </c>
    </row>
    <row r="1039" spans="1:17" ht="15.75" hidden="1" customHeight="1">
      <c r="A1039" t="s">
        <v>3182</v>
      </c>
      <c r="B1039" t="s">
        <v>281</v>
      </c>
      <c r="C1039" t="s">
        <v>3183</v>
      </c>
      <c r="E1039" t="s">
        <v>3184</v>
      </c>
      <c r="F1039" t="s">
        <v>3165</v>
      </c>
      <c r="G1039" t="s">
        <v>285</v>
      </c>
      <c r="J1039" t="s">
        <v>3185</v>
      </c>
      <c r="K1039">
        <v>30</v>
      </c>
      <c r="L1039" s="28">
        <v>-300</v>
      </c>
      <c r="M1039" t="s">
        <v>287</v>
      </c>
      <c r="Q1039" t="s">
        <v>3186</v>
      </c>
    </row>
    <row r="1040" spans="1:17" ht="15.75" hidden="1" customHeight="1">
      <c r="A1040" t="s">
        <v>3187</v>
      </c>
      <c r="B1040" t="s">
        <v>281</v>
      </c>
      <c r="C1040" t="s">
        <v>3188</v>
      </c>
      <c r="E1040" t="s">
        <v>3189</v>
      </c>
      <c r="F1040" t="s">
        <v>3190</v>
      </c>
      <c r="G1040" t="s">
        <v>285</v>
      </c>
      <c r="J1040" t="s">
        <v>3191</v>
      </c>
      <c r="K1040">
        <v>5</v>
      </c>
      <c r="L1040" s="28">
        <v>-50</v>
      </c>
      <c r="M1040" t="s">
        <v>287</v>
      </c>
      <c r="Q1040" t="s">
        <v>3192</v>
      </c>
    </row>
    <row r="1041" spans="1:17" ht="15.75" hidden="1" customHeight="1">
      <c r="A1041" t="s">
        <v>3193</v>
      </c>
      <c r="B1041" t="s">
        <v>281</v>
      </c>
      <c r="C1041" t="s">
        <v>3194</v>
      </c>
      <c r="E1041" t="s">
        <v>3195</v>
      </c>
      <c r="F1041" t="s">
        <v>3190</v>
      </c>
      <c r="G1041" t="s">
        <v>285</v>
      </c>
      <c r="J1041" t="s">
        <v>3196</v>
      </c>
      <c r="K1041">
        <v>10</v>
      </c>
      <c r="L1041" s="28">
        <v>-100</v>
      </c>
      <c r="M1041" t="s">
        <v>287</v>
      </c>
      <c r="Q1041" t="s">
        <v>3197</v>
      </c>
    </row>
    <row r="1042" spans="1:17" ht="15.75" hidden="1" customHeight="1">
      <c r="A1042" t="s">
        <v>3198</v>
      </c>
      <c r="B1042" t="s">
        <v>281</v>
      </c>
      <c r="C1042" t="s">
        <v>3199</v>
      </c>
      <c r="E1042" t="s">
        <v>3200</v>
      </c>
      <c r="F1042" t="s">
        <v>3190</v>
      </c>
      <c r="G1042" t="s">
        <v>285</v>
      </c>
      <c r="J1042" t="s">
        <v>3201</v>
      </c>
      <c r="K1042">
        <v>15</v>
      </c>
      <c r="L1042" s="28">
        <v>-150</v>
      </c>
      <c r="M1042" t="s">
        <v>287</v>
      </c>
      <c r="Q1042" t="s">
        <v>3202</v>
      </c>
    </row>
    <row r="1043" spans="1:17" ht="15.75" hidden="1" customHeight="1">
      <c r="A1043" t="s">
        <v>3203</v>
      </c>
      <c r="B1043" t="s">
        <v>281</v>
      </c>
      <c r="C1043" t="s">
        <v>3190</v>
      </c>
      <c r="E1043" t="s">
        <v>3204</v>
      </c>
      <c r="F1043" t="s">
        <v>3190</v>
      </c>
      <c r="G1043" t="s">
        <v>285</v>
      </c>
      <c r="J1043" t="s">
        <v>3205</v>
      </c>
      <c r="K1043">
        <v>20</v>
      </c>
      <c r="L1043" s="28">
        <v>-200</v>
      </c>
      <c r="M1043" t="s">
        <v>287</v>
      </c>
      <c r="Q1043" t="s">
        <v>3206</v>
      </c>
    </row>
    <row r="1044" spans="1:17" ht="15.75" hidden="1" customHeight="1">
      <c r="A1044" t="s">
        <v>3207</v>
      </c>
      <c r="B1044" t="s">
        <v>281</v>
      </c>
      <c r="C1044" t="s">
        <v>3208</v>
      </c>
      <c r="E1044" t="s">
        <v>3209</v>
      </c>
      <c r="F1044" t="s">
        <v>3190</v>
      </c>
      <c r="G1044" t="s">
        <v>285</v>
      </c>
      <c r="J1044" t="s">
        <v>3210</v>
      </c>
      <c r="K1044">
        <v>30</v>
      </c>
      <c r="L1044" s="28">
        <v>-300</v>
      </c>
      <c r="M1044" t="s">
        <v>287</v>
      </c>
      <c r="Q1044" t="s">
        <v>3211</v>
      </c>
    </row>
    <row r="1045" spans="1:17" ht="15.75" hidden="1" customHeight="1">
      <c r="A1045" t="s">
        <v>3212</v>
      </c>
      <c r="B1045" t="s">
        <v>281</v>
      </c>
      <c r="C1045" t="s">
        <v>3213</v>
      </c>
      <c r="E1045" t="s">
        <v>3214</v>
      </c>
      <c r="F1045" t="s">
        <v>3215</v>
      </c>
      <c r="G1045" t="s">
        <v>285</v>
      </c>
      <c r="J1045" t="s">
        <v>3216</v>
      </c>
      <c r="K1045">
        <v>5</v>
      </c>
      <c r="L1045" s="28">
        <v>-30</v>
      </c>
      <c r="M1045" t="s">
        <v>287</v>
      </c>
      <c r="Q1045" t="s">
        <v>3217</v>
      </c>
    </row>
    <row r="1046" spans="1:17" ht="15.75" hidden="1" customHeight="1">
      <c r="A1046" t="s">
        <v>3218</v>
      </c>
      <c r="B1046" t="s">
        <v>281</v>
      </c>
      <c r="C1046" t="s">
        <v>3219</v>
      </c>
      <c r="E1046" t="s">
        <v>3220</v>
      </c>
      <c r="F1046" t="s">
        <v>3215</v>
      </c>
      <c r="G1046" t="s">
        <v>285</v>
      </c>
      <c r="J1046" t="s">
        <v>3221</v>
      </c>
      <c r="K1046">
        <v>10</v>
      </c>
      <c r="L1046" s="28">
        <v>-60</v>
      </c>
      <c r="M1046" t="s">
        <v>287</v>
      </c>
      <c r="Q1046" t="s">
        <v>3222</v>
      </c>
    </row>
    <row r="1047" spans="1:17" ht="15.75" hidden="1" customHeight="1">
      <c r="A1047" t="s">
        <v>3223</v>
      </c>
      <c r="B1047" t="s">
        <v>281</v>
      </c>
      <c r="C1047" t="s">
        <v>3224</v>
      </c>
      <c r="E1047" t="s">
        <v>3225</v>
      </c>
      <c r="F1047" t="s">
        <v>3215</v>
      </c>
      <c r="G1047" t="s">
        <v>285</v>
      </c>
      <c r="J1047" t="s">
        <v>3226</v>
      </c>
      <c r="K1047">
        <v>15</v>
      </c>
      <c r="L1047" s="28">
        <v>-90</v>
      </c>
      <c r="M1047" t="s">
        <v>287</v>
      </c>
      <c r="Q1047" t="s">
        <v>3227</v>
      </c>
    </row>
    <row r="1048" spans="1:17" ht="15.75" hidden="1" customHeight="1">
      <c r="A1048" t="s">
        <v>3228</v>
      </c>
      <c r="B1048" t="s">
        <v>281</v>
      </c>
      <c r="C1048" t="s">
        <v>3215</v>
      </c>
      <c r="E1048" t="s">
        <v>3229</v>
      </c>
      <c r="F1048" t="s">
        <v>3215</v>
      </c>
      <c r="G1048" t="s">
        <v>285</v>
      </c>
      <c r="J1048" t="s">
        <v>3230</v>
      </c>
      <c r="K1048">
        <v>20</v>
      </c>
      <c r="L1048" s="28">
        <v>-120</v>
      </c>
      <c r="M1048" t="s">
        <v>287</v>
      </c>
      <c r="Q1048" t="s">
        <v>3231</v>
      </c>
    </row>
    <row r="1049" spans="1:17" ht="15.75" hidden="1" customHeight="1">
      <c r="A1049" t="s">
        <v>3232</v>
      </c>
      <c r="B1049" t="s">
        <v>281</v>
      </c>
      <c r="C1049" t="s">
        <v>3233</v>
      </c>
      <c r="E1049" t="s">
        <v>3234</v>
      </c>
      <c r="F1049" t="s">
        <v>3215</v>
      </c>
      <c r="G1049" t="s">
        <v>285</v>
      </c>
      <c r="J1049" t="s">
        <v>3235</v>
      </c>
      <c r="K1049">
        <v>30</v>
      </c>
      <c r="L1049" s="28">
        <v>-180</v>
      </c>
      <c r="M1049" t="s">
        <v>287</v>
      </c>
      <c r="Q1049" t="s">
        <v>3236</v>
      </c>
    </row>
    <row r="1050" spans="1:17" ht="15.75" hidden="1" customHeight="1">
      <c r="A1050" t="s">
        <v>3237</v>
      </c>
      <c r="B1050" t="s">
        <v>281</v>
      </c>
      <c r="C1050" t="s">
        <v>3238</v>
      </c>
      <c r="E1050" t="s">
        <v>3239</v>
      </c>
      <c r="F1050" t="s">
        <v>3240</v>
      </c>
      <c r="G1050" t="s">
        <v>285</v>
      </c>
      <c r="J1050" t="s">
        <v>3241</v>
      </c>
      <c r="K1050">
        <v>5</v>
      </c>
      <c r="L1050" s="28">
        <v>-45</v>
      </c>
      <c r="M1050" t="s">
        <v>287</v>
      </c>
      <c r="Q1050" t="s">
        <v>3242</v>
      </c>
    </row>
    <row r="1051" spans="1:17" ht="15.75" hidden="1" customHeight="1">
      <c r="A1051" t="s">
        <v>3243</v>
      </c>
      <c r="B1051" t="s">
        <v>281</v>
      </c>
      <c r="C1051" t="s">
        <v>3244</v>
      </c>
      <c r="E1051" t="s">
        <v>3245</v>
      </c>
      <c r="F1051" t="s">
        <v>3240</v>
      </c>
      <c r="G1051" t="s">
        <v>285</v>
      </c>
      <c r="J1051" t="s">
        <v>3246</v>
      </c>
      <c r="K1051">
        <v>10</v>
      </c>
      <c r="L1051" s="28">
        <v>-90</v>
      </c>
      <c r="M1051" t="s">
        <v>287</v>
      </c>
      <c r="Q1051" t="s">
        <v>3247</v>
      </c>
    </row>
    <row r="1052" spans="1:17" ht="15.75" hidden="1" customHeight="1">
      <c r="A1052" t="s">
        <v>3248</v>
      </c>
      <c r="B1052" t="s">
        <v>281</v>
      </c>
      <c r="C1052" t="s">
        <v>3249</v>
      </c>
      <c r="E1052" t="s">
        <v>3250</v>
      </c>
      <c r="F1052" t="s">
        <v>3240</v>
      </c>
      <c r="G1052" t="s">
        <v>285</v>
      </c>
      <c r="J1052" t="s">
        <v>3251</v>
      </c>
      <c r="K1052">
        <v>15</v>
      </c>
      <c r="L1052" s="28">
        <v>-135</v>
      </c>
      <c r="M1052" t="s">
        <v>287</v>
      </c>
      <c r="Q1052" t="s">
        <v>3252</v>
      </c>
    </row>
    <row r="1053" spans="1:17" ht="15.75" hidden="1" customHeight="1">
      <c r="A1053" t="s">
        <v>3253</v>
      </c>
      <c r="B1053" t="s">
        <v>281</v>
      </c>
      <c r="C1053" t="s">
        <v>3240</v>
      </c>
      <c r="E1053" t="s">
        <v>3254</v>
      </c>
      <c r="F1053" t="s">
        <v>3240</v>
      </c>
      <c r="G1053" t="s">
        <v>285</v>
      </c>
      <c r="J1053" t="s">
        <v>3255</v>
      </c>
      <c r="K1053">
        <v>20</v>
      </c>
      <c r="L1053" s="28">
        <v>-180</v>
      </c>
      <c r="M1053" t="s">
        <v>287</v>
      </c>
      <c r="Q1053" t="s">
        <v>3256</v>
      </c>
    </row>
    <row r="1054" spans="1:17" ht="15.75" hidden="1" customHeight="1">
      <c r="A1054" t="s">
        <v>3257</v>
      </c>
      <c r="B1054" t="s">
        <v>281</v>
      </c>
      <c r="C1054" t="s">
        <v>3258</v>
      </c>
      <c r="E1054" t="s">
        <v>3259</v>
      </c>
      <c r="F1054" t="s">
        <v>3240</v>
      </c>
      <c r="G1054" t="s">
        <v>285</v>
      </c>
      <c r="J1054" t="s">
        <v>3260</v>
      </c>
      <c r="K1054">
        <v>30</v>
      </c>
      <c r="L1054" s="28">
        <v>-270</v>
      </c>
      <c r="M1054" t="s">
        <v>287</v>
      </c>
      <c r="Q1054" t="s">
        <v>3261</v>
      </c>
    </row>
    <row r="1055" spans="1:17" ht="15.75" hidden="1" customHeight="1">
      <c r="A1055" t="s">
        <v>3262</v>
      </c>
      <c r="B1055" t="s">
        <v>281</v>
      </c>
      <c r="C1055" t="s">
        <v>3263</v>
      </c>
      <c r="E1055" t="s">
        <v>3264</v>
      </c>
      <c r="F1055" t="s">
        <v>3265</v>
      </c>
      <c r="G1055" t="s">
        <v>285</v>
      </c>
      <c r="J1055" t="s">
        <v>3266</v>
      </c>
      <c r="K1055">
        <v>5</v>
      </c>
      <c r="L1055" s="28">
        <v>-45</v>
      </c>
      <c r="M1055" t="s">
        <v>287</v>
      </c>
      <c r="Q1055" t="s">
        <v>3267</v>
      </c>
    </row>
    <row r="1056" spans="1:17" ht="15.75" hidden="1" customHeight="1">
      <c r="A1056" t="s">
        <v>3268</v>
      </c>
      <c r="B1056" t="s">
        <v>281</v>
      </c>
      <c r="C1056" t="s">
        <v>3269</v>
      </c>
      <c r="E1056" t="s">
        <v>3270</v>
      </c>
      <c r="F1056" t="s">
        <v>3265</v>
      </c>
      <c r="G1056" t="s">
        <v>285</v>
      </c>
      <c r="J1056" t="s">
        <v>3271</v>
      </c>
      <c r="K1056">
        <v>10</v>
      </c>
      <c r="L1056" s="28">
        <v>-90</v>
      </c>
      <c r="M1056" t="s">
        <v>287</v>
      </c>
      <c r="Q1056" t="s">
        <v>3272</v>
      </c>
    </row>
    <row r="1057" spans="1:17" ht="15.75" hidden="1" customHeight="1">
      <c r="A1057" t="s">
        <v>3273</v>
      </c>
      <c r="B1057" t="s">
        <v>281</v>
      </c>
      <c r="C1057" t="s">
        <v>3274</v>
      </c>
      <c r="E1057" t="s">
        <v>3275</v>
      </c>
      <c r="F1057" t="s">
        <v>3265</v>
      </c>
      <c r="G1057" t="s">
        <v>285</v>
      </c>
      <c r="J1057" t="s">
        <v>3276</v>
      </c>
      <c r="K1057">
        <v>15</v>
      </c>
      <c r="L1057" s="28">
        <v>-135</v>
      </c>
      <c r="M1057" t="s">
        <v>287</v>
      </c>
      <c r="Q1057" t="s">
        <v>3277</v>
      </c>
    </row>
    <row r="1058" spans="1:17" ht="15.75" hidden="1" customHeight="1">
      <c r="A1058" t="s">
        <v>3278</v>
      </c>
      <c r="B1058" t="s">
        <v>281</v>
      </c>
      <c r="C1058" t="s">
        <v>3265</v>
      </c>
      <c r="E1058" t="s">
        <v>3279</v>
      </c>
      <c r="F1058" t="s">
        <v>3265</v>
      </c>
      <c r="G1058" t="s">
        <v>285</v>
      </c>
      <c r="J1058" t="s">
        <v>3280</v>
      </c>
      <c r="K1058">
        <v>20</v>
      </c>
      <c r="L1058" s="28">
        <v>-180</v>
      </c>
      <c r="M1058" t="s">
        <v>287</v>
      </c>
      <c r="Q1058" t="s">
        <v>3281</v>
      </c>
    </row>
    <row r="1059" spans="1:17" ht="15.75" hidden="1" customHeight="1">
      <c r="A1059" t="s">
        <v>3282</v>
      </c>
      <c r="B1059" t="s">
        <v>281</v>
      </c>
      <c r="C1059" t="s">
        <v>3283</v>
      </c>
      <c r="E1059" t="s">
        <v>3284</v>
      </c>
      <c r="F1059" t="s">
        <v>3265</v>
      </c>
      <c r="G1059" t="s">
        <v>285</v>
      </c>
      <c r="J1059" t="s">
        <v>3285</v>
      </c>
      <c r="K1059">
        <v>30</v>
      </c>
      <c r="L1059" s="28">
        <v>-270</v>
      </c>
      <c r="M1059" t="s">
        <v>287</v>
      </c>
      <c r="Q1059" t="s">
        <v>3286</v>
      </c>
    </row>
    <row r="1060" spans="1:17" ht="15.75" hidden="1" customHeight="1">
      <c r="A1060" t="s">
        <v>3287</v>
      </c>
      <c r="B1060" t="s">
        <v>281</v>
      </c>
      <c r="C1060" t="s">
        <v>3288</v>
      </c>
      <c r="E1060" t="s">
        <v>3289</v>
      </c>
      <c r="F1060" t="s">
        <v>3290</v>
      </c>
      <c r="G1060" t="s">
        <v>285</v>
      </c>
      <c r="J1060" t="s">
        <v>3291</v>
      </c>
      <c r="K1060">
        <v>5</v>
      </c>
      <c r="L1060" s="28">
        <v>-50</v>
      </c>
      <c r="M1060" t="s">
        <v>287</v>
      </c>
      <c r="Q1060" t="s">
        <v>3292</v>
      </c>
    </row>
    <row r="1061" spans="1:17" ht="15.75" hidden="1" customHeight="1">
      <c r="A1061" t="s">
        <v>3293</v>
      </c>
      <c r="B1061" t="s">
        <v>281</v>
      </c>
      <c r="C1061" t="s">
        <v>3294</v>
      </c>
      <c r="E1061" t="s">
        <v>3295</v>
      </c>
      <c r="F1061" t="s">
        <v>3290</v>
      </c>
      <c r="G1061" t="s">
        <v>285</v>
      </c>
      <c r="J1061" t="s">
        <v>3296</v>
      </c>
      <c r="K1061">
        <v>10</v>
      </c>
      <c r="L1061" s="28">
        <v>-100</v>
      </c>
      <c r="M1061" t="s">
        <v>287</v>
      </c>
      <c r="Q1061" t="s">
        <v>3297</v>
      </c>
    </row>
    <row r="1062" spans="1:17" ht="15.75" hidden="1" customHeight="1">
      <c r="A1062" t="s">
        <v>3298</v>
      </c>
      <c r="B1062" t="s">
        <v>281</v>
      </c>
      <c r="C1062" t="s">
        <v>3299</v>
      </c>
      <c r="E1062" t="s">
        <v>3300</v>
      </c>
      <c r="F1062" t="s">
        <v>3290</v>
      </c>
      <c r="G1062" t="s">
        <v>285</v>
      </c>
      <c r="J1062" t="s">
        <v>3301</v>
      </c>
      <c r="K1062">
        <v>15</v>
      </c>
      <c r="L1062" s="28">
        <v>-150</v>
      </c>
      <c r="M1062" t="s">
        <v>287</v>
      </c>
      <c r="Q1062" t="s">
        <v>3302</v>
      </c>
    </row>
    <row r="1063" spans="1:17" ht="15.75" hidden="1" customHeight="1">
      <c r="A1063" t="s">
        <v>3303</v>
      </c>
      <c r="B1063" t="s">
        <v>281</v>
      </c>
      <c r="C1063" t="s">
        <v>3290</v>
      </c>
      <c r="E1063" t="s">
        <v>3304</v>
      </c>
      <c r="F1063" t="s">
        <v>3290</v>
      </c>
      <c r="G1063" t="s">
        <v>285</v>
      </c>
      <c r="J1063" t="s">
        <v>3305</v>
      </c>
      <c r="K1063">
        <v>20</v>
      </c>
      <c r="L1063" s="28">
        <v>-200</v>
      </c>
      <c r="M1063" t="s">
        <v>287</v>
      </c>
      <c r="Q1063" t="s">
        <v>3306</v>
      </c>
    </row>
    <row r="1064" spans="1:17" ht="15.75" hidden="1" customHeight="1">
      <c r="A1064" t="s">
        <v>3307</v>
      </c>
      <c r="B1064" t="s">
        <v>281</v>
      </c>
      <c r="C1064" t="s">
        <v>3308</v>
      </c>
      <c r="E1064" t="s">
        <v>3309</v>
      </c>
      <c r="F1064" t="s">
        <v>3290</v>
      </c>
      <c r="G1064" t="s">
        <v>285</v>
      </c>
      <c r="J1064" t="s">
        <v>3310</v>
      </c>
      <c r="K1064">
        <v>30</v>
      </c>
      <c r="L1064" s="28">
        <v>-300</v>
      </c>
      <c r="M1064" t="s">
        <v>287</v>
      </c>
      <c r="Q1064" t="s">
        <v>3311</v>
      </c>
    </row>
    <row r="1065" spans="1:17" ht="15.75" hidden="1" customHeight="1">
      <c r="A1065" t="s">
        <v>3312</v>
      </c>
      <c r="B1065" t="s">
        <v>281</v>
      </c>
      <c r="C1065" t="s">
        <v>3313</v>
      </c>
      <c r="E1065" t="s">
        <v>3314</v>
      </c>
      <c r="F1065" t="s">
        <v>3315</v>
      </c>
      <c r="G1065" t="s">
        <v>285</v>
      </c>
      <c r="J1065" t="s">
        <v>3316</v>
      </c>
      <c r="K1065">
        <v>5</v>
      </c>
      <c r="L1065" s="28">
        <v>-50</v>
      </c>
      <c r="M1065" t="s">
        <v>287</v>
      </c>
      <c r="Q1065" t="s">
        <v>3317</v>
      </c>
    </row>
    <row r="1066" spans="1:17" ht="15.75" hidden="1" customHeight="1">
      <c r="A1066" t="s">
        <v>3318</v>
      </c>
      <c r="B1066" t="s">
        <v>281</v>
      </c>
      <c r="C1066" t="s">
        <v>3319</v>
      </c>
      <c r="E1066" t="s">
        <v>3320</v>
      </c>
      <c r="F1066" t="s">
        <v>3315</v>
      </c>
      <c r="G1066" t="s">
        <v>285</v>
      </c>
      <c r="J1066" t="s">
        <v>3321</v>
      </c>
      <c r="K1066">
        <v>10</v>
      </c>
      <c r="L1066" s="28">
        <v>-100</v>
      </c>
      <c r="M1066" t="s">
        <v>287</v>
      </c>
      <c r="Q1066" t="s">
        <v>3322</v>
      </c>
    </row>
    <row r="1067" spans="1:17" ht="15.75" hidden="1" customHeight="1">
      <c r="A1067" t="s">
        <v>3323</v>
      </c>
      <c r="B1067" t="s">
        <v>281</v>
      </c>
      <c r="C1067" t="s">
        <v>3324</v>
      </c>
      <c r="E1067" t="s">
        <v>3325</v>
      </c>
      <c r="F1067" t="s">
        <v>3315</v>
      </c>
      <c r="G1067" t="s">
        <v>285</v>
      </c>
      <c r="J1067" t="s">
        <v>3326</v>
      </c>
      <c r="K1067">
        <v>15</v>
      </c>
      <c r="L1067" s="28">
        <v>-150</v>
      </c>
      <c r="M1067" t="s">
        <v>287</v>
      </c>
      <c r="Q1067" t="s">
        <v>3327</v>
      </c>
    </row>
    <row r="1068" spans="1:17" ht="15.75" hidden="1" customHeight="1">
      <c r="A1068" t="s">
        <v>3328</v>
      </c>
      <c r="B1068" t="s">
        <v>281</v>
      </c>
      <c r="C1068" t="s">
        <v>3315</v>
      </c>
      <c r="E1068" t="s">
        <v>3329</v>
      </c>
      <c r="F1068" t="s">
        <v>3315</v>
      </c>
      <c r="G1068" t="s">
        <v>285</v>
      </c>
      <c r="J1068" t="s">
        <v>3330</v>
      </c>
      <c r="K1068">
        <v>20</v>
      </c>
      <c r="L1068" s="28">
        <v>-200</v>
      </c>
      <c r="M1068" t="s">
        <v>287</v>
      </c>
      <c r="Q1068" t="s">
        <v>3331</v>
      </c>
    </row>
    <row r="1069" spans="1:17" ht="15.75" hidden="1" customHeight="1">
      <c r="A1069" t="s">
        <v>3332</v>
      </c>
      <c r="B1069" t="s">
        <v>281</v>
      </c>
      <c r="C1069" t="s">
        <v>3333</v>
      </c>
      <c r="E1069" t="s">
        <v>3334</v>
      </c>
      <c r="F1069" t="s">
        <v>3315</v>
      </c>
      <c r="G1069" t="s">
        <v>285</v>
      </c>
      <c r="J1069" t="s">
        <v>3335</v>
      </c>
      <c r="K1069">
        <v>30</v>
      </c>
      <c r="L1069" s="28">
        <v>-300</v>
      </c>
      <c r="M1069" t="s">
        <v>287</v>
      </c>
      <c r="Q1069" t="s">
        <v>3336</v>
      </c>
    </row>
    <row r="1070" spans="1:17" ht="15.75" hidden="1" customHeight="1">
      <c r="A1070" s="29" t="s">
        <v>3337</v>
      </c>
      <c r="B1070" s="11" t="s">
        <v>281</v>
      </c>
      <c r="C1070" s="7" t="s">
        <v>3338</v>
      </c>
      <c r="G1070" s="11" t="s">
        <v>285</v>
      </c>
      <c r="J1070" t="s">
        <v>3339</v>
      </c>
      <c r="L1070" s="28">
        <v>200</v>
      </c>
      <c r="M1070" t="s">
        <v>312</v>
      </c>
      <c r="Q1070" t="s">
        <v>3340</v>
      </c>
    </row>
    <row r="1071" spans="1:17" ht="15.75" hidden="1" customHeight="1">
      <c r="A1071" s="29" t="s">
        <v>3341</v>
      </c>
      <c r="B1071" s="11" t="s">
        <v>281</v>
      </c>
      <c r="C1071" s="7" t="s">
        <v>3342</v>
      </c>
      <c r="G1071" s="11" t="s">
        <v>285</v>
      </c>
      <c r="L1071" s="28">
        <v>500</v>
      </c>
      <c r="M1071" t="s">
        <v>312</v>
      </c>
      <c r="Q1071" t="s">
        <v>3343</v>
      </c>
    </row>
    <row r="1072" spans="1:17" ht="15.75" hidden="1" customHeight="1">
      <c r="A1072" s="29" t="s">
        <v>3344</v>
      </c>
      <c r="B1072" s="11" t="s">
        <v>281</v>
      </c>
      <c r="C1072" s="7" t="s">
        <v>3345</v>
      </c>
      <c r="G1072" s="11" t="s">
        <v>285</v>
      </c>
      <c r="J1072" t="s">
        <v>3346</v>
      </c>
      <c r="L1072" s="28">
        <v>300</v>
      </c>
      <c r="M1072">
        <v>3</v>
      </c>
      <c r="Q1072" t="s">
        <v>3347</v>
      </c>
    </row>
    <row r="1073" spans="1:17" ht="15.75" hidden="1" customHeight="1">
      <c r="A1073" s="29" t="s">
        <v>3348</v>
      </c>
      <c r="B1073" s="11" t="s">
        <v>281</v>
      </c>
      <c r="C1073" s="7" t="s">
        <v>3349</v>
      </c>
      <c r="G1073" s="11" t="s">
        <v>285</v>
      </c>
      <c r="J1073" t="s">
        <v>3350</v>
      </c>
      <c r="L1073" s="28">
        <v>250</v>
      </c>
      <c r="M1073" t="s">
        <v>312</v>
      </c>
      <c r="Q1073" t="s">
        <v>3351</v>
      </c>
    </row>
    <row r="1074" spans="1:17" ht="15.75" hidden="1" customHeight="1">
      <c r="A1074" s="29" t="s">
        <v>3352</v>
      </c>
      <c r="B1074" s="11" t="s">
        <v>281</v>
      </c>
      <c r="C1074" s="7" t="s">
        <v>3353</v>
      </c>
      <c r="G1074" s="11" t="s">
        <v>285</v>
      </c>
      <c r="J1074" t="s">
        <v>3354</v>
      </c>
      <c r="L1074" s="28">
        <v>100</v>
      </c>
      <c r="M1074" t="s">
        <v>312</v>
      </c>
      <c r="Q1074" t="s">
        <v>3355</v>
      </c>
    </row>
    <row r="1075" spans="1:17" ht="15.75" hidden="1" customHeight="1">
      <c r="A1075" s="29" t="s">
        <v>3356</v>
      </c>
      <c r="B1075" s="11" t="s">
        <v>281</v>
      </c>
      <c r="C1075" s="7" t="s">
        <v>3357</v>
      </c>
      <c r="G1075" s="11" t="s">
        <v>285</v>
      </c>
      <c r="L1075" s="28">
        <v>-100</v>
      </c>
      <c r="M1075" t="s">
        <v>312</v>
      </c>
      <c r="Q1075" t="s">
        <v>3358</v>
      </c>
    </row>
    <row r="1076" spans="1:17" ht="15.75" hidden="1" customHeight="1">
      <c r="A1076" s="29" t="s">
        <v>3359</v>
      </c>
      <c r="B1076" s="11" t="s">
        <v>281</v>
      </c>
      <c r="C1076" s="7" t="s">
        <v>3360</v>
      </c>
      <c r="G1076" s="11" t="s">
        <v>285</v>
      </c>
      <c r="J1076" t="s">
        <v>3361</v>
      </c>
      <c r="L1076" s="28">
        <v>250</v>
      </c>
      <c r="M1076" t="s">
        <v>312</v>
      </c>
      <c r="Q1076" t="s">
        <v>3362</v>
      </c>
    </row>
    <row r="1077" spans="1:17" ht="15.75" hidden="1" customHeight="1">
      <c r="A1077" s="29" t="s">
        <v>3363</v>
      </c>
      <c r="B1077" s="11" t="s">
        <v>281</v>
      </c>
      <c r="C1077" s="7" t="s">
        <v>3364</v>
      </c>
      <c r="G1077" s="11" t="s">
        <v>285</v>
      </c>
      <c r="L1077" s="28">
        <v>-200</v>
      </c>
      <c r="M1077" t="s">
        <v>312</v>
      </c>
      <c r="Q1077" t="s">
        <v>3365</v>
      </c>
    </row>
    <row r="1078" spans="1:17" ht="15.75" hidden="1" customHeight="1">
      <c r="A1078" s="29" t="s">
        <v>3366</v>
      </c>
      <c r="B1078" s="11" t="s">
        <v>281</v>
      </c>
      <c r="C1078" s="7" t="s">
        <v>3367</v>
      </c>
      <c r="G1078" s="11" t="s">
        <v>285</v>
      </c>
      <c r="L1078" s="28">
        <v>2500</v>
      </c>
      <c r="M1078">
        <v>7</v>
      </c>
      <c r="Q1078" t="s">
        <v>3368</v>
      </c>
    </row>
    <row r="1079" spans="1:17" ht="15.75" hidden="1" customHeight="1">
      <c r="A1079" s="29" t="s">
        <v>3369</v>
      </c>
      <c r="B1079" s="11" t="s">
        <v>281</v>
      </c>
      <c r="C1079" s="7" t="s">
        <v>3370</v>
      </c>
      <c r="E1079" t="s">
        <v>3371</v>
      </c>
      <c r="F1079" t="s">
        <v>3372</v>
      </c>
      <c r="G1079" s="11" t="s">
        <v>285</v>
      </c>
      <c r="J1079" t="s">
        <v>3373</v>
      </c>
      <c r="L1079" s="28">
        <v>100</v>
      </c>
      <c r="M1079" t="s">
        <v>3374</v>
      </c>
      <c r="Q1079" t="s">
        <v>3375</v>
      </c>
    </row>
    <row r="1080" spans="1:17" ht="15.75" hidden="1" customHeight="1">
      <c r="A1080" s="29" t="s">
        <v>3376</v>
      </c>
      <c r="B1080" s="11" t="s">
        <v>281</v>
      </c>
      <c r="C1080" s="7" t="s">
        <v>3377</v>
      </c>
      <c r="G1080" s="11" t="s">
        <v>285</v>
      </c>
      <c r="J1080" t="s">
        <v>3378</v>
      </c>
      <c r="L1080" s="28">
        <v>800</v>
      </c>
      <c r="M1080">
        <v>3</v>
      </c>
      <c r="Q1080" t="s">
        <v>3379</v>
      </c>
    </row>
    <row r="1081" spans="1:17" ht="15.75" hidden="1" customHeight="1">
      <c r="A1081" s="29" t="s">
        <v>3380</v>
      </c>
      <c r="B1081" s="11" t="s">
        <v>281</v>
      </c>
      <c r="C1081" s="7" t="s">
        <v>3381</v>
      </c>
      <c r="G1081" s="11" t="s">
        <v>285</v>
      </c>
      <c r="J1081" t="s">
        <v>3382</v>
      </c>
      <c r="L1081" s="28">
        <v>800</v>
      </c>
      <c r="M1081">
        <v>5</v>
      </c>
      <c r="Q1081" t="s">
        <v>3383</v>
      </c>
    </row>
    <row r="1082" spans="1:17" ht="15.75" hidden="1" customHeight="1">
      <c r="A1082" s="29" t="s">
        <v>3384</v>
      </c>
      <c r="B1082" s="11" t="s">
        <v>281</v>
      </c>
      <c r="C1082" s="7" t="s">
        <v>3385</v>
      </c>
      <c r="G1082" s="11" t="s">
        <v>285</v>
      </c>
      <c r="J1082" t="s">
        <v>3386</v>
      </c>
      <c r="L1082" s="28">
        <v>800</v>
      </c>
      <c r="M1082">
        <v>7</v>
      </c>
      <c r="Q1082" t="s">
        <v>3387</v>
      </c>
    </row>
    <row r="1083" spans="1:17" ht="15.75" hidden="1" customHeight="1">
      <c r="A1083" s="29" t="s">
        <v>3388</v>
      </c>
      <c r="B1083" s="11" t="s">
        <v>281</v>
      </c>
      <c r="C1083" s="7" t="s">
        <v>3389</v>
      </c>
      <c r="G1083" s="11" t="s">
        <v>285</v>
      </c>
      <c r="L1083" s="28">
        <v>1000</v>
      </c>
      <c r="M1083">
        <v>6</v>
      </c>
      <c r="Q1083" t="s">
        <v>3390</v>
      </c>
    </row>
    <row r="1084" spans="1:17" ht="15.75" hidden="1" customHeight="1">
      <c r="A1084" s="29" t="s">
        <v>3391</v>
      </c>
      <c r="B1084" s="11" t="s">
        <v>281</v>
      </c>
      <c r="C1084" s="7" t="s">
        <v>3392</v>
      </c>
      <c r="G1084" s="11" t="s">
        <v>285</v>
      </c>
      <c r="L1084" s="28">
        <v>500</v>
      </c>
      <c r="M1084">
        <v>4</v>
      </c>
      <c r="Q1084" t="s">
        <v>3393</v>
      </c>
    </row>
    <row r="1085" spans="1:17" ht="15.75" hidden="1" customHeight="1">
      <c r="A1085" s="29" t="s">
        <v>3394</v>
      </c>
      <c r="B1085" s="11" t="s">
        <v>281</v>
      </c>
      <c r="C1085" s="7" t="s">
        <v>3395</v>
      </c>
      <c r="G1085" s="11" t="s">
        <v>285</v>
      </c>
      <c r="L1085" s="28">
        <v>250</v>
      </c>
      <c r="M1085" t="s">
        <v>3396</v>
      </c>
      <c r="Q1085" t="s">
        <v>3397</v>
      </c>
    </row>
    <row r="1086" spans="1:17" ht="15.75" hidden="1" customHeight="1">
      <c r="A1086" s="29" t="s">
        <v>3398</v>
      </c>
      <c r="B1086" s="11" t="s">
        <v>281</v>
      </c>
      <c r="C1086" s="7" t="s">
        <v>3399</v>
      </c>
      <c r="E1086" t="s">
        <v>3400</v>
      </c>
      <c r="G1086" s="11" t="s">
        <v>285</v>
      </c>
      <c r="L1086" s="28">
        <v>-100</v>
      </c>
      <c r="M1086" t="s">
        <v>312</v>
      </c>
      <c r="Q1086" t="s">
        <v>3401</v>
      </c>
    </row>
    <row r="1087" spans="1:17" ht="15.75" hidden="1" customHeight="1">
      <c r="A1087" t="s">
        <v>3402</v>
      </c>
      <c r="B1087" t="s">
        <v>281</v>
      </c>
      <c r="C1087" t="s">
        <v>3403</v>
      </c>
      <c r="G1087" t="s">
        <v>285</v>
      </c>
      <c r="J1087" t="s">
        <v>3404</v>
      </c>
      <c r="L1087" s="28">
        <v>-25</v>
      </c>
      <c r="M1087" t="s">
        <v>312</v>
      </c>
      <c r="Q1087" t="s">
        <v>3405</v>
      </c>
    </row>
    <row r="1088" spans="1:17" ht="15.75" hidden="1" customHeight="1">
      <c r="A1088" t="s">
        <v>3406</v>
      </c>
      <c r="B1088" t="s">
        <v>281</v>
      </c>
      <c r="C1088" t="s">
        <v>3407</v>
      </c>
      <c r="G1088" t="s">
        <v>285</v>
      </c>
      <c r="J1088" t="s">
        <v>3404</v>
      </c>
      <c r="L1088" s="28">
        <v>-50</v>
      </c>
      <c r="M1088" t="s">
        <v>312</v>
      </c>
      <c r="Q1088" t="s">
        <v>3408</v>
      </c>
    </row>
    <row r="1089" spans="1:17" ht="15.75" hidden="1" customHeight="1">
      <c r="A1089" t="s">
        <v>3409</v>
      </c>
      <c r="B1089" t="s">
        <v>281</v>
      </c>
      <c r="C1089" t="s">
        <v>3410</v>
      </c>
      <c r="G1089" t="s">
        <v>285</v>
      </c>
      <c r="J1089" t="s">
        <v>3404</v>
      </c>
      <c r="L1089" s="28">
        <v>-75</v>
      </c>
      <c r="M1089" t="s">
        <v>312</v>
      </c>
      <c r="Q1089" t="s">
        <v>3411</v>
      </c>
    </row>
    <row r="1090" spans="1:17" ht="15.75" hidden="1" customHeight="1">
      <c r="A1090" t="s">
        <v>3412</v>
      </c>
      <c r="B1090" t="s">
        <v>281</v>
      </c>
      <c r="C1090" t="s">
        <v>3413</v>
      </c>
      <c r="G1090" t="s">
        <v>285</v>
      </c>
      <c r="J1090" t="s">
        <v>3404</v>
      </c>
      <c r="L1090" s="28">
        <v>-100</v>
      </c>
      <c r="M1090" t="s">
        <v>312</v>
      </c>
      <c r="Q1090" t="s">
        <v>3414</v>
      </c>
    </row>
    <row r="1091" spans="1:17" ht="15.75" hidden="1" customHeight="1">
      <c r="A1091" t="s">
        <v>3415</v>
      </c>
      <c r="B1091" t="s">
        <v>281</v>
      </c>
      <c r="C1091" t="s">
        <v>3416</v>
      </c>
      <c r="G1091" t="s">
        <v>285</v>
      </c>
      <c r="J1091" t="s">
        <v>3404</v>
      </c>
      <c r="L1091" s="28">
        <v>-150</v>
      </c>
      <c r="M1091" t="s">
        <v>312</v>
      </c>
      <c r="Q1091" t="s">
        <v>3417</v>
      </c>
    </row>
    <row r="1092" spans="1:17" ht="15.75" hidden="1" customHeight="1">
      <c r="A1092" s="29" t="s">
        <v>3418</v>
      </c>
      <c r="B1092" s="11" t="s">
        <v>281</v>
      </c>
      <c r="C1092" s="23" t="s">
        <v>3419</v>
      </c>
      <c r="G1092" s="11" t="s">
        <v>285</v>
      </c>
      <c r="L1092" s="28">
        <v>250</v>
      </c>
      <c r="M1092" t="s">
        <v>3396</v>
      </c>
      <c r="Q1092" t="s">
        <v>3420</v>
      </c>
    </row>
    <row r="1093" spans="1:17" ht="15.75" hidden="1" customHeight="1">
      <c r="A1093" s="29" t="s">
        <v>3421</v>
      </c>
      <c r="B1093" s="11" t="s">
        <v>281</v>
      </c>
      <c r="C1093" s="12" t="s">
        <v>3422</v>
      </c>
      <c r="G1093" s="11" t="s">
        <v>285</v>
      </c>
      <c r="L1093" s="28">
        <v>300</v>
      </c>
      <c r="M1093" t="s">
        <v>3396</v>
      </c>
      <c r="Q1093" t="s">
        <v>3423</v>
      </c>
    </row>
    <row r="1094" spans="1:17" ht="15.75" hidden="1" customHeight="1">
      <c r="A1094" s="29" t="s">
        <v>3424</v>
      </c>
      <c r="B1094" s="11" t="s">
        <v>281</v>
      </c>
      <c r="C1094" s="12" t="s">
        <v>3425</v>
      </c>
      <c r="G1094" s="11" t="s">
        <v>285</v>
      </c>
      <c r="L1094" s="28">
        <v>300</v>
      </c>
      <c r="M1094" t="s">
        <v>3396</v>
      </c>
      <c r="Q1094" t="s">
        <v>3426</v>
      </c>
    </row>
    <row r="1095" spans="1:17" ht="15.75" hidden="1" customHeight="1">
      <c r="A1095" s="29" t="s">
        <v>3427</v>
      </c>
      <c r="B1095" s="11" t="s">
        <v>281</v>
      </c>
      <c r="C1095" s="12" t="s">
        <v>3428</v>
      </c>
      <c r="G1095" s="11" t="s">
        <v>285</v>
      </c>
      <c r="L1095" s="28">
        <v>300</v>
      </c>
      <c r="M1095" t="s">
        <v>3396</v>
      </c>
      <c r="Q1095" t="s">
        <v>3429</v>
      </c>
    </row>
    <row r="1096" spans="1:17" ht="15.75" hidden="1" customHeight="1">
      <c r="A1096" s="29" t="s">
        <v>3430</v>
      </c>
      <c r="B1096" s="11" t="s">
        <v>281</v>
      </c>
      <c r="C1096" s="12" t="s">
        <v>3431</v>
      </c>
      <c r="G1096" s="11" t="s">
        <v>285</v>
      </c>
      <c r="L1096" s="28">
        <v>300</v>
      </c>
      <c r="M1096" t="s">
        <v>3432</v>
      </c>
      <c r="Q1096" t="s">
        <v>3433</v>
      </c>
    </row>
    <row r="1097" spans="1:17" ht="15.75" hidden="1" customHeight="1">
      <c r="A1097" s="29" t="s">
        <v>3434</v>
      </c>
      <c r="B1097" s="11" t="s">
        <v>281</v>
      </c>
      <c r="C1097" s="23" t="s">
        <v>3435</v>
      </c>
      <c r="G1097" s="11" t="s">
        <v>285</v>
      </c>
      <c r="L1097" s="28">
        <v>-300</v>
      </c>
      <c r="M1097" t="s">
        <v>3396</v>
      </c>
      <c r="Q1097" t="s">
        <v>3436</v>
      </c>
    </row>
    <row r="1098" spans="1:17" ht="15.75" hidden="1" customHeight="1">
      <c r="A1098" s="29" t="s">
        <v>3437</v>
      </c>
      <c r="B1098" s="11" t="s">
        <v>281</v>
      </c>
      <c r="C1098" s="23" t="s">
        <v>3438</v>
      </c>
      <c r="G1098" s="11" t="s">
        <v>285</v>
      </c>
      <c r="L1098" s="28">
        <v>-100</v>
      </c>
      <c r="M1098" t="s">
        <v>3396</v>
      </c>
      <c r="Q1098" t="s">
        <v>3439</v>
      </c>
    </row>
    <row r="1099" spans="1:17" ht="15.75" hidden="1" customHeight="1">
      <c r="A1099" s="29" t="s">
        <v>3440</v>
      </c>
      <c r="B1099" s="11" t="s">
        <v>281</v>
      </c>
      <c r="C1099" s="12" t="s">
        <v>3441</v>
      </c>
      <c r="G1099" s="11" t="s">
        <v>285</v>
      </c>
      <c r="L1099" s="28">
        <v>300</v>
      </c>
      <c r="M1099" t="s">
        <v>3396</v>
      </c>
      <c r="Q1099" t="s">
        <v>3442</v>
      </c>
    </row>
    <row r="1100" spans="1:17" ht="15.75" hidden="1" customHeight="1">
      <c r="A1100" s="29" t="s">
        <v>3443</v>
      </c>
      <c r="B1100" s="11" t="s">
        <v>281</v>
      </c>
      <c r="C1100" s="23" t="s">
        <v>3444</v>
      </c>
      <c r="E1100" t="s">
        <v>3445</v>
      </c>
      <c r="G1100" s="11" t="s">
        <v>285</v>
      </c>
      <c r="L1100" s="28">
        <v>0</v>
      </c>
      <c r="M1100" t="s">
        <v>312</v>
      </c>
      <c r="Q1100" t="s">
        <v>3446</v>
      </c>
    </row>
    <row r="1101" spans="1:17" ht="15.75" hidden="1" customHeight="1">
      <c r="A1101" s="29" t="s">
        <v>3447</v>
      </c>
      <c r="B1101" s="11" t="s">
        <v>281</v>
      </c>
      <c r="C1101" s="23" t="s">
        <v>3448</v>
      </c>
      <c r="E1101" t="s">
        <v>3445</v>
      </c>
      <c r="G1101" s="11" t="s">
        <v>285</v>
      </c>
      <c r="L1101" s="28">
        <v>0</v>
      </c>
      <c r="M1101" t="s">
        <v>312</v>
      </c>
      <c r="Q1101" t="s">
        <v>3449</v>
      </c>
    </row>
    <row r="1102" spans="1:17" ht="15.75" hidden="1" customHeight="1">
      <c r="A1102" s="29" t="s">
        <v>3450</v>
      </c>
      <c r="B1102" s="11" t="s">
        <v>281</v>
      </c>
      <c r="C1102" s="23" t="s">
        <v>3451</v>
      </c>
      <c r="E1102" t="s">
        <v>3445</v>
      </c>
      <c r="G1102" s="11" t="s">
        <v>285</v>
      </c>
      <c r="L1102" s="28">
        <v>0</v>
      </c>
      <c r="M1102" t="s">
        <v>312</v>
      </c>
      <c r="Q1102" t="s">
        <v>3452</v>
      </c>
    </row>
    <row r="1103" spans="1:17" ht="15.75" hidden="1" customHeight="1">
      <c r="A1103" s="29" t="s">
        <v>3453</v>
      </c>
      <c r="B1103" s="11" t="s">
        <v>281</v>
      </c>
      <c r="C1103" s="23" t="s">
        <v>3454</v>
      </c>
      <c r="E1103" t="s">
        <v>3445</v>
      </c>
      <c r="G1103" s="11" t="s">
        <v>285</v>
      </c>
      <c r="L1103" s="28">
        <v>0</v>
      </c>
      <c r="M1103" t="s">
        <v>312</v>
      </c>
      <c r="Q1103" t="s">
        <v>3455</v>
      </c>
    </row>
    <row r="1104" spans="1:17" ht="15.75" hidden="1" customHeight="1">
      <c r="A1104" s="29" t="s">
        <v>3456</v>
      </c>
      <c r="B1104" s="11" t="s">
        <v>281</v>
      </c>
      <c r="C1104" s="7" t="s">
        <v>3457</v>
      </c>
      <c r="G1104" s="11" t="s">
        <v>285</v>
      </c>
      <c r="J1104" t="s">
        <v>3458</v>
      </c>
      <c r="L1104" s="28">
        <v>120</v>
      </c>
      <c r="M1104" t="s">
        <v>312</v>
      </c>
      <c r="Q1104" t="s">
        <v>3459</v>
      </c>
    </row>
    <row r="1105" spans="1:17" ht="15.75" hidden="1" customHeight="1">
      <c r="A1105" s="29" t="s">
        <v>3460</v>
      </c>
      <c r="B1105" s="11" t="s">
        <v>281</v>
      </c>
      <c r="C1105" s="7" t="s">
        <v>3461</v>
      </c>
      <c r="G1105" s="11" t="s">
        <v>285</v>
      </c>
      <c r="J1105" t="s">
        <v>3462</v>
      </c>
      <c r="L1105" s="28">
        <v>250</v>
      </c>
      <c r="M1105" t="s">
        <v>312</v>
      </c>
      <c r="Q1105" t="s">
        <v>3463</v>
      </c>
    </row>
    <row r="1106" spans="1:17" ht="15.75" hidden="1" customHeight="1">
      <c r="A1106" s="29" t="s">
        <v>3464</v>
      </c>
      <c r="B1106" s="11" t="s">
        <v>281</v>
      </c>
      <c r="C1106" s="7" t="s">
        <v>3465</v>
      </c>
      <c r="G1106" s="11" t="s">
        <v>285</v>
      </c>
      <c r="J1106" t="s">
        <v>3466</v>
      </c>
      <c r="L1106" s="28">
        <v>150</v>
      </c>
      <c r="M1106" t="s">
        <v>312</v>
      </c>
      <c r="Q1106" t="s">
        <v>3467</v>
      </c>
    </row>
    <row r="1107" spans="1:17" ht="15.75" hidden="1" customHeight="1">
      <c r="A1107" s="29" t="s">
        <v>3468</v>
      </c>
      <c r="B1107" s="11" t="s">
        <v>281</v>
      </c>
      <c r="C1107" s="7" t="s">
        <v>3469</v>
      </c>
      <c r="E1107" t="s">
        <v>3470</v>
      </c>
      <c r="F1107" t="s">
        <v>3471</v>
      </c>
      <c r="G1107" s="11" t="s">
        <v>285</v>
      </c>
      <c r="J1107" t="s">
        <v>3472</v>
      </c>
      <c r="K1107">
        <v>1</v>
      </c>
      <c r="L1107" s="28">
        <v>150</v>
      </c>
      <c r="M1107" t="s">
        <v>312</v>
      </c>
      <c r="Q1107" t="s">
        <v>3473</v>
      </c>
    </row>
    <row r="1108" spans="1:17" ht="15.75" hidden="1" customHeight="1">
      <c r="A1108" s="29" t="s">
        <v>3474</v>
      </c>
      <c r="B1108" s="11" t="s">
        <v>281</v>
      </c>
      <c r="C1108" s="7" t="s">
        <v>3475</v>
      </c>
      <c r="E1108" t="s">
        <v>3476</v>
      </c>
      <c r="G1108" s="11" t="s">
        <v>285</v>
      </c>
      <c r="J1108" t="s">
        <v>3477</v>
      </c>
      <c r="L1108" s="28">
        <v>-800</v>
      </c>
      <c r="M1108" t="s">
        <v>312</v>
      </c>
      <c r="Q1108" t="s">
        <v>3478</v>
      </c>
    </row>
    <row r="1109" spans="1:17" ht="15.75" hidden="1" customHeight="1">
      <c r="A1109" s="29" t="s">
        <v>3479</v>
      </c>
      <c r="B1109" s="11" t="s">
        <v>281</v>
      </c>
      <c r="C1109" s="7" t="s">
        <v>3480</v>
      </c>
      <c r="E1109" t="s">
        <v>3481</v>
      </c>
      <c r="G1109" s="11" t="s">
        <v>285</v>
      </c>
      <c r="J1109" t="s">
        <v>3482</v>
      </c>
      <c r="L1109" s="28">
        <v>100</v>
      </c>
      <c r="M1109" t="s">
        <v>312</v>
      </c>
      <c r="Q1109" t="s">
        <v>3483</v>
      </c>
    </row>
    <row r="1110" spans="1:17" ht="15.75" hidden="1" customHeight="1">
      <c r="A1110" s="29" t="s">
        <v>3484</v>
      </c>
      <c r="B1110" s="11" t="s">
        <v>281</v>
      </c>
      <c r="C1110" s="7" t="s">
        <v>3485</v>
      </c>
      <c r="G1110" s="11" t="s">
        <v>285</v>
      </c>
      <c r="L1110" s="28">
        <v>-400</v>
      </c>
      <c r="M1110" t="s">
        <v>312</v>
      </c>
      <c r="Q1110" t="s">
        <v>3486</v>
      </c>
    </row>
    <row r="1111" spans="1:17" ht="15.75" hidden="1" customHeight="1">
      <c r="A1111" s="29" t="s">
        <v>3487</v>
      </c>
      <c r="B1111" s="11" t="s">
        <v>281</v>
      </c>
      <c r="C1111" s="7" t="s">
        <v>3488</v>
      </c>
      <c r="G1111" s="11" t="s">
        <v>285</v>
      </c>
      <c r="L1111" s="28">
        <v>150</v>
      </c>
      <c r="M1111" t="s">
        <v>312</v>
      </c>
      <c r="Q1111" t="s">
        <v>3489</v>
      </c>
    </row>
    <row r="1112" spans="1:17" ht="15.75" hidden="1" customHeight="1">
      <c r="A1112" t="s">
        <v>3490</v>
      </c>
      <c r="B1112" t="s">
        <v>281</v>
      </c>
      <c r="C1112" t="s">
        <v>3491</v>
      </c>
      <c r="G1112" t="s">
        <v>285</v>
      </c>
      <c r="J1112" t="s">
        <v>3492</v>
      </c>
      <c r="L1112" s="28">
        <v>-30</v>
      </c>
      <c r="M1112" t="s">
        <v>312</v>
      </c>
      <c r="Q1112" t="s">
        <v>3493</v>
      </c>
    </row>
    <row r="1113" spans="1:17" ht="15.75" hidden="1" customHeight="1">
      <c r="A1113" t="s">
        <v>3494</v>
      </c>
      <c r="B1113" t="s">
        <v>281</v>
      </c>
      <c r="C1113" t="s">
        <v>3495</v>
      </c>
      <c r="G1113" t="s">
        <v>285</v>
      </c>
      <c r="J1113" t="s">
        <v>3492</v>
      </c>
      <c r="L1113" s="28">
        <v>-60</v>
      </c>
      <c r="M1113" t="s">
        <v>312</v>
      </c>
      <c r="Q1113" t="s">
        <v>3496</v>
      </c>
    </row>
    <row r="1114" spans="1:17" ht="15.75" hidden="1" customHeight="1">
      <c r="A1114" t="s">
        <v>3497</v>
      </c>
      <c r="B1114" t="s">
        <v>281</v>
      </c>
      <c r="C1114" t="s">
        <v>3498</v>
      </c>
      <c r="G1114" t="s">
        <v>285</v>
      </c>
      <c r="J1114" t="s">
        <v>3492</v>
      </c>
      <c r="L1114" s="28">
        <v>-90</v>
      </c>
      <c r="M1114" t="s">
        <v>312</v>
      </c>
      <c r="Q1114" t="s">
        <v>3499</v>
      </c>
    </row>
    <row r="1115" spans="1:17" ht="15.75" hidden="1" customHeight="1">
      <c r="A1115" t="s">
        <v>3500</v>
      </c>
      <c r="B1115" t="s">
        <v>281</v>
      </c>
      <c r="C1115" t="s">
        <v>3501</v>
      </c>
      <c r="G1115" t="s">
        <v>285</v>
      </c>
      <c r="J1115" t="s">
        <v>3492</v>
      </c>
      <c r="L1115" s="28">
        <v>-120</v>
      </c>
      <c r="M1115" t="s">
        <v>312</v>
      </c>
      <c r="Q1115" t="s">
        <v>3502</v>
      </c>
    </row>
    <row r="1116" spans="1:17" ht="15.75" hidden="1" customHeight="1">
      <c r="A1116" t="s">
        <v>3503</v>
      </c>
      <c r="B1116" t="s">
        <v>281</v>
      </c>
      <c r="C1116" t="s">
        <v>3504</v>
      </c>
      <c r="G1116" t="s">
        <v>285</v>
      </c>
      <c r="J1116" t="s">
        <v>3492</v>
      </c>
      <c r="L1116" s="28">
        <v>-150</v>
      </c>
      <c r="M1116" t="s">
        <v>312</v>
      </c>
      <c r="Q1116" t="s">
        <v>3505</v>
      </c>
    </row>
    <row r="1117" spans="1:17" ht="15.75" hidden="1" customHeight="1">
      <c r="A1117" s="29" t="s">
        <v>3506</v>
      </c>
      <c r="B1117" s="11" t="s">
        <v>281</v>
      </c>
      <c r="C1117" s="7" t="s">
        <v>3507</v>
      </c>
      <c r="E1117" t="s">
        <v>3508</v>
      </c>
      <c r="G1117" s="11" t="s">
        <v>285</v>
      </c>
      <c r="J1117" t="s">
        <v>3482</v>
      </c>
      <c r="L1117" s="28">
        <v>150</v>
      </c>
      <c r="M1117" t="s">
        <v>312</v>
      </c>
      <c r="Q1117" t="s">
        <v>3509</v>
      </c>
    </row>
    <row r="1118" spans="1:17" ht="15.75" hidden="1" customHeight="1">
      <c r="A1118" t="s">
        <v>3510</v>
      </c>
      <c r="B1118" t="s">
        <v>281</v>
      </c>
      <c r="C1118" t="s">
        <v>3511</v>
      </c>
      <c r="G1118" t="s">
        <v>285</v>
      </c>
      <c r="J1118" t="s">
        <v>3492</v>
      </c>
      <c r="L1118" s="28">
        <v>-30</v>
      </c>
      <c r="M1118" t="s">
        <v>312</v>
      </c>
      <c r="Q1118" t="s">
        <v>3512</v>
      </c>
    </row>
    <row r="1119" spans="1:17" ht="15.75" hidden="1" customHeight="1">
      <c r="A1119" t="s">
        <v>3513</v>
      </c>
      <c r="B1119" t="s">
        <v>281</v>
      </c>
      <c r="C1119" t="s">
        <v>3514</v>
      </c>
      <c r="G1119" t="s">
        <v>285</v>
      </c>
      <c r="J1119" t="s">
        <v>3492</v>
      </c>
      <c r="L1119" s="28">
        <v>-60</v>
      </c>
      <c r="M1119" t="s">
        <v>312</v>
      </c>
      <c r="Q1119" t="s">
        <v>3515</v>
      </c>
    </row>
    <row r="1120" spans="1:17" ht="15.75" hidden="1" customHeight="1">
      <c r="A1120" t="s">
        <v>3516</v>
      </c>
      <c r="B1120" t="s">
        <v>281</v>
      </c>
      <c r="C1120" t="s">
        <v>3517</v>
      </c>
      <c r="G1120" t="s">
        <v>285</v>
      </c>
      <c r="J1120" t="s">
        <v>3492</v>
      </c>
      <c r="L1120" s="28">
        <v>-90</v>
      </c>
      <c r="M1120" t="s">
        <v>312</v>
      </c>
      <c r="Q1120" t="s">
        <v>3518</v>
      </c>
    </row>
    <row r="1121" spans="1:17" ht="15.75" hidden="1" customHeight="1">
      <c r="A1121" t="s">
        <v>3519</v>
      </c>
      <c r="B1121" t="s">
        <v>281</v>
      </c>
      <c r="C1121" t="s">
        <v>3520</v>
      </c>
      <c r="G1121" t="s">
        <v>285</v>
      </c>
      <c r="J1121" t="s">
        <v>3492</v>
      </c>
      <c r="L1121" s="28">
        <v>-120</v>
      </c>
      <c r="M1121" t="s">
        <v>312</v>
      </c>
      <c r="Q1121" t="s">
        <v>3521</v>
      </c>
    </row>
    <row r="1122" spans="1:17" ht="15.75" hidden="1" customHeight="1">
      <c r="A1122" t="s">
        <v>3522</v>
      </c>
      <c r="B1122" t="s">
        <v>281</v>
      </c>
      <c r="C1122" t="s">
        <v>3523</v>
      </c>
      <c r="G1122" t="s">
        <v>285</v>
      </c>
      <c r="J1122" t="s">
        <v>3492</v>
      </c>
      <c r="L1122" s="28">
        <v>-150</v>
      </c>
      <c r="M1122" t="s">
        <v>312</v>
      </c>
      <c r="Q1122" t="s">
        <v>3524</v>
      </c>
    </row>
    <row r="1123" spans="1:17" ht="15.75" hidden="1" customHeight="1">
      <c r="A1123" s="29" t="s">
        <v>3525</v>
      </c>
      <c r="B1123" s="11" t="s">
        <v>281</v>
      </c>
      <c r="C1123" s="7" t="s">
        <v>3526</v>
      </c>
      <c r="G1123" s="11" t="s">
        <v>285</v>
      </c>
      <c r="L1123" s="28">
        <v>50</v>
      </c>
      <c r="M1123" t="s">
        <v>312</v>
      </c>
      <c r="Q1123" t="s">
        <v>3527</v>
      </c>
    </row>
    <row r="1124" spans="1:17" ht="15.75" hidden="1" customHeight="1">
      <c r="A1124" s="29" t="s">
        <v>3528</v>
      </c>
      <c r="B1124" s="11" t="s">
        <v>281</v>
      </c>
      <c r="C1124" s="7" t="s">
        <v>3529</v>
      </c>
      <c r="E1124" t="s">
        <v>3530</v>
      </c>
      <c r="G1124" s="11" t="s">
        <v>285</v>
      </c>
      <c r="L1124" s="28">
        <v>-120</v>
      </c>
      <c r="M1124" t="s">
        <v>312</v>
      </c>
      <c r="Q1124" t="s">
        <v>3531</v>
      </c>
    </row>
    <row r="1125" spans="1:17" ht="15.75" hidden="1" customHeight="1">
      <c r="A1125" s="29" t="s">
        <v>3532</v>
      </c>
      <c r="B1125" s="11" t="s">
        <v>281</v>
      </c>
      <c r="C1125" s="7" t="s">
        <v>3533</v>
      </c>
      <c r="E1125" t="s">
        <v>3534</v>
      </c>
      <c r="G1125" s="11" t="s">
        <v>285</v>
      </c>
      <c r="L1125" s="28">
        <v>-50</v>
      </c>
      <c r="M1125" t="s">
        <v>3374</v>
      </c>
      <c r="Q1125" t="s">
        <v>3535</v>
      </c>
    </row>
    <row r="1126" spans="1:17" ht="15.75" hidden="1" customHeight="1">
      <c r="A1126" s="29" t="s">
        <v>3536</v>
      </c>
      <c r="B1126" s="11" t="s">
        <v>281</v>
      </c>
      <c r="C1126" s="7" t="s">
        <v>3537</v>
      </c>
      <c r="G1126" s="11" t="s">
        <v>285</v>
      </c>
      <c r="J1126" t="s">
        <v>3538</v>
      </c>
      <c r="L1126" s="28">
        <v>1000</v>
      </c>
      <c r="M1126" t="s">
        <v>312</v>
      </c>
      <c r="Q1126" t="s">
        <v>3539</v>
      </c>
    </row>
    <row r="1127" spans="1:17" ht="15.75" hidden="1" customHeight="1">
      <c r="A1127" s="29" t="s">
        <v>3540</v>
      </c>
      <c r="B1127" s="11" t="s">
        <v>281</v>
      </c>
      <c r="C1127" s="7" t="s">
        <v>3541</v>
      </c>
      <c r="G1127" s="11" t="s">
        <v>285</v>
      </c>
      <c r="J1127" t="s">
        <v>3542</v>
      </c>
      <c r="L1127" s="28">
        <v>100</v>
      </c>
      <c r="M1127" t="s">
        <v>312</v>
      </c>
      <c r="Q1127" t="s">
        <v>3543</v>
      </c>
    </row>
    <row r="1128" spans="1:17" ht="15.75" hidden="1" customHeight="1">
      <c r="A1128" t="s">
        <v>3544</v>
      </c>
      <c r="B1128" t="s">
        <v>242</v>
      </c>
      <c r="C1128" s="18" t="s">
        <v>3545</v>
      </c>
      <c r="E1128" s="14" t="s">
        <v>3546</v>
      </c>
      <c r="F1128" s="14"/>
      <c r="G1128" t="s">
        <v>7</v>
      </c>
      <c r="H1128" t="s">
        <v>3547</v>
      </c>
    </row>
    <row r="1129" spans="1:17" ht="15.75" hidden="1" customHeight="1">
      <c r="C1129" s="7"/>
      <c r="E1129" s="10"/>
      <c r="F1129" s="10"/>
      <c r="G1129" s="10"/>
    </row>
    <row r="1130" spans="1:17" ht="15.75" hidden="1" customHeight="1">
      <c r="C1130" s="7"/>
      <c r="E1130" s="10"/>
      <c r="F1130" s="10"/>
      <c r="G1130" s="10"/>
    </row>
    <row r="1131" spans="1:17" ht="15.75" hidden="1" customHeight="1">
      <c r="C1131" s="7"/>
      <c r="E1131" s="10"/>
      <c r="F1131" s="10"/>
      <c r="G1131" s="10"/>
    </row>
    <row r="1132" spans="1:17" ht="15.75" hidden="1" customHeight="1"/>
    <row r="1133" spans="1:17" ht="15.75" hidden="1" customHeight="1"/>
    <row r="1134" spans="1:17" ht="15.75" hidden="1" customHeight="1"/>
    <row r="1135" spans="1:17" ht="15.75" hidden="1" customHeight="1"/>
    <row r="1136" spans="1:17" ht="15.75" hidden="1" customHeight="1"/>
    <row r="1137" spans="8:9" ht="15.75" hidden="1" customHeight="1"/>
    <row r="1138" spans="8:9" ht="15.75" hidden="1" customHeight="1"/>
    <row r="1139" spans="8:9" ht="15.75" hidden="1" customHeight="1"/>
    <row r="1140" spans="8:9" ht="15.75" hidden="1" customHeight="1"/>
    <row r="1141" spans="8:9" ht="15.75" hidden="1" customHeight="1"/>
    <row r="1142" spans="8:9" ht="15.75" hidden="1" customHeight="1"/>
    <row r="1143" spans="8:9" ht="15.75" hidden="1" customHeight="1"/>
    <row r="1144" spans="8:9" ht="15.75" hidden="1" customHeight="1"/>
    <row r="1145" spans="8:9" ht="15.75" hidden="1" customHeight="1"/>
    <row r="1146" spans="8:9" ht="15.75" hidden="1" customHeight="1"/>
    <row r="1147" spans="8:9" ht="15.75" hidden="1" customHeight="1"/>
    <row r="1148" spans="8:9" ht="15.75" hidden="1" customHeight="1"/>
    <row r="1149" spans="8:9" ht="15.75" hidden="1" customHeight="1"/>
    <row r="1150" spans="8:9" ht="15.75" hidden="1" customHeight="1">
      <c r="H1150" s="29"/>
      <c r="I1150" s="29"/>
    </row>
    <row r="1151" spans="8:9" ht="15.75" hidden="1" customHeight="1"/>
    <row r="1152" spans="8:9" ht="15.75" hidden="1" customHeight="1"/>
    <row r="1153" spans="8:9" ht="15.75" hidden="1" customHeight="1"/>
    <row r="1154" spans="8:9" ht="15.75" hidden="1" customHeight="1"/>
    <row r="1155" spans="8:9" ht="15.75" hidden="1" customHeight="1"/>
    <row r="1156" spans="8:9" ht="15.75" hidden="1" customHeight="1">
      <c r="H1156" s="29"/>
      <c r="I1156" s="29"/>
    </row>
    <row r="1157" spans="8:9" ht="15.75" hidden="1" customHeight="1"/>
    <row r="1158" spans="8:9" ht="15.75" hidden="1" customHeight="1"/>
    <row r="1159" spans="8:9" ht="15.75" hidden="1" customHeight="1"/>
    <row r="1160" spans="8:9" ht="15.75" hidden="1" customHeight="1"/>
    <row r="1161" spans="8:9" ht="15.75" hidden="1" customHeight="1"/>
    <row r="1162" spans="8:9" ht="15.75" hidden="1" customHeight="1"/>
    <row r="1163" spans="8:9" ht="15.75" hidden="1" customHeight="1"/>
    <row r="1164" spans="8:9" ht="15.75" hidden="1" customHeight="1"/>
    <row r="1165" spans="8:9" ht="15.75" hidden="1" customHeight="1"/>
    <row r="1166" spans="8:9" ht="15.75" hidden="1" customHeight="1"/>
    <row r="1167" spans="8:9" ht="15.75" hidden="1" customHeight="1"/>
    <row r="1168" spans="8:9" ht="15.75" hidden="1" customHeight="1"/>
    <row r="1169" spans="8:9" ht="15.75" hidden="1" customHeight="1"/>
    <row r="1170" spans="8:9" ht="15.75" hidden="1" customHeight="1"/>
    <row r="1171" spans="8:9" ht="15.75" hidden="1" customHeight="1"/>
    <row r="1172" spans="8:9" ht="15.75" hidden="1" customHeight="1"/>
    <row r="1173" spans="8:9" ht="15.75" hidden="1" customHeight="1"/>
    <row r="1174" spans="8:9" ht="15.75" hidden="1" customHeight="1"/>
    <row r="1175" spans="8:9" ht="15.75" hidden="1" customHeight="1"/>
    <row r="1176" spans="8:9" ht="15.75" hidden="1" customHeight="1"/>
    <row r="1177" spans="8:9" ht="15.75" hidden="1" customHeight="1"/>
    <row r="1178" spans="8:9" ht="15.75" hidden="1" customHeight="1">
      <c r="H1178" s="29"/>
      <c r="I1178" s="29"/>
    </row>
    <row r="1179" spans="8:9" ht="15.75" hidden="1" customHeight="1"/>
    <row r="1180" spans="8:9" ht="15.75" hidden="1" customHeight="1"/>
    <row r="1181" spans="8:9" ht="15.75" hidden="1" customHeight="1"/>
    <row r="1182" spans="8:9" ht="15.75" hidden="1" customHeight="1"/>
    <row r="1183" spans="8:9" ht="15.75" hidden="1" customHeight="1"/>
    <row r="1184" spans="8:9" ht="15.75" hidden="1" customHeight="1">
      <c r="H1184" s="29"/>
      <c r="I1184" s="29"/>
    </row>
    <row r="1185" spans="3:6" ht="15.75" hidden="1" customHeight="1"/>
    <row r="1186" spans="3:6" ht="15.75" hidden="1" customHeight="1"/>
    <row r="1187" spans="3:6" ht="15.75" hidden="1" customHeight="1">
      <c r="C1187" s="18"/>
      <c r="E1187" s="14"/>
      <c r="F1187" s="14"/>
    </row>
    <row r="1188" spans="3:6" ht="15.75" hidden="1" customHeight="1">
      <c r="C1188" s="18"/>
      <c r="E1188" s="14"/>
      <c r="F1188" s="14"/>
    </row>
    <row r="1189" spans="3:6" ht="15.75" hidden="1" customHeight="1">
      <c r="C1189" s="18"/>
      <c r="E1189" s="14"/>
      <c r="F1189" s="14"/>
    </row>
    <row r="1190" spans="3:6" ht="15.75" hidden="1" customHeight="1">
      <c r="C1190" s="18"/>
      <c r="E1190" s="14"/>
      <c r="F1190" s="14"/>
    </row>
    <row r="1191" spans="3:6" ht="15.75" hidden="1" customHeight="1">
      <c r="C1191" s="18"/>
      <c r="E1191" s="14"/>
      <c r="F1191" s="14"/>
    </row>
    <row r="1192" spans="3:6" ht="15.75" hidden="1" customHeight="1">
      <c r="C1192" s="18"/>
      <c r="E1192" s="14"/>
      <c r="F1192" s="14"/>
    </row>
    <row r="1193" spans="3:6" ht="15.75" hidden="1" customHeight="1">
      <c r="C1193" s="18"/>
      <c r="E1193" s="14"/>
      <c r="F1193" s="14"/>
    </row>
    <row r="1194" spans="3:6" ht="15.75" hidden="1" customHeight="1">
      <c r="C1194" s="18"/>
      <c r="E1194" s="14"/>
      <c r="F1194" s="14"/>
    </row>
    <row r="1195" spans="3:6" ht="15.75" hidden="1" customHeight="1">
      <c r="C1195" s="18"/>
      <c r="E1195" s="14"/>
      <c r="F1195" s="14"/>
    </row>
    <row r="1196" spans="3:6" ht="15.75" hidden="1" customHeight="1">
      <c r="C1196" s="18"/>
      <c r="E1196" s="14"/>
      <c r="F1196" s="14"/>
    </row>
    <row r="1197" spans="3:6" ht="15.75" hidden="1" customHeight="1">
      <c r="C1197" s="18"/>
      <c r="E1197" s="14"/>
      <c r="F1197" s="14"/>
    </row>
    <row r="1198" spans="3:6" ht="15.75" hidden="1" customHeight="1">
      <c r="C1198" s="18"/>
      <c r="E1198" s="14"/>
      <c r="F1198" s="14"/>
    </row>
    <row r="1199" spans="3:6" ht="15.75" hidden="1" customHeight="1">
      <c r="C1199" s="18"/>
      <c r="E1199" s="14"/>
      <c r="F1199" s="14"/>
    </row>
    <row r="1200" spans="3:6" ht="15.75" hidden="1" customHeight="1">
      <c r="C1200" s="18"/>
      <c r="E1200" s="14"/>
      <c r="F1200" s="14"/>
    </row>
    <row r="1201" spans="3:6" ht="15.75" hidden="1" customHeight="1">
      <c r="C1201" s="18"/>
      <c r="E1201" s="14"/>
      <c r="F1201" s="14"/>
    </row>
    <row r="1202" spans="3:6" ht="15.75" hidden="1" customHeight="1">
      <c r="C1202" s="18"/>
      <c r="E1202" s="14"/>
      <c r="F1202" s="14"/>
    </row>
    <row r="1203" spans="3:6" ht="15.75" hidden="1" customHeight="1">
      <c r="C1203" s="18"/>
      <c r="E1203" s="14"/>
      <c r="F1203" s="14"/>
    </row>
    <row r="1204" spans="3:6" ht="15.75" hidden="1" customHeight="1">
      <c r="C1204" s="18"/>
      <c r="E1204" s="14"/>
      <c r="F1204" s="14"/>
    </row>
    <row r="1205" spans="3:6" ht="15.75" hidden="1" customHeight="1">
      <c r="C1205" s="18"/>
      <c r="E1205" s="14"/>
      <c r="F1205" s="14"/>
    </row>
    <row r="1206" spans="3:6" ht="15.75" hidden="1" customHeight="1">
      <c r="C1206" s="18"/>
      <c r="E1206" s="14"/>
      <c r="F1206" s="14"/>
    </row>
    <row r="1207" spans="3:6" ht="15.75" hidden="1" customHeight="1">
      <c r="C1207" s="18"/>
      <c r="E1207" s="14"/>
      <c r="F1207" s="14"/>
    </row>
    <row r="1208" spans="3:6" ht="15.75" hidden="1" customHeight="1">
      <c r="C1208" s="18"/>
      <c r="E1208" s="14"/>
      <c r="F1208" s="14"/>
    </row>
    <row r="1209" spans="3:6" ht="15.75" hidden="1" customHeight="1">
      <c r="C1209" s="18"/>
      <c r="E1209" s="14"/>
      <c r="F1209" s="14"/>
    </row>
    <row r="1210" spans="3:6" ht="15.75" hidden="1" customHeight="1">
      <c r="C1210" s="18"/>
      <c r="E1210" s="14"/>
      <c r="F1210" s="14"/>
    </row>
    <row r="1211" spans="3:6" ht="15.75" hidden="1" customHeight="1">
      <c r="C1211" s="18"/>
      <c r="E1211" s="14"/>
      <c r="F1211" s="14"/>
    </row>
    <row r="1212" spans="3:6" ht="15.75" hidden="1" customHeight="1">
      <c r="C1212" s="18"/>
      <c r="E1212" s="14"/>
      <c r="F1212" s="14"/>
    </row>
    <row r="1213" spans="3:6" ht="15.75" hidden="1" customHeight="1">
      <c r="C1213" s="18"/>
      <c r="E1213" s="14"/>
      <c r="F1213" s="14"/>
    </row>
    <row r="1214" spans="3:6" ht="15.75" hidden="1" customHeight="1">
      <c r="C1214" s="18"/>
      <c r="E1214" s="14"/>
      <c r="F1214" s="14"/>
    </row>
    <row r="1215" spans="3:6" ht="15.75" hidden="1" customHeight="1">
      <c r="C1215" s="18"/>
      <c r="E1215" s="14"/>
      <c r="F1215" s="14"/>
    </row>
    <row r="1216" spans="3:6" ht="15.75" hidden="1" customHeight="1">
      <c r="C1216" s="18"/>
      <c r="E1216" s="14"/>
      <c r="F1216" s="14"/>
    </row>
    <row r="1217" spans="3:7" ht="15.75" hidden="1" customHeight="1">
      <c r="C1217" s="18"/>
      <c r="E1217" s="14"/>
      <c r="F1217" s="14"/>
    </row>
    <row r="1218" spans="3:7" ht="15.75" hidden="1" customHeight="1">
      <c r="C1218" s="18"/>
      <c r="E1218" s="14"/>
      <c r="F1218" s="14"/>
    </row>
    <row r="1219" spans="3:7" ht="15.75" hidden="1" customHeight="1">
      <c r="C1219" s="18"/>
      <c r="E1219" s="14"/>
      <c r="F1219" s="14"/>
    </row>
    <row r="1220" spans="3:7" ht="15.75" hidden="1" customHeight="1">
      <c r="C1220" s="18"/>
      <c r="E1220" s="14"/>
      <c r="F1220" s="14"/>
    </row>
    <row r="1221" spans="3:7" ht="15.75" hidden="1" customHeight="1">
      <c r="C1221" s="18"/>
      <c r="E1221" s="14"/>
      <c r="F1221" s="14"/>
    </row>
    <row r="1222" spans="3:7" ht="15.75" hidden="1" customHeight="1">
      <c r="C1222" s="18"/>
      <c r="E1222" s="14"/>
      <c r="F1222" s="14"/>
    </row>
    <row r="1223" spans="3:7" ht="15.75" hidden="1" customHeight="1">
      <c r="C1223" s="18"/>
      <c r="E1223" s="14"/>
      <c r="F1223" s="14"/>
    </row>
    <row r="1224" spans="3:7" ht="15.75" hidden="1" customHeight="1">
      <c r="C1224" s="18"/>
      <c r="E1224" s="14"/>
      <c r="F1224" s="14"/>
    </row>
    <row r="1225" spans="3:7" ht="15.75" hidden="1" customHeight="1">
      <c r="C1225" s="18"/>
      <c r="E1225" s="14"/>
      <c r="F1225" s="14"/>
    </row>
    <row r="1226" spans="3:7" ht="15.75" hidden="1" customHeight="1">
      <c r="C1226" s="7"/>
      <c r="E1226" s="10"/>
      <c r="F1226" s="10"/>
      <c r="G1226" s="10"/>
    </row>
    <row r="1227" spans="3:7" ht="15.75" hidden="1" customHeight="1">
      <c r="C1227" s="7"/>
      <c r="E1227" s="10"/>
      <c r="F1227" s="10"/>
      <c r="G1227" s="10"/>
    </row>
    <row r="1228" spans="3:7" ht="15.75" hidden="1" customHeight="1">
      <c r="C1228" s="7"/>
      <c r="E1228" s="10"/>
      <c r="F1228" s="10"/>
      <c r="G1228" s="10"/>
    </row>
    <row r="1229" spans="3:7" ht="15.75" hidden="1" customHeight="1">
      <c r="C1229" s="7"/>
      <c r="E1229" s="10"/>
      <c r="F1229" s="10"/>
      <c r="G1229" s="10"/>
    </row>
    <row r="1230" spans="3:7" ht="15.75" hidden="1" customHeight="1">
      <c r="C1230" s="7"/>
      <c r="E1230" s="10"/>
      <c r="F1230" s="10"/>
      <c r="G1230" s="10"/>
    </row>
    <row r="1231" spans="3:7" ht="15.75" hidden="1" customHeight="1">
      <c r="C1231" s="7"/>
      <c r="E1231" s="10"/>
      <c r="F1231" s="10"/>
      <c r="G1231" s="10"/>
    </row>
    <row r="1232" spans="3:7" ht="15.75" hidden="1" customHeight="1">
      <c r="C1232" s="7"/>
      <c r="E1232" s="10"/>
      <c r="F1232" s="10"/>
      <c r="G1232" s="10"/>
    </row>
    <row r="1233" spans="3:7" ht="15.75" hidden="1" customHeight="1">
      <c r="C1233" s="7"/>
      <c r="E1233" s="10"/>
      <c r="F1233" s="10"/>
      <c r="G1233" s="10"/>
    </row>
    <row r="1234" spans="3:7" ht="15.75" hidden="1" customHeight="1">
      <c r="C1234" s="7"/>
      <c r="E1234" s="10"/>
      <c r="F1234" s="10"/>
      <c r="G1234" s="10"/>
    </row>
    <row r="1235" spans="3:7" ht="15.75" hidden="1" customHeight="1">
      <c r="C1235" s="22"/>
      <c r="E1235" s="10"/>
      <c r="F1235" s="10"/>
      <c r="G1235" s="10"/>
    </row>
    <row r="1236" spans="3:7" ht="15.75" hidden="1" customHeight="1">
      <c r="C1236" s="7"/>
      <c r="E1236" s="10"/>
      <c r="F1236" s="10"/>
      <c r="G1236" s="10"/>
    </row>
    <row r="1237" spans="3:7" ht="15.75" hidden="1" customHeight="1">
      <c r="C1237" s="22"/>
      <c r="E1237" s="10"/>
      <c r="F1237" s="10"/>
      <c r="G1237" s="10"/>
    </row>
    <row r="1238" spans="3:7" ht="15.75" hidden="1" customHeight="1">
      <c r="C1238" s="22"/>
      <c r="E1238" s="10"/>
      <c r="F1238" s="10"/>
      <c r="G1238" s="10"/>
    </row>
    <row r="1239" spans="3:7" ht="15.75" hidden="1" customHeight="1">
      <c r="C1239" s="7"/>
      <c r="E1239" s="10"/>
      <c r="F1239" s="10"/>
      <c r="G1239" s="10"/>
    </row>
    <row r="1240" spans="3:7" ht="15.75" hidden="1" customHeight="1">
      <c r="C1240" s="7"/>
      <c r="E1240" s="10"/>
      <c r="F1240" s="10"/>
      <c r="G1240" s="10"/>
    </row>
    <row r="1241" spans="3:7" ht="15.75" hidden="1" customHeight="1">
      <c r="C1241" s="22"/>
      <c r="E1241" s="10"/>
      <c r="F1241" s="10"/>
      <c r="G1241" s="10"/>
    </row>
    <row r="1242" spans="3:7" ht="15.75" hidden="1" customHeight="1">
      <c r="C1242" s="7"/>
      <c r="E1242" s="10"/>
      <c r="F1242" s="10"/>
      <c r="G1242" s="10"/>
    </row>
    <row r="1243" spans="3:7" ht="15.75" hidden="1" customHeight="1">
      <c r="C1243" s="22"/>
      <c r="E1243" s="10"/>
      <c r="F1243" s="10"/>
      <c r="G1243" s="10"/>
    </row>
    <row r="1244" spans="3:7" ht="15.75" hidden="1" customHeight="1">
      <c r="C1244" s="22"/>
      <c r="E1244" s="10"/>
      <c r="F1244" s="10"/>
      <c r="G1244" s="10"/>
    </row>
    <row r="1245" spans="3:7" ht="15.75" hidden="1" customHeight="1">
      <c r="C1245" s="7"/>
      <c r="E1245" s="10"/>
      <c r="F1245" s="10"/>
      <c r="G1245" s="10"/>
    </row>
    <row r="1246" spans="3:7" ht="15.75" hidden="1" customHeight="1">
      <c r="C1246" s="7"/>
      <c r="E1246" s="10"/>
      <c r="F1246" s="10"/>
      <c r="G1246" s="10"/>
    </row>
    <row r="1247" spans="3:7" ht="15.75" hidden="1" customHeight="1">
      <c r="C1247" s="7"/>
      <c r="E1247" s="10"/>
      <c r="F1247" s="10"/>
      <c r="G1247" s="10"/>
    </row>
    <row r="1248" spans="3:7" ht="15.75" hidden="1" customHeight="1">
      <c r="C1248" s="7"/>
      <c r="E1248" s="10"/>
      <c r="F1248" s="10"/>
      <c r="G1248" s="10"/>
    </row>
    <row r="1249" spans="3:7" ht="15.75" hidden="1" customHeight="1">
      <c r="C1249" s="7"/>
      <c r="E1249" s="10"/>
      <c r="F1249" s="10"/>
      <c r="G1249" s="10"/>
    </row>
    <row r="1250" spans="3:7" ht="15.75" hidden="1" customHeight="1">
      <c r="C1250" s="7"/>
      <c r="E1250" s="10"/>
      <c r="F1250" s="10"/>
      <c r="G1250" s="10"/>
    </row>
    <row r="1251" spans="3:7" ht="15.75" hidden="1" customHeight="1">
      <c r="C1251" s="7"/>
      <c r="E1251" s="10"/>
      <c r="F1251" s="10"/>
      <c r="G1251" s="10"/>
    </row>
    <row r="1252" spans="3:7" ht="15.75" hidden="1" customHeight="1">
      <c r="C1252" s="7"/>
      <c r="E1252" s="10"/>
      <c r="F1252" s="10"/>
      <c r="G1252" s="10"/>
    </row>
    <row r="1253" spans="3:7" ht="15.75" hidden="1" customHeight="1">
      <c r="C1253" s="7"/>
      <c r="E1253" s="10"/>
      <c r="F1253" s="10"/>
      <c r="G1253" s="10"/>
    </row>
    <row r="1254" spans="3:7" ht="15.75" hidden="1" customHeight="1">
      <c r="C1254" s="7"/>
      <c r="E1254" s="10"/>
      <c r="F1254" s="10"/>
      <c r="G1254" s="10"/>
    </row>
    <row r="1255" spans="3:7" ht="15.75" hidden="1" customHeight="1">
      <c r="C1255" s="7"/>
      <c r="E1255" s="10"/>
      <c r="F1255" s="10"/>
      <c r="G1255" s="10"/>
    </row>
    <row r="1256" spans="3:7" ht="15.75" hidden="1" customHeight="1">
      <c r="C1256" s="7"/>
      <c r="E1256" s="10"/>
      <c r="F1256" s="10"/>
      <c r="G1256" s="10"/>
    </row>
    <row r="1257" spans="3:7" ht="15.75" hidden="1" customHeight="1">
      <c r="C1257" s="7"/>
      <c r="E1257" s="10"/>
      <c r="F1257" s="10"/>
      <c r="G1257" s="10"/>
    </row>
    <row r="1258" spans="3:7" ht="15.75" hidden="1" customHeight="1">
      <c r="C1258" s="7"/>
      <c r="E1258" s="10"/>
      <c r="F1258" s="10"/>
      <c r="G1258" s="10"/>
    </row>
    <row r="1259" spans="3:7" ht="15.75" hidden="1" customHeight="1">
      <c r="C1259" s="7"/>
      <c r="E1259" s="10"/>
      <c r="F1259" s="10"/>
      <c r="G1259" s="10"/>
    </row>
    <row r="1260" spans="3:7" ht="15.75" hidden="1" customHeight="1">
      <c r="C1260" s="7"/>
      <c r="E1260" s="10"/>
      <c r="F1260" s="10"/>
      <c r="G1260" s="10"/>
    </row>
    <row r="1261" spans="3:7" ht="15.75" hidden="1" customHeight="1">
      <c r="C1261" s="7"/>
      <c r="E1261" s="10"/>
      <c r="F1261" s="10"/>
      <c r="G1261" s="10"/>
    </row>
    <row r="1262" spans="3:7" ht="15.75" hidden="1" customHeight="1">
      <c r="C1262" s="7"/>
      <c r="E1262" s="10"/>
      <c r="F1262" s="10"/>
      <c r="G1262" s="10"/>
    </row>
    <row r="1263" spans="3:7" ht="15.75" hidden="1" customHeight="1">
      <c r="C1263" s="7"/>
      <c r="E1263" s="10"/>
      <c r="F1263" s="10"/>
      <c r="G1263" s="10"/>
    </row>
    <row r="1264" spans="3:7" ht="15.75" hidden="1" customHeight="1">
      <c r="C1264" s="7"/>
      <c r="E1264" s="10"/>
      <c r="F1264" s="10"/>
      <c r="G1264" s="10"/>
    </row>
    <row r="1265" spans="3:7" ht="15.75" hidden="1" customHeight="1">
      <c r="C1265" s="7"/>
      <c r="E1265" s="10"/>
      <c r="F1265" s="10"/>
      <c r="G1265" s="10"/>
    </row>
    <row r="1266" spans="3:7" ht="15.75" hidden="1" customHeight="1">
      <c r="C1266" s="23"/>
      <c r="E1266" s="10"/>
      <c r="F1266" s="10"/>
      <c r="G1266" s="10"/>
    </row>
    <row r="1267" spans="3:7" ht="15.75" hidden="1" customHeight="1">
      <c r="C1267" s="23"/>
      <c r="E1267" s="10"/>
      <c r="F1267" s="10"/>
      <c r="G1267" s="10"/>
    </row>
    <row r="1268" spans="3:7" ht="15.75" hidden="1" customHeight="1">
      <c r="C1268" s="23"/>
      <c r="E1268" s="10"/>
      <c r="F1268" s="10"/>
      <c r="G1268" s="10"/>
    </row>
    <row r="1269" spans="3:7" ht="15.75" hidden="1" customHeight="1">
      <c r="C1269" s="23"/>
      <c r="E1269" s="10"/>
      <c r="F1269" s="10"/>
      <c r="G1269" s="10"/>
    </row>
    <row r="1270" spans="3:7" ht="15.75" hidden="1" customHeight="1">
      <c r="C1270" s="23"/>
      <c r="E1270" s="10"/>
      <c r="F1270" s="10"/>
      <c r="G1270" s="10"/>
    </row>
    <row r="1271" spans="3:7" ht="15.75" hidden="1" customHeight="1">
      <c r="C1271" s="23"/>
      <c r="E1271" s="10"/>
      <c r="F1271" s="10"/>
      <c r="G1271" s="10"/>
    </row>
    <row r="1272" spans="3:7" ht="15.75" hidden="1" customHeight="1">
      <c r="C1272" s="23"/>
      <c r="E1272" s="10"/>
      <c r="F1272" s="10"/>
      <c r="G1272" s="10"/>
    </row>
    <row r="1273" spans="3:7" ht="15.75" hidden="1" customHeight="1">
      <c r="C1273" s="7"/>
      <c r="E1273" s="10"/>
      <c r="F1273" s="10"/>
      <c r="G1273" s="10"/>
    </row>
    <row r="1274" spans="3:7" ht="15.75" hidden="1" customHeight="1">
      <c r="C1274" s="26"/>
      <c r="E1274" s="10"/>
      <c r="F1274" s="10"/>
      <c r="G1274" s="10"/>
    </row>
    <row r="1275" spans="3:7" ht="15.75" hidden="1" customHeight="1">
      <c r="C1275" s="7"/>
      <c r="E1275" s="10"/>
      <c r="F1275" s="10"/>
      <c r="G1275" s="10"/>
    </row>
    <row r="1276" spans="3:7" ht="15.75" hidden="1" customHeight="1">
      <c r="C1276" s="7"/>
      <c r="E1276" s="10"/>
      <c r="F1276" s="10"/>
      <c r="G1276" s="10"/>
    </row>
    <row r="1277" spans="3:7" ht="15.75" hidden="1" customHeight="1">
      <c r="C1277" s="7"/>
      <c r="E1277" s="10"/>
      <c r="F1277" s="10"/>
      <c r="G1277" s="10"/>
    </row>
    <row r="1278" spans="3:7" ht="15.75" hidden="1" customHeight="1">
      <c r="C1278" s="26"/>
      <c r="E1278" s="10"/>
      <c r="F1278" s="10"/>
      <c r="G1278" s="10"/>
    </row>
    <row r="1279" spans="3:7" ht="15.75" hidden="1" customHeight="1">
      <c r="C1279" s="23"/>
      <c r="E1279" s="10"/>
      <c r="F1279" s="10"/>
      <c r="G1279" s="10"/>
    </row>
    <row r="1280" spans="3:7" ht="15.75" hidden="1" customHeight="1">
      <c r="C1280" s="7"/>
      <c r="E1280" s="10"/>
      <c r="F1280" s="10"/>
      <c r="G1280" s="10"/>
    </row>
    <row r="1281" spans="3:7" ht="15.75" hidden="1" customHeight="1">
      <c r="C1281" s="7"/>
      <c r="E1281" s="10"/>
      <c r="F1281" s="10"/>
      <c r="G1281" s="10"/>
    </row>
    <row r="1282" spans="3:7" ht="15.75" hidden="1" customHeight="1">
      <c r="C1282" s="7"/>
      <c r="E1282" s="10"/>
      <c r="F1282" s="10"/>
      <c r="G1282" s="10"/>
    </row>
    <row r="1283" spans="3:7" ht="15.75" hidden="1" customHeight="1">
      <c r="C1283" s="7"/>
      <c r="E1283" s="10"/>
      <c r="F1283" s="10"/>
      <c r="G1283" s="10"/>
    </row>
    <row r="1284" spans="3:7" ht="15.75" hidden="1" customHeight="1">
      <c r="C1284" s="7"/>
      <c r="E1284" s="10"/>
      <c r="F1284" s="10"/>
      <c r="G1284" s="10"/>
    </row>
    <row r="1285" spans="3:7" ht="15.75" hidden="1" customHeight="1">
      <c r="C1285" s="7"/>
      <c r="E1285" s="10"/>
      <c r="F1285" s="10"/>
      <c r="G1285" s="10"/>
    </row>
    <row r="1286" spans="3:7" ht="15.75" hidden="1" customHeight="1">
      <c r="C1286" s="7"/>
      <c r="E1286" s="10"/>
      <c r="F1286" s="10"/>
      <c r="G1286" s="10"/>
    </row>
    <row r="1287" spans="3:7" ht="15.75" hidden="1" customHeight="1">
      <c r="C1287" s="7"/>
      <c r="E1287" s="10"/>
      <c r="F1287" s="10"/>
      <c r="G1287" s="10"/>
    </row>
    <row r="1288" spans="3:7" ht="15.75" hidden="1" customHeight="1">
      <c r="C1288" s="7"/>
      <c r="E1288" s="10"/>
      <c r="F1288" s="10"/>
      <c r="G1288" s="10"/>
    </row>
    <row r="1289" spans="3:7" ht="15.75" hidden="1" customHeight="1">
      <c r="C1289" s="7"/>
      <c r="E1289" s="10"/>
      <c r="F1289" s="10"/>
      <c r="G1289" s="10"/>
    </row>
    <row r="1290" spans="3:7" ht="15.75" hidden="1" customHeight="1">
      <c r="C1290" s="7"/>
      <c r="E1290" s="10"/>
      <c r="F1290" s="10"/>
      <c r="G1290" s="10"/>
    </row>
    <row r="1291" spans="3:7" ht="15.75" hidden="1" customHeight="1">
      <c r="C1291" s="7"/>
      <c r="E1291" s="10"/>
      <c r="F1291" s="10"/>
      <c r="G1291" s="10"/>
    </row>
    <row r="1292" spans="3:7" ht="15.75" hidden="1" customHeight="1">
      <c r="C1292" s="7"/>
      <c r="E1292" s="10"/>
      <c r="F1292" s="10"/>
      <c r="G1292" s="10"/>
    </row>
    <row r="1293" spans="3:7" ht="15.75" hidden="1" customHeight="1">
      <c r="C1293" s="7"/>
      <c r="E1293" s="10"/>
      <c r="F1293" s="10"/>
      <c r="G1293" s="10"/>
    </row>
    <row r="1294" spans="3:7" ht="15.75" hidden="1" customHeight="1">
      <c r="C1294" s="7"/>
      <c r="E1294" s="10"/>
      <c r="F1294" s="10"/>
      <c r="G1294" s="10"/>
    </row>
    <row r="1295" spans="3:7" ht="15.75" hidden="1" customHeight="1">
      <c r="C1295" s="7"/>
      <c r="E1295" s="10"/>
      <c r="F1295" s="10"/>
      <c r="G1295" s="10"/>
    </row>
    <row r="1296" spans="3:7" ht="15.75" hidden="1" customHeight="1">
      <c r="C1296" s="7"/>
      <c r="E1296" s="10"/>
      <c r="F1296" s="10"/>
      <c r="G1296" s="10"/>
    </row>
    <row r="1297" spans="1:17" ht="15.75" hidden="1" customHeight="1">
      <c r="C1297" s="7"/>
      <c r="E1297" s="10"/>
      <c r="F1297" s="10"/>
      <c r="G1297" s="10"/>
    </row>
    <row r="1298" spans="1:17" ht="15.75" hidden="1" customHeight="1">
      <c r="C1298" s="7"/>
      <c r="E1298" s="10"/>
      <c r="F1298" s="10"/>
      <c r="G1298" s="10"/>
    </row>
    <row r="1299" spans="1:17" ht="15.75" hidden="1" customHeight="1">
      <c r="C1299" s="7"/>
      <c r="E1299" s="10"/>
      <c r="F1299" s="10"/>
      <c r="G1299" s="10"/>
    </row>
    <row r="1300" spans="1:17" ht="15.75" hidden="1" customHeight="1">
      <c r="C1300" s="7"/>
    </row>
    <row r="1301" spans="1:17" ht="15.75" hidden="1" customHeight="1">
      <c r="A1301" t="s">
        <v>3548</v>
      </c>
      <c r="B1301" t="s">
        <v>281</v>
      </c>
      <c r="C1301" t="s">
        <v>3549</v>
      </c>
      <c r="G1301" t="s">
        <v>285</v>
      </c>
      <c r="L1301">
        <v>-650</v>
      </c>
      <c r="M1301" t="s">
        <v>3396</v>
      </c>
      <c r="Q1301" t="s">
        <v>3550</v>
      </c>
    </row>
    <row r="1302" spans="1:17" ht="15.75" hidden="1" customHeight="1">
      <c r="A1302" t="s">
        <v>3551</v>
      </c>
      <c r="B1302" t="s">
        <v>281</v>
      </c>
      <c r="C1302" t="s">
        <v>3552</v>
      </c>
      <c r="G1302" t="s">
        <v>285</v>
      </c>
      <c r="L1302">
        <v>-650</v>
      </c>
      <c r="M1302" t="s">
        <v>3396</v>
      </c>
      <c r="Q1302" t="s">
        <v>3550</v>
      </c>
    </row>
    <row r="1303" spans="1:17" ht="15.75" hidden="1" customHeight="1">
      <c r="A1303" t="s">
        <v>3553</v>
      </c>
      <c r="B1303" t="s">
        <v>281</v>
      </c>
      <c r="C1303" t="s">
        <v>3554</v>
      </c>
      <c r="G1303" t="s">
        <v>285</v>
      </c>
      <c r="L1303">
        <v>-650</v>
      </c>
      <c r="M1303" t="s">
        <v>3396</v>
      </c>
      <c r="Q1303" t="s">
        <v>3550</v>
      </c>
    </row>
    <row r="1304" spans="1:17" ht="15.75" hidden="1" customHeight="1">
      <c r="A1304" t="s">
        <v>3555</v>
      </c>
      <c r="B1304" t="s">
        <v>281</v>
      </c>
      <c r="C1304" t="s">
        <v>3556</v>
      </c>
      <c r="G1304" t="s">
        <v>285</v>
      </c>
      <c r="L1304">
        <v>-650</v>
      </c>
      <c r="M1304" t="s">
        <v>3396</v>
      </c>
      <c r="Q1304" t="s">
        <v>3550</v>
      </c>
    </row>
    <row r="1305" spans="1:17" ht="15.75" hidden="1" customHeight="1">
      <c r="A1305" t="s">
        <v>3557</v>
      </c>
      <c r="B1305" t="s">
        <v>281</v>
      </c>
      <c r="C1305" t="s">
        <v>3558</v>
      </c>
      <c r="G1305" t="s">
        <v>285</v>
      </c>
      <c r="L1305">
        <v>-650</v>
      </c>
      <c r="M1305" t="s">
        <v>3396</v>
      </c>
      <c r="Q1305" t="s">
        <v>3550</v>
      </c>
    </row>
    <row r="1306" spans="1:17" ht="15.75" hidden="1" customHeight="1">
      <c r="A1306" t="s">
        <v>3559</v>
      </c>
      <c r="B1306" t="s">
        <v>281</v>
      </c>
      <c r="C1306" t="s">
        <v>3560</v>
      </c>
      <c r="G1306" t="s">
        <v>285</v>
      </c>
      <c r="L1306">
        <v>-650</v>
      </c>
      <c r="M1306" t="s">
        <v>3396</v>
      </c>
      <c r="Q1306" t="s">
        <v>3561</v>
      </c>
    </row>
    <row r="1307" spans="1:17" ht="15.75" hidden="1" customHeight="1">
      <c r="A1307" t="s">
        <v>3562</v>
      </c>
      <c r="B1307" t="s">
        <v>281</v>
      </c>
      <c r="C1307" t="s">
        <v>3563</v>
      </c>
      <c r="G1307" t="s">
        <v>285</v>
      </c>
      <c r="L1307">
        <v>-650</v>
      </c>
      <c r="M1307" t="s">
        <v>3396</v>
      </c>
      <c r="Q1307" t="s">
        <v>3561</v>
      </c>
    </row>
    <row r="1308" spans="1:17" ht="15.75" hidden="1" customHeight="1">
      <c r="A1308" t="s">
        <v>3564</v>
      </c>
      <c r="B1308" t="s">
        <v>281</v>
      </c>
      <c r="C1308" t="s">
        <v>3565</v>
      </c>
      <c r="G1308" t="s">
        <v>285</v>
      </c>
      <c r="L1308">
        <v>-650</v>
      </c>
      <c r="M1308" t="s">
        <v>3396</v>
      </c>
      <c r="Q1308" t="s">
        <v>3561</v>
      </c>
    </row>
    <row r="1309" spans="1:17" ht="15.75" hidden="1" customHeight="1">
      <c r="A1309" t="s">
        <v>3566</v>
      </c>
      <c r="B1309" t="s">
        <v>281</v>
      </c>
      <c r="C1309" t="s">
        <v>3567</v>
      </c>
      <c r="E1309" t="s">
        <v>3568</v>
      </c>
      <c r="F1309" t="s">
        <v>3569</v>
      </c>
      <c r="G1309" t="s">
        <v>285</v>
      </c>
      <c r="J1309" t="s">
        <v>3570</v>
      </c>
      <c r="L1309">
        <v>0</v>
      </c>
      <c r="M1309" t="s">
        <v>3432</v>
      </c>
      <c r="Q1309" t="s">
        <v>3571</v>
      </c>
    </row>
    <row r="1310" spans="1:17" ht="15.75" hidden="1" customHeight="1">
      <c r="A1310" t="s">
        <v>3572</v>
      </c>
      <c r="B1310" t="s">
        <v>281</v>
      </c>
      <c r="C1310" t="s">
        <v>3573</v>
      </c>
      <c r="E1310" t="s">
        <v>3568</v>
      </c>
      <c r="F1310" t="s">
        <v>3569</v>
      </c>
      <c r="G1310" t="s">
        <v>285</v>
      </c>
      <c r="J1310" t="s">
        <v>3570</v>
      </c>
      <c r="L1310">
        <v>0</v>
      </c>
      <c r="M1310" t="s">
        <v>3432</v>
      </c>
      <c r="Q1310" t="s">
        <v>3574</v>
      </c>
    </row>
    <row r="1311" spans="1:17" ht="15.75" hidden="1" customHeight="1">
      <c r="A1311" t="s">
        <v>3575</v>
      </c>
      <c r="B1311" t="s">
        <v>281</v>
      </c>
      <c r="C1311" t="s">
        <v>3576</v>
      </c>
      <c r="E1311" t="s">
        <v>3568</v>
      </c>
      <c r="F1311" t="s">
        <v>3569</v>
      </c>
      <c r="G1311" t="s">
        <v>285</v>
      </c>
      <c r="J1311" t="s">
        <v>3570</v>
      </c>
      <c r="L1311">
        <v>0</v>
      </c>
      <c r="M1311" t="s">
        <v>3432</v>
      </c>
      <c r="Q1311" t="s">
        <v>3577</v>
      </c>
    </row>
    <row r="1312" spans="1:17" ht="15.75" hidden="1" customHeight="1">
      <c r="A1312" t="s">
        <v>3578</v>
      </c>
      <c r="B1312" t="s">
        <v>281</v>
      </c>
      <c r="C1312" t="s">
        <v>3579</v>
      </c>
      <c r="E1312" t="s">
        <v>3568</v>
      </c>
      <c r="F1312" t="s">
        <v>3569</v>
      </c>
      <c r="G1312" t="s">
        <v>285</v>
      </c>
      <c r="J1312" t="s">
        <v>3570</v>
      </c>
      <c r="L1312">
        <v>0</v>
      </c>
      <c r="M1312" t="s">
        <v>3432</v>
      </c>
      <c r="Q1312" t="s">
        <v>3580</v>
      </c>
    </row>
    <row r="1313" spans="1:17" ht="15.75" hidden="1" customHeight="1">
      <c r="A1313" t="s">
        <v>3581</v>
      </c>
      <c r="B1313" t="s">
        <v>281</v>
      </c>
      <c r="C1313" t="s">
        <v>3582</v>
      </c>
      <c r="E1313" t="s">
        <v>3568</v>
      </c>
      <c r="F1313" t="s">
        <v>3569</v>
      </c>
      <c r="G1313" t="s">
        <v>285</v>
      </c>
      <c r="J1313" t="s">
        <v>3570</v>
      </c>
      <c r="L1313">
        <v>0</v>
      </c>
      <c r="M1313" t="s">
        <v>3432</v>
      </c>
      <c r="Q1313" t="s">
        <v>3583</v>
      </c>
    </row>
    <row r="1314" spans="1:17" ht="15.75" hidden="1" customHeight="1">
      <c r="A1314" t="s">
        <v>3584</v>
      </c>
      <c r="B1314" t="s">
        <v>281</v>
      </c>
      <c r="C1314" t="s">
        <v>3585</v>
      </c>
      <c r="E1314" t="s">
        <v>3586</v>
      </c>
      <c r="F1314" t="s">
        <v>3587</v>
      </c>
      <c r="G1314" t="s">
        <v>285</v>
      </c>
      <c r="J1314" t="s">
        <v>3588</v>
      </c>
      <c r="L1314">
        <v>0</v>
      </c>
      <c r="M1314" t="s">
        <v>3589</v>
      </c>
      <c r="Q1314" t="s">
        <v>3590</v>
      </c>
    </row>
    <row r="1315" spans="1:17" ht="15.75" hidden="1" customHeight="1">
      <c r="A1315" t="s">
        <v>3591</v>
      </c>
      <c r="B1315" t="s">
        <v>281</v>
      </c>
      <c r="C1315" t="s">
        <v>3592</v>
      </c>
      <c r="E1315" t="s">
        <v>3593</v>
      </c>
      <c r="F1315" t="s">
        <v>1092</v>
      </c>
      <c r="G1315" t="s">
        <v>285</v>
      </c>
      <c r="J1315" t="s">
        <v>3594</v>
      </c>
      <c r="L1315">
        <v>999</v>
      </c>
      <c r="M1315">
        <v>3</v>
      </c>
      <c r="Q1315" t="s">
        <v>3595</v>
      </c>
    </row>
    <row r="1316" spans="1:17" ht="15.75" hidden="1" customHeight="1">
      <c r="A1316" t="s">
        <v>3596</v>
      </c>
      <c r="B1316" t="s">
        <v>281</v>
      </c>
      <c r="C1316" t="s">
        <v>3597</v>
      </c>
      <c r="E1316" t="s">
        <v>3598</v>
      </c>
      <c r="F1316" t="s">
        <v>1092</v>
      </c>
      <c r="G1316" t="s">
        <v>285</v>
      </c>
      <c r="J1316" t="s">
        <v>3594</v>
      </c>
      <c r="L1316">
        <v>999</v>
      </c>
      <c r="M1316">
        <v>3</v>
      </c>
      <c r="Q1316" t="s">
        <v>3599</v>
      </c>
    </row>
    <row r="1317" spans="1:17" ht="15.75" hidden="1" customHeight="1">
      <c r="A1317" t="s">
        <v>3600</v>
      </c>
      <c r="B1317" t="s">
        <v>281</v>
      </c>
      <c r="C1317" t="s">
        <v>3601</v>
      </c>
      <c r="E1317" t="s">
        <v>3602</v>
      </c>
      <c r="F1317" t="s">
        <v>1092</v>
      </c>
      <c r="G1317" t="s">
        <v>285</v>
      </c>
      <c r="J1317" t="s">
        <v>3594</v>
      </c>
      <c r="L1317">
        <v>999</v>
      </c>
      <c r="M1317">
        <v>3</v>
      </c>
      <c r="Q1317" t="s">
        <v>3603</v>
      </c>
    </row>
    <row r="1318" spans="1:17" ht="15.75" hidden="1" customHeight="1">
      <c r="A1318" t="s">
        <v>3604</v>
      </c>
      <c r="B1318" t="s">
        <v>281</v>
      </c>
      <c r="C1318" t="s">
        <v>3605</v>
      </c>
      <c r="E1318" t="s">
        <v>3606</v>
      </c>
      <c r="F1318" t="s">
        <v>1092</v>
      </c>
      <c r="G1318" t="s">
        <v>285</v>
      </c>
      <c r="J1318" t="s">
        <v>3594</v>
      </c>
      <c r="L1318">
        <v>999</v>
      </c>
      <c r="M1318">
        <v>3</v>
      </c>
      <c r="Q1318" t="s">
        <v>3607</v>
      </c>
    </row>
    <row r="1319" spans="1:17" ht="15.75" hidden="1" customHeight="1">
      <c r="A1319" t="s">
        <v>3608</v>
      </c>
      <c r="B1319" t="s">
        <v>281</v>
      </c>
      <c r="C1319" t="s">
        <v>3609</v>
      </c>
      <c r="E1319" t="s">
        <v>3610</v>
      </c>
      <c r="F1319" t="s">
        <v>1092</v>
      </c>
      <c r="G1319" t="s">
        <v>285</v>
      </c>
      <c r="J1319" t="s">
        <v>3594</v>
      </c>
      <c r="L1319">
        <v>999</v>
      </c>
      <c r="M1319">
        <v>3</v>
      </c>
      <c r="Q1319" t="s">
        <v>3611</v>
      </c>
    </row>
    <row r="1320" spans="1:17" ht="15.75" hidden="1" customHeight="1">
      <c r="A1320" t="s">
        <v>3612</v>
      </c>
      <c r="B1320" t="s">
        <v>281</v>
      </c>
      <c r="C1320" t="s">
        <v>3613</v>
      </c>
      <c r="E1320" t="s">
        <v>3614</v>
      </c>
      <c r="F1320" t="s">
        <v>1092</v>
      </c>
      <c r="G1320" t="s">
        <v>285</v>
      </c>
      <c r="J1320" t="s">
        <v>3594</v>
      </c>
      <c r="L1320">
        <v>999</v>
      </c>
      <c r="M1320">
        <v>3</v>
      </c>
      <c r="Q1320" t="s">
        <v>3615</v>
      </c>
    </row>
    <row r="1321" spans="1:17" ht="15.75" hidden="1" customHeight="1">
      <c r="A1321" t="s">
        <v>3616</v>
      </c>
      <c r="B1321" t="s">
        <v>281</v>
      </c>
      <c r="C1321" t="s">
        <v>3617</v>
      </c>
      <c r="E1321" t="s">
        <v>3618</v>
      </c>
      <c r="F1321" t="s">
        <v>1092</v>
      </c>
      <c r="G1321" t="s">
        <v>285</v>
      </c>
      <c r="J1321" t="s">
        <v>3594</v>
      </c>
      <c r="L1321">
        <v>999</v>
      </c>
      <c r="M1321">
        <v>3</v>
      </c>
      <c r="Q1321" t="s">
        <v>3619</v>
      </c>
    </row>
    <row r="1322" spans="1:17" ht="15.75" hidden="1" customHeight="1">
      <c r="A1322" t="s">
        <v>3620</v>
      </c>
      <c r="B1322" t="s">
        <v>281</v>
      </c>
      <c r="C1322" t="s">
        <v>3621</v>
      </c>
      <c r="E1322" t="s">
        <v>3622</v>
      </c>
      <c r="F1322" t="s">
        <v>1092</v>
      </c>
      <c r="G1322" t="s">
        <v>285</v>
      </c>
      <c r="J1322" t="s">
        <v>3594</v>
      </c>
      <c r="L1322">
        <v>999</v>
      </c>
      <c r="M1322">
        <v>3</v>
      </c>
      <c r="Q1322" t="s">
        <v>3623</v>
      </c>
    </row>
    <row r="1323" spans="1:17" ht="15.75" hidden="1" customHeight="1">
      <c r="A1323" t="s">
        <v>3624</v>
      </c>
      <c r="B1323" t="s">
        <v>281</v>
      </c>
      <c r="C1323" t="s">
        <v>3625</v>
      </c>
      <c r="E1323" t="s">
        <v>3626</v>
      </c>
      <c r="F1323" t="s">
        <v>1092</v>
      </c>
      <c r="G1323" t="s">
        <v>285</v>
      </c>
      <c r="J1323" t="s">
        <v>3594</v>
      </c>
      <c r="L1323">
        <v>999</v>
      </c>
      <c r="M1323">
        <v>3</v>
      </c>
      <c r="Q1323" t="s">
        <v>3627</v>
      </c>
    </row>
    <row r="1324" spans="1:17" ht="15.75" hidden="1" customHeight="1">
      <c r="A1324" t="s">
        <v>3628</v>
      </c>
      <c r="B1324" t="s">
        <v>281</v>
      </c>
      <c r="C1324" t="s">
        <v>3629</v>
      </c>
      <c r="E1324" t="s">
        <v>3630</v>
      </c>
      <c r="F1324" t="s">
        <v>1092</v>
      </c>
      <c r="G1324" t="s">
        <v>285</v>
      </c>
      <c r="J1324" t="s">
        <v>3594</v>
      </c>
      <c r="L1324">
        <v>999</v>
      </c>
      <c r="M1324">
        <v>3</v>
      </c>
      <c r="Q1324" t="s">
        <v>3631</v>
      </c>
    </row>
    <row r="1325" spans="1:17" ht="15.75" hidden="1" customHeight="1">
      <c r="A1325" t="s">
        <v>3632</v>
      </c>
      <c r="B1325" t="s">
        <v>281</v>
      </c>
      <c r="C1325" t="s">
        <v>3633</v>
      </c>
      <c r="E1325" t="s">
        <v>3634</v>
      </c>
      <c r="F1325" t="s">
        <v>1092</v>
      </c>
      <c r="G1325" t="s">
        <v>285</v>
      </c>
      <c r="J1325" t="s">
        <v>3594</v>
      </c>
      <c r="L1325">
        <v>999</v>
      </c>
      <c r="M1325">
        <v>3</v>
      </c>
      <c r="Q1325" t="s">
        <v>3635</v>
      </c>
    </row>
    <row r="1326" spans="1:17" ht="15.75" hidden="1" customHeight="1">
      <c r="A1326" t="s">
        <v>3636</v>
      </c>
      <c r="B1326" t="s">
        <v>281</v>
      </c>
      <c r="C1326" t="s">
        <v>3637</v>
      </c>
      <c r="E1326" t="s">
        <v>3638</v>
      </c>
      <c r="F1326" t="s">
        <v>1092</v>
      </c>
      <c r="G1326" t="s">
        <v>285</v>
      </c>
      <c r="J1326" t="s">
        <v>3594</v>
      </c>
      <c r="L1326">
        <v>999</v>
      </c>
      <c r="M1326">
        <v>3</v>
      </c>
      <c r="Q1326" t="s">
        <v>3639</v>
      </c>
    </row>
    <row r="1327" spans="1:17" ht="15.75" hidden="1" customHeight="1">
      <c r="A1327" t="s">
        <v>3640</v>
      </c>
      <c r="B1327" t="s">
        <v>281</v>
      </c>
      <c r="C1327" t="s">
        <v>3641</v>
      </c>
      <c r="E1327" t="s">
        <v>3642</v>
      </c>
      <c r="F1327" t="s">
        <v>1092</v>
      </c>
      <c r="G1327" t="s">
        <v>285</v>
      </c>
      <c r="J1327" t="s">
        <v>3643</v>
      </c>
      <c r="L1327">
        <v>999</v>
      </c>
      <c r="M1327">
        <v>5</v>
      </c>
      <c r="Q1327" t="s">
        <v>3644</v>
      </c>
    </row>
    <row r="1328" spans="1:17" ht="15.75" hidden="1" customHeight="1">
      <c r="A1328" t="s">
        <v>3645</v>
      </c>
      <c r="B1328" t="s">
        <v>281</v>
      </c>
      <c r="C1328" t="s">
        <v>3646</v>
      </c>
      <c r="E1328" t="s">
        <v>3647</v>
      </c>
      <c r="F1328" t="s">
        <v>1092</v>
      </c>
      <c r="G1328" t="s">
        <v>285</v>
      </c>
      <c r="J1328" t="s">
        <v>3648</v>
      </c>
      <c r="L1328">
        <v>999</v>
      </c>
      <c r="M1328">
        <v>5</v>
      </c>
      <c r="Q1328" t="s">
        <v>3649</v>
      </c>
    </row>
    <row r="1329" spans="1:17" ht="15.75" hidden="1" customHeight="1">
      <c r="A1329" t="s">
        <v>3650</v>
      </c>
      <c r="B1329" t="s">
        <v>281</v>
      </c>
      <c r="C1329" t="s">
        <v>3651</v>
      </c>
      <c r="E1329" t="s">
        <v>3652</v>
      </c>
      <c r="F1329" t="s">
        <v>1092</v>
      </c>
      <c r="G1329" t="s">
        <v>285</v>
      </c>
      <c r="J1329" t="s">
        <v>3653</v>
      </c>
      <c r="L1329">
        <v>999</v>
      </c>
      <c r="M1329">
        <v>5</v>
      </c>
      <c r="Q1329" t="s">
        <v>3654</v>
      </c>
    </row>
    <row r="1330" spans="1:17" ht="15.75" hidden="1" customHeight="1">
      <c r="A1330" t="s">
        <v>3655</v>
      </c>
      <c r="B1330" t="s">
        <v>281</v>
      </c>
      <c r="C1330" t="s">
        <v>3656</v>
      </c>
      <c r="E1330" t="s">
        <v>3657</v>
      </c>
      <c r="F1330" t="s">
        <v>1092</v>
      </c>
      <c r="G1330" t="s">
        <v>285</v>
      </c>
      <c r="J1330" t="s">
        <v>3658</v>
      </c>
      <c r="L1330">
        <v>999</v>
      </c>
      <c r="M1330">
        <v>5</v>
      </c>
      <c r="Q1330" t="s">
        <v>3659</v>
      </c>
    </row>
    <row r="1331" spans="1:17" ht="15.75" hidden="1" customHeight="1">
      <c r="A1331" t="s">
        <v>3660</v>
      </c>
      <c r="B1331" t="s">
        <v>281</v>
      </c>
      <c r="C1331" t="s">
        <v>3661</v>
      </c>
      <c r="E1331" t="s">
        <v>3662</v>
      </c>
      <c r="F1331" t="s">
        <v>1092</v>
      </c>
      <c r="G1331" t="s">
        <v>285</v>
      </c>
      <c r="J1331" t="s">
        <v>3663</v>
      </c>
      <c r="L1331">
        <v>999</v>
      </c>
      <c r="M1331">
        <v>5</v>
      </c>
      <c r="Q1331" t="s">
        <v>3664</v>
      </c>
    </row>
    <row r="1332" spans="1:17" ht="15.75" hidden="1" customHeight="1">
      <c r="A1332" t="s">
        <v>3665</v>
      </c>
      <c r="B1332" t="s">
        <v>281</v>
      </c>
      <c r="C1332" t="s">
        <v>3666</v>
      </c>
      <c r="E1332" t="s">
        <v>3667</v>
      </c>
      <c r="F1332" t="s">
        <v>1092</v>
      </c>
      <c r="G1332" t="s">
        <v>285</v>
      </c>
      <c r="J1332" t="s">
        <v>3668</v>
      </c>
      <c r="L1332">
        <v>999</v>
      </c>
      <c r="M1332">
        <v>5</v>
      </c>
      <c r="Q1332" t="s">
        <v>3669</v>
      </c>
    </row>
    <row r="1333" spans="1:17" ht="15.75" hidden="1" customHeight="1">
      <c r="A1333" t="s">
        <v>3670</v>
      </c>
      <c r="B1333" t="s">
        <v>281</v>
      </c>
      <c r="C1333" t="s">
        <v>3671</v>
      </c>
      <c r="E1333" t="s">
        <v>3672</v>
      </c>
      <c r="F1333" t="s">
        <v>1092</v>
      </c>
      <c r="G1333" t="s">
        <v>285</v>
      </c>
      <c r="J1333" t="s">
        <v>3673</v>
      </c>
      <c r="L1333">
        <v>999</v>
      </c>
      <c r="M1333">
        <v>5</v>
      </c>
      <c r="Q1333" t="s">
        <v>3674</v>
      </c>
    </row>
    <row r="1334" spans="1:17" ht="15.75" hidden="1" customHeight="1">
      <c r="A1334" t="s">
        <v>3675</v>
      </c>
      <c r="B1334" t="s">
        <v>281</v>
      </c>
      <c r="C1334" t="s">
        <v>3676</v>
      </c>
      <c r="E1334" t="s">
        <v>3677</v>
      </c>
      <c r="F1334" t="s">
        <v>1092</v>
      </c>
      <c r="G1334" t="s">
        <v>285</v>
      </c>
      <c r="J1334" t="s">
        <v>3678</v>
      </c>
      <c r="L1334">
        <v>999</v>
      </c>
      <c r="M1334">
        <v>5</v>
      </c>
      <c r="Q1334" t="s">
        <v>3679</v>
      </c>
    </row>
    <row r="1335" spans="1:17" ht="15.75" hidden="1" customHeight="1">
      <c r="A1335" t="s">
        <v>3680</v>
      </c>
      <c r="B1335" t="s">
        <v>281</v>
      </c>
      <c r="C1335" t="s">
        <v>3681</v>
      </c>
      <c r="E1335" t="s">
        <v>3682</v>
      </c>
      <c r="F1335" t="s">
        <v>1092</v>
      </c>
      <c r="G1335" t="s">
        <v>285</v>
      </c>
      <c r="J1335" t="s">
        <v>3683</v>
      </c>
      <c r="L1335">
        <v>999</v>
      </c>
      <c r="M1335">
        <v>5</v>
      </c>
      <c r="Q1335" t="s">
        <v>3684</v>
      </c>
    </row>
    <row r="1336" spans="1:17" ht="15.75" hidden="1" customHeight="1">
      <c r="A1336" t="s">
        <v>3685</v>
      </c>
      <c r="B1336" t="s">
        <v>281</v>
      </c>
      <c r="C1336" t="s">
        <v>3686</v>
      </c>
      <c r="E1336" t="s">
        <v>3687</v>
      </c>
      <c r="F1336" t="s">
        <v>1092</v>
      </c>
      <c r="G1336" t="s">
        <v>285</v>
      </c>
      <c r="J1336" t="s">
        <v>3688</v>
      </c>
      <c r="L1336">
        <v>999</v>
      </c>
      <c r="M1336">
        <v>5</v>
      </c>
      <c r="Q1336" t="s">
        <v>3689</v>
      </c>
    </row>
    <row r="1337" spans="1:17" ht="15.75" hidden="1" customHeight="1">
      <c r="A1337" t="s">
        <v>3690</v>
      </c>
      <c r="B1337" t="s">
        <v>281</v>
      </c>
      <c r="C1337" t="s">
        <v>3691</v>
      </c>
      <c r="E1337" t="s">
        <v>3692</v>
      </c>
      <c r="F1337" t="s">
        <v>1092</v>
      </c>
      <c r="G1337" t="s">
        <v>285</v>
      </c>
      <c r="J1337" t="s">
        <v>3693</v>
      </c>
      <c r="L1337">
        <v>999</v>
      </c>
      <c r="M1337">
        <v>5</v>
      </c>
      <c r="Q1337" t="s">
        <v>3694</v>
      </c>
    </row>
    <row r="1338" spans="1:17" ht="15.75" hidden="1" customHeight="1">
      <c r="A1338" t="s">
        <v>3695</v>
      </c>
      <c r="B1338" t="s">
        <v>281</v>
      </c>
      <c r="C1338" t="s">
        <v>3696</v>
      </c>
      <c r="E1338" t="s">
        <v>3697</v>
      </c>
      <c r="F1338" t="s">
        <v>1092</v>
      </c>
      <c r="G1338" t="s">
        <v>285</v>
      </c>
      <c r="J1338" t="s">
        <v>3698</v>
      </c>
      <c r="L1338">
        <v>999</v>
      </c>
      <c r="M1338">
        <v>5</v>
      </c>
      <c r="Q1338" t="s">
        <v>3699</v>
      </c>
    </row>
    <row r="1339" spans="1:17" ht="15.75" hidden="1" customHeight="1">
      <c r="A1339" t="s">
        <v>3700</v>
      </c>
      <c r="B1339" t="s">
        <v>281</v>
      </c>
      <c r="C1339" t="s">
        <v>3701</v>
      </c>
      <c r="E1339" t="s">
        <v>3702</v>
      </c>
      <c r="F1339" t="s">
        <v>1092</v>
      </c>
      <c r="G1339" t="s">
        <v>285</v>
      </c>
      <c r="J1339" t="s">
        <v>3703</v>
      </c>
      <c r="L1339">
        <v>999</v>
      </c>
      <c r="M1339">
        <v>7</v>
      </c>
      <c r="Q1339" t="s">
        <v>3704</v>
      </c>
    </row>
    <row r="1340" spans="1:17" ht="15.75" hidden="1" customHeight="1">
      <c r="A1340" t="s">
        <v>3705</v>
      </c>
      <c r="B1340" t="s">
        <v>281</v>
      </c>
      <c r="C1340" t="s">
        <v>3706</v>
      </c>
      <c r="E1340" t="s">
        <v>3707</v>
      </c>
      <c r="F1340" t="s">
        <v>1092</v>
      </c>
      <c r="G1340" t="s">
        <v>285</v>
      </c>
      <c r="J1340" t="s">
        <v>3708</v>
      </c>
      <c r="L1340">
        <v>999</v>
      </c>
      <c r="M1340">
        <v>7</v>
      </c>
      <c r="Q1340" t="s">
        <v>3709</v>
      </c>
    </row>
    <row r="1341" spans="1:17" ht="15.75" hidden="1" customHeight="1">
      <c r="A1341" t="s">
        <v>3710</v>
      </c>
      <c r="B1341" t="s">
        <v>281</v>
      </c>
      <c r="C1341" t="s">
        <v>3711</v>
      </c>
      <c r="E1341" t="s">
        <v>3712</v>
      </c>
      <c r="F1341" t="s">
        <v>1092</v>
      </c>
      <c r="G1341" t="s">
        <v>285</v>
      </c>
      <c r="J1341" t="s">
        <v>3713</v>
      </c>
      <c r="L1341">
        <v>999</v>
      </c>
      <c r="M1341">
        <v>7</v>
      </c>
      <c r="Q1341" t="s">
        <v>3714</v>
      </c>
    </row>
    <row r="1342" spans="1:17" ht="15.75" hidden="1" customHeight="1">
      <c r="A1342" t="s">
        <v>3715</v>
      </c>
      <c r="B1342" t="s">
        <v>281</v>
      </c>
      <c r="C1342" t="s">
        <v>3716</v>
      </c>
      <c r="E1342" t="s">
        <v>3717</v>
      </c>
      <c r="F1342" t="s">
        <v>1092</v>
      </c>
      <c r="G1342" t="s">
        <v>285</v>
      </c>
      <c r="J1342" t="s">
        <v>3718</v>
      </c>
      <c r="L1342">
        <v>999</v>
      </c>
      <c r="M1342">
        <v>7</v>
      </c>
      <c r="Q1342" t="s">
        <v>3719</v>
      </c>
    </row>
    <row r="1343" spans="1:17" ht="15.75" hidden="1" customHeight="1">
      <c r="A1343" t="s">
        <v>3720</v>
      </c>
      <c r="B1343" t="s">
        <v>281</v>
      </c>
      <c r="C1343" t="s">
        <v>3721</v>
      </c>
      <c r="E1343" t="s">
        <v>3722</v>
      </c>
      <c r="F1343" t="s">
        <v>1092</v>
      </c>
      <c r="G1343" t="s">
        <v>285</v>
      </c>
      <c r="J1343" t="s">
        <v>3723</v>
      </c>
      <c r="L1343">
        <v>999</v>
      </c>
      <c r="M1343">
        <v>7</v>
      </c>
      <c r="Q1343" t="s">
        <v>3724</v>
      </c>
    </row>
    <row r="1344" spans="1:17" ht="15.75" hidden="1" customHeight="1">
      <c r="A1344" t="s">
        <v>3725</v>
      </c>
      <c r="B1344" t="s">
        <v>281</v>
      </c>
      <c r="C1344" t="s">
        <v>3726</v>
      </c>
      <c r="E1344" t="s">
        <v>3727</v>
      </c>
      <c r="F1344" t="s">
        <v>1092</v>
      </c>
      <c r="G1344" t="s">
        <v>285</v>
      </c>
      <c r="J1344" t="s">
        <v>3728</v>
      </c>
      <c r="L1344">
        <v>999</v>
      </c>
      <c r="M1344">
        <v>7</v>
      </c>
      <c r="Q1344" t="s">
        <v>3729</v>
      </c>
    </row>
    <row r="1345" spans="1:17" ht="15.75" hidden="1" customHeight="1">
      <c r="A1345" t="s">
        <v>3730</v>
      </c>
      <c r="B1345" t="s">
        <v>281</v>
      </c>
      <c r="C1345" t="s">
        <v>3731</v>
      </c>
      <c r="E1345" t="s">
        <v>3732</v>
      </c>
      <c r="F1345" t="s">
        <v>1092</v>
      </c>
      <c r="G1345" t="s">
        <v>285</v>
      </c>
      <c r="J1345" t="s">
        <v>3733</v>
      </c>
      <c r="L1345">
        <v>999</v>
      </c>
      <c r="M1345">
        <v>7</v>
      </c>
      <c r="Q1345" t="s">
        <v>3734</v>
      </c>
    </row>
    <row r="1346" spans="1:17" ht="15.75" hidden="1" customHeight="1">
      <c r="A1346" t="s">
        <v>3735</v>
      </c>
      <c r="B1346" t="s">
        <v>281</v>
      </c>
      <c r="C1346" t="s">
        <v>3736</v>
      </c>
      <c r="E1346" t="s">
        <v>3737</v>
      </c>
      <c r="F1346" t="s">
        <v>1092</v>
      </c>
      <c r="G1346" t="s">
        <v>285</v>
      </c>
      <c r="J1346" t="s">
        <v>3738</v>
      </c>
      <c r="L1346">
        <v>999</v>
      </c>
      <c r="M1346">
        <v>7</v>
      </c>
      <c r="Q1346" t="s">
        <v>3739</v>
      </c>
    </row>
    <row r="1347" spans="1:17" ht="15.75" hidden="1" customHeight="1">
      <c r="A1347" t="s">
        <v>3740</v>
      </c>
      <c r="B1347" t="s">
        <v>281</v>
      </c>
      <c r="C1347" t="s">
        <v>3741</v>
      </c>
      <c r="E1347" t="s">
        <v>3742</v>
      </c>
      <c r="F1347" t="s">
        <v>1092</v>
      </c>
      <c r="G1347" t="s">
        <v>285</v>
      </c>
      <c r="J1347" t="s">
        <v>3743</v>
      </c>
      <c r="L1347">
        <v>999</v>
      </c>
      <c r="M1347">
        <v>7</v>
      </c>
      <c r="Q1347" t="s">
        <v>3744</v>
      </c>
    </row>
    <row r="1348" spans="1:17" ht="15.75" hidden="1" customHeight="1">
      <c r="A1348" t="s">
        <v>3745</v>
      </c>
      <c r="B1348" t="s">
        <v>281</v>
      </c>
      <c r="C1348" t="s">
        <v>3746</v>
      </c>
      <c r="E1348" t="s">
        <v>3747</v>
      </c>
      <c r="F1348" t="s">
        <v>1092</v>
      </c>
      <c r="G1348" t="s">
        <v>285</v>
      </c>
      <c r="J1348" t="s">
        <v>3748</v>
      </c>
      <c r="L1348">
        <v>999</v>
      </c>
      <c r="M1348">
        <v>7</v>
      </c>
      <c r="Q1348" t="s">
        <v>3749</v>
      </c>
    </row>
    <row r="1349" spans="1:17" ht="15.75" hidden="1" customHeight="1">
      <c r="A1349" t="s">
        <v>3750</v>
      </c>
      <c r="B1349" t="s">
        <v>281</v>
      </c>
      <c r="C1349" t="s">
        <v>3751</v>
      </c>
      <c r="E1349" t="s">
        <v>3752</v>
      </c>
      <c r="F1349" t="s">
        <v>1092</v>
      </c>
      <c r="G1349" t="s">
        <v>285</v>
      </c>
      <c r="J1349" t="s">
        <v>3753</v>
      </c>
      <c r="L1349">
        <v>999</v>
      </c>
      <c r="M1349">
        <v>7</v>
      </c>
      <c r="Q1349" t="s">
        <v>3754</v>
      </c>
    </row>
    <row r="1350" spans="1:17" ht="15.75" hidden="1" customHeight="1">
      <c r="A1350" t="s">
        <v>3755</v>
      </c>
      <c r="B1350" t="s">
        <v>281</v>
      </c>
      <c r="C1350" t="s">
        <v>3756</v>
      </c>
      <c r="E1350" t="s">
        <v>3757</v>
      </c>
      <c r="F1350" t="s">
        <v>1092</v>
      </c>
      <c r="G1350" t="s">
        <v>285</v>
      </c>
      <c r="J1350" t="s">
        <v>3758</v>
      </c>
      <c r="L1350">
        <v>999</v>
      </c>
      <c r="M1350">
        <v>7</v>
      </c>
      <c r="Q1350" t="s">
        <v>3759</v>
      </c>
    </row>
    <row r="1351" spans="1:17" ht="15.75" hidden="1" customHeight="1">
      <c r="A1351" t="s">
        <v>3760</v>
      </c>
      <c r="B1351" t="s">
        <v>281</v>
      </c>
      <c r="C1351" t="s">
        <v>3761</v>
      </c>
      <c r="E1351" t="s">
        <v>3762</v>
      </c>
      <c r="F1351" t="s">
        <v>3569</v>
      </c>
      <c r="G1351" t="s">
        <v>285</v>
      </c>
      <c r="J1351" t="s">
        <v>3763</v>
      </c>
      <c r="L1351">
        <v>1</v>
      </c>
      <c r="M1351">
        <v>3</v>
      </c>
      <c r="Q1351" t="s">
        <v>3764</v>
      </c>
    </row>
    <row r="1352" spans="1:17" ht="15.75" hidden="1" customHeight="1">
      <c r="A1352" t="s">
        <v>3765</v>
      </c>
      <c r="B1352" t="s">
        <v>281</v>
      </c>
      <c r="C1352" t="s">
        <v>3766</v>
      </c>
      <c r="E1352" t="s">
        <v>3762</v>
      </c>
      <c r="F1352" t="s">
        <v>3569</v>
      </c>
      <c r="G1352" t="s">
        <v>285</v>
      </c>
      <c r="J1352" t="s">
        <v>3763</v>
      </c>
      <c r="L1352">
        <v>1</v>
      </c>
      <c r="M1352">
        <v>1</v>
      </c>
      <c r="Q1352" t="s">
        <v>3764</v>
      </c>
    </row>
    <row r="1353" spans="1:17" ht="15.75" hidden="1" customHeight="1">
      <c r="A1353" t="s">
        <v>3767</v>
      </c>
      <c r="B1353" t="s">
        <v>281</v>
      </c>
      <c r="C1353" t="s">
        <v>3768</v>
      </c>
      <c r="E1353" t="s">
        <v>3769</v>
      </c>
      <c r="F1353" t="s">
        <v>3770</v>
      </c>
      <c r="G1353" t="s">
        <v>285</v>
      </c>
      <c r="L1353">
        <v>0</v>
      </c>
      <c r="M1353" t="s">
        <v>312</v>
      </c>
    </row>
    <row r="1354" spans="1:17" ht="15.75" hidden="1" customHeight="1">
      <c r="A1354" t="s">
        <v>3771</v>
      </c>
      <c r="B1354" t="s">
        <v>281</v>
      </c>
      <c r="C1354" t="s">
        <v>3772</v>
      </c>
      <c r="E1354" t="s">
        <v>3773</v>
      </c>
      <c r="F1354" t="s">
        <v>3774</v>
      </c>
      <c r="G1354" t="s">
        <v>285</v>
      </c>
      <c r="J1354" t="s">
        <v>3775</v>
      </c>
      <c r="L1354">
        <v>100</v>
      </c>
      <c r="M1354" t="s">
        <v>3374</v>
      </c>
      <c r="Q1354" t="s">
        <v>3776</v>
      </c>
    </row>
    <row r="1355" spans="1:17" ht="15.75" hidden="1" customHeight="1">
      <c r="A1355" t="s">
        <v>3777</v>
      </c>
      <c r="B1355" t="s">
        <v>281</v>
      </c>
      <c r="C1355" t="s">
        <v>3778</v>
      </c>
      <c r="E1355" t="s">
        <v>3779</v>
      </c>
      <c r="F1355" t="s">
        <v>284</v>
      </c>
      <c r="G1355" t="s">
        <v>285</v>
      </c>
      <c r="J1355" t="s">
        <v>3780</v>
      </c>
      <c r="K1355">
        <v>25</v>
      </c>
      <c r="L1355">
        <v>-250</v>
      </c>
      <c r="M1355" t="s">
        <v>287</v>
      </c>
      <c r="Q1355" t="s">
        <v>3781</v>
      </c>
    </row>
    <row r="1356" spans="1:17" ht="15.75" hidden="1" customHeight="1">
      <c r="A1356" t="s">
        <v>3782</v>
      </c>
      <c r="B1356" t="s">
        <v>281</v>
      </c>
      <c r="C1356" t="s">
        <v>3783</v>
      </c>
      <c r="E1356" t="s">
        <v>3784</v>
      </c>
      <c r="F1356" t="s">
        <v>2915</v>
      </c>
      <c r="G1356" t="s">
        <v>285</v>
      </c>
      <c r="J1356" t="s">
        <v>3785</v>
      </c>
      <c r="K1356">
        <v>25</v>
      </c>
      <c r="L1356">
        <v>-100</v>
      </c>
      <c r="M1356" t="s">
        <v>287</v>
      </c>
      <c r="Q1356" t="s">
        <v>3786</v>
      </c>
    </row>
    <row r="1357" spans="1:17" ht="15.75" hidden="1" customHeight="1">
      <c r="A1357" t="s">
        <v>3787</v>
      </c>
      <c r="B1357" t="s">
        <v>281</v>
      </c>
      <c r="C1357" t="s">
        <v>3788</v>
      </c>
      <c r="E1357" t="s">
        <v>3789</v>
      </c>
      <c r="F1357" t="s">
        <v>2940</v>
      </c>
      <c r="G1357" t="s">
        <v>285</v>
      </c>
      <c r="J1357" t="s">
        <v>3790</v>
      </c>
      <c r="K1357">
        <v>25</v>
      </c>
      <c r="L1357">
        <v>-150</v>
      </c>
      <c r="M1357" t="s">
        <v>287</v>
      </c>
      <c r="Q1357" t="s">
        <v>3791</v>
      </c>
    </row>
    <row r="1358" spans="1:17" ht="15.75" hidden="1" customHeight="1">
      <c r="A1358" t="s">
        <v>3792</v>
      </c>
      <c r="B1358" t="s">
        <v>281</v>
      </c>
      <c r="C1358" t="s">
        <v>3793</v>
      </c>
      <c r="E1358" t="s">
        <v>3794</v>
      </c>
      <c r="F1358" t="s">
        <v>2965</v>
      </c>
      <c r="G1358" t="s">
        <v>285</v>
      </c>
      <c r="J1358" t="s">
        <v>3795</v>
      </c>
      <c r="K1358">
        <v>25</v>
      </c>
      <c r="L1358">
        <v>-75</v>
      </c>
      <c r="M1358" t="s">
        <v>287</v>
      </c>
      <c r="Q1358" t="s">
        <v>3796</v>
      </c>
    </row>
    <row r="1359" spans="1:17" ht="15.75" hidden="1" customHeight="1">
      <c r="A1359" t="s">
        <v>3797</v>
      </c>
      <c r="B1359" t="s">
        <v>281</v>
      </c>
      <c r="C1359" t="s">
        <v>3798</v>
      </c>
      <c r="E1359" t="s">
        <v>3799</v>
      </c>
      <c r="F1359" t="s">
        <v>2990</v>
      </c>
      <c r="G1359" t="s">
        <v>285</v>
      </c>
      <c r="J1359" t="s">
        <v>3800</v>
      </c>
      <c r="K1359">
        <v>25</v>
      </c>
      <c r="L1359">
        <v>-125</v>
      </c>
      <c r="M1359" t="s">
        <v>287</v>
      </c>
      <c r="Q1359" t="s">
        <v>3801</v>
      </c>
    </row>
    <row r="1360" spans="1:17" ht="15.75" hidden="1" customHeight="1">
      <c r="A1360" t="s">
        <v>3802</v>
      </c>
      <c r="B1360" t="s">
        <v>281</v>
      </c>
      <c r="C1360" t="s">
        <v>3803</v>
      </c>
      <c r="E1360" t="s">
        <v>3804</v>
      </c>
      <c r="F1360" t="s">
        <v>3015</v>
      </c>
      <c r="G1360" t="s">
        <v>285</v>
      </c>
      <c r="J1360" t="s">
        <v>3805</v>
      </c>
      <c r="K1360">
        <v>25</v>
      </c>
      <c r="L1360">
        <v>-100</v>
      </c>
      <c r="M1360" t="s">
        <v>287</v>
      </c>
      <c r="Q1360" t="s">
        <v>3806</v>
      </c>
    </row>
    <row r="1361" spans="1:17" ht="15.75" hidden="1" customHeight="1">
      <c r="A1361" t="s">
        <v>3807</v>
      </c>
      <c r="B1361" t="s">
        <v>281</v>
      </c>
      <c r="C1361" t="s">
        <v>3808</v>
      </c>
      <c r="E1361" t="s">
        <v>3809</v>
      </c>
      <c r="F1361" t="s">
        <v>3040</v>
      </c>
      <c r="G1361" t="s">
        <v>285</v>
      </c>
      <c r="J1361" t="s">
        <v>3810</v>
      </c>
      <c r="K1361">
        <v>25</v>
      </c>
      <c r="L1361">
        <v>-75</v>
      </c>
      <c r="M1361" t="s">
        <v>287</v>
      </c>
      <c r="Q1361" t="s">
        <v>3811</v>
      </c>
    </row>
    <row r="1362" spans="1:17" ht="15.75" hidden="1" customHeight="1">
      <c r="A1362" t="s">
        <v>3812</v>
      </c>
      <c r="B1362" t="s">
        <v>281</v>
      </c>
      <c r="C1362" t="s">
        <v>3813</v>
      </c>
      <c r="E1362" t="s">
        <v>3814</v>
      </c>
      <c r="F1362" t="s">
        <v>3065</v>
      </c>
      <c r="G1362" t="s">
        <v>285</v>
      </c>
      <c r="J1362" t="s">
        <v>3815</v>
      </c>
      <c r="K1362">
        <v>25</v>
      </c>
      <c r="L1362">
        <v>-150</v>
      </c>
      <c r="M1362" t="s">
        <v>287</v>
      </c>
      <c r="Q1362" t="s">
        <v>3816</v>
      </c>
    </row>
    <row r="1363" spans="1:17" ht="15.75" hidden="1" customHeight="1">
      <c r="A1363" t="s">
        <v>3817</v>
      </c>
      <c r="B1363" t="s">
        <v>281</v>
      </c>
      <c r="C1363" t="s">
        <v>3818</v>
      </c>
      <c r="E1363" t="s">
        <v>3819</v>
      </c>
      <c r="F1363" t="s">
        <v>3090</v>
      </c>
      <c r="G1363" t="s">
        <v>285</v>
      </c>
      <c r="J1363" t="s">
        <v>3820</v>
      </c>
      <c r="K1363">
        <v>25</v>
      </c>
      <c r="L1363">
        <v>-150</v>
      </c>
      <c r="M1363" t="s">
        <v>287</v>
      </c>
      <c r="Q1363" t="s">
        <v>3821</v>
      </c>
    </row>
    <row r="1364" spans="1:17" ht="15.75" hidden="1" customHeight="1">
      <c r="A1364" t="s">
        <v>3822</v>
      </c>
      <c r="B1364" t="s">
        <v>281</v>
      </c>
      <c r="C1364" t="s">
        <v>3823</v>
      </c>
      <c r="E1364" t="s">
        <v>3824</v>
      </c>
      <c r="F1364" t="s">
        <v>3115</v>
      </c>
      <c r="G1364" t="s">
        <v>285</v>
      </c>
      <c r="J1364" t="s">
        <v>3825</v>
      </c>
      <c r="K1364">
        <v>25</v>
      </c>
      <c r="L1364">
        <v>-150</v>
      </c>
      <c r="M1364" t="s">
        <v>287</v>
      </c>
      <c r="Q1364" t="s">
        <v>3826</v>
      </c>
    </row>
    <row r="1365" spans="1:17" ht="15.75" hidden="1" customHeight="1">
      <c r="A1365" t="s">
        <v>3827</v>
      </c>
      <c r="B1365" t="s">
        <v>281</v>
      </c>
      <c r="C1365" t="s">
        <v>3828</v>
      </c>
      <c r="E1365" t="s">
        <v>3829</v>
      </c>
      <c r="F1365" t="s">
        <v>3140</v>
      </c>
      <c r="G1365" t="s">
        <v>285</v>
      </c>
      <c r="J1365" t="s">
        <v>3830</v>
      </c>
      <c r="K1365">
        <v>25</v>
      </c>
      <c r="L1365">
        <v>-175</v>
      </c>
      <c r="M1365" t="s">
        <v>287</v>
      </c>
      <c r="Q1365" t="s">
        <v>3831</v>
      </c>
    </row>
    <row r="1366" spans="1:17" ht="15.75" hidden="1" customHeight="1">
      <c r="A1366" t="s">
        <v>3832</v>
      </c>
      <c r="B1366" t="s">
        <v>281</v>
      </c>
      <c r="C1366" t="s">
        <v>3833</v>
      </c>
      <c r="E1366" t="s">
        <v>3834</v>
      </c>
      <c r="F1366" t="s">
        <v>3165</v>
      </c>
      <c r="G1366" t="s">
        <v>285</v>
      </c>
      <c r="J1366" t="s">
        <v>3835</v>
      </c>
      <c r="K1366">
        <v>25</v>
      </c>
      <c r="L1366">
        <v>-250</v>
      </c>
      <c r="M1366" t="s">
        <v>287</v>
      </c>
      <c r="Q1366" t="s">
        <v>3836</v>
      </c>
    </row>
    <row r="1367" spans="1:17" ht="15.75" hidden="1" customHeight="1">
      <c r="A1367" t="s">
        <v>3837</v>
      </c>
      <c r="B1367" t="s">
        <v>281</v>
      </c>
      <c r="C1367" t="s">
        <v>3838</v>
      </c>
      <c r="E1367" t="s">
        <v>3839</v>
      </c>
      <c r="F1367" t="s">
        <v>3190</v>
      </c>
      <c r="G1367" t="s">
        <v>285</v>
      </c>
      <c r="J1367" t="s">
        <v>3840</v>
      </c>
      <c r="K1367">
        <v>25</v>
      </c>
      <c r="L1367">
        <v>-250</v>
      </c>
      <c r="M1367" t="s">
        <v>287</v>
      </c>
      <c r="Q1367" t="s">
        <v>3841</v>
      </c>
    </row>
    <row r="1368" spans="1:17" ht="15.75" hidden="1" customHeight="1">
      <c r="A1368" t="s">
        <v>3842</v>
      </c>
      <c r="B1368" t="s">
        <v>281</v>
      </c>
      <c r="C1368" t="s">
        <v>3843</v>
      </c>
      <c r="E1368" t="s">
        <v>3844</v>
      </c>
      <c r="F1368" t="s">
        <v>3215</v>
      </c>
      <c r="G1368" t="s">
        <v>285</v>
      </c>
      <c r="J1368" t="s">
        <v>3845</v>
      </c>
      <c r="K1368">
        <v>25</v>
      </c>
      <c r="L1368">
        <v>-150</v>
      </c>
      <c r="M1368" t="s">
        <v>287</v>
      </c>
      <c r="Q1368" t="s">
        <v>3846</v>
      </c>
    </row>
    <row r="1369" spans="1:17" ht="15.75" hidden="1" customHeight="1">
      <c r="A1369" t="s">
        <v>3847</v>
      </c>
      <c r="B1369" t="s">
        <v>281</v>
      </c>
      <c r="C1369" t="s">
        <v>3848</v>
      </c>
      <c r="E1369" t="s">
        <v>3849</v>
      </c>
      <c r="F1369" t="s">
        <v>3240</v>
      </c>
      <c r="G1369" t="s">
        <v>285</v>
      </c>
      <c r="J1369" t="s">
        <v>3850</v>
      </c>
      <c r="K1369">
        <v>25</v>
      </c>
      <c r="L1369">
        <v>-225</v>
      </c>
      <c r="M1369" t="s">
        <v>287</v>
      </c>
      <c r="Q1369" t="s">
        <v>3851</v>
      </c>
    </row>
    <row r="1370" spans="1:17" ht="15.75" hidden="1" customHeight="1">
      <c r="A1370" t="s">
        <v>3852</v>
      </c>
      <c r="B1370" t="s">
        <v>281</v>
      </c>
      <c r="C1370" t="s">
        <v>3853</v>
      </c>
      <c r="E1370" t="s">
        <v>3854</v>
      </c>
      <c r="F1370" t="s">
        <v>3265</v>
      </c>
      <c r="G1370" t="s">
        <v>285</v>
      </c>
      <c r="J1370" t="s">
        <v>3855</v>
      </c>
      <c r="K1370">
        <v>25</v>
      </c>
      <c r="L1370">
        <v>-225</v>
      </c>
      <c r="M1370" t="s">
        <v>287</v>
      </c>
      <c r="Q1370" t="s">
        <v>3856</v>
      </c>
    </row>
    <row r="1371" spans="1:17" ht="15.75" hidden="1" customHeight="1">
      <c r="A1371" t="s">
        <v>3857</v>
      </c>
      <c r="B1371" t="s">
        <v>281</v>
      </c>
      <c r="C1371" t="s">
        <v>3858</v>
      </c>
      <c r="E1371" t="s">
        <v>3859</v>
      </c>
      <c r="F1371" t="s">
        <v>3290</v>
      </c>
      <c r="G1371" t="s">
        <v>285</v>
      </c>
      <c r="J1371" t="s">
        <v>3860</v>
      </c>
      <c r="K1371">
        <v>25</v>
      </c>
      <c r="L1371">
        <v>-250</v>
      </c>
      <c r="M1371" t="s">
        <v>287</v>
      </c>
      <c r="Q1371" t="s">
        <v>3861</v>
      </c>
    </row>
    <row r="1372" spans="1:17" ht="15.75" hidden="1" customHeight="1">
      <c r="A1372" t="s">
        <v>3862</v>
      </c>
      <c r="B1372" t="s">
        <v>281</v>
      </c>
      <c r="C1372" t="s">
        <v>3863</v>
      </c>
      <c r="E1372" t="s">
        <v>3864</v>
      </c>
      <c r="F1372" t="s">
        <v>3315</v>
      </c>
      <c r="G1372" t="s">
        <v>285</v>
      </c>
      <c r="J1372" t="s">
        <v>3865</v>
      </c>
      <c r="K1372">
        <v>25</v>
      </c>
      <c r="L1372">
        <v>-250</v>
      </c>
      <c r="M1372" t="s">
        <v>287</v>
      </c>
      <c r="Q1372" t="s">
        <v>3866</v>
      </c>
    </row>
    <row r="1373" spans="1:17" ht="15.75" hidden="1" customHeight="1">
      <c r="A1373" t="s">
        <v>3867</v>
      </c>
      <c r="B1373" t="s">
        <v>17</v>
      </c>
      <c r="C1373" t="s">
        <v>2118</v>
      </c>
      <c r="F1373" t="s">
        <v>2115</v>
      </c>
      <c r="G1373" t="s">
        <v>20</v>
      </c>
      <c r="K1373" t="s">
        <v>3868</v>
      </c>
      <c r="L1373" t="s">
        <v>22</v>
      </c>
      <c r="P1373" t="s">
        <v>125</v>
      </c>
      <c r="Q1373" t="s">
        <v>2119</v>
      </c>
    </row>
    <row r="1374" spans="1:17" ht="15.75" hidden="1" customHeight="1">
      <c r="A1374" t="s">
        <v>3869</v>
      </c>
      <c r="B1374" t="s">
        <v>17</v>
      </c>
      <c r="C1374" t="s">
        <v>2121</v>
      </c>
      <c r="F1374" t="s">
        <v>2115</v>
      </c>
      <c r="G1374" t="s">
        <v>20</v>
      </c>
      <c r="K1374" t="s">
        <v>3868</v>
      </c>
      <c r="L1374" t="s">
        <v>22</v>
      </c>
      <c r="P1374" t="s">
        <v>160</v>
      </c>
      <c r="Q1374" t="s">
        <v>2122</v>
      </c>
    </row>
    <row r="1375" spans="1:17" ht="15.75" hidden="1" customHeight="1">
      <c r="A1375" t="s">
        <v>3870</v>
      </c>
      <c r="B1375" t="s">
        <v>17</v>
      </c>
      <c r="C1375" t="s">
        <v>2193</v>
      </c>
      <c r="F1375" t="s">
        <v>979</v>
      </c>
      <c r="G1375" t="s">
        <v>20</v>
      </c>
      <c r="K1375" t="s">
        <v>3868</v>
      </c>
      <c r="L1375" t="s">
        <v>22</v>
      </c>
      <c r="P1375" t="s">
        <v>125</v>
      </c>
      <c r="Q1375" t="s">
        <v>2194</v>
      </c>
    </row>
    <row r="1376" spans="1:17" ht="15.75" hidden="1" customHeight="1">
      <c r="A1376" t="s">
        <v>3871</v>
      </c>
      <c r="B1376" t="s">
        <v>17</v>
      </c>
      <c r="C1376" t="s">
        <v>2196</v>
      </c>
      <c r="F1376" t="s">
        <v>979</v>
      </c>
      <c r="G1376" t="s">
        <v>20</v>
      </c>
      <c r="K1376" t="s">
        <v>3868</v>
      </c>
      <c r="L1376" t="s">
        <v>22</v>
      </c>
      <c r="P1376" t="s">
        <v>274</v>
      </c>
      <c r="Q1376" t="s">
        <v>3872</v>
      </c>
    </row>
    <row r="1377" spans="1:17" ht="15.75" hidden="1" customHeight="1">
      <c r="A1377" t="s">
        <v>3873</v>
      </c>
      <c r="B1377" t="s">
        <v>17</v>
      </c>
      <c r="C1377" t="s">
        <v>2214</v>
      </c>
      <c r="F1377" t="s">
        <v>979</v>
      </c>
      <c r="G1377" t="s">
        <v>20</v>
      </c>
      <c r="K1377" t="s">
        <v>3874</v>
      </c>
      <c r="L1377" t="s">
        <v>22</v>
      </c>
      <c r="P1377" t="s">
        <v>278</v>
      </c>
      <c r="Q1377" t="s">
        <v>2215</v>
      </c>
    </row>
    <row r="1378" spans="1:17" ht="15.75" hidden="1" customHeight="1">
      <c r="A1378" t="s">
        <v>3875</v>
      </c>
      <c r="B1378" t="s">
        <v>17</v>
      </c>
      <c r="C1378" t="s">
        <v>1583</v>
      </c>
      <c r="F1378" t="s">
        <v>1580</v>
      </c>
      <c r="G1378" t="s">
        <v>20</v>
      </c>
      <c r="K1378" t="s">
        <v>3868</v>
      </c>
      <c r="L1378" t="s">
        <v>22</v>
      </c>
      <c r="P1378" t="s">
        <v>741</v>
      </c>
      <c r="Q1378" t="s">
        <v>1584</v>
      </c>
    </row>
    <row r="1379" spans="1:17" ht="15.75" hidden="1" customHeight="1">
      <c r="A1379" t="s">
        <v>3876</v>
      </c>
      <c r="B1379" t="s">
        <v>17</v>
      </c>
      <c r="C1379" t="s">
        <v>1595</v>
      </c>
      <c r="F1379" t="s">
        <v>1580</v>
      </c>
      <c r="G1379" t="s">
        <v>20</v>
      </c>
      <c r="K1379" t="s">
        <v>3874</v>
      </c>
      <c r="L1379" t="s">
        <v>22</v>
      </c>
      <c r="P1379" t="s">
        <v>274</v>
      </c>
      <c r="Q1379" t="s">
        <v>1596</v>
      </c>
    </row>
    <row r="1380" spans="1:17" ht="15.75" hidden="1" customHeight="1">
      <c r="A1380" t="s">
        <v>3877</v>
      </c>
      <c r="B1380" t="s">
        <v>17</v>
      </c>
      <c r="C1380" t="s">
        <v>1589</v>
      </c>
      <c r="F1380" t="s">
        <v>1580</v>
      </c>
      <c r="G1380" t="s">
        <v>20</v>
      </c>
      <c r="K1380" t="s">
        <v>3874</v>
      </c>
      <c r="L1380" t="s">
        <v>22</v>
      </c>
      <c r="P1380" t="s">
        <v>741</v>
      </c>
      <c r="Q1380" t="s">
        <v>1590</v>
      </c>
    </row>
    <row r="1381" spans="1:17" ht="15.75" hidden="1" customHeight="1">
      <c r="A1381" t="s">
        <v>3878</v>
      </c>
      <c r="B1381" t="s">
        <v>17</v>
      </c>
      <c r="C1381" t="s">
        <v>1592</v>
      </c>
      <c r="F1381" t="s">
        <v>1580</v>
      </c>
      <c r="G1381" t="s">
        <v>20</v>
      </c>
      <c r="K1381" t="s">
        <v>3874</v>
      </c>
      <c r="L1381" t="s">
        <v>22</v>
      </c>
      <c r="P1381" t="s">
        <v>274</v>
      </c>
      <c r="Q1381" t="s">
        <v>1593</v>
      </c>
    </row>
    <row r="1382" spans="1:17" ht="15.75" hidden="1" customHeight="1">
      <c r="A1382" t="s">
        <v>3879</v>
      </c>
      <c r="B1382" t="s">
        <v>17</v>
      </c>
      <c r="C1382" t="s">
        <v>1601</v>
      </c>
      <c r="F1382" t="s">
        <v>1580</v>
      </c>
      <c r="G1382" t="s">
        <v>20</v>
      </c>
      <c r="K1382" t="s">
        <v>3880</v>
      </c>
      <c r="L1382" t="s">
        <v>22</v>
      </c>
      <c r="P1382" t="s">
        <v>741</v>
      </c>
      <c r="Q1382" t="s">
        <v>1602</v>
      </c>
    </row>
    <row r="1383" spans="1:17" ht="15.75" hidden="1" customHeight="1">
      <c r="A1383" t="s">
        <v>3881</v>
      </c>
      <c r="B1383" t="s">
        <v>17</v>
      </c>
      <c r="C1383" t="s">
        <v>1598</v>
      </c>
      <c r="F1383" t="s">
        <v>1580</v>
      </c>
      <c r="G1383" t="s">
        <v>20</v>
      </c>
      <c r="K1383" t="s">
        <v>3880</v>
      </c>
      <c r="L1383" t="s">
        <v>22</v>
      </c>
      <c r="P1383" t="s">
        <v>274</v>
      </c>
      <c r="Q1383" t="s">
        <v>1599</v>
      </c>
    </row>
    <row r="1384" spans="1:17" ht="15.75" hidden="1" customHeight="1">
      <c r="A1384" t="s">
        <v>3882</v>
      </c>
      <c r="B1384" t="s">
        <v>17</v>
      </c>
      <c r="C1384" t="s">
        <v>1629</v>
      </c>
      <c r="F1384" t="s">
        <v>1580</v>
      </c>
      <c r="G1384" t="s">
        <v>20</v>
      </c>
      <c r="K1384" t="s">
        <v>3883</v>
      </c>
      <c r="L1384" t="s">
        <v>22</v>
      </c>
      <c r="P1384" t="s">
        <v>274</v>
      </c>
      <c r="Q1384" t="s">
        <v>1630</v>
      </c>
    </row>
    <row r="1385" spans="1:17" ht="15.75" hidden="1" customHeight="1">
      <c r="A1385" t="s">
        <v>3884</v>
      </c>
      <c r="B1385" t="s">
        <v>17</v>
      </c>
      <c r="C1385" t="s">
        <v>1632</v>
      </c>
      <c r="F1385" t="s">
        <v>1580</v>
      </c>
      <c r="G1385" t="s">
        <v>20</v>
      </c>
      <c r="K1385" t="s">
        <v>3883</v>
      </c>
      <c r="L1385" t="s">
        <v>22</v>
      </c>
      <c r="P1385" t="s">
        <v>741</v>
      </c>
      <c r="Q1385" t="s">
        <v>1633</v>
      </c>
    </row>
    <row r="1386" spans="1:17" ht="15.75" hidden="1" customHeight="1">
      <c r="A1386" t="s">
        <v>3885</v>
      </c>
      <c r="B1386" t="s">
        <v>17</v>
      </c>
      <c r="C1386" t="s">
        <v>1666</v>
      </c>
      <c r="F1386" t="s">
        <v>1580</v>
      </c>
      <c r="G1386" t="s">
        <v>20</v>
      </c>
      <c r="K1386" t="s">
        <v>3886</v>
      </c>
      <c r="L1386" t="s">
        <v>22</v>
      </c>
      <c r="P1386" t="s">
        <v>274</v>
      </c>
      <c r="Q1386" t="s">
        <v>1667</v>
      </c>
    </row>
    <row r="1387" spans="1:17" ht="15.75" hidden="1" customHeight="1">
      <c r="A1387" t="s">
        <v>3887</v>
      </c>
      <c r="B1387" t="s">
        <v>17</v>
      </c>
      <c r="C1387" t="s">
        <v>1669</v>
      </c>
      <c r="F1387" t="s">
        <v>1580</v>
      </c>
      <c r="G1387" t="s">
        <v>20</v>
      </c>
      <c r="K1387" t="s">
        <v>3888</v>
      </c>
      <c r="L1387" t="s">
        <v>22</v>
      </c>
      <c r="P1387" t="s">
        <v>274</v>
      </c>
      <c r="Q1387" t="s">
        <v>1670</v>
      </c>
    </row>
    <row r="1388" spans="1:17" ht="15.75" hidden="1" customHeight="1">
      <c r="A1388" t="s">
        <v>3889</v>
      </c>
      <c r="B1388" t="s">
        <v>17</v>
      </c>
      <c r="C1388" t="s">
        <v>1704</v>
      </c>
      <c r="F1388" t="s">
        <v>1580</v>
      </c>
      <c r="G1388" t="s">
        <v>20</v>
      </c>
      <c r="K1388" t="s">
        <v>3890</v>
      </c>
      <c r="L1388" t="s">
        <v>22</v>
      </c>
      <c r="P1388" t="s">
        <v>274</v>
      </c>
      <c r="Q1388" t="s">
        <v>1705</v>
      </c>
    </row>
    <row r="1389" spans="1:17" ht="15.75" hidden="1" customHeight="1">
      <c r="A1389" t="s">
        <v>3891</v>
      </c>
      <c r="B1389" t="s">
        <v>17</v>
      </c>
      <c r="C1389" t="s">
        <v>1861</v>
      </c>
      <c r="F1389" t="s">
        <v>1855</v>
      </c>
      <c r="G1389" t="s">
        <v>20</v>
      </c>
      <c r="K1389" t="s">
        <v>3868</v>
      </c>
      <c r="L1389" t="s">
        <v>22</v>
      </c>
      <c r="P1389" t="s">
        <v>737</v>
      </c>
      <c r="Q1389" t="s">
        <v>1862</v>
      </c>
    </row>
    <row r="1390" spans="1:17" ht="15.75" hidden="1" customHeight="1">
      <c r="A1390" t="s">
        <v>3892</v>
      </c>
      <c r="B1390" t="s">
        <v>17</v>
      </c>
      <c r="C1390" t="s">
        <v>1873</v>
      </c>
      <c r="F1390" t="s">
        <v>1855</v>
      </c>
      <c r="G1390" t="s">
        <v>20</v>
      </c>
      <c r="K1390" t="s">
        <v>3874</v>
      </c>
      <c r="L1390" t="s">
        <v>22</v>
      </c>
      <c r="P1390" t="s">
        <v>737</v>
      </c>
      <c r="Q1390" t="s">
        <v>3893</v>
      </c>
    </row>
    <row r="1391" spans="1:17" ht="15.75" hidden="1" customHeight="1">
      <c r="A1391" t="s">
        <v>3894</v>
      </c>
      <c r="B1391" t="s">
        <v>17</v>
      </c>
      <c r="C1391" t="s">
        <v>1888</v>
      </c>
      <c r="F1391" t="s">
        <v>1855</v>
      </c>
      <c r="G1391" t="s">
        <v>20</v>
      </c>
      <c r="K1391" t="s">
        <v>3880</v>
      </c>
      <c r="L1391" t="s">
        <v>22</v>
      </c>
      <c r="P1391" t="s">
        <v>737</v>
      </c>
      <c r="Q1391" t="s">
        <v>3895</v>
      </c>
    </row>
    <row r="1392" spans="1:17" ht="15.75" hidden="1" customHeight="1">
      <c r="A1392" t="s">
        <v>3896</v>
      </c>
      <c r="B1392" t="s">
        <v>17</v>
      </c>
      <c r="C1392" t="s">
        <v>1897</v>
      </c>
      <c r="F1392" t="s">
        <v>1855</v>
      </c>
      <c r="G1392" t="s">
        <v>20</v>
      </c>
      <c r="K1392" t="s">
        <v>3883</v>
      </c>
      <c r="L1392" t="s">
        <v>22</v>
      </c>
      <c r="P1392" t="s">
        <v>737</v>
      </c>
      <c r="Q1392" t="s">
        <v>1898</v>
      </c>
    </row>
    <row r="1393" spans="1:17" ht="15.75" hidden="1" customHeight="1">
      <c r="A1393" t="s">
        <v>3897</v>
      </c>
      <c r="B1393" t="s">
        <v>17</v>
      </c>
      <c r="C1393" t="s">
        <v>1713</v>
      </c>
      <c r="F1393" t="s">
        <v>264</v>
      </c>
      <c r="G1393" t="s">
        <v>20</v>
      </c>
      <c r="K1393" t="s">
        <v>3868</v>
      </c>
      <c r="L1393" t="s">
        <v>22</v>
      </c>
      <c r="P1393" t="s">
        <v>125</v>
      </c>
      <c r="Q1393" t="s">
        <v>3898</v>
      </c>
    </row>
    <row r="1394" spans="1:17" ht="15.75" hidden="1" customHeight="1">
      <c r="A1394" t="s">
        <v>3899</v>
      </c>
      <c r="B1394" t="s">
        <v>17</v>
      </c>
      <c r="C1394" t="s">
        <v>1722</v>
      </c>
      <c r="F1394" t="s">
        <v>264</v>
      </c>
      <c r="G1394" t="s">
        <v>20</v>
      </c>
      <c r="K1394" t="s">
        <v>3874</v>
      </c>
      <c r="L1394" t="s">
        <v>22</v>
      </c>
      <c r="P1394" t="s">
        <v>125</v>
      </c>
      <c r="Q1394" t="s">
        <v>1723</v>
      </c>
    </row>
    <row r="1395" spans="1:17" ht="15.75" hidden="1" customHeight="1">
      <c r="A1395" t="s">
        <v>3900</v>
      </c>
      <c r="B1395" t="s">
        <v>17</v>
      </c>
      <c r="C1395" t="s">
        <v>1740</v>
      </c>
      <c r="F1395" t="s">
        <v>264</v>
      </c>
      <c r="G1395" t="s">
        <v>20</v>
      </c>
      <c r="K1395" t="s">
        <v>3880</v>
      </c>
      <c r="L1395" t="s">
        <v>22</v>
      </c>
      <c r="P1395" t="s">
        <v>55</v>
      </c>
      <c r="Q1395" t="s">
        <v>3901</v>
      </c>
    </row>
    <row r="1396" spans="1:17" ht="15.75" hidden="1" customHeight="1">
      <c r="A1396" t="s">
        <v>3902</v>
      </c>
      <c r="B1396" t="s">
        <v>17</v>
      </c>
      <c r="C1396" t="s">
        <v>1758</v>
      </c>
      <c r="F1396" t="s">
        <v>264</v>
      </c>
      <c r="G1396" t="s">
        <v>20</v>
      </c>
      <c r="K1396" t="s">
        <v>3883</v>
      </c>
      <c r="L1396" t="s">
        <v>22</v>
      </c>
      <c r="P1396" t="s">
        <v>125</v>
      </c>
      <c r="Q1396" t="s">
        <v>1759</v>
      </c>
    </row>
    <row r="1397" spans="1:17" ht="15.75" hidden="1" customHeight="1">
      <c r="A1397" t="s">
        <v>3903</v>
      </c>
      <c r="B1397" t="s">
        <v>17</v>
      </c>
      <c r="C1397" t="s">
        <v>1767</v>
      </c>
      <c r="F1397" t="s">
        <v>264</v>
      </c>
      <c r="G1397" t="s">
        <v>20</v>
      </c>
      <c r="K1397" t="s">
        <v>3886</v>
      </c>
      <c r="L1397" t="s">
        <v>22</v>
      </c>
      <c r="P1397" t="s">
        <v>125</v>
      </c>
      <c r="Q1397" t="s">
        <v>1768</v>
      </c>
    </row>
    <row r="1398" spans="1:17" ht="15.75" hidden="1" customHeight="1">
      <c r="A1398" t="s">
        <v>3904</v>
      </c>
      <c r="B1398" t="s">
        <v>17</v>
      </c>
      <c r="C1398" t="s">
        <v>1770</v>
      </c>
      <c r="F1398" t="s">
        <v>264</v>
      </c>
      <c r="G1398" t="s">
        <v>20</v>
      </c>
      <c r="K1398" t="s">
        <v>3886</v>
      </c>
      <c r="L1398" t="s">
        <v>22</v>
      </c>
      <c r="P1398" t="s">
        <v>274</v>
      </c>
      <c r="Q1398" t="s">
        <v>3905</v>
      </c>
    </row>
    <row r="1399" spans="1:17" ht="15.75" hidden="1" customHeight="1">
      <c r="A1399" t="s">
        <v>3906</v>
      </c>
      <c r="B1399" t="s">
        <v>17</v>
      </c>
      <c r="C1399" t="s">
        <v>1779</v>
      </c>
      <c r="F1399" t="s">
        <v>264</v>
      </c>
      <c r="G1399" t="s">
        <v>20</v>
      </c>
      <c r="K1399" t="s">
        <v>3888</v>
      </c>
      <c r="L1399" t="s">
        <v>22</v>
      </c>
      <c r="P1399" t="s">
        <v>274</v>
      </c>
      <c r="Q1399" t="s">
        <v>1783</v>
      </c>
    </row>
    <row r="1400" spans="1:17" ht="15.75" hidden="1" customHeight="1">
      <c r="A1400" t="s">
        <v>3907</v>
      </c>
      <c r="B1400" t="s">
        <v>17</v>
      </c>
      <c r="C1400" t="s">
        <v>1788</v>
      </c>
      <c r="F1400" t="s">
        <v>264</v>
      </c>
      <c r="G1400" t="s">
        <v>20</v>
      </c>
      <c r="K1400" t="s">
        <v>3890</v>
      </c>
      <c r="L1400" t="s">
        <v>22</v>
      </c>
      <c r="P1400" t="s">
        <v>125</v>
      </c>
      <c r="Q1400" t="s">
        <v>1789</v>
      </c>
    </row>
    <row r="1401" spans="1:17" ht="15.75" hidden="1" customHeight="1">
      <c r="A1401" t="s">
        <v>3908</v>
      </c>
      <c r="B1401" t="s">
        <v>17</v>
      </c>
      <c r="C1401" t="s">
        <v>1791</v>
      </c>
      <c r="F1401" t="s">
        <v>264</v>
      </c>
      <c r="G1401" t="s">
        <v>20</v>
      </c>
      <c r="K1401" t="s">
        <v>3890</v>
      </c>
      <c r="L1401" t="s">
        <v>22</v>
      </c>
      <c r="P1401" t="s">
        <v>125</v>
      </c>
      <c r="Q1401" t="s">
        <v>3909</v>
      </c>
    </row>
    <row r="1402" spans="1:17" ht="15.75" hidden="1" customHeight="1">
      <c r="A1402" t="s">
        <v>3910</v>
      </c>
      <c r="B1402" t="s">
        <v>17</v>
      </c>
      <c r="C1402" t="s">
        <v>1984</v>
      </c>
      <c r="F1402" t="s">
        <v>1985</v>
      </c>
      <c r="G1402" t="s">
        <v>20</v>
      </c>
      <c r="K1402" t="s">
        <v>3868</v>
      </c>
      <c r="L1402" t="s">
        <v>22</v>
      </c>
      <c r="P1402" t="s">
        <v>741</v>
      </c>
      <c r="Q1402" t="s">
        <v>3911</v>
      </c>
    </row>
    <row r="1403" spans="1:17" ht="15.75" hidden="1" customHeight="1">
      <c r="A1403" t="s">
        <v>3912</v>
      </c>
      <c r="B1403" t="s">
        <v>17</v>
      </c>
      <c r="C1403" t="s">
        <v>1997</v>
      </c>
      <c r="F1403" t="s">
        <v>1985</v>
      </c>
      <c r="G1403" t="s">
        <v>20</v>
      </c>
      <c r="K1403" t="s">
        <v>3874</v>
      </c>
      <c r="L1403" t="s">
        <v>22</v>
      </c>
      <c r="P1403" t="s">
        <v>125</v>
      </c>
      <c r="Q1403" t="s">
        <v>1998</v>
      </c>
    </row>
    <row r="1404" spans="1:17" ht="15.75" hidden="1" customHeight="1">
      <c r="A1404" t="s">
        <v>3913</v>
      </c>
      <c r="B1404" t="s">
        <v>17</v>
      </c>
      <c r="C1404" t="s">
        <v>2012</v>
      </c>
      <c r="F1404" t="s">
        <v>1985</v>
      </c>
      <c r="G1404" t="s">
        <v>20</v>
      </c>
      <c r="K1404" t="s">
        <v>3880</v>
      </c>
      <c r="L1404" t="s">
        <v>22</v>
      </c>
      <c r="P1404" t="s">
        <v>741</v>
      </c>
      <c r="Q1404" t="s">
        <v>2013</v>
      </c>
    </row>
    <row r="1405" spans="1:17" ht="15.75" hidden="1" customHeight="1">
      <c r="A1405" t="s">
        <v>3914</v>
      </c>
      <c r="B1405" t="s">
        <v>17</v>
      </c>
      <c r="C1405" t="s">
        <v>2027</v>
      </c>
      <c r="F1405" t="s">
        <v>1985</v>
      </c>
      <c r="G1405" t="s">
        <v>20</v>
      </c>
      <c r="K1405" t="s">
        <v>3883</v>
      </c>
      <c r="L1405" t="s">
        <v>22</v>
      </c>
      <c r="P1405" t="s">
        <v>741</v>
      </c>
      <c r="Q1405" t="s">
        <v>2028</v>
      </c>
    </row>
    <row r="1406" spans="1:17" ht="15.75" hidden="1" customHeight="1">
      <c r="A1406" t="s">
        <v>3915</v>
      </c>
      <c r="B1406" t="s">
        <v>17</v>
      </c>
      <c r="C1406" t="s">
        <v>2036</v>
      </c>
      <c r="F1406" t="s">
        <v>1985</v>
      </c>
      <c r="G1406" t="s">
        <v>20</v>
      </c>
      <c r="K1406" t="s">
        <v>3886</v>
      </c>
      <c r="L1406" t="s">
        <v>22</v>
      </c>
      <c r="P1406" t="s">
        <v>741</v>
      </c>
      <c r="Q1406" t="s">
        <v>2037</v>
      </c>
    </row>
    <row r="1407" spans="1:17" ht="15.75" hidden="1" customHeight="1">
      <c r="A1407" t="s">
        <v>3916</v>
      </c>
      <c r="B1407" t="s">
        <v>17</v>
      </c>
      <c r="C1407" t="s">
        <v>2045</v>
      </c>
      <c r="F1407" t="s">
        <v>1985</v>
      </c>
      <c r="G1407" t="s">
        <v>20</v>
      </c>
      <c r="K1407" t="s">
        <v>3888</v>
      </c>
      <c r="L1407" t="s">
        <v>22</v>
      </c>
      <c r="P1407" t="s">
        <v>741</v>
      </c>
      <c r="Q1407" t="s">
        <v>2046</v>
      </c>
    </row>
    <row r="1408" spans="1:17" ht="15.75" hidden="1" customHeight="1">
      <c r="A1408" t="s">
        <v>3917</v>
      </c>
      <c r="B1408" t="s">
        <v>17</v>
      </c>
      <c r="C1408" t="s">
        <v>2048</v>
      </c>
      <c r="F1408" t="s">
        <v>1985</v>
      </c>
      <c r="G1408" t="s">
        <v>20</v>
      </c>
      <c r="K1408" t="s">
        <v>3888</v>
      </c>
      <c r="L1408" t="s">
        <v>22</v>
      </c>
      <c r="P1408" t="s">
        <v>741</v>
      </c>
      <c r="Q1408" t="s">
        <v>2049</v>
      </c>
    </row>
    <row r="1409" spans="1:17" ht="15.75" hidden="1" customHeight="1">
      <c r="A1409" t="s">
        <v>3918</v>
      </c>
      <c r="B1409" t="s">
        <v>17</v>
      </c>
      <c r="C1409" t="s">
        <v>2042</v>
      </c>
      <c r="F1409" t="s">
        <v>1985</v>
      </c>
      <c r="G1409" t="s">
        <v>20</v>
      </c>
      <c r="K1409" t="s">
        <v>3888</v>
      </c>
      <c r="L1409" t="s">
        <v>22</v>
      </c>
      <c r="P1409" t="s">
        <v>741</v>
      </c>
      <c r="Q1409" t="s">
        <v>2043</v>
      </c>
    </row>
    <row r="1410" spans="1:17" ht="15.75" hidden="1" customHeight="1">
      <c r="A1410" t="s">
        <v>3919</v>
      </c>
      <c r="B1410" t="s">
        <v>17</v>
      </c>
      <c r="C1410" t="s">
        <v>2051</v>
      </c>
      <c r="F1410" t="s">
        <v>1985</v>
      </c>
      <c r="G1410" t="s">
        <v>20</v>
      </c>
      <c r="K1410" t="s">
        <v>3890</v>
      </c>
      <c r="L1410" t="s">
        <v>22</v>
      </c>
      <c r="P1410" t="s">
        <v>741</v>
      </c>
      <c r="Q1410" t="s">
        <v>2052</v>
      </c>
    </row>
    <row r="1411" spans="1:17" ht="15.75" hidden="1" customHeight="1">
      <c r="A1411" t="s">
        <v>3920</v>
      </c>
      <c r="B1411" t="s">
        <v>17</v>
      </c>
      <c r="C1411" t="s">
        <v>2090</v>
      </c>
      <c r="F1411" t="s">
        <v>124</v>
      </c>
      <c r="G1411" t="s">
        <v>20</v>
      </c>
      <c r="K1411" t="s">
        <v>3868</v>
      </c>
      <c r="L1411" t="s">
        <v>22</v>
      </c>
      <c r="P1411" t="s">
        <v>125</v>
      </c>
      <c r="Q1411" t="s">
        <v>2091</v>
      </c>
    </row>
    <row r="1412" spans="1:17" ht="15.75" hidden="1" customHeight="1">
      <c r="A1412" t="s">
        <v>3921</v>
      </c>
      <c r="B1412" t="s">
        <v>17</v>
      </c>
      <c r="C1412" t="s">
        <v>2096</v>
      </c>
      <c r="F1412" t="s">
        <v>124</v>
      </c>
      <c r="G1412" t="s">
        <v>20</v>
      </c>
      <c r="K1412" t="s">
        <v>3874</v>
      </c>
      <c r="L1412" t="s">
        <v>22</v>
      </c>
      <c r="P1412" t="s">
        <v>125</v>
      </c>
      <c r="Q1412" t="s">
        <v>2097</v>
      </c>
    </row>
    <row r="1413" spans="1:17" ht="15.75" hidden="1" customHeight="1">
      <c r="A1413" t="s">
        <v>3922</v>
      </c>
      <c r="B1413" t="s">
        <v>17</v>
      </c>
      <c r="C1413" t="s">
        <v>134</v>
      </c>
      <c r="F1413" t="s">
        <v>124</v>
      </c>
      <c r="G1413" t="s">
        <v>20</v>
      </c>
      <c r="K1413" t="s">
        <v>3880</v>
      </c>
      <c r="L1413" t="s">
        <v>22</v>
      </c>
      <c r="P1413" t="s">
        <v>125</v>
      </c>
      <c r="Q1413" t="s">
        <v>3923</v>
      </c>
    </row>
    <row r="1414" spans="1:17" ht="15.75" hidden="1" customHeight="1">
      <c r="A1414" t="s">
        <v>3924</v>
      </c>
      <c r="B1414" t="s">
        <v>17</v>
      </c>
      <c r="C1414" t="s">
        <v>966</v>
      </c>
      <c r="F1414" t="s">
        <v>124</v>
      </c>
      <c r="G1414" t="s">
        <v>20</v>
      </c>
      <c r="K1414" t="s">
        <v>3883</v>
      </c>
      <c r="L1414" t="s">
        <v>22</v>
      </c>
      <c r="P1414" t="s">
        <v>125</v>
      </c>
      <c r="Q1414" t="s">
        <v>967</v>
      </c>
    </row>
    <row r="1415" spans="1:17" ht="15.75" hidden="1" customHeight="1">
      <c r="A1415" t="s">
        <v>3925</v>
      </c>
      <c r="B1415" t="s">
        <v>17</v>
      </c>
      <c r="C1415" t="s">
        <v>140</v>
      </c>
      <c r="F1415" t="s">
        <v>124</v>
      </c>
      <c r="G1415" t="s">
        <v>20</v>
      </c>
      <c r="K1415" t="s">
        <v>3886</v>
      </c>
      <c r="L1415" t="s">
        <v>22</v>
      </c>
      <c r="P1415" t="s">
        <v>125</v>
      </c>
      <c r="Q1415" t="s">
        <v>3926</v>
      </c>
    </row>
    <row r="1416" spans="1:17" ht="15.75" hidden="1" customHeight="1">
      <c r="A1416" t="s">
        <v>3927</v>
      </c>
      <c r="B1416" t="s">
        <v>17</v>
      </c>
      <c r="C1416" t="s">
        <v>146</v>
      </c>
      <c r="F1416" t="s">
        <v>124</v>
      </c>
      <c r="G1416" t="s">
        <v>20</v>
      </c>
      <c r="K1416" t="s">
        <v>3886</v>
      </c>
      <c r="L1416" t="s">
        <v>22</v>
      </c>
      <c r="P1416" t="s">
        <v>125</v>
      </c>
      <c r="Q1416" t="s">
        <v>3928</v>
      </c>
    </row>
    <row r="1417" spans="1:17" ht="15.75" hidden="1" customHeight="1">
      <c r="A1417" t="s">
        <v>3929</v>
      </c>
      <c r="B1417" t="s">
        <v>17</v>
      </c>
      <c r="C1417" t="s">
        <v>972</v>
      </c>
      <c r="F1417" t="s">
        <v>124</v>
      </c>
      <c r="G1417" t="s">
        <v>20</v>
      </c>
      <c r="K1417" t="s">
        <v>3888</v>
      </c>
      <c r="L1417" t="s">
        <v>22</v>
      </c>
      <c r="P1417" t="s">
        <v>125</v>
      </c>
      <c r="Q1417" t="s">
        <v>973</v>
      </c>
    </row>
    <row r="1418" spans="1:17" ht="15.75" hidden="1" customHeight="1">
      <c r="A1418" t="s">
        <v>3930</v>
      </c>
      <c r="B1418" t="s">
        <v>17</v>
      </c>
      <c r="C1418" t="s">
        <v>155</v>
      </c>
      <c r="F1418" t="s">
        <v>124</v>
      </c>
      <c r="G1418" t="s">
        <v>20</v>
      </c>
      <c r="K1418" t="s">
        <v>3890</v>
      </c>
      <c r="L1418" t="s">
        <v>22</v>
      </c>
      <c r="P1418" t="s">
        <v>125</v>
      </c>
      <c r="Q1418" t="s">
        <v>3931</v>
      </c>
    </row>
    <row r="1419" spans="1:17" ht="15.75" hidden="1" customHeight="1">
      <c r="A1419" t="s">
        <v>3932</v>
      </c>
      <c r="B1419" t="s">
        <v>17</v>
      </c>
      <c r="C1419" t="s">
        <v>1579</v>
      </c>
      <c r="F1419" t="s">
        <v>1580</v>
      </c>
      <c r="G1419" t="s">
        <v>20</v>
      </c>
      <c r="K1419" t="s">
        <v>3868</v>
      </c>
      <c r="L1419" t="s">
        <v>22</v>
      </c>
      <c r="P1419" t="s">
        <v>274</v>
      </c>
      <c r="Q1419" t="s">
        <v>1581</v>
      </c>
    </row>
    <row r="1420" spans="1:17" ht="15.75" hidden="1" customHeight="1">
      <c r="A1420" t="s">
        <v>3933</v>
      </c>
      <c r="B1420" t="s">
        <v>17</v>
      </c>
      <c r="C1420" t="s">
        <v>1586</v>
      </c>
      <c r="F1420" t="s">
        <v>1580</v>
      </c>
      <c r="G1420" t="s">
        <v>20</v>
      </c>
      <c r="K1420" t="s">
        <v>3874</v>
      </c>
      <c r="L1420" t="s">
        <v>22</v>
      </c>
      <c r="P1420" t="s">
        <v>274</v>
      </c>
      <c r="Q1420" t="s">
        <v>1587</v>
      </c>
    </row>
    <row r="1421" spans="1:17" ht="15.75" hidden="1" customHeight="1">
      <c r="A1421" t="s">
        <v>3934</v>
      </c>
      <c r="B1421" t="s">
        <v>17</v>
      </c>
      <c r="C1421" t="s">
        <v>1604</v>
      </c>
      <c r="F1421" t="s">
        <v>1580</v>
      </c>
      <c r="G1421" t="s">
        <v>20</v>
      </c>
      <c r="K1421" t="s">
        <v>3880</v>
      </c>
      <c r="L1421" t="s">
        <v>22</v>
      </c>
      <c r="P1421" t="s">
        <v>274</v>
      </c>
      <c r="Q1421" t="s">
        <v>1605</v>
      </c>
    </row>
    <row r="1422" spans="1:17" ht="15.75" hidden="1" customHeight="1">
      <c r="A1422" t="s">
        <v>3935</v>
      </c>
      <c r="B1422" t="s">
        <v>17</v>
      </c>
      <c r="C1422" t="s">
        <v>1607</v>
      </c>
      <c r="F1422" t="s">
        <v>1580</v>
      </c>
      <c r="G1422" t="s">
        <v>20</v>
      </c>
      <c r="K1422" t="s">
        <v>3880</v>
      </c>
      <c r="L1422" t="s">
        <v>22</v>
      </c>
      <c r="P1422" t="s">
        <v>274</v>
      </c>
      <c r="Q1422" t="s">
        <v>1605</v>
      </c>
    </row>
    <row r="1423" spans="1:17" ht="15.75" hidden="1" customHeight="1">
      <c r="A1423" t="s">
        <v>3936</v>
      </c>
      <c r="B1423" t="s">
        <v>17</v>
      </c>
      <c r="C1423" t="s">
        <v>1609</v>
      </c>
      <c r="F1423" t="s">
        <v>1580</v>
      </c>
      <c r="G1423" t="s">
        <v>20</v>
      </c>
      <c r="K1423" t="s">
        <v>3880</v>
      </c>
      <c r="L1423" t="s">
        <v>22</v>
      </c>
      <c r="P1423" t="s">
        <v>274</v>
      </c>
      <c r="Q1423" t="s">
        <v>1605</v>
      </c>
    </row>
    <row r="1424" spans="1:17" ht="15.75" hidden="1" customHeight="1">
      <c r="A1424" t="s">
        <v>3937</v>
      </c>
      <c r="B1424" t="s">
        <v>17</v>
      </c>
      <c r="C1424" t="s">
        <v>1611</v>
      </c>
      <c r="F1424" t="s">
        <v>1580</v>
      </c>
      <c r="G1424" t="s">
        <v>20</v>
      </c>
      <c r="K1424" t="s">
        <v>3880</v>
      </c>
      <c r="L1424" t="s">
        <v>22</v>
      </c>
      <c r="P1424" t="s">
        <v>274</v>
      </c>
      <c r="Q1424" t="s">
        <v>1605</v>
      </c>
    </row>
    <row r="1425" spans="1:17" ht="15.75" hidden="1" customHeight="1">
      <c r="A1425" t="s">
        <v>3938</v>
      </c>
      <c r="B1425" t="s">
        <v>17</v>
      </c>
      <c r="C1425" t="s">
        <v>1613</v>
      </c>
      <c r="F1425" t="s">
        <v>1580</v>
      </c>
      <c r="G1425" t="s">
        <v>20</v>
      </c>
      <c r="K1425" t="s">
        <v>3880</v>
      </c>
      <c r="L1425" t="s">
        <v>22</v>
      </c>
      <c r="P1425" t="s">
        <v>274</v>
      </c>
      <c r="Q1425" t="s">
        <v>1605</v>
      </c>
    </row>
    <row r="1426" spans="1:17" ht="15.75" hidden="1" customHeight="1">
      <c r="A1426" t="s">
        <v>3939</v>
      </c>
      <c r="B1426" t="s">
        <v>17</v>
      </c>
      <c r="C1426" t="s">
        <v>1615</v>
      </c>
      <c r="F1426" t="s">
        <v>1580</v>
      </c>
      <c r="G1426" t="s">
        <v>20</v>
      </c>
      <c r="K1426" t="s">
        <v>3880</v>
      </c>
      <c r="L1426" t="s">
        <v>22</v>
      </c>
      <c r="P1426" t="s">
        <v>274</v>
      </c>
      <c r="Q1426" t="s">
        <v>1605</v>
      </c>
    </row>
    <row r="1427" spans="1:17" ht="15.75" hidden="1" customHeight="1">
      <c r="A1427" t="s">
        <v>3940</v>
      </c>
      <c r="B1427" t="s">
        <v>17</v>
      </c>
      <c r="C1427" t="s">
        <v>1617</v>
      </c>
      <c r="F1427" t="s">
        <v>1580</v>
      </c>
      <c r="G1427" t="s">
        <v>20</v>
      </c>
      <c r="K1427" t="s">
        <v>3880</v>
      </c>
      <c r="L1427" t="s">
        <v>22</v>
      </c>
      <c r="P1427" t="s">
        <v>274</v>
      </c>
      <c r="Q1427" t="s">
        <v>1605</v>
      </c>
    </row>
    <row r="1428" spans="1:17" ht="15.75" hidden="1" customHeight="1">
      <c r="A1428" t="s">
        <v>3941</v>
      </c>
      <c r="B1428" t="s">
        <v>17</v>
      </c>
      <c r="C1428" t="s">
        <v>1619</v>
      </c>
      <c r="F1428" t="s">
        <v>1580</v>
      </c>
      <c r="G1428" t="s">
        <v>20</v>
      </c>
      <c r="K1428" t="s">
        <v>3880</v>
      </c>
      <c r="L1428" t="s">
        <v>22</v>
      </c>
      <c r="P1428" t="s">
        <v>274</v>
      </c>
      <c r="Q1428" t="s">
        <v>1605</v>
      </c>
    </row>
    <row r="1429" spans="1:17" ht="15.75" hidden="1" customHeight="1">
      <c r="A1429" t="s">
        <v>3942</v>
      </c>
      <c r="B1429" t="s">
        <v>17</v>
      </c>
      <c r="C1429" t="s">
        <v>1621</v>
      </c>
      <c r="F1429" t="s">
        <v>1580</v>
      </c>
      <c r="G1429" t="s">
        <v>20</v>
      </c>
      <c r="K1429" t="s">
        <v>3880</v>
      </c>
      <c r="L1429" t="s">
        <v>22</v>
      </c>
      <c r="P1429" t="s">
        <v>274</v>
      </c>
      <c r="Q1429" t="s">
        <v>1605</v>
      </c>
    </row>
    <row r="1430" spans="1:17" ht="15.75" hidden="1" customHeight="1">
      <c r="A1430" t="s">
        <v>3943</v>
      </c>
      <c r="B1430" t="s">
        <v>17</v>
      </c>
      <c r="C1430" t="s">
        <v>1623</v>
      </c>
      <c r="F1430" t="s">
        <v>1580</v>
      </c>
      <c r="G1430" t="s">
        <v>20</v>
      </c>
      <c r="K1430" t="s">
        <v>3880</v>
      </c>
      <c r="L1430" t="s">
        <v>22</v>
      </c>
      <c r="P1430" t="s">
        <v>274</v>
      </c>
      <c r="Q1430" t="s">
        <v>1605</v>
      </c>
    </row>
    <row r="1431" spans="1:17" ht="15.75" hidden="1" customHeight="1">
      <c r="A1431" t="s">
        <v>3944</v>
      </c>
      <c r="B1431" t="s">
        <v>17</v>
      </c>
      <c r="C1431" t="s">
        <v>1625</v>
      </c>
      <c r="F1431" t="s">
        <v>1580</v>
      </c>
      <c r="G1431" t="s">
        <v>20</v>
      </c>
      <c r="K1431" t="s">
        <v>3880</v>
      </c>
      <c r="L1431" t="s">
        <v>22</v>
      </c>
      <c r="P1431" t="s">
        <v>274</v>
      </c>
      <c r="Q1431" t="s">
        <v>1605</v>
      </c>
    </row>
    <row r="1432" spans="1:17" ht="15.75" hidden="1" customHeight="1">
      <c r="A1432" t="s">
        <v>3945</v>
      </c>
      <c r="B1432" t="s">
        <v>17</v>
      </c>
      <c r="C1432" t="s">
        <v>1627</v>
      </c>
      <c r="F1432" t="s">
        <v>1580</v>
      </c>
      <c r="G1432" t="s">
        <v>20</v>
      </c>
      <c r="K1432" t="s">
        <v>3880</v>
      </c>
      <c r="L1432" t="s">
        <v>22</v>
      </c>
      <c r="P1432" t="s">
        <v>274</v>
      </c>
      <c r="Q1432" t="s">
        <v>1605</v>
      </c>
    </row>
    <row r="1433" spans="1:17" ht="15.75" hidden="1" customHeight="1">
      <c r="A1433" t="s">
        <v>3946</v>
      </c>
      <c r="B1433" t="s">
        <v>17</v>
      </c>
      <c r="C1433" t="s">
        <v>1641</v>
      </c>
      <c r="F1433" t="s">
        <v>1580</v>
      </c>
      <c r="G1433" t="s">
        <v>20</v>
      </c>
      <c r="K1433" t="s">
        <v>3886</v>
      </c>
      <c r="L1433" t="s">
        <v>22</v>
      </c>
      <c r="P1433" t="s">
        <v>741</v>
      </c>
      <c r="Q1433" t="s">
        <v>1642</v>
      </c>
    </row>
    <row r="1434" spans="1:17" ht="15.75" hidden="1" customHeight="1">
      <c r="A1434" t="s">
        <v>3947</v>
      </c>
      <c r="B1434" t="s">
        <v>17</v>
      </c>
      <c r="C1434" t="s">
        <v>1638</v>
      </c>
      <c r="F1434" t="s">
        <v>1580</v>
      </c>
      <c r="G1434" t="s">
        <v>20</v>
      </c>
      <c r="K1434" t="s">
        <v>3886</v>
      </c>
      <c r="L1434" t="s">
        <v>22</v>
      </c>
      <c r="P1434" t="s">
        <v>274</v>
      </c>
      <c r="Q1434" t="s">
        <v>3948</v>
      </c>
    </row>
    <row r="1435" spans="1:17" ht="15.75" hidden="1" customHeight="1">
      <c r="A1435" t="s">
        <v>3949</v>
      </c>
      <c r="B1435" t="s">
        <v>17</v>
      </c>
      <c r="C1435" t="s">
        <v>1635</v>
      </c>
      <c r="F1435" t="s">
        <v>1580</v>
      </c>
      <c r="G1435" t="s">
        <v>20</v>
      </c>
      <c r="K1435" t="s">
        <v>3886</v>
      </c>
      <c r="L1435" t="s">
        <v>22</v>
      </c>
      <c r="P1435" t="s">
        <v>274</v>
      </c>
      <c r="Q1435" t="s">
        <v>1636</v>
      </c>
    </row>
    <row r="1436" spans="1:17" ht="15.75" hidden="1" customHeight="1">
      <c r="A1436" t="s">
        <v>3950</v>
      </c>
      <c r="B1436" t="s">
        <v>17</v>
      </c>
      <c r="C1436" t="s">
        <v>1644</v>
      </c>
      <c r="F1436" t="s">
        <v>1580</v>
      </c>
      <c r="G1436" t="s">
        <v>20</v>
      </c>
      <c r="K1436" t="s">
        <v>3886</v>
      </c>
      <c r="L1436" t="s">
        <v>22</v>
      </c>
      <c r="P1436" t="s">
        <v>741</v>
      </c>
      <c r="Q1436" t="s">
        <v>1642</v>
      </c>
    </row>
    <row r="1437" spans="1:17" ht="15.75" hidden="1" customHeight="1">
      <c r="A1437" t="s">
        <v>3951</v>
      </c>
      <c r="B1437" t="s">
        <v>17</v>
      </c>
      <c r="C1437" t="s">
        <v>1650</v>
      </c>
      <c r="F1437" t="s">
        <v>1580</v>
      </c>
      <c r="G1437" t="s">
        <v>20</v>
      </c>
      <c r="K1437" t="s">
        <v>3886</v>
      </c>
      <c r="L1437" t="s">
        <v>22</v>
      </c>
      <c r="P1437" t="s">
        <v>741</v>
      </c>
      <c r="Q1437" t="s">
        <v>1642</v>
      </c>
    </row>
    <row r="1438" spans="1:17" ht="15.75" hidden="1" customHeight="1">
      <c r="A1438" t="s">
        <v>3952</v>
      </c>
      <c r="B1438" t="s">
        <v>17</v>
      </c>
      <c r="C1438" t="s">
        <v>1652</v>
      </c>
      <c r="F1438" t="s">
        <v>1580</v>
      </c>
      <c r="G1438" t="s">
        <v>20</v>
      </c>
      <c r="K1438" t="s">
        <v>3886</v>
      </c>
      <c r="L1438" t="s">
        <v>22</v>
      </c>
      <c r="P1438" t="s">
        <v>741</v>
      </c>
      <c r="Q1438" t="s">
        <v>1642</v>
      </c>
    </row>
    <row r="1439" spans="1:17" ht="15.75" hidden="1" customHeight="1">
      <c r="A1439" t="s">
        <v>3953</v>
      </c>
      <c r="B1439" t="s">
        <v>17</v>
      </c>
      <c r="C1439" t="s">
        <v>1646</v>
      </c>
      <c r="F1439" t="s">
        <v>1580</v>
      </c>
      <c r="G1439" t="s">
        <v>20</v>
      </c>
      <c r="K1439" t="s">
        <v>3886</v>
      </c>
      <c r="L1439" t="s">
        <v>22</v>
      </c>
      <c r="P1439" t="s">
        <v>741</v>
      </c>
      <c r="Q1439" t="s">
        <v>1642</v>
      </c>
    </row>
    <row r="1440" spans="1:17" ht="15.75" hidden="1" customHeight="1">
      <c r="A1440" t="s">
        <v>3954</v>
      </c>
      <c r="B1440" t="s">
        <v>17</v>
      </c>
      <c r="C1440" t="s">
        <v>1656</v>
      </c>
      <c r="F1440" t="s">
        <v>1580</v>
      </c>
      <c r="G1440" t="s">
        <v>20</v>
      </c>
      <c r="K1440" t="s">
        <v>3886</v>
      </c>
      <c r="L1440" t="s">
        <v>22</v>
      </c>
      <c r="P1440" t="s">
        <v>741</v>
      </c>
      <c r="Q1440" t="s">
        <v>1642</v>
      </c>
    </row>
    <row r="1441" spans="1:17" ht="15.75" hidden="1" customHeight="1">
      <c r="A1441" t="s">
        <v>3955</v>
      </c>
      <c r="B1441" t="s">
        <v>17</v>
      </c>
      <c r="C1441" t="s">
        <v>1658</v>
      </c>
      <c r="F1441" t="s">
        <v>1580</v>
      </c>
      <c r="G1441" t="s">
        <v>20</v>
      </c>
      <c r="K1441" t="s">
        <v>3886</v>
      </c>
      <c r="L1441" t="s">
        <v>22</v>
      </c>
      <c r="P1441" t="s">
        <v>741</v>
      </c>
      <c r="Q1441" t="s">
        <v>1642</v>
      </c>
    </row>
    <row r="1442" spans="1:17" ht="15.75" hidden="1" customHeight="1">
      <c r="A1442" t="s">
        <v>3956</v>
      </c>
      <c r="B1442" t="s">
        <v>17</v>
      </c>
      <c r="C1442" t="s">
        <v>1664</v>
      </c>
      <c r="F1442" t="s">
        <v>1580</v>
      </c>
      <c r="G1442" t="s">
        <v>20</v>
      </c>
      <c r="K1442" t="s">
        <v>3886</v>
      </c>
      <c r="L1442" t="s">
        <v>22</v>
      </c>
      <c r="P1442" t="s">
        <v>741</v>
      </c>
      <c r="Q1442" t="s">
        <v>1642</v>
      </c>
    </row>
    <row r="1443" spans="1:17" ht="15.75" hidden="1" customHeight="1">
      <c r="A1443" t="s">
        <v>3957</v>
      </c>
      <c r="B1443" t="s">
        <v>17</v>
      </c>
      <c r="C1443" t="s">
        <v>1648</v>
      </c>
      <c r="F1443" t="s">
        <v>1580</v>
      </c>
      <c r="G1443" t="s">
        <v>20</v>
      </c>
      <c r="K1443" t="s">
        <v>3886</v>
      </c>
      <c r="L1443" t="s">
        <v>22</v>
      </c>
      <c r="P1443" t="s">
        <v>741</v>
      </c>
      <c r="Q1443" t="s">
        <v>1642</v>
      </c>
    </row>
    <row r="1444" spans="1:17" ht="15.75" hidden="1" customHeight="1">
      <c r="A1444" t="s">
        <v>3958</v>
      </c>
      <c r="B1444" t="s">
        <v>17</v>
      </c>
      <c r="C1444" t="s">
        <v>1662</v>
      </c>
      <c r="F1444" t="s">
        <v>1580</v>
      </c>
      <c r="G1444" t="s">
        <v>20</v>
      </c>
      <c r="K1444" t="s">
        <v>3886</v>
      </c>
      <c r="L1444" t="s">
        <v>22</v>
      </c>
      <c r="P1444" t="s">
        <v>741</v>
      </c>
      <c r="Q1444" t="s">
        <v>1642</v>
      </c>
    </row>
    <row r="1445" spans="1:17" ht="15.75" hidden="1" customHeight="1">
      <c r="A1445" t="s">
        <v>3959</v>
      </c>
      <c r="B1445" t="s">
        <v>17</v>
      </c>
      <c r="C1445" t="s">
        <v>1660</v>
      </c>
      <c r="F1445" t="s">
        <v>1580</v>
      </c>
      <c r="G1445" t="s">
        <v>20</v>
      </c>
      <c r="K1445" t="s">
        <v>3886</v>
      </c>
      <c r="L1445" t="s">
        <v>22</v>
      </c>
      <c r="P1445" t="s">
        <v>741</v>
      </c>
      <c r="Q1445" t="s">
        <v>1642</v>
      </c>
    </row>
    <row r="1446" spans="1:17" ht="15.75" hidden="1" customHeight="1">
      <c r="A1446" t="s">
        <v>3960</v>
      </c>
      <c r="B1446" t="s">
        <v>17</v>
      </c>
      <c r="C1446" t="s">
        <v>1654</v>
      </c>
      <c r="F1446" t="s">
        <v>1580</v>
      </c>
      <c r="G1446" t="s">
        <v>20</v>
      </c>
      <c r="K1446" t="s">
        <v>3886</v>
      </c>
      <c r="L1446" t="s">
        <v>22</v>
      </c>
      <c r="P1446" t="s">
        <v>741</v>
      </c>
      <c r="Q1446" t="s">
        <v>1642</v>
      </c>
    </row>
    <row r="1447" spans="1:17" ht="15.75" hidden="1" customHeight="1">
      <c r="A1447" t="s">
        <v>3961</v>
      </c>
      <c r="B1447" t="s">
        <v>17</v>
      </c>
      <c r="C1447" t="s">
        <v>1695</v>
      </c>
      <c r="F1447" t="s">
        <v>1580</v>
      </c>
      <c r="G1447" t="s">
        <v>20</v>
      </c>
      <c r="K1447" t="s">
        <v>3888</v>
      </c>
      <c r="L1447" t="s">
        <v>22</v>
      </c>
      <c r="P1447" t="s">
        <v>278</v>
      </c>
      <c r="Q1447" t="s">
        <v>1696</v>
      </c>
    </row>
    <row r="1448" spans="1:17" ht="15.75" hidden="1" customHeight="1">
      <c r="A1448" t="s">
        <v>3962</v>
      </c>
      <c r="B1448" t="s">
        <v>17</v>
      </c>
      <c r="C1448" t="s">
        <v>1672</v>
      </c>
      <c r="F1448" t="s">
        <v>1580</v>
      </c>
      <c r="G1448" t="s">
        <v>20</v>
      </c>
      <c r="K1448" t="s">
        <v>3888</v>
      </c>
      <c r="L1448" t="s">
        <v>22</v>
      </c>
      <c r="P1448" t="s">
        <v>274</v>
      </c>
      <c r="Q1448" t="s">
        <v>1673</v>
      </c>
    </row>
    <row r="1449" spans="1:17" ht="15.75" hidden="1" customHeight="1">
      <c r="A1449" t="s">
        <v>3963</v>
      </c>
      <c r="B1449" t="s">
        <v>17</v>
      </c>
      <c r="C1449" t="s">
        <v>1675</v>
      </c>
      <c r="F1449" t="s">
        <v>1580</v>
      </c>
      <c r="G1449" t="s">
        <v>20</v>
      </c>
      <c r="K1449" t="s">
        <v>3888</v>
      </c>
      <c r="L1449" t="s">
        <v>22</v>
      </c>
      <c r="P1449" t="s">
        <v>274</v>
      </c>
      <c r="Q1449" t="s">
        <v>1673</v>
      </c>
    </row>
    <row r="1450" spans="1:17" ht="15.75" hidden="1" customHeight="1">
      <c r="A1450" t="s">
        <v>3964</v>
      </c>
      <c r="B1450" t="s">
        <v>17</v>
      </c>
      <c r="C1450" t="s">
        <v>1681</v>
      </c>
      <c r="F1450" t="s">
        <v>1580</v>
      </c>
      <c r="G1450" t="s">
        <v>20</v>
      </c>
      <c r="K1450" t="s">
        <v>3888</v>
      </c>
      <c r="L1450" t="s">
        <v>22</v>
      </c>
      <c r="P1450" t="s">
        <v>274</v>
      </c>
      <c r="Q1450" t="s">
        <v>1673</v>
      </c>
    </row>
    <row r="1451" spans="1:17" ht="15.75" hidden="1" customHeight="1">
      <c r="A1451" t="s">
        <v>3965</v>
      </c>
      <c r="B1451" t="s">
        <v>17</v>
      </c>
      <c r="C1451" t="s">
        <v>1683</v>
      </c>
      <c r="F1451" t="s">
        <v>1580</v>
      </c>
      <c r="G1451" t="s">
        <v>20</v>
      </c>
      <c r="K1451" t="s">
        <v>3888</v>
      </c>
      <c r="L1451" t="s">
        <v>22</v>
      </c>
      <c r="P1451" t="s">
        <v>274</v>
      </c>
      <c r="Q1451" t="s">
        <v>1673</v>
      </c>
    </row>
    <row r="1452" spans="1:17" ht="15.75" hidden="1" customHeight="1">
      <c r="A1452" t="s">
        <v>3966</v>
      </c>
      <c r="B1452" t="s">
        <v>17</v>
      </c>
      <c r="C1452" t="s">
        <v>1677</v>
      </c>
      <c r="F1452" t="s">
        <v>1580</v>
      </c>
      <c r="G1452" t="s">
        <v>20</v>
      </c>
      <c r="K1452" t="s">
        <v>3888</v>
      </c>
      <c r="L1452" t="s">
        <v>22</v>
      </c>
      <c r="P1452" t="s">
        <v>274</v>
      </c>
      <c r="Q1452" t="s">
        <v>1673</v>
      </c>
    </row>
    <row r="1453" spans="1:17" ht="15.75" hidden="1" customHeight="1">
      <c r="A1453" t="s">
        <v>3967</v>
      </c>
      <c r="B1453" t="s">
        <v>17</v>
      </c>
      <c r="C1453" t="s">
        <v>1687</v>
      </c>
      <c r="F1453" t="s">
        <v>1580</v>
      </c>
      <c r="G1453" t="s">
        <v>20</v>
      </c>
      <c r="K1453" t="s">
        <v>3888</v>
      </c>
      <c r="L1453" t="s">
        <v>22</v>
      </c>
      <c r="P1453" t="s">
        <v>274</v>
      </c>
      <c r="Q1453" t="s">
        <v>1673</v>
      </c>
    </row>
    <row r="1454" spans="1:17" ht="15.75" hidden="1" customHeight="1">
      <c r="A1454" t="s">
        <v>3968</v>
      </c>
      <c r="B1454" t="s">
        <v>17</v>
      </c>
      <c r="C1454" t="s">
        <v>1689</v>
      </c>
      <c r="F1454" t="s">
        <v>1580</v>
      </c>
      <c r="G1454" t="s">
        <v>20</v>
      </c>
      <c r="K1454" t="s">
        <v>3888</v>
      </c>
      <c r="L1454" t="s">
        <v>22</v>
      </c>
      <c r="P1454" t="s">
        <v>274</v>
      </c>
      <c r="Q1454" t="s">
        <v>1673</v>
      </c>
    </row>
    <row r="1455" spans="1:17" ht="15.75" hidden="1" customHeight="1">
      <c r="A1455" t="s">
        <v>3969</v>
      </c>
      <c r="B1455" t="s">
        <v>17</v>
      </c>
      <c r="C1455" t="s">
        <v>1693</v>
      </c>
      <c r="F1455" t="s">
        <v>1580</v>
      </c>
      <c r="G1455" t="s">
        <v>20</v>
      </c>
      <c r="K1455" t="s">
        <v>3888</v>
      </c>
      <c r="L1455" t="s">
        <v>22</v>
      </c>
      <c r="P1455" t="s">
        <v>274</v>
      </c>
      <c r="Q1455" t="s">
        <v>1673</v>
      </c>
    </row>
    <row r="1456" spans="1:17" ht="15.75" hidden="1" customHeight="1">
      <c r="A1456" t="s">
        <v>3970</v>
      </c>
      <c r="B1456" t="s">
        <v>17</v>
      </c>
      <c r="C1456" t="s">
        <v>1679</v>
      </c>
      <c r="F1456" t="s">
        <v>1580</v>
      </c>
      <c r="G1456" t="s">
        <v>20</v>
      </c>
      <c r="K1456" t="s">
        <v>3888</v>
      </c>
      <c r="L1456" t="s">
        <v>22</v>
      </c>
      <c r="P1456" t="s">
        <v>274</v>
      </c>
      <c r="Q1456" t="s">
        <v>1673</v>
      </c>
    </row>
    <row r="1457" spans="1:17" ht="15.75" hidden="1" customHeight="1">
      <c r="A1457" t="s">
        <v>3971</v>
      </c>
      <c r="B1457" t="s">
        <v>17</v>
      </c>
      <c r="C1457" t="s">
        <v>1691</v>
      </c>
      <c r="F1457" t="s">
        <v>1580</v>
      </c>
      <c r="G1457" t="s">
        <v>20</v>
      </c>
      <c r="K1457" t="s">
        <v>3888</v>
      </c>
      <c r="L1457" t="s">
        <v>22</v>
      </c>
      <c r="P1457" t="s">
        <v>274</v>
      </c>
      <c r="Q1457" t="s">
        <v>1673</v>
      </c>
    </row>
    <row r="1458" spans="1:17" ht="15.75" hidden="1" customHeight="1">
      <c r="A1458" t="s">
        <v>3972</v>
      </c>
      <c r="B1458" t="s">
        <v>17</v>
      </c>
      <c r="C1458" t="s">
        <v>1685</v>
      </c>
      <c r="F1458" t="s">
        <v>1580</v>
      </c>
      <c r="G1458" t="s">
        <v>20</v>
      </c>
      <c r="K1458" t="s">
        <v>3888</v>
      </c>
      <c r="L1458" t="s">
        <v>22</v>
      </c>
      <c r="P1458" t="s">
        <v>274</v>
      </c>
      <c r="Q1458" t="s">
        <v>1673</v>
      </c>
    </row>
    <row r="1459" spans="1:17" ht="15.75" hidden="1" customHeight="1">
      <c r="A1459" t="s">
        <v>3973</v>
      </c>
      <c r="B1459" t="s">
        <v>17</v>
      </c>
      <c r="C1459" t="s">
        <v>1698</v>
      </c>
      <c r="F1459" t="s">
        <v>1580</v>
      </c>
      <c r="G1459" t="s">
        <v>20</v>
      </c>
      <c r="K1459" t="s">
        <v>3890</v>
      </c>
      <c r="L1459" t="s">
        <v>22</v>
      </c>
      <c r="P1459" t="s">
        <v>278</v>
      </c>
      <c r="Q1459" t="s">
        <v>1699</v>
      </c>
    </row>
    <row r="1460" spans="1:17" ht="15.75" hidden="1" customHeight="1">
      <c r="A1460" t="s">
        <v>3974</v>
      </c>
      <c r="B1460" t="s">
        <v>17</v>
      </c>
      <c r="C1460" t="s">
        <v>1701</v>
      </c>
      <c r="F1460" t="s">
        <v>1580</v>
      </c>
      <c r="G1460" t="s">
        <v>20</v>
      </c>
      <c r="K1460" t="s">
        <v>3890</v>
      </c>
      <c r="L1460" t="s">
        <v>22</v>
      </c>
      <c r="P1460" t="s">
        <v>274</v>
      </c>
      <c r="Q1460" t="s">
        <v>1702</v>
      </c>
    </row>
    <row r="1461" spans="1:17" ht="15.75" hidden="1" customHeight="1">
      <c r="A1461" t="s">
        <v>3975</v>
      </c>
      <c r="B1461" t="s">
        <v>17</v>
      </c>
      <c r="C1461" t="s">
        <v>1707</v>
      </c>
      <c r="F1461" t="s">
        <v>264</v>
      </c>
      <c r="G1461" t="s">
        <v>20</v>
      </c>
      <c r="K1461" t="s">
        <v>3868</v>
      </c>
      <c r="L1461" t="s">
        <v>22</v>
      </c>
      <c r="P1461" t="s">
        <v>125</v>
      </c>
      <c r="Q1461" t="s">
        <v>3976</v>
      </c>
    </row>
    <row r="1462" spans="1:17" ht="15.75" hidden="1" customHeight="1">
      <c r="A1462" t="s">
        <v>3977</v>
      </c>
      <c r="B1462" t="s">
        <v>17</v>
      </c>
      <c r="C1462" t="s">
        <v>1710</v>
      </c>
      <c r="F1462" t="s">
        <v>264</v>
      </c>
      <c r="G1462" t="s">
        <v>20</v>
      </c>
      <c r="K1462" t="s">
        <v>3868</v>
      </c>
      <c r="L1462" t="s">
        <v>22</v>
      </c>
      <c r="P1462" t="s">
        <v>125</v>
      </c>
      <c r="Q1462" t="s">
        <v>1711</v>
      </c>
    </row>
    <row r="1463" spans="1:17" ht="15.75" hidden="1" customHeight="1">
      <c r="A1463" t="s">
        <v>3978</v>
      </c>
      <c r="B1463" t="s">
        <v>17</v>
      </c>
      <c r="C1463" t="s">
        <v>1716</v>
      </c>
      <c r="F1463" t="s">
        <v>264</v>
      </c>
      <c r="G1463" t="s">
        <v>20</v>
      </c>
      <c r="K1463" t="s">
        <v>3868</v>
      </c>
      <c r="L1463" t="s">
        <v>22</v>
      </c>
      <c r="P1463" t="s">
        <v>125</v>
      </c>
      <c r="Q1463" t="s">
        <v>3979</v>
      </c>
    </row>
    <row r="1464" spans="1:17" ht="15.75" hidden="1" customHeight="1">
      <c r="A1464" t="s">
        <v>3980</v>
      </c>
      <c r="B1464" t="s">
        <v>17</v>
      </c>
      <c r="C1464" t="s">
        <v>1725</v>
      </c>
      <c r="F1464" t="s">
        <v>264</v>
      </c>
      <c r="G1464" t="s">
        <v>20</v>
      </c>
      <c r="K1464" t="s">
        <v>3874</v>
      </c>
      <c r="L1464" t="s">
        <v>22</v>
      </c>
      <c r="P1464" t="s">
        <v>125</v>
      </c>
      <c r="Q1464" t="s">
        <v>1726</v>
      </c>
    </row>
    <row r="1465" spans="1:17" ht="15.75" hidden="1" customHeight="1">
      <c r="A1465" t="s">
        <v>3981</v>
      </c>
      <c r="B1465" t="s">
        <v>17</v>
      </c>
      <c r="C1465" t="s">
        <v>1728</v>
      </c>
      <c r="F1465" t="s">
        <v>264</v>
      </c>
      <c r="G1465" t="s">
        <v>20</v>
      </c>
      <c r="K1465" t="s">
        <v>3874</v>
      </c>
      <c r="L1465" t="s">
        <v>22</v>
      </c>
      <c r="P1465" t="s">
        <v>125</v>
      </c>
      <c r="Q1465" t="s">
        <v>1729</v>
      </c>
    </row>
    <row r="1466" spans="1:17" ht="15.75" hidden="1" customHeight="1">
      <c r="A1466" t="s">
        <v>3982</v>
      </c>
      <c r="B1466" t="s">
        <v>17</v>
      </c>
      <c r="C1466" t="s">
        <v>1719</v>
      </c>
      <c r="F1466" t="s">
        <v>264</v>
      </c>
      <c r="G1466" t="s">
        <v>20</v>
      </c>
      <c r="K1466" t="s">
        <v>3874</v>
      </c>
      <c r="L1466" t="s">
        <v>22</v>
      </c>
      <c r="P1466" t="s">
        <v>125</v>
      </c>
      <c r="Q1466" t="s">
        <v>3983</v>
      </c>
    </row>
    <row r="1467" spans="1:17" ht="15.75" hidden="1" customHeight="1">
      <c r="A1467" t="s">
        <v>3984</v>
      </c>
      <c r="B1467" t="s">
        <v>17</v>
      </c>
      <c r="C1467" t="s">
        <v>1731</v>
      </c>
      <c r="F1467" t="s">
        <v>264</v>
      </c>
      <c r="G1467" t="s">
        <v>20</v>
      </c>
      <c r="K1467" t="s">
        <v>3874</v>
      </c>
      <c r="L1467" t="s">
        <v>22</v>
      </c>
      <c r="P1467" t="s">
        <v>125</v>
      </c>
      <c r="Q1467" t="s">
        <v>1732</v>
      </c>
    </row>
    <row r="1468" spans="1:17" ht="15.75" hidden="1" customHeight="1">
      <c r="A1468" t="s">
        <v>3985</v>
      </c>
      <c r="B1468" t="s">
        <v>17</v>
      </c>
      <c r="C1468" t="s">
        <v>277</v>
      </c>
      <c r="F1468" t="s">
        <v>264</v>
      </c>
      <c r="G1468" t="s">
        <v>20</v>
      </c>
      <c r="K1468" t="s">
        <v>3874</v>
      </c>
      <c r="L1468" t="s">
        <v>22</v>
      </c>
      <c r="P1468" t="s">
        <v>278</v>
      </c>
      <c r="Q1468" t="s">
        <v>279</v>
      </c>
    </row>
    <row r="1469" spans="1:17" ht="15.75" hidden="1" customHeight="1">
      <c r="A1469" t="s">
        <v>3986</v>
      </c>
      <c r="B1469" t="s">
        <v>17</v>
      </c>
      <c r="C1469" t="s">
        <v>1737</v>
      </c>
      <c r="F1469" t="s">
        <v>264</v>
      </c>
      <c r="G1469" t="s">
        <v>20</v>
      </c>
      <c r="K1469" t="s">
        <v>3880</v>
      </c>
      <c r="L1469" t="s">
        <v>22</v>
      </c>
      <c r="P1469" t="s">
        <v>125</v>
      </c>
      <c r="Q1469" t="s">
        <v>3987</v>
      </c>
    </row>
    <row r="1470" spans="1:17" ht="15.75" hidden="1" customHeight="1">
      <c r="A1470" t="s">
        <v>3988</v>
      </c>
      <c r="B1470" t="s">
        <v>17</v>
      </c>
      <c r="C1470" t="s">
        <v>1743</v>
      </c>
      <c r="F1470" t="s">
        <v>264</v>
      </c>
      <c r="G1470" t="s">
        <v>20</v>
      </c>
      <c r="K1470" t="s">
        <v>3880</v>
      </c>
      <c r="L1470" t="s">
        <v>22</v>
      </c>
      <c r="P1470" t="s">
        <v>125</v>
      </c>
      <c r="Q1470" t="s">
        <v>3989</v>
      </c>
    </row>
    <row r="1471" spans="1:17" ht="15.75" hidden="1" customHeight="1">
      <c r="A1471" t="s">
        <v>3990</v>
      </c>
      <c r="B1471" t="s">
        <v>17</v>
      </c>
      <c r="C1471" t="s">
        <v>1746</v>
      </c>
      <c r="F1471" t="s">
        <v>264</v>
      </c>
      <c r="G1471" t="s">
        <v>20</v>
      </c>
      <c r="K1471" t="s">
        <v>3880</v>
      </c>
      <c r="L1471" t="s">
        <v>22</v>
      </c>
      <c r="P1471" t="s">
        <v>55</v>
      </c>
      <c r="Q1471" t="s">
        <v>3991</v>
      </c>
    </row>
    <row r="1472" spans="1:17" ht="15.75" hidden="1" customHeight="1">
      <c r="A1472" t="s">
        <v>3992</v>
      </c>
      <c r="B1472" t="s">
        <v>17</v>
      </c>
      <c r="C1472" t="s">
        <v>273</v>
      </c>
      <c r="F1472" t="s">
        <v>264</v>
      </c>
      <c r="G1472" t="s">
        <v>20</v>
      </c>
      <c r="K1472" t="s">
        <v>3880</v>
      </c>
      <c r="L1472" t="s">
        <v>22</v>
      </c>
      <c r="P1472" t="s">
        <v>274</v>
      </c>
      <c r="Q1472" t="s">
        <v>275</v>
      </c>
    </row>
    <row r="1473" spans="1:17" ht="15.75" hidden="1" customHeight="1">
      <c r="A1473" t="s">
        <v>3993</v>
      </c>
      <c r="B1473" t="s">
        <v>17</v>
      </c>
      <c r="C1473" t="s">
        <v>1752</v>
      </c>
      <c r="F1473" t="s">
        <v>264</v>
      </c>
      <c r="G1473" t="s">
        <v>20</v>
      </c>
      <c r="K1473" t="s">
        <v>3883</v>
      </c>
      <c r="L1473" t="s">
        <v>22</v>
      </c>
      <c r="P1473" t="s">
        <v>55</v>
      </c>
      <c r="Q1473" t="s">
        <v>3994</v>
      </c>
    </row>
    <row r="1474" spans="1:17" ht="15.75" hidden="1" customHeight="1">
      <c r="A1474" t="s">
        <v>3995</v>
      </c>
      <c r="B1474" t="s">
        <v>17</v>
      </c>
      <c r="C1474" t="s">
        <v>263</v>
      </c>
      <c r="F1474" t="s">
        <v>264</v>
      </c>
      <c r="G1474" t="s">
        <v>20</v>
      </c>
      <c r="K1474" t="s">
        <v>3883</v>
      </c>
      <c r="L1474" t="s">
        <v>22</v>
      </c>
      <c r="P1474" t="s">
        <v>125</v>
      </c>
      <c r="Q1474" t="s">
        <v>265</v>
      </c>
    </row>
    <row r="1475" spans="1:17" ht="15.75" hidden="1" customHeight="1">
      <c r="A1475" t="s">
        <v>3996</v>
      </c>
      <c r="B1475" t="s">
        <v>17</v>
      </c>
      <c r="C1475" t="s">
        <v>1749</v>
      </c>
      <c r="F1475" t="s">
        <v>264</v>
      </c>
      <c r="G1475" t="s">
        <v>20</v>
      </c>
      <c r="K1475" t="s">
        <v>3883</v>
      </c>
      <c r="L1475" t="s">
        <v>22</v>
      </c>
      <c r="P1475" t="s">
        <v>125</v>
      </c>
      <c r="Q1475" t="s">
        <v>3997</v>
      </c>
    </row>
    <row r="1476" spans="1:17" ht="15.75" hidden="1" customHeight="1">
      <c r="A1476" t="s">
        <v>3998</v>
      </c>
      <c r="B1476" t="s">
        <v>17</v>
      </c>
      <c r="C1476" t="s">
        <v>1761</v>
      </c>
      <c r="F1476" t="s">
        <v>264</v>
      </c>
      <c r="G1476" t="s">
        <v>20</v>
      </c>
      <c r="K1476" t="s">
        <v>3883</v>
      </c>
      <c r="L1476" t="s">
        <v>22</v>
      </c>
      <c r="P1476" t="s">
        <v>278</v>
      </c>
      <c r="Q1476" t="s">
        <v>3999</v>
      </c>
    </row>
    <row r="1477" spans="1:17" ht="15.75" hidden="1" customHeight="1">
      <c r="A1477" t="s">
        <v>4000</v>
      </c>
      <c r="B1477" t="s">
        <v>17</v>
      </c>
      <c r="C1477" t="s">
        <v>270</v>
      </c>
      <c r="F1477" t="s">
        <v>264</v>
      </c>
      <c r="G1477" t="s">
        <v>20</v>
      </c>
      <c r="K1477" t="s">
        <v>3886</v>
      </c>
      <c r="L1477" t="s">
        <v>22</v>
      </c>
      <c r="P1477" t="s">
        <v>125</v>
      </c>
      <c r="Q1477" t="s">
        <v>4001</v>
      </c>
    </row>
    <row r="1478" spans="1:17" ht="15.75" hidden="1" customHeight="1">
      <c r="A1478" t="s">
        <v>4002</v>
      </c>
      <c r="B1478" t="s">
        <v>17</v>
      </c>
      <c r="C1478" t="s">
        <v>1776</v>
      </c>
      <c r="F1478" t="s">
        <v>264</v>
      </c>
      <c r="G1478" t="s">
        <v>20</v>
      </c>
      <c r="K1478" t="s">
        <v>3888</v>
      </c>
      <c r="L1478" t="s">
        <v>22</v>
      </c>
      <c r="P1478" t="s">
        <v>55</v>
      </c>
      <c r="Q1478" t="s">
        <v>4003</v>
      </c>
    </row>
    <row r="1479" spans="1:17" ht="15.75" hidden="1" customHeight="1">
      <c r="A1479" t="s">
        <v>4004</v>
      </c>
      <c r="B1479" t="s">
        <v>17</v>
      </c>
      <c r="C1479" t="s">
        <v>1782</v>
      </c>
      <c r="F1479" t="s">
        <v>264</v>
      </c>
      <c r="G1479" t="s">
        <v>20</v>
      </c>
      <c r="K1479" t="s">
        <v>3888</v>
      </c>
      <c r="L1479" t="s">
        <v>22</v>
      </c>
      <c r="P1479" t="s">
        <v>274</v>
      </c>
      <c r="Q1479" t="s">
        <v>1783</v>
      </c>
    </row>
    <row r="1480" spans="1:17" ht="15.75" hidden="1" customHeight="1">
      <c r="A1480" t="s">
        <v>4005</v>
      </c>
      <c r="B1480" t="s">
        <v>17</v>
      </c>
      <c r="C1480" t="s">
        <v>18</v>
      </c>
      <c r="F1480" t="s">
        <v>19</v>
      </c>
      <c r="G1480" t="s">
        <v>20</v>
      </c>
      <c r="K1480" t="s">
        <v>3868</v>
      </c>
      <c r="L1480" t="s">
        <v>22</v>
      </c>
      <c r="P1480" t="s">
        <v>23</v>
      </c>
      <c r="Q1480" t="s">
        <v>24</v>
      </c>
    </row>
    <row r="1481" spans="1:17" ht="15.75" hidden="1" customHeight="1">
      <c r="A1481" t="s">
        <v>4006</v>
      </c>
      <c r="B1481" t="s">
        <v>17</v>
      </c>
      <c r="C1481" t="s">
        <v>1800</v>
      </c>
      <c r="F1481" t="s">
        <v>19</v>
      </c>
      <c r="G1481" t="s">
        <v>20</v>
      </c>
      <c r="K1481" t="s">
        <v>3868</v>
      </c>
      <c r="L1481" t="s">
        <v>22</v>
      </c>
      <c r="P1481" t="s">
        <v>23</v>
      </c>
      <c r="Q1481" t="s">
        <v>1801</v>
      </c>
    </row>
    <row r="1482" spans="1:17" ht="15.75" hidden="1" customHeight="1">
      <c r="A1482" t="s">
        <v>4007</v>
      </c>
      <c r="B1482" t="s">
        <v>17</v>
      </c>
      <c r="C1482" t="s">
        <v>1794</v>
      </c>
      <c r="F1482" t="s">
        <v>19</v>
      </c>
      <c r="G1482" t="s">
        <v>20</v>
      </c>
      <c r="K1482" t="s">
        <v>3868</v>
      </c>
      <c r="L1482" t="s">
        <v>22</v>
      </c>
      <c r="P1482" t="s">
        <v>23</v>
      </c>
      <c r="Q1482" t="s">
        <v>1795</v>
      </c>
    </row>
    <row r="1483" spans="1:17" ht="15.75" hidden="1" customHeight="1">
      <c r="A1483" t="s">
        <v>4008</v>
      </c>
      <c r="B1483" t="s">
        <v>17</v>
      </c>
      <c r="C1483" t="s">
        <v>1806</v>
      </c>
      <c r="F1483" t="s">
        <v>19</v>
      </c>
      <c r="G1483" t="s">
        <v>20</v>
      </c>
      <c r="K1483" t="s">
        <v>3874</v>
      </c>
      <c r="L1483" t="s">
        <v>22</v>
      </c>
      <c r="P1483" t="s">
        <v>23</v>
      </c>
      <c r="Q1483" t="s">
        <v>1807</v>
      </c>
    </row>
    <row r="1484" spans="1:17" ht="15.75" hidden="1" customHeight="1">
      <c r="A1484" t="s">
        <v>4009</v>
      </c>
      <c r="B1484" t="s">
        <v>17</v>
      </c>
      <c r="C1484" t="s">
        <v>190</v>
      </c>
      <c r="F1484" t="s">
        <v>19</v>
      </c>
      <c r="G1484" t="s">
        <v>20</v>
      </c>
      <c r="K1484" t="s">
        <v>3874</v>
      </c>
      <c r="L1484" t="s">
        <v>22</v>
      </c>
      <c r="P1484" t="s">
        <v>23</v>
      </c>
      <c r="Q1484" t="s">
        <v>192</v>
      </c>
    </row>
    <row r="1485" spans="1:17" ht="15.75" hidden="1" customHeight="1">
      <c r="A1485" t="s">
        <v>4010</v>
      </c>
      <c r="B1485" t="s">
        <v>17</v>
      </c>
      <c r="C1485" t="s">
        <v>26</v>
      </c>
      <c r="F1485" t="s">
        <v>19</v>
      </c>
      <c r="G1485" t="s">
        <v>20</v>
      </c>
      <c r="K1485" t="s">
        <v>3874</v>
      </c>
      <c r="L1485" t="s">
        <v>22</v>
      </c>
      <c r="P1485" t="s">
        <v>23</v>
      </c>
      <c r="Q1485" t="s">
        <v>27</v>
      </c>
    </row>
    <row r="1486" spans="1:17" ht="15.75" hidden="1" customHeight="1">
      <c r="A1486" t="s">
        <v>4011</v>
      </c>
      <c r="B1486" t="s">
        <v>17</v>
      </c>
      <c r="C1486" t="s">
        <v>194</v>
      </c>
      <c r="F1486" t="s">
        <v>19</v>
      </c>
      <c r="G1486" t="s">
        <v>20</v>
      </c>
      <c r="K1486" t="s">
        <v>3880</v>
      </c>
      <c r="L1486" t="s">
        <v>22</v>
      </c>
      <c r="P1486" t="s">
        <v>23</v>
      </c>
      <c r="Q1486" t="s">
        <v>195</v>
      </c>
    </row>
    <row r="1487" spans="1:17" ht="15.75" hidden="1" customHeight="1">
      <c r="A1487" t="s">
        <v>4012</v>
      </c>
      <c r="B1487" t="s">
        <v>17</v>
      </c>
      <c r="C1487" t="s">
        <v>197</v>
      </c>
      <c r="F1487" t="s">
        <v>19</v>
      </c>
      <c r="G1487" t="s">
        <v>20</v>
      </c>
      <c r="K1487" t="s">
        <v>3880</v>
      </c>
      <c r="L1487" t="s">
        <v>22</v>
      </c>
      <c r="P1487" t="s">
        <v>23</v>
      </c>
      <c r="Q1487" t="s">
        <v>4013</v>
      </c>
    </row>
    <row r="1488" spans="1:17" ht="15.75" hidden="1" customHeight="1">
      <c r="A1488" t="s">
        <v>4014</v>
      </c>
      <c r="B1488" t="s">
        <v>17</v>
      </c>
      <c r="C1488" t="s">
        <v>1812</v>
      </c>
      <c r="F1488" t="s">
        <v>19</v>
      </c>
      <c r="G1488" t="s">
        <v>20</v>
      </c>
      <c r="K1488" t="s">
        <v>3880</v>
      </c>
      <c r="L1488" t="s">
        <v>22</v>
      </c>
      <c r="P1488" t="s">
        <v>23</v>
      </c>
      <c r="Q1488" t="s">
        <v>1813</v>
      </c>
    </row>
    <row r="1489" spans="1:17" ht="15.75" hidden="1" customHeight="1">
      <c r="A1489" t="s">
        <v>4015</v>
      </c>
      <c r="B1489" t="s">
        <v>17</v>
      </c>
      <c r="C1489" t="s">
        <v>906</v>
      </c>
      <c r="F1489" t="s">
        <v>19</v>
      </c>
      <c r="G1489" t="s">
        <v>20</v>
      </c>
      <c r="K1489" t="s">
        <v>3880</v>
      </c>
      <c r="L1489" t="s">
        <v>22</v>
      </c>
      <c r="P1489" t="s">
        <v>23</v>
      </c>
      <c r="Q1489" t="s">
        <v>907</v>
      </c>
    </row>
    <row r="1490" spans="1:17" ht="15.75" hidden="1" customHeight="1">
      <c r="A1490" t="s">
        <v>4016</v>
      </c>
      <c r="B1490" t="s">
        <v>17</v>
      </c>
      <c r="C1490" t="s">
        <v>29</v>
      </c>
      <c r="F1490" t="s">
        <v>19</v>
      </c>
      <c r="G1490" t="s">
        <v>20</v>
      </c>
      <c r="K1490" t="s">
        <v>3880</v>
      </c>
      <c r="L1490" t="s">
        <v>22</v>
      </c>
      <c r="P1490" t="s">
        <v>23</v>
      </c>
      <c r="Q1490" t="s">
        <v>30</v>
      </c>
    </row>
    <row r="1491" spans="1:17" ht="15.75" hidden="1" customHeight="1">
      <c r="A1491" t="s">
        <v>4017</v>
      </c>
      <c r="B1491" t="s">
        <v>17</v>
      </c>
      <c r="C1491" t="s">
        <v>912</v>
      </c>
      <c r="F1491" t="s">
        <v>19</v>
      </c>
      <c r="G1491" t="s">
        <v>20</v>
      </c>
      <c r="K1491" t="s">
        <v>3883</v>
      </c>
      <c r="L1491" t="s">
        <v>22</v>
      </c>
      <c r="P1491" t="s">
        <v>23</v>
      </c>
      <c r="Q1491" t="s">
        <v>913</v>
      </c>
    </row>
    <row r="1492" spans="1:17" ht="15.75" hidden="1" customHeight="1">
      <c r="A1492" t="s">
        <v>4018</v>
      </c>
      <c r="B1492" t="s">
        <v>17</v>
      </c>
      <c r="C1492" t="s">
        <v>1818</v>
      </c>
      <c r="F1492" t="s">
        <v>19</v>
      </c>
      <c r="G1492" t="s">
        <v>20</v>
      </c>
      <c r="K1492" t="s">
        <v>3883</v>
      </c>
      <c r="L1492" t="s">
        <v>22</v>
      </c>
      <c r="P1492" t="s">
        <v>23</v>
      </c>
      <c r="Q1492" t="s">
        <v>1819</v>
      </c>
    </row>
    <row r="1493" spans="1:17" ht="15.75" hidden="1" customHeight="1">
      <c r="A1493" t="s">
        <v>4019</v>
      </c>
      <c r="B1493" t="s">
        <v>17</v>
      </c>
      <c r="C1493" t="s">
        <v>32</v>
      </c>
      <c r="F1493" t="s">
        <v>19</v>
      </c>
      <c r="G1493" t="s">
        <v>20</v>
      </c>
      <c r="K1493" t="s">
        <v>3883</v>
      </c>
      <c r="L1493" t="s">
        <v>22</v>
      </c>
      <c r="P1493" t="s">
        <v>23</v>
      </c>
      <c r="Q1493" t="s">
        <v>33</v>
      </c>
    </row>
    <row r="1494" spans="1:17" ht="15.75" hidden="1" customHeight="1">
      <c r="A1494" t="s">
        <v>4020</v>
      </c>
      <c r="B1494" t="s">
        <v>17</v>
      </c>
      <c r="C1494" t="s">
        <v>35</v>
      </c>
      <c r="F1494" t="s">
        <v>19</v>
      </c>
      <c r="G1494" t="s">
        <v>20</v>
      </c>
      <c r="K1494" t="s">
        <v>3886</v>
      </c>
      <c r="L1494" t="s">
        <v>22</v>
      </c>
      <c r="P1494" t="s">
        <v>23</v>
      </c>
      <c r="Q1494" t="s">
        <v>36</v>
      </c>
    </row>
    <row r="1495" spans="1:17" ht="15.75" hidden="1" customHeight="1">
      <c r="A1495" t="s">
        <v>4021</v>
      </c>
      <c r="B1495" t="s">
        <v>17</v>
      </c>
      <c r="C1495" t="s">
        <v>41</v>
      </c>
      <c r="F1495" t="s">
        <v>19</v>
      </c>
      <c r="G1495" t="s">
        <v>20</v>
      </c>
      <c r="K1495" t="s">
        <v>3886</v>
      </c>
      <c r="L1495" t="s">
        <v>22</v>
      </c>
      <c r="P1495" t="s">
        <v>23</v>
      </c>
      <c r="Q1495" t="s">
        <v>42</v>
      </c>
    </row>
    <row r="1496" spans="1:17" ht="15.75" hidden="1" customHeight="1">
      <c r="A1496" t="s">
        <v>4022</v>
      </c>
      <c r="B1496" t="s">
        <v>17</v>
      </c>
      <c r="C1496" t="s">
        <v>38</v>
      </c>
      <c r="F1496" t="s">
        <v>19</v>
      </c>
      <c r="G1496" t="s">
        <v>20</v>
      </c>
      <c r="K1496" t="s">
        <v>3886</v>
      </c>
      <c r="L1496" t="s">
        <v>22</v>
      </c>
      <c r="P1496" t="s">
        <v>23</v>
      </c>
      <c r="Q1496" t="s">
        <v>39</v>
      </c>
    </row>
    <row r="1497" spans="1:17" ht="15.75" hidden="1" customHeight="1">
      <c r="A1497" t="s">
        <v>4023</v>
      </c>
      <c r="B1497" t="s">
        <v>17</v>
      </c>
      <c r="C1497" t="s">
        <v>918</v>
      </c>
      <c r="F1497" t="s">
        <v>19</v>
      </c>
      <c r="G1497" t="s">
        <v>20</v>
      </c>
      <c r="K1497" t="s">
        <v>3888</v>
      </c>
      <c r="L1497" t="s">
        <v>22</v>
      </c>
      <c r="P1497" t="s">
        <v>23</v>
      </c>
      <c r="Q1497" t="s">
        <v>919</v>
      </c>
    </row>
    <row r="1498" spans="1:17" ht="15.75" hidden="1" customHeight="1">
      <c r="A1498" t="s">
        <v>4024</v>
      </c>
      <c r="B1498" t="s">
        <v>17</v>
      </c>
      <c r="C1498" t="s">
        <v>44</v>
      </c>
      <c r="F1498" t="s">
        <v>19</v>
      </c>
      <c r="G1498" t="s">
        <v>20</v>
      </c>
      <c r="K1498" t="s">
        <v>3888</v>
      </c>
      <c r="L1498" t="s">
        <v>22</v>
      </c>
      <c r="P1498" t="s">
        <v>23</v>
      </c>
      <c r="Q1498" t="s">
        <v>45</v>
      </c>
    </row>
    <row r="1499" spans="1:17" ht="15.75" hidden="1" customHeight="1">
      <c r="A1499" t="s">
        <v>4025</v>
      </c>
      <c r="B1499" t="s">
        <v>17</v>
      </c>
      <c r="C1499" t="s">
        <v>47</v>
      </c>
      <c r="F1499" t="s">
        <v>19</v>
      </c>
      <c r="G1499" t="s">
        <v>20</v>
      </c>
      <c r="K1499" t="s">
        <v>3888</v>
      </c>
      <c r="L1499" t="s">
        <v>22</v>
      </c>
      <c r="P1499" t="s">
        <v>23</v>
      </c>
      <c r="Q1499" t="s">
        <v>48</v>
      </c>
    </row>
    <row r="1500" spans="1:17" ht="15.75" hidden="1" customHeight="1">
      <c r="A1500" t="s">
        <v>4026</v>
      </c>
      <c r="B1500" t="s">
        <v>17</v>
      </c>
      <c r="C1500" t="s">
        <v>50</v>
      </c>
      <c r="F1500" t="s">
        <v>19</v>
      </c>
      <c r="G1500" t="s">
        <v>20</v>
      </c>
      <c r="K1500" t="s">
        <v>3890</v>
      </c>
      <c r="L1500" t="s">
        <v>22</v>
      </c>
      <c r="P1500" t="s">
        <v>23</v>
      </c>
      <c r="Q1500" t="s">
        <v>4027</v>
      </c>
    </row>
    <row r="1501" spans="1:17" ht="15.75" hidden="1" customHeight="1">
      <c r="A1501" t="s">
        <v>4028</v>
      </c>
      <c r="B1501" t="s">
        <v>17</v>
      </c>
      <c r="C1501" t="s">
        <v>200</v>
      </c>
      <c r="F1501" t="s">
        <v>19</v>
      </c>
      <c r="G1501" t="s">
        <v>20</v>
      </c>
      <c r="K1501" t="s">
        <v>3890</v>
      </c>
      <c r="L1501" t="s">
        <v>22</v>
      </c>
      <c r="P1501" t="s">
        <v>23</v>
      </c>
      <c r="Q1501" t="s">
        <v>4029</v>
      </c>
    </row>
    <row r="1502" spans="1:17" ht="15.75" hidden="1" customHeight="1">
      <c r="A1502" t="s">
        <v>4030</v>
      </c>
      <c r="B1502" t="s">
        <v>17</v>
      </c>
      <c r="C1502" t="s">
        <v>1830</v>
      </c>
      <c r="F1502" t="s">
        <v>54</v>
      </c>
      <c r="G1502" t="s">
        <v>20</v>
      </c>
      <c r="K1502" t="s">
        <v>3868</v>
      </c>
      <c r="L1502" t="s">
        <v>22</v>
      </c>
      <c r="P1502" t="s">
        <v>55</v>
      </c>
      <c r="Q1502" t="s">
        <v>1831</v>
      </c>
    </row>
    <row r="1503" spans="1:17" ht="15.75" hidden="1" customHeight="1">
      <c r="A1503" t="s">
        <v>4031</v>
      </c>
      <c r="B1503" t="s">
        <v>17</v>
      </c>
      <c r="C1503" t="s">
        <v>1824</v>
      </c>
      <c r="F1503" t="s">
        <v>54</v>
      </c>
      <c r="G1503" t="s">
        <v>20</v>
      </c>
      <c r="K1503" t="s">
        <v>3868</v>
      </c>
      <c r="L1503" t="s">
        <v>22</v>
      </c>
      <c r="P1503" t="s">
        <v>55</v>
      </c>
      <c r="Q1503" t="s">
        <v>1825</v>
      </c>
    </row>
    <row r="1504" spans="1:17" ht="15.75" hidden="1" customHeight="1">
      <c r="A1504" t="s">
        <v>4032</v>
      </c>
      <c r="B1504" t="s">
        <v>17</v>
      </c>
      <c r="C1504" t="s">
        <v>53</v>
      </c>
      <c r="F1504" t="s">
        <v>54</v>
      </c>
      <c r="G1504" t="s">
        <v>20</v>
      </c>
      <c r="K1504" t="s">
        <v>3868</v>
      </c>
      <c r="L1504" t="s">
        <v>22</v>
      </c>
      <c r="P1504" t="s">
        <v>55</v>
      </c>
      <c r="Q1504" t="s">
        <v>56</v>
      </c>
    </row>
    <row r="1505" spans="1:17" ht="15.75" hidden="1" customHeight="1">
      <c r="A1505" t="s">
        <v>4033</v>
      </c>
      <c r="B1505" t="s">
        <v>17</v>
      </c>
      <c r="C1505" t="s">
        <v>1836</v>
      </c>
      <c r="F1505" t="s">
        <v>54</v>
      </c>
      <c r="G1505" t="s">
        <v>20</v>
      </c>
      <c r="K1505" t="s">
        <v>3874</v>
      </c>
      <c r="L1505" t="s">
        <v>22</v>
      </c>
      <c r="P1505" t="s">
        <v>55</v>
      </c>
      <c r="Q1505" t="s">
        <v>1837</v>
      </c>
    </row>
    <row r="1506" spans="1:17" ht="15.75" hidden="1" customHeight="1">
      <c r="A1506" t="s">
        <v>4034</v>
      </c>
      <c r="B1506" t="s">
        <v>17</v>
      </c>
      <c r="C1506" t="s">
        <v>58</v>
      </c>
      <c r="F1506" t="s">
        <v>54</v>
      </c>
      <c r="G1506" t="s">
        <v>20</v>
      </c>
      <c r="K1506" t="s">
        <v>3874</v>
      </c>
      <c r="L1506" t="s">
        <v>22</v>
      </c>
      <c r="P1506" t="s">
        <v>55</v>
      </c>
      <c r="Q1506" t="s">
        <v>59</v>
      </c>
    </row>
    <row r="1507" spans="1:17" ht="15.75" hidden="1" customHeight="1">
      <c r="A1507" t="s">
        <v>4035</v>
      </c>
      <c r="B1507" t="s">
        <v>17</v>
      </c>
      <c r="C1507" t="s">
        <v>61</v>
      </c>
      <c r="F1507" t="s">
        <v>54</v>
      </c>
      <c r="G1507" t="s">
        <v>20</v>
      </c>
      <c r="K1507" t="s">
        <v>3874</v>
      </c>
      <c r="L1507" t="s">
        <v>22</v>
      </c>
      <c r="P1507" t="s">
        <v>55</v>
      </c>
      <c r="Q1507" t="s">
        <v>62</v>
      </c>
    </row>
    <row r="1508" spans="1:17" ht="15.75" hidden="1" customHeight="1">
      <c r="A1508" t="s">
        <v>4036</v>
      </c>
      <c r="B1508" t="s">
        <v>17</v>
      </c>
      <c r="C1508" t="s">
        <v>1842</v>
      </c>
      <c r="F1508" t="s">
        <v>54</v>
      </c>
      <c r="G1508" t="s">
        <v>20</v>
      </c>
      <c r="K1508" t="s">
        <v>3880</v>
      </c>
      <c r="L1508" t="s">
        <v>22</v>
      </c>
      <c r="P1508" t="s">
        <v>55</v>
      </c>
      <c r="Q1508" t="s">
        <v>1843</v>
      </c>
    </row>
    <row r="1509" spans="1:17" ht="15.75" hidden="1" customHeight="1">
      <c r="A1509" t="s">
        <v>4037</v>
      </c>
      <c r="B1509" t="s">
        <v>17</v>
      </c>
      <c r="C1509" t="s">
        <v>924</v>
      </c>
      <c r="F1509" t="s">
        <v>54</v>
      </c>
      <c r="G1509" t="s">
        <v>20</v>
      </c>
      <c r="K1509" t="s">
        <v>3880</v>
      </c>
      <c r="L1509" t="s">
        <v>22</v>
      </c>
      <c r="P1509" t="s">
        <v>55</v>
      </c>
      <c r="Q1509" t="s">
        <v>925</v>
      </c>
    </row>
    <row r="1510" spans="1:17" ht="15.75" hidden="1" customHeight="1">
      <c r="A1510" t="s">
        <v>4038</v>
      </c>
      <c r="B1510" t="s">
        <v>17</v>
      </c>
      <c r="C1510" t="s">
        <v>203</v>
      </c>
      <c r="F1510" t="s">
        <v>54</v>
      </c>
      <c r="G1510" t="s">
        <v>20</v>
      </c>
      <c r="K1510" t="s">
        <v>3880</v>
      </c>
      <c r="L1510" t="s">
        <v>22</v>
      </c>
      <c r="P1510" t="s">
        <v>55</v>
      </c>
      <c r="Q1510" t="s">
        <v>4039</v>
      </c>
    </row>
    <row r="1511" spans="1:17" ht="15.75" hidden="1" customHeight="1">
      <c r="A1511" t="s">
        <v>4040</v>
      </c>
      <c r="B1511" t="s">
        <v>17</v>
      </c>
      <c r="C1511" t="s">
        <v>206</v>
      </c>
      <c r="F1511" t="s">
        <v>54</v>
      </c>
      <c r="G1511" t="s">
        <v>20</v>
      </c>
      <c r="K1511" t="s">
        <v>3880</v>
      </c>
      <c r="L1511" t="s">
        <v>22</v>
      </c>
      <c r="P1511" t="s">
        <v>55</v>
      </c>
      <c r="Q1511" t="s">
        <v>4041</v>
      </c>
    </row>
    <row r="1512" spans="1:17" ht="15.75" hidden="1" customHeight="1">
      <c r="A1512" t="s">
        <v>4042</v>
      </c>
      <c r="B1512" t="s">
        <v>17</v>
      </c>
      <c r="C1512" t="s">
        <v>64</v>
      </c>
      <c r="F1512" t="s">
        <v>54</v>
      </c>
      <c r="G1512" t="s">
        <v>20</v>
      </c>
      <c r="K1512" t="s">
        <v>3880</v>
      </c>
      <c r="L1512" t="s">
        <v>22</v>
      </c>
      <c r="P1512" t="s">
        <v>55</v>
      </c>
      <c r="Q1512" t="s">
        <v>65</v>
      </c>
    </row>
    <row r="1513" spans="1:17" ht="15.75" hidden="1" customHeight="1">
      <c r="A1513" t="s">
        <v>4043</v>
      </c>
      <c r="B1513" t="s">
        <v>17</v>
      </c>
      <c r="C1513" t="s">
        <v>1848</v>
      </c>
      <c r="F1513" t="s">
        <v>54</v>
      </c>
      <c r="G1513" t="s">
        <v>20</v>
      </c>
      <c r="K1513" t="s">
        <v>3883</v>
      </c>
      <c r="L1513" t="s">
        <v>22</v>
      </c>
      <c r="P1513" t="s">
        <v>55</v>
      </c>
      <c r="Q1513" t="s">
        <v>1849</v>
      </c>
    </row>
    <row r="1514" spans="1:17" ht="15.75" hidden="1" customHeight="1">
      <c r="A1514" t="s">
        <v>4044</v>
      </c>
      <c r="B1514" t="s">
        <v>17</v>
      </c>
      <c r="C1514" t="s">
        <v>930</v>
      </c>
      <c r="F1514" t="s">
        <v>54</v>
      </c>
      <c r="G1514" t="s">
        <v>20</v>
      </c>
      <c r="K1514" t="s">
        <v>3883</v>
      </c>
      <c r="L1514" t="s">
        <v>22</v>
      </c>
      <c r="P1514" t="s">
        <v>55</v>
      </c>
      <c r="Q1514" t="s">
        <v>931</v>
      </c>
    </row>
    <row r="1515" spans="1:17" ht="15.75" hidden="1" customHeight="1">
      <c r="A1515" t="s">
        <v>4045</v>
      </c>
      <c r="B1515" t="s">
        <v>17</v>
      </c>
      <c r="C1515" t="s">
        <v>67</v>
      </c>
      <c r="F1515" t="s">
        <v>54</v>
      </c>
      <c r="G1515" t="s">
        <v>20</v>
      </c>
      <c r="K1515" t="s">
        <v>3883</v>
      </c>
      <c r="L1515" t="s">
        <v>22</v>
      </c>
      <c r="P1515" t="s">
        <v>55</v>
      </c>
      <c r="Q1515" t="s">
        <v>68</v>
      </c>
    </row>
    <row r="1516" spans="1:17" ht="15.75" hidden="1" customHeight="1">
      <c r="A1516" t="s">
        <v>4046</v>
      </c>
      <c r="B1516" t="s">
        <v>17</v>
      </c>
      <c r="C1516" t="s">
        <v>73</v>
      </c>
      <c r="F1516" t="s">
        <v>54</v>
      </c>
      <c r="G1516" t="s">
        <v>20</v>
      </c>
      <c r="K1516" t="s">
        <v>3886</v>
      </c>
      <c r="L1516" t="s">
        <v>22</v>
      </c>
      <c r="P1516" t="s">
        <v>55</v>
      </c>
      <c r="Q1516" t="s">
        <v>74</v>
      </c>
    </row>
    <row r="1517" spans="1:17" ht="15.75" hidden="1" customHeight="1">
      <c r="A1517" t="s">
        <v>4047</v>
      </c>
      <c r="B1517" t="s">
        <v>17</v>
      </c>
      <c r="C1517" t="s">
        <v>70</v>
      </c>
      <c r="F1517" t="s">
        <v>54</v>
      </c>
      <c r="G1517" t="s">
        <v>20</v>
      </c>
      <c r="K1517" t="s">
        <v>3886</v>
      </c>
      <c r="L1517" t="s">
        <v>22</v>
      </c>
      <c r="P1517" t="s">
        <v>55</v>
      </c>
      <c r="Q1517" t="s">
        <v>71</v>
      </c>
    </row>
    <row r="1518" spans="1:17" ht="15.75" hidden="1" customHeight="1">
      <c r="A1518" t="s">
        <v>4048</v>
      </c>
      <c r="B1518" t="s">
        <v>17</v>
      </c>
      <c r="C1518" t="s">
        <v>76</v>
      </c>
      <c r="F1518" t="s">
        <v>54</v>
      </c>
      <c r="G1518" t="s">
        <v>20</v>
      </c>
      <c r="K1518" t="s">
        <v>3886</v>
      </c>
      <c r="L1518" t="s">
        <v>22</v>
      </c>
      <c r="P1518" t="s">
        <v>55</v>
      </c>
      <c r="Q1518" t="s">
        <v>77</v>
      </c>
    </row>
    <row r="1519" spans="1:17" ht="15.75" hidden="1" customHeight="1">
      <c r="A1519" t="s">
        <v>4049</v>
      </c>
      <c r="B1519" t="s">
        <v>17</v>
      </c>
      <c r="C1519" t="s">
        <v>936</v>
      </c>
      <c r="F1519" t="s">
        <v>54</v>
      </c>
      <c r="G1519" t="s">
        <v>20</v>
      </c>
      <c r="K1519" t="s">
        <v>3888</v>
      </c>
      <c r="L1519" t="s">
        <v>22</v>
      </c>
      <c r="P1519" t="s">
        <v>55</v>
      </c>
      <c r="Q1519" t="s">
        <v>937</v>
      </c>
    </row>
    <row r="1520" spans="1:17" ht="15.75" hidden="1" customHeight="1">
      <c r="A1520" t="s">
        <v>4050</v>
      </c>
      <c r="B1520" t="s">
        <v>17</v>
      </c>
      <c r="C1520" t="s">
        <v>82</v>
      </c>
      <c r="F1520" t="s">
        <v>54</v>
      </c>
      <c r="G1520" t="s">
        <v>20</v>
      </c>
      <c r="K1520" t="s">
        <v>3888</v>
      </c>
      <c r="L1520" t="s">
        <v>22</v>
      </c>
      <c r="P1520" t="s">
        <v>55</v>
      </c>
      <c r="Q1520" t="s">
        <v>83</v>
      </c>
    </row>
    <row r="1521" spans="1:17" ht="15.75" hidden="1" customHeight="1">
      <c r="A1521" t="s">
        <v>4051</v>
      </c>
      <c r="B1521" t="s">
        <v>17</v>
      </c>
      <c r="C1521" t="s">
        <v>79</v>
      </c>
      <c r="F1521" t="s">
        <v>54</v>
      </c>
      <c r="G1521" t="s">
        <v>20</v>
      </c>
      <c r="K1521" t="s">
        <v>3888</v>
      </c>
      <c r="L1521" t="s">
        <v>22</v>
      </c>
      <c r="P1521" t="s">
        <v>55</v>
      </c>
      <c r="Q1521" t="s">
        <v>80</v>
      </c>
    </row>
    <row r="1522" spans="1:17" ht="15.75" hidden="1" customHeight="1">
      <c r="A1522" t="s">
        <v>4052</v>
      </c>
      <c r="B1522" t="s">
        <v>17</v>
      </c>
      <c r="C1522" t="s">
        <v>85</v>
      </c>
      <c r="F1522" t="s">
        <v>54</v>
      </c>
      <c r="G1522" t="s">
        <v>20</v>
      </c>
      <c r="K1522" t="s">
        <v>3890</v>
      </c>
      <c r="L1522" t="s">
        <v>22</v>
      </c>
      <c r="P1522" t="s">
        <v>55</v>
      </c>
      <c r="Q1522" t="s">
        <v>86</v>
      </c>
    </row>
    <row r="1523" spans="1:17" ht="15.75" hidden="1" customHeight="1">
      <c r="A1523" t="s">
        <v>4053</v>
      </c>
      <c r="B1523" t="s">
        <v>17</v>
      </c>
      <c r="C1523" t="s">
        <v>209</v>
      </c>
      <c r="F1523" t="s">
        <v>54</v>
      </c>
      <c r="G1523" t="s">
        <v>20</v>
      </c>
      <c r="K1523" t="s">
        <v>3890</v>
      </c>
      <c r="L1523" t="s">
        <v>22</v>
      </c>
      <c r="P1523" t="s">
        <v>55</v>
      </c>
      <c r="Q1523" t="s">
        <v>4054</v>
      </c>
    </row>
    <row r="1524" spans="1:17" ht="15.75" hidden="1" customHeight="1">
      <c r="A1524" t="s">
        <v>4055</v>
      </c>
      <c r="B1524" t="s">
        <v>17</v>
      </c>
      <c r="C1524" t="s">
        <v>1858</v>
      </c>
      <c r="F1524" t="s">
        <v>1855</v>
      </c>
      <c r="G1524" t="s">
        <v>20</v>
      </c>
      <c r="K1524" t="s">
        <v>3868</v>
      </c>
      <c r="L1524" t="s">
        <v>22</v>
      </c>
      <c r="P1524" t="s">
        <v>741</v>
      </c>
      <c r="Q1524" t="s">
        <v>1859</v>
      </c>
    </row>
    <row r="1525" spans="1:17" ht="15.75" hidden="1" customHeight="1">
      <c r="A1525" t="s">
        <v>4056</v>
      </c>
      <c r="B1525" t="s">
        <v>17</v>
      </c>
      <c r="C1525" t="s">
        <v>1854</v>
      </c>
      <c r="F1525" t="s">
        <v>1855</v>
      </c>
      <c r="G1525" t="s">
        <v>20</v>
      </c>
      <c r="K1525" t="s">
        <v>3868</v>
      </c>
      <c r="L1525" t="s">
        <v>22</v>
      </c>
      <c r="P1525" t="s">
        <v>737</v>
      </c>
      <c r="Q1525" t="s">
        <v>1856</v>
      </c>
    </row>
    <row r="1526" spans="1:17" ht="15.75" hidden="1" customHeight="1">
      <c r="A1526" t="s">
        <v>4057</v>
      </c>
      <c r="B1526" t="s">
        <v>17</v>
      </c>
      <c r="C1526" t="s">
        <v>1864</v>
      </c>
      <c r="F1526" t="s">
        <v>1855</v>
      </c>
      <c r="G1526" t="s">
        <v>20</v>
      </c>
      <c r="K1526" t="s">
        <v>3868</v>
      </c>
      <c r="L1526" t="s">
        <v>22</v>
      </c>
      <c r="P1526" t="s">
        <v>274</v>
      </c>
      <c r="Q1526" t="s">
        <v>1865</v>
      </c>
    </row>
    <row r="1527" spans="1:17" ht="15.75" hidden="1" customHeight="1">
      <c r="A1527" t="s">
        <v>4058</v>
      </c>
      <c r="B1527" t="s">
        <v>17</v>
      </c>
      <c r="C1527" t="s">
        <v>1876</v>
      </c>
      <c r="F1527" t="s">
        <v>1855</v>
      </c>
      <c r="G1527" t="s">
        <v>20</v>
      </c>
      <c r="K1527" t="s">
        <v>3874</v>
      </c>
      <c r="L1527" t="s">
        <v>22</v>
      </c>
      <c r="P1527" t="s">
        <v>737</v>
      </c>
      <c r="Q1527" t="s">
        <v>1877</v>
      </c>
    </row>
    <row r="1528" spans="1:17" ht="15.75" hidden="1" customHeight="1">
      <c r="A1528" t="s">
        <v>4059</v>
      </c>
      <c r="B1528" t="s">
        <v>17</v>
      </c>
      <c r="C1528" t="s">
        <v>1867</v>
      </c>
      <c r="F1528" t="s">
        <v>1855</v>
      </c>
      <c r="G1528" t="s">
        <v>20</v>
      </c>
      <c r="K1528" t="s">
        <v>3874</v>
      </c>
      <c r="L1528" t="s">
        <v>22</v>
      </c>
      <c r="P1528" t="s">
        <v>160</v>
      </c>
      <c r="Q1528" t="s">
        <v>1868</v>
      </c>
    </row>
    <row r="1529" spans="1:17" ht="15.75" hidden="1" customHeight="1">
      <c r="A1529" t="s">
        <v>4060</v>
      </c>
      <c r="B1529" t="s">
        <v>17</v>
      </c>
      <c r="C1529" t="s">
        <v>1870</v>
      </c>
      <c r="F1529" t="s">
        <v>1855</v>
      </c>
      <c r="G1529" t="s">
        <v>20</v>
      </c>
      <c r="K1529" t="s">
        <v>3874</v>
      </c>
      <c r="L1529" t="s">
        <v>22</v>
      </c>
      <c r="P1529" t="s">
        <v>737</v>
      </c>
      <c r="Q1529" t="s">
        <v>4061</v>
      </c>
    </row>
    <row r="1530" spans="1:17" ht="15.75" hidden="1" customHeight="1">
      <c r="A1530" t="s">
        <v>4062</v>
      </c>
      <c r="B1530" t="s">
        <v>17</v>
      </c>
      <c r="C1530" t="s">
        <v>1879</v>
      </c>
      <c r="F1530" t="s">
        <v>1855</v>
      </c>
      <c r="G1530" t="s">
        <v>20</v>
      </c>
      <c r="K1530" t="s">
        <v>3880</v>
      </c>
      <c r="L1530" t="s">
        <v>22</v>
      </c>
      <c r="P1530" t="s">
        <v>737</v>
      </c>
      <c r="Q1530" t="s">
        <v>1880</v>
      </c>
    </row>
    <row r="1531" spans="1:17" ht="15.75" hidden="1" customHeight="1">
      <c r="A1531" t="s">
        <v>4063</v>
      </c>
      <c r="B1531" t="s">
        <v>17</v>
      </c>
      <c r="C1531" t="s">
        <v>1885</v>
      </c>
      <c r="F1531" t="s">
        <v>1855</v>
      </c>
      <c r="G1531" t="s">
        <v>20</v>
      </c>
      <c r="K1531" t="s">
        <v>3880</v>
      </c>
      <c r="L1531" t="s">
        <v>22</v>
      </c>
      <c r="P1531" t="s">
        <v>737</v>
      </c>
      <c r="Q1531" t="s">
        <v>1886</v>
      </c>
    </row>
    <row r="1532" spans="1:17" ht="15.75" hidden="1" customHeight="1">
      <c r="A1532" t="s">
        <v>4064</v>
      </c>
      <c r="B1532" t="s">
        <v>17</v>
      </c>
      <c r="C1532" t="s">
        <v>1882</v>
      </c>
      <c r="F1532" t="s">
        <v>1855</v>
      </c>
      <c r="G1532" t="s">
        <v>20</v>
      </c>
      <c r="K1532" t="s">
        <v>3880</v>
      </c>
      <c r="L1532" t="s">
        <v>22</v>
      </c>
      <c r="P1532" t="s">
        <v>274</v>
      </c>
      <c r="Q1532" t="s">
        <v>1883</v>
      </c>
    </row>
    <row r="1533" spans="1:17" ht="15.75" hidden="1" customHeight="1">
      <c r="A1533" t="s">
        <v>4065</v>
      </c>
      <c r="B1533" t="s">
        <v>17</v>
      </c>
      <c r="C1533" t="s">
        <v>1891</v>
      </c>
      <c r="F1533" t="s">
        <v>1855</v>
      </c>
      <c r="G1533" t="s">
        <v>20</v>
      </c>
      <c r="K1533" t="s">
        <v>3883</v>
      </c>
      <c r="L1533" t="s">
        <v>22</v>
      </c>
      <c r="P1533" t="s">
        <v>737</v>
      </c>
      <c r="Q1533" t="s">
        <v>4066</v>
      </c>
    </row>
    <row r="1534" spans="1:17" ht="15.75" hidden="1" customHeight="1">
      <c r="A1534" t="s">
        <v>4067</v>
      </c>
      <c r="B1534" t="s">
        <v>17</v>
      </c>
      <c r="C1534" t="s">
        <v>1900</v>
      </c>
      <c r="F1534" t="s">
        <v>1855</v>
      </c>
      <c r="G1534" t="s">
        <v>20</v>
      </c>
      <c r="K1534" t="s">
        <v>3883</v>
      </c>
      <c r="L1534" t="s">
        <v>22</v>
      </c>
      <c r="P1534" t="s">
        <v>737</v>
      </c>
      <c r="Q1534" t="s">
        <v>4068</v>
      </c>
    </row>
    <row r="1535" spans="1:17" ht="15.75" hidden="1" customHeight="1">
      <c r="A1535" t="s">
        <v>4069</v>
      </c>
      <c r="B1535" t="s">
        <v>17</v>
      </c>
      <c r="C1535" t="s">
        <v>1894</v>
      </c>
      <c r="F1535" t="s">
        <v>1855</v>
      </c>
      <c r="G1535" t="s">
        <v>20</v>
      </c>
      <c r="K1535" t="s">
        <v>3883</v>
      </c>
      <c r="L1535" t="s">
        <v>22</v>
      </c>
      <c r="P1535" t="s">
        <v>737</v>
      </c>
      <c r="Q1535" t="s">
        <v>1895</v>
      </c>
    </row>
    <row r="1536" spans="1:17" ht="15.75" hidden="1" customHeight="1">
      <c r="A1536" t="s">
        <v>4070</v>
      </c>
      <c r="B1536" t="s">
        <v>17</v>
      </c>
      <c r="C1536" t="s">
        <v>1903</v>
      </c>
      <c r="F1536" t="s">
        <v>1855</v>
      </c>
      <c r="G1536" t="s">
        <v>20</v>
      </c>
      <c r="K1536" t="s">
        <v>3883</v>
      </c>
      <c r="L1536" t="s">
        <v>22</v>
      </c>
      <c r="P1536" t="s">
        <v>737</v>
      </c>
      <c r="Q1536" t="s">
        <v>4071</v>
      </c>
    </row>
    <row r="1537" spans="1:17" ht="15.75" hidden="1" customHeight="1">
      <c r="A1537" t="s">
        <v>4072</v>
      </c>
      <c r="B1537" t="s">
        <v>17</v>
      </c>
      <c r="C1537" t="s">
        <v>1906</v>
      </c>
      <c r="F1537" t="s">
        <v>1855</v>
      </c>
      <c r="G1537" t="s">
        <v>20</v>
      </c>
      <c r="K1537" t="s">
        <v>3886</v>
      </c>
      <c r="L1537" t="s">
        <v>22</v>
      </c>
      <c r="P1537" t="s">
        <v>737</v>
      </c>
      <c r="Q1537" t="s">
        <v>1907</v>
      </c>
    </row>
    <row r="1538" spans="1:17" ht="15.75" hidden="1" customHeight="1">
      <c r="A1538" t="s">
        <v>4073</v>
      </c>
      <c r="B1538" t="s">
        <v>17</v>
      </c>
      <c r="C1538" t="s">
        <v>1912</v>
      </c>
      <c r="F1538" t="s">
        <v>1855</v>
      </c>
      <c r="G1538" t="s">
        <v>20</v>
      </c>
      <c r="K1538" t="s">
        <v>3886</v>
      </c>
      <c r="L1538" t="s">
        <v>22</v>
      </c>
      <c r="P1538" t="s">
        <v>737</v>
      </c>
      <c r="Q1538" t="s">
        <v>4074</v>
      </c>
    </row>
    <row r="1539" spans="1:17" ht="15.75" hidden="1" customHeight="1">
      <c r="A1539" t="s">
        <v>4075</v>
      </c>
      <c r="B1539" t="s">
        <v>17</v>
      </c>
      <c r="C1539" t="s">
        <v>1909</v>
      </c>
      <c r="F1539" t="s">
        <v>1855</v>
      </c>
      <c r="G1539" t="s">
        <v>20</v>
      </c>
      <c r="K1539" t="s">
        <v>3886</v>
      </c>
      <c r="L1539" t="s">
        <v>22</v>
      </c>
      <c r="P1539" t="s">
        <v>737</v>
      </c>
      <c r="Q1539" t="s">
        <v>1910</v>
      </c>
    </row>
    <row r="1540" spans="1:17" ht="15.75" hidden="1" customHeight="1">
      <c r="A1540" t="s">
        <v>4076</v>
      </c>
      <c r="B1540" t="s">
        <v>17</v>
      </c>
      <c r="C1540" t="s">
        <v>1918</v>
      </c>
      <c r="F1540" t="s">
        <v>1855</v>
      </c>
      <c r="G1540" t="s">
        <v>20</v>
      </c>
      <c r="K1540" t="s">
        <v>3886</v>
      </c>
      <c r="L1540" t="s">
        <v>22</v>
      </c>
      <c r="P1540" t="s">
        <v>737</v>
      </c>
      <c r="Q1540" t="s">
        <v>1919</v>
      </c>
    </row>
    <row r="1541" spans="1:17" ht="15.75" hidden="1" customHeight="1">
      <c r="A1541" t="s">
        <v>4077</v>
      </c>
      <c r="B1541" t="s">
        <v>17</v>
      </c>
      <c r="C1541" t="s">
        <v>1915</v>
      </c>
      <c r="F1541" t="s">
        <v>1855</v>
      </c>
      <c r="G1541" t="s">
        <v>20</v>
      </c>
      <c r="K1541" t="s">
        <v>3886</v>
      </c>
      <c r="L1541" t="s">
        <v>22</v>
      </c>
      <c r="P1541" t="s">
        <v>737</v>
      </c>
      <c r="Q1541" t="s">
        <v>4078</v>
      </c>
    </row>
    <row r="1542" spans="1:17" ht="15.75" hidden="1" customHeight="1">
      <c r="A1542" t="s">
        <v>4079</v>
      </c>
      <c r="B1542" t="s">
        <v>17</v>
      </c>
      <c r="C1542" t="s">
        <v>1936</v>
      </c>
      <c r="F1542" t="s">
        <v>1855</v>
      </c>
      <c r="G1542" t="s">
        <v>20</v>
      </c>
      <c r="K1542" t="s">
        <v>3888</v>
      </c>
      <c r="L1542" t="s">
        <v>22</v>
      </c>
      <c r="P1542" t="s">
        <v>737</v>
      </c>
      <c r="Q1542" t="s">
        <v>1937</v>
      </c>
    </row>
    <row r="1543" spans="1:17" ht="15.75" hidden="1" customHeight="1">
      <c r="A1543" t="s">
        <v>4080</v>
      </c>
      <c r="B1543" t="s">
        <v>17</v>
      </c>
      <c r="C1543" t="s">
        <v>1927</v>
      </c>
      <c r="F1543" t="s">
        <v>1855</v>
      </c>
      <c r="G1543" t="s">
        <v>20</v>
      </c>
      <c r="K1543" t="s">
        <v>3888</v>
      </c>
      <c r="L1543" t="s">
        <v>22</v>
      </c>
      <c r="P1543" t="s">
        <v>737</v>
      </c>
      <c r="Q1543" t="s">
        <v>1928</v>
      </c>
    </row>
    <row r="1544" spans="1:17" ht="15.75" hidden="1" customHeight="1">
      <c r="A1544" t="s">
        <v>4081</v>
      </c>
      <c r="B1544" t="s">
        <v>17</v>
      </c>
      <c r="C1544" t="s">
        <v>1930</v>
      </c>
      <c r="F1544" t="s">
        <v>1855</v>
      </c>
      <c r="G1544" t="s">
        <v>20</v>
      </c>
      <c r="K1544" t="s">
        <v>3888</v>
      </c>
      <c r="L1544" t="s">
        <v>22</v>
      </c>
      <c r="P1544" t="s">
        <v>737</v>
      </c>
      <c r="Q1544" t="s">
        <v>1931</v>
      </c>
    </row>
    <row r="1545" spans="1:17" ht="15.75" hidden="1" customHeight="1">
      <c r="A1545" t="s">
        <v>4082</v>
      </c>
      <c r="B1545" t="s">
        <v>17</v>
      </c>
      <c r="C1545" t="s">
        <v>1933</v>
      </c>
      <c r="F1545" t="s">
        <v>1855</v>
      </c>
      <c r="G1545" t="s">
        <v>20</v>
      </c>
      <c r="K1545" t="s">
        <v>3888</v>
      </c>
      <c r="L1545" t="s">
        <v>22</v>
      </c>
      <c r="P1545" t="s">
        <v>737</v>
      </c>
      <c r="Q1545" t="s">
        <v>1934</v>
      </c>
    </row>
    <row r="1546" spans="1:17" ht="15.75" hidden="1" customHeight="1">
      <c r="A1546" t="s">
        <v>4083</v>
      </c>
      <c r="B1546" t="s">
        <v>17</v>
      </c>
      <c r="C1546" t="s">
        <v>1921</v>
      </c>
      <c r="F1546" t="s">
        <v>1855</v>
      </c>
      <c r="G1546" t="s">
        <v>20</v>
      </c>
      <c r="K1546" t="s">
        <v>3888</v>
      </c>
      <c r="L1546" t="s">
        <v>22</v>
      </c>
      <c r="P1546" t="s">
        <v>737</v>
      </c>
      <c r="Q1546" t="s">
        <v>4084</v>
      </c>
    </row>
    <row r="1547" spans="1:17" ht="15.75" hidden="1" customHeight="1">
      <c r="A1547" t="s">
        <v>4085</v>
      </c>
      <c r="B1547" t="s">
        <v>17</v>
      </c>
      <c r="C1547" t="s">
        <v>1924</v>
      </c>
      <c r="F1547" t="s">
        <v>1855</v>
      </c>
      <c r="G1547" t="s">
        <v>20</v>
      </c>
      <c r="K1547" t="s">
        <v>3888</v>
      </c>
      <c r="L1547" t="s">
        <v>22</v>
      </c>
      <c r="P1547" t="s">
        <v>737</v>
      </c>
      <c r="Q1547" t="s">
        <v>4086</v>
      </c>
    </row>
    <row r="1548" spans="1:17" ht="15.75" hidden="1" customHeight="1">
      <c r="A1548" t="s">
        <v>4087</v>
      </c>
      <c r="B1548" t="s">
        <v>17</v>
      </c>
      <c r="C1548" t="s">
        <v>1942</v>
      </c>
      <c r="F1548" t="s">
        <v>1855</v>
      </c>
      <c r="G1548" t="s">
        <v>20</v>
      </c>
      <c r="K1548" t="s">
        <v>3890</v>
      </c>
      <c r="L1548" t="s">
        <v>22</v>
      </c>
      <c r="P1548" t="s">
        <v>737</v>
      </c>
      <c r="Q1548" t="s">
        <v>1943</v>
      </c>
    </row>
    <row r="1549" spans="1:17" ht="15.75" hidden="1" customHeight="1">
      <c r="A1549" t="s">
        <v>4088</v>
      </c>
      <c r="B1549" t="s">
        <v>17</v>
      </c>
      <c r="C1549" t="s">
        <v>1945</v>
      </c>
      <c r="F1549" t="s">
        <v>1855</v>
      </c>
      <c r="G1549" t="s">
        <v>20</v>
      </c>
      <c r="K1549" t="s">
        <v>3890</v>
      </c>
      <c r="L1549" t="s">
        <v>22</v>
      </c>
      <c r="P1549" t="s">
        <v>737</v>
      </c>
      <c r="Q1549" t="s">
        <v>1946</v>
      </c>
    </row>
    <row r="1550" spans="1:17" ht="15.75" hidden="1" customHeight="1">
      <c r="A1550" t="s">
        <v>4089</v>
      </c>
      <c r="B1550" t="s">
        <v>17</v>
      </c>
      <c r="C1550" t="s">
        <v>1948</v>
      </c>
      <c r="F1550" t="s">
        <v>1855</v>
      </c>
      <c r="G1550" t="s">
        <v>20</v>
      </c>
      <c r="K1550" t="s">
        <v>3890</v>
      </c>
      <c r="L1550" t="s">
        <v>22</v>
      </c>
      <c r="P1550" t="s">
        <v>737</v>
      </c>
      <c r="Q1550" t="s">
        <v>1949</v>
      </c>
    </row>
    <row r="1551" spans="1:17" ht="15.75" hidden="1" customHeight="1">
      <c r="A1551" t="s">
        <v>4090</v>
      </c>
      <c r="B1551" t="s">
        <v>17</v>
      </c>
      <c r="C1551" t="s">
        <v>1939</v>
      </c>
      <c r="F1551" t="s">
        <v>1855</v>
      </c>
      <c r="G1551" t="s">
        <v>20</v>
      </c>
      <c r="K1551" t="s">
        <v>3890</v>
      </c>
      <c r="L1551" t="s">
        <v>22</v>
      </c>
      <c r="P1551" t="s">
        <v>737</v>
      </c>
      <c r="Q1551" t="s">
        <v>4091</v>
      </c>
    </row>
    <row r="1552" spans="1:17" ht="15.75" hidden="1" customHeight="1">
      <c r="A1552" t="s">
        <v>4092</v>
      </c>
      <c r="B1552" t="s">
        <v>17</v>
      </c>
      <c r="C1552" t="s">
        <v>1951</v>
      </c>
      <c r="F1552" t="s">
        <v>1952</v>
      </c>
      <c r="G1552" t="s">
        <v>20</v>
      </c>
      <c r="K1552" t="s">
        <v>3868</v>
      </c>
      <c r="L1552" t="s">
        <v>22</v>
      </c>
      <c r="P1552" t="s">
        <v>741</v>
      </c>
      <c r="Q1552" t="s">
        <v>1581</v>
      </c>
    </row>
    <row r="1553" spans="1:17" ht="15.75" hidden="1" customHeight="1">
      <c r="A1553" t="s">
        <v>4093</v>
      </c>
      <c r="B1553" t="s">
        <v>17</v>
      </c>
      <c r="C1553" t="s">
        <v>1954</v>
      </c>
      <c r="F1553" t="s">
        <v>1952</v>
      </c>
      <c r="G1553" t="s">
        <v>20</v>
      </c>
      <c r="K1553" t="s">
        <v>3868</v>
      </c>
      <c r="L1553" t="s">
        <v>22</v>
      </c>
      <c r="P1553" t="s">
        <v>741</v>
      </c>
      <c r="Q1553" t="s">
        <v>4094</v>
      </c>
    </row>
    <row r="1554" spans="1:17" ht="15.75" hidden="1" customHeight="1">
      <c r="A1554" t="s">
        <v>4095</v>
      </c>
      <c r="B1554" t="s">
        <v>17</v>
      </c>
      <c r="C1554" t="s">
        <v>1960</v>
      </c>
      <c r="F1554" t="s">
        <v>1952</v>
      </c>
      <c r="G1554" t="s">
        <v>20</v>
      </c>
      <c r="K1554" t="s">
        <v>3874</v>
      </c>
      <c r="L1554" t="s">
        <v>22</v>
      </c>
      <c r="P1554" t="s">
        <v>741</v>
      </c>
      <c r="Q1554" t="s">
        <v>1961</v>
      </c>
    </row>
    <row r="1555" spans="1:17" ht="15.75" hidden="1" customHeight="1">
      <c r="A1555" t="s">
        <v>4096</v>
      </c>
      <c r="B1555" t="s">
        <v>17</v>
      </c>
      <c r="C1555" t="s">
        <v>1957</v>
      </c>
      <c r="F1555" t="s">
        <v>1952</v>
      </c>
      <c r="G1555" t="s">
        <v>20</v>
      </c>
      <c r="K1555" t="s">
        <v>3874</v>
      </c>
      <c r="L1555" t="s">
        <v>22</v>
      </c>
      <c r="P1555" t="s">
        <v>741</v>
      </c>
      <c r="Q1555" t="s">
        <v>1958</v>
      </c>
    </row>
    <row r="1556" spans="1:17" ht="15.75" hidden="1" customHeight="1">
      <c r="A1556" t="s">
        <v>4097</v>
      </c>
      <c r="B1556" t="s">
        <v>17</v>
      </c>
      <c r="C1556" t="s">
        <v>1963</v>
      </c>
      <c r="F1556" t="s">
        <v>1952</v>
      </c>
      <c r="G1556" t="s">
        <v>20</v>
      </c>
      <c r="K1556" t="s">
        <v>3880</v>
      </c>
      <c r="L1556" t="s">
        <v>22</v>
      </c>
      <c r="P1556" t="s">
        <v>741</v>
      </c>
      <c r="Q1556" t="s">
        <v>1964</v>
      </c>
    </row>
    <row r="1557" spans="1:17" ht="15.75" hidden="1" customHeight="1">
      <c r="A1557" t="s">
        <v>4098</v>
      </c>
      <c r="B1557" t="s">
        <v>17</v>
      </c>
      <c r="C1557" t="s">
        <v>1966</v>
      </c>
      <c r="F1557" t="s">
        <v>1952</v>
      </c>
      <c r="G1557" t="s">
        <v>20</v>
      </c>
      <c r="K1557" t="s">
        <v>3880</v>
      </c>
      <c r="L1557" t="s">
        <v>22</v>
      </c>
      <c r="P1557" t="s">
        <v>741</v>
      </c>
      <c r="Q1557" t="s">
        <v>1967</v>
      </c>
    </row>
    <row r="1558" spans="1:17" ht="15.75" hidden="1" customHeight="1">
      <c r="A1558" t="s">
        <v>4099</v>
      </c>
      <c r="B1558" t="s">
        <v>17</v>
      </c>
      <c r="C1558" t="s">
        <v>1972</v>
      </c>
      <c r="F1558" t="s">
        <v>1952</v>
      </c>
      <c r="G1558" t="s">
        <v>20</v>
      </c>
      <c r="K1558" t="s">
        <v>3883</v>
      </c>
      <c r="L1558" t="s">
        <v>22</v>
      </c>
      <c r="P1558" t="s">
        <v>741</v>
      </c>
      <c r="Q1558" t="s">
        <v>1973</v>
      </c>
    </row>
    <row r="1559" spans="1:17" ht="15.75" hidden="1" customHeight="1">
      <c r="A1559" t="s">
        <v>4100</v>
      </c>
      <c r="B1559" t="s">
        <v>17</v>
      </c>
      <c r="C1559" t="s">
        <v>1969</v>
      </c>
      <c r="F1559" t="s">
        <v>1952</v>
      </c>
      <c r="G1559" t="s">
        <v>20</v>
      </c>
      <c r="K1559" t="s">
        <v>3883</v>
      </c>
      <c r="L1559" t="s">
        <v>22</v>
      </c>
      <c r="P1559" t="s">
        <v>741</v>
      </c>
      <c r="Q1559" t="s">
        <v>1970</v>
      </c>
    </row>
    <row r="1560" spans="1:17" ht="15.75" hidden="1" customHeight="1">
      <c r="A1560" t="s">
        <v>4101</v>
      </c>
      <c r="B1560" t="s">
        <v>17</v>
      </c>
      <c r="C1560" t="s">
        <v>1975</v>
      </c>
      <c r="F1560" t="s">
        <v>1952</v>
      </c>
      <c r="G1560" t="s">
        <v>20</v>
      </c>
      <c r="K1560" t="s">
        <v>3886</v>
      </c>
      <c r="L1560" t="s">
        <v>22</v>
      </c>
      <c r="P1560" t="s">
        <v>741</v>
      </c>
      <c r="Q1560" t="s">
        <v>1976</v>
      </c>
    </row>
    <row r="1561" spans="1:17" ht="15.75" hidden="1" customHeight="1">
      <c r="A1561" t="s">
        <v>4102</v>
      </c>
      <c r="B1561" t="s">
        <v>17</v>
      </c>
      <c r="C1561" t="s">
        <v>1978</v>
      </c>
      <c r="F1561" t="s">
        <v>1952</v>
      </c>
      <c r="G1561" t="s">
        <v>20</v>
      </c>
      <c r="K1561" t="s">
        <v>3888</v>
      </c>
      <c r="L1561" t="s">
        <v>22</v>
      </c>
      <c r="P1561" t="s">
        <v>741</v>
      </c>
      <c r="Q1561" t="s">
        <v>1979</v>
      </c>
    </row>
    <row r="1562" spans="1:17" ht="15.75" hidden="1" customHeight="1">
      <c r="A1562" t="s">
        <v>4103</v>
      </c>
      <c r="B1562" t="s">
        <v>17</v>
      </c>
      <c r="C1562" t="s">
        <v>1981</v>
      </c>
      <c r="F1562" t="s">
        <v>1952</v>
      </c>
      <c r="G1562" t="s">
        <v>20</v>
      </c>
      <c r="K1562" t="s">
        <v>3890</v>
      </c>
      <c r="L1562" t="s">
        <v>22</v>
      </c>
      <c r="P1562" t="s">
        <v>741</v>
      </c>
      <c r="Q1562" t="s">
        <v>1982</v>
      </c>
    </row>
    <row r="1563" spans="1:17" ht="15.75" hidden="1" customHeight="1">
      <c r="A1563" t="s">
        <v>4104</v>
      </c>
      <c r="B1563" t="s">
        <v>17</v>
      </c>
      <c r="C1563" t="s">
        <v>1988</v>
      </c>
      <c r="F1563" t="s">
        <v>1985</v>
      </c>
      <c r="G1563" t="s">
        <v>20</v>
      </c>
      <c r="K1563" t="s">
        <v>3868</v>
      </c>
      <c r="L1563" t="s">
        <v>22</v>
      </c>
      <c r="P1563" t="s">
        <v>125</v>
      </c>
      <c r="Q1563" t="s">
        <v>1989</v>
      </c>
    </row>
    <row r="1564" spans="1:17" ht="15.75" hidden="1" customHeight="1">
      <c r="A1564" t="s">
        <v>4105</v>
      </c>
      <c r="B1564" t="s">
        <v>17</v>
      </c>
      <c r="C1564" t="s">
        <v>1991</v>
      </c>
      <c r="F1564" t="s">
        <v>1985</v>
      </c>
      <c r="G1564" t="s">
        <v>20</v>
      </c>
      <c r="K1564" t="s">
        <v>3868</v>
      </c>
      <c r="L1564" t="s">
        <v>22</v>
      </c>
      <c r="P1564" t="s">
        <v>278</v>
      </c>
      <c r="Q1564" t="s">
        <v>4106</v>
      </c>
    </row>
    <row r="1565" spans="1:17" ht="15.75" hidden="1" customHeight="1">
      <c r="A1565" t="s">
        <v>4107</v>
      </c>
      <c r="B1565" t="s">
        <v>17</v>
      </c>
      <c r="C1565" t="s">
        <v>1994</v>
      </c>
      <c r="F1565" t="s">
        <v>1985</v>
      </c>
      <c r="G1565" t="s">
        <v>20</v>
      </c>
      <c r="K1565" t="s">
        <v>3868</v>
      </c>
      <c r="L1565" t="s">
        <v>22</v>
      </c>
      <c r="P1565" t="s">
        <v>125</v>
      </c>
      <c r="Q1565" t="s">
        <v>4108</v>
      </c>
    </row>
    <row r="1566" spans="1:17" ht="15.75" hidden="1" customHeight="1">
      <c r="A1566" t="s">
        <v>4109</v>
      </c>
      <c r="B1566" t="s">
        <v>17</v>
      </c>
      <c r="C1566" t="s">
        <v>2000</v>
      </c>
      <c r="F1566" t="s">
        <v>1985</v>
      </c>
      <c r="G1566" t="s">
        <v>20</v>
      </c>
      <c r="K1566" t="s">
        <v>3874</v>
      </c>
      <c r="L1566" t="s">
        <v>22</v>
      </c>
      <c r="P1566" t="s">
        <v>741</v>
      </c>
      <c r="Q1566" t="s">
        <v>2001</v>
      </c>
    </row>
    <row r="1567" spans="1:17" ht="15.75" hidden="1" customHeight="1">
      <c r="A1567" t="s">
        <v>4110</v>
      </c>
      <c r="B1567" t="s">
        <v>17</v>
      </c>
      <c r="C1567" t="s">
        <v>2006</v>
      </c>
      <c r="F1567" t="s">
        <v>1985</v>
      </c>
      <c r="G1567" t="s">
        <v>20</v>
      </c>
      <c r="K1567" t="s">
        <v>3874</v>
      </c>
      <c r="L1567" t="s">
        <v>22</v>
      </c>
      <c r="P1567" t="s">
        <v>741</v>
      </c>
      <c r="Q1567" t="s">
        <v>2007</v>
      </c>
    </row>
    <row r="1568" spans="1:17" ht="15.75" hidden="1" customHeight="1">
      <c r="A1568" t="s">
        <v>4111</v>
      </c>
      <c r="B1568" t="s">
        <v>17</v>
      </c>
      <c r="C1568" t="s">
        <v>2003</v>
      </c>
      <c r="F1568" t="s">
        <v>1985</v>
      </c>
      <c r="G1568" t="s">
        <v>20</v>
      </c>
      <c r="K1568" t="s">
        <v>3874</v>
      </c>
      <c r="L1568" t="s">
        <v>22</v>
      </c>
      <c r="P1568" t="s">
        <v>90</v>
      </c>
      <c r="Q1568" t="s">
        <v>2004</v>
      </c>
    </row>
    <row r="1569" spans="1:17" ht="15.75" hidden="1" customHeight="1">
      <c r="A1569" t="s">
        <v>4112</v>
      </c>
      <c r="B1569" t="s">
        <v>17</v>
      </c>
      <c r="C1569" t="s">
        <v>2009</v>
      </c>
      <c r="F1569" t="s">
        <v>1985</v>
      </c>
      <c r="G1569" t="s">
        <v>20</v>
      </c>
      <c r="K1569" t="s">
        <v>3874</v>
      </c>
      <c r="L1569" t="s">
        <v>22</v>
      </c>
      <c r="P1569" t="s">
        <v>125</v>
      </c>
      <c r="Q1569" t="s">
        <v>2010</v>
      </c>
    </row>
    <row r="1570" spans="1:17" ht="15.75" hidden="1" customHeight="1">
      <c r="A1570" t="s">
        <v>4113</v>
      </c>
      <c r="B1570" t="s">
        <v>17</v>
      </c>
      <c r="C1570" t="s">
        <v>2015</v>
      </c>
      <c r="F1570" t="s">
        <v>1985</v>
      </c>
      <c r="G1570" t="s">
        <v>20</v>
      </c>
      <c r="K1570" t="s">
        <v>3880</v>
      </c>
      <c r="L1570" t="s">
        <v>22</v>
      </c>
      <c r="P1570" t="s">
        <v>741</v>
      </c>
      <c r="Q1570" t="s">
        <v>2016</v>
      </c>
    </row>
    <row r="1571" spans="1:17" ht="15.75" hidden="1" customHeight="1">
      <c r="A1571" t="s">
        <v>4114</v>
      </c>
      <c r="B1571" t="s">
        <v>17</v>
      </c>
      <c r="C1571" t="s">
        <v>2018</v>
      </c>
      <c r="F1571" t="s">
        <v>1985</v>
      </c>
      <c r="G1571" t="s">
        <v>20</v>
      </c>
      <c r="K1571" t="s">
        <v>3880</v>
      </c>
      <c r="L1571" t="s">
        <v>22</v>
      </c>
      <c r="P1571" t="s">
        <v>125</v>
      </c>
      <c r="Q1571" t="s">
        <v>2019</v>
      </c>
    </row>
    <row r="1572" spans="1:17" ht="15.75" hidden="1" customHeight="1">
      <c r="A1572" t="s">
        <v>4115</v>
      </c>
      <c r="B1572" t="s">
        <v>17</v>
      </c>
      <c r="C1572" t="s">
        <v>2021</v>
      </c>
      <c r="F1572" t="s">
        <v>1985</v>
      </c>
      <c r="G1572" t="s">
        <v>20</v>
      </c>
      <c r="K1572" t="s">
        <v>3880</v>
      </c>
      <c r="L1572" t="s">
        <v>22</v>
      </c>
      <c r="P1572" t="s">
        <v>125</v>
      </c>
      <c r="Q1572" t="s">
        <v>2022</v>
      </c>
    </row>
    <row r="1573" spans="1:17" ht="15.75" hidden="1" customHeight="1">
      <c r="A1573" t="s">
        <v>4116</v>
      </c>
      <c r="B1573" t="s">
        <v>17</v>
      </c>
      <c r="C1573" t="s">
        <v>2030</v>
      </c>
      <c r="F1573" t="s">
        <v>1985</v>
      </c>
      <c r="G1573" t="s">
        <v>20</v>
      </c>
      <c r="K1573" t="s">
        <v>3883</v>
      </c>
      <c r="L1573" t="s">
        <v>22</v>
      </c>
      <c r="P1573" t="s">
        <v>741</v>
      </c>
      <c r="Q1573" t="s">
        <v>2031</v>
      </c>
    </row>
    <row r="1574" spans="1:17" ht="15.75" hidden="1" customHeight="1">
      <c r="A1574" t="s">
        <v>4117</v>
      </c>
      <c r="B1574" t="s">
        <v>17</v>
      </c>
      <c r="C1574" t="s">
        <v>2024</v>
      </c>
      <c r="F1574" t="s">
        <v>1985</v>
      </c>
      <c r="G1574" t="s">
        <v>20</v>
      </c>
      <c r="K1574" t="s">
        <v>3883</v>
      </c>
      <c r="L1574" t="s">
        <v>22</v>
      </c>
      <c r="P1574" t="s">
        <v>741</v>
      </c>
      <c r="Q1574" t="s">
        <v>4118</v>
      </c>
    </row>
    <row r="1575" spans="1:17" ht="15.75" hidden="1" customHeight="1">
      <c r="A1575" t="s">
        <v>4119</v>
      </c>
      <c r="B1575" t="s">
        <v>17</v>
      </c>
      <c r="C1575" t="s">
        <v>2033</v>
      </c>
      <c r="F1575" t="s">
        <v>1985</v>
      </c>
      <c r="G1575" t="s">
        <v>20</v>
      </c>
      <c r="K1575" t="s">
        <v>3886</v>
      </c>
      <c r="L1575" t="s">
        <v>22</v>
      </c>
      <c r="P1575" t="s">
        <v>741</v>
      </c>
      <c r="Q1575" t="s">
        <v>2034</v>
      </c>
    </row>
    <row r="1576" spans="1:17" ht="15.75" hidden="1" customHeight="1">
      <c r="A1576" t="s">
        <v>4120</v>
      </c>
      <c r="B1576" t="s">
        <v>17</v>
      </c>
      <c r="C1576" t="s">
        <v>2039</v>
      </c>
      <c r="F1576" t="s">
        <v>1985</v>
      </c>
      <c r="G1576" t="s">
        <v>20</v>
      </c>
      <c r="K1576" t="s">
        <v>3886</v>
      </c>
      <c r="L1576" t="s">
        <v>22</v>
      </c>
      <c r="P1576" t="s">
        <v>741</v>
      </c>
      <c r="Q1576" t="s">
        <v>2040</v>
      </c>
    </row>
    <row r="1577" spans="1:17" ht="15.75" hidden="1" customHeight="1">
      <c r="A1577" t="s">
        <v>4121</v>
      </c>
      <c r="B1577" t="s">
        <v>17</v>
      </c>
      <c r="C1577" t="s">
        <v>2060</v>
      </c>
      <c r="F1577" t="s">
        <v>89</v>
      </c>
      <c r="G1577" t="s">
        <v>20</v>
      </c>
      <c r="K1577" t="s">
        <v>3868</v>
      </c>
      <c r="L1577" t="s">
        <v>22</v>
      </c>
      <c r="P1577" t="s">
        <v>90</v>
      </c>
      <c r="Q1577" t="s">
        <v>4122</v>
      </c>
    </row>
    <row r="1578" spans="1:17" ht="15.75" hidden="1" customHeight="1">
      <c r="A1578" t="s">
        <v>4123</v>
      </c>
      <c r="B1578" t="s">
        <v>17</v>
      </c>
      <c r="C1578" t="s">
        <v>2054</v>
      </c>
      <c r="F1578" t="s">
        <v>89</v>
      </c>
      <c r="G1578" t="s">
        <v>20</v>
      </c>
      <c r="K1578" t="s">
        <v>3868</v>
      </c>
      <c r="L1578" t="s">
        <v>22</v>
      </c>
      <c r="P1578" t="s">
        <v>90</v>
      </c>
      <c r="Q1578" t="s">
        <v>4124</v>
      </c>
    </row>
    <row r="1579" spans="1:17" ht="15.75" hidden="1" customHeight="1">
      <c r="A1579" t="s">
        <v>4125</v>
      </c>
      <c r="B1579" t="s">
        <v>17</v>
      </c>
      <c r="C1579" t="s">
        <v>88</v>
      </c>
      <c r="F1579" t="s">
        <v>89</v>
      </c>
      <c r="G1579" t="s">
        <v>20</v>
      </c>
      <c r="K1579" t="s">
        <v>3868</v>
      </c>
      <c r="L1579" t="s">
        <v>22</v>
      </c>
      <c r="P1579" t="s">
        <v>90</v>
      </c>
      <c r="Q1579" t="s">
        <v>4126</v>
      </c>
    </row>
    <row r="1580" spans="1:17" ht="15.75" hidden="1" customHeight="1">
      <c r="A1580" t="s">
        <v>4127</v>
      </c>
      <c r="B1580" t="s">
        <v>17</v>
      </c>
      <c r="C1580" t="s">
        <v>2066</v>
      </c>
      <c r="F1580" t="s">
        <v>89</v>
      </c>
      <c r="G1580" t="s">
        <v>20</v>
      </c>
      <c r="K1580" t="s">
        <v>3874</v>
      </c>
      <c r="L1580" t="s">
        <v>22</v>
      </c>
      <c r="P1580" t="s">
        <v>90</v>
      </c>
      <c r="Q1580" t="s">
        <v>4128</v>
      </c>
    </row>
    <row r="1581" spans="1:17" ht="15.75" hidden="1" customHeight="1">
      <c r="A1581" t="s">
        <v>4129</v>
      </c>
      <c r="B1581" t="s">
        <v>17</v>
      </c>
      <c r="C1581" t="s">
        <v>93</v>
      </c>
      <c r="F1581" t="s">
        <v>89</v>
      </c>
      <c r="G1581" t="s">
        <v>20</v>
      </c>
      <c r="K1581" t="s">
        <v>3874</v>
      </c>
      <c r="L1581" t="s">
        <v>22</v>
      </c>
      <c r="P1581" t="s">
        <v>90</v>
      </c>
      <c r="Q1581" t="s">
        <v>4130</v>
      </c>
    </row>
    <row r="1582" spans="1:17" ht="15.75" hidden="1" customHeight="1">
      <c r="A1582" t="s">
        <v>4131</v>
      </c>
      <c r="B1582" t="s">
        <v>17</v>
      </c>
      <c r="C1582" t="s">
        <v>96</v>
      </c>
      <c r="F1582" t="s">
        <v>89</v>
      </c>
      <c r="G1582" t="s">
        <v>20</v>
      </c>
      <c r="K1582" t="s">
        <v>3874</v>
      </c>
      <c r="L1582" t="s">
        <v>22</v>
      </c>
      <c r="P1582" t="s">
        <v>90</v>
      </c>
      <c r="Q1582" t="s">
        <v>4132</v>
      </c>
    </row>
    <row r="1583" spans="1:17" ht="15.75" hidden="1" customHeight="1">
      <c r="A1583" t="s">
        <v>4133</v>
      </c>
      <c r="B1583" t="s">
        <v>17</v>
      </c>
      <c r="C1583" t="s">
        <v>2072</v>
      </c>
      <c r="F1583" t="s">
        <v>89</v>
      </c>
      <c r="G1583" t="s">
        <v>20</v>
      </c>
      <c r="K1583" t="s">
        <v>3880</v>
      </c>
      <c r="L1583" t="s">
        <v>22</v>
      </c>
      <c r="P1583" t="s">
        <v>90</v>
      </c>
      <c r="Q1583" t="s">
        <v>4134</v>
      </c>
    </row>
    <row r="1584" spans="1:17" ht="15.75" hidden="1" customHeight="1">
      <c r="A1584" t="s">
        <v>4135</v>
      </c>
      <c r="B1584" t="s">
        <v>17</v>
      </c>
      <c r="C1584" t="s">
        <v>942</v>
      </c>
      <c r="F1584" t="s">
        <v>89</v>
      </c>
      <c r="G1584" t="s">
        <v>20</v>
      </c>
      <c r="K1584" t="s">
        <v>3880</v>
      </c>
      <c r="L1584" t="s">
        <v>22</v>
      </c>
      <c r="P1584" t="s">
        <v>90</v>
      </c>
      <c r="Q1584" t="s">
        <v>4136</v>
      </c>
    </row>
    <row r="1585" spans="1:17" ht="15.75" hidden="1" customHeight="1">
      <c r="A1585" t="s">
        <v>4137</v>
      </c>
      <c r="B1585" t="s">
        <v>17</v>
      </c>
      <c r="C1585" t="s">
        <v>212</v>
      </c>
      <c r="F1585" t="s">
        <v>89</v>
      </c>
      <c r="G1585" t="s">
        <v>20</v>
      </c>
      <c r="K1585" t="s">
        <v>3880</v>
      </c>
      <c r="L1585" t="s">
        <v>22</v>
      </c>
      <c r="P1585" t="s">
        <v>90</v>
      </c>
      <c r="Q1585" t="s">
        <v>4138</v>
      </c>
    </row>
    <row r="1586" spans="1:17" ht="15.75" hidden="1" customHeight="1">
      <c r="A1586" t="s">
        <v>4139</v>
      </c>
      <c r="B1586" t="s">
        <v>17</v>
      </c>
      <c r="C1586" t="s">
        <v>215</v>
      </c>
      <c r="F1586" t="s">
        <v>89</v>
      </c>
      <c r="G1586" t="s">
        <v>20</v>
      </c>
      <c r="K1586" t="s">
        <v>3880</v>
      </c>
      <c r="L1586" t="s">
        <v>22</v>
      </c>
      <c r="P1586" t="s">
        <v>90</v>
      </c>
      <c r="Q1586" t="s">
        <v>4140</v>
      </c>
    </row>
    <row r="1587" spans="1:17" ht="15.75" hidden="1" customHeight="1">
      <c r="A1587" t="s">
        <v>4141</v>
      </c>
      <c r="B1587" t="s">
        <v>17</v>
      </c>
      <c r="C1587" t="s">
        <v>99</v>
      </c>
      <c r="F1587" t="s">
        <v>89</v>
      </c>
      <c r="G1587" t="s">
        <v>20</v>
      </c>
      <c r="K1587" t="s">
        <v>3880</v>
      </c>
      <c r="L1587" t="s">
        <v>22</v>
      </c>
      <c r="P1587" t="s">
        <v>90</v>
      </c>
      <c r="Q1587" t="s">
        <v>4142</v>
      </c>
    </row>
    <row r="1588" spans="1:17" ht="15.75" hidden="1" customHeight="1">
      <c r="A1588" t="s">
        <v>4143</v>
      </c>
      <c r="B1588" t="s">
        <v>17</v>
      </c>
      <c r="C1588" t="s">
        <v>2078</v>
      </c>
      <c r="F1588" t="s">
        <v>89</v>
      </c>
      <c r="G1588" t="s">
        <v>20</v>
      </c>
      <c r="K1588" t="s">
        <v>3883</v>
      </c>
      <c r="L1588" t="s">
        <v>22</v>
      </c>
      <c r="P1588" t="s">
        <v>90</v>
      </c>
      <c r="Q1588" t="s">
        <v>4144</v>
      </c>
    </row>
    <row r="1589" spans="1:17" ht="15.75" hidden="1" customHeight="1">
      <c r="A1589" t="s">
        <v>4145</v>
      </c>
      <c r="B1589" t="s">
        <v>17</v>
      </c>
      <c r="C1589" t="s">
        <v>948</v>
      </c>
      <c r="F1589" t="s">
        <v>89</v>
      </c>
      <c r="G1589" t="s">
        <v>20</v>
      </c>
      <c r="K1589" t="s">
        <v>3883</v>
      </c>
      <c r="L1589" t="s">
        <v>22</v>
      </c>
      <c r="P1589" t="s">
        <v>90</v>
      </c>
      <c r="Q1589" t="s">
        <v>4146</v>
      </c>
    </row>
    <row r="1590" spans="1:17" ht="15.75" hidden="1" customHeight="1">
      <c r="A1590" t="s">
        <v>4147</v>
      </c>
      <c r="B1590" t="s">
        <v>17</v>
      </c>
      <c r="C1590" t="s">
        <v>102</v>
      </c>
      <c r="F1590" t="s">
        <v>89</v>
      </c>
      <c r="G1590" t="s">
        <v>20</v>
      </c>
      <c r="K1590" t="s">
        <v>3883</v>
      </c>
      <c r="L1590" t="s">
        <v>22</v>
      </c>
      <c r="P1590" t="s">
        <v>90</v>
      </c>
      <c r="Q1590" t="s">
        <v>4148</v>
      </c>
    </row>
    <row r="1591" spans="1:17" ht="15.75" hidden="1" customHeight="1">
      <c r="A1591" t="s">
        <v>4149</v>
      </c>
      <c r="B1591" t="s">
        <v>17</v>
      </c>
      <c r="C1591" t="s">
        <v>105</v>
      </c>
      <c r="F1591" t="s">
        <v>89</v>
      </c>
      <c r="G1591" t="s">
        <v>20</v>
      </c>
      <c r="K1591" t="s">
        <v>3886</v>
      </c>
      <c r="L1591" t="s">
        <v>22</v>
      </c>
      <c r="P1591" t="s">
        <v>90</v>
      </c>
      <c r="Q1591" t="s">
        <v>4150</v>
      </c>
    </row>
    <row r="1592" spans="1:17" ht="15.75" hidden="1" customHeight="1">
      <c r="A1592" t="s">
        <v>4151</v>
      </c>
      <c r="B1592" t="s">
        <v>17</v>
      </c>
      <c r="C1592" t="s">
        <v>111</v>
      </c>
      <c r="F1592" t="s">
        <v>89</v>
      </c>
      <c r="G1592" t="s">
        <v>20</v>
      </c>
      <c r="K1592" t="s">
        <v>3886</v>
      </c>
      <c r="L1592" t="s">
        <v>22</v>
      </c>
      <c r="P1592" t="s">
        <v>90</v>
      </c>
      <c r="Q1592" t="s">
        <v>4152</v>
      </c>
    </row>
    <row r="1593" spans="1:17" ht="15.75" hidden="1" customHeight="1">
      <c r="A1593" t="s">
        <v>4153</v>
      </c>
      <c r="B1593" t="s">
        <v>17</v>
      </c>
      <c r="C1593" t="s">
        <v>108</v>
      </c>
      <c r="F1593" t="s">
        <v>89</v>
      </c>
      <c r="G1593" t="s">
        <v>20</v>
      </c>
      <c r="K1593" t="s">
        <v>3886</v>
      </c>
      <c r="L1593" t="s">
        <v>22</v>
      </c>
      <c r="P1593" t="s">
        <v>90</v>
      </c>
      <c r="Q1593" t="s">
        <v>4154</v>
      </c>
    </row>
    <row r="1594" spans="1:17" ht="15.75" hidden="1" customHeight="1">
      <c r="A1594" t="s">
        <v>4155</v>
      </c>
      <c r="B1594" t="s">
        <v>17</v>
      </c>
      <c r="C1594" t="s">
        <v>954</v>
      </c>
      <c r="F1594" t="s">
        <v>89</v>
      </c>
      <c r="G1594" t="s">
        <v>20</v>
      </c>
      <c r="K1594" t="s">
        <v>3888</v>
      </c>
      <c r="L1594" t="s">
        <v>22</v>
      </c>
      <c r="P1594" t="s">
        <v>90</v>
      </c>
      <c r="Q1594" t="s">
        <v>4156</v>
      </c>
    </row>
    <row r="1595" spans="1:17" ht="15.75" hidden="1" customHeight="1">
      <c r="A1595" t="s">
        <v>4157</v>
      </c>
      <c r="B1595" t="s">
        <v>17</v>
      </c>
      <c r="C1595" t="s">
        <v>117</v>
      </c>
      <c r="F1595" t="s">
        <v>89</v>
      </c>
      <c r="G1595" t="s">
        <v>20</v>
      </c>
      <c r="K1595" t="s">
        <v>3888</v>
      </c>
      <c r="L1595" t="s">
        <v>22</v>
      </c>
      <c r="P1595" t="s">
        <v>90</v>
      </c>
      <c r="Q1595" t="s">
        <v>4158</v>
      </c>
    </row>
    <row r="1596" spans="1:17" ht="15.75" hidden="1" customHeight="1">
      <c r="A1596" t="s">
        <v>4159</v>
      </c>
      <c r="B1596" t="s">
        <v>17</v>
      </c>
      <c r="C1596" t="s">
        <v>114</v>
      </c>
      <c r="F1596" t="s">
        <v>89</v>
      </c>
      <c r="G1596" t="s">
        <v>20</v>
      </c>
      <c r="K1596" t="s">
        <v>3888</v>
      </c>
      <c r="L1596" t="s">
        <v>22</v>
      </c>
      <c r="P1596" t="s">
        <v>90</v>
      </c>
      <c r="Q1596" t="s">
        <v>4160</v>
      </c>
    </row>
    <row r="1597" spans="1:17" ht="15.75" hidden="1" customHeight="1">
      <c r="A1597" t="s">
        <v>4161</v>
      </c>
      <c r="B1597" t="s">
        <v>17</v>
      </c>
      <c r="C1597" t="s">
        <v>120</v>
      </c>
      <c r="F1597" t="s">
        <v>89</v>
      </c>
      <c r="G1597" t="s">
        <v>20</v>
      </c>
      <c r="K1597" t="s">
        <v>3890</v>
      </c>
      <c r="L1597" t="s">
        <v>22</v>
      </c>
      <c r="P1597" t="s">
        <v>90</v>
      </c>
      <c r="Q1597" t="s">
        <v>4162</v>
      </c>
    </row>
    <row r="1598" spans="1:17" ht="15.75" hidden="1" customHeight="1">
      <c r="A1598" t="s">
        <v>4163</v>
      </c>
      <c r="B1598" t="s">
        <v>17</v>
      </c>
      <c r="C1598" t="s">
        <v>218</v>
      </c>
      <c r="F1598" t="s">
        <v>89</v>
      </c>
      <c r="G1598" t="s">
        <v>20</v>
      </c>
      <c r="K1598" t="s">
        <v>3890</v>
      </c>
      <c r="L1598" t="s">
        <v>22</v>
      </c>
      <c r="P1598" t="s">
        <v>90</v>
      </c>
      <c r="Q1598" t="s">
        <v>4164</v>
      </c>
    </row>
    <row r="1599" spans="1:17" ht="15.75" hidden="1" customHeight="1">
      <c r="A1599" t="s">
        <v>4165</v>
      </c>
      <c r="B1599" t="s">
        <v>17</v>
      </c>
      <c r="C1599" t="s">
        <v>2084</v>
      </c>
      <c r="F1599" t="s">
        <v>124</v>
      </c>
      <c r="G1599" t="s">
        <v>20</v>
      </c>
      <c r="K1599" t="s">
        <v>3868</v>
      </c>
      <c r="L1599" t="s">
        <v>22</v>
      </c>
      <c r="P1599" t="s">
        <v>125</v>
      </c>
      <c r="Q1599" t="s">
        <v>2085</v>
      </c>
    </row>
    <row r="1600" spans="1:17" ht="15.75" hidden="1" customHeight="1">
      <c r="A1600" t="s">
        <v>4166</v>
      </c>
      <c r="B1600" t="s">
        <v>17</v>
      </c>
      <c r="C1600" t="s">
        <v>123</v>
      </c>
      <c r="F1600" t="s">
        <v>124</v>
      </c>
      <c r="G1600" t="s">
        <v>20</v>
      </c>
      <c r="K1600" t="s">
        <v>3868</v>
      </c>
      <c r="L1600" t="s">
        <v>22</v>
      </c>
      <c r="P1600" t="s">
        <v>125</v>
      </c>
      <c r="Q1600" t="s">
        <v>126</v>
      </c>
    </row>
    <row r="1601" spans="1:17" ht="15.75" hidden="1" customHeight="1">
      <c r="A1601" t="s">
        <v>4167</v>
      </c>
      <c r="B1601" t="s">
        <v>17</v>
      </c>
      <c r="C1601" t="s">
        <v>128</v>
      </c>
      <c r="F1601" t="s">
        <v>124</v>
      </c>
      <c r="G1601" t="s">
        <v>20</v>
      </c>
      <c r="K1601" t="s">
        <v>3874</v>
      </c>
      <c r="L1601" t="s">
        <v>22</v>
      </c>
      <c r="P1601" t="s">
        <v>125</v>
      </c>
      <c r="Q1601" t="s">
        <v>129</v>
      </c>
    </row>
    <row r="1602" spans="1:17" ht="15.75" hidden="1" customHeight="1">
      <c r="A1602" t="s">
        <v>4168</v>
      </c>
      <c r="B1602" t="s">
        <v>17</v>
      </c>
      <c r="C1602" t="s">
        <v>131</v>
      </c>
      <c r="F1602" t="s">
        <v>124</v>
      </c>
      <c r="G1602" t="s">
        <v>20</v>
      </c>
      <c r="K1602" t="s">
        <v>3874</v>
      </c>
      <c r="L1602" t="s">
        <v>22</v>
      </c>
      <c r="P1602" t="s">
        <v>125</v>
      </c>
      <c r="Q1602" t="s">
        <v>132</v>
      </c>
    </row>
    <row r="1603" spans="1:17" ht="15.75" hidden="1" customHeight="1">
      <c r="A1603" t="s">
        <v>4169</v>
      </c>
      <c r="B1603" t="s">
        <v>17</v>
      </c>
      <c r="C1603" t="s">
        <v>2102</v>
      </c>
      <c r="F1603" t="s">
        <v>124</v>
      </c>
      <c r="G1603" t="s">
        <v>20</v>
      </c>
      <c r="K1603" t="s">
        <v>3880</v>
      </c>
      <c r="L1603" t="s">
        <v>22</v>
      </c>
      <c r="P1603" t="s">
        <v>125</v>
      </c>
      <c r="Q1603" t="s">
        <v>2103</v>
      </c>
    </row>
    <row r="1604" spans="1:17" ht="15.75" hidden="1" customHeight="1">
      <c r="A1604" t="s">
        <v>4170</v>
      </c>
      <c r="B1604" t="s">
        <v>17</v>
      </c>
      <c r="C1604" t="s">
        <v>960</v>
      </c>
      <c r="F1604" t="s">
        <v>124</v>
      </c>
      <c r="G1604" t="s">
        <v>20</v>
      </c>
      <c r="K1604" t="s">
        <v>3880</v>
      </c>
      <c r="L1604" t="s">
        <v>22</v>
      </c>
      <c r="P1604" t="s">
        <v>125</v>
      </c>
      <c r="Q1604" t="s">
        <v>961</v>
      </c>
    </row>
    <row r="1605" spans="1:17" ht="15.75" hidden="1" customHeight="1">
      <c r="A1605" t="s">
        <v>4171</v>
      </c>
      <c r="B1605" t="s">
        <v>17</v>
      </c>
      <c r="C1605" t="s">
        <v>221</v>
      </c>
      <c r="F1605" t="s">
        <v>124</v>
      </c>
      <c r="G1605" t="s">
        <v>20</v>
      </c>
      <c r="K1605" t="s">
        <v>3880</v>
      </c>
      <c r="L1605" t="s">
        <v>22</v>
      </c>
      <c r="P1605" t="s">
        <v>125</v>
      </c>
      <c r="Q1605" t="s">
        <v>222</v>
      </c>
    </row>
    <row r="1606" spans="1:17" ht="15.75" hidden="1" customHeight="1">
      <c r="A1606" t="s">
        <v>4172</v>
      </c>
      <c r="B1606" t="s">
        <v>17</v>
      </c>
      <c r="C1606" t="s">
        <v>224</v>
      </c>
      <c r="F1606" t="s">
        <v>124</v>
      </c>
      <c r="G1606" t="s">
        <v>20</v>
      </c>
      <c r="K1606" t="s">
        <v>3880</v>
      </c>
      <c r="L1606" t="s">
        <v>22</v>
      </c>
      <c r="P1606" t="s">
        <v>125</v>
      </c>
      <c r="Q1606" t="s">
        <v>225</v>
      </c>
    </row>
    <row r="1607" spans="1:17" ht="15.75" hidden="1" customHeight="1">
      <c r="A1607" t="s">
        <v>4173</v>
      </c>
      <c r="B1607" t="s">
        <v>17</v>
      </c>
      <c r="C1607" t="s">
        <v>2108</v>
      </c>
      <c r="F1607" t="s">
        <v>124</v>
      </c>
      <c r="G1607" t="s">
        <v>20</v>
      </c>
      <c r="K1607" t="s">
        <v>3883</v>
      </c>
      <c r="L1607" t="s">
        <v>22</v>
      </c>
      <c r="P1607" t="s">
        <v>125</v>
      </c>
      <c r="Q1607" t="s">
        <v>2109</v>
      </c>
    </row>
    <row r="1608" spans="1:17" ht="15.75" hidden="1" customHeight="1">
      <c r="A1608" t="s">
        <v>4174</v>
      </c>
      <c r="B1608" t="s">
        <v>17</v>
      </c>
      <c r="C1608" t="s">
        <v>137</v>
      </c>
      <c r="F1608" t="s">
        <v>124</v>
      </c>
      <c r="G1608" t="s">
        <v>20</v>
      </c>
      <c r="K1608" t="s">
        <v>3883</v>
      </c>
      <c r="L1608" t="s">
        <v>22</v>
      </c>
      <c r="P1608" t="s">
        <v>125</v>
      </c>
      <c r="Q1608" t="s">
        <v>138</v>
      </c>
    </row>
    <row r="1609" spans="1:17" ht="15.75" hidden="1" customHeight="1">
      <c r="A1609" t="s">
        <v>4175</v>
      </c>
      <c r="B1609" t="s">
        <v>17</v>
      </c>
      <c r="C1609" t="s">
        <v>143</v>
      </c>
      <c r="F1609" t="s">
        <v>124</v>
      </c>
      <c r="G1609" t="s">
        <v>20</v>
      </c>
      <c r="K1609" t="s">
        <v>3886</v>
      </c>
      <c r="L1609" t="s">
        <v>22</v>
      </c>
      <c r="P1609" t="s">
        <v>125</v>
      </c>
      <c r="Q1609" t="s">
        <v>144</v>
      </c>
    </row>
    <row r="1610" spans="1:17" ht="15.75" hidden="1" customHeight="1">
      <c r="A1610" t="s">
        <v>4176</v>
      </c>
      <c r="B1610" t="s">
        <v>17</v>
      </c>
      <c r="C1610" t="s">
        <v>152</v>
      </c>
      <c r="F1610" t="s">
        <v>124</v>
      </c>
      <c r="G1610" t="s">
        <v>20</v>
      </c>
      <c r="K1610" t="s">
        <v>3888</v>
      </c>
      <c r="L1610" t="s">
        <v>22</v>
      </c>
      <c r="P1610" t="s">
        <v>125</v>
      </c>
      <c r="Q1610" t="s">
        <v>153</v>
      </c>
    </row>
    <row r="1611" spans="1:17" ht="15.75" hidden="1" customHeight="1">
      <c r="A1611" t="s">
        <v>4177</v>
      </c>
      <c r="B1611" t="s">
        <v>17</v>
      </c>
      <c r="C1611" t="s">
        <v>149</v>
      </c>
      <c r="F1611" t="s">
        <v>124</v>
      </c>
      <c r="G1611" t="s">
        <v>20</v>
      </c>
      <c r="K1611" t="s">
        <v>3888</v>
      </c>
      <c r="L1611" t="s">
        <v>22</v>
      </c>
      <c r="P1611" t="s">
        <v>125</v>
      </c>
      <c r="Q1611" t="s">
        <v>150</v>
      </c>
    </row>
    <row r="1612" spans="1:17" ht="15.75" hidden="1" customHeight="1">
      <c r="A1612" t="s">
        <v>4178</v>
      </c>
      <c r="B1612" t="s">
        <v>17</v>
      </c>
      <c r="C1612" t="s">
        <v>227</v>
      </c>
      <c r="F1612" t="s">
        <v>124</v>
      </c>
      <c r="G1612" t="s">
        <v>20</v>
      </c>
      <c r="K1612" t="s">
        <v>3890</v>
      </c>
      <c r="L1612" t="s">
        <v>22</v>
      </c>
      <c r="P1612" t="s">
        <v>125</v>
      </c>
      <c r="Q1612" t="s">
        <v>228</v>
      </c>
    </row>
    <row r="1613" spans="1:17" ht="15.75" hidden="1" customHeight="1">
      <c r="A1613" t="s">
        <v>4179</v>
      </c>
      <c r="B1613" t="s">
        <v>17</v>
      </c>
      <c r="C1613" t="s">
        <v>2114</v>
      </c>
      <c r="F1613" t="s">
        <v>2115</v>
      </c>
      <c r="G1613" t="s">
        <v>20</v>
      </c>
      <c r="K1613" t="s">
        <v>3868</v>
      </c>
      <c r="L1613" t="s">
        <v>22</v>
      </c>
      <c r="P1613" t="s">
        <v>278</v>
      </c>
      <c r="Q1613" t="s">
        <v>2116</v>
      </c>
    </row>
    <row r="1614" spans="1:17" ht="15.75" hidden="1" customHeight="1">
      <c r="A1614" t="s">
        <v>4180</v>
      </c>
      <c r="B1614" t="s">
        <v>17</v>
      </c>
      <c r="C1614" t="s">
        <v>2124</v>
      </c>
      <c r="F1614" t="s">
        <v>2115</v>
      </c>
      <c r="G1614" t="s">
        <v>20</v>
      </c>
      <c r="K1614" t="s">
        <v>3874</v>
      </c>
      <c r="L1614" t="s">
        <v>22</v>
      </c>
      <c r="P1614" t="s">
        <v>23</v>
      </c>
      <c r="Q1614" t="s">
        <v>4181</v>
      </c>
    </row>
    <row r="1615" spans="1:17" ht="15.75" hidden="1" customHeight="1">
      <c r="A1615" t="s">
        <v>4182</v>
      </c>
      <c r="B1615" t="s">
        <v>17</v>
      </c>
      <c r="C1615" t="s">
        <v>2127</v>
      </c>
      <c r="F1615" t="s">
        <v>2115</v>
      </c>
      <c r="G1615" t="s">
        <v>20</v>
      </c>
      <c r="K1615" t="s">
        <v>3874</v>
      </c>
      <c r="L1615" t="s">
        <v>22</v>
      </c>
      <c r="P1615" t="s">
        <v>763</v>
      </c>
      <c r="Q1615" t="s">
        <v>2128</v>
      </c>
    </row>
    <row r="1616" spans="1:17" ht="15.75" hidden="1" customHeight="1">
      <c r="A1616" t="s">
        <v>4183</v>
      </c>
      <c r="B1616" t="s">
        <v>17</v>
      </c>
      <c r="C1616" t="s">
        <v>2130</v>
      </c>
      <c r="F1616" t="s">
        <v>2115</v>
      </c>
      <c r="G1616" t="s">
        <v>20</v>
      </c>
      <c r="K1616" t="s">
        <v>3874</v>
      </c>
      <c r="L1616" t="s">
        <v>22</v>
      </c>
      <c r="P1616" t="s">
        <v>23</v>
      </c>
      <c r="Q1616" t="s">
        <v>2131</v>
      </c>
    </row>
    <row r="1617" spans="1:17" ht="15.75" hidden="1" customHeight="1">
      <c r="A1617" t="s">
        <v>4184</v>
      </c>
      <c r="B1617" t="s">
        <v>17</v>
      </c>
      <c r="C1617" t="s">
        <v>2133</v>
      </c>
      <c r="F1617" t="s">
        <v>2115</v>
      </c>
      <c r="G1617" t="s">
        <v>20</v>
      </c>
      <c r="K1617" t="s">
        <v>3874</v>
      </c>
      <c r="L1617" t="s">
        <v>22</v>
      </c>
      <c r="P1617" t="s">
        <v>763</v>
      </c>
      <c r="Q1617" t="s">
        <v>2134</v>
      </c>
    </row>
    <row r="1618" spans="1:17" ht="15.75" hidden="1" customHeight="1">
      <c r="A1618" t="s">
        <v>4185</v>
      </c>
      <c r="B1618" t="s">
        <v>17</v>
      </c>
      <c r="C1618" t="s">
        <v>2145</v>
      </c>
      <c r="F1618" t="s">
        <v>2115</v>
      </c>
      <c r="G1618" t="s">
        <v>20</v>
      </c>
      <c r="K1618" t="s">
        <v>3880</v>
      </c>
      <c r="L1618" t="s">
        <v>22</v>
      </c>
      <c r="P1618" t="s">
        <v>737</v>
      </c>
      <c r="Q1618" t="s">
        <v>2146</v>
      </c>
    </row>
    <row r="1619" spans="1:17" ht="15.75" hidden="1" customHeight="1">
      <c r="A1619" t="s">
        <v>4186</v>
      </c>
      <c r="B1619" t="s">
        <v>17</v>
      </c>
      <c r="C1619" t="s">
        <v>2136</v>
      </c>
      <c r="F1619" t="s">
        <v>2115</v>
      </c>
      <c r="G1619" t="s">
        <v>20</v>
      </c>
      <c r="K1619" t="s">
        <v>3880</v>
      </c>
      <c r="L1619" t="s">
        <v>22</v>
      </c>
      <c r="P1619" t="s">
        <v>23</v>
      </c>
      <c r="Q1619" t="s">
        <v>2137</v>
      </c>
    </row>
    <row r="1620" spans="1:17" ht="15.75" hidden="1" customHeight="1">
      <c r="A1620" t="s">
        <v>4187</v>
      </c>
      <c r="B1620" t="s">
        <v>17</v>
      </c>
      <c r="C1620" t="s">
        <v>2142</v>
      </c>
      <c r="F1620" t="s">
        <v>2115</v>
      </c>
      <c r="G1620" t="s">
        <v>20</v>
      </c>
      <c r="K1620" t="s">
        <v>3880</v>
      </c>
      <c r="L1620" t="s">
        <v>22</v>
      </c>
      <c r="P1620" t="s">
        <v>737</v>
      </c>
      <c r="Q1620" t="s">
        <v>2143</v>
      </c>
    </row>
    <row r="1621" spans="1:17" ht="15.75" hidden="1" customHeight="1">
      <c r="A1621" t="s">
        <v>4188</v>
      </c>
      <c r="B1621" t="s">
        <v>17</v>
      </c>
      <c r="C1621" t="s">
        <v>2139</v>
      </c>
      <c r="F1621" t="s">
        <v>2115</v>
      </c>
      <c r="G1621" t="s">
        <v>20</v>
      </c>
      <c r="K1621" t="s">
        <v>3880</v>
      </c>
      <c r="L1621" t="s">
        <v>22</v>
      </c>
      <c r="P1621" t="s">
        <v>737</v>
      </c>
      <c r="Q1621" t="s">
        <v>2140</v>
      </c>
    </row>
    <row r="1622" spans="1:17" ht="15.75" hidden="1" customHeight="1">
      <c r="A1622" t="s">
        <v>4189</v>
      </c>
      <c r="B1622" t="s">
        <v>17</v>
      </c>
      <c r="C1622" t="s">
        <v>2148</v>
      </c>
      <c r="F1622" t="s">
        <v>2115</v>
      </c>
      <c r="G1622" t="s">
        <v>20</v>
      </c>
      <c r="K1622" t="s">
        <v>3880</v>
      </c>
      <c r="L1622" t="s">
        <v>22</v>
      </c>
      <c r="P1622" t="s">
        <v>274</v>
      </c>
      <c r="Q1622" t="s">
        <v>2149</v>
      </c>
    </row>
    <row r="1623" spans="1:17" ht="15.75" hidden="1" customHeight="1">
      <c r="A1623" t="s">
        <v>4190</v>
      </c>
      <c r="B1623" t="s">
        <v>17</v>
      </c>
      <c r="C1623" t="s">
        <v>2160</v>
      </c>
      <c r="F1623" t="s">
        <v>2115</v>
      </c>
      <c r="G1623" t="s">
        <v>20</v>
      </c>
      <c r="K1623" t="s">
        <v>3883</v>
      </c>
      <c r="L1623" t="s">
        <v>22</v>
      </c>
      <c r="P1623" t="s">
        <v>737</v>
      </c>
      <c r="Q1623" t="s">
        <v>2161</v>
      </c>
    </row>
    <row r="1624" spans="1:17" ht="15.75" hidden="1" customHeight="1">
      <c r="A1624" t="s">
        <v>4191</v>
      </c>
      <c r="B1624" t="s">
        <v>17</v>
      </c>
      <c r="C1624" t="s">
        <v>2154</v>
      </c>
      <c r="F1624" t="s">
        <v>2115</v>
      </c>
      <c r="G1624" t="s">
        <v>20</v>
      </c>
      <c r="K1624" t="s">
        <v>3883</v>
      </c>
      <c r="L1624" t="s">
        <v>22</v>
      </c>
      <c r="P1624" t="s">
        <v>737</v>
      </c>
      <c r="Q1624" t="s">
        <v>4192</v>
      </c>
    </row>
    <row r="1625" spans="1:17" ht="15.75" hidden="1" customHeight="1">
      <c r="A1625" t="s">
        <v>4193</v>
      </c>
      <c r="B1625" t="s">
        <v>17</v>
      </c>
      <c r="C1625" t="s">
        <v>2151</v>
      </c>
      <c r="F1625" t="s">
        <v>2115</v>
      </c>
      <c r="G1625" t="s">
        <v>20</v>
      </c>
      <c r="K1625" t="s">
        <v>3883</v>
      </c>
      <c r="L1625" t="s">
        <v>22</v>
      </c>
      <c r="P1625" t="s">
        <v>278</v>
      </c>
      <c r="Q1625" t="s">
        <v>2152</v>
      </c>
    </row>
    <row r="1626" spans="1:17" ht="15.75" hidden="1" customHeight="1">
      <c r="A1626" t="s">
        <v>4194</v>
      </c>
      <c r="B1626" t="s">
        <v>17</v>
      </c>
      <c r="C1626" t="s">
        <v>2157</v>
      </c>
      <c r="F1626" t="s">
        <v>2115</v>
      </c>
      <c r="G1626" t="s">
        <v>20</v>
      </c>
      <c r="K1626" t="s">
        <v>3883</v>
      </c>
      <c r="L1626" t="s">
        <v>22</v>
      </c>
      <c r="P1626" t="s">
        <v>23</v>
      </c>
      <c r="Q1626" t="s">
        <v>2158</v>
      </c>
    </row>
    <row r="1627" spans="1:17" ht="15.75" hidden="1" customHeight="1">
      <c r="A1627" t="s">
        <v>4195</v>
      </c>
      <c r="B1627" t="s">
        <v>17</v>
      </c>
      <c r="C1627" t="s">
        <v>2163</v>
      </c>
      <c r="F1627" t="s">
        <v>2115</v>
      </c>
      <c r="G1627" t="s">
        <v>20</v>
      </c>
      <c r="K1627" t="s">
        <v>3883</v>
      </c>
      <c r="L1627" t="s">
        <v>22</v>
      </c>
      <c r="P1627" t="s">
        <v>274</v>
      </c>
      <c r="Q1627" t="s">
        <v>2164</v>
      </c>
    </row>
    <row r="1628" spans="1:17" ht="15.75" hidden="1" customHeight="1">
      <c r="A1628" t="s">
        <v>4196</v>
      </c>
      <c r="B1628" t="s">
        <v>17</v>
      </c>
      <c r="C1628" t="s">
        <v>2172</v>
      </c>
      <c r="F1628" t="s">
        <v>2115</v>
      </c>
      <c r="G1628" t="s">
        <v>20</v>
      </c>
      <c r="K1628" t="s">
        <v>3886</v>
      </c>
      <c r="L1628" t="s">
        <v>22</v>
      </c>
      <c r="P1628" t="s">
        <v>23</v>
      </c>
      <c r="Q1628" t="s">
        <v>4197</v>
      </c>
    </row>
    <row r="1629" spans="1:17" ht="15.75" hidden="1" customHeight="1">
      <c r="A1629" t="s">
        <v>4198</v>
      </c>
      <c r="B1629" t="s">
        <v>17</v>
      </c>
      <c r="C1629" t="s">
        <v>2169</v>
      </c>
      <c r="F1629" t="s">
        <v>2115</v>
      </c>
      <c r="G1629" t="s">
        <v>20</v>
      </c>
      <c r="K1629" t="s">
        <v>3886</v>
      </c>
      <c r="L1629" t="s">
        <v>22</v>
      </c>
      <c r="P1629" t="s">
        <v>737</v>
      </c>
      <c r="Q1629" t="s">
        <v>2170</v>
      </c>
    </row>
    <row r="1630" spans="1:17" ht="15.75" hidden="1" customHeight="1">
      <c r="A1630" t="s">
        <v>4199</v>
      </c>
      <c r="B1630" t="s">
        <v>17</v>
      </c>
      <c r="C1630" t="s">
        <v>2178</v>
      </c>
      <c r="F1630" t="s">
        <v>2115</v>
      </c>
      <c r="G1630" t="s">
        <v>20</v>
      </c>
      <c r="K1630" t="s">
        <v>3888</v>
      </c>
      <c r="L1630" t="s">
        <v>22</v>
      </c>
      <c r="P1630" t="s">
        <v>23</v>
      </c>
      <c r="Q1630" t="s">
        <v>2179</v>
      </c>
    </row>
    <row r="1631" spans="1:17" ht="15.75" hidden="1" customHeight="1">
      <c r="A1631" t="s">
        <v>4200</v>
      </c>
      <c r="B1631" t="s">
        <v>17</v>
      </c>
      <c r="C1631" t="s">
        <v>2181</v>
      </c>
      <c r="F1631" t="s">
        <v>2115</v>
      </c>
      <c r="G1631" t="s">
        <v>20</v>
      </c>
      <c r="K1631" t="s">
        <v>3888</v>
      </c>
      <c r="L1631" t="s">
        <v>22</v>
      </c>
      <c r="P1631" t="s">
        <v>274</v>
      </c>
      <c r="Q1631" t="s">
        <v>2182</v>
      </c>
    </row>
    <row r="1632" spans="1:17" ht="15.75" hidden="1" customHeight="1">
      <c r="A1632" t="s">
        <v>4201</v>
      </c>
      <c r="B1632" t="s">
        <v>17</v>
      </c>
      <c r="C1632" t="s">
        <v>2175</v>
      </c>
      <c r="F1632" t="s">
        <v>2115</v>
      </c>
      <c r="G1632" t="s">
        <v>20</v>
      </c>
      <c r="K1632" t="s">
        <v>3888</v>
      </c>
      <c r="L1632" t="s">
        <v>22</v>
      </c>
      <c r="P1632" t="s">
        <v>23</v>
      </c>
      <c r="Q1632" t="s">
        <v>2176</v>
      </c>
    </row>
    <row r="1633" spans="1:17" ht="15.75" hidden="1" customHeight="1">
      <c r="A1633" t="s">
        <v>4202</v>
      </c>
      <c r="B1633" t="s">
        <v>17</v>
      </c>
      <c r="C1633" t="s">
        <v>2187</v>
      </c>
      <c r="F1633" t="s">
        <v>2115</v>
      </c>
      <c r="G1633" t="s">
        <v>20</v>
      </c>
      <c r="K1633" t="s">
        <v>3890</v>
      </c>
      <c r="L1633" t="s">
        <v>22</v>
      </c>
      <c r="P1633" t="s">
        <v>23</v>
      </c>
      <c r="Q1633" t="s">
        <v>2188</v>
      </c>
    </row>
    <row r="1634" spans="1:17" ht="15.75" hidden="1" customHeight="1">
      <c r="A1634" t="s">
        <v>4203</v>
      </c>
      <c r="B1634" t="s">
        <v>17</v>
      </c>
      <c r="C1634" t="s">
        <v>2190</v>
      </c>
      <c r="F1634" t="s">
        <v>2115</v>
      </c>
      <c r="G1634" t="s">
        <v>20</v>
      </c>
      <c r="K1634" t="s">
        <v>3890</v>
      </c>
      <c r="L1634" t="s">
        <v>22</v>
      </c>
      <c r="P1634" t="s">
        <v>274</v>
      </c>
      <c r="Q1634" t="s">
        <v>2191</v>
      </c>
    </row>
    <row r="1635" spans="1:17" ht="15.75" hidden="1" customHeight="1">
      <c r="A1635" t="s">
        <v>4204</v>
      </c>
      <c r="B1635" t="s">
        <v>17</v>
      </c>
      <c r="C1635" t="s">
        <v>2184</v>
      </c>
      <c r="F1635" t="s">
        <v>2115</v>
      </c>
      <c r="G1635" t="s">
        <v>20</v>
      </c>
      <c r="K1635" t="s">
        <v>3890</v>
      </c>
      <c r="L1635" t="s">
        <v>22</v>
      </c>
      <c r="P1635" t="s">
        <v>737</v>
      </c>
      <c r="Q1635" t="s">
        <v>2185</v>
      </c>
    </row>
    <row r="1636" spans="1:17" ht="15.75" hidden="1" customHeight="1">
      <c r="A1636" t="s">
        <v>4205</v>
      </c>
      <c r="B1636" t="s">
        <v>17</v>
      </c>
      <c r="C1636" t="s">
        <v>2205</v>
      </c>
      <c r="F1636" t="s">
        <v>979</v>
      </c>
      <c r="G1636" t="s">
        <v>20</v>
      </c>
      <c r="K1636" t="s">
        <v>3868</v>
      </c>
      <c r="L1636" t="s">
        <v>22</v>
      </c>
      <c r="P1636" t="s">
        <v>278</v>
      </c>
      <c r="Q1636" t="s">
        <v>2206</v>
      </c>
    </row>
    <row r="1637" spans="1:17" ht="15.75" hidden="1" customHeight="1">
      <c r="A1637" t="s">
        <v>4206</v>
      </c>
      <c r="B1637" t="s">
        <v>17</v>
      </c>
      <c r="C1637" t="s">
        <v>2202</v>
      </c>
      <c r="F1637" t="s">
        <v>979</v>
      </c>
      <c r="G1637" t="s">
        <v>20</v>
      </c>
      <c r="K1637" t="s">
        <v>3868</v>
      </c>
      <c r="L1637" t="s">
        <v>22</v>
      </c>
      <c r="P1637" t="s">
        <v>278</v>
      </c>
      <c r="Q1637" t="s">
        <v>4207</v>
      </c>
    </row>
    <row r="1638" spans="1:17" ht="15.75" hidden="1" customHeight="1">
      <c r="A1638" t="s">
        <v>4208</v>
      </c>
      <c r="B1638" t="s">
        <v>17</v>
      </c>
      <c r="C1638" t="s">
        <v>2199</v>
      </c>
      <c r="F1638" t="s">
        <v>979</v>
      </c>
      <c r="G1638" t="s">
        <v>20</v>
      </c>
      <c r="K1638" t="s">
        <v>3868</v>
      </c>
      <c r="L1638" t="s">
        <v>22</v>
      </c>
      <c r="P1638" t="s">
        <v>23</v>
      </c>
      <c r="Q1638" t="s">
        <v>2200</v>
      </c>
    </row>
    <row r="1639" spans="1:17" ht="15.75" hidden="1" customHeight="1">
      <c r="A1639" t="s">
        <v>4209</v>
      </c>
      <c r="B1639" t="s">
        <v>17</v>
      </c>
      <c r="C1639" t="s">
        <v>2211</v>
      </c>
      <c r="F1639" t="s">
        <v>979</v>
      </c>
      <c r="G1639" t="s">
        <v>20</v>
      </c>
      <c r="K1639" t="s">
        <v>3874</v>
      </c>
      <c r="L1639" t="s">
        <v>22</v>
      </c>
      <c r="P1639" t="s">
        <v>160</v>
      </c>
      <c r="Q1639" t="s">
        <v>4210</v>
      </c>
    </row>
    <row r="1640" spans="1:17" ht="15.75" hidden="1" customHeight="1">
      <c r="A1640" t="s">
        <v>4211</v>
      </c>
      <c r="B1640" t="s">
        <v>17</v>
      </c>
      <c r="C1640" t="s">
        <v>2208</v>
      </c>
      <c r="F1640" t="s">
        <v>979</v>
      </c>
      <c r="G1640" t="s">
        <v>20</v>
      </c>
      <c r="K1640" t="s">
        <v>3874</v>
      </c>
      <c r="L1640" t="s">
        <v>22</v>
      </c>
      <c r="P1640" t="s">
        <v>55</v>
      </c>
      <c r="Q1640" t="s">
        <v>2209</v>
      </c>
    </row>
    <row r="1641" spans="1:17" ht="15.75" hidden="1" customHeight="1">
      <c r="A1641" t="s">
        <v>4212</v>
      </c>
      <c r="B1641" t="s">
        <v>17</v>
      </c>
      <c r="C1641" t="s">
        <v>978</v>
      </c>
      <c r="F1641" t="s">
        <v>979</v>
      </c>
      <c r="G1641" t="s">
        <v>20</v>
      </c>
      <c r="K1641" t="s">
        <v>3874</v>
      </c>
      <c r="L1641" t="s">
        <v>22</v>
      </c>
      <c r="P1641" t="s">
        <v>278</v>
      </c>
      <c r="Q1641" t="s">
        <v>4213</v>
      </c>
    </row>
    <row r="1642" spans="1:17" ht="15.75" hidden="1" customHeight="1">
      <c r="A1642" t="s">
        <v>4214</v>
      </c>
      <c r="B1642" t="s">
        <v>17</v>
      </c>
      <c r="C1642" t="s">
        <v>2217</v>
      </c>
      <c r="F1642" t="s">
        <v>979</v>
      </c>
      <c r="G1642" t="s">
        <v>20</v>
      </c>
      <c r="K1642" t="s">
        <v>3874</v>
      </c>
      <c r="L1642" t="s">
        <v>22</v>
      </c>
      <c r="P1642" t="s">
        <v>274</v>
      </c>
      <c r="Q1642" t="s">
        <v>2218</v>
      </c>
    </row>
    <row r="1643" spans="1:17" ht="15.75" hidden="1" customHeight="1">
      <c r="A1643" t="s">
        <v>4215</v>
      </c>
      <c r="B1643" t="s">
        <v>17</v>
      </c>
      <c r="C1643" t="s">
        <v>2229</v>
      </c>
      <c r="F1643" t="s">
        <v>979</v>
      </c>
      <c r="G1643" t="s">
        <v>20</v>
      </c>
      <c r="K1643" t="s">
        <v>3880</v>
      </c>
      <c r="L1643" t="s">
        <v>22</v>
      </c>
      <c r="P1643" t="s">
        <v>278</v>
      </c>
      <c r="Q1643" t="s">
        <v>2230</v>
      </c>
    </row>
    <row r="1644" spans="1:17" ht="15.75" hidden="1" customHeight="1">
      <c r="A1644" t="s">
        <v>4216</v>
      </c>
      <c r="B1644" t="s">
        <v>17</v>
      </c>
      <c r="C1644" t="s">
        <v>982</v>
      </c>
      <c r="F1644" t="s">
        <v>979</v>
      </c>
      <c r="G1644" t="s">
        <v>20</v>
      </c>
      <c r="K1644" t="s">
        <v>3880</v>
      </c>
      <c r="L1644" t="s">
        <v>22</v>
      </c>
      <c r="P1644" t="s">
        <v>125</v>
      </c>
      <c r="Q1644" t="s">
        <v>983</v>
      </c>
    </row>
    <row r="1645" spans="1:17" ht="15.75" hidden="1" customHeight="1">
      <c r="A1645" t="s">
        <v>4217</v>
      </c>
      <c r="B1645" t="s">
        <v>17</v>
      </c>
      <c r="C1645" t="s">
        <v>985</v>
      </c>
      <c r="F1645" t="s">
        <v>979</v>
      </c>
      <c r="G1645" t="s">
        <v>20</v>
      </c>
      <c r="K1645" t="s">
        <v>3880</v>
      </c>
      <c r="L1645" t="s">
        <v>22</v>
      </c>
      <c r="P1645" t="s">
        <v>23</v>
      </c>
      <c r="Q1645" t="s">
        <v>986</v>
      </c>
    </row>
    <row r="1646" spans="1:17" ht="15.75" hidden="1" customHeight="1">
      <c r="A1646" t="s">
        <v>4218</v>
      </c>
      <c r="B1646" t="s">
        <v>17</v>
      </c>
      <c r="C1646" t="s">
        <v>988</v>
      </c>
      <c r="F1646" t="s">
        <v>979</v>
      </c>
      <c r="G1646" t="s">
        <v>20</v>
      </c>
      <c r="K1646" t="s">
        <v>3880</v>
      </c>
      <c r="L1646" t="s">
        <v>22</v>
      </c>
      <c r="P1646" t="s">
        <v>55</v>
      </c>
      <c r="Q1646" t="s">
        <v>989</v>
      </c>
    </row>
    <row r="1647" spans="1:17" ht="15.75" hidden="1" customHeight="1">
      <c r="A1647" t="s">
        <v>4219</v>
      </c>
      <c r="B1647" t="s">
        <v>17</v>
      </c>
      <c r="C1647" t="s">
        <v>991</v>
      </c>
      <c r="F1647" t="s">
        <v>979</v>
      </c>
      <c r="G1647" t="s">
        <v>20</v>
      </c>
      <c r="K1647" t="s">
        <v>3880</v>
      </c>
      <c r="L1647" t="s">
        <v>22</v>
      </c>
      <c r="P1647" t="s">
        <v>55</v>
      </c>
      <c r="Q1647" t="s">
        <v>992</v>
      </c>
    </row>
    <row r="1648" spans="1:17" ht="15.75" hidden="1" customHeight="1">
      <c r="A1648" t="s">
        <v>4220</v>
      </c>
      <c r="B1648" t="s">
        <v>17</v>
      </c>
      <c r="C1648" t="s">
        <v>2226</v>
      </c>
      <c r="F1648" t="s">
        <v>979</v>
      </c>
      <c r="G1648" t="s">
        <v>20</v>
      </c>
      <c r="K1648" t="s">
        <v>3880</v>
      </c>
      <c r="L1648" t="s">
        <v>22</v>
      </c>
      <c r="P1648" t="s">
        <v>125</v>
      </c>
      <c r="Q1648" t="s">
        <v>2227</v>
      </c>
    </row>
    <row r="1649" spans="1:17" ht="15.75" hidden="1" customHeight="1">
      <c r="A1649" t="s">
        <v>4221</v>
      </c>
      <c r="B1649" t="s">
        <v>17</v>
      </c>
      <c r="C1649" t="s">
        <v>994</v>
      </c>
      <c r="F1649" t="s">
        <v>979</v>
      </c>
      <c r="G1649" t="s">
        <v>20</v>
      </c>
      <c r="K1649" t="s">
        <v>3880</v>
      </c>
      <c r="L1649" t="s">
        <v>22</v>
      </c>
      <c r="P1649" t="s">
        <v>160</v>
      </c>
      <c r="Q1649" t="s">
        <v>995</v>
      </c>
    </row>
    <row r="1650" spans="1:17" ht="15.75" hidden="1" customHeight="1">
      <c r="A1650" t="s">
        <v>4222</v>
      </c>
      <c r="B1650" t="s">
        <v>17</v>
      </c>
      <c r="C1650" t="s">
        <v>997</v>
      </c>
      <c r="F1650" t="s">
        <v>979</v>
      </c>
      <c r="G1650" t="s">
        <v>20</v>
      </c>
      <c r="K1650" t="s">
        <v>3880</v>
      </c>
      <c r="L1650" t="s">
        <v>22</v>
      </c>
      <c r="P1650" t="s">
        <v>160</v>
      </c>
      <c r="Q1650" t="s">
        <v>998</v>
      </c>
    </row>
    <row r="1651" spans="1:17" ht="15.75" hidden="1" customHeight="1">
      <c r="A1651" t="s">
        <v>4223</v>
      </c>
      <c r="B1651" t="s">
        <v>17</v>
      </c>
      <c r="C1651" t="s">
        <v>1000</v>
      </c>
      <c r="F1651" t="s">
        <v>979</v>
      </c>
      <c r="G1651" t="s">
        <v>20</v>
      </c>
      <c r="K1651" t="s">
        <v>3880</v>
      </c>
      <c r="L1651" t="s">
        <v>22</v>
      </c>
      <c r="P1651" t="s">
        <v>90</v>
      </c>
      <c r="Q1651" t="s">
        <v>1001</v>
      </c>
    </row>
    <row r="1652" spans="1:17" ht="15.75" hidden="1" customHeight="1">
      <c r="A1652" t="s">
        <v>4224</v>
      </c>
      <c r="B1652" t="s">
        <v>17</v>
      </c>
      <c r="C1652" t="s">
        <v>1003</v>
      </c>
      <c r="F1652" t="s">
        <v>979</v>
      </c>
      <c r="G1652" t="s">
        <v>20</v>
      </c>
      <c r="K1652" t="s">
        <v>3880</v>
      </c>
      <c r="L1652" t="s">
        <v>22</v>
      </c>
      <c r="P1652" t="s">
        <v>125</v>
      </c>
      <c r="Q1652" t="s">
        <v>1004</v>
      </c>
    </row>
    <row r="1653" spans="1:17" ht="15.75" hidden="1" customHeight="1">
      <c r="A1653" t="s">
        <v>4225</v>
      </c>
      <c r="B1653" t="s">
        <v>17</v>
      </c>
      <c r="C1653" t="s">
        <v>2237</v>
      </c>
      <c r="F1653" t="s">
        <v>979</v>
      </c>
      <c r="G1653" t="s">
        <v>20</v>
      </c>
      <c r="K1653" t="s">
        <v>3880</v>
      </c>
      <c r="L1653" t="s">
        <v>22</v>
      </c>
      <c r="P1653" t="s">
        <v>741</v>
      </c>
      <c r="Q1653" t="s">
        <v>4226</v>
      </c>
    </row>
    <row r="1654" spans="1:17" ht="15.75" hidden="1" customHeight="1">
      <c r="A1654" t="s">
        <v>4227</v>
      </c>
      <c r="B1654" t="s">
        <v>17</v>
      </c>
      <c r="C1654" t="s">
        <v>1006</v>
      </c>
      <c r="F1654" t="s">
        <v>979</v>
      </c>
      <c r="G1654" t="s">
        <v>20</v>
      </c>
      <c r="K1654" t="s">
        <v>3880</v>
      </c>
      <c r="L1654" t="s">
        <v>22</v>
      </c>
      <c r="P1654" t="s">
        <v>23</v>
      </c>
      <c r="Q1654" t="s">
        <v>1007</v>
      </c>
    </row>
    <row r="1655" spans="1:17" ht="15.75" hidden="1" customHeight="1">
      <c r="A1655" t="s">
        <v>4228</v>
      </c>
      <c r="B1655" t="s">
        <v>17</v>
      </c>
      <c r="C1655" t="s">
        <v>2240</v>
      </c>
      <c r="F1655" t="s">
        <v>979</v>
      </c>
      <c r="G1655" t="s">
        <v>20</v>
      </c>
      <c r="K1655" t="s">
        <v>3880</v>
      </c>
      <c r="L1655" t="s">
        <v>22</v>
      </c>
      <c r="P1655" t="s">
        <v>741</v>
      </c>
      <c r="Q1655" t="s">
        <v>4229</v>
      </c>
    </row>
    <row r="1656" spans="1:17" ht="15.75" hidden="1" customHeight="1">
      <c r="A1656" t="s">
        <v>4230</v>
      </c>
      <c r="B1656" t="s">
        <v>17</v>
      </c>
      <c r="C1656" t="s">
        <v>1009</v>
      </c>
      <c r="F1656" t="s">
        <v>979</v>
      </c>
      <c r="G1656" t="s">
        <v>20</v>
      </c>
      <c r="K1656" t="s">
        <v>3880</v>
      </c>
      <c r="L1656" t="s">
        <v>22</v>
      </c>
      <c r="P1656" t="s">
        <v>90</v>
      </c>
      <c r="Q1656" t="s">
        <v>1010</v>
      </c>
    </row>
    <row r="1657" spans="1:17" ht="15.75" hidden="1" customHeight="1">
      <c r="A1657" t="s">
        <v>4231</v>
      </c>
      <c r="B1657" t="s">
        <v>17</v>
      </c>
      <c r="C1657" t="s">
        <v>2232</v>
      </c>
      <c r="F1657" t="s">
        <v>979</v>
      </c>
      <c r="G1657" t="s">
        <v>20</v>
      </c>
      <c r="K1657" t="s">
        <v>3880</v>
      </c>
      <c r="L1657" t="s">
        <v>22</v>
      </c>
      <c r="P1657" t="s">
        <v>125</v>
      </c>
      <c r="Q1657" t="s">
        <v>2019</v>
      </c>
    </row>
    <row r="1658" spans="1:17" ht="15.75" hidden="1" customHeight="1">
      <c r="A1658" t="s">
        <v>4232</v>
      </c>
      <c r="B1658" t="s">
        <v>17</v>
      </c>
      <c r="C1658" t="s">
        <v>2220</v>
      </c>
      <c r="F1658" t="s">
        <v>979</v>
      </c>
      <c r="G1658" t="s">
        <v>20</v>
      </c>
      <c r="K1658" t="s">
        <v>3880</v>
      </c>
      <c r="L1658" t="s">
        <v>22</v>
      </c>
      <c r="P1658" t="s">
        <v>90</v>
      </c>
      <c r="Q1658" t="s">
        <v>2221</v>
      </c>
    </row>
    <row r="1659" spans="1:17" ht="15.75" hidden="1" customHeight="1">
      <c r="A1659" t="s">
        <v>4233</v>
      </c>
      <c r="B1659" t="s">
        <v>17</v>
      </c>
      <c r="C1659" t="s">
        <v>2234</v>
      </c>
      <c r="F1659" t="s">
        <v>979</v>
      </c>
      <c r="G1659" t="s">
        <v>20</v>
      </c>
      <c r="K1659" t="s">
        <v>3880</v>
      </c>
      <c r="L1659" t="s">
        <v>22</v>
      </c>
      <c r="P1659" t="s">
        <v>274</v>
      </c>
      <c r="Q1659" t="s">
        <v>2235</v>
      </c>
    </row>
    <row r="1660" spans="1:17" ht="15.75" hidden="1" customHeight="1">
      <c r="A1660" t="s">
        <v>4234</v>
      </c>
      <c r="B1660" t="s">
        <v>17</v>
      </c>
      <c r="C1660" t="s">
        <v>2258</v>
      </c>
      <c r="F1660" t="s">
        <v>979</v>
      </c>
      <c r="G1660" t="s">
        <v>20</v>
      </c>
      <c r="K1660" t="s">
        <v>3883</v>
      </c>
      <c r="L1660" t="s">
        <v>22</v>
      </c>
      <c r="P1660" t="s">
        <v>274</v>
      </c>
      <c r="Q1660" t="s">
        <v>4235</v>
      </c>
    </row>
    <row r="1661" spans="1:17" ht="15.75" hidden="1" customHeight="1">
      <c r="A1661" t="s">
        <v>4236</v>
      </c>
      <c r="B1661" t="s">
        <v>17</v>
      </c>
      <c r="C1661" t="s">
        <v>2255</v>
      </c>
      <c r="F1661" t="s">
        <v>979</v>
      </c>
      <c r="G1661" t="s">
        <v>20</v>
      </c>
      <c r="K1661" t="s">
        <v>3883</v>
      </c>
      <c r="L1661" t="s">
        <v>22</v>
      </c>
      <c r="P1661" t="s">
        <v>737</v>
      </c>
      <c r="Q1661" t="s">
        <v>2256</v>
      </c>
    </row>
    <row r="1662" spans="1:17" ht="15.75" hidden="1" customHeight="1">
      <c r="A1662" t="s">
        <v>4237</v>
      </c>
      <c r="B1662" t="s">
        <v>17</v>
      </c>
      <c r="C1662" t="s">
        <v>2261</v>
      </c>
      <c r="F1662" t="s">
        <v>979</v>
      </c>
      <c r="G1662" t="s">
        <v>20</v>
      </c>
      <c r="K1662" t="s">
        <v>3883</v>
      </c>
      <c r="L1662" t="s">
        <v>22</v>
      </c>
      <c r="P1662" t="s">
        <v>274</v>
      </c>
      <c r="Q1662" t="s">
        <v>4238</v>
      </c>
    </row>
    <row r="1663" spans="1:17" ht="15.75" hidden="1" customHeight="1">
      <c r="A1663" t="s">
        <v>4239</v>
      </c>
      <c r="B1663" t="s">
        <v>17</v>
      </c>
      <c r="C1663" t="s">
        <v>2246</v>
      </c>
      <c r="F1663" t="s">
        <v>979</v>
      </c>
      <c r="G1663" t="s">
        <v>20</v>
      </c>
      <c r="K1663" t="s">
        <v>3883</v>
      </c>
      <c r="L1663" t="s">
        <v>22</v>
      </c>
      <c r="P1663" t="s">
        <v>278</v>
      </c>
      <c r="Q1663" t="s">
        <v>2247</v>
      </c>
    </row>
    <row r="1664" spans="1:17" ht="15.75" hidden="1" customHeight="1">
      <c r="A1664" t="s">
        <v>4240</v>
      </c>
      <c r="B1664" t="s">
        <v>17</v>
      </c>
      <c r="C1664" t="s">
        <v>2252</v>
      </c>
      <c r="F1664" t="s">
        <v>979</v>
      </c>
      <c r="G1664" t="s">
        <v>20</v>
      </c>
      <c r="K1664" t="s">
        <v>3883</v>
      </c>
      <c r="L1664" t="s">
        <v>22</v>
      </c>
      <c r="P1664" t="s">
        <v>23</v>
      </c>
      <c r="Q1664" t="s">
        <v>2253</v>
      </c>
    </row>
    <row r="1665" spans="1:17" ht="15.75" hidden="1" customHeight="1">
      <c r="A1665" t="s">
        <v>4241</v>
      </c>
      <c r="B1665" t="s">
        <v>17</v>
      </c>
      <c r="C1665" t="s">
        <v>2249</v>
      </c>
      <c r="F1665" t="s">
        <v>979</v>
      </c>
      <c r="G1665" t="s">
        <v>20</v>
      </c>
      <c r="K1665" t="s">
        <v>3883</v>
      </c>
      <c r="L1665" t="s">
        <v>22</v>
      </c>
      <c r="P1665" t="s">
        <v>278</v>
      </c>
      <c r="Q1665" t="s">
        <v>2250</v>
      </c>
    </row>
    <row r="1666" spans="1:17" ht="15.75" hidden="1" customHeight="1">
      <c r="A1666" t="s">
        <v>4242</v>
      </c>
      <c r="B1666" t="s">
        <v>17</v>
      </c>
      <c r="C1666" t="s">
        <v>2279</v>
      </c>
      <c r="F1666" t="s">
        <v>979</v>
      </c>
      <c r="G1666" t="s">
        <v>20</v>
      </c>
      <c r="K1666" t="s">
        <v>3886</v>
      </c>
      <c r="L1666" t="s">
        <v>22</v>
      </c>
      <c r="P1666" t="s">
        <v>278</v>
      </c>
      <c r="Q1666" t="s">
        <v>2280</v>
      </c>
    </row>
    <row r="1667" spans="1:17" ht="15.75" hidden="1" customHeight="1">
      <c r="A1667" t="s">
        <v>4243</v>
      </c>
      <c r="B1667" t="s">
        <v>17</v>
      </c>
      <c r="C1667" t="s">
        <v>2285</v>
      </c>
      <c r="F1667" t="s">
        <v>979</v>
      </c>
      <c r="G1667" t="s">
        <v>20</v>
      </c>
      <c r="K1667" t="s">
        <v>3886</v>
      </c>
      <c r="L1667" t="s">
        <v>22</v>
      </c>
      <c r="P1667" t="s">
        <v>741</v>
      </c>
      <c r="Q1667" t="s">
        <v>4244</v>
      </c>
    </row>
    <row r="1668" spans="1:17" ht="15.75" hidden="1" customHeight="1">
      <c r="A1668" t="s">
        <v>4245</v>
      </c>
      <c r="B1668" t="s">
        <v>17</v>
      </c>
      <c r="C1668" t="s">
        <v>2282</v>
      </c>
      <c r="F1668" t="s">
        <v>979</v>
      </c>
      <c r="G1668" t="s">
        <v>20</v>
      </c>
      <c r="K1668" t="s">
        <v>3886</v>
      </c>
      <c r="L1668" t="s">
        <v>22</v>
      </c>
      <c r="P1668" t="s">
        <v>125</v>
      </c>
      <c r="Q1668" t="s">
        <v>2283</v>
      </c>
    </row>
    <row r="1669" spans="1:17" ht="15.75" hidden="1" customHeight="1">
      <c r="A1669" t="s">
        <v>4246</v>
      </c>
      <c r="B1669" t="s">
        <v>17</v>
      </c>
      <c r="C1669" t="s">
        <v>2270</v>
      </c>
      <c r="F1669" t="s">
        <v>979</v>
      </c>
      <c r="G1669" t="s">
        <v>20</v>
      </c>
      <c r="K1669" t="s">
        <v>3886</v>
      </c>
      <c r="L1669" t="s">
        <v>22</v>
      </c>
      <c r="P1669" t="s">
        <v>23</v>
      </c>
      <c r="Q1669" t="s">
        <v>2271</v>
      </c>
    </row>
    <row r="1670" spans="1:17" ht="15.75" hidden="1" customHeight="1">
      <c r="A1670" t="s">
        <v>4247</v>
      </c>
      <c r="B1670" t="s">
        <v>17</v>
      </c>
      <c r="C1670" t="s">
        <v>2264</v>
      </c>
      <c r="F1670" t="s">
        <v>979</v>
      </c>
      <c r="G1670" t="s">
        <v>20</v>
      </c>
      <c r="K1670" t="s">
        <v>3886</v>
      </c>
      <c r="L1670" t="s">
        <v>22</v>
      </c>
      <c r="P1670" t="s">
        <v>763</v>
      </c>
      <c r="Q1670" t="s">
        <v>2265</v>
      </c>
    </row>
    <row r="1671" spans="1:17" ht="15.75" hidden="1" customHeight="1">
      <c r="A1671" t="s">
        <v>4248</v>
      </c>
      <c r="B1671" t="s">
        <v>17</v>
      </c>
      <c r="C1671" t="s">
        <v>2273</v>
      </c>
      <c r="F1671" t="s">
        <v>979</v>
      </c>
      <c r="G1671" t="s">
        <v>20</v>
      </c>
      <c r="K1671" t="s">
        <v>3886</v>
      </c>
      <c r="L1671" t="s">
        <v>22</v>
      </c>
      <c r="P1671" t="s">
        <v>741</v>
      </c>
      <c r="Q1671" t="s">
        <v>2274</v>
      </c>
    </row>
    <row r="1672" spans="1:17" ht="15.75" hidden="1" customHeight="1">
      <c r="A1672" t="s">
        <v>4249</v>
      </c>
      <c r="B1672" t="s">
        <v>17</v>
      </c>
      <c r="C1672" t="s">
        <v>2267</v>
      </c>
      <c r="F1672" t="s">
        <v>979</v>
      </c>
      <c r="G1672" t="s">
        <v>20</v>
      </c>
      <c r="K1672" t="s">
        <v>3886</v>
      </c>
      <c r="L1672" t="s">
        <v>22</v>
      </c>
      <c r="P1672" t="s">
        <v>278</v>
      </c>
      <c r="Q1672" t="s">
        <v>4250</v>
      </c>
    </row>
    <row r="1673" spans="1:17" ht="15.75" hidden="1" customHeight="1">
      <c r="A1673" t="s">
        <v>4251</v>
      </c>
      <c r="B1673" t="s">
        <v>17</v>
      </c>
      <c r="C1673" t="s">
        <v>2294</v>
      </c>
      <c r="F1673" t="s">
        <v>979</v>
      </c>
      <c r="G1673" t="s">
        <v>20</v>
      </c>
      <c r="K1673" t="s">
        <v>3888</v>
      </c>
      <c r="L1673" t="s">
        <v>22</v>
      </c>
      <c r="P1673" t="s">
        <v>125</v>
      </c>
      <c r="Q1673" t="s">
        <v>2295</v>
      </c>
    </row>
    <row r="1674" spans="1:17" ht="15.75" hidden="1" customHeight="1">
      <c r="A1674" t="s">
        <v>4252</v>
      </c>
      <c r="B1674" t="s">
        <v>17</v>
      </c>
      <c r="C1674" t="s">
        <v>2288</v>
      </c>
      <c r="F1674" t="s">
        <v>979</v>
      </c>
      <c r="G1674" t="s">
        <v>20</v>
      </c>
      <c r="K1674" t="s">
        <v>3888</v>
      </c>
      <c r="L1674" t="s">
        <v>22</v>
      </c>
      <c r="P1674" t="s">
        <v>278</v>
      </c>
      <c r="Q1674" t="s">
        <v>2289</v>
      </c>
    </row>
    <row r="1675" spans="1:17" ht="15.75" hidden="1" customHeight="1">
      <c r="A1675" t="s">
        <v>4253</v>
      </c>
      <c r="B1675" t="s">
        <v>17</v>
      </c>
      <c r="C1675" t="s">
        <v>2291</v>
      </c>
      <c r="F1675" t="s">
        <v>979</v>
      </c>
      <c r="G1675" t="s">
        <v>20</v>
      </c>
      <c r="K1675" t="s">
        <v>3888</v>
      </c>
      <c r="L1675" t="s">
        <v>22</v>
      </c>
      <c r="P1675" t="s">
        <v>737</v>
      </c>
      <c r="Q1675" t="s">
        <v>2292</v>
      </c>
    </row>
    <row r="1676" spans="1:17" ht="15.75" hidden="1" customHeight="1">
      <c r="A1676" t="s">
        <v>4254</v>
      </c>
      <c r="B1676" t="s">
        <v>17</v>
      </c>
      <c r="C1676" t="s">
        <v>2312</v>
      </c>
      <c r="F1676" t="s">
        <v>979</v>
      </c>
      <c r="G1676" t="s">
        <v>20</v>
      </c>
      <c r="K1676" t="s">
        <v>3890</v>
      </c>
      <c r="L1676" t="s">
        <v>22</v>
      </c>
      <c r="P1676" t="s">
        <v>125</v>
      </c>
      <c r="Q1676" t="s">
        <v>2313</v>
      </c>
    </row>
    <row r="1677" spans="1:17" ht="15.75" hidden="1" customHeight="1">
      <c r="A1677" t="s">
        <v>4255</v>
      </c>
      <c r="B1677" t="s">
        <v>17</v>
      </c>
      <c r="C1677" t="s">
        <v>2297</v>
      </c>
      <c r="F1677" t="s">
        <v>979</v>
      </c>
      <c r="G1677" t="s">
        <v>20</v>
      </c>
      <c r="K1677" t="s">
        <v>3890</v>
      </c>
      <c r="L1677" t="s">
        <v>22</v>
      </c>
      <c r="P1677" t="s">
        <v>274</v>
      </c>
      <c r="Q1677" t="s">
        <v>4256</v>
      </c>
    </row>
    <row r="1678" spans="1:17" ht="15.75" hidden="1" customHeight="1">
      <c r="A1678" t="s">
        <v>4257</v>
      </c>
      <c r="B1678" t="s">
        <v>17</v>
      </c>
      <c r="C1678" t="s">
        <v>2300</v>
      </c>
      <c r="F1678" t="s">
        <v>979</v>
      </c>
      <c r="G1678" t="s">
        <v>20</v>
      </c>
      <c r="K1678" t="s">
        <v>3890</v>
      </c>
      <c r="L1678" t="s">
        <v>22</v>
      </c>
      <c r="P1678" t="s">
        <v>278</v>
      </c>
      <c r="Q1678" t="s">
        <v>2301</v>
      </c>
    </row>
    <row r="1679" spans="1:17" ht="15.75" hidden="1" customHeight="1">
      <c r="A1679" t="s">
        <v>4258</v>
      </c>
      <c r="B1679" t="s">
        <v>17</v>
      </c>
      <c r="C1679" t="s">
        <v>2303</v>
      </c>
      <c r="F1679" t="s">
        <v>979</v>
      </c>
      <c r="G1679" t="s">
        <v>20</v>
      </c>
      <c r="K1679" t="s">
        <v>3890</v>
      </c>
      <c r="L1679" t="s">
        <v>22</v>
      </c>
      <c r="P1679" t="s">
        <v>274</v>
      </c>
      <c r="Q1679" t="s">
        <v>2304</v>
      </c>
    </row>
    <row r="1680" spans="1:17" ht="15.75" hidden="1" customHeight="1">
      <c r="A1680" t="s">
        <v>4259</v>
      </c>
      <c r="B1680" t="s">
        <v>17</v>
      </c>
      <c r="C1680" t="s">
        <v>2306</v>
      </c>
      <c r="F1680" t="s">
        <v>979</v>
      </c>
      <c r="G1680" t="s">
        <v>20</v>
      </c>
      <c r="K1680" t="s">
        <v>3890</v>
      </c>
      <c r="L1680" t="s">
        <v>22</v>
      </c>
      <c r="P1680" t="s">
        <v>23</v>
      </c>
      <c r="Q1680" t="s">
        <v>2307</v>
      </c>
    </row>
    <row r="1681" spans="1:17" ht="15.75" hidden="1" customHeight="1">
      <c r="A1681" t="s">
        <v>4260</v>
      </c>
      <c r="B1681" t="s">
        <v>17</v>
      </c>
      <c r="C1681" t="s">
        <v>158</v>
      </c>
      <c r="F1681" t="s">
        <v>159</v>
      </c>
      <c r="G1681" t="s">
        <v>20</v>
      </c>
      <c r="K1681" t="s">
        <v>3868</v>
      </c>
      <c r="L1681" t="s">
        <v>22</v>
      </c>
      <c r="P1681" t="s">
        <v>160</v>
      </c>
      <c r="Q1681" t="s">
        <v>4261</v>
      </c>
    </row>
    <row r="1682" spans="1:17" ht="15.75" hidden="1" customHeight="1">
      <c r="A1682" t="s">
        <v>4262</v>
      </c>
      <c r="B1682" t="s">
        <v>17</v>
      </c>
      <c r="C1682" t="s">
        <v>2321</v>
      </c>
      <c r="F1682" t="s">
        <v>159</v>
      </c>
      <c r="G1682" t="s">
        <v>20</v>
      </c>
      <c r="K1682" t="s">
        <v>3868</v>
      </c>
      <c r="L1682" t="s">
        <v>22</v>
      </c>
      <c r="P1682" t="s">
        <v>160</v>
      </c>
      <c r="Q1682" t="s">
        <v>2322</v>
      </c>
    </row>
    <row r="1683" spans="1:17" ht="15.75" hidden="1" customHeight="1">
      <c r="A1683" t="s">
        <v>4263</v>
      </c>
      <c r="B1683" t="s">
        <v>17</v>
      </c>
      <c r="C1683" t="s">
        <v>2315</v>
      </c>
      <c r="F1683" t="s">
        <v>159</v>
      </c>
      <c r="G1683" t="s">
        <v>20</v>
      </c>
      <c r="K1683" t="s">
        <v>3868</v>
      </c>
      <c r="L1683" t="s">
        <v>22</v>
      </c>
      <c r="P1683" t="s">
        <v>160</v>
      </c>
      <c r="Q1683" t="s">
        <v>2316</v>
      </c>
    </row>
    <row r="1684" spans="1:17" ht="15.75" hidden="1" customHeight="1">
      <c r="A1684" t="s">
        <v>4264</v>
      </c>
      <c r="B1684" t="s">
        <v>17</v>
      </c>
      <c r="C1684" t="s">
        <v>230</v>
      </c>
      <c r="F1684" t="s">
        <v>159</v>
      </c>
      <c r="G1684" t="s">
        <v>20</v>
      </c>
      <c r="K1684" t="s">
        <v>3874</v>
      </c>
      <c r="L1684" t="s">
        <v>22</v>
      </c>
      <c r="P1684" t="s">
        <v>160</v>
      </c>
      <c r="Q1684" t="s">
        <v>231</v>
      </c>
    </row>
    <row r="1685" spans="1:17" ht="15.75" hidden="1" customHeight="1">
      <c r="A1685" t="s">
        <v>4265</v>
      </c>
      <c r="B1685" t="s">
        <v>17</v>
      </c>
      <c r="C1685" t="s">
        <v>163</v>
      </c>
      <c r="F1685" t="s">
        <v>159</v>
      </c>
      <c r="G1685" t="s">
        <v>20</v>
      </c>
      <c r="K1685" t="s">
        <v>3874</v>
      </c>
      <c r="L1685" t="s">
        <v>22</v>
      </c>
      <c r="P1685" t="s">
        <v>160</v>
      </c>
      <c r="Q1685" t="s">
        <v>164</v>
      </c>
    </row>
    <row r="1686" spans="1:17" ht="15.75" hidden="1" customHeight="1">
      <c r="A1686" t="s">
        <v>4266</v>
      </c>
      <c r="B1686" t="s">
        <v>17</v>
      </c>
      <c r="C1686" t="s">
        <v>2327</v>
      </c>
      <c r="F1686" t="s">
        <v>159</v>
      </c>
      <c r="G1686" t="s">
        <v>20</v>
      </c>
      <c r="K1686" t="s">
        <v>3874</v>
      </c>
      <c r="L1686" t="s">
        <v>22</v>
      </c>
      <c r="P1686" t="s">
        <v>160</v>
      </c>
      <c r="Q1686" t="s">
        <v>2328</v>
      </c>
    </row>
    <row r="1687" spans="1:17" ht="15.75" hidden="1" customHeight="1">
      <c r="A1687" t="s">
        <v>4267</v>
      </c>
      <c r="B1687" t="s">
        <v>17</v>
      </c>
      <c r="C1687" t="s">
        <v>233</v>
      </c>
      <c r="F1687" t="s">
        <v>159</v>
      </c>
      <c r="G1687" t="s">
        <v>20</v>
      </c>
      <c r="K1687" t="s">
        <v>3880</v>
      </c>
      <c r="L1687" t="s">
        <v>22</v>
      </c>
      <c r="P1687" t="s">
        <v>160</v>
      </c>
      <c r="Q1687" t="s">
        <v>234</v>
      </c>
    </row>
    <row r="1688" spans="1:17" ht="15.75" hidden="1" customHeight="1">
      <c r="A1688" t="s">
        <v>4268</v>
      </c>
      <c r="B1688" t="s">
        <v>17</v>
      </c>
      <c r="C1688" t="s">
        <v>236</v>
      </c>
      <c r="F1688" t="s">
        <v>159</v>
      </c>
      <c r="G1688" t="s">
        <v>20</v>
      </c>
      <c r="K1688" t="s">
        <v>3880</v>
      </c>
      <c r="L1688" t="s">
        <v>22</v>
      </c>
      <c r="P1688" t="s">
        <v>160</v>
      </c>
      <c r="Q1688" t="s">
        <v>4269</v>
      </c>
    </row>
    <row r="1689" spans="1:17" ht="15.75" hidden="1" customHeight="1">
      <c r="A1689" t="s">
        <v>4270</v>
      </c>
      <c r="B1689" t="s">
        <v>17</v>
      </c>
      <c r="C1689" t="s">
        <v>166</v>
      </c>
      <c r="F1689" t="s">
        <v>159</v>
      </c>
      <c r="G1689" t="s">
        <v>20</v>
      </c>
      <c r="K1689" t="s">
        <v>3880</v>
      </c>
      <c r="L1689" t="s">
        <v>22</v>
      </c>
      <c r="P1689" t="s">
        <v>160</v>
      </c>
      <c r="Q1689" t="s">
        <v>167</v>
      </c>
    </row>
    <row r="1690" spans="1:17" ht="15.75" hidden="1" customHeight="1">
      <c r="A1690" t="s">
        <v>4271</v>
      </c>
      <c r="B1690" t="s">
        <v>17</v>
      </c>
      <c r="C1690" t="s">
        <v>2333</v>
      </c>
      <c r="F1690" t="s">
        <v>159</v>
      </c>
      <c r="G1690" t="s">
        <v>20</v>
      </c>
      <c r="K1690" t="s">
        <v>3880</v>
      </c>
      <c r="L1690" t="s">
        <v>22</v>
      </c>
      <c r="P1690" t="s">
        <v>160</v>
      </c>
      <c r="Q1690" t="s">
        <v>2334</v>
      </c>
    </row>
    <row r="1691" spans="1:17" ht="15.75" hidden="1" customHeight="1">
      <c r="A1691" t="s">
        <v>4272</v>
      </c>
      <c r="B1691" t="s">
        <v>17</v>
      </c>
      <c r="C1691" t="s">
        <v>1012</v>
      </c>
      <c r="F1691" t="s">
        <v>159</v>
      </c>
      <c r="G1691" t="s">
        <v>20</v>
      </c>
      <c r="K1691" t="s">
        <v>3880</v>
      </c>
      <c r="L1691" t="s">
        <v>22</v>
      </c>
      <c r="P1691" t="s">
        <v>160</v>
      </c>
      <c r="Q1691" t="s">
        <v>1013</v>
      </c>
    </row>
    <row r="1692" spans="1:17" ht="15.75" hidden="1" customHeight="1">
      <c r="A1692" t="s">
        <v>4273</v>
      </c>
      <c r="B1692" t="s">
        <v>17</v>
      </c>
      <c r="C1692" t="s">
        <v>169</v>
      </c>
      <c r="F1692" t="s">
        <v>159</v>
      </c>
      <c r="G1692" t="s">
        <v>20</v>
      </c>
      <c r="K1692" t="s">
        <v>3883</v>
      </c>
      <c r="L1692" t="s">
        <v>22</v>
      </c>
      <c r="P1692" t="s">
        <v>160</v>
      </c>
      <c r="Q1692" t="s">
        <v>170</v>
      </c>
    </row>
    <row r="1693" spans="1:17" ht="15.75" hidden="1" customHeight="1">
      <c r="A1693" t="s">
        <v>4274</v>
      </c>
      <c r="B1693" t="s">
        <v>17</v>
      </c>
      <c r="C1693" t="s">
        <v>2339</v>
      </c>
      <c r="F1693" t="s">
        <v>159</v>
      </c>
      <c r="G1693" t="s">
        <v>20</v>
      </c>
      <c r="K1693" t="s">
        <v>3883</v>
      </c>
      <c r="L1693" t="s">
        <v>22</v>
      </c>
      <c r="P1693" t="s">
        <v>160</v>
      </c>
      <c r="Q1693" t="s">
        <v>2340</v>
      </c>
    </row>
    <row r="1694" spans="1:17" ht="15.75" hidden="1" customHeight="1">
      <c r="A1694" t="s">
        <v>4275</v>
      </c>
      <c r="B1694" t="s">
        <v>17</v>
      </c>
      <c r="C1694" t="s">
        <v>1018</v>
      </c>
      <c r="F1694" t="s">
        <v>159</v>
      </c>
      <c r="G1694" t="s">
        <v>20</v>
      </c>
      <c r="K1694" t="s">
        <v>3883</v>
      </c>
      <c r="L1694" t="s">
        <v>22</v>
      </c>
      <c r="P1694" t="s">
        <v>160</v>
      </c>
      <c r="Q1694" t="s">
        <v>1019</v>
      </c>
    </row>
    <row r="1695" spans="1:17" ht="15.75" hidden="1" customHeight="1">
      <c r="A1695" t="s">
        <v>4276</v>
      </c>
      <c r="B1695" t="s">
        <v>17</v>
      </c>
      <c r="C1695" t="s">
        <v>175</v>
      </c>
      <c r="F1695" t="s">
        <v>159</v>
      </c>
      <c r="G1695" t="s">
        <v>20</v>
      </c>
      <c r="K1695" t="s">
        <v>3886</v>
      </c>
      <c r="L1695" t="s">
        <v>22</v>
      </c>
      <c r="P1695" t="s">
        <v>160</v>
      </c>
      <c r="Q1695" t="s">
        <v>176</v>
      </c>
    </row>
    <row r="1696" spans="1:17" ht="15.75" hidden="1" customHeight="1">
      <c r="A1696" t="s">
        <v>4277</v>
      </c>
      <c r="B1696" t="s">
        <v>17</v>
      </c>
      <c r="C1696" t="s">
        <v>172</v>
      </c>
      <c r="F1696" t="s">
        <v>159</v>
      </c>
      <c r="G1696" t="s">
        <v>20</v>
      </c>
      <c r="K1696" t="s">
        <v>3886</v>
      </c>
      <c r="L1696" t="s">
        <v>22</v>
      </c>
      <c r="P1696" t="s">
        <v>160</v>
      </c>
      <c r="Q1696" t="s">
        <v>173</v>
      </c>
    </row>
    <row r="1697" spans="1:17" ht="15.75" hidden="1" customHeight="1">
      <c r="A1697" t="s">
        <v>4278</v>
      </c>
      <c r="B1697" t="s">
        <v>17</v>
      </c>
      <c r="C1697" t="s">
        <v>178</v>
      </c>
      <c r="F1697" t="s">
        <v>159</v>
      </c>
      <c r="G1697" t="s">
        <v>20</v>
      </c>
      <c r="K1697" t="s">
        <v>3886</v>
      </c>
      <c r="L1697" t="s">
        <v>22</v>
      </c>
      <c r="P1697" t="s">
        <v>160</v>
      </c>
      <c r="Q1697" t="s">
        <v>179</v>
      </c>
    </row>
    <row r="1698" spans="1:17" ht="15.75" hidden="1" customHeight="1">
      <c r="A1698" t="s">
        <v>4279</v>
      </c>
      <c r="B1698" t="s">
        <v>17</v>
      </c>
      <c r="C1698" t="s">
        <v>184</v>
      </c>
      <c r="F1698" t="s">
        <v>159</v>
      </c>
      <c r="G1698" t="s">
        <v>20</v>
      </c>
      <c r="K1698" t="s">
        <v>3888</v>
      </c>
      <c r="L1698" t="s">
        <v>22</v>
      </c>
      <c r="P1698" t="s">
        <v>160</v>
      </c>
      <c r="Q1698" t="s">
        <v>185</v>
      </c>
    </row>
    <row r="1699" spans="1:17" ht="15.75" hidden="1" customHeight="1">
      <c r="A1699" t="s">
        <v>4280</v>
      </c>
      <c r="B1699" t="s">
        <v>17</v>
      </c>
      <c r="C1699" t="s">
        <v>181</v>
      </c>
      <c r="F1699" t="s">
        <v>159</v>
      </c>
      <c r="G1699" t="s">
        <v>20</v>
      </c>
      <c r="K1699" t="s">
        <v>3888</v>
      </c>
      <c r="L1699" t="s">
        <v>22</v>
      </c>
      <c r="P1699" t="s">
        <v>160</v>
      </c>
      <c r="Q1699" t="s">
        <v>182</v>
      </c>
    </row>
    <row r="1700" spans="1:17" ht="15.75" hidden="1" customHeight="1">
      <c r="A1700" t="s">
        <v>4281</v>
      </c>
      <c r="B1700" t="s">
        <v>17</v>
      </c>
      <c r="C1700" t="s">
        <v>1024</v>
      </c>
      <c r="F1700" t="s">
        <v>159</v>
      </c>
      <c r="G1700" t="s">
        <v>20</v>
      </c>
      <c r="K1700" t="s">
        <v>3888</v>
      </c>
      <c r="L1700" t="s">
        <v>22</v>
      </c>
      <c r="P1700" t="s">
        <v>160</v>
      </c>
      <c r="Q1700" t="s">
        <v>1025</v>
      </c>
    </row>
    <row r="1701" spans="1:17" ht="15.75" hidden="1" customHeight="1">
      <c r="A1701" t="s">
        <v>4282</v>
      </c>
      <c r="B1701" t="s">
        <v>17</v>
      </c>
      <c r="C1701" t="s">
        <v>187</v>
      </c>
      <c r="F1701" t="s">
        <v>159</v>
      </c>
      <c r="G1701" t="s">
        <v>20</v>
      </c>
      <c r="K1701" t="s">
        <v>3890</v>
      </c>
      <c r="L1701" t="s">
        <v>22</v>
      </c>
      <c r="P1701" t="s">
        <v>160</v>
      </c>
      <c r="Q1701" t="s">
        <v>188</v>
      </c>
    </row>
    <row r="1702" spans="1:17" ht="15.75" hidden="1" customHeight="1">
      <c r="A1702" t="s">
        <v>4283</v>
      </c>
      <c r="B1702" t="s">
        <v>17</v>
      </c>
      <c r="C1702" t="s">
        <v>239</v>
      </c>
      <c r="F1702" t="s">
        <v>159</v>
      </c>
      <c r="G1702" t="s">
        <v>20</v>
      </c>
      <c r="K1702" t="s">
        <v>3890</v>
      </c>
      <c r="L1702" t="s">
        <v>22</v>
      </c>
      <c r="P1702" t="s">
        <v>160</v>
      </c>
      <c r="Q1702" t="s">
        <v>240</v>
      </c>
    </row>
    <row r="1703" spans="1:17" ht="15.75" hidden="1" customHeight="1">
      <c r="A1703" t="s">
        <v>4284</v>
      </c>
      <c r="B1703" t="s">
        <v>464</v>
      </c>
      <c r="C1703" t="s">
        <v>4285</v>
      </c>
      <c r="F1703" t="s">
        <v>4286</v>
      </c>
      <c r="G1703" t="s">
        <v>285</v>
      </c>
      <c r="L1703">
        <v>5</v>
      </c>
      <c r="Q1703" t="s">
        <v>4287</v>
      </c>
    </row>
    <row r="1704" spans="1:17" ht="15.75" hidden="1" customHeight="1">
      <c r="A1704" t="s">
        <v>4288</v>
      </c>
      <c r="B1704" t="s">
        <v>464</v>
      </c>
      <c r="C1704" t="s">
        <v>4289</v>
      </c>
      <c r="F1704" t="s">
        <v>4286</v>
      </c>
      <c r="G1704" t="s">
        <v>285</v>
      </c>
      <c r="L1704">
        <v>5</v>
      </c>
      <c r="Q1704" t="s">
        <v>4290</v>
      </c>
    </row>
    <row r="1705" spans="1:17" ht="15.75" hidden="1" customHeight="1">
      <c r="A1705" t="s">
        <v>4291</v>
      </c>
      <c r="B1705" t="s">
        <v>464</v>
      </c>
      <c r="C1705" t="s">
        <v>4292</v>
      </c>
      <c r="F1705" t="s">
        <v>4286</v>
      </c>
      <c r="G1705" t="s">
        <v>285</v>
      </c>
      <c r="L1705">
        <v>5</v>
      </c>
      <c r="Q1705" t="s">
        <v>4293</v>
      </c>
    </row>
    <row r="1706" spans="1:17" ht="15.75" hidden="1" customHeight="1">
      <c r="A1706" t="s">
        <v>4294</v>
      </c>
      <c r="B1706" t="s">
        <v>464</v>
      </c>
      <c r="C1706" t="s">
        <v>4295</v>
      </c>
      <c r="F1706" t="s">
        <v>4286</v>
      </c>
      <c r="G1706" t="s">
        <v>285</v>
      </c>
      <c r="L1706">
        <v>5</v>
      </c>
      <c r="Q1706" t="s">
        <v>4296</v>
      </c>
    </row>
    <row r="1707" spans="1:17" ht="15.75" hidden="1" customHeight="1">
      <c r="A1707" t="s">
        <v>4297</v>
      </c>
      <c r="B1707" t="s">
        <v>464</v>
      </c>
      <c r="C1707" t="s">
        <v>4298</v>
      </c>
      <c r="F1707" t="s">
        <v>4286</v>
      </c>
      <c r="G1707" t="s">
        <v>285</v>
      </c>
      <c r="L1707">
        <v>5</v>
      </c>
      <c r="Q1707" t="s">
        <v>4299</v>
      </c>
    </row>
    <row r="1708" spans="1:17" ht="15.75" hidden="1" customHeight="1">
      <c r="A1708" t="s">
        <v>4300</v>
      </c>
      <c r="B1708" t="s">
        <v>464</v>
      </c>
      <c r="C1708" t="s">
        <v>4301</v>
      </c>
      <c r="F1708" t="s">
        <v>1168</v>
      </c>
      <c r="G1708" t="s">
        <v>285</v>
      </c>
      <c r="L1708">
        <v>20</v>
      </c>
      <c r="Q1708" t="s">
        <v>4302</v>
      </c>
    </row>
    <row r="1709" spans="1:17" ht="15.75" hidden="1" customHeight="1">
      <c r="A1709" t="s">
        <v>4303</v>
      </c>
      <c r="B1709" t="s">
        <v>464</v>
      </c>
      <c r="C1709" t="s">
        <v>4304</v>
      </c>
      <c r="F1709" t="s">
        <v>2477</v>
      </c>
      <c r="G1709" t="s">
        <v>285</v>
      </c>
      <c r="L1709">
        <v>5</v>
      </c>
      <c r="Q1709" t="s">
        <v>4305</v>
      </c>
    </row>
    <row r="1710" spans="1:17" ht="15.75" hidden="1" customHeight="1">
      <c r="A1710" t="s">
        <v>1388</v>
      </c>
      <c r="B1710" t="s">
        <v>363</v>
      </c>
      <c r="C1710" t="s">
        <v>4306</v>
      </c>
      <c r="G1710" t="s">
        <v>20</v>
      </c>
      <c r="L1710" t="s">
        <v>1375</v>
      </c>
    </row>
    <row r="1711" spans="1:17" ht="15.75" hidden="1" customHeight="1">
      <c r="A1711" t="s">
        <v>4307</v>
      </c>
      <c r="B1711" t="s">
        <v>363</v>
      </c>
      <c r="C1711" t="s">
        <v>4308</v>
      </c>
      <c r="G1711" t="s">
        <v>7</v>
      </c>
      <c r="H1711" t="s">
        <v>4309</v>
      </c>
    </row>
    <row r="1712" spans="1:17" ht="15.75" hidden="1" customHeight="1">
      <c r="A1712" t="s">
        <v>4310</v>
      </c>
      <c r="B1712" t="s">
        <v>363</v>
      </c>
      <c r="C1712" t="s">
        <v>4311</v>
      </c>
      <c r="G1712" t="s">
        <v>7</v>
      </c>
      <c r="H1712" t="s">
        <v>4312</v>
      </c>
    </row>
    <row r="1713" spans="1:17" ht="15.75" hidden="1" customHeight="1">
      <c r="A1713" t="s">
        <v>4313</v>
      </c>
      <c r="B1713" t="s">
        <v>363</v>
      </c>
      <c r="C1713" t="s">
        <v>4314</v>
      </c>
      <c r="G1713" t="s">
        <v>7</v>
      </c>
      <c r="H1713" t="s">
        <v>4315</v>
      </c>
    </row>
    <row r="1714" spans="1:17" ht="15.75" hidden="1" customHeight="1">
      <c r="A1714" t="s">
        <v>4316</v>
      </c>
      <c r="B1714" t="s">
        <v>464</v>
      </c>
      <c r="C1714" t="s">
        <v>4317</v>
      </c>
      <c r="F1714" s="10" t="s">
        <v>1168</v>
      </c>
      <c r="G1714" t="s">
        <v>285</v>
      </c>
      <c r="L1714">
        <v>2</v>
      </c>
      <c r="Q1714" t="s">
        <v>2622</v>
      </c>
    </row>
    <row r="1715" spans="1:17" ht="15.75" hidden="1" customHeight="1">
      <c r="A1715" t="s">
        <v>4318</v>
      </c>
      <c r="B1715" t="s">
        <v>4319</v>
      </c>
      <c r="C1715" t="s">
        <v>4320</v>
      </c>
      <c r="F1715" t="s">
        <v>4321</v>
      </c>
      <c r="G1715" t="s">
        <v>20</v>
      </c>
      <c r="L1715" t="s">
        <v>736</v>
      </c>
    </row>
    <row r="1716" spans="1:17" ht="15.75" hidden="1" customHeight="1">
      <c r="A1716" t="s">
        <v>4322</v>
      </c>
      <c r="B1716" t="s">
        <v>4319</v>
      </c>
      <c r="C1716" t="s">
        <v>4323</v>
      </c>
      <c r="F1716" t="s">
        <v>4320</v>
      </c>
      <c r="G1716" t="s">
        <v>20</v>
      </c>
      <c r="L1716" t="s">
        <v>4324</v>
      </c>
    </row>
    <row r="1717" spans="1:17" ht="15.75" hidden="1" customHeight="1">
      <c r="A1717" t="s">
        <v>4325</v>
      </c>
      <c r="B1717" t="s">
        <v>4319</v>
      </c>
      <c r="C1717" t="s">
        <v>4326</v>
      </c>
      <c r="F1717" t="s">
        <v>4320</v>
      </c>
      <c r="G1717" t="s">
        <v>20</v>
      </c>
      <c r="L1717" t="s">
        <v>4324</v>
      </c>
    </row>
    <row r="1718" spans="1:17" ht="15.75" hidden="1" customHeight="1">
      <c r="A1718" t="s">
        <v>4327</v>
      </c>
      <c r="B1718" t="s">
        <v>4319</v>
      </c>
      <c r="C1718" t="s">
        <v>4328</v>
      </c>
      <c r="F1718" t="s">
        <v>4320</v>
      </c>
      <c r="G1718" t="s">
        <v>20</v>
      </c>
      <c r="L1718" t="s">
        <v>4324</v>
      </c>
    </row>
    <row r="1719" spans="1:17" ht="15.75" hidden="1" customHeight="1">
      <c r="A1719" t="s">
        <v>4329</v>
      </c>
      <c r="B1719" t="s">
        <v>4319</v>
      </c>
      <c r="C1719" t="s">
        <v>4330</v>
      </c>
      <c r="F1719" t="s">
        <v>4320</v>
      </c>
      <c r="G1719" t="s">
        <v>20</v>
      </c>
      <c r="L1719" t="s">
        <v>4324</v>
      </c>
    </row>
    <row r="1720" spans="1:17" ht="15.75" hidden="1" customHeight="1">
      <c r="A1720" t="s">
        <v>4331</v>
      </c>
      <c r="B1720" t="s">
        <v>4319</v>
      </c>
      <c r="C1720" t="s">
        <v>4332</v>
      </c>
      <c r="F1720" t="s">
        <v>4321</v>
      </c>
      <c r="G1720" t="s">
        <v>20</v>
      </c>
      <c r="L1720" t="s">
        <v>736</v>
      </c>
    </row>
    <row r="1721" spans="1:17" ht="15.75" hidden="1" customHeight="1">
      <c r="A1721" t="s">
        <v>4333</v>
      </c>
      <c r="B1721" t="s">
        <v>4319</v>
      </c>
      <c r="C1721" t="s">
        <v>4334</v>
      </c>
      <c r="F1721" t="s">
        <v>4332</v>
      </c>
      <c r="G1721" t="s">
        <v>20</v>
      </c>
      <c r="L1721" t="s">
        <v>4324</v>
      </c>
    </row>
    <row r="1722" spans="1:17" ht="15.75" hidden="1" customHeight="1">
      <c r="A1722" t="s">
        <v>4335</v>
      </c>
      <c r="B1722" t="s">
        <v>4319</v>
      </c>
      <c r="C1722" t="s">
        <v>4336</v>
      </c>
      <c r="F1722" t="s">
        <v>4332</v>
      </c>
      <c r="G1722" t="s">
        <v>20</v>
      </c>
      <c r="L1722" t="s">
        <v>4324</v>
      </c>
    </row>
    <row r="1723" spans="1:17" ht="15.75" hidden="1" customHeight="1">
      <c r="A1723" t="s">
        <v>4337</v>
      </c>
      <c r="B1723" t="s">
        <v>4319</v>
      </c>
      <c r="C1723" t="s">
        <v>4338</v>
      </c>
      <c r="F1723" t="s">
        <v>4332</v>
      </c>
      <c r="G1723" t="s">
        <v>20</v>
      </c>
      <c r="L1723" t="s">
        <v>4324</v>
      </c>
    </row>
    <row r="1724" spans="1:17" ht="15.75" hidden="1" customHeight="1">
      <c r="A1724" t="s">
        <v>4339</v>
      </c>
      <c r="B1724" t="s">
        <v>4319</v>
      </c>
      <c r="C1724" t="s">
        <v>4340</v>
      </c>
      <c r="F1724" t="s">
        <v>4332</v>
      </c>
      <c r="G1724" t="s">
        <v>20</v>
      </c>
      <c r="L1724" t="s">
        <v>4324</v>
      </c>
    </row>
    <row r="1725" spans="1:17" ht="15.75" hidden="1" customHeight="1">
      <c r="A1725" t="s">
        <v>4341</v>
      </c>
      <c r="B1725" t="s">
        <v>4319</v>
      </c>
      <c r="C1725" t="s">
        <v>4342</v>
      </c>
      <c r="F1725" t="s">
        <v>4321</v>
      </c>
      <c r="G1725" t="s">
        <v>20</v>
      </c>
      <c r="L1725" t="s">
        <v>736</v>
      </c>
    </row>
    <row r="1726" spans="1:17" ht="15.75" hidden="1" customHeight="1">
      <c r="A1726" t="s">
        <v>4343</v>
      </c>
      <c r="B1726" t="s">
        <v>4319</v>
      </c>
      <c r="C1726" t="s">
        <v>4344</v>
      </c>
      <c r="F1726" t="s">
        <v>4342</v>
      </c>
      <c r="G1726" t="s">
        <v>20</v>
      </c>
      <c r="L1726" t="s">
        <v>4324</v>
      </c>
    </row>
    <row r="1727" spans="1:17" ht="15.75" hidden="1" customHeight="1">
      <c r="A1727" t="s">
        <v>4345</v>
      </c>
      <c r="B1727" t="s">
        <v>4319</v>
      </c>
      <c r="C1727" t="s">
        <v>4346</v>
      </c>
      <c r="F1727" t="s">
        <v>4342</v>
      </c>
      <c r="G1727" t="s">
        <v>20</v>
      </c>
      <c r="L1727" t="s">
        <v>4324</v>
      </c>
    </row>
    <row r="1728" spans="1:17" ht="15.75" hidden="1" customHeight="1">
      <c r="A1728" t="s">
        <v>4347</v>
      </c>
      <c r="B1728" t="s">
        <v>4319</v>
      </c>
      <c r="C1728" t="s">
        <v>4348</v>
      </c>
      <c r="F1728" t="s">
        <v>4342</v>
      </c>
      <c r="G1728" t="s">
        <v>20</v>
      </c>
      <c r="L1728" t="s">
        <v>4324</v>
      </c>
    </row>
    <row r="1729" spans="1:12" ht="15.75" hidden="1" customHeight="1">
      <c r="A1729" t="s">
        <v>4349</v>
      </c>
      <c r="B1729" t="s">
        <v>4319</v>
      </c>
      <c r="C1729" t="s">
        <v>4350</v>
      </c>
      <c r="F1729" t="s">
        <v>4342</v>
      </c>
      <c r="G1729" t="s">
        <v>20</v>
      </c>
      <c r="L1729" t="s">
        <v>4324</v>
      </c>
    </row>
    <row r="1730" spans="1:12" ht="15.75" hidden="1" customHeight="1">
      <c r="A1730" t="s">
        <v>4351</v>
      </c>
      <c r="B1730" t="s">
        <v>4319</v>
      </c>
      <c r="C1730" t="s">
        <v>4352</v>
      </c>
      <c r="F1730" t="s">
        <v>4321</v>
      </c>
      <c r="G1730" t="s">
        <v>20</v>
      </c>
      <c r="L1730" t="s">
        <v>736</v>
      </c>
    </row>
    <row r="1731" spans="1:12" ht="15.75" hidden="1" customHeight="1">
      <c r="A1731" t="s">
        <v>4353</v>
      </c>
      <c r="B1731" t="s">
        <v>4319</v>
      </c>
      <c r="C1731" t="s">
        <v>4354</v>
      </c>
      <c r="F1731" t="s">
        <v>4352</v>
      </c>
      <c r="G1731" t="s">
        <v>20</v>
      </c>
      <c r="L1731" t="s">
        <v>4324</v>
      </c>
    </row>
    <row r="1732" spans="1:12" ht="15.75" hidden="1" customHeight="1">
      <c r="A1732" t="s">
        <v>4355</v>
      </c>
      <c r="B1732" t="s">
        <v>4319</v>
      </c>
      <c r="C1732" t="s">
        <v>4356</v>
      </c>
      <c r="F1732" t="s">
        <v>4352</v>
      </c>
      <c r="G1732" t="s">
        <v>20</v>
      </c>
      <c r="L1732" t="s">
        <v>4324</v>
      </c>
    </row>
    <row r="1733" spans="1:12" ht="15.75" hidden="1" customHeight="1">
      <c r="A1733" t="s">
        <v>4357</v>
      </c>
      <c r="B1733" t="s">
        <v>4319</v>
      </c>
      <c r="C1733" t="s">
        <v>4358</v>
      </c>
      <c r="F1733" t="s">
        <v>4352</v>
      </c>
      <c r="G1733" t="s">
        <v>20</v>
      </c>
      <c r="L1733" t="s">
        <v>4324</v>
      </c>
    </row>
    <row r="1734" spans="1:12" ht="15.75" hidden="1" customHeight="1">
      <c r="A1734" t="s">
        <v>4359</v>
      </c>
      <c r="B1734" t="s">
        <v>4319</v>
      </c>
      <c r="C1734" t="s">
        <v>4360</v>
      </c>
      <c r="F1734" t="s">
        <v>4352</v>
      </c>
      <c r="G1734" t="s">
        <v>20</v>
      </c>
      <c r="L1734" t="s">
        <v>4324</v>
      </c>
    </row>
    <row r="1735" spans="1:12" ht="15.75" customHeight="1">
      <c r="A1735" t="s">
        <v>4361</v>
      </c>
      <c r="B1735" t="s">
        <v>4319</v>
      </c>
      <c r="C1735" t="s">
        <v>4362</v>
      </c>
      <c r="F1735" t="s">
        <v>4352</v>
      </c>
      <c r="G1735" t="s">
        <v>20</v>
      </c>
      <c r="L1735" t="s">
        <v>4324</v>
      </c>
    </row>
    <row r="1736" spans="1:12" ht="15.75" hidden="1" customHeight="1">
      <c r="A1736" t="s">
        <v>4363</v>
      </c>
      <c r="B1736" t="s">
        <v>4319</v>
      </c>
      <c r="C1736" t="s">
        <v>4364</v>
      </c>
      <c r="F1736" t="s">
        <v>4352</v>
      </c>
      <c r="G1736" t="s">
        <v>20</v>
      </c>
      <c r="L1736" t="s">
        <v>4324</v>
      </c>
    </row>
    <row r="1737" spans="1:12" ht="15.75" hidden="1" customHeight="1">
      <c r="A1737" t="s">
        <v>4365</v>
      </c>
      <c r="B1737" t="s">
        <v>4319</v>
      </c>
      <c r="C1737" t="s">
        <v>4366</v>
      </c>
      <c r="F1737" t="s">
        <v>4352</v>
      </c>
      <c r="G1737" t="s">
        <v>20</v>
      </c>
      <c r="L1737" t="s">
        <v>4324</v>
      </c>
    </row>
    <row r="1738" spans="1:12" ht="15.75" hidden="1" customHeight="1">
      <c r="A1738" t="s">
        <v>4367</v>
      </c>
      <c r="B1738" t="s">
        <v>4319</v>
      </c>
      <c r="C1738" t="s">
        <v>4368</v>
      </c>
      <c r="F1738" t="s">
        <v>4352</v>
      </c>
      <c r="G1738" t="s">
        <v>20</v>
      </c>
      <c r="L1738" t="s">
        <v>4324</v>
      </c>
    </row>
    <row r="1739" spans="1:12" ht="15.75" hidden="1" customHeight="1">
      <c r="A1739" t="s">
        <v>4369</v>
      </c>
      <c r="B1739" t="s">
        <v>4319</v>
      </c>
      <c r="C1739" t="s">
        <v>4370</v>
      </c>
      <c r="F1739" t="s">
        <v>4352</v>
      </c>
      <c r="G1739" t="s">
        <v>20</v>
      </c>
      <c r="L1739" t="s">
        <v>4324</v>
      </c>
    </row>
    <row r="1740" spans="1:12" ht="15.75" customHeight="1">
      <c r="A1740" t="s">
        <v>4371</v>
      </c>
      <c r="B1740" t="s">
        <v>4319</v>
      </c>
      <c r="C1740" t="s">
        <v>4372</v>
      </c>
      <c r="F1740" t="s">
        <v>4321</v>
      </c>
      <c r="G1740" t="s">
        <v>20</v>
      </c>
      <c r="L1740" t="s">
        <v>736</v>
      </c>
    </row>
    <row r="1741" spans="1:12" ht="15.75" hidden="1" customHeight="1">
      <c r="A1741" t="s">
        <v>4373</v>
      </c>
      <c r="B1741" t="s">
        <v>4319</v>
      </c>
      <c r="C1741" t="s">
        <v>4374</v>
      </c>
      <c r="F1741" t="s">
        <v>4372</v>
      </c>
      <c r="G1741" t="s">
        <v>20</v>
      </c>
      <c r="L1741" t="s">
        <v>4324</v>
      </c>
    </row>
    <row r="1742" spans="1:12" ht="15.75" hidden="1" customHeight="1">
      <c r="A1742" t="s">
        <v>4375</v>
      </c>
      <c r="B1742" t="s">
        <v>4319</v>
      </c>
      <c r="C1742" t="s">
        <v>4376</v>
      </c>
      <c r="F1742" t="s">
        <v>4372</v>
      </c>
      <c r="G1742" t="s">
        <v>20</v>
      </c>
      <c r="L1742" t="s">
        <v>4324</v>
      </c>
    </row>
    <row r="1743" spans="1:12" ht="15.75" hidden="1" customHeight="1">
      <c r="A1743" t="s">
        <v>4377</v>
      </c>
      <c r="B1743" t="s">
        <v>4319</v>
      </c>
      <c r="C1743" t="s">
        <v>4378</v>
      </c>
      <c r="F1743" t="s">
        <v>4372</v>
      </c>
      <c r="G1743" t="s">
        <v>20</v>
      </c>
      <c r="L1743" t="s">
        <v>4324</v>
      </c>
    </row>
    <row r="1744" spans="1:12" ht="15.75" hidden="1" customHeight="1">
      <c r="A1744" t="s">
        <v>4379</v>
      </c>
      <c r="B1744" t="s">
        <v>4319</v>
      </c>
      <c r="C1744" t="s">
        <v>4380</v>
      </c>
      <c r="F1744" t="s">
        <v>4321</v>
      </c>
      <c r="G1744" t="s">
        <v>20</v>
      </c>
      <c r="L1744" t="s">
        <v>736</v>
      </c>
    </row>
    <row r="1745" spans="1:12" ht="15.75" hidden="1" customHeight="1">
      <c r="A1745" t="s">
        <v>4381</v>
      </c>
      <c r="B1745" t="s">
        <v>4319</v>
      </c>
      <c r="C1745" t="s">
        <v>4382</v>
      </c>
      <c r="F1745" t="s">
        <v>4380</v>
      </c>
      <c r="G1745" t="s">
        <v>20</v>
      </c>
      <c r="L1745" t="s">
        <v>4324</v>
      </c>
    </row>
    <row r="1746" spans="1:12" ht="15.75" hidden="1" customHeight="1">
      <c r="A1746" t="s">
        <v>4383</v>
      </c>
      <c r="B1746" t="s">
        <v>4319</v>
      </c>
      <c r="C1746" t="s">
        <v>4384</v>
      </c>
      <c r="F1746" t="s">
        <v>4380</v>
      </c>
      <c r="G1746" t="s">
        <v>20</v>
      </c>
      <c r="L1746" t="s">
        <v>4324</v>
      </c>
    </row>
    <row r="1747" spans="1:12" ht="15.75" hidden="1" customHeight="1">
      <c r="A1747" t="s">
        <v>4385</v>
      </c>
      <c r="B1747" t="s">
        <v>4319</v>
      </c>
      <c r="C1747" t="s">
        <v>4386</v>
      </c>
      <c r="F1747" t="s">
        <v>4380</v>
      </c>
      <c r="G1747" t="s">
        <v>20</v>
      </c>
      <c r="L1747" t="s">
        <v>4324</v>
      </c>
    </row>
    <row r="1748" spans="1:12" ht="15.75" hidden="1" customHeight="1">
      <c r="A1748" t="s">
        <v>4387</v>
      </c>
      <c r="B1748" t="s">
        <v>4319</v>
      </c>
      <c r="C1748" t="s">
        <v>4388</v>
      </c>
      <c r="F1748" t="s">
        <v>4380</v>
      </c>
      <c r="G1748" t="s">
        <v>20</v>
      </c>
      <c r="L1748" t="s">
        <v>4324</v>
      </c>
    </row>
    <row r="1749" spans="1:12" ht="15.75" hidden="1" customHeight="1">
      <c r="A1749" t="s">
        <v>4389</v>
      </c>
      <c r="B1749" t="s">
        <v>4319</v>
      </c>
      <c r="C1749" t="s">
        <v>4390</v>
      </c>
      <c r="F1749" t="s">
        <v>4380</v>
      </c>
      <c r="G1749" t="s">
        <v>20</v>
      </c>
      <c r="L1749" t="s">
        <v>4324</v>
      </c>
    </row>
    <row r="1750" spans="1:12" ht="15.75" hidden="1" customHeight="1">
      <c r="A1750" t="s">
        <v>4391</v>
      </c>
      <c r="B1750" t="s">
        <v>4319</v>
      </c>
      <c r="C1750" t="s">
        <v>4392</v>
      </c>
      <c r="F1750" t="s">
        <v>4321</v>
      </c>
      <c r="G1750" t="s">
        <v>20</v>
      </c>
      <c r="L1750" t="s">
        <v>736</v>
      </c>
    </row>
    <row r="1751" spans="1:12" ht="15.75" hidden="1" customHeight="1">
      <c r="A1751" t="s">
        <v>4393</v>
      </c>
      <c r="B1751" t="s">
        <v>4319</v>
      </c>
      <c r="C1751" t="s">
        <v>4394</v>
      </c>
      <c r="F1751" t="s">
        <v>4392</v>
      </c>
      <c r="G1751" t="s">
        <v>20</v>
      </c>
      <c r="L1751" t="s">
        <v>4324</v>
      </c>
    </row>
    <row r="1752" spans="1:12" ht="15.75" hidden="1" customHeight="1">
      <c r="A1752" t="s">
        <v>4395</v>
      </c>
      <c r="B1752" t="s">
        <v>4319</v>
      </c>
      <c r="C1752" t="s">
        <v>4396</v>
      </c>
      <c r="F1752" t="s">
        <v>4392</v>
      </c>
      <c r="G1752" t="s">
        <v>20</v>
      </c>
      <c r="L1752" t="s">
        <v>4324</v>
      </c>
    </row>
    <row r="1753" spans="1:12" ht="15.75" hidden="1" customHeight="1">
      <c r="A1753" t="s">
        <v>4397</v>
      </c>
      <c r="B1753" t="s">
        <v>4319</v>
      </c>
      <c r="C1753" t="s">
        <v>4398</v>
      </c>
      <c r="F1753" t="s">
        <v>4392</v>
      </c>
      <c r="G1753" t="s">
        <v>20</v>
      </c>
      <c r="L1753" t="s">
        <v>4324</v>
      </c>
    </row>
    <row r="1754" spans="1:12" ht="15.75" hidden="1" customHeight="1">
      <c r="A1754" t="s">
        <v>4399</v>
      </c>
      <c r="B1754" t="s">
        <v>4319</v>
      </c>
      <c r="C1754" t="s">
        <v>4400</v>
      </c>
      <c r="F1754" t="s">
        <v>4401</v>
      </c>
      <c r="G1754" t="s">
        <v>20</v>
      </c>
      <c r="L1754" t="s">
        <v>736</v>
      </c>
    </row>
    <row r="1755" spans="1:12" ht="15.75" hidden="1" customHeight="1">
      <c r="A1755" t="s">
        <v>4402</v>
      </c>
      <c r="B1755" t="s">
        <v>4319</v>
      </c>
      <c r="C1755" t="s">
        <v>4403</v>
      </c>
      <c r="F1755" t="s">
        <v>4400</v>
      </c>
      <c r="G1755" t="s">
        <v>20</v>
      </c>
      <c r="L1755" t="s">
        <v>4324</v>
      </c>
    </row>
    <row r="1756" spans="1:12" ht="15.75" hidden="1" customHeight="1">
      <c r="A1756" t="s">
        <v>4404</v>
      </c>
      <c r="B1756" t="s">
        <v>4319</v>
      </c>
      <c r="C1756" t="s">
        <v>4405</v>
      </c>
      <c r="F1756" t="s">
        <v>4400</v>
      </c>
      <c r="G1756" t="s">
        <v>20</v>
      </c>
      <c r="L1756" t="s">
        <v>4324</v>
      </c>
    </row>
    <row r="1757" spans="1:12" ht="15.75" hidden="1" customHeight="1">
      <c r="A1757" t="s">
        <v>4406</v>
      </c>
      <c r="B1757" t="s">
        <v>4319</v>
      </c>
      <c r="C1757" t="s">
        <v>4407</v>
      </c>
      <c r="F1757" t="s">
        <v>4400</v>
      </c>
      <c r="G1757" t="s">
        <v>20</v>
      </c>
      <c r="L1757" t="s">
        <v>4324</v>
      </c>
    </row>
    <row r="1758" spans="1:12" ht="15.75" hidden="1" customHeight="1">
      <c r="A1758" t="s">
        <v>4408</v>
      </c>
      <c r="B1758" t="s">
        <v>4319</v>
      </c>
      <c r="C1758" t="s">
        <v>4409</v>
      </c>
      <c r="F1758" t="s">
        <v>4401</v>
      </c>
      <c r="G1758" t="s">
        <v>20</v>
      </c>
      <c r="L1758" t="s">
        <v>736</v>
      </c>
    </row>
    <row r="1759" spans="1:12" ht="15.75" hidden="1" customHeight="1">
      <c r="A1759" t="s">
        <v>4410</v>
      </c>
      <c r="B1759" t="s">
        <v>4319</v>
      </c>
      <c r="C1759" t="s">
        <v>4411</v>
      </c>
      <c r="F1759" t="s">
        <v>4409</v>
      </c>
      <c r="G1759" t="s">
        <v>20</v>
      </c>
      <c r="L1759" t="s">
        <v>4324</v>
      </c>
    </row>
    <row r="1760" spans="1:12" ht="15.75" hidden="1" customHeight="1">
      <c r="A1760" t="s">
        <v>4412</v>
      </c>
      <c r="B1760" t="s">
        <v>4319</v>
      </c>
      <c r="C1760" t="s">
        <v>4413</v>
      </c>
      <c r="F1760" t="s">
        <v>4409</v>
      </c>
      <c r="G1760" t="s">
        <v>20</v>
      </c>
      <c r="L1760" t="s">
        <v>4324</v>
      </c>
    </row>
    <row r="1761" spans="1:12" ht="15.75" hidden="1" customHeight="1">
      <c r="A1761" t="s">
        <v>4414</v>
      </c>
      <c r="B1761" t="s">
        <v>4319</v>
      </c>
      <c r="C1761" t="s">
        <v>4415</v>
      </c>
      <c r="F1761" t="s">
        <v>4409</v>
      </c>
      <c r="G1761" t="s">
        <v>20</v>
      </c>
      <c r="L1761" t="s">
        <v>4324</v>
      </c>
    </row>
    <row r="1762" spans="1:12" ht="15.75" hidden="1" customHeight="1">
      <c r="A1762" t="s">
        <v>4416</v>
      </c>
      <c r="B1762" t="s">
        <v>4319</v>
      </c>
      <c r="C1762" t="s">
        <v>4417</v>
      </c>
      <c r="F1762" t="s">
        <v>4409</v>
      </c>
      <c r="G1762" t="s">
        <v>20</v>
      </c>
      <c r="L1762" t="s">
        <v>4324</v>
      </c>
    </row>
    <row r="1763" spans="1:12" ht="15.75" hidden="1" customHeight="1">
      <c r="A1763" t="s">
        <v>4418</v>
      </c>
      <c r="B1763" t="s">
        <v>4319</v>
      </c>
      <c r="C1763" t="s">
        <v>4419</v>
      </c>
      <c r="F1763" t="s">
        <v>4409</v>
      </c>
      <c r="G1763" t="s">
        <v>20</v>
      </c>
      <c r="L1763" t="s">
        <v>4324</v>
      </c>
    </row>
    <row r="1764" spans="1:12" ht="15.75" hidden="1" customHeight="1">
      <c r="A1764" t="s">
        <v>4420</v>
      </c>
      <c r="B1764" t="s">
        <v>4319</v>
      </c>
      <c r="C1764" t="s">
        <v>4421</v>
      </c>
      <c r="F1764" t="s">
        <v>4401</v>
      </c>
      <c r="G1764" t="s">
        <v>20</v>
      </c>
      <c r="L1764" t="s">
        <v>736</v>
      </c>
    </row>
    <row r="1765" spans="1:12" ht="15.75" hidden="1" customHeight="1">
      <c r="A1765" t="s">
        <v>4422</v>
      </c>
      <c r="B1765" t="s">
        <v>4319</v>
      </c>
      <c r="C1765" t="s">
        <v>4423</v>
      </c>
      <c r="F1765" t="s">
        <v>4421</v>
      </c>
      <c r="G1765" t="s">
        <v>20</v>
      </c>
      <c r="L1765" t="s">
        <v>4324</v>
      </c>
    </row>
    <row r="1766" spans="1:12" ht="15.75" hidden="1" customHeight="1">
      <c r="A1766" t="s">
        <v>4424</v>
      </c>
      <c r="B1766" t="s">
        <v>4319</v>
      </c>
      <c r="C1766" t="s">
        <v>4425</v>
      </c>
      <c r="F1766" t="s">
        <v>4421</v>
      </c>
      <c r="G1766" t="s">
        <v>20</v>
      </c>
      <c r="L1766" t="s">
        <v>4324</v>
      </c>
    </row>
    <row r="1767" spans="1:12" ht="15.75" hidden="1" customHeight="1">
      <c r="A1767" t="s">
        <v>4426</v>
      </c>
      <c r="B1767" t="s">
        <v>4319</v>
      </c>
      <c r="C1767" t="s">
        <v>4427</v>
      </c>
      <c r="F1767" t="s">
        <v>4421</v>
      </c>
      <c r="G1767" t="s">
        <v>20</v>
      </c>
      <c r="L1767" t="s">
        <v>4324</v>
      </c>
    </row>
    <row r="1768" spans="1:12" ht="15.75" hidden="1" customHeight="1">
      <c r="A1768" t="s">
        <v>4428</v>
      </c>
      <c r="B1768" t="s">
        <v>4319</v>
      </c>
      <c r="C1768" t="s">
        <v>4429</v>
      </c>
      <c r="F1768" t="s">
        <v>4421</v>
      </c>
      <c r="G1768" t="s">
        <v>20</v>
      </c>
      <c r="L1768" t="s">
        <v>4324</v>
      </c>
    </row>
    <row r="1769" spans="1:12" ht="15.75" hidden="1" customHeight="1">
      <c r="A1769" t="s">
        <v>4430</v>
      </c>
      <c r="B1769" t="s">
        <v>4319</v>
      </c>
      <c r="C1769" t="s">
        <v>4431</v>
      </c>
      <c r="F1769" t="s">
        <v>4401</v>
      </c>
      <c r="G1769" t="s">
        <v>20</v>
      </c>
      <c r="L1769" t="s">
        <v>736</v>
      </c>
    </row>
    <row r="1770" spans="1:12" ht="15.75" hidden="1" customHeight="1">
      <c r="A1770" t="s">
        <v>4432</v>
      </c>
      <c r="B1770" t="s">
        <v>4319</v>
      </c>
      <c r="C1770" t="s">
        <v>4433</v>
      </c>
      <c r="F1770" t="s">
        <v>4431</v>
      </c>
      <c r="G1770" t="s">
        <v>20</v>
      </c>
      <c r="L1770" t="s">
        <v>4324</v>
      </c>
    </row>
    <row r="1771" spans="1:12" ht="15.75" hidden="1" customHeight="1">
      <c r="A1771" t="s">
        <v>4434</v>
      </c>
      <c r="B1771" t="s">
        <v>4319</v>
      </c>
      <c r="C1771" t="s">
        <v>4435</v>
      </c>
      <c r="F1771" t="s">
        <v>4431</v>
      </c>
      <c r="G1771" t="s">
        <v>20</v>
      </c>
      <c r="L1771" t="s">
        <v>4324</v>
      </c>
    </row>
    <row r="1772" spans="1:12" ht="15.75" hidden="1" customHeight="1">
      <c r="A1772" t="s">
        <v>4436</v>
      </c>
      <c r="B1772" t="s">
        <v>4319</v>
      </c>
      <c r="C1772" t="s">
        <v>4437</v>
      </c>
      <c r="F1772" t="s">
        <v>4431</v>
      </c>
      <c r="G1772" t="s">
        <v>20</v>
      </c>
      <c r="L1772" t="s">
        <v>4324</v>
      </c>
    </row>
    <row r="1773" spans="1:12" ht="15.75" hidden="1" customHeight="1">
      <c r="A1773" t="s">
        <v>4438</v>
      </c>
      <c r="B1773" t="s">
        <v>4319</v>
      </c>
      <c r="C1773" t="s">
        <v>4439</v>
      </c>
      <c r="F1773" t="s">
        <v>4401</v>
      </c>
      <c r="G1773" t="s">
        <v>20</v>
      </c>
      <c r="L1773" t="s">
        <v>736</v>
      </c>
    </row>
    <row r="1774" spans="1:12" ht="15.75" hidden="1" customHeight="1">
      <c r="A1774" t="s">
        <v>4440</v>
      </c>
      <c r="B1774" t="s">
        <v>4319</v>
      </c>
      <c r="C1774" t="s">
        <v>4441</v>
      </c>
      <c r="F1774" t="s">
        <v>4439</v>
      </c>
      <c r="G1774" t="s">
        <v>20</v>
      </c>
      <c r="L1774" t="s">
        <v>4324</v>
      </c>
    </row>
    <row r="1775" spans="1:12" ht="15.75" hidden="1" customHeight="1">
      <c r="A1775" t="s">
        <v>4442</v>
      </c>
      <c r="B1775" t="s">
        <v>4319</v>
      </c>
      <c r="C1775" t="s">
        <v>4443</v>
      </c>
      <c r="F1775" t="s">
        <v>4439</v>
      </c>
      <c r="G1775" t="s">
        <v>20</v>
      </c>
      <c r="L1775" t="s">
        <v>4324</v>
      </c>
    </row>
    <row r="1776" spans="1:12" ht="15.75" hidden="1" customHeight="1">
      <c r="A1776" t="s">
        <v>4444</v>
      </c>
      <c r="B1776" t="s">
        <v>4319</v>
      </c>
      <c r="C1776" t="s">
        <v>4445</v>
      </c>
      <c r="F1776" t="s">
        <v>4439</v>
      </c>
      <c r="G1776" t="s">
        <v>20</v>
      </c>
      <c r="L1776" t="s">
        <v>4324</v>
      </c>
    </row>
    <row r="1777" spans="1:12" ht="15.75" hidden="1" customHeight="1">
      <c r="A1777" t="s">
        <v>4446</v>
      </c>
      <c r="B1777" t="s">
        <v>4319</v>
      </c>
      <c r="C1777" t="s">
        <v>4447</v>
      </c>
      <c r="F1777" t="s">
        <v>4439</v>
      </c>
      <c r="G1777" t="s">
        <v>20</v>
      </c>
      <c r="L1777" t="s">
        <v>4324</v>
      </c>
    </row>
    <row r="1778" spans="1:12" ht="15.75" hidden="1" customHeight="1">
      <c r="A1778" t="s">
        <v>4448</v>
      </c>
      <c r="B1778" t="s">
        <v>4319</v>
      </c>
      <c r="C1778" t="s">
        <v>4449</v>
      </c>
      <c r="F1778" t="s">
        <v>4439</v>
      </c>
      <c r="G1778" t="s">
        <v>20</v>
      </c>
      <c r="L1778" t="s">
        <v>4324</v>
      </c>
    </row>
    <row r="1779" spans="1:12" ht="15.75" hidden="1" customHeight="1">
      <c r="A1779" t="s">
        <v>4450</v>
      </c>
      <c r="B1779" t="s">
        <v>4319</v>
      </c>
      <c r="C1779" t="s">
        <v>4451</v>
      </c>
      <c r="F1779" t="s">
        <v>4401</v>
      </c>
      <c r="G1779" t="s">
        <v>20</v>
      </c>
      <c r="L1779" t="s">
        <v>736</v>
      </c>
    </row>
    <row r="1780" spans="1:12" ht="15.75" hidden="1" customHeight="1">
      <c r="A1780" t="s">
        <v>4452</v>
      </c>
      <c r="B1780" t="s">
        <v>4319</v>
      </c>
      <c r="C1780" t="s">
        <v>4453</v>
      </c>
      <c r="F1780" t="s">
        <v>4451</v>
      </c>
      <c r="G1780" t="s">
        <v>20</v>
      </c>
      <c r="L1780" t="s">
        <v>4324</v>
      </c>
    </row>
    <row r="1781" spans="1:12" ht="15.75" hidden="1" customHeight="1">
      <c r="A1781" t="s">
        <v>4454</v>
      </c>
      <c r="B1781" t="s">
        <v>4319</v>
      </c>
      <c r="C1781" t="s">
        <v>4455</v>
      </c>
      <c r="F1781" t="s">
        <v>4451</v>
      </c>
      <c r="G1781" t="s">
        <v>20</v>
      </c>
      <c r="L1781" t="s">
        <v>4324</v>
      </c>
    </row>
    <row r="1782" spans="1:12" ht="15.75" hidden="1" customHeight="1">
      <c r="A1782" t="s">
        <v>4456</v>
      </c>
      <c r="B1782" t="s">
        <v>4319</v>
      </c>
      <c r="C1782" t="s">
        <v>4457</v>
      </c>
      <c r="F1782" t="s">
        <v>4451</v>
      </c>
      <c r="G1782" t="s">
        <v>20</v>
      </c>
      <c r="L1782" t="s">
        <v>4324</v>
      </c>
    </row>
    <row r="1783" spans="1:12" ht="15.75" hidden="1" customHeight="1">
      <c r="A1783" t="s">
        <v>4458</v>
      </c>
      <c r="B1783" t="s">
        <v>4319</v>
      </c>
      <c r="C1783" t="s">
        <v>4459</v>
      </c>
      <c r="F1783" t="s">
        <v>4451</v>
      </c>
      <c r="G1783" t="s">
        <v>20</v>
      </c>
      <c r="L1783" t="s">
        <v>4324</v>
      </c>
    </row>
    <row r="1784" spans="1:12" ht="15.75" hidden="1" customHeight="1">
      <c r="A1784" t="s">
        <v>4460</v>
      </c>
      <c r="B1784" t="s">
        <v>4319</v>
      </c>
      <c r="C1784" t="s">
        <v>4461</v>
      </c>
      <c r="F1784" t="s">
        <v>4451</v>
      </c>
      <c r="G1784" t="s">
        <v>20</v>
      </c>
      <c r="L1784" t="s">
        <v>4324</v>
      </c>
    </row>
    <row r="1785" spans="1:12" ht="15.75" hidden="1" customHeight="1">
      <c r="A1785" t="s">
        <v>4462</v>
      </c>
      <c r="B1785" t="s">
        <v>4319</v>
      </c>
      <c r="C1785" t="s">
        <v>4463</v>
      </c>
      <c r="F1785" t="s">
        <v>4401</v>
      </c>
      <c r="G1785" t="s">
        <v>20</v>
      </c>
      <c r="L1785" t="s">
        <v>736</v>
      </c>
    </row>
    <row r="1786" spans="1:12" ht="15.75" hidden="1" customHeight="1">
      <c r="A1786" t="s">
        <v>4464</v>
      </c>
      <c r="B1786" t="s">
        <v>4319</v>
      </c>
      <c r="C1786" t="s">
        <v>4465</v>
      </c>
      <c r="F1786" t="s">
        <v>4463</v>
      </c>
      <c r="G1786" t="s">
        <v>20</v>
      </c>
      <c r="L1786" t="s">
        <v>4324</v>
      </c>
    </row>
    <row r="1787" spans="1:12" ht="15.75" hidden="1" customHeight="1">
      <c r="A1787" t="s">
        <v>4466</v>
      </c>
      <c r="B1787" t="s">
        <v>4319</v>
      </c>
      <c r="C1787" t="s">
        <v>4467</v>
      </c>
      <c r="F1787" t="s">
        <v>4463</v>
      </c>
      <c r="G1787" t="s">
        <v>20</v>
      </c>
      <c r="L1787" t="s">
        <v>4324</v>
      </c>
    </row>
    <row r="1788" spans="1:12" ht="15.75" hidden="1" customHeight="1">
      <c r="A1788" t="s">
        <v>4468</v>
      </c>
      <c r="B1788" t="s">
        <v>4319</v>
      </c>
      <c r="C1788" t="s">
        <v>4469</v>
      </c>
      <c r="F1788" t="s">
        <v>4463</v>
      </c>
      <c r="G1788" t="s">
        <v>20</v>
      </c>
      <c r="L1788" t="s">
        <v>4324</v>
      </c>
    </row>
    <row r="1789" spans="1:12" ht="15.75" hidden="1" customHeight="1">
      <c r="A1789" t="s">
        <v>4470</v>
      </c>
      <c r="B1789" t="s">
        <v>4319</v>
      </c>
      <c r="C1789" t="s">
        <v>4471</v>
      </c>
      <c r="F1789" t="s">
        <v>4463</v>
      </c>
      <c r="G1789" t="s">
        <v>20</v>
      </c>
      <c r="L1789" t="s">
        <v>4324</v>
      </c>
    </row>
    <row r="1790" spans="1:12" ht="15.75" hidden="1" customHeight="1">
      <c r="A1790" t="s">
        <v>4472</v>
      </c>
      <c r="B1790" t="s">
        <v>4319</v>
      </c>
      <c r="C1790" t="s">
        <v>4473</v>
      </c>
      <c r="F1790" t="s">
        <v>4401</v>
      </c>
      <c r="G1790" t="s">
        <v>20</v>
      </c>
      <c r="L1790" t="s">
        <v>736</v>
      </c>
    </row>
    <row r="1791" spans="1:12" ht="15.75" hidden="1" customHeight="1">
      <c r="A1791" t="s">
        <v>4474</v>
      </c>
      <c r="B1791" t="s">
        <v>4319</v>
      </c>
      <c r="C1791" t="s">
        <v>4475</v>
      </c>
      <c r="F1791" t="s">
        <v>4473</v>
      </c>
      <c r="G1791" t="s">
        <v>20</v>
      </c>
      <c r="L1791" t="s">
        <v>4324</v>
      </c>
    </row>
    <row r="1792" spans="1:12" ht="15.75" hidden="1" customHeight="1">
      <c r="A1792" t="s">
        <v>4476</v>
      </c>
      <c r="B1792" t="s">
        <v>4319</v>
      </c>
      <c r="C1792" t="s">
        <v>4477</v>
      </c>
      <c r="F1792" t="s">
        <v>4473</v>
      </c>
      <c r="G1792" t="s">
        <v>20</v>
      </c>
      <c r="L1792" t="s">
        <v>4324</v>
      </c>
    </row>
    <row r="1793" spans="1:12" ht="15.75" hidden="1" customHeight="1">
      <c r="A1793" t="s">
        <v>4478</v>
      </c>
      <c r="B1793" t="s">
        <v>4319</v>
      </c>
      <c r="C1793" t="s">
        <v>4479</v>
      </c>
      <c r="F1793" t="s">
        <v>4473</v>
      </c>
      <c r="G1793" t="s">
        <v>20</v>
      </c>
      <c r="L1793" t="s">
        <v>4324</v>
      </c>
    </row>
    <row r="1794" spans="1:12" ht="15.75" hidden="1" customHeight="1">
      <c r="A1794" t="s">
        <v>4480</v>
      </c>
      <c r="B1794" t="s">
        <v>4319</v>
      </c>
      <c r="C1794" t="s">
        <v>4481</v>
      </c>
      <c r="F1794" t="s">
        <v>4482</v>
      </c>
      <c r="G1794" t="s">
        <v>20</v>
      </c>
      <c r="L1794" t="s">
        <v>736</v>
      </c>
    </row>
    <row r="1795" spans="1:12" ht="15.75" hidden="1" customHeight="1">
      <c r="A1795" t="s">
        <v>4483</v>
      </c>
      <c r="B1795" t="s">
        <v>4319</v>
      </c>
      <c r="C1795" t="s">
        <v>4484</v>
      </c>
      <c r="F1795" t="s">
        <v>4481</v>
      </c>
      <c r="G1795" t="s">
        <v>20</v>
      </c>
      <c r="L1795" t="s">
        <v>4324</v>
      </c>
    </row>
    <row r="1796" spans="1:12" ht="15.75" hidden="1" customHeight="1">
      <c r="A1796" t="s">
        <v>4485</v>
      </c>
      <c r="B1796" t="s">
        <v>4319</v>
      </c>
      <c r="C1796" t="s">
        <v>4486</v>
      </c>
      <c r="F1796" t="s">
        <v>4481</v>
      </c>
      <c r="G1796" t="s">
        <v>20</v>
      </c>
      <c r="L1796" t="s">
        <v>4324</v>
      </c>
    </row>
    <row r="1797" spans="1:12" ht="15.75" hidden="1" customHeight="1">
      <c r="A1797" t="s">
        <v>4487</v>
      </c>
      <c r="B1797" t="s">
        <v>4319</v>
      </c>
      <c r="C1797" t="s">
        <v>4488</v>
      </c>
      <c r="F1797" t="s">
        <v>4481</v>
      </c>
      <c r="G1797" t="s">
        <v>20</v>
      </c>
      <c r="L1797" t="s">
        <v>4324</v>
      </c>
    </row>
    <row r="1798" spans="1:12" ht="15.75" hidden="1" customHeight="1">
      <c r="A1798" t="s">
        <v>4489</v>
      </c>
      <c r="B1798" t="s">
        <v>4319</v>
      </c>
      <c r="C1798" t="s">
        <v>4490</v>
      </c>
      <c r="F1798" t="s">
        <v>4481</v>
      </c>
      <c r="G1798" t="s">
        <v>20</v>
      </c>
      <c r="L1798" t="s">
        <v>4324</v>
      </c>
    </row>
    <row r="1799" spans="1:12" ht="15.75" hidden="1" customHeight="1">
      <c r="A1799" t="s">
        <v>4491</v>
      </c>
      <c r="B1799" t="s">
        <v>4319</v>
      </c>
      <c r="C1799" t="s">
        <v>4492</v>
      </c>
      <c r="F1799" t="s">
        <v>4481</v>
      </c>
      <c r="G1799" t="s">
        <v>20</v>
      </c>
      <c r="L1799" t="s">
        <v>4324</v>
      </c>
    </row>
    <row r="1800" spans="1:12" ht="15.75" hidden="1" customHeight="1">
      <c r="A1800" t="s">
        <v>4493</v>
      </c>
      <c r="B1800" t="s">
        <v>4319</v>
      </c>
      <c r="C1800" t="s">
        <v>4494</v>
      </c>
      <c r="F1800" t="s">
        <v>4482</v>
      </c>
      <c r="G1800" t="s">
        <v>20</v>
      </c>
      <c r="L1800" t="s">
        <v>736</v>
      </c>
    </row>
    <row r="1801" spans="1:12" ht="15.75" hidden="1" customHeight="1">
      <c r="A1801" t="s">
        <v>4495</v>
      </c>
      <c r="B1801" t="s">
        <v>4319</v>
      </c>
      <c r="C1801" t="s">
        <v>4496</v>
      </c>
      <c r="F1801" t="s">
        <v>4494</v>
      </c>
      <c r="G1801" t="s">
        <v>20</v>
      </c>
      <c r="L1801" t="s">
        <v>4324</v>
      </c>
    </row>
    <row r="1802" spans="1:12" ht="15.75" hidden="1" customHeight="1">
      <c r="A1802" t="s">
        <v>4497</v>
      </c>
      <c r="B1802" t="s">
        <v>4319</v>
      </c>
      <c r="C1802" t="s">
        <v>4498</v>
      </c>
      <c r="F1802" t="s">
        <v>4494</v>
      </c>
      <c r="G1802" t="s">
        <v>20</v>
      </c>
      <c r="L1802" t="s">
        <v>4324</v>
      </c>
    </row>
    <row r="1803" spans="1:12" ht="15.75" hidden="1" customHeight="1">
      <c r="A1803" t="s">
        <v>4499</v>
      </c>
      <c r="B1803" t="s">
        <v>4319</v>
      </c>
      <c r="C1803" t="s">
        <v>4500</v>
      </c>
      <c r="F1803" t="s">
        <v>4494</v>
      </c>
      <c r="G1803" t="s">
        <v>20</v>
      </c>
      <c r="L1803" t="s">
        <v>4324</v>
      </c>
    </row>
    <row r="1804" spans="1:12" ht="15.75" hidden="1" customHeight="1">
      <c r="A1804" t="s">
        <v>4501</v>
      </c>
      <c r="B1804" t="s">
        <v>4319</v>
      </c>
      <c r="C1804" t="s">
        <v>4502</v>
      </c>
      <c r="F1804" t="s">
        <v>4494</v>
      </c>
      <c r="G1804" t="s">
        <v>20</v>
      </c>
      <c r="L1804" t="s">
        <v>4324</v>
      </c>
    </row>
    <row r="1805" spans="1:12" ht="15.75" hidden="1" customHeight="1">
      <c r="A1805" t="s">
        <v>4503</v>
      </c>
      <c r="B1805" t="s">
        <v>4319</v>
      </c>
      <c r="C1805" t="s">
        <v>4504</v>
      </c>
      <c r="F1805" t="s">
        <v>4494</v>
      </c>
      <c r="G1805" t="s">
        <v>20</v>
      </c>
      <c r="L1805" t="s">
        <v>4324</v>
      </c>
    </row>
    <row r="1806" spans="1:12" ht="15.75" hidden="1" customHeight="1">
      <c r="A1806" t="s">
        <v>4505</v>
      </c>
      <c r="B1806" t="s">
        <v>4319</v>
      </c>
      <c r="C1806" t="s">
        <v>4506</v>
      </c>
      <c r="F1806" t="s">
        <v>4482</v>
      </c>
      <c r="G1806" t="s">
        <v>20</v>
      </c>
      <c r="L1806" t="s">
        <v>736</v>
      </c>
    </row>
    <row r="1807" spans="1:12" ht="15.75" hidden="1" customHeight="1">
      <c r="A1807" t="s">
        <v>4507</v>
      </c>
      <c r="B1807" t="s">
        <v>4319</v>
      </c>
      <c r="C1807" t="s">
        <v>4508</v>
      </c>
      <c r="F1807" t="s">
        <v>4506</v>
      </c>
      <c r="G1807" t="s">
        <v>20</v>
      </c>
      <c r="L1807" t="s">
        <v>4324</v>
      </c>
    </row>
    <row r="1808" spans="1:12" ht="15.75" hidden="1" customHeight="1">
      <c r="A1808" t="s">
        <v>4509</v>
      </c>
      <c r="B1808" t="s">
        <v>4319</v>
      </c>
      <c r="C1808" t="s">
        <v>4510</v>
      </c>
      <c r="F1808" t="s">
        <v>4506</v>
      </c>
      <c r="G1808" t="s">
        <v>20</v>
      </c>
      <c r="L1808" t="s">
        <v>4324</v>
      </c>
    </row>
    <row r="1809" spans="1:12" ht="15.75" hidden="1" customHeight="1">
      <c r="A1809" t="s">
        <v>4511</v>
      </c>
      <c r="B1809" t="s">
        <v>4319</v>
      </c>
      <c r="C1809" t="s">
        <v>4512</v>
      </c>
      <c r="F1809" t="s">
        <v>4506</v>
      </c>
      <c r="G1809" t="s">
        <v>20</v>
      </c>
      <c r="L1809" t="s">
        <v>4324</v>
      </c>
    </row>
    <row r="1810" spans="1:12" ht="15.75" hidden="1" customHeight="1">
      <c r="A1810" t="s">
        <v>4513</v>
      </c>
      <c r="B1810" t="s">
        <v>4319</v>
      </c>
      <c r="C1810" t="s">
        <v>4514</v>
      </c>
      <c r="F1810" t="s">
        <v>4506</v>
      </c>
      <c r="G1810" t="s">
        <v>20</v>
      </c>
      <c r="L1810" t="s">
        <v>4324</v>
      </c>
    </row>
    <row r="1811" spans="1:12" ht="15.75" hidden="1" customHeight="1">
      <c r="A1811" t="s">
        <v>4515</v>
      </c>
      <c r="B1811" t="s">
        <v>4319</v>
      </c>
      <c r="C1811" t="s">
        <v>4516</v>
      </c>
      <c r="F1811" t="s">
        <v>4506</v>
      </c>
      <c r="G1811" t="s">
        <v>20</v>
      </c>
      <c r="L1811" t="s">
        <v>4324</v>
      </c>
    </row>
    <row r="1812" spans="1:12" ht="15.75" hidden="1" customHeight="1">
      <c r="A1812" t="s">
        <v>4517</v>
      </c>
      <c r="B1812" t="s">
        <v>4319</v>
      </c>
      <c r="C1812" t="s">
        <v>4518</v>
      </c>
      <c r="F1812" t="s">
        <v>4506</v>
      </c>
      <c r="G1812" t="s">
        <v>20</v>
      </c>
      <c r="L1812" t="s">
        <v>4324</v>
      </c>
    </row>
    <row r="1813" spans="1:12" ht="15.75" hidden="1" customHeight="1">
      <c r="A1813" t="s">
        <v>4519</v>
      </c>
      <c r="B1813" t="s">
        <v>4319</v>
      </c>
      <c r="C1813" t="s">
        <v>4520</v>
      </c>
      <c r="F1813" t="s">
        <v>4506</v>
      </c>
      <c r="G1813" t="s">
        <v>20</v>
      </c>
      <c r="L1813" t="s">
        <v>4324</v>
      </c>
    </row>
    <row r="1814" spans="1:12" ht="15.75" hidden="1" customHeight="1">
      <c r="A1814" t="s">
        <v>4521</v>
      </c>
      <c r="B1814" t="s">
        <v>4319</v>
      </c>
      <c r="C1814" t="s">
        <v>4522</v>
      </c>
      <c r="F1814" t="s">
        <v>4506</v>
      </c>
      <c r="G1814" t="s">
        <v>20</v>
      </c>
      <c r="L1814" t="s">
        <v>4324</v>
      </c>
    </row>
    <row r="1815" spans="1:12" ht="15.75" hidden="1" customHeight="1">
      <c r="A1815" t="s">
        <v>4523</v>
      </c>
      <c r="B1815" t="s">
        <v>4319</v>
      </c>
      <c r="C1815" t="s">
        <v>4524</v>
      </c>
      <c r="F1815" t="s">
        <v>4482</v>
      </c>
      <c r="G1815" t="s">
        <v>20</v>
      </c>
      <c r="L1815" t="s">
        <v>736</v>
      </c>
    </row>
    <row r="1816" spans="1:12" ht="15.75" hidden="1" customHeight="1">
      <c r="A1816" t="s">
        <v>4525</v>
      </c>
      <c r="B1816" t="s">
        <v>4319</v>
      </c>
      <c r="C1816" t="s">
        <v>4526</v>
      </c>
      <c r="F1816" t="s">
        <v>4524</v>
      </c>
      <c r="G1816" t="s">
        <v>20</v>
      </c>
      <c r="L1816" t="s">
        <v>4324</v>
      </c>
    </row>
    <row r="1817" spans="1:12" ht="15.75" hidden="1" customHeight="1">
      <c r="A1817" t="s">
        <v>4527</v>
      </c>
      <c r="B1817" t="s">
        <v>4319</v>
      </c>
      <c r="C1817" t="s">
        <v>4528</v>
      </c>
      <c r="F1817" t="s">
        <v>4524</v>
      </c>
      <c r="G1817" t="s">
        <v>20</v>
      </c>
      <c r="L1817" t="s">
        <v>4324</v>
      </c>
    </row>
    <row r="1818" spans="1:12" ht="15.75" hidden="1" customHeight="1">
      <c r="A1818" t="s">
        <v>4529</v>
      </c>
      <c r="B1818" t="s">
        <v>4319</v>
      </c>
      <c r="C1818" t="s">
        <v>4530</v>
      </c>
      <c r="F1818" t="s">
        <v>4531</v>
      </c>
      <c r="G1818" t="s">
        <v>20</v>
      </c>
      <c r="L1818" t="s">
        <v>736</v>
      </c>
    </row>
    <row r="1819" spans="1:12" ht="15.75" hidden="1" customHeight="1">
      <c r="A1819" t="s">
        <v>4532</v>
      </c>
      <c r="B1819" t="s">
        <v>4319</v>
      </c>
      <c r="C1819" t="s">
        <v>4533</v>
      </c>
      <c r="F1819" t="s">
        <v>4530</v>
      </c>
      <c r="G1819" t="s">
        <v>20</v>
      </c>
      <c r="L1819" t="s">
        <v>4324</v>
      </c>
    </row>
    <row r="1820" spans="1:12" ht="15.75" hidden="1" customHeight="1">
      <c r="A1820" t="s">
        <v>4534</v>
      </c>
      <c r="B1820" t="s">
        <v>4319</v>
      </c>
      <c r="C1820" t="s">
        <v>4535</v>
      </c>
      <c r="F1820" t="s">
        <v>4530</v>
      </c>
      <c r="G1820" t="s">
        <v>20</v>
      </c>
      <c r="L1820" t="s">
        <v>4324</v>
      </c>
    </row>
    <row r="1821" spans="1:12" ht="15.75" hidden="1" customHeight="1">
      <c r="A1821" t="s">
        <v>4536</v>
      </c>
      <c r="B1821" t="s">
        <v>4319</v>
      </c>
      <c r="C1821" t="s">
        <v>4537</v>
      </c>
      <c r="F1821" t="s">
        <v>4531</v>
      </c>
      <c r="G1821" t="s">
        <v>20</v>
      </c>
      <c r="L1821" t="s">
        <v>736</v>
      </c>
    </row>
    <row r="1822" spans="1:12" ht="15.75" hidden="1" customHeight="1">
      <c r="A1822" t="s">
        <v>4538</v>
      </c>
      <c r="B1822" t="s">
        <v>4319</v>
      </c>
      <c r="C1822" t="s">
        <v>4539</v>
      </c>
      <c r="F1822" t="s">
        <v>4537</v>
      </c>
      <c r="G1822" t="s">
        <v>20</v>
      </c>
      <c r="L1822" t="s">
        <v>4324</v>
      </c>
    </row>
    <row r="1823" spans="1:12" ht="15.75" hidden="1" customHeight="1">
      <c r="A1823" t="s">
        <v>4540</v>
      </c>
      <c r="B1823" t="s">
        <v>4319</v>
      </c>
      <c r="C1823" t="s">
        <v>4541</v>
      </c>
      <c r="F1823" t="s">
        <v>4537</v>
      </c>
      <c r="G1823" t="s">
        <v>20</v>
      </c>
      <c r="L1823" t="s">
        <v>4324</v>
      </c>
    </row>
    <row r="1824" spans="1:12" ht="15.75" hidden="1" customHeight="1">
      <c r="A1824" t="s">
        <v>4542</v>
      </c>
      <c r="B1824" t="s">
        <v>4319</v>
      </c>
      <c r="C1824" t="s">
        <v>4543</v>
      </c>
      <c r="F1824" t="s">
        <v>4537</v>
      </c>
      <c r="G1824" t="s">
        <v>20</v>
      </c>
      <c r="L1824" t="s">
        <v>4324</v>
      </c>
    </row>
    <row r="1825" spans="1:12" ht="15.75" hidden="1" customHeight="1">
      <c r="A1825" t="s">
        <v>4544</v>
      </c>
      <c r="B1825" t="s">
        <v>4319</v>
      </c>
      <c r="C1825" t="s">
        <v>4545</v>
      </c>
      <c r="F1825" t="s">
        <v>4537</v>
      </c>
      <c r="G1825" t="s">
        <v>20</v>
      </c>
      <c r="L1825" t="s">
        <v>4324</v>
      </c>
    </row>
    <row r="1826" spans="1:12" ht="15.75" hidden="1" customHeight="1">
      <c r="A1826" t="s">
        <v>4546</v>
      </c>
      <c r="B1826" t="s">
        <v>4319</v>
      </c>
      <c r="C1826" t="s">
        <v>4547</v>
      </c>
      <c r="F1826" t="s">
        <v>4531</v>
      </c>
      <c r="G1826" t="s">
        <v>20</v>
      </c>
      <c r="L1826" t="s">
        <v>736</v>
      </c>
    </row>
    <row r="1827" spans="1:12" ht="15.75" hidden="1" customHeight="1">
      <c r="A1827" t="s">
        <v>4548</v>
      </c>
      <c r="B1827" t="s">
        <v>4319</v>
      </c>
      <c r="C1827" t="s">
        <v>4549</v>
      </c>
      <c r="F1827" t="s">
        <v>4547</v>
      </c>
      <c r="G1827" t="s">
        <v>20</v>
      </c>
      <c r="L1827" t="s">
        <v>4324</v>
      </c>
    </row>
    <row r="1828" spans="1:12" ht="15.75" hidden="1" customHeight="1">
      <c r="A1828" t="s">
        <v>4550</v>
      </c>
      <c r="B1828" t="s">
        <v>4319</v>
      </c>
      <c r="C1828" t="s">
        <v>4551</v>
      </c>
      <c r="F1828" t="s">
        <v>4547</v>
      </c>
      <c r="G1828" t="s">
        <v>20</v>
      </c>
      <c r="L1828" t="s">
        <v>4324</v>
      </c>
    </row>
    <row r="1829" spans="1:12" ht="15.75" hidden="1" customHeight="1">
      <c r="A1829" t="s">
        <v>4552</v>
      </c>
      <c r="B1829" t="s">
        <v>4319</v>
      </c>
      <c r="C1829" t="s">
        <v>4553</v>
      </c>
      <c r="F1829" t="s">
        <v>4547</v>
      </c>
      <c r="G1829" t="s">
        <v>20</v>
      </c>
      <c r="L1829" t="s">
        <v>4324</v>
      </c>
    </row>
    <row r="1830" spans="1:12" ht="15.75" hidden="1" customHeight="1">
      <c r="A1830" t="s">
        <v>4554</v>
      </c>
      <c r="B1830" t="s">
        <v>4319</v>
      </c>
      <c r="C1830" t="s">
        <v>4555</v>
      </c>
      <c r="F1830" t="s">
        <v>4547</v>
      </c>
      <c r="G1830" t="s">
        <v>20</v>
      </c>
      <c r="L1830" t="s">
        <v>4324</v>
      </c>
    </row>
    <row r="1831" spans="1:12" ht="15.75" hidden="1" customHeight="1">
      <c r="A1831" t="s">
        <v>4556</v>
      </c>
      <c r="B1831" t="s">
        <v>4319</v>
      </c>
      <c r="C1831" t="s">
        <v>4557</v>
      </c>
      <c r="F1831" t="s">
        <v>4547</v>
      </c>
      <c r="G1831" t="s">
        <v>20</v>
      </c>
      <c r="L1831" t="s">
        <v>4324</v>
      </c>
    </row>
    <row r="1832" spans="1:12" ht="15.75" hidden="1" customHeight="1">
      <c r="A1832" t="s">
        <v>4558</v>
      </c>
      <c r="B1832" t="s">
        <v>4319</v>
      </c>
      <c r="C1832" t="s">
        <v>4559</v>
      </c>
      <c r="F1832" t="s">
        <v>4531</v>
      </c>
      <c r="G1832" t="s">
        <v>20</v>
      </c>
      <c r="L1832" t="s">
        <v>736</v>
      </c>
    </row>
    <row r="1833" spans="1:12" ht="15.75" hidden="1" customHeight="1">
      <c r="A1833" t="s">
        <v>4560</v>
      </c>
      <c r="B1833" t="s">
        <v>4319</v>
      </c>
      <c r="C1833" t="s">
        <v>4561</v>
      </c>
      <c r="F1833" t="s">
        <v>4559</v>
      </c>
      <c r="G1833" t="s">
        <v>20</v>
      </c>
      <c r="L1833" t="s">
        <v>4324</v>
      </c>
    </row>
    <row r="1834" spans="1:12" ht="15.75" hidden="1" customHeight="1">
      <c r="A1834" t="s">
        <v>4562</v>
      </c>
      <c r="B1834" t="s">
        <v>4319</v>
      </c>
      <c r="C1834" t="s">
        <v>4563</v>
      </c>
      <c r="F1834" t="s">
        <v>4559</v>
      </c>
      <c r="G1834" t="s">
        <v>20</v>
      </c>
      <c r="L1834" t="s">
        <v>4324</v>
      </c>
    </row>
    <row r="1835" spans="1:12" ht="15.75" hidden="1" customHeight="1">
      <c r="A1835" t="s">
        <v>4564</v>
      </c>
      <c r="B1835" t="s">
        <v>4319</v>
      </c>
      <c r="C1835" t="s">
        <v>4565</v>
      </c>
      <c r="F1835" t="s">
        <v>4559</v>
      </c>
      <c r="G1835" t="s">
        <v>20</v>
      </c>
      <c r="L1835" t="s">
        <v>4324</v>
      </c>
    </row>
    <row r="1836" spans="1:12" ht="15.75" hidden="1" customHeight="1">
      <c r="A1836" t="s">
        <v>4566</v>
      </c>
      <c r="B1836" t="s">
        <v>4319</v>
      </c>
      <c r="C1836" t="s">
        <v>4567</v>
      </c>
      <c r="F1836" t="s">
        <v>4531</v>
      </c>
      <c r="G1836" t="s">
        <v>20</v>
      </c>
      <c r="L1836" t="s">
        <v>736</v>
      </c>
    </row>
    <row r="1837" spans="1:12" ht="15.75" hidden="1" customHeight="1">
      <c r="A1837" t="s">
        <v>4568</v>
      </c>
      <c r="B1837" t="s">
        <v>4319</v>
      </c>
      <c r="C1837" t="s">
        <v>4569</v>
      </c>
      <c r="F1837" t="s">
        <v>4567</v>
      </c>
      <c r="G1837" t="s">
        <v>20</v>
      </c>
      <c r="L1837" t="s">
        <v>4324</v>
      </c>
    </row>
    <row r="1838" spans="1:12" ht="15.75" hidden="1" customHeight="1">
      <c r="A1838" t="s">
        <v>4570</v>
      </c>
      <c r="B1838" t="s">
        <v>4319</v>
      </c>
      <c r="C1838" t="s">
        <v>4571</v>
      </c>
      <c r="F1838" t="s">
        <v>4567</v>
      </c>
      <c r="G1838" t="s">
        <v>20</v>
      </c>
      <c r="L1838" t="s">
        <v>4324</v>
      </c>
    </row>
    <row r="1839" spans="1:12" ht="15.75" hidden="1" customHeight="1">
      <c r="A1839" t="s">
        <v>4572</v>
      </c>
      <c r="B1839" t="s">
        <v>4319</v>
      </c>
      <c r="C1839" t="s">
        <v>4573</v>
      </c>
      <c r="F1839" t="s">
        <v>4567</v>
      </c>
      <c r="G1839" t="s">
        <v>20</v>
      </c>
      <c r="L1839" t="s">
        <v>4324</v>
      </c>
    </row>
    <row r="1840" spans="1:12" ht="15.75" hidden="1" customHeight="1">
      <c r="A1840" t="s">
        <v>4574</v>
      </c>
      <c r="B1840" t="s">
        <v>4319</v>
      </c>
      <c r="C1840" t="s">
        <v>4575</v>
      </c>
      <c r="F1840" t="s">
        <v>4567</v>
      </c>
      <c r="G1840" t="s">
        <v>20</v>
      </c>
      <c r="L1840" t="s">
        <v>4324</v>
      </c>
    </row>
    <row r="1841" spans="1:12" ht="15.75" hidden="1" customHeight="1">
      <c r="A1841" t="s">
        <v>4576</v>
      </c>
      <c r="B1841" t="s">
        <v>4319</v>
      </c>
      <c r="C1841" t="s">
        <v>4577</v>
      </c>
      <c r="F1841" t="s">
        <v>4567</v>
      </c>
      <c r="G1841" t="s">
        <v>20</v>
      </c>
      <c r="L1841" t="s">
        <v>4324</v>
      </c>
    </row>
    <row r="1842" spans="1:12" ht="15.75" hidden="1" customHeight="1">
      <c r="A1842" t="s">
        <v>4578</v>
      </c>
      <c r="B1842" t="s">
        <v>4319</v>
      </c>
      <c r="C1842" t="s">
        <v>4579</v>
      </c>
      <c r="F1842" t="s">
        <v>4567</v>
      </c>
      <c r="G1842" t="s">
        <v>20</v>
      </c>
      <c r="L1842" t="s">
        <v>4324</v>
      </c>
    </row>
    <row r="1843" spans="1:12" ht="15.75" hidden="1" customHeight="1">
      <c r="A1843" t="s">
        <v>4580</v>
      </c>
      <c r="B1843" t="s">
        <v>4319</v>
      </c>
      <c r="C1843" t="s">
        <v>4581</v>
      </c>
      <c r="F1843" t="s">
        <v>4582</v>
      </c>
      <c r="G1843" t="s">
        <v>20</v>
      </c>
      <c r="L1843" t="s">
        <v>736</v>
      </c>
    </row>
    <row r="1844" spans="1:12" ht="15.75" hidden="1" customHeight="1">
      <c r="A1844" t="s">
        <v>4583</v>
      </c>
      <c r="B1844" t="s">
        <v>4319</v>
      </c>
      <c r="C1844" t="s">
        <v>4584</v>
      </c>
      <c r="F1844" t="s">
        <v>4581</v>
      </c>
      <c r="G1844" t="s">
        <v>20</v>
      </c>
      <c r="L1844" t="s">
        <v>4324</v>
      </c>
    </row>
    <row r="1845" spans="1:12" ht="15.75" hidden="1" customHeight="1">
      <c r="A1845" t="s">
        <v>4585</v>
      </c>
      <c r="B1845" t="s">
        <v>4319</v>
      </c>
      <c r="C1845" t="s">
        <v>4586</v>
      </c>
      <c r="F1845" t="s">
        <v>4581</v>
      </c>
      <c r="G1845" t="s">
        <v>20</v>
      </c>
      <c r="L1845" t="s">
        <v>4324</v>
      </c>
    </row>
    <row r="1846" spans="1:12" ht="15.75" hidden="1" customHeight="1">
      <c r="A1846" t="s">
        <v>4587</v>
      </c>
      <c r="B1846" t="s">
        <v>4319</v>
      </c>
      <c r="C1846" t="s">
        <v>4588</v>
      </c>
      <c r="F1846" t="s">
        <v>4582</v>
      </c>
      <c r="G1846" t="s">
        <v>20</v>
      </c>
      <c r="L1846" t="s">
        <v>736</v>
      </c>
    </row>
    <row r="1847" spans="1:12" ht="15.75" hidden="1" customHeight="1">
      <c r="A1847" t="s">
        <v>4589</v>
      </c>
      <c r="B1847" t="s">
        <v>4319</v>
      </c>
      <c r="C1847" t="s">
        <v>4590</v>
      </c>
      <c r="F1847" t="s">
        <v>4588</v>
      </c>
      <c r="G1847" t="s">
        <v>20</v>
      </c>
      <c r="L1847" t="s">
        <v>4324</v>
      </c>
    </row>
    <row r="1848" spans="1:12" ht="15.75" hidden="1" customHeight="1">
      <c r="A1848" t="s">
        <v>4591</v>
      </c>
      <c r="B1848" t="s">
        <v>4319</v>
      </c>
      <c r="C1848" t="s">
        <v>4592</v>
      </c>
      <c r="F1848" t="s">
        <v>4588</v>
      </c>
      <c r="G1848" t="s">
        <v>20</v>
      </c>
      <c r="L1848" t="s">
        <v>4324</v>
      </c>
    </row>
    <row r="1849" spans="1:12" ht="15.75" hidden="1" customHeight="1">
      <c r="A1849" t="s">
        <v>4593</v>
      </c>
      <c r="B1849" t="s">
        <v>4319</v>
      </c>
      <c r="C1849" t="s">
        <v>4594</v>
      </c>
      <c r="F1849" t="s">
        <v>4588</v>
      </c>
      <c r="G1849" t="s">
        <v>20</v>
      </c>
      <c r="L1849" t="s">
        <v>4324</v>
      </c>
    </row>
    <row r="1850" spans="1:12" ht="15.75" hidden="1" customHeight="1">
      <c r="A1850" t="s">
        <v>4595</v>
      </c>
      <c r="B1850" t="s">
        <v>4319</v>
      </c>
      <c r="C1850" t="s">
        <v>4596</v>
      </c>
      <c r="F1850" t="s">
        <v>4588</v>
      </c>
      <c r="G1850" t="s">
        <v>20</v>
      </c>
      <c r="L1850" t="s">
        <v>4324</v>
      </c>
    </row>
    <row r="1851" spans="1:12" ht="15.75" hidden="1" customHeight="1">
      <c r="A1851" t="s">
        <v>4597</v>
      </c>
      <c r="B1851" t="s">
        <v>4319</v>
      </c>
      <c r="C1851" t="s">
        <v>4598</v>
      </c>
      <c r="F1851" t="s">
        <v>4582</v>
      </c>
      <c r="G1851" t="s">
        <v>20</v>
      </c>
      <c r="L1851" t="s">
        <v>736</v>
      </c>
    </row>
    <row r="1852" spans="1:12" ht="15.75" hidden="1" customHeight="1">
      <c r="A1852" t="s">
        <v>4599</v>
      </c>
      <c r="B1852" t="s">
        <v>4319</v>
      </c>
      <c r="C1852" t="s">
        <v>4600</v>
      </c>
      <c r="F1852" t="s">
        <v>4598</v>
      </c>
      <c r="G1852" t="s">
        <v>20</v>
      </c>
      <c r="L1852" t="s">
        <v>4324</v>
      </c>
    </row>
    <row r="1853" spans="1:12" ht="15.75" hidden="1" customHeight="1">
      <c r="A1853" t="s">
        <v>4601</v>
      </c>
      <c r="B1853" t="s">
        <v>4319</v>
      </c>
      <c r="C1853" t="s">
        <v>4602</v>
      </c>
      <c r="F1853" t="s">
        <v>4598</v>
      </c>
      <c r="G1853" t="s">
        <v>20</v>
      </c>
      <c r="L1853" t="s">
        <v>4324</v>
      </c>
    </row>
    <row r="1854" spans="1:12" ht="15.75" hidden="1" customHeight="1">
      <c r="A1854" t="s">
        <v>4603</v>
      </c>
      <c r="B1854" t="s">
        <v>4319</v>
      </c>
      <c r="C1854" t="s">
        <v>4604</v>
      </c>
      <c r="F1854" t="s">
        <v>4598</v>
      </c>
      <c r="G1854" t="s">
        <v>20</v>
      </c>
      <c r="L1854" t="s">
        <v>4324</v>
      </c>
    </row>
    <row r="1855" spans="1:12" ht="15.75" hidden="1" customHeight="1">
      <c r="A1855" t="s">
        <v>4605</v>
      </c>
      <c r="B1855" t="s">
        <v>4319</v>
      </c>
      <c r="C1855" t="s">
        <v>4606</v>
      </c>
      <c r="F1855" t="s">
        <v>4598</v>
      </c>
      <c r="G1855" t="s">
        <v>20</v>
      </c>
      <c r="L1855" t="s">
        <v>4324</v>
      </c>
    </row>
    <row r="1856" spans="1:12" ht="15.75" hidden="1" customHeight="1">
      <c r="A1856" t="s">
        <v>4607</v>
      </c>
      <c r="B1856" t="s">
        <v>4319</v>
      </c>
      <c r="C1856" t="s">
        <v>4608</v>
      </c>
      <c r="F1856" t="s">
        <v>4582</v>
      </c>
      <c r="G1856" t="s">
        <v>20</v>
      </c>
      <c r="L1856" t="s">
        <v>736</v>
      </c>
    </row>
    <row r="1857" spans="1:12" ht="15.75" hidden="1" customHeight="1">
      <c r="A1857" t="s">
        <v>4609</v>
      </c>
      <c r="B1857" t="s">
        <v>4319</v>
      </c>
      <c r="C1857" t="s">
        <v>4610</v>
      </c>
      <c r="F1857" t="s">
        <v>4608</v>
      </c>
      <c r="G1857" t="s">
        <v>20</v>
      </c>
      <c r="L1857" t="s">
        <v>4324</v>
      </c>
    </row>
    <row r="1858" spans="1:12" ht="15.75" hidden="1" customHeight="1">
      <c r="A1858" t="s">
        <v>4611</v>
      </c>
      <c r="B1858" t="s">
        <v>4319</v>
      </c>
      <c r="C1858" t="s">
        <v>4612</v>
      </c>
      <c r="F1858" t="s">
        <v>4608</v>
      </c>
      <c r="G1858" t="s">
        <v>20</v>
      </c>
      <c r="L1858" t="s">
        <v>4324</v>
      </c>
    </row>
    <row r="1859" spans="1:12" ht="15.75" hidden="1" customHeight="1">
      <c r="A1859" t="s">
        <v>4613</v>
      </c>
      <c r="B1859" t="s">
        <v>4319</v>
      </c>
      <c r="C1859" t="s">
        <v>4614</v>
      </c>
      <c r="F1859" t="s">
        <v>4608</v>
      </c>
      <c r="G1859" t="s">
        <v>20</v>
      </c>
      <c r="L1859" t="s">
        <v>4324</v>
      </c>
    </row>
    <row r="1860" spans="1:12" ht="15.75" hidden="1" customHeight="1">
      <c r="A1860" t="s">
        <v>4615</v>
      </c>
      <c r="B1860" t="s">
        <v>4319</v>
      </c>
      <c r="C1860" t="s">
        <v>4616</v>
      </c>
      <c r="F1860" t="s">
        <v>4608</v>
      </c>
      <c r="G1860" t="s">
        <v>20</v>
      </c>
      <c r="L1860" t="s">
        <v>4324</v>
      </c>
    </row>
    <row r="1861" spans="1:12" ht="15.75" hidden="1" customHeight="1">
      <c r="A1861" t="s">
        <v>4617</v>
      </c>
      <c r="B1861" t="s">
        <v>4319</v>
      </c>
      <c r="C1861" t="s">
        <v>4618</v>
      </c>
      <c r="F1861" t="s">
        <v>4608</v>
      </c>
      <c r="G1861" t="s">
        <v>20</v>
      </c>
      <c r="L1861" t="s">
        <v>4324</v>
      </c>
    </row>
    <row r="1862" spans="1:12" ht="15.75" hidden="1" customHeight="1">
      <c r="A1862" t="s">
        <v>4619</v>
      </c>
      <c r="B1862" t="s">
        <v>4319</v>
      </c>
      <c r="C1862" t="s">
        <v>4620</v>
      </c>
      <c r="F1862" t="s">
        <v>4608</v>
      </c>
      <c r="G1862" t="s">
        <v>20</v>
      </c>
      <c r="L1862" t="s">
        <v>4324</v>
      </c>
    </row>
    <row r="1863" spans="1:12" ht="15.75" hidden="1" customHeight="1">
      <c r="A1863" t="s">
        <v>4621</v>
      </c>
      <c r="B1863" t="s">
        <v>4319</v>
      </c>
      <c r="C1863" t="s">
        <v>4622</v>
      </c>
      <c r="F1863" t="s">
        <v>4582</v>
      </c>
      <c r="G1863" t="s">
        <v>20</v>
      </c>
      <c r="L1863" t="s">
        <v>736</v>
      </c>
    </row>
    <row r="1864" spans="1:12" ht="15.75" hidden="1" customHeight="1">
      <c r="A1864" t="s">
        <v>4623</v>
      </c>
      <c r="B1864" t="s">
        <v>4319</v>
      </c>
      <c r="C1864" t="s">
        <v>4624</v>
      </c>
      <c r="F1864" t="s">
        <v>4622</v>
      </c>
      <c r="G1864" t="s">
        <v>20</v>
      </c>
      <c r="L1864" t="s">
        <v>4324</v>
      </c>
    </row>
    <row r="1865" spans="1:12" ht="15.75" hidden="1" customHeight="1">
      <c r="A1865" t="s">
        <v>4625</v>
      </c>
      <c r="B1865" t="s">
        <v>4319</v>
      </c>
      <c r="C1865" t="s">
        <v>4626</v>
      </c>
      <c r="F1865" t="s">
        <v>4622</v>
      </c>
      <c r="G1865" t="s">
        <v>20</v>
      </c>
      <c r="L1865" t="s">
        <v>4324</v>
      </c>
    </row>
    <row r="1866" spans="1:12" ht="15.75" hidden="1" customHeight="1">
      <c r="A1866" t="s">
        <v>4627</v>
      </c>
      <c r="B1866" t="s">
        <v>4319</v>
      </c>
      <c r="C1866" t="s">
        <v>4628</v>
      </c>
      <c r="F1866" t="s">
        <v>4622</v>
      </c>
      <c r="G1866" t="s">
        <v>20</v>
      </c>
      <c r="L1866" t="s">
        <v>4324</v>
      </c>
    </row>
    <row r="1867" spans="1:12" ht="15.75" hidden="1" customHeight="1">
      <c r="A1867" t="s">
        <v>4629</v>
      </c>
      <c r="B1867" t="s">
        <v>4319</v>
      </c>
      <c r="C1867" t="s">
        <v>4630</v>
      </c>
      <c r="F1867" t="s">
        <v>4582</v>
      </c>
      <c r="G1867" t="s">
        <v>20</v>
      </c>
      <c r="L1867" t="s">
        <v>736</v>
      </c>
    </row>
    <row r="1868" spans="1:12" ht="15.75" hidden="1" customHeight="1">
      <c r="A1868" t="s">
        <v>4631</v>
      </c>
      <c r="B1868" t="s">
        <v>4319</v>
      </c>
      <c r="C1868" t="s">
        <v>4632</v>
      </c>
      <c r="F1868" t="s">
        <v>4630</v>
      </c>
      <c r="G1868" t="s">
        <v>20</v>
      </c>
      <c r="L1868" t="s">
        <v>4324</v>
      </c>
    </row>
    <row r="1869" spans="1:12" ht="15.75" hidden="1" customHeight="1">
      <c r="A1869" t="s">
        <v>4633</v>
      </c>
      <c r="B1869" t="s">
        <v>4319</v>
      </c>
      <c r="C1869" t="s">
        <v>4634</v>
      </c>
      <c r="F1869" t="s">
        <v>4630</v>
      </c>
      <c r="G1869" t="s">
        <v>20</v>
      </c>
      <c r="L1869" t="s">
        <v>4324</v>
      </c>
    </row>
    <row r="1870" spans="1:12" ht="15.75" hidden="1" customHeight="1">
      <c r="A1870" t="s">
        <v>4635</v>
      </c>
      <c r="B1870" t="s">
        <v>4319</v>
      </c>
      <c r="C1870" t="s">
        <v>4636</v>
      </c>
      <c r="F1870" t="s">
        <v>4630</v>
      </c>
      <c r="G1870" t="s">
        <v>20</v>
      </c>
      <c r="L1870" t="s">
        <v>4324</v>
      </c>
    </row>
    <row r="1871" spans="1:12" ht="15.75" hidden="1" customHeight="1">
      <c r="A1871" t="s">
        <v>4637</v>
      </c>
      <c r="B1871" t="s">
        <v>4319</v>
      </c>
      <c r="C1871" t="s">
        <v>4638</v>
      </c>
      <c r="F1871" t="s">
        <v>4630</v>
      </c>
      <c r="G1871" t="s">
        <v>20</v>
      </c>
      <c r="L1871" t="s">
        <v>4324</v>
      </c>
    </row>
    <row r="1872" spans="1:12" ht="15.75" hidden="1" customHeight="1">
      <c r="A1872" t="s">
        <v>4639</v>
      </c>
      <c r="B1872" t="s">
        <v>4319</v>
      </c>
      <c r="C1872" t="s">
        <v>4640</v>
      </c>
      <c r="F1872" t="s">
        <v>4582</v>
      </c>
      <c r="G1872" t="s">
        <v>20</v>
      </c>
      <c r="L1872" t="s">
        <v>736</v>
      </c>
    </row>
    <row r="1873" spans="1:12" ht="15.75" hidden="1" customHeight="1">
      <c r="A1873" t="s">
        <v>4641</v>
      </c>
      <c r="B1873" t="s">
        <v>4319</v>
      </c>
      <c r="C1873" t="s">
        <v>4642</v>
      </c>
      <c r="F1873" t="s">
        <v>4640</v>
      </c>
      <c r="G1873" t="s">
        <v>20</v>
      </c>
      <c r="L1873" t="s">
        <v>4324</v>
      </c>
    </row>
    <row r="1874" spans="1:12" ht="15.75" hidden="1" customHeight="1">
      <c r="A1874" t="s">
        <v>4643</v>
      </c>
      <c r="B1874" t="s">
        <v>4319</v>
      </c>
      <c r="C1874" t="s">
        <v>4644</v>
      </c>
      <c r="F1874" t="s">
        <v>4640</v>
      </c>
      <c r="G1874" t="s">
        <v>20</v>
      </c>
      <c r="L1874" t="s">
        <v>4324</v>
      </c>
    </row>
    <row r="1875" spans="1:12" ht="15.75" hidden="1" customHeight="1">
      <c r="A1875" t="s">
        <v>4645</v>
      </c>
      <c r="B1875" t="s">
        <v>4319</v>
      </c>
      <c r="C1875" t="s">
        <v>4646</v>
      </c>
      <c r="F1875" t="s">
        <v>4640</v>
      </c>
      <c r="G1875" t="s">
        <v>20</v>
      </c>
      <c r="L1875" t="s">
        <v>4324</v>
      </c>
    </row>
    <row r="1876" spans="1:12" ht="15.75" hidden="1" customHeight="1">
      <c r="A1876" t="s">
        <v>4647</v>
      </c>
      <c r="B1876" t="s">
        <v>4319</v>
      </c>
      <c r="C1876" t="s">
        <v>4648</v>
      </c>
      <c r="F1876" t="s">
        <v>4649</v>
      </c>
      <c r="G1876" t="s">
        <v>20</v>
      </c>
      <c r="L1876" t="s">
        <v>736</v>
      </c>
    </row>
    <row r="1877" spans="1:12" ht="15.75" hidden="1" customHeight="1">
      <c r="A1877" t="s">
        <v>4650</v>
      </c>
      <c r="B1877" t="s">
        <v>4319</v>
      </c>
      <c r="C1877" t="s">
        <v>4651</v>
      </c>
      <c r="F1877" t="s">
        <v>4648</v>
      </c>
      <c r="G1877" t="s">
        <v>20</v>
      </c>
      <c r="L1877" t="s">
        <v>4324</v>
      </c>
    </row>
    <row r="1878" spans="1:12" ht="15.75" hidden="1" customHeight="1">
      <c r="A1878" t="s">
        <v>4652</v>
      </c>
      <c r="B1878" t="s">
        <v>4319</v>
      </c>
      <c r="C1878" t="s">
        <v>4653</v>
      </c>
      <c r="F1878" t="s">
        <v>4648</v>
      </c>
      <c r="G1878" t="s">
        <v>20</v>
      </c>
      <c r="L1878" t="s">
        <v>4324</v>
      </c>
    </row>
    <row r="1879" spans="1:12" ht="15.75" hidden="1" customHeight="1">
      <c r="A1879" t="s">
        <v>4654</v>
      </c>
      <c r="B1879" t="s">
        <v>4319</v>
      </c>
      <c r="C1879" t="s">
        <v>4655</v>
      </c>
      <c r="F1879" t="s">
        <v>4648</v>
      </c>
      <c r="G1879" t="s">
        <v>20</v>
      </c>
      <c r="L1879" t="s">
        <v>4324</v>
      </c>
    </row>
    <row r="1880" spans="1:12" ht="15.75" hidden="1" customHeight="1">
      <c r="A1880" t="s">
        <v>4656</v>
      </c>
      <c r="B1880" t="s">
        <v>4319</v>
      </c>
      <c r="C1880" t="s">
        <v>4657</v>
      </c>
      <c r="F1880" t="s">
        <v>4648</v>
      </c>
      <c r="G1880" t="s">
        <v>20</v>
      </c>
      <c r="L1880" t="s">
        <v>4324</v>
      </c>
    </row>
    <row r="1881" spans="1:12" ht="15.75" hidden="1" customHeight="1">
      <c r="A1881" t="s">
        <v>4658</v>
      </c>
      <c r="B1881" t="s">
        <v>4319</v>
      </c>
      <c r="C1881" t="s">
        <v>4659</v>
      </c>
      <c r="F1881" t="s">
        <v>4648</v>
      </c>
      <c r="G1881" t="s">
        <v>20</v>
      </c>
      <c r="L1881" t="s">
        <v>4324</v>
      </c>
    </row>
    <row r="1882" spans="1:12" ht="15.75" hidden="1" customHeight="1">
      <c r="A1882" t="s">
        <v>4660</v>
      </c>
      <c r="B1882" t="s">
        <v>4319</v>
      </c>
      <c r="C1882" t="s">
        <v>4661</v>
      </c>
      <c r="F1882" t="s">
        <v>4648</v>
      </c>
      <c r="G1882" t="s">
        <v>20</v>
      </c>
      <c r="L1882" t="s">
        <v>4324</v>
      </c>
    </row>
    <row r="1883" spans="1:12" ht="15.75" hidden="1" customHeight="1">
      <c r="A1883" t="s">
        <v>4662</v>
      </c>
      <c r="B1883" t="s">
        <v>4319</v>
      </c>
      <c r="C1883" t="s">
        <v>4663</v>
      </c>
      <c r="F1883" t="s">
        <v>4648</v>
      </c>
      <c r="G1883" t="s">
        <v>20</v>
      </c>
      <c r="L1883" t="s">
        <v>4324</v>
      </c>
    </row>
    <row r="1884" spans="1:12" ht="15.75" hidden="1" customHeight="1">
      <c r="A1884" t="s">
        <v>4664</v>
      </c>
      <c r="B1884" t="s">
        <v>4319</v>
      </c>
      <c r="C1884" t="s">
        <v>4665</v>
      </c>
      <c r="F1884" t="s">
        <v>4648</v>
      </c>
      <c r="G1884" t="s">
        <v>20</v>
      </c>
      <c r="L1884" t="s">
        <v>4324</v>
      </c>
    </row>
    <row r="1885" spans="1:12" ht="15.75" hidden="1" customHeight="1">
      <c r="A1885" t="s">
        <v>4666</v>
      </c>
      <c r="B1885" t="s">
        <v>4319</v>
      </c>
      <c r="C1885" t="s">
        <v>4667</v>
      </c>
      <c r="F1885" t="s">
        <v>4648</v>
      </c>
      <c r="G1885" t="s">
        <v>20</v>
      </c>
      <c r="L1885" t="s">
        <v>4324</v>
      </c>
    </row>
    <row r="1886" spans="1:12" ht="15.75" hidden="1" customHeight="1">
      <c r="A1886" t="s">
        <v>4668</v>
      </c>
      <c r="B1886" t="s">
        <v>4319</v>
      </c>
      <c r="C1886" t="s">
        <v>4561</v>
      </c>
      <c r="F1886" t="s">
        <v>4648</v>
      </c>
      <c r="G1886" t="s">
        <v>20</v>
      </c>
      <c r="L1886" t="s">
        <v>4324</v>
      </c>
    </row>
    <row r="1887" spans="1:12" ht="15.75" hidden="1" customHeight="1">
      <c r="A1887" t="s">
        <v>4669</v>
      </c>
      <c r="B1887" t="s">
        <v>4319</v>
      </c>
      <c r="C1887" t="s">
        <v>4670</v>
      </c>
      <c r="F1887" t="s">
        <v>4649</v>
      </c>
      <c r="G1887" t="s">
        <v>20</v>
      </c>
      <c r="L1887" t="s">
        <v>736</v>
      </c>
    </row>
    <row r="1888" spans="1:12" ht="15.75" hidden="1" customHeight="1">
      <c r="A1888" t="s">
        <v>4671</v>
      </c>
      <c r="B1888" t="s">
        <v>4319</v>
      </c>
      <c r="C1888" t="s">
        <v>4672</v>
      </c>
      <c r="F1888" t="s">
        <v>4670</v>
      </c>
      <c r="G1888" t="s">
        <v>20</v>
      </c>
      <c r="L1888" t="s">
        <v>4324</v>
      </c>
    </row>
    <row r="1889" spans="1:12" ht="15.75" hidden="1" customHeight="1">
      <c r="A1889" t="s">
        <v>4673</v>
      </c>
      <c r="B1889" t="s">
        <v>4319</v>
      </c>
      <c r="C1889" t="s">
        <v>4674</v>
      </c>
      <c r="F1889" t="s">
        <v>4670</v>
      </c>
      <c r="G1889" t="s">
        <v>20</v>
      </c>
      <c r="L1889" t="s">
        <v>4324</v>
      </c>
    </row>
    <row r="1890" spans="1:12" ht="15.75" hidden="1" customHeight="1">
      <c r="A1890" t="s">
        <v>4675</v>
      </c>
      <c r="B1890" t="s">
        <v>4319</v>
      </c>
      <c r="C1890" t="s">
        <v>4676</v>
      </c>
      <c r="F1890" t="s">
        <v>4670</v>
      </c>
      <c r="G1890" t="s">
        <v>20</v>
      </c>
      <c r="L1890" t="s">
        <v>4324</v>
      </c>
    </row>
    <row r="1891" spans="1:12" ht="15.75" hidden="1" customHeight="1">
      <c r="A1891" t="s">
        <v>4677</v>
      </c>
      <c r="B1891" t="s">
        <v>4319</v>
      </c>
      <c r="C1891" t="s">
        <v>4678</v>
      </c>
      <c r="F1891" t="s">
        <v>4670</v>
      </c>
      <c r="G1891" t="s">
        <v>20</v>
      </c>
      <c r="L1891" t="s">
        <v>4324</v>
      </c>
    </row>
    <row r="1892" spans="1:12" ht="15.75" hidden="1" customHeight="1">
      <c r="A1892" t="s">
        <v>4679</v>
      </c>
      <c r="B1892" t="s">
        <v>4319</v>
      </c>
      <c r="C1892" t="s">
        <v>4680</v>
      </c>
      <c r="F1892" t="s">
        <v>4670</v>
      </c>
      <c r="G1892" t="s">
        <v>20</v>
      </c>
      <c r="L1892" t="s">
        <v>4324</v>
      </c>
    </row>
    <row r="1893" spans="1:12" ht="15.75" hidden="1" customHeight="1">
      <c r="A1893" t="s">
        <v>4681</v>
      </c>
      <c r="B1893" t="s">
        <v>4319</v>
      </c>
      <c r="C1893" t="s">
        <v>4682</v>
      </c>
      <c r="F1893" t="s">
        <v>4670</v>
      </c>
      <c r="G1893" t="s">
        <v>20</v>
      </c>
      <c r="L1893" t="s">
        <v>4324</v>
      </c>
    </row>
    <row r="1894" spans="1:12" ht="15.75" hidden="1" customHeight="1">
      <c r="A1894" t="s">
        <v>4683</v>
      </c>
      <c r="B1894" t="s">
        <v>4319</v>
      </c>
      <c r="C1894" t="s">
        <v>4684</v>
      </c>
      <c r="F1894" t="s">
        <v>4670</v>
      </c>
      <c r="G1894" t="s">
        <v>20</v>
      </c>
      <c r="L1894" t="s">
        <v>4324</v>
      </c>
    </row>
    <row r="1895" spans="1:12" ht="15.75" hidden="1" customHeight="1">
      <c r="A1895" t="s">
        <v>4685</v>
      </c>
      <c r="B1895" t="s">
        <v>4319</v>
      </c>
      <c r="C1895" t="s">
        <v>4686</v>
      </c>
      <c r="F1895" t="s">
        <v>4670</v>
      </c>
      <c r="G1895" t="s">
        <v>20</v>
      </c>
      <c r="L1895" t="s">
        <v>4324</v>
      </c>
    </row>
    <row r="1896" spans="1:12" ht="15.75" hidden="1" customHeight="1">
      <c r="A1896" t="s">
        <v>4687</v>
      </c>
      <c r="B1896" t="s">
        <v>4319</v>
      </c>
      <c r="C1896" t="s">
        <v>4688</v>
      </c>
      <c r="F1896" t="s">
        <v>4649</v>
      </c>
      <c r="G1896" t="s">
        <v>20</v>
      </c>
      <c r="L1896" t="s">
        <v>736</v>
      </c>
    </row>
    <row r="1897" spans="1:12" ht="15.75" hidden="1" customHeight="1">
      <c r="A1897" t="s">
        <v>4689</v>
      </c>
      <c r="B1897" t="s">
        <v>4319</v>
      </c>
      <c r="C1897" t="s">
        <v>4690</v>
      </c>
      <c r="F1897" t="s">
        <v>4688</v>
      </c>
      <c r="G1897" t="s">
        <v>20</v>
      </c>
      <c r="L1897" t="s">
        <v>4324</v>
      </c>
    </row>
    <row r="1898" spans="1:12" ht="15.75" hidden="1" customHeight="1">
      <c r="A1898" t="s">
        <v>4691</v>
      </c>
      <c r="B1898" t="s">
        <v>4319</v>
      </c>
      <c r="C1898" t="s">
        <v>4692</v>
      </c>
      <c r="F1898" t="s">
        <v>4688</v>
      </c>
      <c r="G1898" t="s">
        <v>20</v>
      </c>
      <c r="L1898" t="s">
        <v>4324</v>
      </c>
    </row>
    <row r="1899" spans="1:12" ht="15.75" hidden="1" customHeight="1">
      <c r="A1899" t="s">
        <v>4693</v>
      </c>
      <c r="B1899" t="s">
        <v>4319</v>
      </c>
      <c r="C1899" t="s">
        <v>4694</v>
      </c>
      <c r="F1899" t="s">
        <v>4688</v>
      </c>
      <c r="G1899" t="s">
        <v>20</v>
      </c>
      <c r="L1899" t="s">
        <v>4324</v>
      </c>
    </row>
    <row r="1900" spans="1:12" ht="15.75" hidden="1" customHeight="1">
      <c r="A1900" t="s">
        <v>4695</v>
      </c>
      <c r="B1900" t="s">
        <v>4319</v>
      </c>
      <c r="C1900" t="s">
        <v>4696</v>
      </c>
      <c r="F1900" t="s">
        <v>4688</v>
      </c>
      <c r="G1900" t="s">
        <v>20</v>
      </c>
      <c r="L1900" t="s">
        <v>4324</v>
      </c>
    </row>
    <row r="1901" spans="1:12" ht="15.75" hidden="1" customHeight="1">
      <c r="A1901" t="s">
        <v>4697</v>
      </c>
      <c r="B1901" t="s">
        <v>4319</v>
      </c>
      <c r="C1901" t="s">
        <v>4698</v>
      </c>
      <c r="F1901" t="s">
        <v>4649</v>
      </c>
      <c r="G1901" t="s">
        <v>20</v>
      </c>
      <c r="L1901" t="s">
        <v>736</v>
      </c>
    </row>
    <row r="1902" spans="1:12" ht="15.75" hidden="1" customHeight="1">
      <c r="A1902" t="s">
        <v>4699</v>
      </c>
      <c r="B1902" t="s">
        <v>4319</v>
      </c>
      <c r="C1902" t="s">
        <v>4700</v>
      </c>
      <c r="F1902" t="s">
        <v>4698</v>
      </c>
      <c r="G1902" t="s">
        <v>20</v>
      </c>
      <c r="L1902" t="s">
        <v>4324</v>
      </c>
    </row>
    <row r="1903" spans="1:12" ht="15.75" hidden="1" customHeight="1">
      <c r="A1903" t="s">
        <v>4701</v>
      </c>
      <c r="B1903" t="s">
        <v>4319</v>
      </c>
      <c r="C1903" t="s">
        <v>4702</v>
      </c>
      <c r="F1903" t="s">
        <v>4698</v>
      </c>
      <c r="G1903" t="s">
        <v>20</v>
      </c>
      <c r="L1903" t="s">
        <v>4324</v>
      </c>
    </row>
    <row r="1904" spans="1:12" ht="15.75" hidden="1" customHeight="1">
      <c r="A1904" t="s">
        <v>4703</v>
      </c>
      <c r="B1904" t="s">
        <v>4319</v>
      </c>
      <c r="C1904" t="s">
        <v>4704</v>
      </c>
      <c r="F1904" t="s">
        <v>4698</v>
      </c>
      <c r="G1904" t="s">
        <v>20</v>
      </c>
      <c r="L1904" t="s">
        <v>4324</v>
      </c>
    </row>
    <row r="1905" spans="1:12" ht="15.75" hidden="1" customHeight="1">
      <c r="A1905" t="s">
        <v>4705</v>
      </c>
      <c r="B1905" t="s">
        <v>4319</v>
      </c>
      <c r="C1905" t="s">
        <v>4706</v>
      </c>
      <c r="F1905" t="s">
        <v>4698</v>
      </c>
      <c r="G1905" t="s">
        <v>20</v>
      </c>
      <c r="L1905" t="s">
        <v>4324</v>
      </c>
    </row>
    <row r="1906" spans="1:12" ht="15.75" hidden="1" customHeight="1">
      <c r="A1906" t="s">
        <v>4707</v>
      </c>
      <c r="B1906" t="s">
        <v>4319</v>
      </c>
      <c r="C1906" t="s">
        <v>4708</v>
      </c>
      <c r="F1906" t="s">
        <v>4698</v>
      </c>
      <c r="G1906" t="s">
        <v>20</v>
      </c>
      <c r="L1906" t="s">
        <v>4324</v>
      </c>
    </row>
    <row r="1907" spans="1:12" ht="15.75" hidden="1" customHeight="1">
      <c r="A1907" t="s">
        <v>4709</v>
      </c>
      <c r="B1907" t="s">
        <v>4319</v>
      </c>
      <c r="C1907" t="s">
        <v>4710</v>
      </c>
      <c r="F1907" t="s">
        <v>4698</v>
      </c>
      <c r="G1907" t="s">
        <v>20</v>
      </c>
      <c r="L1907" t="s">
        <v>4324</v>
      </c>
    </row>
    <row r="1908" spans="1:12" ht="15.75" hidden="1" customHeight="1">
      <c r="A1908" t="s">
        <v>4711</v>
      </c>
      <c r="B1908" t="s">
        <v>4319</v>
      </c>
      <c r="C1908" t="s">
        <v>4561</v>
      </c>
      <c r="F1908" t="s">
        <v>4698</v>
      </c>
      <c r="G1908" t="s">
        <v>20</v>
      </c>
      <c r="L1908" t="s">
        <v>4324</v>
      </c>
    </row>
    <row r="1909" spans="1:12" ht="15.75" hidden="1" customHeight="1">
      <c r="A1909" t="s">
        <v>4712</v>
      </c>
      <c r="B1909" t="s">
        <v>4319</v>
      </c>
      <c r="C1909" t="s">
        <v>4713</v>
      </c>
      <c r="F1909" t="s">
        <v>4649</v>
      </c>
      <c r="G1909" t="s">
        <v>20</v>
      </c>
      <c r="L1909" t="s">
        <v>736</v>
      </c>
    </row>
    <row r="1910" spans="1:12" ht="15.75" hidden="1" customHeight="1">
      <c r="A1910" t="s">
        <v>4714</v>
      </c>
      <c r="B1910" t="s">
        <v>4319</v>
      </c>
      <c r="C1910" t="s">
        <v>4715</v>
      </c>
      <c r="F1910" t="s">
        <v>4713</v>
      </c>
      <c r="G1910" t="s">
        <v>20</v>
      </c>
      <c r="L1910" t="s">
        <v>4324</v>
      </c>
    </row>
    <row r="1911" spans="1:12" ht="15.75" hidden="1" customHeight="1">
      <c r="A1911" t="s">
        <v>4716</v>
      </c>
      <c r="B1911" t="s">
        <v>4319</v>
      </c>
      <c r="C1911" t="s">
        <v>4717</v>
      </c>
      <c r="F1911" t="s">
        <v>4713</v>
      </c>
      <c r="G1911" t="s">
        <v>20</v>
      </c>
      <c r="L1911" t="s">
        <v>4324</v>
      </c>
    </row>
    <row r="1912" spans="1:12" ht="15.75" hidden="1" customHeight="1">
      <c r="A1912" t="s">
        <v>4718</v>
      </c>
      <c r="B1912" t="s">
        <v>4319</v>
      </c>
      <c r="C1912" t="s">
        <v>4719</v>
      </c>
      <c r="F1912" t="s">
        <v>4713</v>
      </c>
      <c r="G1912" t="s">
        <v>20</v>
      </c>
      <c r="L1912" t="s">
        <v>4324</v>
      </c>
    </row>
    <row r="1913" spans="1:12" ht="15.75" hidden="1" customHeight="1">
      <c r="A1913" t="s">
        <v>4720</v>
      </c>
      <c r="B1913" t="s">
        <v>4319</v>
      </c>
      <c r="C1913" t="s">
        <v>4721</v>
      </c>
      <c r="F1913" t="s">
        <v>4713</v>
      </c>
      <c r="G1913" t="s">
        <v>20</v>
      </c>
      <c r="L1913" t="s">
        <v>4324</v>
      </c>
    </row>
    <row r="1914" spans="1:12" ht="15.75" hidden="1" customHeight="1">
      <c r="A1914" t="s">
        <v>4722</v>
      </c>
      <c r="B1914" t="s">
        <v>4319</v>
      </c>
      <c r="C1914" t="s">
        <v>4723</v>
      </c>
      <c r="F1914" t="s">
        <v>4713</v>
      </c>
      <c r="G1914" t="s">
        <v>20</v>
      </c>
      <c r="L1914" t="s">
        <v>4324</v>
      </c>
    </row>
    <row r="1915" spans="1:12" ht="15.75" hidden="1" customHeight="1">
      <c r="A1915" t="s">
        <v>4724</v>
      </c>
      <c r="B1915" t="s">
        <v>4319</v>
      </c>
      <c r="C1915" t="s">
        <v>4725</v>
      </c>
      <c r="F1915" t="s">
        <v>4713</v>
      </c>
      <c r="G1915" t="s">
        <v>20</v>
      </c>
      <c r="L1915" t="s">
        <v>4324</v>
      </c>
    </row>
    <row r="1916" spans="1:12" ht="15.75" hidden="1" customHeight="1">
      <c r="A1916" t="s">
        <v>4726</v>
      </c>
      <c r="B1916" t="s">
        <v>4319</v>
      </c>
      <c r="C1916" t="s">
        <v>4727</v>
      </c>
      <c r="F1916" t="s">
        <v>4649</v>
      </c>
      <c r="G1916" t="s">
        <v>20</v>
      </c>
      <c r="L1916" t="s">
        <v>736</v>
      </c>
    </row>
    <row r="1917" spans="1:12" ht="15.75" hidden="1" customHeight="1">
      <c r="A1917" t="s">
        <v>4728</v>
      </c>
      <c r="B1917" t="s">
        <v>4319</v>
      </c>
      <c r="C1917" t="s">
        <v>4729</v>
      </c>
      <c r="F1917" t="s">
        <v>4727</v>
      </c>
      <c r="G1917" t="s">
        <v>20</v>
      </c>
      <c r="L1917" t="s">
        <v>4324</v>
      </c>
    </row>
    <row r="1918" spans="1:12" ht="15.75" hidden="1" customHeight="1">
      <c r="A1918" t="s">
        <v>4730</v>
      </c>
      <c r="B1918" t="s">
        <v>4319</v>
      </c>
      <c r="C1918" t="s">
        <v>4731</v>
      </c>
      <c r="F1918" t="s">
        <v>4727</v>
      </c>
      <c r="G1918" t="s">
        <v>20</v>
      </c>
      <c r="L1918" t="s">
        <v>4324</v>
      </c>
    </row>
    <row r="1919" spans="1:12" ht="15.75" hidden="1" customHeight="1">
      <c r="A1919" t="s">
        <v>4732</v>
      </c>
      <c r="B1919" t="s">
        <v>4319</v>
      </c>
      <c r="C1919" t="s">
        <v>4733</v>
      </c>
      <c r="F1919" t="s">
        <v>4727</v>
      </c>
      <c r="G1919" t="s">
        <v>20</v>
      </c>
      <c r="L1919" t="s">
        <v>4324</v>
      </c>
    </row>
    <row r="1920" spans="1:12" ht="15.75" hidden="1" customHeight="1">
      <c r="A1920" t="s">
        <v>4734</v>
      </c>
      <c r="B1920" t="s">
        <v>4319</v>
      </c>
      <c r="C1920" t="s">
        <v>4735</v>
      </c>
      <c r="F1920" t="s">
        <v>4727</v>
      </c>
      <c r="G1920" t="s">
        <v>20</v>
      </c>
      <c r="L1920" t="s">
        <v>4324</v>
      </c>
    </row>
    <row r="1921" spans="1:12" ht="15.75" hidden="1" customHeight="1">
      <c r="A1921" t="s">
        <v>4736</v>
      </c>
      <c r="B1921" t="s">
        <v>4319</v>
      </c>
      <c r="C1921" t="s">
        <v>4737</v>
      </c>
      <c r="F1921" t="s">
        <v>4727</v>
      </c>
      <c r="G1921" t="s">
        <v>20</v>
      </c>
      <c r="L1921" t="s">
        <v>4324</v>
      </c>
    </row>
    <row r="1922" spans="1:12" ht="15.75" hidden="1" customHeight="1">
      <c r="A1922" t="s">
        <v>4738</v>
      </c>
      <c r="B1922" t="s">
        <v>4319</v>
      </c>
      <c r="C1922" t="s">
        <v>4739</v>
      </c>
      <c r="F1922" t="s">
        <v>4727</v>
      </c>
      <c r="G1922" t="s">
        <v>20</v>
      </c>
      <c r="L1922" t="s">
        <v>4324</v>
      </c>
    </row>
    <row r="1923" spans="1:12" ht="15.75" hidden="1" customHeight="1">
      <c r="A1923" t="s">
        <v>4740</v>
      </c>
      <c r="B1923" t="s">
        <v>4319</v>
      </c>
      <c r="C1923" t="s">
        <v>4741</v>
      </c>
      <c r="F1923" t="s">
        <v>4727</v>
      </c>
      <c r="G1923" t="s">
        <v>20</v>
      </c>
      <c r="L1923" t="s">
        <v>4324</v>
      </c>
    </row>
    <row r="1924" spans="1:12" ht="15.75" hidden="1" customHeight="1">
      <c r="A1924" t="s">
        <v>4742</v>
      </c>
      <c r="B1924" t="s">
        <v>4319</v>
      </c>
      <c r="C1924" t="s">
        <v>4743</v>
      </c>
      <c r="F1924" t="s">
        <v>4727</v>
      </c>
      <c r="G1924" t="s">
        <v>20</v>
      </c>
      <c r="L1924" t="s">
        <v>4324</v>
      </c>
    </row>
    <row r="1925" spans="1:12" ht="15.75" hidden="1" customHeight="1">
      <c r="A1925" t="s">
        <v>4744</v>
      </c>
      <c r="B1925" t="s">
        <v>4319</v>
      </c>
      <c r="C1925" t="s">
        <v>4745</v>
      </c>
      <c r="F1925" t="s">
        <v>4727</v>
      </c>
      <c r="G1925" t="s">
        <v>20</v>
      </c>
      <c r="L1925" t="s">
        <v>4324</v>
      </c>
    </row>
    <row r="1926" spans="1:12" ht="15.75" hidden="1" customHeight="1">
      <c r="A1926" t="s">
        <v>4746</v>
      </c>
      <c r="B1926" t="s">
        <v>4319</v>
      </c>
      <c r="C1926" t="s">
        <v>4747</v>
      </c>
      <c r="F1926" t="s">
        <v>4649</v>
      </c>
      <c r="G1926" t="s">
        <v>20</v>
      </c>
      <c r="L1926" t="s">
        <v>736</v>
      </c>
    </row>
    <row r="1927" spans="1:12" ht="15.75" hidden="1" customHeight="1">
      <c r="A1927" t="s">
        <v>4748</v>
      </c>
      <c r="B1927" t="s">
        <v>4319</v>
      </c>
      <c r="C1927" t="s">
        <v>4749</v>
      </c>
      <c r="F1927" t="s">
        <v>4747</v>
      </c>
      <c r="G1927" t="s">
        <v>20</v>
      </c>
      <c r="L1927" t="s">
        <v>4324</v>
      </c>
    </row>
    <row r="1928" spans="1:12" ht="15.75" hidden="1" customHeight="1">
      <c r="A1928" t="s">
        <v>4750</v>
      </c>
      <c r="B1928" t="s">
        <v>4319</v>
      </c>
      <c r="C1928" t="s">
        <v>4751</v>
      </c>
      <c r="F1928" t="s">
        <v>4747</v>
      </c>
      <c r="G1928" t="s">
        <v>20</v>
      </c>
      <c r="L1928" t="s">
        <v>4324</v>
      </c>
    </row>
    <row r="1929" spans="1:12" ht="15.75" hidden="1" customHeight="1">
      <c r="A1929" t="s">
        <v>4752</v>
      </c>
      <c r="B1929" t="s">
        <v>4319</v>
      </c>
      <c r="C1929" t="s">
        <v>4753</v>
      </c>
      <c r="F1929" t="s">
        <v>4747</v>
      </c>
      <c r="G1929" t="s">
        <v>20</v>
      </c>
      <c r="L1929" t="s">
        <v>4324</v>
      </c>
    </row>
    <row r="1930" spans="1:12" ht="15.75" hidden="1" customHeight="1">
      <c r="A1930" t="s">
        <v>4754</v>
      </c>
      <c r="B1930" t="s">
        <v>4319</v>
      </c>
      <c r="C1930" t="s">
        <v>4755</v>
      </c>
      <c r="F1930" t="s">
        <v>4747</v>
      </c>
      <c r="G1930" t="s">
        <v>20</v>
      </c>
      <c r="L1930" t="s">
        <v>4324</v>
      </c>
    </row>
    <row r="1931" spans="1:12" ht="15.75" hidden="1" customHeight="1">
      <c r="A1931" t="s">
        <v>4756</v>
      </c>
      <c r="B1931" t="s">
        <v>4319</v>
      </c>
      <c r="C1931" t="s">
        <v>4757</v>
      </c>
      <c r="F1931" t="s">
        <v>4747</v>
      </c>
      <c r="G1931" t="s">
        <v>20</v>
      </c>
      <c r="L1931" t="s">
        <v>4324</v>
      </c>
    </row>
    <row r="1932" spans="1:12" ht="15.75" hidden="1" customHeight="1">
      <c r="A1932" t="s">
        <v>4758</v>
      </c>
      <c r="B1932" t="s">
        <v>4319</v>
      </c>
      <c r="C1932" t="s">
        <v>4759</v>
      </c>
      <c r="F1932" t="s">
        <v>4747</v>
      </c>
      <c r="G1932" t="s">
        <v>20</v>
      </c>
      <c r="L1932" t="s">
        <v>4324</v>
      </c>
    </row>
    <row r="1933" spans="1:12" ht="15.75" hidden="1" customHeight="1">
      <c r="A1933" t="s">
        <v>4760</v>
      </c>
      <c r="B1933" t="s">
        <v>4319</v>
      </c>
      <c r="C1933" t="s">
        <v>4761</v>
      </c>
      <c r="F1933" t="s">
        <v>4747</v>
      </c>
      <c r="G1933" t="s">
        <v>20</v>
      </c>
      <c r="L1933" t="s">
        <v>4324</v>
      </c>
    </row>
    <row r="1934" spans="1:12" ht="15.75" hidden="1" customHeight="1">
      <c r="A1934" t="s">
        <v>4762</v>
      </c>
      <c r="B1934" t="s">
        <v>4319</v>
      </c>
      <c r="C1934" t="s">
        <v>4763</v>
      </c>
      <c r="F1934" t="s">
        <v>4747</v>
      </c>
      <c r="G1934" t="s">
        <v>20</v>
      </c>
      <c r="L1934" t="s">
        <v>4324</v>
      </c>
    </row>
    <row r="1935" spans="1:12" ht="15.75" hidden="1" customHeight="1">
      <c r="A1935" t="s">
        <v>4764</v>
      </c>
      <c r="B1935" t="s">
        <v>4319</v>
      </c>
      <c r="C1935" t="s">
        <v>4765</v>
      </c>
      <c r="F1935" t="s">
        <v>4747</v>
      </c>
      <c r="G1935" t="s">
        <v>20</v>
      </c>
      <c r="L1935" t="s">
        <v>4324</v>
      </c>
    </row>
    <row r="1936" spans="1:12" ht="15.75" hidden="1" customHeight="1">
      <c r="A1936" t="s">
        <v>4766</v>
      </c>
      <c r="B1936" t="s">
        <v>4319</v>
      </c>
      <c r="C1936" t="s">
        <v>4767</v>
      </c>
      <c r="F1936" t="s">
        <v>4747</v>
      </c>
      <c r="G1936" t="s">
        <v>20</v>
      </c>
      <c r="L1936" t="s">
        <v>4324</v>
      </c>
    </row>
    <row r="1937" spans="1:12" ht="15.75" hidden="1" customHeight="1">
      <c r="A1937" t="s">
        <v>4768</v>
      </c>
      <c r="B1937" t="s">
        <v>4319</v>
      </c>
      <c r="C1937" t="s">
        <v>4769</v>
      </c>
      <c r="F1937" t="s">
        <v>4747</v>
      </c>
      <c r="G1937" t="s">
        <v>20</v>
      </c>
      <c r="L1937" t="s">
        <v>4324</v>
      </c>
    </row>
    <row r="1938" spans="1:12" ht="15.75" hidden="1" customHeight="1">
      <c r="A1938" t="s">
        <v>4770</v>
      </c>
      <c r="B1938" t="s">
        <v>4319</v>
      </c>
      <c r="C1938" t="s">
        <v>4771</v>
      </c>
      <c r="F1938" t="s">
        <v>4747</v>
      </c>
      <c r="G1938" t="s">
        <v>20</v>
      </c>
      <c r="L1938" t="s">
        <v>4324</v>
      </c>
    </row>
    <row r="1939" spans="1:12" ht="15.75" hidden="1" customHeight="1">
      <c r="A1939" t="s">
        <v>4772</v>
      </c>
      <c r="B1939" t="s">
        <v>4319</v>
      </c>
      <c r="C1939" t="s">
        <v>4773</v>
      </c>
      <c r="F1939" t="s">
        <v>4747</v>
      </c>
      <c r="G1939" t="s">
        <v>20</v>
      </c>
      <c r="L1939" t="s">
        <v>4324</v>
      </c>
    </row>
    <row r="1940" spans="1:12" ht="15.75" hidden="1" customHeight="1">
      <c r="A1940" t="s">
        <v>4774</v>
      </c>
      <c r="B1940" t="s">
        <v>4319</v>
      </c>
      <c r="C1940" t="s">
        <v>4775</v>
      </c>
      <c r="F1940" t="s">
        <v>4747</v>
      </c>
      <c r="G1940" t="s">
        <v>20</v>
      </c>
      <c r="L1940" t="s">
        <v>4324</v>
      </c>
    </row>
    <row r="1941" spans="1:12" ht="15.75" hidden="1" customHeight="1">
      <c r="A1941" t="s">
        <v>4776</v>
      </c>
      <c r="B1941" t="s">
        <v>4319</v>
      </c>
      <c r="C1941" t="s">
        <v>4777</v>
      </c>
      <c r="F1941" t="s">
        <v>4747</v>
      </c>
      <c r="G1941" t="s">
        <v>20</v>
      </c>
      <c r="L1941" t="s">
        <v>4324</v>
      </c>
    </row>
    <row r="1942" spans="1:12" ht="15.75" hidden="1" customHeight="1">
      <c r="A1942" t="s">
        <v>4778</v>
      </c>
      <c r="B1942" t="s">
        <v>4319</v>
      </c>
      <c r="C1942" t="s">
        <v>4779</v>
      </c>
      <c r="F1942" t="s">
        <v>4747</v>
      </c>
      <c r="G1942" t="s">
        <v>20</v>
      </c>
      <c r="L1942" t="s">
        <v>4324</v>
      </c>
    </row>
    <row r="1943" spans="1:12" ht="15.75" hidden="1" customHeight="1">
      <c r="A1943" t="s">
        <v>4780</v>
      </c>
      <c r="B1943" t="s">
        <v>4319</v>
      </c>
      <c r="C1943" t="s">
        <v>4781</v>
      </c>
      <c r="F1943" t="s">
        <v>4747</v>
      </c>
      <c r="G1943" t="s">
        <v>20</v>
      </c>
      <c r="L1943" t="s">
        <v>4324</v>
      </c>
    </row>
    <row r="1944" spans="1:12" ht="15.75" hidden="1" customHeight="1">
      <c r="A1944" t="s">
        <v>4782</v>
      </c>
      <c r="B1944" t="s">
        <v>4319</v>
      </c>
      <c r="C1944" t="s">
        <v>4783</v>
      </c>
      <c r="F1944" t="s">
        <v>4747</v>
      </c>
      <c r="G1944" t="s">
        <v>20</v>
      </c>
      <c r="L1944" t="s">
        <v>4324</v>
      </c>
    </row>
    <row r="1945" spans="1:12" ht="15.75" hidden="1" customHeight="1">
      <c r="A1945" t="s">
        <v>4784</v>
      </c>
      <c r="B1945" t="s">
        <v>4319</v>
      </c>
      <c r="C1945" t="s">
        <v>4785</v>
      </c>
      <c r="F1945" t="s">
        <v>4747</v>
      </c>
      <c r="G1945" t="s">
        <v>20</v>
      </c>
      <c r="L1945" t="s">
        <v>4324</v>
      </c>
    </row>
    <row r="1946" spans="1:12" ht="15.75" hidden="1" customHeight="1">
      <c r="A1946" t="s">
        <v>4786</v>
      </c>
      <c r="B1946" t="s">
        <v>4319</v>
      </c>
      <c r="C1946" t="s">
        <v>4787</v>
      </c>
      <c r="F1946" t="s">
        <v>4747</v>
      </c>
      <c r="G1946" t="s">
        <v>20</v>
      </c>
      <c r="L1946" t="s">
        <v>4324</v>
      </c>
    </row>
    <row r="1947" spans="1:12" ht="15.75" hidden="1" customHeight="1">
      <c r="A1947" t="s">
        <v>4788</v>
      </c>
      <c r="B1947" t="s">
        <v>4319</v>
      </c>
      <c r="C1947" t="s">
        <v>4789</v>
      </c>
      <c r="F1947" t="s">
        <v>4747</v>
      </c>
      <c r="G1947" t="s">
        <v>20</v>
      </c>
      <c r="L1947" t="s">
        <v>4324</v>
      </c>
    </row>
    <row r="1948" spans="1:12" ht="15.75" hidden="1" customHeight="1">
      <c r="A1948" t="s">
        <v>4790</v>
      </c>
      <c r="B1948" t="s">
        <v>4319</v>
      </c>
      <c r="C1948" t="s">
        <v>4791</v>
      </c>
      <c r="F1948" t="s">
        <v>4747</v>
      </c>
      <c r="G1948" t="s">
        <v>20</v>
      </c>
      <c r="L1948" t="s">
        <v>4324</v>
      </c>
    </row>
    <row r="1949" spans="1:12" ht="15.75" hidden="1" customHeight="1">
      <c r="A1949" t="s">
        <v>4792</v>
      </c>
      <c r="B1949" t="s">
        <v>4319</v>
      </c>
      <c r="C1949" t="s">
        <v>4793</v>
      </c>
      <c r="F1949" t="s">
        <v>4747</v>
      </c>
      <c r="G1949" t="s">
        <v>20</v>
      </c>
      <c r="L1949" t="s">
        <v>4324</v>
      </c>
    </row>
    <row r="1950" spans="1:12" ht="15.75" hidden="1" customHeight="1">
      <c r="A1950" t="s">
        <v>4794</v>
      </c>
      <c r="B1950" t="s">
        <v>4319</v>
      </c>
      <c r="C1950" t="s">
        <v>4795</v>
      </c>
      <c r="F1950" t="s">
        <v>4747</v>
      </c>
      <c r="G1950" t="s">
        <v>20</v>
      </c>
      <c r="L1950" t="s">
        <v>4324</v>
      </c>
    </row>
    <row r="1951" spans="1:12" ht="15.75" hidden="1" customHeight="1">
      <c r="A1951" t="s">
        <v>4796</v>
      </c>
      <c r="B1951" t="s">
        <v>4319</v>
      </c>
      <c r="C1951" t="s">
        <v>4797</v>
      </c>
      <c r="F1951" t="s">
        <v>4747</v>
      </c>
      <c r="G1951" t="s">
        <v>20</v>
      </c>
      <c r="L1951" t="s">
        <v>4324</v>
      </c>
    </row>
    <row r="1952" spans="1:12" ht="15.75" hidden="1" customHeight="1">
      <c r="A1952" t="s">
        <v>4798</v>
      </c>
      <c r="B1952" t="s">
        <v>4319</v>
      </c>
      <c r="C1952" t="s">
        <v>4799</v>
      </c>
      <c r="F1952" t="s">
        <v>4800</v>
      </c>
      <c r="G1952" t="s">
        <v>20</v>
      </c>
      <c r="L1952" t="s">
        <v>736</v>
      </c>
    </row>
    <row r="1953" spans="1:12" ht="15.75" hidden="1" customHeight="1">
      <c r="A1953" t="s">
        <v>4801</v>
      </c>
      <c r="B1953" t="s">
        <v>4319</v>
      </c>
      <c r="C1953" t="s">
        <v>4802</v>
      </c>
      <c r="F1953" t="s">
        <v>4799</v>
      </c>
      <c r="G1953" t="s">
        <v>20</v>
      </c>
      <c r="L1953" t="s">
        <v>4324</v>
      </c>
    </row>
    <row r="1954" spans="1:12" ht="15.75" hidden="1" customHeight="1">
      <c r="A1954" t="s">
        <v>4803</v>
      </c>
      <c r="B1954" t="s">
        <v>4319</v>
      </c>
      <c r="C1954" t="s">
        <v>4804</v>
      </c>
      <c r="F1954" t="s">
        <v>4799</v>
      </c>
      <c r="G1954" t="s">
        <v>20</v>
      </c>
      <c r="L1954" t="s">
        <v>4324</v>
      </c>
    </row>
    <row r="1955" spans="1:12" ht="15.75" hidden="1" customHeight="1">
      <c r="A1955" t="s">
        <v>4805</v>
      </c>
      <c r="B1955" t="s">
        <v>4319</v>
      </c>
      <c r="C1955" t="s">
        <v>4806</v>
      </c>
      <c r="F1955" t="s">
        <v>4799</v>
      </c>
      <c r="G1955" t="s">
        <v>20</v>
      </c>
      <c r="L1955" t="s">
        <v>4324</v>
      </c>
    </row>
    <row r="1956" spans="1:12" ht="15.75" hidden="1" customHeight="1">
      <c r="A1956" t="s">
        <v>4807</v>
      </c>
      <c r="B1956" t="s">
        <v>4319</v>
      </c>
      <c r="C1956" t="s">
        <v>4808</v>
      </c>
      <c r="F1956" t="s">
        <v>4799</v>
      </c>
      <c r="G1956" t="s">
        <v>20</v>
      </c>
      <c r="L1956" t="s">
        <v>4324</v>
      </c>
    </row>
    <row r="1957" spans="1:12" ht="15.75" hidden="1" customHeight="1">
      <c r="A1957" t="s">
        <v>4809</v>
      </c>
      <c r="B1957" t="s">
        <v>4319</v>
      </c>
      <c r="C1957" t="s">
        <v>4810</v>
      </c>
      <c r="F1957" t="s">
        <v>4799</v>
      </c>
      <c r="G1957" t="s">
        <v>20</v>
      </c>
      <c r="L1957" t="s">
        <v>4324</v>
      </c>
    </row>
    <row r="1958" spans="1:12" ht="15.75" hidden="1" customHeight="1">
      <c r="A1958" t="s">
        <v>4811</v>
      </c>
      <c r="B1958" t="s">
        <v>4319</v>
      </c>
      <c r="C1958" t="s">
        <v>4812</v>
      </c>
      <c r="F1958" t="s">
        <v>4799</v>
      </c>
      <c r="G1958" t="s">
        <v>20</v>
      </c>
      <c r="L1958" t="s">
        <v>4324</v>
      </c>
    </row>
    <row r="1959" spans="1:12" ht="15.75" hidden="1" customHeight="1">
      <c r="A1959" t="s">
        <v>4813</v>
      </c>
      <c r="B1959" t="s">
        <v>4319</v>
      </c>
      <c r="C1959" t="s">
        <v>4814</v>
      </c>
      <c r="F1959" t="s">
        <v>4799</v>
      </c>
      <c r="G1959" t="s">
        <v>20</v>
      </c>
      <c r="L1959" t="s">
        <v>4324</v>
      </c>
    </row>
    <row r="1960" spans="1:12" ht="15.75" hidden="1" customHeight="1">
      <c r="A1960" t="s">
        <v>4815</v>
      </c>
      <c r="B1960" t="s">
        <v>4319</v>
      </c>
      <c r="C1960" t="s">
        <v>4816</v>
      </c>
      <c r="F1960" t="s">
        <v>4799</v>
      </c>
      <c r="G1960" t="s">
        <v>20</v>
      </c>
      <c r="L1960" t="s">
        <v>4324</v>
      </c>
    </row>
    <row r="1961" spans="1:12" ht="15.75" hidden="1" customHeight="1">
      <c r="A1961" t="s">
        <v>4817</v>
      </c>
      <c r="B1961" t="s">
        <v>4319</v>
      </c>
      <c r="C1961" t="s">
        <v>4818</v>
      </c>
      <c r="F1961" t="s">
        <v>4799</v>
      </c>
      <c r="G1961" t="s">
        <v>20</v>
      </c>
      <c r="L1961" t="s">
        <v>4324</v>
      </c>
    </row>
    <row r="1962" spans="1:12" ht="15.75" hidden="1" customHeight="1">
      <c r="A1962" t="s">
        <v>4819</v>
      </c>
      <c r="B1962" t="s">
        <v>4319</v>
      </c>
      <c r="C1962" t="s">
        <v>4820</v>
      </c>
      <c r="F1962" t="s">
        <v>4799</v>
      </c>
      <c r="G1962" t="s">
        <v>20</v>
      </c>
      <c r="L1962" t="s">
        <v>4324</v>
      </c>
    </row>
    <row r="1963" spans="1:12" ht="15.75" hidden="1" customHeight="1">
      <c r="A1963" t="s">
        <v>4821</v>
      </c>
      <c r="B1963" t="s">
        <v>4319</v>
      </c>
      <c r="C1963" t="s">
        <v>4822</v>
      </c>
      <c r="F1963" t="s">
        <v>4799</v>
      </c>
      <c r="G1963" t="s">
        <v>20</v>
      </c>
      <c r="L1963" t="s">
        <v>4324</v>
      </c>
    </row>
    <row r="1964" spans="1:12" ht="15.75" hidden="1" customHeight="1">
      <c r="A1964" t="s">
        <v>4823</v>
      </c>
      <c r="B1964" t="s">
        <v>4319</v>
      </c>
      <c r="C1964" t="s">
        <v>4824</v>
      </c>
      <c r="F1964" t="s">
        <v>4799</v>
      </c>
      <c r="G1964" t="s">
        <v>20</v>
      </c>
      <c r="L1964" t="s">
        <v>4324</v>
      </c>
    </row>
    <row r="1965" spans="1:12" ht="15.75" hidden="1" customHeight="1">
      <c r="A1965" t="s">
        <v>4825</v>
      </c>
      <c r="B1965" t="s">
        <v>4319</v>
      </c>
      <c r="C1965" t="s">
        <v>4826</v>
      </c>
      <c r="F1965" t="s">
        <v>4799</v>
      </c>
      <c r="G1965" t="s">
        <v>20</v>
      </c>
      <c r="L1965" t="s">
        <v>4324</v>
      </c>
    </row>
    <row r="1966" spans="1:12" ht="15.75" hidden="1" customHeight="1">
      <c r="A1966" t="s">
        <v>4827</v>
      </c>
      <c r="B1966" t="s">
        <v>4319</v>
      </c>
      <c r="C1966" t="s">
        <v>4828</v>
      </c>
      <c r="F1966" t="s">
        <v>4799</v>
      </c>
      <c r="G1966" t="s">
        <v>20</v>
      </c>
      <c r="L1966" t="s">
        <v>4324</v>
      </c>
    </row>
    <row r="1967" spans="1:12" ht="15.75" hidden="1" customHeight="1">
      <c r="A1967" t="s">
        <v>4829</v>
      </c>
      <c r="B1967" t="s">
        <v>4319</v>
      </c>
      <c r="C1967" t="s">
        <v>4830</v>
      </c>
      <c r="F1967" t="s">
        <v>4799</v>
      </c>
      <c r="G1967" t="s">
        <v>20</v>
      </c>
      <c r="L1967" t="s">
        <v>4324</v>
      </c>
    </row>
    <row r="1968" spans="1:12" ht="15.75" hidden="1" customHeight="1">
      <c r="A1968" t="s">
        <v>4831</v>
      </c>
      <c r="B1968" t="s">
        <v>4319</v>
      </c>
      <c r="C1968" t="s">
        <v>4832</v>
      </c>
      <c r="F1968" t="s">
        <v>4799</v>
      </c>
      <c r="G1968" t="s">
        <v>20</v>
      </c>
      <c r="L1968" t="s">
        <v>4324</v>
      </c>
    </row>
    <row r="1969" spans="1:12" ht="15.75" hidden="1" customHeight="1">
      <c r="A1969" t="s">
        <v>4833</v>
      </c>
      <c r="B1969" t="s">
        <v>4319</v>
      </c>
      <c r="C1969" t="s">
        <v>4834</v>
      </c>
      <c r="F1969" t="s">
        <v>4799</v>
      </c>
      <c r="G1969" t="s">
        <v>20</v>
      </c>
      <c r="L1969" t="s">
        <v>4324</v>
      </c>
    </row>
    <row r="1970" spans="1:12" ht="15.75" hidden="1" customHeight="1">
      <c r="A1970" t="s">
        <v>4835</v>
      </c>
      <c r="B1970" t="s">
        <v>4319</v>
      </c>
      <c r="C1970" t="s">
        <v>4836</v>
      </c>
      <c r="F1970" t="s">
        <v>4799</v>
      </c>
      <c r="G1970" t="s">
        <v>20</v>
      </c>
      <c r="L1970" t="s">
        <v>4324</v>
      </c>
    </row>
    <row r="1971" spans="1:12" ht="15.75" hidden="1" customHeight="1">
      <c r="A1971" t="s">
        <v>4837</v>
      </c>
      <c r="B1971" t="s">
        <v>4319</v>
      </c>
      <c r="C1971" t="s">
        <v>4838</v>
      </c>
      <c r="F1971" t="s">
        <v>4799</v>
      </c>
      <c r="G1971" t="s">
        <v>20</v>
      </c>
      <c r="L1971" t="s">
        <v>4324</v>
      </c>
    </row>
    <row r="1972" spans="1:12" ht="15.75" hidden="1" customHeight="1">
      <c r="A1972" t="s">
        <v>4839</v>
      </c>
      <c r="B1972" t="s">
        <v>4319</v>
      </c>
      <c r="C1972" t="s">
        <v>4840</v>
      </c>
      <c r="F1972" t="s">
        <v>4799</v>
      </c>
      <c r="G1972" t="s">
        <v>20</v>
      </c>
      <c r="L1972" t="s">
        <v>4324</v>
      </c>
    </row>
    <row r="1973" spans="1:12" ht="15.75" hidden="1" customHeight="1">
      <c r="A1973" t="s">
        <v>4841</v>
      </c>
      <c r="B1973" t="s">
        <v>4319</v>
      </c>
      <c r="C1973" t="s">
        <v>4842</v>
      </c>
      <c r="F1973" t="s">
        <v>4799</v>
      </c>
      <c r="G1973" t="s">
        <v>20</v>
      </c>
      <c r="L1973" t="s">
        <v>4324</v>
      </c>
    </row>
    <row r="1974" spans="1:12" ht="15.75" hidden="1" customHeight="1">
      <c r="A1974" t="s">
        <v>4843</v>
      </c>
      <c r="B1974" t="s">
        <v>4319</v>
      </c>
      <c r="C1974" t="s">
        <v>4844</v>
      </c>
      <c r="F1974" t="s">
        <v>4800</v>
      </c>
      <c r="G1974" t="s">
        <v>20</v>
      </c>
      <c r="L1974" t="s">
        <v>736</v>
      </c>
    </row>
    <row r="1975" spans="1:12" ht="15.75" hidden="1" customHeight="1">
      <c r="A1975" t="s">
        <v>4845</v>
      </c>
      <c r="B1975" t="s">
        <v>4319</v>
      </c>
      <c r="C1975" t="s">
        <v>4846</v>
      </c>
      <c r="F1975" t="s">
        <v>4844</v>
      </c>
      <c r="G1975" t="s">
        <v>20</v>
      </c>
      <c r="L1975" t="s">
        <v>4324</v>
      </c>
    </row>
    <row r="1976" spans="1:12" ht="15.75" hidden="1" customHeight="1">
      <c r="A1976" t="s">
        <v>4847</v>
      </c>
      <c r="B1976" t="s">
        <v>4319</v>
      </c>
      <c r="C1976" t="s">
        <v>4848</v>
      </c>
      <c r="F1976" t="s">
        <v>4844</v>
      </c>
      <c r="G1976" t="s">
        <v>20</v>
      </c>
      <c r="L1976" t="s">
        <v>4324</v>
      </c>
    </row>
    <row r="1977" spans="1:12" ht="15.75" hidden="1" customHeight="1">
      <c r="A1977" t="s">
        <v>4849</v>
      </c>
      <c r="B1977" t="s">
        <v>4319</v>
      </c>
      <c r="C1977" t="s">
        <v>4850</v>
      </c>
      <c r="F1977" t="s">
        <v>4844</v>
      </c>
      <c r="G1977" t="s">
        <v>20</v>
      </c>
      <c r="L1977" t="s">
        <v>4324</v>
      </c>
    </row>
    <row r="1978" spans="1:12" ht="15.75" hidden="1" customHeight="1">
      <c r="A1978" t="s">
        <v>4851</v>
      </c>
      <c r="B1978" t="s">
        <v>4319</v>
      </c>
      <c r="C1978" t="s">
        <v>4852</v>
      </c>
      <c r="F1978" t="s">
        <v>4844</v>
      </c>
      <c r="G1978" t="s">
        <v>20</v>
      </c>
      <c r="L1978" t="s">
        <v>4324</v>
      </c>
    </row>
    <row r="1979" spans="1:12" ht="15.75" hidden="1" customHeight="1">
      <c r="A1979" t="s">
        <v>4853</v>
      </c>
      <c r="B1979" t="s">
        <v>4319</v>
      </c>
      <c r="C1979" t="s">
        <v>4854</v>
      </c>
      <c r="F1979" t="s">
        <v>4800</v>
      </c>
      <c r="G1979" t="s">
        <v>20</v>
      </c>
      <c r="L1979" t="s">
        <v>736</v>
      </c>
    </row>
    <row r="1980" spans="1:12" ht="15.75" hidden="1" customHeight="1">
      <c r="A1980" t="s">
        <v>4855</v>
      </c>
      <c r="B1980" t="s">
        <v>4319</v>
      </c>
      <c r="C1980" t="s">
        <v>4856</v>
      </c>
      <c r="F1980" t="s">
        <v>4854</v>
      </c>
      <c r="G1980" t="s">
        <v>20</v>
      </c>
      <c r="L1980" t="s">
        <v>4324</v>
      </c>
    </row>
    <row r="1981" spans="1:12" ht="15.75" hidden="1" customHeight="1">
      <c r="A1981" t="s">
        <v>4857</v>
      </c>
      <c r="B1981" t="s">
        <v>4319</v>
      </c>
      <c r="C1981" t="s">
        <v>4858</v>
      </c>
      <c r="F1981" t="s">
        <v>4854</v>
      </c>
      <c r="G1981" t="s">
        <v>20</v>
      </c>
      <c r="L1981" t="s">
        <v>4324</v>
      </c>
    </row>
    <row r="1982" spans="1:12" ht="15.75" hidden="1" customHeight="1">
      <c r="A1982" t="s">
        <v>4859</v>
      </c>
      <c r="B1982" t="s">
        <v>4319</v>
      </c>
      <c r="C1982" t="s">
        <v>4860</v>
      </c>
      <c r="F1982" t="s">
        <v>4854</v>
      </c>
      <c r="G1982" t="s">
        <v>20</v>
      </c>
      <c r="L1982" t="s">
        <v>4324</v>
      </c>
    </row>
    <row r="1983" spans="1:12" ht="15.75" hidden="1" customHeight="1">
      <c r="A1983" t="s">
        <v>4861</v>
      </c>
      <c r="B1983" t="s">
        <v>4319</v>
      </c>
      <c r="C1983" t="s">
        <v>4862</v>
      </c>
      <c r="F1983" t="s">
        <v>4854</v>
      </c>
      <c r="G1983" t="s">
        <v>20</v>
      </c>
      <c r="L1983" t="s">
        <v>4324</v>
      </c>
    </row>
    <row r="1984" spans="1:12" ht="15.75" hidden="1" customHeight="1">
      <c r="A1984" t="s">
        <v>4863</v>
      </c>
      <c r="B1984" t="s">
        <v>4319</v>
      </c>
      <c r="C1984" t="s">
        <v>4864</v>
      </c>
      <c r="F1984" t="s">
        <v>4800</v>
      </c>
      <c r="G1984" t="s">
        <v>20</v>
      </c>
      <c r="L1984" t="s">
        <v>736</v>
      </c>
    </row>
    <row r="1985" spans="1:12" ht="15.75" hidden="1" customHeight="1">
      <c r="A1985" t="s">
        <v>4865</v>
      </c>
      <c r="B1985" t="s">
        <v>4319</v>
      </c>
      <c r="C1985" t="s">
        <v>4866</v>
      </c>
      <c r="F1985" t="s">
        <v>4864</v>
      </c>
      <c r="G1985" t="s">
        <v>20</v>
      </c>
      <c r="L1985" t="s">
        <v>4324</v>
      </c>
    </row>
    <row r="1986" spans="1:12" ht="15.75" hidden="1" customHeight="1">
      <c r="A1986" t="s">
        <v>4867</v>
      </c>
      <c r="B1986" t="s">
        <v>4319</v>
      </c>
      <c r="C1986" t="s">
        <v>4868</v>
      </c>
      <c r="F1986" t="s">
        <v>4864</v>
      </c>
      <c r="G1986" t="s">
        <v>20</v>
      </c>
      <c r="L1986" t="s">
        <v>4324</v>
      </c>
    </row>
    <row r="1987" spans="1:12" ht="15.75" hidden="1" customHeight="1">
      <c r="A1987" t="s">
        <v>4869</v>
      </c>
      <c r="B1987" t="s">
        <v>4319</v>
      </c>
      <c r="C1987" t="s">
        <v>4870</v>
      </c>
      <c r="F1987" t="s">
        <v>4864</v>
      </c>
      <c r="G1987" t="s">
        <v>20</v>
      </c>
      <c r="L1987" t="s">
        <v>4324</v>
      </c>
    </row>
    <row r="1988" spans="1:12" ht="15.75" hidden="1" customHeight="1">
      <c r="A1988" t="s">
        <v>4871</v>
      </c>
      <c r="B1988" t="s">
        <v>4319</v>
      </c>
      <c r="C1988" t="s">
        <v>4872</v>
      </c>
      <c r="F1988" t="s">
        <v>4800</v>
      </c>
      <c r="G1988" t="s">
        <v>20</v>
      </c>
      <c r="L1988" t="s">
        <v>736</v>
      </c>
    </row>
    <row r="1989" spans="1:12" ht="15.75" hidden="1" customHeight="1">
      <c r="A1989" t="s">
        <v>4873</v>
      </c>
      <c r="B1989" t="s">
        <v>4319</v>
      </c>
      <c r="C1989" t="s">
        <v>4874</v>
      </c>
      <c r="F1989" t="s">
        <v>4872</v>
      </c>
      <c r="G1989" t="s">
        <v>20</v>
      </c>
      <c r="L1989" t="s">
        <v>4324</v>
      </c>
    </row>
    <row r="1990" spans="1:12" ht="15.75" hidden="1" customHeight="1">
      <c r="A1990" t="s">
        <v>4875</v>
      </c>
      <c r="B1990" t="s">
        <v>4319</v>
      </c>
      <c r="C1990" t="s">
        <v>4876</v>
      </c>
      <c r="F1990" t="s">
        <v>4872</v>
      </c>
      <c r="G1990" t="s">
        <v>20</v>
      </c>
      <c r="L1990" t="s">
        <v>4324</v>
      </c>
    </row>
    <row r="1991" spans="1:12" ht="15.75" hidden="1" customHeight="1">
      <c r="A1991" t="s">
        <v>4877</v>
      </c>
      <c r="B1991" t="s">
        <v>4319</v>
      </c>
      <c r="C1991" t="s">
        <v>4878</v>
      </c>
      <c r="F1991" t="s">
        <v>4872</v>
      </c>
      <c r="G1991" t="s">
        <v>20</v>
      </c>
      <c r="L1991" t="s">
        <v>4324</v>
      </c>
    </row>
    <row r="1992" spans="1:12" ht="15.75" hidden="1" customHeight="1">
      <c r="A1992" t="s">
        <v>4879</v>
      </c>
      <c r="B1992" t="s">
        <v>4319</v>
      </c>
      <c r="C1992" t="s">
        <v>4880</v>
      </c>
      <c r="F1992" t="s">
        <v>4872</v>
      </c>
      <c r="G1992" t="s">
        <v>20</v>
      </c>
      <c r="L1992" t="s">
        <v>4324</v>
      </c>
    </row>
    <row r="1993" spans="1:12" ht="15.75" hidden="1" customHeight="1">
      <c r="A1993" t="s">
        <v>4881</v>
      </c>
      <c r="B1993" t="s">
        <v>4319</v>
      </c>
      <c r="C1993" t="s">
        <v>4882</v>
      </c>
      <c r="F1993" t="s">
        <v>4800</v>
      </c>
      <c r="G1993" t="s">
        <v>20</v>
      </c>
      <c r="L1993" t="s">
        <v>736</v>
      </c>
    </row>
    <row r="1994" spans="1:12" ht="15.75" hidden="1" customHeight="1">
      <c r="A1994" t="s">
        <v>4883</v>
      </c>
      <c r="B1994" t="s">
        <v>4319</v>
      </c>
      <c r="C1994" t="s">
        <v>4884</v>
      </c>
      <c r="F1994" t="s">
        <v>4882</v>
      </c>
      <c r="G1994" t="s">
        <v>20</v>
      </c>
      <c r="L1994" t="s">
        <v>4324</v>
      </c>
    </row>
    <row r="1995" spans="1:12" ht="15.75" hidden="1" customHeight="1">
      <c r="A1995" t="s">
        <v>4885</v>
      </c>
      <c r="B1995" t="s">
        <v>4319</v>
      </c>
      <c r="C1995" t="s">
        <v>4886</v>
      </c>
      <c r="F1995" t="s">
        <v>4882</v>
      </c>
      <c r="G1995" t="s">
        <v>20</v>
      </c>
      <c r="L1995" t="s">
        <v>4324</v>
      </c>
    </row>
    <row r="1996" spans="1:12" ht="15.75" hidden="1" customHeight="1">
      <c r="A1996" t="s">
        <v>4887</v>
      </c>
      <c r="B1996" t="s">
        <v>4319</v>
      </c>
      <c r="C1996" t="s">
        <v>4888</v>
      </c>
      <c r="F1996" t="s">
        <v>4882</v>
      </c>
      <c r="G1996" t="s">
        <v>20</v>
      </c>
      <c r="L1996" t="s">
        <v>4324</v>
      </c>
    </row>
    <row r="1997" spans="1:12" ht="15.75" hidden="1" customHeight="1">
      <c r="A1997" t="s">
        <v>4889</v>
      </c>
      <c r="B1997" t="s">
        <v>4319</v>
      </c>
      <c r="C1997" t="s">
        <v>4890</v>
      </c>
      <c r="F1997" t="s">
        <v>4882</v>
      </c>
      <c r="G1997" t="s">
        <v>20</v>
      </c>
      <c r="L1997" t="s">
        <v>4324</v>
      </c>
    </row>
    <row r="1998" spans="1:12" ht="15.75" hidden="1" customHeight="1">
      <c r="A1998" t="s">
        <v>4891</v>
      </c>
      <c r="B1998" t="s">
        <v>4319</v>
      </c>
      <c r="C1998" t="s">
        <v>4892</v>
      </c>
      <c r="F1998" t="s">
        <v>4800</v>
      </c>
      <c r="G1998" t="s">
        <v>20</v>
      </c>
      <c r="L1998" t="s">
        <v>736</v>
      </c>
    </row>
    <row r="1999" spans="1:12" ht="15.75" hidden="1" customHeight="1">
      <c r="A1999" t="s">
        <v>4893</v>
      </c>
      <c r="B1999" t="s">
        <v>4319</v>
      </c>
      <c r="C1999" t="s">
        <v>4894</v>
      </c>
      <c r="F1999" t="s">
        <v>4892</v>
      </c>
      <c r="G1999" t="s">
        <v>20</v>
      </c>
      <c r="L1999" t="s">
        <v>4324</v>
      </c>
    </row>
    <row r="2000" spans="1:12" ht="15.75" hidden="1" customHeight="1">
      <c r="A2000" t="s">
        <v>4895</v>
      </c>
      <c r="B2000" t="s">
        <v>4319</v>
      </c>
      <c r="C2000" t="s">
        <v>4896</v>
      </c>
      <c r="F2000" t="s">
        <v>4892</v>
      </c>
      <c r="G2000" t="s">
        <v>20</v>
      </c>
      <c r="L2000" t="s">
        <v>4324</v>
      </c>
    </row>
    <row r="2001" spans="1:12" ht="15.75" hidden="1" customHeight="1">
      <c r="A2001" t="s">
        <v>4897</v>
      </c>
      <c r="B2001" t="s">
        <v>4319</v>
      </c>
      <c r="C2001" t="s">
        <v>4898</v>
      </c>
      <c r="F2001" t="s">
        <v>4892</v>
      </c>
      <c r="G2001" t="s">
        <v>20</v>
      </c>
      <c r="L2001" t="s">
        <v>4324</v>
      </c>
    </row>
    <row r="2002" spans="1:12" ht="15.75" hidden="1" customHeight="1">
      <c r="A2002" t="s">
        <v>4899</v>
      </c>
      <c r="B2002" t="s">
        <v>4319</v>
      </c>
      <c r="C2002" t="s">
        <v>4900</v>
      </c>
      <c r="F2002" t="s">
        <v>4892</v>
      </c>
      <c r="G2002" t="s">
        <v>20</v>
      </c>
      <c r="L2002" t="s">
        <v>4324</v>
      </c>
    </row>
    <row r="2003" spans="1:12" ht="15.75" hidden="1" customHeight="1">
      <c r="A2003" t="s">
        <v>4901</v>
      </c>
      <c r="B2003" t="s">
        <v>4319</v>
      </c>
      <c r="C2003" t="s">
        <v>4902</v>
      </c>
      <c r="F2003" t="s">
        <v>4800</v>
      </c>
      <c r="G2003" t="s">
        <v>20</v>
      </c>
      <c r="L2003" t="s">
        <v>736</v>
      </c>
    </row>
    <row r="2004" spans="1:12" ht="15.75" hidden="1" customHeight="1">
      <c r="A2004" t="s">
        <v>4903</v>
      </c>
      <c r="B2004" t="s">
        <v>4319</v>
      </c>
      <c r="C2004" t="s">
        <v>4904</v>
      </c>
      <c r="F2004" t="s">
        <v>4902</v>
      </c>
      <c r="G2004" t="s">
        <v>20</v>
      </c>
      <c r="L2004" t="s">
        <v>4324</v>
      </c>
    </row>
    <row r="2005" spans="1:12" ht="15.75" hidden="1" customHeight="1">
      <c r="A2005" t="s">
        <v>4905</v>
      </c>
      <c r="B2005" t="s">
        <v>4319</v>
      </c>
      <c r="C2005" t="s">
        <v>4906</v>
      </c>
      <c r="F2005" t="s">
        <v>4902</v>
      </c>
      <c r="G2005" t="s">
        <v>20</v>
      </c>
      <c r="L2005" t="s">
        <v>4324</v>
      </c>
    </row>
    <row r="2006" spans="1:12" ht="15.75" hidden="1" customHeight="1">
      <c r="A2006" t="s">
        <v>4907</v>
      </c>
      <c r="B2006" t="s">
        <v>4319</v>
      </c>
      <c r="C2006" t="s">
        <v>4908</v>
      </c>
      <c r="F2006" t="s">
        <v>4902</v>
      </c>
      <c r="G2006" t="s">
        <v>20</v>
      </c>
      <c r="L2006" t="s">
        <v>4324</v>
      </c>
    </row>
    <row r="2007" spans="1:12" ht="15.75" hidden="1" customHeight="1">
      <c r="A2007" t="s">
        <v>4909</v>
      </c>
      <c r="B2007" t="s">
        <v>4319</v>
      </c>
      <c r="C2007" t="s">
        <v>4910</v>
      </c>
      <c r="F2007" t="s">
        <v>4800</v>
      </c>
      <c r="G2007" t="s">
        <v>20</v>
      </c>
      <c r="L2007" t="s">
        <v>736</v>
      </c>
    </row>
    <row r="2008" spans="1:12" ht="15.75" hidden="1" customHeight="1">
      <c r="A2008" t="s">
        <v>4911</v>
      </c>
      <c r="B2008" t="s">
        <v>4319</v>
      </c>
      <c r="C2008" t="s">
        <v>4912</v>
      </c>
      <c r="F2008" t="s">
        <v>4910</v>
      </c>
      <c r="G2008" t="s">
        <v>20</v>
      </c>
      <c r="L2008" t="s">
        <v>4324</v>
      </c>
    </row>
    <row r="2009" spans="1:12" ht="15.75" hidden="1" customHeight="1">
      <c r="A2009" t="s">
        <v>4913</v>
      </c>
      <c r="B2009" t="s">
        <v>4319</v>
      </c>
      <c r="C2009" t="s">
        <v>4914</v>
      </c>
      <c r="F2009" t="s">
        <v>4910</v>
      </c>
      <c r="G2009" t="s">
        <v>20</v>
      </c>
      <c r="L2009" t="s">
        <v>4324</v>
      </c>
    </row>
    <row r="2010" spans="1:12" ht="15.75" hidden="1" customHeight="1">
      <c r="A2010" t="s">
        <v>4915</v>
      </c>
      <c r="B2010" t="s">
        <v>4319</v>
      </c>
      <c r="C2010" t="s">
        <v>4916</v>
      </c>
      <c r="F2010" t="s">
        <v>4917</v>
      </c>
      <c r="G2010" t="s">
        <v>20</v>
      </c>
      <c r="L2010" t="s">
        <v>736</v>
      </c>
    </row>
    <row r="2011" spans="1:12" ht="15.75" hidden="1" customHeight="1">
      <c r="A2011" t="s">
        <v>4918</v>
      </c>
      <c r="B2011" t="s">
        <v>4319</v>
      </c>
      <c r="C2011" t="s">
        <v>4919</v>
      </c>
      <c r="F2011" t="s">
        <v>4916</v>
      </c>
      <c r="G2011" t="s">
        <v>20</v>
      </c>
      <c r="L2011" t="s">
        <v>4324</v>
      </c>
    </row>
    <row r="2012" spans="1:12" ht="15.75" hidden="1" customHeight="1">
      <c r="A2012" t="s">
        <v>4920</v>
      </c>
      <c r="B2012" t="s">
        <v>4319</v>
      </c>
      <c r="C2012" t="s">
        <v>4921</v>
      </c>
      <c r="F2012" t="s">
        <v>4916</v>
      </c>
      <c r="G2012" t="s">
        <v>20</v>
      </c>
      <c r="L2012" t="s">
        <v>4324</v>
      </c>
    </row>
    <row r="2013" spans="1:12" ht="15.75" hidden="1" customHeight="1">
      <c r="A2013" t="s">
        <v>4922</v>
      </c>
      <c r="B2013" t="s">
        <v>4319</v>
      </c>
      <c r="C2013" t="s">
        <v>4923</v>
      </c>
      <c r="F2013" t="s">
        <v>4916</v>
      </c>
      <c r="G2013" t="s">
        <v>20</v>
      </c>
      <c r="L2013" t="s">
        <v>4324</v>
      </c>
    </row>
    <row r="2014" spans="1:12" ht="15.75" hidden="1" customHeight="1">
      <c r="A2014" t="s">
        <v>4924</v>
      </c>
      <c r="B2014" t="s">
        <v>4319</v>
      </c>
      <c r="C2014" t="s">
        <v>4925</v>
      </c>
      <c r="F2014" t="s">
        <v>4916</v>
      </c>
      <c r="G2014" t="s">
        <v>20</v>
      </c>
      <c r="L2014" t="s">
        <v>4324</v>
      </c>
    </row>
    <row r="2015" spans="1:12" ht="15.75" hidden="1" customHeight="1">
      <c r="A2015" t="s">
        <v>4926</v>
      </c>
      <c r="B2015" t="s">
        <v>4319</v>
      </c>
      <c r="C2015" t="s">
        <v>4927</v>
      </c>
      <c r="F2015" t="s">
        <v>4916</v>
      </c>
      <c r="G2015" t="s">
        <v>20</v>
      </c>
      <c r="L2015" t="s">
        <v>4324</v>
      </c>
    </row>
    <row r="2016" spans="1:12" ht="15.75" hidden="1" customHeight="1">
      <c r="A2016" t="s">
        <v>4928</v>
      </c>
      <c r="B2016" t="s">
        <v>4319</v>
      </c>
      <c r="C2016" t="s">
        <v>4929</v>
      </c>
      <c r="F2016" t="s">
        <v>4916</v>
      </c>
      <c r="G2016" t="s">
        <v>20</v>
      </c>
      <c r="L2016" t="s">
        <v>4324</v>
      </c>
    </row>
    <row r="2017" spans="1:12" ht="15.75" hidden="1" customHeight="1">
      <c r="A2017" t="s">
        <v>4930</v>
      </c>
      <c r="B2017" t="s">
        <v>4319</v>
      </c>
      <c r="C2017" t="s">
        <v>4931</v>
      </c>
      <c r="F2017" t="s">
        <v>4916</v>
      </c>
      <c r="G2017" t="s">
        <v>20</v>
      </c>
      <c r="L2017" t="s">
        <v>4324</v>
      </c>
    </row>
    <row r="2018" spans="1:12" ht="15.75" hidden="1" customHeight="1">
      <c r="A2018" t="s">
        <v>4932</v>
      </c>
      <c r="B2018" t="s">
        <v>4319</v>
      </c>
      <c r="C2018" t="s">
        <v>4933</v>
      </c>
      <c r="F2018" t="s">
        <v>4916</v>
      </c>
      <c r="G2018" t="s">
        <v>20</v>
      </c>
      <c r="L2018" t="s">
        <v>4324</v>
      </c>
    </row>
    <row r="2019" spans="1:12" ht="15.75" hidden="1" customHeight="1">
      <c r="A2019" t="s">
        <v>4934</v>
      </c>
      <c r="B2019" t="s">
        <v>4319</v>
      </c>
      <c r="C2019" t="s">
        <v>4935</v>
      </c>
      <c r="F2019" t="s">
        <v>4916</v>
      </c>
      <c r="G2019" t="s">
        <v>20</v>
      </c>
      <c r="L2019" t="s">
        <v>4324</v>
      </c>
    </row>
    <row r="2020" spans="1:12" ht="15.75" hidden="1" customHeight="1">
      <c r="A2020" t="s">
        <v>4936</v>
      </c>
      <c r="B2020" t="s">
        <v>4319</v>
      </c>
      <c r="C2020" t="s">
        <v>4937</v>
      </c>
      <c r="F2020" t="s">
        <v>4916</v>
      </c>
      <c r="G2020" t="s">
        <v>20</v>
      </c>
      <c r="L2020" t="s">
        <v>4324</v>
      </c>
    </row>
    <row r="2021" spans="1:12" ht="15.75" hidden="1" customHeight="1">
      <c r="A2021" t="s">
        <v>4938</v>
      </c>
      <c r="B2021" t="s">
        <v>4319</v>
      </c>
      <c r="C2021" t="s">
        <v>4939</v>
      </c>
      <c r="F2021" t="s">
        <v>4916</v>
      </c>
      <c r="G2021" t="s">
        <v>20</v>
      </c>
      <c r="L2021" t="s">
        <v>4324</v>
      </c>
    </row>
    <row r="2022" spans="1:12" ht="15.75" hidden="1" customHeight="1">
      <c r="A2022" t="s">
        <v>4940</v>
      </c>
      <c r="B2022" t="s">
        <v>4319</v>
      </c>
      <c r="C2022" t="s">
        <v>4941</v>
      </c>
      <c r="F2022" t="s">
        <v>4917</v>
      </c>
      <c r="G2022" t="s">
        <v>20</v>
      </c>
      <c r="L2022" t="s">
        <v>736</v>
      </c>
    </row>
    <row r="2023" spans="1:12" ht="15.75" hidden="1" customHeight="1">
      <c r="A2023" t="s">
        <v>4942</v>
      </c>
      <c r="B2023" t="s">
        <v>4319</v>
      </c>
      <c r="C2023" t="s">
        <v>4943</v>
      </c>
      <c r="F2023" t="s">
        <v>4941</v>
      </c>
      <c r="G2023" t="s">
        <v>20</v>
      </c>
      <c r="L2023" t="s">
        <v>4324</v>
      </c>
    </row>
    <row r="2024" spans="1:12" ht="15.75" hidden="1" customHeight="1">
      <c r="A2024" t="s">
        <v>4944</v>
      </c>
      <c r="B2024" t="s">
        <v>4319</v>
      </c>
      <c r="C2024" t="s">
        <v>4945</v>
      </c>
      <c r="F2024" t="s">
        <v>4941</v>
      </c>
      <c r="G2024" t="s">
        <v>20</v>
      </c>
      <c r="L2024" t="s">
        <v>4324</v>
      </c>
    </row>
    <row r="2025" spans="1:12" ht="15.75" hidden="1" customHeight="1">
      <c r="A2025" t="s">
        <v>4946</v>
      </c>
      <c r="B2025" t="s">
        <v>4319</v>
      </c>
      <c r="C2025" t="s">
        <v>4947</v>
      </c>
      <c r="F2025" t="s">
        <v>4941</v>
      </c>
      <c r="G2025" t="s">
        <v>20</v>
      </c>
      <c r="L2025" t="s">
        <v>4324</v>
      </c>
    </row>
    <row r="2026" spans="1:12" ht="15.75" hidden="1" customHeight="1">
      <c r="A2026" t="s">
        <v>4948</v>
      </c>
      <c r="B2026" t="s">
        <v>4319</v>
      </c>
      <c r="C2026" t="s">
        <v>4949</v>
      </c>
      <c r="F2026" t="s">
        <v>4941</v>
      </c>
      <c r="G2026" t="s">
        <v>20</v>
      </c>
      <c r="L2026" t="s">
        <v>4324</v>
      </c>
    </row>
    <row r="2027" spans="1:12" ht="15.75" hidden="1" customHeight="1">
      <c r="A2027" t="s">
        <v>4950</v>
      </c>
      <c r="B2027" t="s">
        <v>4319</v>
      </c>
      <c r="C2027" t="s">
        <v>4951</v>
      </c>
      <c r="F2027" t="s">
        <v>4917</v>
      </c>
      <c r="G2027" t="s">
        <v>20</v>
      </c>
      <c r="L2027" t="s">
        <v>736</v>
      </c>
    </row>
    <row r="2028" spans="1:12" ht="15.75" hidden="1" customHeight="1">
      <c r="A2028" t="s">
        <v>4952</v>
      </c>
      <c r="B2028" t="s">
        <v>4319</v>
      </c>
      <c r="C2028" t="s">
        <v>4953</v>
      </c>
      <c r="F2028" t="s">
        <v>4951</v>
      </c>
      <c r="G2028" t="s">
        <v>20</v>
      </c>
      <c r="L2028" t="s">
        <v>4324</v>
      </c>
    </row>
    <row r="2029" spans="1:12" ht="15.75" hidden="1" customHeight="1">
      <c r="A2029" t="s">
        <v>4954</v>
      </c>
      <c r="B2029" t="s">
        <v>4319</v>
      </c>
      <c r="C2029" t="s">
        <v>4955</v>
      </c>
      <c r="F2029" t="s">
        <v>4951</v>
      </c>
      <c r="G2029" t="s">
        <v>20</v>
      </c>
      <c r="L2029" t="s">
        <v>4324</v>
      </c>
    </row>
    <row r="2030" spans="1:12" ht="15.75" hidden="1" customHeight="1">
      <c r="A2030" t="s">
        <v>4956</v>
      </c>
      <c r="B2030" t="s">
        <v>4319</v>
      </c>
      <c r="C2030" t="s">
        <v>4957</v>
      </c>
      <c r="F2030" t="s">
        <v>4951</v>
      </c>
      <c r="G2030" t="s">
        <v>20</v>
      </c>
      <c r="L2030" t="s">
        <v>4324</v>
      </c>
    </row>
    <row r="2031" spans="1:12" ht="15.75" hidden="1" customHeight="1">
      <c r="A2031" t="s">
        <v>4958</v>
      </c>
      <c r="B2031" t="s">
        <v>4319</v>
      </c>
      <c r="C2031" t="s">
        <v>4959</v>
      </c>
      <c r="F2031" t="s">
        <v>4917</v>
      </c>
      <c r="G2031" t="s">
        <v>20</v>
      </c>
      <c r="L2031" t="s">
        <v>736</v>
      </c>
    </row>
    <row r="2032" spans="1:12" ht="15.75" hidden="1" customHeight="1">
      <c r="A2032" t="s">
        <v>4960</v>
      </c>
      <c r="B2032" t="s">
        <v>4319</v>
      </c>
      <c r="C2032" t="s">
        <v>4961</v>
      </c>
      <c r="F2032" t="s">
        <v>4959</v>
      </c>
      <c r="G2032" t="s">
        <v>20</v>
      </c>
      <c r="L2032" t="s">
        <v>4324</v>
      </c>
    </row>
    <row r="2033" spans="1:12" ht="15.75" hidden="1" customHeight="1">
      <c r="A2033" t="s">
        <v>4962</v>
      </c>
      <c r="B2033" t="s">
        <v>4319</v>
      </c>
      <c r="C2033" t="s">
        <v>4963</v>
      </c>
      <c r="F2033" t="s">
        <v>4959</v>
      </c>
      <c r="G2033" t="s">
        <v>20</v>
      </c>
      <c r="L2033" t="s">
        <v>4324</v>
      </c>
    </row>
    <row r="2034" spans="1:12" ht="15.75" hidden="1" customHeight="1">
      <c r="A2034" t="s">
        <v>4964</v>
      </c>
      <c r="B2034" t="s">
        <v>4319</v>
      </c>
      <c r="C2034" t="s">
        <v>4965</v>
      </c>
      <c r="F2034" t="s">
        <v>4959</v>
      </c>
      <c r="G2034" t="s">
        <v>20</v>
      </c>
      <c r="L2034" t="s">
        <v>4324</v>
      </c>
    </row>
    <row r="2035" spans="1:12" ht="15.75" hidden="1" customHeight="1">
      <c r="A2035" t="s">
        <v>4966</v>
      </c>
      <c r="B2035" t="s">
        <v>4319</v>
      </c>
      <c r="C2035" t="s">
        <v>4967</v>
      </c>
      <c r="F2035" t="s">
        <v>4959</v>
      </c>
      <c r="G2035" t="s">
        <v>20</v>
      </c>
      <c r="L2035" t="s">
        <v>4324</v>
      </c>
    </row>
    <row r="2036" spans="1:12" ht="15.75" hidden="1" customHeight="1">
      <c r="A2036" t="s">
        <v>4968</v>
      </c>
      <c r="B2036" t="s">
        <v>4319</v>
      </c>
      <c r="C2036" t="s">
        <v>4969</v>
      </c>
      <c r="F2036" t="s">
        <v>4959</v>
      </c>
      <c r="G2036" t="s">
        <v>20</v>
      </c>
      <c r="L2036" t="s">
        <v>4324</v>
      </c>
    </row>
    <row r="2037" spans="1:12" ht="15.75" hidden="1" customHeight="1">
      <c r="A2037" t="s">
        <v>4970</v>
      </c>
      <c r="B2037" t="s">
        <v>4319</v>
      </c>
      <c r="C2037" t="s">
        <v>4971</v>
      </c>
      <c r="F2037" t="s">
        <v>4959</v>
      </c>
      <c r="G2037" t="s">
        <v>20</v>
      </c>
      <c r="L2037" t="s">
        <v>4324</v>
      </c>
    </row>
    <row r="2038" spans="1:12" ht="15.75" hidden="1" customHeight="1">
      <c r="A2038" t="s">
        <v>4972</v>
      </c>
      <c r="B2038" t="s">
        <v>4319</v>
      </c>
      <c r="C2038" t="s">
        <v>4973</v>
      </c>
      <c r="F2038" t="s">
        <v>4959</v>
      </c>
      <c r="G2038" t="s">
        <v>20</v>
      </c>
      <c r="L2038" t="s">
        <v>4324</v>
      </c>
    </row>
    <row r="2039" spans="1:12" ht="15.75" hidden="1" customHeight="1">
      <c r="A2039" t="s">
        <v>4974</v>
      </c>
      <c r="B2039" t="s">
        <v>4319</v>
      </c>
      <c r="C2039" t="s">
        <v>4975</v>
      </c>
      <c r="F2039" t="s">
        <v>4959</v>
      </c>
      <c r="G2039" t="s">
        <v>20</v>
      </c>
      <c r="L2039" t="s">
        <v>4324</v>
      </c>
    </row>
    <row r="2040" spans="1:12" ht="15.75" hidden="1" customHeight="1">
      <c r="A2040" t="s">
        <v>4976</v>
      </c>
      <c r="B2040" t="s">
        <v>4319</v>
      </c>
      <c r="C2040" t="s">
        <v>4977</v>
      </c>
      <c r="F2040" t="s">
        <v>4917</v>
      </c>
      <c r="G2040" t="s">
        <v>20</v>
      </c>
      <c r="L2040" t="s">
        <v>736</v>
      </c>
    </row>
    <row r="2041" spans="1:12" ht="15.75" hidden="1" customHeight="1">
      <c r="A2041" t="s">
        <v>4978</v>
      </c>
      <c r="B2041" t="s">
        <v>4319</v>
      </c>
      <c r="C2041" t="s">
        <v>4979</v>
      </c>
      <c r="F2041" t="s">
        <v>4977</v>
      </c>
      <c r="G2041" t="s">
        <v>20</v>
      </c>
      <c r="L2041" t="s">
        <v>4324</v>
      </c>
    </row>
    <row r="2042" spans="1:12" ht="15.75" hidden="1" customHeight="1">
      <c r="A2042" t="s">
        <v>4980</v>
      </c>
      <c r="B2042" t="s">
        <v>4319</v>
      </c>
      <c r="C2042" t="s">
        <v>4981</v>
      </c>
      <c r="F2042" t="s">
        <v>4977</v>
      </c>
      <c r="G2042" t="s">
        <v>20</v>
      </c>
      <c r="L2042" t="s">
        <v>4324</v>
      </c>
    </row>
    <row r="2043" spans="1:12" ht="15.75" hidden="1" customHeight="1">
      <c r="A2043" t="s">
        <v>4982</v>
      </c>
      <c r="B2043" t="s">
        <v>4319</v>
      </c>
      <c r="C2043" t="s">
        <v>4983</v>
      </c>
      <c r="F2043" t="s">
        <v>4977</v>
      </c>
      <c r="G2043" t="s">
        <v>20</v>
      </c>
      <c r="L2043" t="s">
        <v>4324</v>
      </c>
    </row>
    <row r="2044" spans="1:12" ht="15.75" hidden="1" customHeight="1">
      <c r="A2044" t="s">
        <v>4984</v>
      </c>
      <c r="B2044" t="s">
        <v>4319</v>
      </c>
      <c r="C2044" t="s">
        <v>4985</v>
      </c>
      <c r="F2044" t="s">
        <v>4986</v>
      </c>
      <c r="G2044" t="s">
        <v>20</v>
      </c>
      <c r="L2044" t="s">
        <v>736</v>
      </c>
    </row>
    <row r="2045" spans="1:12" ht="15.75" hidden="1" customHeight="1">
      <c r="A2045" t="s">
        <v>4987</v>
      </c>
      <c r="B2045" t="s">
        <v>4319</v>
      </c>
      <c r="C2045" t="s">
        <v>4988</v>
      </c>
      <c r="F2045" t="s">
        <v>4985</v>
      </c>
      <c r="G2045" t="s">
        <v>20</v>
      </c>
      <c r="L2045" t="s">
        <v>4324</v>
      </c>
    </row>
    <row r="2046" spans="1:12" ht="15.75" hidden="1" customHeight="1">
      <c r="A2046" t="s">
        <v>4989</v>
      </c>
      <c r="B2046" t="s">
        <v>4319</v>
      </c>
      <c r="C2046" t="s">
        <v>4990</v>
      </c>
      <c r="F2046" t="s">
        <v>4985</v>
      </c>
      <c r="G2046" t="s">
        <v>20</v>
      </c>
      <c r="L2046" t="s">
        <v>4324</v>
      </c>
    </row>
    <row r="2047" spans="1:12" ht="15.75" hidden="1" customHeight="1">
      <c r="A2047" t="s">
        <v>4991</v>
      </c>
      <c r="B2047" t="s">
        <v>4319</v>
      </c>
      <c r="C2047" t="s">
        <v>4992</v>
      </c>
      <c r="F2047" t="s">
        <v>4985</v>
      </c>
      <c r="G2047" t="s">
        <v>20</v>
      </c>
      <c r="L2047" t="s">
        <v>4324</v>
      </c>
    </row>
    <row r="2048" spans="1:12" ht="15.75" hidden="1" customHeight="1">
      <c r="A2048" t="s">
        <v>4993</v>
      </c>
      <c r="B2048" t="s">
        <v>4319</v>
      </c>
      <c r="C2048" t="s">
        <v>4994</v>
      </c>
      <c r="F2048" t="s">
        <v>4986</v>
      </c>
      <c r="G2048" t="s">
        <v>20</v>
      </c>
      <c r="L2048" t="s">
        <v>736</v>
      </c>
    </row>
    <row r="2049" spans="1:12" ht="15.75" hidden="1" customHeight="1">
      <c r="A2049" t="s">
        <v>4995</v>
      </c>
      <c r="B2049" t="s">
        <v>4319</v>
      </c>
      <c r="C2049" t="s">
        <v>4996</v>
      </c>
      <c r="F2049" t="s">
        <v>4994</v>
      </c>
      <c r="G2049" t="s">
        <v>20</v>
      </c>
      <c r="L2049" t="s">
        <v>4324</v>
      </c>
    </row>
    <row r="2050" spans="1:12" ht="15.75" hidden="1" customHeight="1">
      <c r="A2050" t="s">
        <v>4997</v>
      </c>
      <c r="B2050" t="s">
        <v>4319</v>
      </c>
      <c r="C2050" t="s">
        <v>4998</v>
      </c>
      <c r="F2050" t="s">
        <v>4994</v>
      </c>
      <c r="G2050" t="s">
        <v>20</v>
      </c>
      <c r="L2050" t="s">
        <v>4324</v>
      </c>
    </row>
    <row r="2051" spans="1:12" ht="15.75" hidden="1" customHeight="1">
      <c r="A2051" t="s">
        <v>4999</v>
      </c>
      <c r="B2051" t="s">
        <v>4319</v>
      </c>
      <c r="C2051" t="s">
        <v>5000</v>
      </c>
      <c r="F2051" t="s">
        <v>4994</v>
      </c>
      <c r="G2051" t="s">
        <v>20</v>
      </c>
      <c r="L2051" t="s">
        <v>4324</v>
      </c>
    </row>
    <row r="2052" spans="1:12" ht="15.75" hidden="1" customHeight="1">
      <c r="A2052" t="s">
        <v>5001</v>
      </c>
      <c r="B2052" t="s">
        <v>4319</v>
      </c>
      <c r="C2052" t="s">
        <v>5002</v>
      </c>
      <c r="F2052" t="s">
        <v>4986</v>
      </c>
      <c r="G2052" t="s">
        <v>20</v>
      </c>
      <c r="L2052" t="s">
        <v>736</v>
      </c>
    </row>
    <row r="2053" spans="1:12" ht="15.75" hidden="1" customHeight="1">
      <c r="A2053" t="s">
        <v>5003</v>
      </c>
      <c r="B2053" t="s">
        <v>4319</v>
      </c>
      <c r="C2053" t="s">
        <v>5004</v>
      </c>
      <c r="F2053" t="s">
        <v>5002</v>
      </c>
      <c r="G2053" t="s">
        <v>20</v>
      </c>
      <c r="L2053" t="s">
        <v>4324</v>
      </c>
    </row>
    <row r="2054" spans="1:12" ht="15.75" hidden="1" customHeight="1">
      <c r="A2054" t="s">
        <v>5005</v>
      </c>
      <c r="B2054" t="s">
        <v>4319</v>
      </c>
      <c r="C2054" t="s">
        <v>5006</v>
      </c>
      <c r="F2054" t="s">
        <v>5002</v>
      </c>
      <c r="G2054" t="s">
        <v>20</v>
      </c>
      <c r="L2054" t="s">
        <v>4324</v>
      </c>
    </row>
    <row r="2055" spans="1:12" ht="15.75" hidden="1" customHeight="1">
      <c r="A2055" t="s">
        <v>5007</v>
      </c>
      <c r="B2055" t="s">
        <v>4319</v>
      </c>
      <c r="C2055" t="s">
        <v>5008</v>
      </c>
      <c r="F2055" t="s">
        <v>5002</v>
      </c>
      <c r="G2055" t="s">
        <v>20</v>
      </c>
      <c r="L2055" t="s">
        <v>4324</v>
      </c>
    </row>
    <row r="2056" spans="1:12" ht="15.75" hidden="1" customHeight="1">
      <c r="A2056" t="s">
        <v>5009</v>
      </c>
      <c r="B2056" t="s">
        <v>4319</v>
      </c>
      <c r="C2056" t="s">
        <v>5010</v>
      </c>
      <c r="F2056" t="s">
        <v>4986</v>
      </c>
      <c r="G2056" t="s">
        <v>20</v>
      </c>
      <c r="L2056" t="s">
        <v>736</v>
      </c>
    </row>
    <row r="2057" spans="1:12" ht="15.75" hidden="1" customHeight="1">
      <c r="A2057" t="s">
        <v>5011</v>
      </c>
      <c r="B2057" t="s">
        <v>4319</v>
      </c>
      <c r="C2057" t="s">
        <v>5012</v>
      </c>
      <c r="F2057" t="s">
        <v>5010</v>
      </c>
      <c r="G2057" t="s">
        <v>20</v>
      </c>
      <c r="L2057" t="s">
        <v>4324</v>
      </c>
    </row>
    <row r="2058" spans="1:12" ht="15.75" hidden="1" customHeight="1">
      <c r="A2058" t="s">
        <v>5013</v>
      </c>
      <c r="B2058" t="s">
        <v>4319</v>
      </c>
      <c r="C2058" t="s">
        <v>5014</v>
      </c>
      <c r="F2058" t="s">
        <v>5010</v>
      </c>
      <c r="G2058" t="s">
        <v>20</v>
      </c>
      <c r="L2058" t="s">
        <v>4324</v>
      </c>
    </row>
    <row r="2059" spans="1:12" ht="15.75" hidden="1" customHeight="1">
      <c r="A2059" t="s">
        <v>5015</v>
      </c>
      <c r="B2059" t="s">
        <v>4319</v>
      </c>
      <c r="C2059" t="s">
        <v>5016</v>
      </c>
      <c r="F2059" t="s">
        <v>5010</v>
      </c>
      <c r="G2059" t="s">
        <v>20</v>
      </c>
      <c r="L2059" t="s">
        <v>4324</v>
      </c>
    </row>
    <row r="2060" spans="1:12" ht="15.75" hidden="1" customHeight="1">
      <c r="A2060" t="s">
        <v>5017</v>
      </c>
      <c r="B2060" t="s">
        <v>4319</v>
      </c>
      <c r="C2060" t="s">
        <v>5018</v>
      </c>
      <c r="F2060" t="s">
        <v>4986</v>
      </c>
      <c r="G2060" t="s">
        <v>20</v>
      </c>
      <c r="L2060" t="s">
        <v>736</v>
      </c>
    </row>
    <row r="2061" spans="1:12" ht="15.75" hidden="1" customHeight="1">
      <c r="A2061" t="s">
        <v>5019</v>
      </c>
      <c r="B2061" t="s">
        <v>4319</v>
      </c>
      <c r="C2061" t="s">
        <v>5020</v>
      </c>
      <c r="F2061" t="s">
        <v>5018</v>
      </c>
      <c r="G2061" t="s">
        <v>20</v>
      </c>
      <c r="L2061" t="s">
        <v>4324</v>
      </c>
    </row>
    <row r="2062" spans="1:12" ht="15.75" hidden="1" customHeight="1">
      <c r="A2062" t="s">
        <v>5021</v>
      </c>
      <c r="B2062" t="s">
        <v>4319</v>
      </c>
      <c r="C2062" t="s">
        <v>5022</v>
      </c>
      <c r="F2062" t="s">
        <v>5018</v>
      </c>
      <c r="G2062" t="s">
        <v>20</v>
      </c>
      <c r="L2062" t="s">
        <v>4324</v>
      </c>
    </row>
    <row r="2063" spans="1:12" ht="15.75" hidden="1" customHeight="1">
      <c r="A2063" t="s">
        <v>5023</v>
      </c>
      <c r="B2063" t="s">
        <v>4319</v>
      </c>
      <c r="C2063" t="s">
        <v>5024</v>
      </c>
      <c r="F2063" t="s">
        <v>5018</v>
      </c>
      <c r="G2063" t="s">
        <v>20</v>
      </c>
      <c r="L2063" t="s">
        <v>4324</v>
      </c>
    </row>
    <row r="2064" spans="1:12" ht="15.75" hidden="1" customHeight="1">
      <c r="A2064" t="s">
        <v>5025</v>
      </c>
      <c r="B2064" t="s">
        <v>4319</v>
      </c>
      <c r="C2064" t="s">
        <v>5026</v>
      </c>
      <c r="F2064" t="s">
        <v>4986</v>
      </c>
      <c r="G2064" t="s">
        <v>20</v>
      </c>
      <c r="L2064" t="s">
        <v>736</v>
      </c>
    </row>
    <row r="2065" spans="1:12" ht="15.75" hidden="1" customHeight="1">
      <c r="A2065" t="s">
        <v>5027</v>
      </c>
      <c r="B2065" t="s">
        <v>4319</v>
      </c>
      <c r="C2065" t="s">
        <v>5028</v>
      </c>
      <c r="F2065" t="s">
        <v>5026</v>
      </c>
      <c r="G2065" t="s">
        <v>20</v>
      </c>
      <c r="L2065" t="s">
        <v>4324</v>
      </c>
    </row>
    <row r="2066" spans="1:12" ht="15.75" hidden="1" customHeight="1">
      <c r="A2066" t="s">
        <v>5029</v>
      </c>
      <c r="B2066" t="s">
        <v>4319</v>
      </c>
      <c r="C2066" t="s">
        <v>5030</v>
      </c>
      <c r="F2066" t="s">
        <v>5026</v>
      </c>
      <c r="G2066" t="s">
        <v>20</v>
      </c>
      <c r="L2066" t="s">
        <v>4324</v>
      </c>
    </row>
    <row r="2067" spans="1:12" ht="15.75" hidden="1" customHeight="1">
      <c r="A2067" t="s">
        <v>5031</v>
      </c>
      <c r="B2067" t="s">
        <v>4319</v>
      </c>
      <c r="C2067" t="s">
        <v>5032</v>
      </c>
      <c r="F2067" t="s">
        <v>5026</v>
      </c>
      <c r="G2067" t="s">
        <v>20</v>
      </c>
      <c r="L2067" t="s">
        <v>4324</v>
      </c>
    </row>
    <row r="2068" spans="1:12" ht="15.75" hidden="1" customHeight="1">
      <c r="A2068" t="s">
        <v>5033</v>
      </c>
      <c r="B2068" t="s">
        <v>4319</v>
      </c>
      <c r="C2068" t="s">
        <v>5034</v>
      </c>
      <c r="F2068" t="s">
        <v>4986</v>
      </c>
      <c r="G2068" t="s">
        <v>20</v>
      </c>
      <c r="L2068" t="s">
        <v>736</v>
      </c>
    </row>
    <row r="2069" spans="1:12" ht="15.75" hidden="1" customHeight="1">
      <c r="A2069" t="s">
        <v>5035</v>
      </c>
      <c r="B2069" t="s">
        <v>4319</v>
      </c>
      <c r="C2069" t="s">
        <v>5036</v>
      </c>
      <c r="F2069" t="s">
        <v>5034</v>
      </c>
      <c r="G2069" t="s">
        <v>20</v>
      </c>
      <c r="L2069" t="s">
        <v>4324</v>
      </c>
    </row>
    <row r="2070" spans="1:12" ht="15.75" hidden="1" customHeight="1">
      <c r="A2070" t="s">
        <v>5037</v>
      </c>
      <c r="B2070" t="s">
        <v>4319</v>
      </c>
      <c r="C2070" t="s">
        <v>5038</v>
      </c>
      <c r="F2070" t="s">
        <v>5034</v>
      </c>
      <c r="G2070" t="s">
        <v>20</v>
      </c>
      <c r="L2070" t="s">
        <v>4324</v>
      </c>
    </row>
    <row r="2071" spans="1:12" ht="15.75" hidden="1" customHeight="1">
      <c r="A2071" t="s">
        <v>5039</v>
      </c>
      <c r="B2071" t="s">
        <v>4319</v>
      </c>
      <c r="C2071" t="s">
        <v>5040</v>
      </c>
      <c r="F2071" t="s">
        <v>5034</v>
      </c>
      <c r="G2071" t="s">
        <v>20</v>
      </c>
      <c r="L2071" t="s">
        <v>4324</v>
      </c>
    </row>
    <row r="2072" spans="1:12" ht="15.75" hidden="1" customHeight="1">
      <c r="A2072" t="s">
        <v>5041</v>
      </c>
      <c r="B2072" t="s">
        <v>4319</v>
      </c>
      <c r="C2072" t="s">
        <v>5042</v>
      </c>
      <c r="F2072" t="s">
        <v>4986</v>
      </c>
      <c r="G2072" t="s">
        <v>20</v>
      </c>
      <c r="L2072" t="s">
        <v>736</v>
      </c>
    </row>
    <row r="2073" spans="1:12" ht="15.75" hidden="1" customHeight="1">
      <c r="A2073" t="s">
        <v>5043</v>
      </c>
      <c r="B2073" t="s">
        <v>4319</v>
      </c>
      <c r="C2073" t="s">
        <v>5044</v>
      </c>
      <c r="F2073" t="s">
        <v>4986</v>
      </c>
      <c r="G2073" t="s">
        <v>20</v>
      </c>
      <c r="L2073" t="s">
        <v>736</v>
      </c>
    </row>
    <row r="2074" spans="1:12" ht="15.75" hidden="1" customHeight="1">
      <c r="A2074" t="s">
        <v>5045</v>
      </c>
      <c r="B2074" t="s">
        <v>4319</v>
      </c>
      <c r="C2074" t="s">
        <v>5046</v>
      </c>
      <c r="F2074" t="s">
        <v>5044</v>
      </c>
      <c r="G2074" t="s">
        <v>20</v>
      </c>
      <c r="L2074" t="s">
        <v>4324</v>
      </c>
    </row>
    <row r="2075" spans="1:12" ht="15.75" hidden="1" customHeight="1">
      <c r="A2075" t="s">
        <v>5047</v>
      </c>
      <c r="B2075" t="s">
        <v>4319</v>
      </c>
      <c r="C2075" t="s">
        <v>5048</v>
      </c>
      <c r="F2075" t="s">
        <v>5044</v>
      </c>
      <c r="G2075" t="s">
        <v>20</v>
      </c>
      <c r="L2075" t="s">
        <v>4324</v>
      </c>
    </row>
    <row r="2076" spans="1:12" ht="15.75" hidden="1" customHeight="1">
      <c r="A2076" t="s">
        <v>5049</v>
      </c>
      <c r="B2076" t="s">
        <v>4319</v>
      </c>
      <c r="C2076" t="s">
        <v>5050</v>
      </c>
      <c r="F2076" t="s">
        <v>5044</v>
      </c>
      <c r="G2076" t="s">
        <v>20</v>
      </c>
      <c r="L2076" t="s">
        <v>4324</v>
      </c>
    </row>
    <row r="2077" spans="1:12" ht="15.75" hidden="1" customHeight="1">
      <c r="A2077" t="s">
        <v>5051</v>
      </c>
      <c r="B2077" t="s">
        <v>4319</v>
      </c>
      <c r="C2077" t="s">
        <v>5052</v>
      </c>
      <c r="F2077" t="s">
        <v>4986</v>
      </c>
      <c r="G2077" t="s">
        <v>20</v>
      </c>
      <c r="L2077" t="s">
        <v>736</v>
      </c>
    </row>
    <row r="2078" spans="1:12" ht="15.75" hidden="1" customHeight="1">
      <c r="A2078" t="s">
        <v>5053</v>
      </c>
      <c r="B2078" t="s">
        <v>4319</v>
      </c>
      <c r="C2078" t="s">
        <v>5054</v>
      </c>
      <c r="F2078" t="s">
        <v>4986</v>
      </c>
      <c r="G2078" t="s">
        <v>20</v>
      </c>
      <c r="L2078" t="s">
        <v>736</v>
      </c>
    </row>
    <row r="2079" spans="1:12" ht="15.75" hidden="1" customHeight="1">
      <c r="A2079" t="s">
        <v>5055</v>
      </c>
      <c r="B2079" t="s">
        <v>4319</v>
      </c>
      <c r="C2079" t="s">
        <v>5056</v>
      </c>
      <c r="F2079" t="s">
        <v>4986</v>
      </c>
      <c r="G2079" t="s">
        <v>20</v>
      </c>
      <c r="L2079" t="s">
        <v>736</v>
      </c>
    </row>
    <row r="2080" spans="1:12" ht="15.75" hidden="1" customHeight="1">
      <c r="A2080" t="s">
        <v>5057</v>
      </c>
      <c r="B2080" t="s">
        <v>4319</v>
      </c>
      <c r="C2080" t="s">
        <v>5058</v>
      </c>
      <c r="F2080" t="s">
        <v>5056</v>
      </c>
      <c r="G2080" t="s">
        <v>20</v>
      </c>
      <c r="L2080" t="s">
        <v>4324</v>
      </c>
    </row>
    <row r="2081" spans="1:12" ht="15.75" hidden="1" customHeight="1">
      <c r="A2081" t="s">
        <v>5059</v>
      </c>
      <c r="B2081" t="s">
        <v>4319</v>
      </c>
      <c r="C2081" t="s">
        <v>5060</v>
      </c>
      <c r="F2081" t="s">
        <v>5056</v>
      </c>
      <c r="G2081" t="s">
        <v>20</v>
      </c>
      <c r="L2081" t="s">
        <v>4324</v>
      </c>
    </row>
    <row r="2082" spans="1:12" ht="15.75" hidden="1" customHeight="1">
      <c r="A2082" t="s">
        <v>5061</v>
      </c>
      <c r="B2082" t="s">
        <v>4319</v>
      </c>
      <c r="C2082" t="s">
        <v>5062</v>
      </c>
      <c r="F2082" t="s">
        <v>5056</v>
      </c>
      <c r="G2082" t="s">
        <v>20</v>
      </c>
      <c r="L2082" t="s">
        <v>4324</v>
      </c>
    </row>
    <row r="2083" spans="1:12" ht="15.75" hidden="1" customHeight="1">
      <c r="A2083" t="s">
        <v>5063</v>
      </c>
      <c r="B2083" t="s">
        <v>4319</v>
      </c>
      <c r="C2083" t="s">
        <v>5064</v>
      </c>
      <c r="F2083" t="s">
        <v>4986</v>
      </c>
      <c r="G2083" t="s">
        <v>20</v>
      </c>
      <c r="L2083" t="s">
        <v>736</v>
      </c>
    </row>
    <row r="2084" spans="1:12" ht="15.75" hidden="1" customHeight="1">
      <c r="A2084" t="s">
        <v>5065</v>
      </c>
      <c r="B2084" t="s">
        <v>4319</v>
      </c>
      <c r="C2084" t="s">
        <v>5066</v>
      </c>
      <c r="F2084" t="s">
        <v>5064</v>
      </c>
      <c r="G2084" t="s">
        <v>20</v>
      </c>
      <c r="L2084" t="s">
        <v>4324</v>
      </c>
    </row>
    <row r="2085" spans="1:12" ht="15.75" hidden="1" customHeight="1">
      <c r="A2085" t="s">
        <v>5067</v>
      </c>
      <c r="B2085" t="s">
        <v>4319</v>
      </c>
      <c r="C2085" t="s">
        <v>5068</v>
      </c>
      <c r="F2085" t="s">
        <v>5064</v>
      </c>
      <c r="G2085" t="s">
        <v>20</v>
      </c>
      <c r="L2085" t="s">
        <v>4324</v>
      </c>
    </row>
    <row r="2086" spans="1:12" ht="15.75" hidden="1" customHeight="1">
      <c r="A2086" t="s">
        <v>5069</v>
      </c>
      <c r="B2086" t="s">
        <v>4319</v>
      </c>
      <c r="C2086" t="s">
        <v>5070</v>
      </c>
      <c r="F2086" t="s">
        <v>5064</v>
      </c>
      <c r="G2086" t="s">
        <v>20</v>
      </c>
      <c r="L2086" t="s">
        <v>4324</v>
      </c>
    </row>
    <row r="2087" spans="1:12" ht="15.75" hidden="1" customHeight="1">
      <c r="A2087" t="s">
        <v>5071</v>
      </c>
      <c r="B2087" t="s">
        <v>4319</v>
      </c>
      <c r="C2087" t="s">
        <v>5072</v>
      </c>
      <c r="F2087" t="s">
        <v>4986</v>
      </c>
      <c r="G2087" t="s">
        <v>20</v>
      </c>
      <c r="L2087" t="s">
        <v>736</v>
      </c>
    </row>
    <row r="2088" spans="1:12" ht="15.75" hidden="1" customHeight="1">
      <c r="A2088" t="s">
        <v>5073</v>
      </c>
      <c r="B2088" t="s">
        <v>4319</v>
      </c>
      <c r="C2088" t="s">
        <v>5074</v>
      </c>
      <c r="F2088" t="s">
        <v>5072</v>
      </c>
      <c r="G2088" t="s">
        <v>20</v>
      </c>
      <c r="L2088" t="s">
        <v>4324</v>
      </c>
    </row>
    <row r="2089" spans="1:12" ht="15.75" hidden="1" customHeight="1">
      <c r="A2089" t="s">
        <v>5075</v>
      </c>
      <c r="B2089" t="s">
        <v>4319</v>
      </c>
      <c r="C2089" t="s">
        <v>5076</v>
      </c>
      <c r="F2089" t="s">
        <v>5072</v>
      </c>
      <c r="G2089" t="s">
        <v>20</v>
      </c>
      <c r="L2089" t="s">
        <v>4324</v>
      </c>
    </row>
    <row r="2090" spans="1:12" ht="15.75" hidden="1" customHeight="1">
      <c r="A2090" t="s">
        <v>5077</v>
      </c>
      <c r="B2090" t="s">
        <v>4319</v>
      </c>
      <c r="C2090" t="s">
        <v>5078</v>
      </c>
      <c r="F2090" t="s">
        <v>5072</v>
      </c>
      <c r="G2090" t="s">
        <v>20</v>
      </c>
      <c r="L2090" t="s">
        <v>4324</v>
      </c>
    </row>
    <row r="2091" spans="1:12" ht="15.75" hidden="1" customHeight="1">
      <c r="A2091" t="s">
        <v>5079</v>
      </c>
      <c r="B2091" t="s">
        <v>4319</v>
      </c>
      <c r="C2091" t="s">
        <v>5080</v>
      </c>
      <c r="F2091" t="s">
        <v>4986</v>
      </c>
      <c r="G2091" t="s">
        <v>20</v>
      </c>
      <c r="L2091" t="s">
        <v>736</v>
      </c>
    </row>
    <row r="2092" spans="1:12" ht="15.75" hidden="1" customHeight="1">
      <c r="A2092" t="s">
        <v>5081</v>
      </c>
      <c r="B2092" t="s">
        <v>4319</v>
      </c>
      <c r="C2092" t="s">
        <v>5082</v>
      </c>
      <c r="F2092" t="s">
        <v>5080</v>
      </c>
      <c r="G2092" t="s">
        <v>20</v>
      </c>
      <c r="L2092" t="s">
        <v>4324</v>
      </c>
    </row>
    <row r="2093" spans="1:12" ht="15.75" hidden="1" customHeight="1">
      <c r="A2093" t="s">
        <v>5083</v>
      </c>
      <c r="B2093" t="s">
        <v>4319</v>
      </c>
      <c r="C2093" t="s">
        <v>5084</v>
      </c>
      <c r="F2093" t="s">
        <v>5080</v>
      </c>
      <c r="G2093" t="s">
        <v>20</v>
      </c>
      <c r="L2093" t="s">
        <v>4324</v>
      </c>
    </row>
    <row r="2094" spans="1:12" ht="15.75" hidden="1" customHeight="1">
      <c r="A2094" t="s">
        <v>5085</v>
      </c>
      <c r="B2094" t="s">
        <v>4319</v>
      </c>
      <c r="C2094" t="s">
        <v>5086</v>
      </c>
      <c r="F2094" t="s">
        <v>5080</v>
      </c>
      <c r="G2094" t="s">
        <v>20</v>
      </c>
      <c r="L2094" t="s">
        <v>4324</v>
      </c>
    </row>
    <row r="2095" spans="1:12" ht="15.75" hidden="1" customHeight="1">
      <c r="A2095" t="s">
        <v>5087</v>
      </c>
      <c r="B2095" t="s">
        <v>4319</v>
      </c>
      <c r="C2095" t="s">
        <v>5088</v>
      </c>
      <c r="F2095" t="s">
        <v>4986</v>
      </c>
      <c r="G2095" t="s">
        <v>20</v>
      </c>
      <c r="L2095" t="s">
        <v>736</v>
      </c>
    </row>
    <row r="2096" spans="1:12" ht="15.75" hidden="1" customHeight="1">
      <c r="A2096" t="s">
        <v>5089</v>
      </c>
      <c r="B2096" t="s">
        <v>4319</v>
      </c>
      <c r="C2096" t="s">
        <v>5090</v>
      </c>
      <c r="F2096" t="s">
        <v>5088</v>
      </c>
      <c r="G2096" t="s">
        <v>20</v>
      </c>
      <c r="L2096" t="s">
        <v>4324</v>
      </c>
    </row>
    <row r="2097" spans="1:12" ht="15.75" hidden="1" customHeight="1">
      <c r="A2097" t="s">
        <v>5091</v>
      </c>
      <c r="B2097" t="s">
        <v>4319</v>
      </c>
      <c r="C2097" t="s">
        <v>5092</v>
      </c>
      <c r="F2097" t="s">
        <v>5088</v>
      </c>
      <c r="G2097" t="s">
        <v>20</v>
      </c>
      <c r="L2097" t="s">
        <v>4324</v>
      </c>
    </row>
    <row r="2098" spans="1:12" ht="15.75" hidden="1" customHeight="1">
      <c r="A2098" t="s">
        <v>5093</v>
      </c>
      <c r="B2098" t="s">
        <v>4319</v>
      </c>
      <c r="C2098" t="s">
        <v>5094</v>
      </c>
      <c r="F2098" t="s">
        <v>4986</v>
      </c>
      <c r="G2098" t="s">
        <v>20</v>
      </c>
      <c r="L2098" t="s">
        <v>736</v>
      </c>
    </row>
    <row r="2099" spans="1:12" ht="15.75" hidden="1" customHeight="1">
      <c r="A2099" t="s">
        <v>5095</v>
      </c>
      <c r="B2099" t="s">
        <v>4319</v>
      </c>
      <c r="C2099" t="s">
        <v>5096</v>
      </c>
      <c r="F2099" t="s">
        <v>5094</v>
      </c>
      <c r="G2099" t="s">
        <v>20</v>
      </c>
      <c r="L2099" t="s">
        <v>4324</v>
      </c>
    </row>
    <row r="2100" spans="1:12" ht="15.75" hidden="1" customHeight="1">
      <c r="A2100" t="s">
        <v>5097</v>
      </c>
      <c r="B2100" t="s">
        <v>4319</v>
      </c>
      <c r="C2100" t="s">
        <v>5098</v>
      </c>
      <c r="F2100" t="s">
        <v>5094</v>
      </c>
      <c r="G2100" t="s">
        <v>20</v>
      </c>
      <c r="L2100" t="s">
        <v>4324</v>
      </c>
    </row>
    <row r="2101" spans="1:12" ht="15.75" hidden="1" customHeight="1">
      <c r="A2101" t="s">
        <v>5099</v>
      </c>
      <c r="B2101" t="s">
        <v>4319</v>
      </c>
      <c r="C2101" t="s">
        <v>5100</v>
      </c>
      <c r="F2101" t="s">
        <v>5094</v>
      </c>
      <c r="G2101" t="s">
        <v>20</v>
      </c>
      <c r="L2101" t="s">
        <v>4324</v>
      </c>
    </row>
    <row r="2102" spans="1:12" ht="15.75" hidden="1" customHeight="1">
      <c r="A2102" t="s">
        <v>5101</v>
      </c>
      <c r="B2102" t="s">
        <v>4319</v>
      </c>
      <c r="C2102" t="s">
        <v>5102</v>
      </c>
      <c r="F2102" t="s">
        <v>5094</v>
      </c>
      <c r="G2102" t="s">
        <v>20</v>
      </c>
      <c r="L2102" t="s">
        <v>4324</v>
      </c>
    </row>
    <row r="2103" spans="1:12" ht="15.75" hidden="1" customHeight="1">
      <c r="A2103" t="s">
        <v>5103</v>
      </c>
      <c r="B2103" t="s">
        <v>4319</v>
      </c>
      <c r="C2103" t="s">
        <v>5104</v>
      </c>
      <c r="F2103" t="s">
        <v>5094</v>
      </c>
      <c r="G2103" t="s">
        <v>20</v>
      </c>
      <c r="L2103" t="s">
        <v>4324</v>
      </c>
    </row>
    <row r="2104" spans="1:12" ht="15.75" hidden="1" customHeight="1">
      <c r="A2104" t="s">
        <v>5105</v>
      </c>
      <c r="B2104" t="s">
        <v>4319</v>
      </c>
      <c r="C2104" t="s">
        <v>5106</v>
      </c>
      <c r="F2104" t="s">
        <v>5094</v>
      </c>
      <c r="G2104" t="s">
        <v>20</v>
      </c>
      <c r="L2104" t="s">
        <v>4324</v>
      </c>
    </row>
    <row r="2105" spans="1:12" ht="15.75" hidden="1" customHeight="1">
      <c r="A2105" t="s">
        <v>5107</v>
      </c>
      <c r="B2105" t="s">
        <v>4319</v>
      </c>
      <c r="C2105" t="s">
        <v>5108</v>
      </c>
      <c r="F2105" t="s">
        <v>5094</v>
      </c>
      <c r="G2105" t="s">
        <v>20</v>
      </c>
      <c r="L2105" t="s">
        <v>4324</v>
      </c>
    </row>
    <row r="2106" spans="1:12" ht="15.75" hidden="1" customHeight="1">
      <c r="A2106" t="s">
        <v>5109</v>
      </c>
      <c r="B2106" t="s">
        <v>4319</v>
      </c>
      <c r="C2106" t="s">
        <v>5110</v>
      </c>
      <c r="F2106" t="s">
        <v>5094</v>
      </c>
      <c r="G2106" t="s">
        <v>20</v>
      </c>
      <c r="L2106" t="s">
        <v>4324</v>
      </c>
    </row>
    <row r="2107" spans="1:12" ht="15.75" hidden="1" customHeight="1">
      <c r="A2107" t="s">
        <v>5111</v>
      </c>
      <c r="B2107" t="s">
        <v>4319</v>
      </c>
      <c r="C2107" t="s">
        <v>5112</v>
      </c>
      <c r="F2107" t="s">
        <v>5094</v>
      </c>
      <c r="G2107" t="s">
        <v>20</v>
      </c>
      <c r="L2107" t="s">
        <v>4324</v>
      </c>
    </row>
    <row r="2108" spans="1:12" ht="15.75" hidden="1" customHeight="1">
      <c r="A2108" t="s">
        <v>5113</v>
      </c>
      <c r="B2108" t="s">
        <v>4319</v>
      </c>
      <c r="C2108" t="s">
        <v>5114</v>
      </c>
      <c r="F2108" t="s">
        <v>5094</v>
      </c>
      <c r="G2108" t="s">
        <v>20</v>
      </c>
      <c r="L2108" t="s">
        <v>4324</v>
      </c>
    </row>
    <row r="2109" spans="1:12" ht="15.75" hidden="1" customHeight="1">
      <c r="A2109" t="s">
        <v>5115</v>
      </c>
      <c r="B2109" t="s">
        <v>4319</v>
      </c>
      <c r="C2109" t="s">
        <v>5116</v>
      </c>
      <c r="F2109" t="s">
        <v>5094</v>
      </c>
      <c r="G2109" t="s">
        <v>20</v>
      </c>
      <c r="L2109" t="s">
        <v>4324</v>
      </c>
    </row>
    <row r="2110" spans="1:12" ht="15.75" hidden="1" customHeight="1">
      <c r="A2110" t="s">
        <v>5117</v>
      </c>
      <c r="B2110" t="s">
        <v>4319</v>
      </c>
      <c r="C2110" t="s">
        <v>5118</v>
      </c>
      <c r="F2110" t="s">
        <v>5094</v>
      </c>
      <c r="G2110" t="s">
        <v>20</v>
      </c>
      <c r="L2110" t="s">
        <v>4324</v>
      </c>
    </row>
    <row r="2111" spans="1:12" ht="15.75" hidden="1" customHeight="1">
      <c r="A2111" t="s">
        <v>5119</v>
      </c>
      <c r="B2111" t="s">
        <v>4319</v>
      </c>
      <c r="C2111" t="s">
        <v>5120</v>
      </c>
      <c r="F2111" t="s">
        <v>5094</v>
      </c>
      <c r="G2111" t="s">
        <v>20</v>
      </c>
      <c r="L2111" t="s">
        <v>4324</v>
      </c>
    </row>
    <row r="2112" spans="1:12" ht="15.75" hidden="1" customHeight="1">
      <c r="A2112" t="s">
        <v>5121</v>
      </c>
      <c r="B2112" t="s">
        <v>4319</v>
      </c>
      <c r="C2112" t="s">
        <v>5122</v>
      </c>
      <c r="F2112" t="s">
        <v>5094</v>
      </c>
      <c r="G2112" t="s">
        <v>20</v>
      </c>
      <c r="L2112" t="s">
        <v>4324</v>
      </c>
    </row>
    <row r="2113" spans="1:12" ht="15.75" hidden="1" customHeight="1">
      <c r="A2113" t="s">
        <v>5123</v>
      </c>
      <c r="B2113" t="s">
        <v>4319</v>
      </c>
      <c r="C2113" t="s">
        <v>5124</v>
      </c>
      <c r="F2113" t="s">
        <v>5094</v>
      </c>
      <c r="G2113" t="s">
        <v>20</v>
      </c>
      <c r="L2113" t="s">
        <v>4324</v>
      </c>
    </row>
    <row r="2114" spans="1:12" ht="15.75" hidden="1" customHeight="1">
      <c r="A2114" t="s">
        <v>5125</v>
      </c>
      <c r="B2114" t="s">
        <v>4319</v>
      </c>
      <c r="C2114" t="s">
        <v>5126</v>
      </c>
      <c r="F2114" t="s">
        <v>4986</v>
      </c>
      <c r="G2114" t="s">
        <v>20</v>
      </c>
      <c r="L2114" t="s">
        <v>736</v>
      </c>
    </row>
    <row r="2115" spans="1:12" ht="15.75" hidden="1" customHeight="1">
      <c r="A2115" t="s">
        <v>5127</v>
      </c>
      <c r="B2115" t="s">
        <v>4319</v>
      </c>
      <c r="C2115" t="s">
        <v>5128</v>
      </c>
      <c r="F2115" t="s">
        <v>5126</v>
      </c>
      <c r="G2115" t="s">
        <v>20</v>
      </c>
      <c r="L2115" t="s">
        <v>4324</v>
      </c>
    </row>
    <row r="2116" spans="1:12" ht="15.75" hidden="1" customHeight="1">
      <c r="A2116" t="s">
        <v>5129</v>
      </c>
      <c r="B2116" t="s">
        <v>4319</v>
      </c>
      <c r="C2116" t="s">
        <v>5130</v>
      </c>
      <c r="F2116" t="s">
        <v>5126</v>
      </c>
      <c r="G2116" t="s">
        <v>20</v>
      </c>
      <c r="L2116" t="s">
        <v>4324</v>
      </c>
    </row>
    <row r="2117" spans="1:12" ht="15.75" hidden="1" customHeight="1">
      <c r="A2117" t="s">
        <v>5131</v>
      </c>
      <c r="B2117" t="s">
        <v>4319</v>
      </c>
      <c r="C2117" t="s">
        <v>5132</v>
      </c>
      <c r="F2117" t="s">
        <v>5126</v>
      </c>
      <c r="G2117" t="s">
        <v>20</v>
      </c>
      <c r="L2117" t="s">
        <v>4324</v>
      </c>
    </row>
    <row r="2118" spans="1:12" ht="15.75" hidden="1" customHeight="1">
      <c r="A2118" t="s">
        <v>5133</v>
      </c>
      <c r="B2118" t="s">
        <v>4319</v>
      </c>
      <c r="C2118" t="s">
        <v>5134</v>
      </c>
      <c r="F2118" t="s">
        <v>5126</v>
      </c>
      <c r="G2118" t="s">
        <v>20</v>
      </c>
      <c r="L2118" t="s">
        <v>4324</v>
      </c>
    </row>
    <row r="2119" spans="1:12" ht="15.75" hidden="1" customHeight="1">
      <c r="A2119" t="s">
        <v>5135</v>
      </c>
      <c r="B2119" t="s">
        <v>4319</v>
      </c>
      <c r="C2119" t="s">
        <v>5136</v>
      </c>
      <c r="F2119" t="s">
        <v>5126</v>
      </c>
      <c r="G2119" t="s">
        <v>20</v>
      </c>
      <c r="L2119" t="s">
        <v>4324</v>
      </c>
    </row>
    <row r="2120" spans="1:12" ht="15.75" hidden="1" customHeight="1">
      <c r="A2120" t="s">
        <v>5137</v>
      </c>
      <c r="B2120" t="s">
        <v>4319</v>
      </c>
      <c r="C2120" t="s">
        <v>5138</v>
      </c>
      <c r="E2120" t="s">
        <v>5139</v>
      </c>
      <c r="F2120" t="s">
        <v>5140</v>
      </c>
      <c r="G2120" t="s">
        <v>20</v>
      </c>
      <c r="L2120" t="s">
        <v>736</v>
      </c>
    </row>
    <row r="2121" spans="1:12" ht="15.75" hidden="1" customHeight="1">
      <c r="A2121" t="s">
        <v>5141</v>
      </c>
      <c r="B2121" t="s">
        <v>4319</v>
      </c>
      <c r="C2121" t="s">
        <v>5142</v>
      </c>
      <c r="E2121" t="s">
        <v>5143</v>
      </c>
      <c r="F2121" t="s">
        <v>5140</v>
      </c>
      <c r="G2121" t="s">
        <v>20</v>
      </c>
      <c r="L2121" t="s">
        <v>736</v>
      </c>
    </row>
    <row r="2122" spans="1:12" ht="15.75" hidden="1" customHeight="1">
      <c r="A2122" t="s">
        <v>5144</v>
      </c>
      <c r="B2122" t="s">
        <v>4319</v>
      </c>
      <c r="C2122" t="s">
        <v>5145</v>
      </c>
      <c r="E2122" t="s">
        <v>5146</v>
      </c>
      <c r="F2122" t="s">
        <v>5140</v>
      </c>
      <c r="G2122" t="s">
        <v>20</v>
      </c>
      <c r="L2122" t="s">
        <v>736</v>
      </c>
    </row>
    <row r="2123" spans="1:12" ht="15.75" hidden="1" customHeight="1">
      <c r="A2123" t="s">
        <v>5147</v>
      </c>
      <c r="B2123" t="s">
        <v>4319</v>
      </c>
      <c r="C2123" t="s">
        <v>5148</v>
      </c>
      <c r="F2123" t="s">
        <v>5149</v>
      </c>
      <c r="G2123" t="s">
        <v>20</v>
      </c>
      <c r="L2123" t="s">
        <v>736</v>
      </c>
    </row>
    <row r="2124" spans="1:12" ht="15.75" hidden="1" customHeight="1">
      <c r="A2124" t="s">
        <v>5150</v>
      </c>
      <c r="B2124" t="s">
        <v>4319</v>
      </c>
      <c r="C2124" t="s">
        <v>5151</v>
      </c>
      <c r="F2124" t="s">
        <v>5148</v>
      </c>
      <c r="G2124" t="s">
        <v>20</v>
      </c>
      <c r="L2124" t="s">
        <v>4324</v>
      </c>
    </row>
    <row r="2125" spans="1:12" ht="15.75" hidden="1" customHeight="1">
      <c r="A2125" t="s">
        <v>5152</v>
      </c>
      <c r="B2125" t="s">
        <v>4319</v>
      </c>
      <c r="C2125" t="s">
        <v>5153</v>
      </c>
      <c r="F2125" t="s">
        <v>5148</v>
      </c>
      <c r="G2125" t="s">
        <v>20</v>
      </c>
      <c r="L2125" t="s">
        <v>4324</v>
      </c>
    </row>
    <row r="2126" spans="1:12" ht="15.75" hidden="1" customHeight="1">
      <c r="A2126" t="s">
        <v>5154</v>
      </c>
      <c r="B2126" t="s">
        <v>4319</v>
      </c>
      <c r="C2126" t="s">
        <v>5155</v>
      </c>
      <c r="F2126" t="s">
        <v>5148</v>
      </c>
      <c r="G2126" t="s">
        <v>20</v>
      </c>
      <c r="L2126" t="s">
        <v>4324</v>
      </c>
    </row>
    <row r="2127" spans="1:12" ht="15.75" hidden="1" customHeight="1">
      <c r="A2127" t="s">
        <v>5156</v>
      </c>
      <c r="B2127" t="s">
        <v>4319</v>
      </c>
      <c r="C2127" t="s">
        <v>5157</v>
      </c>
      <c r="F2127" t="s">
        <v>5149</v>
      </c>
      <c r="G2127" t="s">
        <v>20</v>
      </c>
      <c r="L2127" t="s">
        <v>736</v>
      </c>
    </row>
    <row r="2128" spans="1:12" ht="15.75" hidden="1" customHeight="1">
      <c r="A2128" t="s">
        <v>5158</v>
      </c>
      <c r="B2128" t="s">
        <v>4319</v>
      </c>
      <c r="C2128" t="s">
        <v>5159</v>
      </c>
      <c r="F2128" t="s">
        <v>5157</v>
      </c>
      <c r="G2128" t="s">
        <v>20</v>
      </c>
      <c r="L2128" t="s">
        <v>4324</v>
      </c>
    </row>
    <row r="2129" spans="1:12" ht="15.75" hidden="1" customHeight="1">
      <c r="A2129" t="s">
        <v>5160</v>
      </c>
      <c r="B2129" t="s">
        <v>4319</v>
      </c>
      <c r="C2129" t="s">
        <v>5161</v>
      </c>
      <c r="F2129" t="s">
        <v>5157</v>
      </c>
      <c r="G2129" t="s">
        <v>20</v>
      </c>
      <c r="L2129" t="s">
        <v>4324</v>
      </c>
    </row>
    <row r="2130" spans="1:12" ht="15.75" hidden="1" customHeight="1">
      <c r="A2130" t="s">
        <v>5162</v>
      </c>
      <c r="B2130" t="s">
        <v>4319</v>
      </c>
      <c r="C2130" t="s">
        <v>5163</v>
      </c>
      <c r="F2130" t="s">
        <v>5157</v>
      </c>
      <c r="G2130" t="s">
        <v>20</v>
      </c>
      <c r="L2130" t="s">
        <v>4324</v>
      </c>
    </row>
    <row r="2131" spans="1:12" ht="15.75" hidden="1" customHeight="1">
      <c r="A2131" t="s">
        <v>5164</v>
      </c>
      <c r="B2131" t="s">
        <v>4319</v>
      </c>
      <c r="C2131" t="s">
        <v>5165</v>
      </c>
      <c r="F2131" t="s">
        <v>5157</v>
      </c>
      <c r="G2131" t="s">
        <v>20</v>
      </c>
      <c r="L2131" t="s">
        <v>4324</v>
      </c>
    </row>
    <row r="2132" spans="1:12" ht="15.75" hidden="1" customHeight="1">
      <c r="A2132" t="s">
        <v>5166</v>
      </c>
      <c r="B2132" t="s">
        <v>4319</v>
      </c>
      <c r="C2132" t="s">
        <v>5167</v>
      </c>
      <c r="F2132" t="s">
        <v>5149</v>
      </c>
      <c r="G2132" t="s">
        <v>20</v>
      </c>
      <c r="L2132" t="s">
        <v>736</v>
      </c>
    </row>
    <row r="2133" spans="1:12" ht="15.75" hidden="1" customHeight="1">
      <c r="A2133" t="s">
        <v>5168</v>
      </c>
      <c r="B2133" t="s">
        <v>4319</v>
      </c>
      <c r="C2133" t="s">
        <v>5169</v>
      </c>
      <c r="F2133" t="s">
        <v>5167</v>
      </c>
      <c r="G2133" t="s">
        <v>20</v>
      </c>
      <c r="L2133" t="s">
        <v>4324</v>
      </c>
    </row>
    <row r="2134" spans="1:12" ht="15.75" hidden="1" customHeight="1">
      <c r="A2134" t="s">
        <v>5170</v>
      </c>
      <c r="B2134" t="s">
        <v>4319</v>
      </c>
      <c r="C2134" t="s">
        <v>5171</v>
      </c>
      <c r="F2134" t="s">
        <v>5167</v>
      </c>
      <c r="G2134" t="s">
        <v>20</v>
      </c>
      <c r="L2134" t="s">
        <v>4324</v>
      </c>
    </row>
    <row r="2135" spans="1:12" ht="15.75" hidden="1" customHeight="1">
      <c r="A2135" t="s">
        <v>5172</v>
      </c>
      <c r="B2135" t="s">
        <v>4319</v>
      </c>
      <c r="C2135" t="s">
        <v>5173</v>
      </c>
      <c r="F2135" t="s">
        <v>5167</v>
      </c>
      <c r="G2135" t="s">
        <v>20</v>
      </c>
      <c r="L2135" t="s">
        <v>4324</v>
      </c>
    </row>
    <row r="2136" spans="1:12" ht="15.75" hidden="1" customHeight="1">
      <c r="A2136" t="s">
        <v>5174</v>
      </c>
      <c r="B2136" t="s">
        <v>4319</v>
      </c>
      <c r="C2136" t="s">
        <v>5175</v>
      </c>
      <c r="F2136" t="s">
        <v>5149</v>
      </c>
      <c r="G2136" t="s">
        <v>20</v>
      </c>
      <c r="L2136" t="s">
        <v>736</v>
      </c>
    </row>
    <row r="2137" spans="1:12" ht="15.75" hidden="1" customHeight="1">
      <c r="A2137" t="s">
        <v>5176</v>
      </c>
      <c r="B2137" t="s">
        <v>4319</v>
      </c>
      <c r="C2137" t="s">
        <v>5177</v>
      </c>
      <c r="F2137" t="s">
        <v>5149</v>
      </c>
      <c r="G2137" t="s">
        <v>20</v>
      </c>
      <c r="L2137" t="s">
        <v>736</v>
      </c>
    </row>
    <row r="2138" spans="1:12" ht="15.75" hidden="1" customHeight="1">
      <c r="A2138" t="s">
        <v>5178</v>
      </c>
      <c r="B2138" t="s">
        <v>4319</v>
      </c>
      <c r="C2138" t="s">
        <v>4600</v>
      </c>
      <c r="F2138" t="s">
        <v>5177</v>
      </c>
      <c r="G2138" t="s">
        <v>20</v>
      </c>
      <c r="L2138" t="s">
        <v>4324</v>
      </c>
    </row>
    <row r="2139" spans="1:12" ht="15.75" hidden="1" customHeight="1">
      <c r="A2139" t="s">
        <v>5179</v>
      </c>
      <c r="B2139" t="s">
        <v>4319</v>
      </c>
      <c r="C2139" t="s">
        <v>4602</v>
      </c>
      <c r="F2139" t="s">
        <v>5177</v>
      </c>
      <c r="G2139" t="s">
        <v>20</v>
      </c>
      <c r="L2139" t="s">
        <v>4324</v>
      </c>
    </row>
    <row r="2140" spans="1:12" ht="15.75" hidden="1" customHeight="1">
      <c r="A2140" t="s">
        <v>5180</v>
      </c>
      <c r="B2140" t="s">
        <v>4319</v>
      </c>
      <c r="C2140" t="s">
        <v>4604</v>
      </c>
      <c r="F2140" t="s">
        <v>5177</v>
      </c>
      <c r="G2140" t="s">
        <v>20</v>
      </c>
      <c r="L2140" t="s">
        <v>4324</v>
      </c>
    </row>
    <row r="2141" spans="1:12" ht="15.75" hidden="1" customHeight="1">
      <c r="A2141" t="s">
        <v>5181</v>
      </c>
      <c r="B2141" t="s">
        <v>4319</v>
      </c>
      <c r="C2141" t="s">
        <v>5182</v>
      </c>
      <c r="F2141" t="s">
        <v>5149</v>
      </c>
      <c r="G2141" t="s">
        <v>20</v>
      </c>
      <c r="L2141" t="s">
        <v>736</v>
      </c>
    </row>
    <row r="2142" spans="1:12" ht="15.75" hidden="1" customHeight="1">
      <c r="A2142" t="s">
        <v>5183</v>
      </c>
      <c r="B2142" t="s">
        <v>4319</v>
      </c>
      <c r="C2142" t="s">
        <v>5184</v>
      </c>
      <c r="F2142" t="s">
        <v>5182</v>
      </c>
      <c r="G2142" t="s">
        <v>20</v>
      </c>
      <c r="L2142" t="s">
        <v>4324</v>
      </c>
    </row>
    <row r="2143" spans="1:12" ht="15.75" hidden="1" customHeight="1">
      <c r="A2143" t="s">
        <v>5185</v>
      </c>
      <c r="B2143" t="s">
        <v>4319</v>
      </c>
      <c r="C2143" t="s">
        <v>5186</v>
      </c>
      <c r="F2143" t="s">
        <v>5182</v>
      </c>
      <c r="G2143" t="s">
        <v>20</v>
      </c>
      <c r="L2143" t="s">
        <v>4324</v>
      </c>
    </row>
    <row r="2144" spans="1:12" ht="15.75" hidden="1" customHeight="1">
      <c r="A2144" t="s">
        <v>5187</v>
      </c>
      <c r="B2144" t="s">
        <v>4319</v>
      </c>
      <c r="C2144" t="s">
        <v>5188</v>
      </c>
      <c r="F2144" t="s">
        <v>5182</v>
      </c>
      <c r="G2144" t="s">
        <v>20</v>
      </c>
      <c r="L2144" t="s">
        <v>4324</v>
      </c>
    </row>
    <row r="2145" spans="1:12" ht="15.75" hidden="1" customHeight="1">
      <c r="A2145" t="s">
        <v>5189</v>
      </c>
      <c r="B2145" t="s">
        <v>4319</v>
      </c>
      <c r="C2145" t="s">
        <v>5190</v>
      </c>
      <c r="F2145" t="s">
        <v>5149</v>
      </c>
      <c r="G2145" t="s">
        <v>20</v>
      </c>
      <c r="L2145" t="s">
        <v>736</v>
      </c>
    </row>
    <row r="2146" spans="1:12" ht="15.75" hidden="1" customHeight="1">
      <c r="A2146" t="s">
        <v>5191</v>
      </c>
      <c r="B2146" t="s">
        <v>4319</v>
      </c>
      <c r="C2146" t="s">
        <v>5192</v>
      </c>
      <c r="F2146" t="s">
        <v>5190</v>
      </c>
      <c r="G2146" t="s">
        <v>20</v>
      </c>
      <c r="L2146" t="s">
        <v>4324</v>
      </c>
    </row>
    <row r="2147" spans="1:12" ht="15.75" hidden="1" customHeight="1">
      <c r="A2147" t="s">
        <v>5193</v>
      </c>
      <c r="B2147" t="s">
        <v>4319</v>
      </c>
      <c r="C2147" t="s">
        <v>5194</v>
      </c>
      <c r="F2147" t="s">
        <v>5190</v>
      </c>
      <c r="G2147" t="s">
        <v>20</v>
      </c>
      <c r="L2147" t="s">
        <v>4324</v>
      </c>
    </row>
    <row r="2148" spans="1:12" ht="15.75" hidden="1" customHeight="1">
      <c r="A2148" t="s">
        <v>5195</v>
      </c>
      <c r="B2148" t="s">
        <v>4319</v>
      </c>
      <c r="C2148" t="s">
        <v>5196</v>
      </c>
      <c r="F2148" t="s">
        <v>5190</v>
      </c>
      <c r="G2148" t="s">
        <v>20</v>
      </c>
      <c r="L2148" t="s">
        <v>4324</v>
      </c>
    </row>
    <row r="2149" spans="1:12" ht="15.75" hidden="1" customHeight="1">
      <c r="A2149" t="s">
        <v>5197</v>
      </c>
      <c r="B2149" t="s">
        <v>4319</v>
      </c>
      <c r="C2149" t="s">
        <v>5198</v>
      </c>
      <c r="F2149" t="s">
        <v>5149</v>
      </c>
      <c r="G2149" t="s">
        <v>20</v>
      </c>
      <c r="L2149" t="s">
        <v>736</v>
      </c>
    </row>
    <row r="2150" spans="1:12" ht="15.75" hidden="1" customHeight="1">
      <c r="A2150" t="s">
        <v>5199</v>
      </c>
      <c r="B2150" t="s">
        <v>4319</v>
      </c>
      <c r="C2150" t="s">
        <v>5200</v>
      </c>
      <c r="F2150" t="s">
        <v>5198</v>
      </c>
      <c r="G2150" t="s">
        <v>20</v>
      </c>
      <c r="L2150" t="s">
        <v>4324</v>
      </c>
    </row>
    <row r="2151" spans="1:12" ht="15.75" hidden="1" customHeight="1">
      <c r="A2151" t="s">
        <v>5201</v>
      </c>
      <c r="B2151" t="s">
        <v>4319</v>
      </c>
      <c r="C2151" t="s">
        <v>5202</v>
      </c>
      <c r="F2151" t="s">
        <v>5198</v>
      </c>
      <c r="G2151" t="s">
        <v>20</v>
      </c>
      <c r="L2151" t="s">
        <v>4324</v>
      </c>
    </row>
    <row r="2152" spans="1:12" ht="15.75" hidden="1" customHeight="1">
      <c r="A2152" t="s">
        <v>5203</v>
      </c>
      <c r="B2152" t="s">
        <v>4319</v>
      </c>
      <c r="C2152" t="s">
        <v>5204</v>
      </c>
      <c r="F2152" t="s">
        <v>5198</v>
      </c>
      <c r="G2152" t="s">
        <v>20</v>
      </c>
      <c r="L2152" t="s">
        <v>4324</v>
      </c>
    </row>
    <row r="2153" spans="1:12" ht="15.75" hidden="1" customHeight="1">
      <c r="A2153" t="s">
        <v>5205</v>
      </c>
      <c r="B2153" t="s">
        <v>4319</v>
      </c>
      <c r="C2153" t="s">
        <v>5206</v>
      </c>
      <c r="F2153" t="s">
        <v>5149</v>
      </c>
      <c r="G2153" t="s">
        <v>20</v>
      </c>
      <c r="L2153" t="s">
        <v>736</v>
      </c>
    </row>
    <row r="2154" spans="1:12" ht="15.75" hidden="1" customHeight="1">
      <c r="A2154" t="s">
        <v>5207</v>
      </c>
      <c r="B2154" t="s">
        <v>4319</v>
      </c>
      <c r="C2154" t="s">
        <v>5208</v>
      </c>
      <c r="F2154" t="s">
        <v>5149</v>
      </c>
      <c r="G2154" t="s">
        <v>20</v>
      </c>
      <c r="L2154" t="s">
        <v>736</v>
      </c>
    </row>
    <row r="2155" spans="1:12" ht="15.75" hidden="1" customHeight="1">
      <c r="A2155" t="s">
        <v>5209</v>
      </c>
      <c r="B2155" t="s">
        <v>4319</v>
      </c>
      <c r="C2155" t="s">
        <v>5210</v>
      </c>
      <c r="F2155" t="s">
        <v>5208</v>
      </c>
      <c r="G2155" t="s">
        <v>20</v>
      </c>
      <c r="L2155" t="s">
        <v>4324</v>
      </c>
    </row>
    <row r="2156" spans="1:12" ht="15.75" hidden="1" customHeight="1">
      <c r="A2156" t="s">
        <v>5211</v>
      </c>
      <c r="B2156" t="s">
        <v>4319</v>
      </c>
      <c r="C2156" t="s">
        <v>5212</v>
      </c>
      <c r="F2156" t="s">
        <v>5208</v>
      </c>
      <c r="G2156" t="s">
        <v>20</v>
      </c>
      <c r="L2156" t="s">
        <v>4324</v>
      </c>
    </row>
    <row r="2157" spans="1:12" ht="15.75" hidden="1" customHeight="1">
      <c r="A2157" t="s">
        <v>5213</v>
      </c>
      <c r="B2157" t="s">
        <v>4319</v>
      </c>
      <c r="C2157" t="s">
        <v>5214</v>
      </c>
      <c r="F2157" t="s">
        <v>5208</v>
      </c>
      <c r="G2157" t="s">
        <v>20</v>
      </c>
      <c r="L2157" t="s">
        <v>4324</v>
      </c>
    </row>
    <row r="2158" spans="1:12" ht="15.75" hidden="1" customHeight="1">
      <c r="A2158" t="s">
        <v>5215</v>
      </c>
      <c r="B2158" t="s">
        <v>4319</v>
      </c>
      <c r="C2158" t="s">
        <v>5216</v>
      </c>
      <c r="F2158" t="s">
        <v>5149</v>
      </c>
      <c r="G2158" t="s">
        <v>20</v>
      </c>
      <c r="L2158" t="s">
        <v>736</v>
      </c>
    </row>
    <row r="2159" spans="1:12" ht="15.75" hidden="1" customHeight="1">
      <c r="A2159" t="s">
        <v>5217</v>
      </c>
      <c r="B2159" t="s">
        <v>4319</v>
      </c>
      <c r="C2159" t="s">
        <v>5218</v>
      </c>
      <c r="F2159" t="s">
        <v>5216</v>
      </c>
      <c r="G2159" t="s">
        <v>20</v>
      </c>
      <c r="L2159" t="s">
        <v>4324</v>
      </c>
    </row>
    <row r="2160" spans="1:12" ht="15.75" hidden="1" customHeight="1">
      <c r="A2160" t="s">
        <v>5219</v>
      </c>
      <c r="B2160" t="s">
        <v>4319</v>
      </c>
      <c r="C2160" t="s">
        <v>5220</v>
      </c>
      <c r="F2160" t="s">
        <v>5216</v>
      </c>
      <c r="G2160" t="s">
        <v>20</v>
      </c>
      <c r="L2160" t="s">
        <v>4324</v>
      </c>
    </row>
    <row r="2161" spans="1:12" ht="15.75" hidden="1" customHeight="1">
      <c r="A2161" t="s">
        <v>5221</v>
      </c>
      <c r="B2161" t="s">
        <v>4319</v>
      </c>
      <c r="C2161" t="s">
        <v>5222</v>
      </c>
      <c r="F2161" t="s">
        <v>5216</v>
      </c>
      <c r="G2161" t="s">
        <v>20</v>
      </c>
      <c r="L2161" t="s">
        <v>4324</v>
      </c>
    </row>
    <row r="2162" spans="1:12" ht="15.75" hidden="1" customHeight="1">
      <c r="A2162" t="s">
        <v>5223</v>
      </c>
      <c r="B2162" t="s">
        <v>4319</v>
      </c>
      <c r="C2162" t="s">
        <v>5224</v>
      </c>
      <c r="F2162" t="s">
        <v>5149</v>
      </c>
      <c r="G2162" t="s">
        <v>20</v>
      </c>
      <c r="L2162" t="s">
        <v>736</v>
      </c>
    </row>
    <row r="2163" spans="1:12" ht="15.75" hidden="1" customHeight="1">
      <c r="A2163" t="s">
        <v>5225</v>
      </c>
      <c r="B2163" t="s">
        <v>4319</v>
      </c>
      <c r="C2163" t="s">
        <v>5226</v>
      </c>
      <c r="F2163" t="s">
        <v>5224</v>
      </c>
      <c r="G2163" t="s">
        <v>20</v>
      </c>
      <c r="L2163" t="s">
        <v>4324</v>
      </c>
    </row>
    <row r="2164" spans="1:12" ht="15.75" hidden="1" customHeight="1">
      <c r="A2164" t="s">
        <v>5227</v>
      </c>
      <c r="B2164" t="s">
        <v>4319</v>
      </c>
      <c r="C2164" t="s">
        <v>5228</v>
      </c>
      <c r="F2164" t="s">
        <v>5224</v>
      </c>
      <c r="G2164" t="s">
        <v>20</v>
      </c>
      <c r="L2164" t="s">
        <v>4324</v>
      </c>
    </row>
    <row r="2165" spans="1:12" ht="15.75" hidden="1" customHeight="1">
      <c r="A2165" t="s">
        <v>5229</v>
      </c>
      <c r="B2165" t="s">
        <v>4319</v>
      </c>
      <c r="C2165" t="s">
        <v>5230</v>
      </c>
      <c r="F2165" t="s">
        <v>5224</v>
      </c>
      <c r="G2165" t="s">
        <v>20</v>
      </c>
      <c r="L2165" t="s">
        <v>4324</v>
      </c>
    </row>
    <row r="2166" spans="1:12" ht="15.75" hidden="1" customHeight="1">
      <c r="A2166" t="s">
        <v>5231</v>
      </c>
      <c r="B2166" t="s">
        <v>4319</v>
      </c>
      <c r="C2166" t="s">
        <v>5232</v>
      </c>
      <c r="F2166" t="s">
        <v>5149</v>
      </c>
      <c r="G2166" t="s">
        <v>20</v>
      </c>
      <c r="L2166" t="s">
        <v>736</v>
      </c>
    </row>
    <row r="2167" spans="1:12" ht="15.75" hidden="1" customHeight="1">
      <c r="A2167" t="s">
        <v>5233</v>
      </c>
      <c r="B2167" t="s">
        <v>4319</v>
      </c>
      <c r="C2167" t="s">
        <v>5234</v>
      </c>
      <c r="F2167" t="s">
        <v>5232</v>
      </c>
      <c r="G2167" t="s">
        <v>20</v>
      </c>
      <c r="L2167" t="s">
        <v>4324</v>
      </c>
    </row>
    <row r="2168" spans="1:12" ht="15.75" hidden="1" customHeight="1">
      <c r="A2168" t="s">
        <v>5235</v>
      </c>
      <c r="B2168" t="s">
        <v>4319</v>
      </c>
      <c r="C2168" t="s">
        <v>5236</v>
      </c>
      <c r="F2168" t="s">
        <v>5232</v>
      </c>
      <c r="G2168" t="s">
        <v>20</v>
      </c>
      <c r="L2168" t="s">
        <v>4324</v>
      </c>
    </row>
    <row r="2169" spans="1:12" ht="15.75" hidden="1" customHeight="1">
      <c r="A2169" t="s">
        <v>5237</v>
      </c>
      <c r="B2169" t="s">
        <v>4319</v>
      </c>
      <c r="C2169" t="s">
        <v>5238</v>
      </c>
      <c r="F2169" t="s">
        <v>5232</v>
      </c>
      <c r="G2169" t="s">
        <v>20</v>
      </c>
      <c r="L2169" t="s">
        <v>4324</v>
      </c>
    </row>
    <row r="2170" spans="1:12" ht="15.75" hidden="1" customHeight="1">
      <c r="A2170" t="s">
        <v>5239</v>
      </c>
      <c r="B2170" t="s">
        <v>4319</v>
      </c>
      <c r="C2170" t="s">
        <v>5240</v>
      </c>
      <c r="F2170" t="s">
        <v>5232</v>
      </c>
      <c r="G2170" t="s">
        <v>20</v>
      </c>
      <c r="L2170" t="s">
        <v>4324</v>
      </c>
    </row>
    <row r="2171" spans="1:12" ht="15.75" hidden="1" customHeight="1">
      <c r="A2171" t="s">
        <v>5241</v>
      </c>
      <c r="B2171" t="s">
        <v>4319</v>
      </c>
      <c r="C2171" t="s">
        <v>5242</v>
      </c>
      <c r="F2171" t="s">
        <v>5232</v>
      </c>
      <c r="G2171" t="s">
        <v>20</v>
      </c>
      <c r="L2171" t="s">
        <v>4324</v>
      </c>
    </row>
    <row r="2172" spans="1:12" ht="15.75" hidden="1" customHeight="1">
      <c r="A2172" t="s">
        <v>5243</v>
      </c>
      <c r="B2172" t="s">
        <v>4319</v>
      </c>
      <c r="C2172" t="s">
        <v>5244</v>
      </c>
      <c r="F2172" t="s">
        <v>5232</v>
      </c>
      <c r="G2172" t="s">
        <v>20</v>
      </c>
      <c r="L2172" t="s">
        <v>4324</v>
      </c>
    </row>
    <row r="2173" spans="1:12" ht="15.75" hidden="1" customHeight="1">
      <c r="A2173" t="s">
        <v>5245</v>
      </c>
      <c r="B2173" t="s">
        <v>4319</v>
      </c>
      <c r="C2173" t="s">
        <v>5246</v>
      </c>
      <c r="F2173" t="s">
        <v>5232</v>
      </c>
      <c r="G2173" t="s">
        <v>20</v>
      </c>
      <c r="L2173" t="s">
        <v>4324</v>
      </c>
    </row>
    <row r="2174" spans="1:12" ht="15.75" hidden="1" customHeight="1">
      <c r="A2174" t="s">
        <v>5247</v>
      </c>
      <c r="B2174" t="s">
        <v>4319</v>
      </c>
      <c r="C2174" t="s">
        <v>5248</v>
      </c>
      <c r="F2174" t="s">
        <v>5232</v>
      </c>
      <c r="G2174" t="s">
        <v>20</v>
      </c>
      <c r="L2174" t="s">
        <v>4324</v>
      </c>
    </row>
    <row r="2175" spans="1:12" ht="15.75" hidden="1" customHeight="1">
      <c r="A2175" t="s">
        <v>5249</v>
      </c>
      <c r="B2175" t="s">
        <v>4319</v>
      </c>
      <c r="C2175" t="s">
        <v>5250</v>
      </c>
      <c r="F2175" t="s">
        <v>5232</v>
      </c>
      <c r="G2175" t="s">
        <v>20</v>
      </c>
      <c r="L2175" t="s">
        <v>4324</v>
      </c>
    </row>
    <row r="2176" spans="1:12" ht="15.75" hidden="1" customHeight="1">
      <c r="A2176" t="s">
        <v>5251</v>
      </c>
      <c r="B2176" t="s">
        <v>4319</v>
      </c>
      <c r="C2176" t="s">
        <v>5252</v>
      </c>
      <c r="F2176" t="s">
        <v>5232</v>
      </c>
      <c r="G2176" t="s">
        <v>20</v>
      </c>
      <c r="L2176" t="s">
        <v>4324</v>
      </c>
    </row>
    <row r="2177" spans="1:17" ht="15.75" hidden="1" customHeight="1">
      <c r="A2177" t="s">
        <v>5253</v>
      </c>
      <c r="B2177" t="s">
        <v>4319</v>
      </c>
      <c r="C2177" t="s">
        <v>5254</v>
      </c>
      <c r="F2177" t="s">
        <v>5232</v>
      </c>
      <c r="G2177" t="s">
        <v>20</v>
      </c>
      <c r="L2177" t="s">
        <v>4324</v>
      </c>
    </row>
    <row r="2178" spans="1:17" ht="15.75" hidden="1" customHeight="1">
      <c r="A2178" t="s">
        <v>5255</v>
      </c>
      <c r="B2178" t="s">
        <v>464</v>
      </c>
      <c r="C2178" t="s">
        <v>5256</v>
      </c>
      <c r="F2178" t="s">
        <v>4286</v>
      </c>
      <c r="G2178" t="s">
        <v>285</v>
      </c>
      <c r="L2178">
        <v>5</v>
      </c>
      <c r="Q2178" t="s">
        <v>5257</v>
      </c>
    </row>
    <row r="2179" spans="1:17" ht="15.75" hidden="1" customHeight="1">
      <c r="A2179" t="s">
        <v>5258</v>
      </c>
      <c r="B2179" t="s">
        <v>464</v>
      </c>
      <c r="C2179" t="s">
        <v>5259</v>
      </c>
      <c r="F2179" t="s">
        <v>4286</v>
      </c>
      <c r="G2179" t="s">
        <v>285</v>
      </c>
      <c r="L2179">
        <v>5</v>
      </c>
      <c r="Q2179" t="s">
        <v>5260</v>
      </c>
    </row>
    <row r="2180" spans="1:17" ht="15.75" hidden="1" customHeight="1">
      <c r="A2180" t="s">
        <v>5261</v>
      </c>
      <c r="B2180" t="s">
        <v>464</v>
      </c>
      <c r="C2180" t="s">
        <v>5262</v>
      </c>
      <c r="F2180" t="s">
        <v>4286</v>
      </c>
      <c r="G2180" t="s">
        <v>285</v>
      </c>
      <c r="L2180">
        <v>5</v>
      </c>
      <c r="Q2180" t="s">
        <v>5263</v>
      </c>
    </row>
    <row r="2181" spans="1:17" ht="15.75" hidden="1" customHeight="1">
      <c r="A2181" t="s">
        <v>5264</v>
      </c>
      <c r="B2181" t="s">
        <v>464</v>
      </c>
      <c r="C2181" t="s">
        <v>5265</v>
      </c>
      <c r="F2181" t="s">
        <v>4286</v>
      </c>
      <c r="G2181" t="s">
        <v>285</v>
      </c>
      <c r="L2181">
        <v>5</v>
      </c>
      <c r="Q2181" t="s">
        <v>5266</v>
      </c>
    </row>
    <row r="2182" spans="1:17" ht="15.75" hidden="1" customHeight="1">
      <c r="A2182" t="s">
        <v>5267</v>
      </c>
      <c r="B2182" t="s">
        <v>464</v>
      </c>
      <c r="C2182" t="s">
        <v>5268</v>
      </c>
      <c r="F2182" t="s">
        <v>4286</v>
      </c>
      <c r="G2182" t="s">
        <v>285</v>
      </c>
      <c r="L2182">
        <v>5</v>
      </c>
      <c r="Q2182" t="s">
        <v>5269</v>
      </c>
    </row>
    <row r="2183" spans="1:17" ht="15.75" hidden="1" customHeight="1">
      <c r="A2183" t="s">
        <v>5270</v>
      </c>
      <c r="B2183" t="s">
        <v>464</v>
      </c>
      <c r="C2183" t="s">
        <v>5271</v>
      </c>
      <c r="F2183" t="s">
        <v>4286</v>
      </c>
      <c r="G2183" t="s">
        <v>285</v>
      </c>
      <c r="L2183">
        <v>5</v>
      </c>
      <c r="Q2183" t="s">
        <v>5272</v>
      </c>
    </row>
    <row r="2184" spans="1:17" ht="15.75" hidden="1" customHeight="1">
      <c r="A2184" t="s">
        <v>5273</v>
      </c>
      <c r="B2184" t="s">
        <v>464</v>
      </c>
      <c r="C2184" t="s">
        <v>5274</v>
      </c>
      <c r="F2184" t="s">
        <v>4286</v>
      </c>
      <c r="G2184" t="s">
        <v>285</v>
      </c>
      <c r="L2184">
        <v>5</v>
      </c>
      <c r="Q2184" t="s">
        <v>5275</v>
      </c>
    </row>
    <row r="2185" spans="1:17" ht="15.75" hidden="1" customHeight="1">
      <c r="A2185" t="s">
        <v>5276</v>
      </c>
      <c r="B2185" t="s">
        <v>464</v>
      </c>
      <c r="C2185" t="s">
        <v>5277</v>
      </c>
      <c r="F2185" t="s">
        <v>4286</v>
      </c>
      <c r="G2185" t="s">
        <v>285</v>
      </c>
      <c r="L2185">
        <v>5</v>
      </c>
      <c r="Q2185" t="s">
        <v>5278</v>
      </c>
    </row>
    <row r="2186" spans="1:17" ht="15.75" hidden="1" customHeight="1">
      <c r="A2186" t="s">
        <v>5279</v>
      </c>
      <c r="B2186" t="s">
        <v>464</v>
      </c>
      <c r="C2186" t="s">
        <v>5280</v>
      </c>
      <c r="F2186" t="s">
        <v>4286</v>
      </c>
      <c r="G2186" t="s">
        <v>285</v>
      </c>
      <c r="L2186">
        <v>5</v>
      </c>
      <c r="Q2186" t="s">
        <v>5281</v>
      </c>
    </row>
    <row r="2187" spans="1:17" ht="15.75" hidden="1" customHeight="1">
      <c r="A2187" t="s">
        <v>5282</v>
      </c>
      <c r="B2187" t="s">
        <v>464</v>
      </c>
      <c r="C2187" t="s">
        <v>5283</v>
      </c>
      <c r="F2187" t="s">
        <v>4286</v>
      </c>
      <c r="G2187" t="s">
        <v>285</v>
      </c>
      <c r="L2187">
        <v>5</v>
      </c>
      <c r="Q2187" t="s">
        <v>5284</v>
      </c>
    </row>
    <row r="2188" spans="1:17" ht="15.75" hidden="1" customHeight="1">
      <c r="A2188" t="s">
        <v>5285</v>
      </c>
      <c r="B2188" t="s">
        <v>464</v>
      </c>
      <c r="C2188" t="s">
        <v>5286</v>
      </c>
      <c r="F2188" t="s">
        <v>4286</v>
      </c>
      <c r="G2188" t="s">
        <v>285</v>
      </c>
      <c r="L2188">
        <v>5</v>
      </c>
      <c r="Q2188" t="s">
        <v>5287</v>
      </c>
    </row>
    <row r="2189" spans="1:17" ht="15.75" hidden="1" customHeight="1">
      <c r="A2189" t="s">
        <v>5288</v>
      </c>
      <c r="B2189" t="s">
        <v>464</v>
      </c>
      <c r="C2189" t="s">
        <v>5289</v>
      </c>
      <c r="F2189" t="s">
        <v>4286</v>
      </c>
      <c r="G2189" t="s">
        <v>285</v>
      </c>
      <c r="L2189">
        <v>5</v>
      </c>
      <c r="Q2189" t="s">
        <v>5290</v>
      </c>
    </row>
    <row r="2190" spans="1:17" ht="15.75" hidden="1" customHeight="1">
      <c r="A2190" t="s">
        <v>5291</v>
      </c>
      <c r="B2190" t="s">
        <v>464</v>
      </c>
      <c r="C2190" t="s">
        <v>5292</v>
      </c>
      <c r="F2190" t="s">
        <v>4286</v>
      </c>
      <c r="G2190" t="s">
        <v>285</v>
      </c>
      <c r="L2190">
        <v>5</v>
      </c>
      <c r="Q2190" t="s">
        <v>5293</v>
      </c>
    </row>
    <row r="2191" spans="1:17" ht="15.75" hidden="1" customHeight="1">
      <c r="A2191" t="s">
        <v>5294</v>
      </c>
      <c r="B2191" t="s">
        <v>464</v>
      </c>
      <c r="C2191" t="s">
        <v>5295</v>
      </c>
      <c r="F2191" t="s">
        <v>4286</v>
      </c>
      <c r="G2191" t="s">
        <v>285</v>
      </c>
      <c r="L2191">
        <v>5</v>
      </c>
      <c r="Q2191" t="s">
        <v>5296</v>
      </c>
    </row>
    <row r="2192" spans="1:17" ht="15.75" hidden="1" customHeight="1">
      <c r="A2192" t="s">
        <v>5297</v>
      </c>
      <c r="B2192" t="s">
        <v>464</v>
      </c>
      <c r="C2192" t="s">
        <v>5298</v>
      </c>
      <c r="F2192" t="s">
        <v>4286</v>
      </c>
      <c r="G2192" t="s">
        <v>285</v>
      </c>
      <c r="L2192">
        <v>5</v>
      </c>
      <c r="Q2192" t="s">
        <v>5299</v>
      </c>
    </row>
    <row r="2193" spans="1:17" ht="15.75" hidden="1" customHeight="1">
      <c r="A2193" t="s">
        <v>5300</v>
      </c>
      <c r="B2193" t="s">
        <v>464</v>
      </c>
      <c r="C2193" t="s">
        <v>5301</v>
      </c>
      <c r="F2193" t="s">
        <v>4286</v>
      </c>
      <c r="G2193" t="s">
        <v>285</v>
      </c>
      <c r="L2193">
        <v>5</v>
      </c>
      <c r="Q2193" t="s">
        <v>5302</v>
      </c>
    </row>
    <row r="2194" spans="1:17" ht="15.75" hidden="1" customHeight="1">
      <c r="A2194" t="s">
        <v>5303</v>
      </c>
      <c r="B2194" t="s">
        <v>464</v>
      </c>
      <c r="C2194" t="s">
        <v>5304</v>
      </c>
      <c r="F2194" t="s">
        <v>4286</v>
      </c>
      <c r="G2194" t="s">
        <v>285</v>
      </c>
      <c r="L2194">
        <v>5</v>
      </c>
      <c r="Q2194" t="s">
        <v>5305</v>
      </c>
    </row>
    <row r="2195" spans="1:17" ht="15.75" hidden="1" customHeight="1">
      <c r="A2195" t="s">
        <v>5306</v>
      </c>
      <c r="B2195" t="s">
        <v>464</v>
      </c>
      <c r="C2195" t="s">
        <v>5307</v>
      </c>
      <c r="F2195" t="s">
        <v>4286</v>
      </c>
      <c r="G2195" t="s">
        <v>285</v>
      </c>
      <c r="L2195">
        <v>5</v>
      </c>
      <c r="Q2195" t="s">
        <v>5308</v>
      </c>
    </row>
    <row r="2196" spans="1:17" ht="15.75" hidden="1" customHeight="1">
      <c r="A2196" t="s">
        <v>5309</v>
      </c>
      <c r="B2196" t="s">
        <v>464</v>
      </c>
      <c r="C2196" t="s">
        <v>5310</v>
      </c>
      <c r="F2196" t="s">
        <v>4286</v>
      </c>
      <c r="G2196" t="s">
        <v>285</v>
      </c>
      <c r="L2196">
        <v>5</v>
      </c>
      <c r="Q2196" t="s">
        <v>5311</v>
      </c>
    </row>
    <row r="2197" spans="1:17" ht="15.75" hidden="1" customHeight="1">
      <c r="A2197" t="s">
        <v>5312</v>
      </c>
      <c r="B2197" t="s">
        <v>464</v>
      </c>
      <c r="C2197" t="s">
        <v>5313</v>
      </c>
      <c r="F2197" t="s">
        <v>4286</v>
      </c>
      <c r="G2197" t="s">
        <v>285</v>
      </c>
      <c r="L2197">
        <v>5</v>
      </c>
      <c r="Q2197" t="s">
        <v>5314</v>
      </c>
    </row>
    <row r="2198" spans="1:17" ht="15.75" hidden="1" customHeight="1">
      <c r="A2198" t="s">
        <v>5315</v>
      </c>
      <c r="B2198" t="s">
        <v>464</v>
      </c>
      <c r="C2198" t="s">
        <v>5316</v>
      </c>
      <c r="F2198" t="s">
        <v>4286</v>
      </c>
      <c r="G2198" t="s">
        <v>285</v>
      </c>
      <c r="L2198">
        <v>5</v>
      </c>
      <c r="Q2198" t="s">
        <v>5317</v>
      </c>
    </row>
    <row r="2199" spans="1:17" ht="15.75" hidden="1" customHeight="1">
      <c r="A2199" t="s">
        <v>5318</v>
      </c>
      <c r="B2199" t="s">
        <v>464</v>
      </c>
      <c r="C2199" t="s">
        <v>5319</v>
      </c>
      <c r="F2199" t="s">
        <v>4286</v>
      </c>
      <c r="G2199" t="s">
        <v>285</v>
      </c>
      <c r="L2199">
        <v>5</v>
      </c>
      <c r="Q2199" t="s">
        <v>5320</v>
      </c>
    </row>
    <row r="2200" spans="1:17" ht="15.75" hidden="1" customHeight="1">
      <c r="A2200" t="s">
        <v>5321</v>
      </c>
      <c r="B2200" t="s">
        <v>464</v>
      </c>
      <c r="C2200" t="s">
        <v>5322</v>
      </c>
      <c r="F2200" t="s">
        <v>4286</v>
      </c>
      <c r="G2200" t="s">
        <v>285</v>
      </c>
      <c r="L2200">
        <v>5</v>
      </c>
      <c r="Q2200" t="s">
        <v>5323</v>
      </c>
    </row>
    <row r="2201" spans="1:17" ht="15.75" hidden="1" customHeight="1">
      <c r="A2201" t="s">
        <v>5324</v>
      </c>
      <c r="B2201" t="s">
        <v>464</v>
      </c>
      <c r="C2201" t="s">
        <v>5325</v>
      </c>
      <c r="F2201" t="s">
        <v>4286</v>
      </c>
      <c r="G2201" t="s">
        <v>285</v>
      </c>
      <c r="L2201">
        <v>5</v>
      </c>
      <c r="Q2201" t="s">
        <v>5326</v>
      </c>
    </row>
    <row r="2202" spans="1:17" ht="15.75" hidden="1" customHeight="1">
      <c r="A2202" t="s">
        <v>5327</v>
      </c>
      <c r="B2202" t="s">
        <v>464</v>
      </c>
      <c r="C2202" t="s">
        <v>5328</v>
      </c>
      <c r="F2202" t="s">
        <v>4286</v>
      </c>
      <c r="G2202" t="s">
        <v>285</v>
      </c>
      <c r="L2202">
        <v>5</v>
      </c>
      <c r="Q2202" t="s">
        <v>5329</v>
      </c>
    </row>
    <row r="2203" spans="1:17" ht="15.75" hidden="1" customHeight="1">
      <c r="A2203" t="s">
        <v>5330</v>
      </c>
      <c r="B2203" t="s">
        <v>464</v>
      </c>
      <c r="C2203" t="s">
        <v>5331</v>
      </c>
      <c r="F2203" t="s">
        <v>4286</v>
      </c>
      <c r="G2203" t="s">
        <v>285</v>
      </c>
      <c r="L2203">
        <v>5</v>
      </c>
      <c r="Q2203" t="s">
        <v>5332</v>
      </c>
    </row>
    <row r="2204" spans="1:17" ht="15.75" hidden="1" customHeight="1">
      <c r="A2204" t="s">
        <v>5333</v>
      </c>
      <c r="B2204" t="s">
        <v>464</v>
      </c>
      <c r="C2204" t="s">
        <v>5334</v>
      </c>
      <c r="F2204" t="s">
        <v>4286</v>
      </c>
      <c r="G2204" t="s">
        <v>285</v>
      </c>
      <c r="L2204">
        <v>5</v>
      </c>
      <c r="Q2204" t="s">
        <v>5335</v>
      </c>
    </row>
    <row r="2205" spans="1:17" ht="15.75" hidden="1" customHeight="1">
      <c r="A2205" t="s">
        <v>5336</v>
      </c>
      <c r="B2205" t="s">
        <v>464</v>
      </c>
      <c r="C2205" t="s">
        <v>5337</v>
      </c>
      <c r="F2205" t="s">
        <v>4286</v>
      </c>
      <c r="G2205" t="s">
        <v>285</v>
      </c>
      <c r="L2205">
        <v>5</v>
      </c>
      <c r="Q2205" t="s">
        <v>5338</v>
      </c>
    </row>
    <row r="2206" spans="1:17" ht="15.75" hidden="1" customHeight="1">
      <c r="A2206" t="s">
        <v>5339</v>
      </c>
      <c r="B2206" t="s">
        <v>464</v>
      </c>
      <c r="C2206" t="s">
        <v>5340</v>
      </c>
      <c r="F2206" t="s">
        <v>4286</v>
      </c>
      <c r="G2206" t="s">
        <v>285</v>
      </c>
      <c r="L2206">
        <v>5</v>
      </c>
      <c r="Q2206" t="s">
        <v>5341</v>
      </c>
    </row>
    <row r="2207" spans="1:17" ht="15.75" hidden="1" customHeight="1">
      <c r="A2207" t="s">
        <v>5342</v>
      </c>
      <c r="B2207" t="s">
        <v>464</v>
      </c>
      <c r="C2207" t="s">
        <v>5343</v>
      </c>
      <c r="F2207" t="s">
        <v>4286</v>
      </c>
      <c r="G2207" t="s">
        <v>285</v>
      </c>
      <c r="L2207">
        <v>5</v>
      </c>
      <c r="Q2207" t="s">
        <v>5344</v>
      </c>
    </row>
    <row r="2208" spans="1:17" ht="15.75" hidden="1" customHeight="1">
      <c r="A2208" t="s">
        <v>5345</v>
      </c>
      <c r="B2208" t="s">
        <v>464</v>
      </c>
      <c r="C2208" t="s">
        <v>5346</v>
      </c>
      <c r="F2208" t="s">
        <v>4286</v>
      </c>
      <c r="G2208" t="s">
        <v>285</v>
      </c>
      <c r="L2208">
        <v>15</v>
      </c>
      <c r="Q2208" t="s">
        <v>5347</v>
      </c>
    </row>
    <row r="2209" spans="1:17" ht="15.75" hidden="1" customHeight="1">
      <c r="A2209" t="s">
        <v>5348</v>
      </c>
      <c r="B2209" t="s">
        <v>464</v>
      </c>
      <c r="C2209" t="s">
        <v>5349</v>
      </c>
      <c r="F2209" t="s">
        <v>4286</v>
      </c>
      <c r="G2209" t="s">
        <v>285</v>
      </c>
      <c r="L2209">
        <v>20</v>
      </c>
      <c r="Q2209" t="s">
        <v>5350</v>
      </c>
    </row>
    <row r="2210" spans="1:17" ht="15.75" hidden="1" customHeight="1">
      <c r="A2210" t="s">
        <v>5351</v>
      </c>
      <c r="B2210" t="s">
        <v>494</v>
      </c>
      <c r="C2210" t="s">
        <v>5352</v>
      </c>
      <c r="E2210" t="s">
        <v>5353</v>
      </c>
      <c r="G2210" t="s">
        <v>20</v>
      </c>
      <c r="J2210" t="s">
        <v>5354</v>
      </c>
      <c r="L2210" t="s">
        <v>498</v>
      </c>
    </row>
    <row r="2211" spans="1:17" ht="15.75" hidden="1" customHeight="1">
      <c r="A2211" t="s">
        <v>5355</v>
      </c>
      <c r="B2211" t="s">
        <v>281</v>
      </c>
      <c r="C2211" t="s">
        <v>5356</v>
      </c>
      <c r="E2211" t="s">
        <v>5357</v>
      </c>
      <c r="F2211" t="s">
        <v>3471</v>
      </c>
      <c r="G2211" t="s">
        <v>285</v>
      </c>
      <c r="J2211" t="s">
        <v>5358</v>
      </c>
      <c r="K2211">
        <v>2</v>
      </c>
      <c r="L2211">
        <v>25</v>
      </c>
      <c r="M2211" t="s">
        <v>312</v>
      </c>
      <c r="Q2211" t="s">
        <v>5359</v>
      </c>
    </row>
    <row r="2212" spans="1:17" ht="15.75" hidden="1" customHeight="1">
      <c r="A2212" t="s">
        <v>5360</v>
      </c>
      <c r="B2212" t="s">
        <v>281</v>
      </c>
      <c r="C2212" t="s">
        <v>5361</v>
      </c>
      <c r="E2212" t="s">
        <v>5357</v>
      </c>
      <c r="F2212" t="s">
        <v>3471</v>
      </c>
      <c r="G2212" t="s">
        <v>285</v>
      </c>
      <c r="J2212" t="s">
        <v>5362</v>
      </c>
      <c r="K2212">
        <v>3</v>
      </c>
      <c r="L2212">
        <v>25</v>
      </c>
      <c r="M2212" t="s">
        <v>312</v>
      </c>
      <c r="Q2212" t="s">
        <v>5363</v>
      </c>
    </row>
    <row r="2213" spans="1:17" ht="15.75" hidden="1" customHeight="1">
      <c r="A2213" t="s">
        <v>5364</v>
      </c>
      <c r="B2213" t="s">
        <v>281</v>
      </c>
      <c r="C2213" t="s">
        <v>5365</v>
      </c>
      <c r="E2213" t="s">
        <v>5357</v>
      </c>
      <c r="F2213" t="s">
        <v>3471</v>
      </c>
      <c r="G2213" t="s">
        <v>285</v>
      </c>
      <c r="J2213" t="s">
        <v>5366</v>
      </c>
      <c r="K2213">
        <v>4</v>
      </c>
      <c r="L2213">
        <v>25</v>
      </c>
      <c r="M2213" t="s">
        <v>312</v>
      </c>
      <c r="Q2213" t="s">
        <v>5367</v>
      </c>
    </row>
    <row r="2214" spans="1:17" ht="15.75" hidden="1" customHeight="1">
      <c r="A2214" t="s">
        <v>5368</v>
      </c>
      <c r="B2214" t="s">
        <v>281</v>
      </c>
      <c r="C2214" t="s">
        <v>5369</v>
      </c>
      <c r="E2214" t="s">
        <v>5357</v>
      </c>
      <c r="F2214" t="s">
        <v>3471</v>
      </c>
      <c r="G2214" t="s">
        <v>285</v>
      </c>
      <c r="J2214" t="s">
        <v>5370</v>
      </c>
      <c r="K2214">
        <v>5</v>
      </c>
      <c r="L2214">
        <v>25</v>
      </c>
      <c r="M2214" t="s">
        <v>312</v>
      </c>
      <c r="Q2214" t="s">
        <v>5371</v>
      </c>
    </row>
    <row r="2215" spans="1:17" ht="15.75" hidden="1" customHeight="1">
      <c r="A2215" t="s">
        <v>5372</v>
      </c>
      <c r="B2215" t="s">
        <v>281</v>
      </c>
      <c r="C2215" t="s">
        <v>5373</v>
      </c>
      <c r="E2215" t="s">
        <v>5357</v>
      </c>
      <c r="F2215" t="s">
        <v>3471</v>
      </c>
      <c r="G2215" t="s">
        <v>285</v>
      </c>
      <c r="J2215" t="s">
        <v>5374</v>
      </c>
      <c r="K2215">
        <v>6</v>
      </c>
      <c r="L2215">
        <v>25</v>
      </c>
      <c r="M2215" t="s">
        <v>312</v>
      </c>
      <c r="Q2215" t="s">
        <v>5375</v>
      </c>
    </row>
    <row r="2216" spans="1:17" ht="15.75" hidden="1" customHeight="1">
      <c r="A2216" t="s">
        <v>5376</v>
      </c>
      <c r="B2216" t="s">
        <v>281</v>
      </c>
      <c r="C2216" t="s">
        <v>5377</v>
      </c>
      <c r="E2216" t="s">
        <v>5357</v>
      </c>
      <c r="F2216" t="s">
        <v>3471</v>
      </c>
      <c r="G2216" t="s">
        <v>285</v>
      </c>
      <c r="J2216" t="s">
        <v>5378</v>
      </c>
      <c r="K2216">
        <v>7</v>
      </c>
      <c r="L2216">
        <v>25</v>
      </c>
      <c r="M2216" t="s">
        <v>312</v>
      </c>
      <c r="Q2216" t="s">
        <v>5379</v>
      </c>
    </row>
    <row r="2217" spans="1:17" ht="15.75" hidden="1" customHeight="1">
      <c r="A2217" t="s">
        <v>5380</v>
      </c>
      <c r="B2217" t="s">
        <v>281</v>
      </c>
      <c r="C2217" t="s">
        <v>5381</v>
      </c>
      <c r="E2217" t="s">
        <v>5357</v>
      </c>
      <c r="F2217" t="s">
        <v>3471</v>
      </c>
      <c r="G2217" t="s">
        <v>285</v>
      </c>
      <c r="J2217" t="s">
        <v>5382</v>
      </c>
      <c r="K2217">
        <v>8</v>
      </c>
      <c r="L2217">
        <v>25</v>
      </c>
      <c r="M2217" t="s">
        <v>312</v>
      </c>
      <c r="Q2217" t="s">
        <v>5383</v>
      </c>
    </row>
    <row r="2218" spans="1:17" ht="15.75" hidden="1" customHeight="1">
      <c r="A2218" t="s">
        <v>5384</v>
      </c>
      <c r="B2218" t="s">
        <v>281</v>
      </c>
      <c r="C2218" t="s">
        <v>5385</v>
      </c>
      <c r="E2218" t="s">
        <v>5357</v>
      </c>
      <c r="F2218" t="s">
        <v>3471</v>
      </c>
      <c r="G2218" t="s">
        <v>285</v>
      </c>
      <c r="J2218" t="s">
        <v>5386</v>
      </c>
      <c r="K2218">
        <v>9</v>
      </c>
      <c r="L2218">
        <v>25</v>
      </c>
      <c r="M2218" t="s">
        <v>312</v>
      </c>
      <c r="Q2218" t="s">
        <v>5387</v>
      </c>
    </row>
    <row r="2219" spans="1:17" ht="15.75" hidden="1" customHeight="1">
      <c r="A2219" t="s">
        <v>5388</v>
      </c>
      <c r="B2219" t="s">
        <v>281</v>
      </c>
      <c r="C2219" t="s">
        <v>5389</v>
      </c>
      <c r="E2219" t="s">
        <v>5357</v>
      </c>
      <c r="F2219" t="s">
        <v>3471</v>
      </c>
      <c r="G2219" t="s">
        <v>285</v>
      </c>
      <c r="J2219" t="s">
        <v>5390</v>
      </c>
      <c r="K2219">
        <v>10</v>
      </c>
      <c r="L2219">
        <v>25</v>
      </c>
      <c r="M2219" t="s">
        <v>312</v>
      </c>
      <c r="Q2219" t="s">
        <v>5391</v>
      </c>
    </row>
    <row r="2220" spans="1:17" ht="15.75" hidden="1" customHeight="1">
      <c r="A2220" t="s">
        <v>5392</v>
      </c>
      <c r="B2220" t="s">
        <v>281</v>
      </c>
      <c r="C2220" t="s">
        <v>5393</v>
      </c>
      <c r="E2220" t="s">
        <v>5357</v>
      </c>
      <c r="F2220" t="s">
        <v>3471</v>
      </c>
      <c r="G2220" t="s">
        <v>285</v>
      </c>
      <c r="J2220" t="s">
        <v>5394</v>
      </c>
      <c r="K2220">
        <v>11</v>
      </c>
      <c r="L2220">
        <v>25</v>
      </c>
      <c r="M2220" t="s">
        <v>312</v>
      </c>
      <c r="Q2220" t="s">
        <v>5395</v>
      </c>
    </row>
    <row r="2221" spans="1:17" ht="15.75" hidden="1" customHeight="1">
      <c r="A2221" t="s">
        <v>5396</v>
      </c>
      <c r="B2221" t="s">
        <v>281</v>
      </c>
      <c r="C2221" t="s">
        <v>5397</v>
      </c>
      <c r="E2221" t="s">
        <v>5357</v>
      </c>
      <c r="F2221" t="s">
        <v>3471</v>
      </c>
      <c r="G2221" t="s">
        <v>285</v>
      </c>
      <c r="J2221" t="s">
        <v>5398</v>
      </c>
      <c r="K2221">
        <v>12</v>
      </c>
      <c r="L2221">
        <v>25</v>
      </c>
      <c r="M2221" t="s">
        <v>312</v>
      </c>
      <c r="Q2221" t="s">
        <v>5399</v>
      </c>
    </row>
    <row r="2222" spans="1:17" ht="15.75" hidden="1" customHeight="1">
      <c r="A2222" s="29" t="s">
        <v>5400</v>
      </c>
      <c r="B2222" s="11" t="s">
        <v>281</v>
      </c>
      <c r="C2222" s="7" t="s">
        <v>5401</v>
      </c>
      <c r="G2222" s="11" t="s">
        <v>285</v>
      </c>
      <c r="J2222" t="s">
        <v>5402</v>
      </c>
      <c r="L2222" s="75">
        <v>120</v>
      </c>
      <c r="M2222" t="s">
        <v>312</v>
      </c>
      <c r="Q2222" t="s">
        <v>5403</v>
      </c>
    </row>
    <row r="2223" spans="1:17" ht="15.75" hidden="1" customHeight="1">
      <c r="A2223" t="s">
        <v>5404</v>
      </c>
      <c r="B2223" t="s">
        <v>464</v>
      </c>
      <c r="C2223" t="s">
        <v>5405</v>
      </c>
      <c r="F2223" t="s">
        <v>2477</v>
      </c>
      <c r="G2223" t="s">
        <v>285</v>
      </c>
      <c r="L2223">
        <v>75</v>
      </c>
      <c r="Q2223" t="s">
        <v>5406</v>
      </c>
    </row>
    <row r="2224" spans="1:17" ht="15.75" hidden="1" customHeight="1">
      <c r="A2224" t="s">
        <v>5407</v>
      </c>
      <c r="B2224" t="s">
        <v>4319</v>
      </c>
      <c r="C2224" t="s">
        <v>5408</v>
      </c>
      <c r="F2224" t="s">
        <v>4959</v>
      </c>
      <c r="G2224" t="s">
        <v>20</v>
      </c>
      <c r="L2224" t="s">
        <v>4324</v>
      </c>
    </row>
    <row r="2225" spans="1:17" ht="15.75" hidden="1" customHeight="1">
      <c r="A2225" t="s">
        <v>5409</v>
      </c>
      <c r="B2225" t="s">
        <v>4319</v>
      </c>
      <c r="C2225" t="s">
        <v>5410</v>
      </c>
      <c r="F2225" t="s">
        <v>4959</v>
      </c>
      <c r="G2225" t="s">
        <v>20</v>
      </c>
      <c r="L2225" t="s">
        <v>4324</v>
      </c>
    </row>
    <row r="2226" spans="1:17" ht="15.75" hidden="1" customHeight="1">
      <c r="A2226" t="s">
        <v>5411</v>
      </c>
      <c r="B2226" t="s">
        <v>4319</v>
      </c>
      <c r="C2226" t="s">
        <v>5412</v>
      </c>
      <c r="F2226" t="s">
        <v>4959</v>
      </c>
      <c r="G2226" t="s">
        <v>20</v>
      </c>
      <c r="L2226" t="s">
        <v>4324</v>
      </c>
    </row>
    <row r="2227" spans="1:17" ht="15.75" hidden="1" customHeight="1">
      <c r="A2227" t="s">
        <v>5413</v>
      </c>
      <c r="B2227" t="s">
        <v>281</v>
      </c>
      <c r="C2227" t="s">
        <v>5414</v>
      </c>
      <c r="G2227" t="s">
        <v>285</v>
      </c>
      <c r="L2227">
        <v>-400</v>
      </c>
      <c r="M2227" t="s">
        <v>312</v>
      </c>
      <c r="Q2227" t="s">
        <v>5415</v>
      </c>
    </row>
    <row r="2228" spans="1:17" ht="15.75" hidden="1" customHeight="1">
      <c r="A2228" t="s">
        <v>5416</v>
      </c>
      <c r="B2228" t="s">
        <v>281</v>
      </c>
      <c r="C2228" t="s">
        <v>5417</v>
      </c>
      <c r="G2228" t="s">
        <v>285</v>
      </c>
      <c r="L2228">
        <v>-400</v>
      </c>
      <c r="M2228" t="s">
        <v>312</v>
      </c>
      <c r="Q2228" t="s">
        <v>5418</v>
      </c>
    </row>
    <row r="2229" spans="1:17" ht="15.75" hidden="1" customHeight="1">
      <c r="A2229" t="s">
        <v>5419</v>
      </c>
      <c r="B2229" t="s">
        <v>281</v>
      </c>
      <c r="C2229" t="s">
        <v>5420</v>
      </c>
      <c r="G2229" t="s">
        <v>285</v>
      </c>
      <c r="L2229">
        <v>-800</v>
      </c>
      <c r="M2229" t="s">
        <v>312</v>
      </c>
      <c r="Q2229" t="s">
        <v>5421</v>
      </c>
    </row>
    <row r="2230" spans="1:17" ht="15.75" hidden="1" customHeight="1">
      <c r="A2230" t="s">
        <v>5422</v>
      </c>
      <c r="B2230" t="s">
        <v>281</v>
      </c>
      <c r="C2230" t="s">
        <v>5423</v>
      </c>
      <c r="G2230" t="s">
        <v>285</v>
      </c>
      <c r="L2230">
        <v>-800</v>
      </c>
      <c r="M2230" t="s">
        <v>312</v>
      </c>
      <c r="Q2230" t="s">
        <v>5424</v>
      </c>
    </row>
    <row r="2231" spans="1:17" ht="15.75" hidden="1" customHeight="1">
      <c r="A2231" t="s">
        <v>5425</v>
      </c>
      <c r="B2231" t="s">
        <v>281</v>
      </c>
      <c r="C2231" t="s">
        <v>5426</v>
      </c>
      <c r="G2231" t="s">
        <v>285</v>
      </c>
      <c r="L2231">
        <v>-300</v>
      </c>
      <c r="M2231" t="s">
        <v>312</v>
      </c>
      <c r="Q2231" t="s">
        <v>5427</v>
      </c>
    </row>
    <row r="2232" spans="1:17" ht="15.75" hidden="1" customHeight="1">
      <c r="A2232" t="s">
        <v>5428</v>
      </c>
      <c r="B2232" t="s">
        <v>281</v>
      </c>
      <c r="C2232" t="s">
        <v>5429</v>
      </c>
      <c r="E2232" t="s">
        <v>5357</v>
      </c>
      <c r="F2232" t="s">
        <v>3471</v>
      </c>
      <c r="G2232" t="s">
        <v>285</v>
      </c>
      <c r="J2232" t="s">
        <v>5430</v>
      </c>
      <c r="K2232">
        <v>13</v>
      </c>
      <c r="L2232">
        <v>25</v>
      </c>
      <c r="M2232" t="s">
        <v>312</v>
      </c>
      <c r="Q2232" t="s">
        <v>5431</v>
      </c>
    </row>
    <row r="2233" spans="1:17" ht="15.75" hidden="1" customHeight="1">
      <c r="A2233" t="s">
        <v>5432</v>
      </c>
      <c r="B2233" t="s">
        <v>281</v>
      </c>
      <c r="C2233" t="s">
        <v>5433</v>
      </c>
      <c r="E2233" t="s">
        <v>5357</v>
      </c>
      <c r="F2233" t="s">
        <v>3471</v>
      </c>
      <c r="G2233" t="s">
        <v>285</v>
      </c>
      <c r="J2233" t="s">
        <v>5434</v>
      </c>
      <c r="K2233">
        <v>14</v>
      </c>
      <c r="L2233">
        <v>25</v>
      </c>
      <c r="M2233" t="s">
        <v>312</v>
      </c>
      <c r="Q2233" t="s">
        <v>5435</v>
      </c>
    </row>
    <row r="2234" spans="1:17" ht="15.75" hidden="1" customHeight="1">
      <c r="A2234" t="s">
        <v>5436</v>
      </c>
      <c r="B2234" t="s">
        <v>281</v>
      </c>
      <c r="C2234" t="s">
        <v>5437</v>
      </c>
      <c r="E2234" t="s">
        <v>5357</v>
      </c>
      <c r="F2234" t="s">
        <v>3471</v>
      </c>
      <c r="G2234" t="s">
        <v>285</v>
      </c>
      <c r="J2234" t="s">
        <v>5438</v>
      </c>
      <c r="K2234">
        <v>15</v>
      </c>
      <c r="L2234">
        <v>25</v>
      </c>
      <c r="M2234" t="s">
        <v>312</v>
      </c>
      <c r="Q2234" t="s">
        <v>5439</v>
      </c>
    </row>
    <row r="2235" spans="1:17" ht="15.75" hidden="1" customHeight="1">
      <c r="A2235" t="s">
        <v>5440</v>
      </c>
      <c r="B2235" t="s">
        <v>281</v>
      </c>
      <c r="C2235" t="s">
        <v>5441</v>
      </c>
      <c r="E2235" t="s">
        <v>5357</v>
      </c>
      <c r="F2235" t="s">
        <v>3471</v>
      </c>
      <c r="G2235" t="s">
        <v>285</v>
      </c>
      <c r="J2235" t="s">
        <v>5442</v>
      </c>
      <c r="K2235">
        <v>16</v>
      </c>
      <c r="L2235">
        <v>25</v>
      </c>
      <c r="M2235" t="s">
        <v>312</v>
      </c>
      <c r="Q2235" t="s">
        <v>5443</v>
      </c>
    </row>
    <row r="2236" spans="1:17" ht="15.75" customHeight="1">
      <c r="A2236" t="s">
        <v>5444</v>
      </c>
      <c r="B2236" t="s">
        <v>281</v>
      </c>
      <c r="C2236" t="s">
        <v>5445</v>
      </c>
      <c r="E2236" t="s">
        <v>5357</v>
      </c>
      <c r="F2236" t="s">
        <v>3471</v>
      </c>
      <c r="G2236" t="s">
        <v>285</v>
      </c>
      <c r="J2236" t="s">
        <v>5446</v>
      </c>
      <c r="K2236">
        <v>17</v>
      </c>
      <c r="L2236">
        <v>25</v>
      </c>
      <c r="M2236" t="s">
        <v>312</v>
      </c>
      <c r="Q2236" t="s">
        <v>5447</v>
      </c>
    </row>
    <row r="2237" spans="1:17" ht="15.75" customHeight="1">
      <c r="A2237" t="s">
        <v>5448</v>
      </c>
      <c r="B2237" t="s">
        <v>281</v>
      </c>
      <c r="C2237" t="s">
        <v>5449</v>
      </c>
      <c r="E2237" t="s">
        <v>5357</v>
      </c>
      <c r="F2237" t="s">
        <v>3471</v>
      </c>
      <c r="G2237" t="s">
        <v>285</v>
      </c>
      <c r="J2237" t="s">
        <v>5450</v>
      </c>
      <c r="K2237">
        <v>18</v>
      </c>
      <c r="L2237">
        <v>25</v>
      </c>
      <c r="M2237" t="s">
        <v>312</v>
      </c>
      <c r="Q2237" t="s">
        <v>5451</v>
      </c>
    </row>
    <row r="2238" spans="1:17" ht="15.75" customHeight="1"/>
    <row r="2239" spans="1:17" ht="15.75" customHeight="1"/>
    <row r="2240" spans="1:17" ht="15.75" customHeight="1"/>
    <row r="2241" ht="15.75" customHeight="1"/>
    <row r="2242" ht="15.75" customHeight="1"/>
    <row r="2243" ht="15.75" customHeight="1"/>
    <row r="2244" ht="15.75" customHeight="1"/>
    <row r="2245" ht="15.75" customHeight="1"/>
    <row r="2246" ht="15.75" customHeight="1"/>
    <row r="2247" ht="15.75" customHeight="1"/>
    <row r="2248" ht="15.75" customHeight="1"/>
    <row r="2249" ht="15.75" customHeight="1"/>
    <row r="2250" ht="15.75" customHeight="1"/>
    <row r="2251" ht="15.75" customHeight="1"/>
  </sheetData>
  <conditionalFormatting sqref="A1 A9:A33 A35:A56 A78 A88 A96:A111 A125:A168 A211:A221 A237:A963 A1059:A1048576">
    <cfRule type="duplicateValues" dxfId="11" priority="106"/>
  </conditionalFormatting>
  <conditionalFormatting sqref="A1 A9:A56 A78 A88 A96:A111 A125:A168 A211:A221 A237:A963 A1059:A1048576">
    <cfRule type="duplicateValues" dxfId="10" priority="115"/>
  </conditionalFormatting>
  <conditionalFormatting sqref="A57">
    <cfRule type="duplicateValues" dxfId="9" priority="17"/>
  </conditionalFormatting>
  <conditionalFormatting sqref="A1059:A1199 A1201:A1048576 H921:I1200 H1203:I1048576">
    <cfRule type="duplicateValues" dxfId="8" priority="80"/>
  </conditionalFormatting>
  <conditionalFormatting sqref="A1059:A1199 A1201:A1048576">
    <cfRule type="duplicateValues" dxfId="7" priority="105"/>
  </conditionalFormatting>
  <conditionalFormatting sqref="C1:C1048576">
    <cfRule type="duplicateValues" dxfId="6" priority="18"/>
  </conditionalFormatting>
  <conditionalFormatting sqref="F965:F983">
    <cfRule type="duplicateValues" dxfId="5" priority="16"/>
  </conditionalFormatting>
  <conditionalFormatting sqref="F985:F991">
    <cfRule type="duplicateValues" dxfId="4" priority="15"/>
  </conditionalFormatting>
  <conditionalFormatting sqref="F993:F1004">
    <cfRule type="duplicateValues" dxfId="3" priority="14"/>
  </conditionalFormatting>
  <conditionalFormatting sqref="F1006:F1009">
    <cfRule type="duplicateValues" dxfId="2" priority="13"/>
  </conditionalFormatting>
  <conditionalFormatting sqref="F1039:F1049">
    <cfRule type="duplicateValues" dxfId="1" priority="12"/>
  </conditionalFormatting>
  <conditionalFormatting sqref="F1051:F1058">
    <cfRule type="duplicateValues" dxfId="0" priority="1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5"/>
  <sheetViews>
    <sheetView workbookViewId="0"/>
  </sheetViews>
  <sheetFormatPr baseColWidth="10" defaultColWidth="9.140625" defaultRowHeight="15"/>
  <sheetData>
    <row r="1" spans="1:3">
      <c r="A1" t="s">
        <v>5452</v>
      </c>
      <c r="B1" t="s">
        <v>830</v>
      </c>
      <c r="C1" t="s">
        <v>834</v>
      </c>
    </row>
    <row r="2" spans="1:3">
      <c r="A2">
        <v>0</v>
      </c>
      <c r="B2">
        <v>0</v>
      </c>
      <c r="C2">
        <v>0</v>
      </c>
    </row>
    <row r="3" spans="1:3">
      <c r="A3">
        <v>20</v>
      </c>
      <c r="B3">
        <v>1</v>
      </c>
      <c r="C3">
        <v>1</v>
      </c>
    </row>
    <row r="4" spans="1:3">
      <c r="A4">
        <v>60</v>
      </c>
      <c r="B4">
        <v>2</v>
      </c>
      <c r="C4">
        <v>1</v>
      </c>
    </row>
    <row r="5" spans="1:3">
      <c r="A5">
        <v>120</v>
      </c>
      <c r="B5">
        <v>3</v>
      </c>
      <c r="C5">
        <v>1</v>
      </c>
    </row>
    <row r="6" spans="1:3">
      <c r="A6">
        <v>200</v>
      </c>
      <c r="B6">
        <v>4</v>
      </c>
      <c r="C6">
        <v>2</v>
      </c>
    </row>
    <row r="7" spans="1:3">
      <c r="A7">
        <v>300</v>
      </c>
      <c r="B7">
        <v>5</v>
      </c>
      <c r="C7">
        <v>2</v>
      </c>
    </row>
    <row r="8" spans="1:3">
      <c r="A8">
        <v>400</v>
      </c>
      <c r="B8">
        <v>6</v>
      </c>
      <c r="C8">
        <v>2</v>
      </c>
    </row>
    <row r="9" spans="1:3">
      <c r="A9">
        <v>500</v>
      </c>
      <c r="B9">
        <v>7</v>
      </c>
      <c r="C9">
        <v>2</v>
      </c>
    </row>
    <row r="10" spans="1:3">
      <c r="A10">
        <v>600</v>
      </c>
      <c r="B10">
        <v>8</v>
      </c>
      <c r="C10">
        <v>2</v>
      </c>
    </row>
    <row r="11" spans="1:3">
      <c r="A11">
        <v>700</v>
      </c>
      <c r="B11">
        <v>9</v>
      </c>
      <c r="C11">
        <v>3</v>
      </c>
    </row>
    <row r="12" spans="1:3">
      <c r="A12">
        <v>850</v>
      </c>
      <c r="B12">
        <v>10</v>
      </c>
      <c r="C12">
        <v>3</v>
      </c>
    </row>
    <row r="13" spans="1:3">
      <c r="A13">
        <v>1000</v>
      </c>
      <c r="B13">
        <v>11</v>
      </c>
      <c r="C13">
        <v>3</v>
      </c>
    </row>
    <row r="14" spans="1:3">
      <c r="A14">
        <v>1150</v>
      </c>
      <c r="B14">
        <v>12</v>
      </c>
      <c r="C14">
        <v>3</v>
      </c>
    </row>
    <row r="15" spans="1:3">
      <c r="A15">
        <v>1300</v>
      </c>
      <c r="B15">
        <v>13</v>
      </c>
      <c r="C15">
        <v>3</v>
      </c>
    </row>
    <row r="16" spans="1:3">
      <c r="A16">
        <v>1450</v>
      </c>
      <c r="B16">
        <v>14</v>
      </c>
      <c r="C16">
        <v>3</v>
      </c>
    </row>
    <row r="17" spans="1:3">
      <c r="A17">
        <v>1600</v>
      </c>
      <c r="B17">
        <v>15</v>
      </c>
      <c r="C17">
        <v>3</v>
      </c>
    </row>
    <row r="18" spans="1:3">
      <c r="A18">
        <v>1750</v>
      </c>
      <c r="B18">
        <v>16</v>
      </c>
      <c r="C18">
        <v>4</v>
      </c>
    </row>
    <row r="19" spans="1:3">
      <c r="A19">
        <v>1950</v>
      </c>
      <c r="B19">
        <v>17</v>
      </c>
      <c r="C19">
        <v>4</v>
      </c>
    </row>
    <row r="20" spans="1:3">
      <c r="A20">
        <v>2150</v>
      </c>
      <c r="B20">
        <v>18</v>
      </c>
      <c r="C20">
        <v>4</v>
      </c>
    </row>
    <row r="21" spans="1:3">
      <c r="A21">
        <v>2350</v>
      </c>
      <c r="B21">
        <v>19</v>
      </c>
      <c r="C21">
        <v>4</v>
      </c>
    </row>
    <row r="22" spans="1:3">
      <c r="A22">
        <v>2550</v>
      </c>
      <c r="B22">
        <v>20</v>
      </c>
      <c r="C22">
        <v>4</v>
      </c>
    </row>
    <row r="23" spans="1:3">
      <c r="A23">
        <v>2750</v>
      </c>
      <c r="B23">
        <v>21</v>
      </c>
      <c r="C23">
        <v>4</v>
      </c>
    </row>
    <row r="24" spans="1:3">
      <c r="A24">
        <v>2950</v>
      </c>
      <c r="B24">
        <v>22</v>
      </c>
      <c r="C24">
        <v>4</v>
      </c>
    </row>
    <row r="25" spans="1:3">
      <c r="A25">
        <v>3150</v>
      </c>
      <c r="B25">
        <v>23</v>
      </c>
      <c r="C25">
        <v>4</v>
      </c>
    </row>
    <row r="26" spans="1:3">
      <c r="A26">
        <v>3350</v>
      </c>
      <c r="B26">
        <v>24</v>
      </c>
      <c r="C26">
        <v>4</v>
      </c>
    </row>
    <row r="27" spans="1:3">
      <c r="A27">
        <v>3550</v>
      </c>
      <c r="B27">
        <v>25</v>
      </c>
      <c r="C27">
        <v>5</v>
      </c>
    </row>
    <row r="28" spans="1:3">
      <c r="A28">
        <v>3800</v>
      </c>
      <c r="B28">
        <v>26</v>
      </c>
      <c r="C28">
        <v>5</v>
      </c>
    </row>
    <row r="29" spans="1:3">
      <c r="A29">
        <v>4050</v>
      </c>
      <c r="B29">
        <v>27</v>
      </c>
      <c r="C29">
        <v>5</v>
      </c>
    </row>
    <row r="30" spans="1:3">
      <c r="A30">
        <v>4300</v>
      </c>
      <c r="B30">
        <v>28</v>
      </c>
      <c r="C30">
        <v>5</v>
      </c>
    </row>
    <row r="31" spans="1:3">
      <c r="A31">
        <v>4550</v>
      </c>
      <c r="B31">
        <v>29</v>
      </c>
      <c r="C31">
        <v>5</v>
      </c>
    </row>
    <row r="32" spans="1:3">
      <c r="A32">
        <v>4800</v>
      </c>
      <c r="B32">
        <v>30</v>
      </c>
      <c r="C32">
        <v>5</v>
      </c>
    </row>
    <row r="33" spans="1:3">
      <c r="A33">
        <v>5050</v>
      </c>
      <c r="B33">
        <v>31</v>
      </c>
      <c r="C33">
        <v>5</v>
      </c>
    </row>
    <row r="34" spans="1:3">
      <c r="A34">
        <v>5300</v>
      </c>
      <c r="B34">
        <v>32</v>
      </c>
      <c r="C34">
        <v>5</v>
      </c>
    </row>
    <row r="35" spans="1:3">
      <c r="A35">
        <v>5550</v>
      </c>
      <c r="B35">
        <v>33</v>
      </c>
      <c r="C35">
        <v>5</v>
      </c>
    </row>
    <row r="36" spans="1:3">
      <c r="A36">
        <v>5800</v>
      </c>
      <c r="B36">
        <v>34</v>
      </c>
      <c r="C36">
        <v>5</v>
      </c>
    </row>
    <row r="37" spans="1:3">
      <c r="A37">
        <v>6050</v>
      </c>
      <c r="B37">
        <v>35</v>
      </c>
      <c r="C37">
        <v>5</v>
      </c>
    </row>
    <row r="38" spans="1:3">
      <c r="A38">
        <v>6300</v>
      </c>
      <c r="B38">
        <v>36</v>
      </c>
      <c r="C38">
        <v>6</v>
      </c>
    </row>
    <row r="39" spans="1:3">
      <c r="A39">
        <v>6600</v>
      </c>
      <c r="B39">
        <v>37</v>
      </c>
      <c r="C39">
        <v>6</v>
      </c>
    </row>
    <row r="40" spans="1:3">
      <c r="A40">
        <v>6900</v>
      </c>
      <c r="B40">
        <v>38</v>
      </c>
      <c r="C40">
        <v>6</v>
      </c>
    </row>
    <row r="41" spans="1:3">
      <c r="A41">
        <v>7200</v>
      </c>
      <c r="B41">
        <v>39</v>
      </c>
      <c r="C41">
        <v>6</v>
      </c>
    </row>
    <row r="42" spans="1:3">
      <c r="A42">
        <v>7500</v>
      </c>
      <c r="B42">
        <v>40</v>
      </c>
      <c r="C42">
        <v>6</v>
      </c>
    </row>
    <row r="43" spans="1:3">
      <c r="A43">
        <v>7800</v>
      </c>
      <c r="B43">
        <v>41</v>
      </c>
      <c r="C43">
        <v>6</v>
      </c>
    </row>
    <row r="44" spans="1:3">
      <c r="A44">
        <v>8100</v>
      </c>
      <c r="B44">
        <v>42</v>
      </c>
      <c r="C44">
        <v>6</v>
      </c>
    </row>
    <row r="45" spans="1:3">
      <c r="A45">
        <v>8400</v>
      </c>
      <c r="B45">
        <v>43</v>
      </c>
      <c r="C45">
        <v>6</v>
      </c>
    </row>
    <row r="46" spans="1:3">
      <c r="A46">
        <v>8700</v>
      </c>
      <c r="B46">
        <v>44</v>
      </c>
      <c r="C46">
        <v>6</v>
      </c>
    </row>
    <row r="47" spans="1:3">
      <c r="A47">
        <v>9000</v>
      </c>
      <c r="B47">
        <v>45</v>
      </c>
      <c r="C47">
        <v>6</v>
      </c>
    </row>
    <row r="48" spans="1:3">
      <c r="A48">
        <v>9300</v>
      </c>
      <c r="B48">
        <v>46</v>
      </c>
      <c r="C48">
        <v>6</v>
      </c>
    </row>
    <row r="49" spans="1:3">
      <c r="A49">
        <v>9600</v>
      </c>
      <c r="B49">
        <v>47</v>
      </c>
      <c r="C49">
        <v>6</v>
      </c>
    </row>
    <row r="50" spans="1:3">
      <c r="A50">
        <v>9900</v>
      </c>
      <c r="B50">
        <v>48</v>
      </c>
      <c r="C50">
        <v>6</v>
      </c>
    </row>
    <row r="51" spans="1:3">
      <c r="A51">
        <v>10250</v>
      </c>
      <c r="B51">
        <v>49</v>
      </c>
      <c r="C51">
        <v>7</v>
      </c>
    </row>
    <row r="52" spans="1:3">
      <c r="A52">
        <v>10600</v>
      </c>
      <c r="B52">
        <v>50</v>
      </c>
      <c r="C52">
        <v>7</v>
      </c>
    </row>
    <row r="53" spans="1:3">
      <c r="A53">
        <v>10950</v>
      </c>
      <c r="B53">
        <v>51</v>
      </c>
      <c r="C53">
        <v>7</v>
      </c>
    </row>
    <row r="54" spans="1:3">
      <c r="A54">
        <v>11300</v>
      </c>
      <c r="B54">
        <v>52</v>
      </c>
      <c r="C54">
        <v>7</v>
      </c>
    </row>
    <row r="55" spans="1:3">
      <c r="A55">
        <v>11650</v>
      </c>
      <c r="B55">
        <v>53</v>
      </c>
      <c r="C55">
        <v>7</v>
      </c>
    </row>
    <row r="56" spans="1:3">
      <c r="A56">
        <v>12000</v>
      </c>
      <c r="B56">
        <v>54</v>
      </c>
      <c r="C56">
        <v>7</v>
      </c>
    </row>
    <row r="57" spans="1:3">
      <c r="A57">
        <v>12350</v>
      </c>
      <c r="B57">
        <v>55</v>
      </c>
      <c r="C57">
        <v>7</v>
      </c>
    </row>
    <row r="58" spans="1:3">
      <c r="A58">
        <v>12700</v>
      </c>
      <c r="B58">
        <v>56</v>
      </c>
      <c r="C58">
        <v>7</v>
      </c>
    </row>
    <row r="59" spans="1:3">
      <c r="A59">
        <v>13050</v>
      </c>
      <c r="B59">
        <v>57</v>
      </c>
      <c r="C59">
        <v>7</v>
      </c>
    </row>
    <row r="60" spans="1:3">
      <c r="A60">
        <v>13400</v>
      </c>
      <c r="B60">
        <v>58</v>
      </c>
      <c r="C60">
        <v>7</v>
      </c>
    </row>
    <row r="61" spans="1:3">
      <c r="A61">
        <v>13750</v>
      </c>
      <c r="B61">
        <v>59</v>
      </c>
      <c r="C61">
        <v>7</v>
      </c>
    </row>
    <row r="62" spans="1:3">
      <c r="A62">
        <v>14100</v>
      </c>
      <c r="B62">
        <v>60</v>
      </c>
      <c r="C62">
        <v>7</v>
      </c>
    </row>
    <row r="63" spans="1:3">
      <c r="A63">
        <v>14450</v>
      </c>
      <c r="B63">
        <v>61</v>
      </c>
      <c r="C63">
        <v>7</v>
      </c>
    </row>
    <row r="64" spans="1:3">
      <c r="A64">
        <v>14800</v>
      </c>
      <c r="B64">
        <v>62</v>
      </c>
      <c r="C64">
        <v>7</v>
      </c>
    </row>
    <row r="65" spans="1:3">
      <c r="A65">
        <v>15150</v>
      </c>
      <c r="B65">
        <v>63</v>
      </c>
      <c r="C65">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1"/>
  <sheetViews>
    <sheetView workbookViewId="0"/>
  </sheetViews>
  <sheetFormatPr baseColWidth="10" defaultColWidth="9.140625" defaultRowHeight="15"/>
  <sheetData>
    <row r="1" spans="1:3">
      <c r="A1" t="s">
        <v>20</v>
      </c>
      <c r="B1" t="s">
        <v>5453</v>
      </c>
      <c r="C1" t="s">
        <v>5454</v>
      </c>
    </row>
    <row r="2" spans="1:3">
      <c r="A2">
        <v>0</v>
      </c>
      <c r="B2">
        <v>0</v>
      </c>
      <c r="C2">
        <v>0</v>
      </c>
    </row>
    <row r="3" spans="1:3">
      <c r="A3">
        <v>1</v>
      </c>
      <c r="B3">
        <v>4</v>
      </c>
      <c r="C3">
        <v>4</v>
      </c>
    </row>
    <row r="4" spans="1:3">
      <c r="A4">
        <v>2</v>
      </c>
      <c r="B4">
        <v>1</v>
      </c>
      <c r="C4">
        <v>5</v>
      </c>
    </row>
    <row r="5" spans="1:3">
      <c r="A5">
        <v>3</v>
      </c>
      <c r="B5">
        <v>1</v>
      </c>
      <c r="C5">
        <v>6</v>
      </c>
    </row>
    <row r="6" spans="1:3">
      <c r="A6">
        <v>4</v>
      </c>
      <c r="B6">
        <v>1</v>
      </c>
      <c r="C6">
        <v>7</v>
      </c>
    </row>
    <row r="7" spans="1:3">
      <c r="A7">
        <v>5</v>
      </c>
      <c r="B7">
        <v>2</v>
      </c>
      <c r="C7">
        <v>9</v>
      </c>
    </row>
    <row r="8" spans="1:3">
      <c r="A8">
        <v>6</v>
      </c>
      <c r="B8">
        <v>2</v>
      </c>
      <c r="C8">
        <v>11</v>
      </c>
    </row>
    <row r="9" spans="1:3">
      <c r="A9">
        <v>7</v>
      </c>
      <c r="B9">
        <v>2</v>
      </c>
      <c r="C9">
        <v>13</v>
      </c>
    </row>
    <row r="10" spans="1:3">
      <c r="A10">
        <v>8</v>
      </c>
      <c r="B10">
        <v>3</v>
      </c>
      <c r="C10">
        <v>16</v>
      </c>
    </row>
    <row r="11" spans="1:3">
      <c r="A11">
        <v>9</v>
      </c>
      <c r="B11">
        <v>3</v>
      </c>
      <c r="C11">
        <v>19</v>
      </c>
    </row>
    <row r="12" spans="1:3">
      <c r="A12">
        <v>10</v>
      </c>
      <c r="B12">
        <v>3</v>
      </c>
      <c r="C12">
        <v>22</v>
      </c>
    </row>
    <row r="13" spans="1:3">
      <c r="A13">
        <v>11</v>
      </c>
      <c r="B13">
        <v>4</v>
      </c>
      <c r="C13">
        <v>26</v>
      </c>
    </row>
    <row r="14" spans="1:3">
      <c r="A14">
        <v>12</v>
      </c>
      <c r="B14">
        <v>4</v>
      </c>
      <c r="C14">
        <v>30</v>
      </c>
    </row>
    <row r="15" spans="1:3">
      <c r="A15">
        <v>13</v>
      </c>
      <c r="B15">
        <v>4</v>
      </c>
      <c r="C15">
        <v>34</v>
      </c>
    </row>
    <row r="16" spans="1:3">
      <c r="A16">
        <v>14</v>
      </c>
      <c r="B16">
        <v>5</v>
      </c>
      <c r="C16">
        <v>39</v>
      </c>
    </row>
    <row r="17" spans="1:3">
      <c r="A17">
        <v>15</v>
      </c>
      <c r="B17">
        <v>5</v>
      </c>
      <c r="C17">
        <v>44</v>
      </c>
    </row>
    <row r="18" spans="1:3">
      <c r="A18">
        <v>16</v>
      </c>
      <c r="B18">
        <v>5</v>
      </c>
      <c r="C18">
        <v>49</v>
      </c>
    </row>
    <row r="19" spans="1:3">
      <c r="A19">
        <v>17</v>
      </c>
      <c r="B19">
        <v>6</v>
      </c>
      <c r="C19">
        <v>55</v>
      </c>
    </row>
    <row r="20" spans="1:3">
      <c r="A20">
        <v>18</v>
      </c>
      <c r="B20">
        <v>6</v>
      </c>
      <c r="C20">
        <v>61</v>
      </c>
    </row>
    <row r="21" spans="1:3">
      <c r="A21">
        <v>19</v>
      </c>
      <c r="B21">
        <v>6</v>
      </c>
      <c r="C21">
        <v>67</v>
      </c>
    </row>
    <row r="22" spans="1:3">
      <c r="A22">
        <v>20</v>
      </c>
      <c r="B22">
        <v>7</v>
      </c>
      <c r="C22">
        <v>74</v>
      </c>
    </row>
    <row r="23" spans="1:3">
      <c r="A23">
        <v>21</v>
      </c>
      <c r="B23">
        <v>7</v>
      </c>
      <c r="C23">
        <v>81</v>
      </c>
    </row>
    <row r="24" spans="1:3">
      <c r="A24">
        <v>22</v>
      </c>
      <c r="B24">
        <v>7</v>
      </c>
      <c r="C24">
        <v>88</v>
      </c>
    </row>
    <row r="25" spans="1:3">
      <c r="A25">
        <v>23</v>
      </c>
      <c r="B25">
        <v>8</v>
      </c>
      <c r="C25">
        <v>96</v>
      </c>
    </row>
    <row r="26" spans="1:3">
      <c r="A26">
        <v>24</v>
      </c>
      <c r="B26">
        <v>8</v>
      </c>
      <c r="C26">
        <v>104</v>
      </c>
    </row>
    <row r="27" spans="1:3">
      <c r="A27">
        <v>25</v>
      </c>
      <c r="B27">
        <v>8</v>
      </c>
      <c r="C27">
        <v>112</v>
      </c>
    </row>
    <row r="28" spans="1:3">
      <c r="A28">
        <v>26</v>
      </c>
      <c r="B28">
        <v>9</v>
      </c>
      <c r="C28">
        <v>121</v>
      </c>
    </row>
    <row r="29" spans="1:3">
      <c r="A29">
        <v>27</v>
      </c>
      <c r="B29">
        <v>9</v>
      </c>
      <c r="C29">
        <v>130</v>
      </c>
    </row>
    <row r="30" spans="1:3">
      <c r="A30">
        <v>28</v>
      </c>
      <c r="B30">
        <v>9</v>
      </c>
      <c r="C30">
        <v>139</v>
      </c>
    </row>
    <row r="31" spans="1:3">
      <c r="A31">
        <v>29</v>
      </c>
      <c r="B31">
        <v>10</v>
      </c>
      <c r="C31">
        <v>149</v>
      </c>
    </row>
    <row r="32" spans="1:3">
      <c r="A32">
        <v>30</v>
      </c>
      <c r="B32">
        <v>10</v>
      </c>
      <c r="C32">
        <v>159</v>
      </c>
    </row>
    <row r="33" spans="1:3">
      <c r="A33">
        <v>31</v>
      </c>
      <c r="B33">
        <v>10</v>
      </c>
      <c r="C33">
        <v>169</v>
      </c>
    </row>
    <row r="34" spans="1:3">
      <c r="A34">
        <v>32</v>
      </c>
      <c r="B34">
        <v>11</v>
      </c>
      <c r="C34">
        <v>180</v>
      </c>
    </row>
    <row r="35" spans="1:3">
      <c r="A35">
        <v>33</v>
      </c>
      <c r="B35">
        <v>11</v>
      </c>
      <c r="C35">
        <v>191</v>
      </c>
    </row>
    <row r="36" spans="1:3">
      <c r="A36">
        <v>34</v>
      </c>
      <c r="B36">
        <v>11</v>
      </c>
      <c r="C36">
        <v>202</v>
      </c>
    </row>
    <row r="37" spans="1:3">
      <c r="A37">
        <v>35</v>
      </c>
      <c r="B37">
        <v>12</v>
      </c>
      <c r="C37">
        <v>214</v>
      </c>
    </row>
    <row r="38" spans="1:3">
      <c r="A38">
        <v>36</v>
      </c>
      <c r="B38">
        <v>12</v>
      </c>
      <c r="C38">
        <v>226</v>
      </c>
    </row>
    <row r="39" spans="1:3">
      <c r="A39">
        <v>37</v>
      </c>
      <c r="B39">
        <v>12</v>
      </c>
      <c r="C39">
        <v>238</v>
      </c>
    </row>
    <row r="40" spans="1:3">
      <c r="A40">
        <v>38</v>
      </c>
      <c r="B40">
        <v>13</v>
      </c>
      <c r="C40">
        <v>251</v>
      </c>
    </row>
    <row r="41" spans="1:3">
      <c r="A41">
        <v>39</v>
      </c>
      <c r="B41">
        <v>13</v>
      </c>
      <c r="C41">
        <v>264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6"/>
  <sheetViews>
    <sheetView workbookViewId="0"/>
  </sheetViews>
  <sheetFormatPr baseColWidth="10" defaultColWidth="9.140625" defaultRowHeight="15"/>
  <sheetData>
    <row r="1" spans="1:3">
      <c r="A1" t="s">
        <v>20</v>
      </c>
      <c r="B1" t="s">
        <v>5454</v>
      </c>
      <c r="C1" t="s">
        <v>5453</v>
      </c>
    </row>
    <row r="2" spans="1:3">
      <c r="A2">
        <v>0</v>
      </c>
      <c r="B2">
        <v>0</v>
      </c>
      <c r="C2">
        <v>0</v>
      </c>
    </row>
    <row r="3" spans="1:3">
      <c r="A3">
        <v>1</v>
      </c>
      <c r="B3">
        <v>30</v>
      </c>
      <c r="C3">
        <v>30</v>
      </c>
    </row>
    <row r="4" spans="1:3">
      <c r="A4">
        <v>2</v>
      </c>
      <c r="B4">
        <v>60</v>
      </c>
      <c r="C4">
        <v>30</v>
      </c>
    </row>
    <row r="5" spans="1:3">
      <c r="A5">
        <v>3</v>
      </c>
      <c r="B5">
        <v>90</v>
      </c>
      <c r="C5">
        <v>30</v>
      </c>
    </row>
    <row r="6" spans="1:3">
      <c r="A6">
        <v>4</v>
      </c>
      <c r="B6">
        <v>120</v>
      </c>
      <c r="C6">
        <v>30</v>
      </c>
    </row>
    <row r="7" spans="1:3">
      <c r="A7">
        <v>5</v>
      </c>
      <c r="B7">
        <v>150</v>
      </c>
      <c r="C7">
        <v>30</v>
      </c>
    </row>
    <row r="8" spans="1:3">
      <c r="A8">
        <v>6</v>
      </c>
      <c r="B8">
        <v>180</v>
      </c>
      <c r="C8">
        <v>30</v>
      </c>
    </row>
    <row r="9" spans="1:3">
      <c r="A9">
        <v>7</v>
      </c>
      <c r="B9">
        <v>210</v>
      </c>
      <c r="C9">
        <v>30</v>
      </c>
    </row>
    <row r="10" spans="1:3">
      <c r="A10">
        <v>8</v>
      </c>
      <c r="B10">
        <v>240</v>
      </c>
      <c r="C10">
        <v>30</v>
      </c>
    </row>
    <row r="11" spans="1:3">
      <c r="A11">
        <v>9</v>
      </c>
      <c r="B11">
        <v>270</v>
      </c>
      <c r="C11">
        <v>30</v>
      </c>
    </row>
    <row r="12" spans="1:3">
      <c r="A12">
        <v>10</v>
      </c>
      <c r="B12">
        <v>300</v>
      </c>
      <c r="C12">
        <v>30</v>
      </c>
    </row>
    <row r="13" spans="1:3">
      <c r="A13">
        <v>11</v>
      </c>
      <c r="B13">
        <v>330</v>
      </c>
      <c r="C13">
        <v>30</v>
      </c>
    </row>
    <row r="14" spans="1:3">
      <c r="A14">
        <v>12</v>
      </c>
      <c r="B14">
        <v>363</v>
      </c>
      <c r="C14">
        <v>33</v>
      </c>
    </row>
    <row r="15" spans="1:3">
      <c r="A15">
        <v>13</v>
      </c>
      <c r="B15">
        <v>399</v>
      </c>
      <c r="C15">
        <v>36</v>
      </c>
    </row>
    <row r="16" spans="1:3">
      <c r="A16">
        <v>14</v>
      </c>
      <c r="B16">
        <v>438</v>
      </c>
      <c r="C16">
        <v>39</v>
      </c>
    </row>
    <row r="17" spans="1:3">
      <c r="A17">
        <v>15</v>
      </c>
      <c r="B17">
        <v>480</v>
      </c>
      <c r="C17">
        <v>42</v>
      </c>
    </row>
    <row r="18" spans="1:3">
      <c r="A18">
        <v>16</v>
      </c>
      <c r="B18">
        <v>525</v>
      </c>
      <c r="C18">
        <v>45</v>
      </c>
    </row>
    <row r="19" spans="1:3">
      <c r="A19">
        <v>17</v>
      </c>
      <c r="B19">
        <v>573</v>
      </c>
      <c r="C19">
        <v>48</v>
      </c>
    </row>
    <row r="20" spans="1:3">
      <c r="A20">
        <v>18</v>
      </c>
      <c r="B20">
        <v>624</v>
      </c>
      <c r="C20">
        <v>51</v>
      </c>
    </row>
    <row r="21" spans="1:3">
      <c r="A21">
        <v>19</v>
      </c>
      <c r="B21">
        <v>678</v>
      </c>
      <c r="C21">
        <v>54</v>
      </c>
    </row>
    <row r="22" spans="1:3">
      <c r="A22">
        <v>20</v>
      </c>
      <c r="B22">
        <v>735</v>
      </c>
      <c r="C22">
        <v>57</v>
      </c>
    </row>
    <row r="23" spans="1:3">
      <c r="A23">
        <v>21</v>
      </c>
      <c r="B23">
        <v>795</v>
      </c>
      <c r="C23">
        <v>60</v>
      </c>
    </row>
    <row r="24" spans="1:3">
      <c r="A24">
        <v>22</v>
      </c>
      <c r="B24">
        <v>858</v>
      </c>
      <c r="C24">
        <v>63</v>
      </c>
    </row>
    <row r="25" spans="1:3">
      <c r="A25">
        <v>23</v>
      </c>
      <c r="B25">
        <v>924</v>
      </c>
      <c r="C25">
        <v>66</v>
      </c>
    </row>
    <row r="26" spans="1:3">
      <c r="A26">
        <v>24</v>
      </c>
      <c r="B26">
        <v>993</v>
      </c>
      <c r="C26">
        <v>69</v>
      </c>
    </row>
    <row r="27" spans="1:3">
      <c r="A27">
        <v>25</v>
      </c>
      <c r="B27">
        <v>1065</v>
      </c>
      <c r="C27">
        <v>72</v>
      </c>
    </row>
    <row r="28" spans="1:3">
      <c r="A28">
        <v>26</v>
      </c>
      <c r="B28">
        <v>1140</v>
      </c>
      <c r="C28">
        <v>75</v>
      </c>
    </row>
    <row r="29" spans="1:3">
      <c r="A29">
        <v>27</v>
      </c>
      <c r="B29">
        <v>1218</v>
      </c>
      <c r="C29">
        <v>78</v>
      </c>
    </row>
    <row r="30" spans="1:3">
      <c r="A30">
        <v>28</v>
      </c>
      <c r="B30">
        <v>1299</v>
      </c>
      <c r="C30">
        <v>81</v>
      </c>
    </row>
    <row r="31" spans="1:3">
      <c r="A31">
        <v>29</v>
      </c>
      <c r="B31">
        <v>1383</v>
      </c>
      <c r="C31">
        <v>84</v>
      </c>
    </row>
    <row r="32" spans="1:3">
      <c r="A32">
        <v>30</v>
      </c>
      <c r="B32">
        <v>1470</v>
      </c>
      <c r="C32">
        <v>87</v>
      </c>
    </row>
    <row r="33" spans="1:3">
      <c r="A33">
        <v>31</v>
      </c>
      <c r="B33">
        <v>1560</v>
      </c>
      <c r="C33">
        <v>90</v>
      </c>
    </row>
    <row r="34" spans="1:3">
      <c r="A34">
        <v>32</v>
      </c>
      <c r="B34">
        <v>1653</v>
      </c>
      <c r="C34">
        <v>93</v>
      </c>
    </row>
    <row r="35" spans="1:3">
      <c r="A35">
        <v>33</v>
      </c>
      <c r="B35">
        <v>1749</v>
      </c>
      <c r="C35">
        <v>96</v>
      </c>
    </row>
    <row r="36" spans="1:3">
      <c r="A36">
        <v>34</v>
      </c>
      <c r="B36">
        <v>1848</v>
      </c>
      <c r="C36">
        <v>99</v>
      </c>
    </row>
    <row r="37" spans="1:3">
      <c r="A37">
        <v>35</v>
      </c>
      <c r="B37">
        <v>1950</v>
      </c>
      <c r="C37">
        <v>102</v>
      </c>
    </row>
    <row r="38" spans="1:3">
      <c r="A38">
        <v>36</v>
      </c>
      <c r="B38">
        <v>2055</v>
      </c>
      <c r="C38">
        <v>105</v>
      </c>
    </row>
    <row r="39" spans="1:3">
      <c r="A39">
        <v>37</v>
      </c>
      <c r="B39">
        <v>2163</v>
      </c>
      <c r="C39">
        <v>108</v>
      </c>
    </row>
    <row r="40" spans="1:3">
      <c r="A40">
        <v>38</v>
      </c>
      <c r="B40">
        <v>2274</v>
      </c>
      <c r="C40">
        <v>111</v>
      </c>
    </row>
    <row r="41" spans="1:3">
      <c r="A41">
        <v>39</v>
      </c>
      <c r="B41">
        <v>2388</v>
      </c>
      <c r="C41">
        <v>114</v>
      </c>
    </row>
    <row r="42" spans="1:3">
      <c r="A42">
        <v>40</v>
      </c>
      <c r="B42">
        <v>2505</v>
      </c>
      <c r="C42">
        <v>117</v>
      </c>
    </row>
    <row r="43" spans="1:3">
      <c r="A43">
        <v>41</v>
      </c>
      <c r="B43">
        <v>2625</v>
      </c>
      <c r="C43">
        <v>120</v>
      </c>
    </row>
    <row r="44" spans="1:3">
      <c r="A44">
        <v>42</v>
      </c>
      <c r="B44">
        <v>2748</v>
      </c>
      <c r="C44">
        <v>123</v>
      </c>
    </row>
    <row r="45" spans="1:3">
      <c r="A45">
        <v>43</v>
      </c>
      <c r="B45">
        <v>2874</v>
      </c>
      <c r="C45">
        <v>126</v>
      </c>
    </row>
    <row r="46" spans="1:3">
      <c r="A46">
        <v>44</v>
      </c>
      <c r="B46">
        <v>3003</v>
      </c>
      <c r="C46">
        <v>129</v>
      </c>
    </row>
    <row r="47" spans="1:3">
      <c r="A47">
        <v>45</v>
      </c>
      <c r="B47">
        <v>3135</v>
      </c>
      <c r="C47">
        <v>132</v>
      </c>
    </row>
    <row r="48" spans="1:3">
      <c r="A48">
        <v>46</v>
      </c>
      <c r="B48">
        <v>3270</v>
      </c>
      <c r="C48">
        <v>135</v>
      </c>
    </row>
    <row r="49" spans="1:3">
      <c r="A49">
        <v>47</v>
      </c>
      <c r="B49">
        <v>3408</v>
      </c>
      <c r="C49">
        <v>138</v>
      </c>
    </row>
    <row r="50" spans="1:3">
      <c r="A50">
        <v>48</v>
      </c>
      <c r="B50">
        <v>3549</v>
      </c>
      <c r="C50">
        <v>141</v>
      </c>
    </row>
    <row r="51" spans="1:3">
      <c r="A51">
        <v>49</v>
      </c>
      <c r="B51">
        <v>3693</v>
      </c>
      <c r="C51">
        <v>144</v>
      </c>
    </row>
    <row r="52" spans="1:3">
      <c r="A52">
        <v>50</v>
      </c>
      <c r="B52">
        <v>3840</v>
      </c>
      <c r="C52">
        <v>147</v>
      </c>
    </row>
    <row r="53" spans="1:3">
      <c r="A53">
        <v>51</v>
      </c>
      <c r="B53">
        <v>3990</v>
      </c>
      <c r="C53">
        <v>150</v>
      </c>
    </row>
    <row r="54" spans="1:3">
      <c r="A54">
        <v>52</v>
      </c>
      <c r="B54">
        <v>4143</v>
      </c>
      <c r="C54">
        <v>153</v>
      </c>
    </row>
    <row r="55" spans="1:3">
      <c r="A55">
        <v>53</v>
      </c>
      <c r="B55">
        <v>4299</v>
      </c>
      <c r="C55">
        <v>156</v>
      </c>
    </row>
    <row r="56" spans="1:3">
      <c r="A56">
        <v>54</v>
      </c>
      <c r="B56">
        <v>4458</v>
      </c>
      <c r="C56">
        <v>159</v>
      </c>
    </row>
    <row r="57" spans="1:3">
      <c r="A57">
        <v>55</v>
      </c>
      <c r="B57">
        <v>4620</v>
      </c>
      <c r="C57">
        <v>162</v>
      </c>
    </row>
    <row r="58" spans="1:3">
      <c r="A58">
        <v>56</v>
      </c>
      <c r="B58">
        <v>4785</v>
      </c>
      <c r="C58">
        <v>165</v>
      </c>
    </row>
    <row r="59" spans="1:3">
      <c r="A59">
        <v>57</v>
      </c>
      <c r="B59">
        <v>4953</v>
      </c>
      <c r="C59">
        <v>168</v>
      </c>
    </row>
    <row r="60" spans="1:3">
      <c r="A60">
        <v>58</v>
      </c>
      <c r="B60">
        <v>5124</v>
      </c>
      <c r="C60">
        <v>171</v>
      </c>
    </row>
    <row r="61" spans="1:3">
      <c r="A61">
        <v>59</v>
      </c>
      <c r="B61">
        <v>5298</v>
      </c>
      <c r="C61">
        <v>174</v>
      </c>
    </row>
    <row r="62" spans="1:3">
      <c r="A62">
        <v>60</v>
      </c>
      <c r="B62">
        <v>5475</v>
      </c>
      <c r="C62">
        <v>177</v>
      </c>
    </row>
    <row r="63" spans="1:3">
      <c r="A63">
        <v>61</v>
      </c>
      <c r="B63">
        <v>5655</v>
      </c>
      <c r="C63">
        <v>180</v>
      </c>
    </row>
    <row r="64" spans="1:3">
      <c r="A64">
        <v>62</v>
      </c>
      <c r="B64">
        <v>5838</v>
      </c>
      <c r="C64">
        <v>183</v>
      </c>
    </row>
    <row r="65" spans="1:3">
      <c r="A65">
        <v>63</v>
      </c>
      <c r="B65">
        <v>6024</v>
      </c>
      <c r="C65">
        <v>186</v>
      </c>
    </row>
    <row r="66" spans="1:3">
      <c r="A66">
        <v>64</v>
      </c>
      <c r="B66">
        <v>6213</v>
      </c>
      <c r="C66">
        <v>189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11"/>
  <sheetViews>
    <sheetView workbookViewId="0"/>
  </sheetViews>
  <sheetFormatPr baseColWidth="10" defaultColWidth="9.140625" defaultRowHeight="15"/>
  <sheetData>
    <row r="1" spans="1:5">
      <c r="A1" t="s">
        <v>5455</v>
      </c>
      <c r="B1" t="s">
        <v>692</v>
      </c>
      <c r="C1" t="s">
        <v>5456</v>
      </c>
      <c r="D1" t="s">
        <v>5457</v>
      </c>
      <c r="E1" t="s">
        <v>5458</v>
      </c>
    </row>
    <row r="2" spans="1:5">
      <c r="A2" t="s">
        <v>5459</v>
      </c>
      <c r="B2" t="s">
        <v>713</v>
      </c>
      <c r="C2">
        <v>9</v>
      </c>
      <c r="D2">
        <v>21</v>
      </c>
      <c r="E2">
        <v>31</v>
      </c>
    </row>
    <row r="3" spans="1:5">
      <c r="A3" t="s">
        <v>5459</v>
      </c>
      <c r="B3" t="s">
        <v>693</v>
      </c>
      <c r="C3">
        <v>9</v>
      </c>
      <c r="D3">
        <v>21</v>
      </c>
      <c r="E3">
        <v>31</v>
      </c>
    </row>
    <row r="4" spans="1:5">
      <c r="A4" t="s">
        <v>5459</v>
      </c>
      <c r="B4" t="s">
        <v>698</v>
      </c>
      <c r="C4">
        <v>10</v>
      </c>
      <c r="D4">
        <v>22</v>
      </c>
      <c r="E4">
        <v>31</v>
      </c>
    </row>
    <row r="5" spans="1:5">
      <c r="A5" t="s">
        <v>5459</v>
      </c>
      <c r="B5" t="s">
        <v>5460</v>
      </c>
      <c r="C5">
        <v>9</v>
      </c>
      <c r="D5">
        <v>21</v>
      </c>
      <c r="E5">
        <v>31</v>
      </c>
    </row>
    <row r="6" spans="1:5">
      <c r="A6" t="s">
        <v>5459</v>
      </c>
      <c r="B6" t="s">
        <v>705</v>
      </c>
      <c r="C6">
        <v>15</v>
      </c>
      <c r="D6">
        <v>27</v>
      </c>
      <c r="E6">
        <v>31</v>
      </c>
    </row>
    <row r="7" spans="1:5">
      <c r="A7" t="s">
        <v>5459</v>
      </c>
      <c r="B7" t="s">
        <v>709</v>
      </c>
      <c r="C7">
        <v>10</v>
      </c>
      <c r="D7">
        <v>22</v>
      </c>
      <c r="E7">
        <v>31</v>
      </c>
    </row>
    <row r="8" spans="1:5">
      <c r="A8" t="s">
        <v>5459</v>
      </c>
      <c r="B8" t="s">
        <v>717</v>
      </c>
      <c r="C8">
        <v>10</v>
      </c>
      <c r="D8">
        <v>22</v>
      </c>
      <c r="E8">
        <v>31</v>
      </c>
    </row>
    <row r="9" spans="1:5">
      <c r="A9" t="s">
        <v>5459</v>
      </c>
      <c r="B9" t="s">
        <v>721</v>
      </c>
      <c r="C9">
        <v>11</v>
      </c>
      <c r="D9">
        <v>23</v>
      </c>
      <c r="E9">
        <v>31</v>
      </c>
    </row>
    <row r="10" spans="1:5">
      <c r="A10" t="s">
        <v>5459</v>
      </c>
      <c r="B10" t="s">
        <v>725</v>
      </c>
      <c r="C10">
        <v>10</v>
      </c>
      <c r="D10">
        <v>22</v>
      </c>
      <c r="E10">
        <v>31</v>
      </c>
    </row>
    <row r="11" spans="1:5">
      <c r="A11" t="s">
        <v>5459</v>
      </c>
      <c r="B11" t="s">
        <v>5461</v>
      </c>
      <c r="C11">
        <v>11</v>
      </c>
      <c r="D11">
        <v>23</v>
      </c>
      <c r="E11">
        <v>31</v>
      </c>
    </row>
    <row r="12" spans="1:5">
      <c r="A12" t="s">
        <v>5462</v>
      </c>
      <c r="B12" t="s">
        <v>713</v>
      </c>
      <c r="C12">
        <v>11</v>
      </c>
      <c r="D12">
        <v>23</v>
      </c>
      <c r="E12">
        <v>31</v>
      </c>
    </row>
    <row r="13" spans="1:5">
      <c r="A13" t="s">
        <v>5462</v>
      </c>
      <c r="B13" t="s">
        <v>693</v>
      </c>
      <c r="C13">
        <v>12</v>
      </c>
      <c r="D13">
        <v>24</v>
      </c>
      <c r="E13">
        <v>31</v>
      </c>
    </row>
    <row r="14" spans="1:5">
      <c r="A14" t="s">
        <v>5462</v>
      </c>
      <c r="B14" t="s">
        <v>698</v>
      </c>
      <c r="C14">
        <v>8</v>
      </c>
      <c r="D14">
        <v>20</v>
      </c>
      <c r="E14">
        <v>31</v>
      </c>
    </row>
    <row r="15" spans="1:5">
      <c r="A15" t="s">
        <v>5462</v>
      </c>
      <c r="B15" t="s">
        <v>5460</v>
      </c>
      <c r="C15">
        <v>13</v>
      </c>
      <c r="D15">
        <v>25</v>
      </c>
      <c r="E15">
        <v>31</v>
      </c>
    </row>
    <row r="16" spans="1:5">
      <c r="A16" t="s">
        <v>5462</v>
      </c>
      <c r="B16" t="s">
        <v>705</v>
      </c>
      <c r="C16">
        <v>8</v>
      </c>
      <c r="D16">
        <v>20</v>
      </c>
      <c r="E16">
        <v>31</v>
      </c>
    </row>
    <row r="17" spans="1:5">
      <c r="A17" t="s">
        <v>5462</v>
      </c>
      <c r="B17" t="s">
        <v>709</v>
      </c>
      <c r="C17">
        <v>10</v>
      </c>
      <c r="D17">
        <v>22</v>
      </c>
      <c r="E17">
        <v>31</v>
      </c>
    </row>
    <row r="18" spans="1:5">
      <c r="A18" t="s">
        <v>5462</v>
      </c>
      <c r="B18" t="s">
        <v>717</v>
      </c>
      <c r="C18">
        <v>12</v>
      </c>
      <c r="D18">
        <v>24</v>
      </c>
      <c r="E18">
        <v>31</v>
      </c>
    </row>
    <row r="19" spans="1:5">
      <c r="A19" t="s">
        <v>5462</v>
      </c>
      <c r="B19" t="s">
        <v>721</v>
      </c>
      <c r="C19">
        <v>9</v>
      </c>
      <c r="D19">
        <v>21</v>
      </c>
      <c r="E19">
        <v>31</v>
      </c>
    </row>
    <row r="20" spans="1:5">
      <c r="A20" t="s">
        <v>5462</v>
      </c>
      <c r="B20" t="s">
        <v>725</v>
      </c>
      <c r="C20">
        <v>13</v>
      </c>
      <c r="D20">
        <v>25</v>
      </c>
      <c r="E20">
        <v>31</v>
      </c>
    </row>
    <row r="21" spans="1:5">
      <c r="A21" t="s">
        <v>5462</v>
      </c>
      <c r="B21" t="s">
        <v>5461</v>
      </c>
      <c r="C21">
        <v>8</v>
      </c>
      <c r="D21">
        <v>20</v>
      </c>
      <c r="E21">
        <v>31</v>
      </c>
    </row>
    <row r="22" spans="1:5">
      <c r="A22" t="s">
        <v>5463</v>
      </c>
      <c r="B22" t="s">
        <v>713</v>
      </c>
      <c r="C22">
        <v>14</v>
      </c>
      <c r="D22">
        <v>26</v>
      </c>
      <c r="E22">
        <v>31</v>
      </c>
    </row>
    <row r="23" spans="1:5">
      <c r="A23" t="s">
        <v>5463</v>
      </c>
      <c r="B23" t="s">
        <v>693</v>
      </c>
      <c r="C23">
        <v>12</v>
      </c>
      <c r="D23">
        <v>24</v>
      </c>
      <c r="E23">
        <v>31</v>
      </c>
    </row>
    <row r="24" spans="1:5">
      <c r="A24" t="s">
        <v>5463</v>
      </c>
      <c r="B24" t="s">
        <v>698</v>
      </c>
      <c r="C24">
        <v>7</v>
      </c>
      <c r="D24">
        <v>19</v>
      </c>
      <c r="E24">
        <v>31</v>
      </c>
    </row>
    <row r="25" spans="1:5">
      <c r="A25" t="s">
        <v>5463</v>
      </c>
      <c r="B25" t="s">
        <v>5460</v>
      </c>
      <c r="C25">
        <v>14</v>
      </c>
      <c r="D25">
        <v>26</v>
      </c>
      <c r="E25">
        <v>31</v>
      </c>
    </row>
    <row r="26" spans="1:5">
      <c r="A26" t="s">
        <v>5463</v>
      </c>
      <c r="B26" t="s">
        <v>705</v>
      </c>
      <c r="C26">
        <v>7</v>
      </c>
      <c r="D26">
        <v>19</v>
      </c>
      <c r="E26">
        <v>31</v>
      </c>
    </row>
    <row r="27" spans="1:5">
      <c r="A27" t="s">
        <v>5463</v>
      </c>
      <c r="B27" t="s">
        <v>709</v>
      </c>
      <c r="C27">
        <v>12</v>
      </c>
      <c r="D27">
        <v>24</v>
      </c>
      <c r="E27">
        <v>31</v>
      </c>
    </row>
    <row r="28" spans="1:5">
      <c r="A28" t="s">
        <v>5463</v>
      </c>
      <c r="B28" t="s">
        <v>717</v>
      </c>
      <c r="C28">
        <v>11</v>
      </c>
      <c r="D28">
        <v>23</v>
      </c>
      <c r="E28">
        <v>31</v>
      </c>
    </row>
    <row r="29" spans="1:5">
      <c r="A29" t="s">
        <v>5463</v>
      </c>
      <c r="B29" t="s">
        <v>721</v>
      </c>
      <c r="C29">
        <v>8</v>
      </c>
      <c r="D29">
        <v>20</v>
      </c>
      <c r="E29">
        <v>31</v>
      </c>
    </row>
    <row r="30" spans="1:5">
      <c r="A30" t="s">
        <v>5463</v>
      </c>
      <c r="B30" t="s">
        <v>725</v>
      </c>
      <c r="C30">
        <v>12</v>
      </c>
      <c r="D30">
        <v>24</v>
      </c>
      <c r="E30">
        <v>31</v>
      </c>
    </row>
    <row r="31" spans="1:5">
      <c r="A31" t="s">
        <v>5463</v>
      </c>
      <c r="B31" t="s">
        <v>5461</v>
      </c>
      <c r="C31">
        <v>7</v>
      </c>
      <c r="D31">
        <v>19</v>
      </c>
      <c r="E31">
        <v>31</v>
      </c>
    </row>
    <row r="32" spans="1:5">
      <c r="A32" t="s">
        <v>5464</v>
      </c>
      <c r="B32" t="s">
        <v>713</v>
      </c>
      <c r="C32">
        <v>12</v>
      </c>
      <c r="D32">
        <v>24</v>
      </c>
      <c r="E32">
        <v>31</v>
      </c>
    </row>
    <row r="33" spans="1:5">
      <c r="A33" t="s">
        <v>5464</v>
      </c>
      <c r="B33" t="s">
        <v>693</v>
      </c>
      <c r="C33">
        <v>16</v>
      </c>
      <c r="D33">
        <v>28</v>
      </c>
      <c r="E33">
        <v>31</v>
      </c>
    </row>
    <row r="34" spans="1:5">
      <c r="A34" t="s">
        <v>5464</v>
      </c>
      <c r="B34" t="s">
        <v>698</v>
      </c>
      <c r="C34">
        <v>11</v>
      </c>
      <c r="D34">
        <v>23</v>
      </c>
      <c r="E34">
        <v>31</v>
      </c>
    </row>
    <row r="35" spans="1:5">
      <c r="A35" t="s">
        <v>5464</v>
      </c>
      <c r="B35" t="s">
        <v>5460</v>
      </c>
      <c r="C35">
        <v>11</v>
      </c>
      <c r="D35">
        <v>23</v>
      </c>
      <c r="E35">
        <v>31</v>
      </c>
    </row>
    <row r="36" spans="1:5">
      <c r="A36" t="s">
        <v>5464</v>
      </c>
      <c r="B36" t="s">
        <v>705</v>
      </c>
      <c r="C36">
        <v>11</v>
      </c>
      <c r="D36">
        <v>23</v>
      </c>
      <c r="E36">
        <v>31</v>
      </c>
    </row>
    <row r="37" spans="1:5">
      <c r="A37" t="s">
        <v>5464</v>
      </c>
      <c r="B37" t="s">
        <v>709</v>
      </c>
      <c r="C37">
        <v>8</v>
      </c>
      <c r="D37">
        <v>20</v>
      </c>
      <c r="E37">
        <v>31</v>
      </c>
    </row>
    <row r="38" spans="1:5">
      <c r="A38" t="s">
        <v>5464</v>
      </c>
      <c r="B38" t="s">
        <v>717</v>
      </c>
      <c r="C38">
        <v>16</v>
      </c>
      <c r="D38">
        <v>28</v>
      </c>
      <c r="E38">
        <v>31</v>
      </c>
    </row>
    <row r="39" spans="1:5">
      <c r="A39" t="s">
        <v>5464</v>
      </c>
      <c r="B39" t="s">
        <v>721</v>
      </c>
      <c r="C39">
        <v>3</v>
      </c>
      <c r="D39">
        <v>15</v>
      </c>
      <c r="E39">
        <v>31</v>
      </c>
    </row>
    <row r="40" spans="1:5">
      <c r="A40" t="s">
        <v>5464</v>
      </c>
      <c r="B40" t="s">
        <v>725</v>
      </c>
      <c r="C40">
        <v>13</v>
      </c>
      <c r="D40">
        <v>25</v>
      </c>
      <c r="E40">
        <v>31</v>
      </c>
    </row>
    <row r="41" spans="1:5">
      <c r="A41" t="s">
        <v>5464</v>
      </c>
      <c r="B41" t="s">
        <v>5461</v>
      </c>
      <c r="C41">
        <v>3</v>
      </c>
      <c r="D41">
        <v>15</v>
      </c>
      <c r="E41">
        <v>31</v>
      </c>
    </row>
    <row r="42" spans="1:5">
      <c r="A42" t="s">
        <v>5465</v>
      </c>
      <c r="B42" t="s">
        <v>713</v>
      </c>
      <c r="C42">
        <v>11</v>
      </c>
      <c r="D42">
        <v>23</v>
      </c>
      <c r="E42">
        <v>31</v>
      </c>
    </row>
    <row r="43" spans="1:5">
      <c r="A43" t="s">
        <v>5465</v>
      </c>
      <c r="B43" t="s">
        <v>693</v>
      </c>
      <c r="C43">
        <v>13</v>
      </c>
      <c r="D43">
        <v>25</v>
      </c>
      <c r="E43">
        <v>31</v>
      </c>
    </row>
    <row r="44" spans="1:5">
      <c r="A44" t="s">
        <v>5465</v>
      </c>
      <c r="B44" t="s">
        <v>698</v>
      </c>
      <c r="C44">
        <v>5</v>
      </c>
      <c r="D44">
        <v>17</v>
      </c>
      <c r="E44">
        <v>31</v>
      </c>
    </row>
    <row r="45" spans="1:5">
      <c r="A45" t="s">
        <v>5465</v>
      </c>
      <c r="B45" t="s">
        <v>5460</v>
      </c>
      <c r="C45">
        <v>11</v>
      </c>
      <c r="D45">
        <v>23</v>
      </c>
      <c r="E45">
        <v>31</v>
      </c>
    </row>
    <row r="46" spans="1:5">
      <c r="A46" t="s">
        <v>5465</v>
      </c>
      <c r="B46" t="s">
        <v>705</v>
      </c>
      <c r="C46">
        <v>7</v>
      </c>
      <c r="D46">
        <v>19</v>
      </c>
      <c r="E46">
        <v>31</v>
      </c>
    </row>
    <row r="47" spans="1:5">
      <c r="A47" t="s">
        <v>5465</v>
      </c>
      <c r="B47" t="s">
        <v>709</v>
      </c>
      <c r="C47">
        <v>12</v>
      </c>
      <c r="D47">
        <v>24</v>
      </c>
      <c r="E47">
        <v>31</v>
      </c>
    </row>
    <row r="48" spans="1:5">
      <c r="A48" t="s">
        <v>5465</v>
      </c>
      <c r="B48" t="s">
        <v>717</v>
      </c>
      <c r="C48">
        <v>15</v>
      </c>
      <c r="D48">
        <v>27</v>
      </c>
      <c r="E48">
        <v>31</v>
      </c>
    </row>
    <row r="49" spans="1:5">
      <c r="A49" t="s">
        <v>5465</v>
      </c>
      <c r="B49" t="s">
        <v>721</v>
      </c>
      <c r="C49">
        <v>7</v>
      </c>
      <c r="D49">
        <v>19</v>
      </c>
      <c r="E49">
        <v>31</v>
      </c>
    </row>
    <row r="50" spans="1:5">
      <c r="A50" t="s">
        <v>5465</v>
      </c>
      <c r="B50" t="s">
        <v>725</v>
      </c>
      <c r="C50">
        <v>16</v>
      </c>
      <c r="D50">
        <v>28</v>
      </c>
      <c r="E50">
        <v>31</v>
      </c>
    </row>
    <row r="51" spans="1:5">
      <c r="A51" t="s">
        <v>5465</v>
      </c>
      <c r="B51" t="s">
        <v>5461</v>
      </c>
      <c r="C51">
        <v>7</v>
      </c>
      <c r="D51">
        <v>19</v>
      </c>
      <c r="E51">
        <v>31</v>
      </c>
    </row>
    <row r="52" spans="1:5">
      <c r="A52" t="s">
        <v>5466</v>
      </c>
      <c r="B52" t="s">
        <v>713</v>
      </c>
      <c r="C52">
        <v>9</v>
      </c>
      <c r="D52">
        <v>21</v>
      </c>
      <c r="E52">
        <v>31</v>
      </c>
    </row>
    <row r="53" spans="1:5">
      <c r="A53" t="s">
        <v>5466</v>
      </c>
      <c r="B53" t="s">
        <v>693</v>
      </c>
      <c r="C53">
        <v>9</v>
      </c>
      <c r="D53">
        <v>21</v>
      </c>
      <c r="E53">
        <v>31</v>
      </c>
    </row>
    <row r="54" spans="1:5">
      <c r="A54" t="s">
        <v>5466</v>
      </c>
      <c r="B54" t="s">
        <v>698</v>
      </c>
      <c r="C54">
        <v>10</v>
      </c>
      <c r="D54">
        <v>22</v>
      </c>
      <c r="E54">
        <v>31</v>
      </c>
    </row>
    <row r="55" spans="1:5">
      <c r="A55" t="s">
        <v>5466</v>
      </c>
      <c r="B55" t="s">
        <v>5460</v>
      </c>
      <c r="C55">
        <v>12</v>
      </c>
      <c r="D55">
        <v>24</v>
      </c>
      <c r="E55">
        <v>31</v>
      </c>
    </row>
    <row r="56" spans="1:5">
      <c r="A56" t="s">
        <v>5466</v>
      </c>
      <c r="B56" t="s">
        <v>705</v>
      </c>
      <c r="C56">
        <v>11</v>
      </c>
      <c r="D56">
        <v>23</v>
      </c>
      <c r="E56">
        <v>31</v>
      </c>
    </row>
    <row r="57" spans="1:5">
      <c r="A57" t="s">
        <v>5466</v>
      </c>
      <c r="B57" t="s">
        <v>709</v>
      </c>
      <c r="C57">
        <v>12</v>
      </c>
      <c r="D57">
        <v>24</v>
      </c>
      <c r="E57">
        <v>31</v>
      </c>
    </row>
    <row r="58" spans="1:5">
      <c r="A58" t="s">
        <v>5466</v>
      </c>
      <c r="B58" t="s">
        <v>717</v>
      </c>
      <c r="C58">
        <v>10</v>
      </c>
      <c r="D58">
        <v>22</v>
      </c>
      <c r="E58">
        <v>31</v>
      </c>
    </row>
    <row r="59" spans="1:5">
      <c r="A59" t="s">
        <v>5466</v>
      </c>
      <c r="B59" t="s">
        <v>721</v>
      </c>
      <c r="C59">
        <v>10</v>
      </c>
      <c r="D59">
        <v>22</v>
      </c>
      <c r="E59">
        <v>31</v>
      </c>
    </row>
    <row r="60" spans="1:5">
      <c r="A60" t="s">
        <v>5466</v>
      </c>
      <c r="B60" t="s">
        <v>725</v>
      </c>
      <c r="C60">
        <v>11</v>
      </c>
      <c r="D60">
        <v>23</v>
      </c>
      <c r="E60">
        <v>31</v>
      </c>
    </row>
    <row r="61" spans="1:5">
      <c r="A61" t="s">
        <v>5466</v>
      </c>
      <c r="B61" t="s">
        <v>5461</v>
      </c>
      <c r="C61">
        <v>10</v>
      </c>
      <c r="D61">
        <v>22</v>
      </c>
      <c r="E61">
        <v>31</v>
      </c>
    </row>
    <row r="62" spans="1:5">
      <c r="A62" t="s">
        <v>5467</v>
      </c>
      <c r="B62" t="s">
        <v>713</v>
      </c>
      <c r="C62">
        <v>12</v>
      </c>
      <c r="D62">
        <v>24</v>
      </c>
      <c r="E62">
        <v>31</v>
      </c>
    </row>
    <row r="63" spans="1:5">
      <c r="A63" t="s">
        <v>5467</v>
      </c>
      <c r="B63" t="s">
        <v>693</v>
      </c>
      <c r="C63">
        <v>7</v>
      </c>
      <c r="D63">
        <v>19</v>
      </c>
      <c r="E63">
        <v>31</v>
      </c>
    </row>
    <row r="64" spans="1:5">
      <c r="A64" t="s">
        <v>5467</v>
      </c>
      <c r="B64" t="s">
        <v>698</v>
      </c>
      <c r="C64">
        <v>11</v>
      </c>
      <c r="D64">
        <v>23</v>
      </c>
      <c r="E64">
        <v>31</v>
      </c>
    </row>
    <row r="65" spans="1:5">
      <c r="A65" t="s">
        <v>5467</v>
      </c>
      <c r="B65" t="s">
        <v>5460</v>
      </c>
      <c r="C65">
        <v>13</v>
      </c>
      <c r="D65">
        <v>25</v>
      </c>
      <c r="E65">
        <v>31</v>
      </c>
    </row>
    <row r="66" spans="1:5">
      <c r="A66" t="s">
        <v>5467</v>
      </c>
      <c r="B66" t="s">
        <v>705</v>
      </c>
      <c r="C66">
        <v>8</v>
      </c>
      <c r="D66">
        <v>20</v>
      </c>
      <c r="E66">
        <v>31</v>
      </c>
    </row>
    <row r="67" spans="1:5">
      <c r="A67" t="s">
        <v>5467</v>
      </c>
      <c r="B67" t="s">
        <v>709</v>
      </c>
      <c r="C67">
        <v>15</v>
      </c>
      <c r="D67">
        <v>27</v>
      </c>
      <c r="E67">
        <v>31</v>
      </c>
    </row>
    <row r="68" spans="1:5">
      <c r="A68" t="s">
        <v>5467</v>
      </c>
      <c r="B68" t="s">
        <v>717</v>
      </c>
      <c r="C68">
        <v>6</v>
      </c>
      <c r="D68">
        <v>18</v>
      </c>
      <c r="E68">
        <v>31</v>
      </c>
    </row>
    <row r="69" spans="1:5">
      <c r="A69" t="s">
        <v>5467</v>
      </c>
      <c r="B69" t="s">
        <v>721</v>
      </c>
      <c r="C69">
        <v>8</v>
      </c>
      <c r="D69">
        <v>20</v>
      </c>
      <c r="E69">
        <v>31</v>
      </c>
    </row>
    <row r="70" spans="1:5">
      <c r="A70" t="s">
        <v>5467</v>
      </c>
      <c r="B70" t="s">
        <v>725</v>
      </c>
      <c r="C70">
        <v>13</v>
      </c>
      <c r="D70">
        <v>25</v>
      </c>
      <c r="E70">
        <v>31</v>
      </c>
    </row>
    <row r="71" spans="1:5">
      <c r="A71" t="s">
        <v>5467</v>
      </c>
      <c r="B71" t="s">
        <v>5461</v>
      </c>
      <c r="C71">
        <v>11</v>
      </c>
      <c r="D71">
        <v>23</v>
      </c>
      <c r="E71">
        <v>31</v>
      </c>
    </row>
    <row r="72" spans="1:5">
      <c r="A72" t="s">
        <v>5468</v>
      </c>
      <c r="B72" t="s">
        <v>713</v>
      </c>
      <c r="C72">
        <v>6</v>
      </c>
      <c r="D72">
        <v>18</v>
      </c>
      <c r="E72">
        <v>31</v>
      </c>
    </row>
    <row r="73" spans="1:5">
      <c r="A73" t="s">
        <v>5468</v>
      </c>
      <c r="B73" t="s">
        <v>693</v>
      </c>
      <c r="C73">
        <v>8</v>
      </c>
      <c r="D73">
        <v>20</v>
      </c>
      <c r="E73">
        <v>31</v>
      </c>
    </row>
    <row r="74" spans="1:5">
      <c r="A74" t="s">
        <v>5468</v>
      </c>
      <c r="B74" t="s">
        <v>698</v>
      </c>
      <c r="C74">
        <v>16</v>
      </c>
      <c r="D74">
        <v>28</v>
      </c>
      <c r="E74">
        <v>31</v>
      </c>
    </row>
    <row r="75" spans="1:5">
      <c r="A75" t="s">
        <v>5468</v>
      </c>
      <c r="B75" t="s">
        <v>5460</v>
      </c>
      <c r="C75">
        <v>9</v>
      </c>
      <c r="D75">
        <v>21</v>
      </c>
      <c r="E75">
        <v>31</v>
      </c>
    </row>
    <row r="76" spans="1:5">
      <c r="A76" t="s">
        <v>5468</v>
      </c>
      <c r="B76" t="s">
        <v>705</v>
      </c>
      <c r="C76">
        <v>12</v>
      </c>
      <c r="D76">
        <v>24</v>
      </c>
      <c r="E76">
        <v>31</v>
      </c>
    </row>
    <row r="77" spans="1:5">
      <c r="A77" t="s">
        <v>5468</v>
      </c>
      <c r="B77" t="s">
        <v>709</v>
      </c>
      <c r="C77">
        <v>10</v>
      </c>
      <c r="D77">
        <v>22</v>
      </c>
      <c r="E77">
        <v>31</v>
      </c>
    </row>
    <row r="78" spans="1:5">
      <c r="A78" t="s">
        <v>5468</v>
      </c>
      <c r="B78" t="s">
        <v>717</v>
      </c>
      <c r="C78">
        <v>7</v>
      </c>
      <c r="D78">
        <v>19</v>
      </c>
      <c r="E78">
        <v>31</v>
      </c>
    </row>
    <row r="79" spans="1:5">
      <c r="A79" t="s">
        <v>5468</v>
      </c>
      <c r="B79" t="s">
        <v>721</v>
      </c>
      <c r="C79">
        <v>14</v>
      </c>
      <c r="D79">
        <v>26</v>
      </c>
      <c r="E79">
        <v>31</v>
      </c>
    </row>
    <row r="80" spans="1:5">
      <c r="A80" t="s">
        <v>5468</v>
      </c>
      <c r="B80" t="s">
        <v>725</v>
      </c>
      <c r="C80">
        <v>7</v>
      </c>
      <c r="D80">
        <v>19</v>
      </c>
      <c r="E80">
        <v>31</v>
      </c>
    </row>
    <row r="81" spans="1:5">
      <c r="A81" t="s">
        <v>5468</v>
      </c>
      <c r="B81" t="s">
        <v>5461</v>
      </c>
      <c r="C81">
        <v>15</v>
      </c>
      <c r="D81">
        <v>27</v>
      </c>
      <c r="E81">
        <v>31</v>
      </c>
    </row>
    <row r="82" spans="1:5">
      <c r="A82" t="s">
        <v>5469</v>
      </c>
      <c r="B82" t="s">
        <v>713</v>
      </c>
      <c r="C82">
        <v>12</v>
      </c>
      <c r="D82">
        <v>24</v>
      </c>
      <c r="E82">
        <v>31</v>
      </c>
    </row>
    <row r="83" spans="1:5">
      <c r="A83" t="s">
        <v>5469</v>
      </c>
      <c r="B83" t="s">
        <v>693</v>
      </c>
      <c r="C83">
        <v>4</v>
      </c>
      <c r="D83">
        <v>16</v>
      </c>
      <c r="E83">
        <v>31</v>
      </c>
    </row>
    <row r="84" spans="1:5">
      <c r="A84" t="s">
        <v>5469</v>
      </c>
      <c r="B84" t="s">
        <v>698</v>
      </c>
      <c r="C84">
        <v>13</v>
      </c>
      <c r="D84">
        <v>25</v>
      </c>
      <c r="E84">
        <v>31</v>
      </c>
    </row>
    <row r="85" spans="1:5">
      <c r="A85" t="s">
        <v>5469</v>
      </c>
      <c r="B85" t="s">
        <v>5460</v>
      </c>
      <c r="C85">
        <v>6</v>
      </c>
      <c r="D85">
        <v>18</v>
      </c>
      <c r="E85">
        <v>31</v>
      </c>
    </row>
    <row r="86" spans="1:5">
      <c r="A86" t="s">
        <v>5469</v>
      </c>
      <c r="B86" t="s">
        <v>705</v>
      </c>
      <c r="C86">
        <v>10</v>
      </c>
      <c r="D86">
        <v>22</v>
      </c>
      <c r="E86">
        <v>31</v>
      </c>
    </row>
    <row r="87" spans="1:5">
      <c r="A87" t="s">
        <v>5469</v>
      </c>
      <c r="B87" t="s">
        <v>709</v>
      </c>
      <c r="C87">
        <v>12</v>
      </c>
      <c r="D87">
        <v>24</v>
      </c>
      <c r="E87">
        <v>31</v>
      </c>
    </row>
    <row r="88" spans="1:5">
      <c r="A88" t="s">
        <v>5469</v>
      </c>
      <c r="B88" t="s">
        <v>717</v>
      </c>
      <c r="C88">
        <v>4</v>
      </c>
      <c r="D88">
        <v>16</v>
      </c>
      <c r="E88">
        <v>31</v>
      </c>
    </row>
    <row r="89" spans="1:5">
      <c r="A89" t="s">
        <v>5469</v>
      </c>
      <c r="B89" t="s">
        <v>721</v>
      </c>
      <c r="C89">
        <v>19</v>
      </c>
      <c r="D89">
        <v>31</v>
      </c>
      <c r="E89">
        <v>31</v>
      </c>
    </row>
    <row r="90" spans="1:5">
      <c r="A90" t="s">
        <v>5469</v>
      </c>
      <c r="B90" t="s">
        <v>725</v>
      </c>
      <c r="C90">
        <v>5</v>
      </c>
      <c r="D90">
        <v>17</v>
      </c>
      <c r="E90">
        <v>31</v>
      </c>
    </row>
    <row r="91" spans="1:5">
      <c r="A91" t="s">
        <v>5469</v>
      </c>
      <c r="B91" t="s">
        <v>5461</v>
      </c>
      <c r="C91">
        <v>19</v>
      </c>
      <c r="D91">
        <v>31</v>
      </c>
      <c r="E91">
        <v>31</v>
      </c>
    </row>
    <row r="92" spans="1:5">
      <c r="A92" t="s">
        <v>5470</v>
      </c>
      <c r="B92" t="s">
        <v>713</v>
      </c>
      <c r="C92">
        <v>11</v>
      </c>
      <c r="D92">
        <v>23</v>
      </c>
      <c r="E92">
        <v>31</v>
      </c>
    </row>
    <row r="93" spans="1:5">
      <c r="A93" t="s">
        <v>5470</v>
      </c>
      <c r="B93" t="s">
        <v>693</v>
      </c>
      <c r="C93">
        <v>11</v>
      </c>
      <c r="D93">
        <v>23</v>
      </c>
      <c r="E93">
        <v>31</v>
      </c>
    </row>
    <row r="94" spans="1:5">
      <c r="A94" t="s">
        <v>5470</v>
      </c>
      <c r="B94" t="s">
        <v>698</v>
      </c>
      <c r="C94">
        <v>14</v>
      </c>
      <c r="D94">
        <v>26</v>
      </c>
      <c r="E94">
        <v>31</v>
      </c>
    </row>
    <row r="95" spans="1:5">
      <c r="A95" t="s">
        <v>5470</v>
      </c>
      <c r="B95" t="s">
        <v>5460</v>
      </c>
      <c r="C95">
        <v>9</v>
      </c>
      <c r="D95">
        <v>21</v>
      </c>
      <c r="E95">
        <v>31</v>
      </c>
    </row>
    <row r="96" spans="1:5">
      <c r="A96" t="s">
        <v>5470</v>
      </c>
      <c r="B96" t="s">
        <v>705</v>
      </c>
      <c r="C96">
        <v>13</v>
      </c>
      <c r="D96">
        <v>25</v>
      </c>
      <c r="E96">
        <v>31</v>
      </c>
    </row>
    <row r="97" spans="1:5">
      <c r="A97" t="s">
        <v>5470</v>
      </c>
      <c r="B97" t="s">
        <v>709</v>
      </c>
      <c r="C97">
        <v>6</v>
      </c>
      <c r="D97">
        <v>18</v>
      </c>
      <c r="E97">
        <v>31</v>
      </c>
    </row>
    <row r="98" spans="1:5">
      <c r="A98" t="s">
        <v>5470</v>
      </c>
      <c r="B98" t="s">
        <v>717</v>
      </c>
      <c r="C98">
        <v>10</v>
      </c>
      <c r="D98">
        <v>22</v>
      </c>
      <c r="E98">
        <v>31</v>
      </c>
    </row>
    <row r="99" spans="1:5">
      <c r="A99" t="s">
        <v>5470</v>
      </c>
      <c r="B99" t="s">
        <v>721</v>
      </c>
      <c r="C99">
        <v>13</v>
      </c>
      <c r="D99">
        <v>25</v>
      </c>
      <c r="E99">
        <v>31</v>
      </c>
    </row>
    <row r="100" spans="1:5">
      <c r="A100" t="s">
        <v>5470</v>
      </c>
      <c r="B100" t="s">
        <v>725</v>
      </c>
      <c r="C100">
        <v>6</v>
      </c>
      <c r="D100">
        <v>18</v>
      </c>
      <c r="E100">
        <v>31</v>
      </c>
    </row>
    <row r="101" spans="1:5">
      <c r="A101" t="s">
        <v>5470</v>
      </c>
      <c r="B101" t="s">
        <v>5461</v>
      </c>
      <c r="C101">
        <v>11</v>
      </c>
      <c r="D101">
        <v>23</v>
      </c>
      <c r="E101">
        <v>31</v>
      </c>
    </row>
    <row r="102" spans="1:5">
      <c r="A102" t="s">
        <v>5471</v>
      </c>
      <c r="B102" t="s">
        <v>713</v>
      </c>
      <c r="C102">
        <v>8</v>
      </c>
      <c r="D102">
        <v>20</v>
      </c>
      <c r="E102">
        <v>31</v>
      </c>
    </row>
    <row r="103" spans="1:5">
      <c r="A103" t="s">
        <v>5471</v>
      </c>
      <c r="B103" t="s">
        <v>693</v>
      </c>
      <c r="C103">
        <v>14</v>
      </c>
      <c r="D103">
        <v>26</v>
      </c>
      <c r="E103">
        <v>31</v>
      </c>
    </row>
    <row r="104" spans="1:5">
      <c r="A104" t="s">
        <v>5471</v>
      </c>
      <c r="B104" t="s">
        <v>698</v>
      </c>
      <c r="C104">
        <v>10</v>
      </c>
      <c r="D104">
        <v>22</v>
      </c>
      <c r="E104">
        <v>31</v>
      </c>
    </row>
    <row r="105" spans="1:5">
      <c r="A105" t="s">
        <v>5471</v>
      </c>
      <c r="B105" t="s">
        <v>5460</v>
      </c>
      <c r="C105">
        <v>8</v>
      </c>
      <c r="D105">
        <v>20</v>
      </c>
      <c r="E105">
        <v>31</v>
      </c>
    </row>
    <row r="106" spans="1:5">
      <c r="A106" t="s">
        <v>5471</v>
      </c>
      <c r="B106" t="s">
        <v>705</v>
      </c>
      <c r="C106">
        <v>12</v>
      </c>
      <c r="D106">
        <v>24</v>
      </c>
      <c r="E106">
        <v>31</v>
      </c>
    </row>
    <row r="107" spans="1:5">
      <c r="A107" t="s">
        <v>5471</v>
      </c>
      <c r="B107" t="s">
        <v>709</v>
      </c>
      <c r="C107">
        <v>7</v>
      </c>
      <c r="D107">
        <v>19</v>
      </c>
      <c r="E107">
        <v>31</v>
      </c>
    </row>
    <row r="108" spans="1:5">
      <c r="A108" t="s">
        <v>5471</v>
      </c>
      <c r="B108" t="s">
        <v>717</v>
      </c>
      <c r="C108">
        <v>13</v>
      </c>
      <c r="D108">
        <v>25</v>
      </c>
      <c r="E108">
        <v>31</v>
      </c>
    </row>
    <row r="109" spans="1:5">
      <c r="A109" t="s">
        <v>5471</v>
      </c>
      <c r="B109" t="s">
        <v>721</v>
      </c>
      <c r="C109">
        <v>13</v>
      </c>
      <c r="D109">
        <v>25</v>
      </c>
      <c r="E109">
        <v>31</v>
      </c>
    </row>
    <row r="110" spans="1:5">
      <c r="A110" t="s">
        <v>5471</v>
      </c>
      <c r="B110" t="s">
        <v>725</v>
      </c>
      <c r="C110">
        <v>7</v>
      </c>
      <c r="D110">
        <v>19</v>
      </c>
      <c r="E110">
        <v>31</v>
      </c>
    </row>
    <row r="111" spans="1:5">
      <c r="A111" t="s">
        <v>5471</v>
      </c>
      <c r="B111" t="s">
        <v>5461</v>
      </c>
      <c r="C111">
        <v>12</v>
      </c>
      <c r="D111">
        <v>24</v>
      </c>
      <c r="E111">
        <v>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06"/>
  <sheetViews>
    <sheetView showGridLines="0" workbookViewId="0"/>
  </sheetViews>
  <sheetFormatPr baseColWidth="10" defaultColWidth="9.140625" defaultRowHeight="15"/>
  <cols>
    <col min="1" max="1" width="31" style="48" customWidth="1"/>
    <col min="2" max="2" width="8" style="48" customWidth="1"/>
    <col min="3" max="4" width="14" style="48" customWidth="1"/>
    <col min="5" max="6" width="28" style="48" customWidth="1"/>
    <col min="7" max="7" width="68" style="48" customWidth="1"/>
    <col min="8" max="9" width="18" style="48" customWidth="1"/>
    <col min="10" max="10" width="9" style="48" customWidth="1"/>
    <col min="11" max="14" width="15" style="48" customWidth="1"/>
    <col min="15" max="15" width="22" style="48" customWidth="1"/>
    <col min="16" max="16" width="10" style="48" customWidth="1"/>
    <col min="17" max="17" width="36" style="48" customWidth="1"/>
  </cols>
  <sheetData>
    <row r="1" spans="1:17" ht="30" customHeight="1">
      <c r="A1" s="72" t="s">
        <v>0</v>
      </c>
      <c r="B1" s="73" t="s">
        <v>830</v>
      </c>
      <c r="C1" s="73" t="s">
        <v>5472</v>
      </c>
      <c r="D1" s="73" t="s">
        <v>5473</v>
      </c>
      <c r="E1" s="73" t="s">
        <v>15</v>
      </c>
      <c r="F1" s="73" t="s">
        <v>5474</v>
      </c>
      <c r="G1" s="73" t="s">
        <v>5475</v>
      </c>
      <c r="H1" s="73" t="s">
        <v>5476</v>
      </c>
      <c r="I1" s="73" t="s">
        <v>5477</v>
      </c>
      <c r="J1" s="73" t="s">
        <v>5478</v>
      </c>
      <c r="K1" s="73" t="s">
        <v>5479</v>
      </c>
      <c r="L1" s="73" t="s">
        <v>5480</v>
      </c>
      <c r="M1" s="73" t="s">
        <v>5481</v>
      </c>
      <c r="N1" s="73" t="s">
        <v>5482</v>
      </c>
      <c r="O1" s="73" t="s">
        <v>5483</v>
      </c>
      <c r="P1" s="73" t="s">
        <v>5484</v>
      </c>
      <c r="Q1" s="74" t="s">
        <v>5485</v>
      </c>
    </row>
    <row r="2" spans="1:17" ht="39.6" customHeight="1">
      <c r="A2" s="60" t="s">
        <v>583</v>
      </c>
      <c r="B2" s="69">
        <v>1</v>
      </c>
      <c r="C2" s="69">
        <v>3</v>
      </c>
      <c r="D2" s="69">
        <v>10</v>
      </c>
      <c r="E2" s="63" t="s">
        <v>5486</v>
      </c>
      <c r="F2" s="63" t="s">
        <v>584</v>
      </c>
      <c r="G2" s="63" t="s">
        <v>5487</v>
      </c>
      <c r="H2" s="63" t="s">
        <v>5488</v>
      </c>
      <c r="I2" s="63" t="s">
        <v>662</v>
      </c>
      <c r="J2" s="69" t="s">
        <v>5489</v>
      </c>
      <c r="K2" s="69" t="s">
        <v>5490</v>
      </c>
      <c r="L2" s="69" t="s">
        <v>5491</v>
      </c>
      <c r="M2" s="69" t="s">
        <v>5492</v>
      </c>
      <c r="N2" s="63" t="s">
        <v>5493</v>
      </c>
      <c r="O2" s="63">
        <v>5</v>
      </c>
      <c r="P2" s="63" t="s">
        <v>5494</v>
      </c>
      <c r="Q2" s="66" t="s">
        <v>5495</v>
      </c>
    </row>
    <row r="3" spans="1:17" ht="39.6" customHeight="1">
      <c r="A3" s="61" t="s">
        <v>583</v>
      </c>
      <c r="B3" s="70">
        <v>2</v>
      </c>
      <c r="C3" s="70">
        <v>6</v>
      </c>
      <c r="D3" s="70">
        <v>20</v>
      </c>
      <c r="E3" s="64" t="s">
        <v>5496</v>
      </c>
      <c r="F3" s="64" t="s">
        <v>584</v>
      </c>
      <c r="G3" s="64" t="s">
        <v>5487</v>
      </c>
      <c r="H3" s="64" t="s">
        <v>5488</v>
      </c>
      <c r="I3" s="64" t="s">
        <v>662</v>
      </c>
      <c r="J3" s="70" t="s">
        <v>5489</v>
      </c>
      <c r="K3" s="70" t="s">
        <v>5490</v>
      </c>
      <c r="L3" s="70" t="s">
        <v>5491</v>
      </c>
      <c r="M3" s="70" t="s">
        <v>5492</v>
      </c>
      <c r="N3" s="64" t="s">
        <v>5493</v>
      </c>
      <c r="O3" s="64">
        <v>5</v>
      </c>
      <c r="P3" s="64" t="s">
        <v>5494</v>
      </c>
      <c r="Q3" s="67" t="s">
        <v>5495</v>
      </c>
    </row>
    <row r="4" spans="1:17" ht="39.6" customHeight="1">
      <c r="A4" s="61" t="s">
        <v>583</v>
      </c>
      <c r="B4" s="70">
        <v>3</v>
      </c>
      <c r="C4" s="70">
        <v>9</v>
      </c>
      <c r="D4" s="70">
        <v>30</v>
      </c>
      <c r="E4" s="64" t="s">
        <v>5497</v>
      </c>
      <c r="F4" s="64" t="s">
        <v>584</v>
      </c>
      <c r="G4" s="64" t="s">
        <v>5487</v>
      </c>
      <c r="H4" s="64" t="s">
        <v>5488</v>
      </c>
      <c r="I4" s="64" t="s">
        <v>662</v>
      </c>
      <c r="J4" s="70" t="s">
        <v>5489</v>
      </c>
      <c r="K4" s="70" t="s">
        <v>5490</v>
      </c>
      <c r="L4" s="70" t="s">
        <v>5491</v>
      </c>
      <c r="M4" s="70" t="s">
        <v>5492</v>
      </c>
      <c r="N4" s="64" t="s">
        <v>5493</v>
      </c>
      <c r="O4" s="64">
        <v>5</v>
      </c>
      <c r="P4" s="64" t="s">
        <v>5494</v>
      </c>
      <c r="Q4" s="67" t="s">
        <v>5495</v>
      </c>
    </row>
    <row r="5" spans="1:17" ht="39.6" customHeight="1">
      <c r="A5" s="61" t="s">
        <v>583</v>
      </c>
      <c r="B5" s="70">
        <v>4</v>
      </c>
      <c r="C5" s="70">
        <v>12</v>
      </c>
      <c r="D5" s="70">
        <v>40</v>
      </c>
      <c r="E5" s="64" t="s">
        <v>5498</v>
      </c>
      <c r="F5" s="64" t="s">
        <v>584</v>
      </c>
      <c r="G5" s="64" t="s">
        <v>5487</v>
      </c>
      <c r="H5" s="64" t="s">
        <v>5488</v>
      </c>
      <c r="I5" s="64" t="s">
        <v>662</v>
      </c>
      <c r="J5" s="70" t="s">
        <v>5489</v>
      </c>
      <c r="K5" s="70" t="s">
        <v>5490</v>
      </c>
      <c r="L5" s="70" t="s">
        <v>5491</v>
      </c>
      <c r="M5" s="70" t="s">
        <v>5492</v>
      </c>
      <c r="N5" s="64" t="s">
        <v>5493</v>
      </c>
      <c r="O5" s="64">
        <v>5</v>
      </c>
      <c r="P5" s="64" t="s">
        <v>5494</v>
      </c>
      <c r="Q5" s="67" t="s">
        <v>5495</v>
      </c>
    </row>
    <row r="6" spans="1:17" ht="39.6" customHeight="1">
      <c r="A6" s="61" t="s">
        <v>583</v>
      </c>
      <c r="B6" s="70">
        <v>5</v>
      </c>
      <c r="C6" s="70">
        <v>15</v>
      </c>
      <c r="D6" s="70">
        <v>55</v>
      </c>
      <c r="E6" s="64" t="s">
        <v>5499</v>
      </c>
      <c r="F6" s="64" t="s">
        <v>584</v>
      </c>
      <c r="G6" s="64" t="s">
        <v>5487</v>
      </c>
      <c r="H6" s="64" t="s">
        <v>5488</v>
      </c>
      <c r="I6" s="64" t="s">
        <v>662</v>
      </c>
      <c r="J6" s="70" t="s">
        <v>5489</v>
      </c>
      <c r="K6" s="70" t="s">
        <v>5490</v>
      </c>
      <c r="L6" s="70" t="s">
        <v>5491</v>
      </c>
      <c r="M6" s="70" t="s">
        <v>5492</v>
      </c>
      <c r="N6" s="64" t="s">
        <v>5493</v>
      </c>
      <c r="O6" s="64">
        <v>5</v>
      </c>
      <c r="P6" s="64" t="s">
        <v>5494</v>
      </c>
      <c r="Q6" s="67" t="s">
        <v>5495</v>
      </c>
    </row>
    <row r="7" spans="1:17" ht="39.6" customHeight="1">
      <c r="A7" s="61" t="s">
        <v>583</v>
      </c>
      <c r="B7" s="70">
        <v>6</v>
      </c>
      <c r="C7" s="70">
        <v>20</v>
      </c>
      <c r="D7" s="70">
        <v>75</v>
      </c>
      <c r="E7" s="64" t="s">
        <v>5500</v>
      </c>
      <c r="F7" s="64" t="s">
        <v>584</v>
      </c>
      <c r="G7" s="64" t="s">
        <v>5487</v>
      </c>
      <c r="H7" s="64" t="s">
        <v>5488</v>
      </c>
      <c r="I7" s="64" t="s">
        <v>662</v>
      </c>
      <c r="J7" s="70" t="s">
        <v>5489</v>
      </c>
      <c r="K7" s="70" t="s">
        <v>5490</v>
      </c>
      <c r="L7" s="70" t="s">
        <v>5491</v>
      </c>
      <c r="M7" s="70" t="s">
        <v>5492</v>
      </c>
      <c r="N7" s="64" t="s">
        <v>5493</v>
      </c>
      <c r="O7" s="64">
        <v>5</v>
      </c>
      <c r="P7" s="64" t="s">
        <v>5494</v>
      </c>
      <c r="Q7" s="67" t="s">
        <v>5495</v>
      </c>
    </row>
    <row r="8" spans="1:17" ht="39.6" customHeight="1">
      <c r="A8" s="61" t="s">
        <v>583</v>
      </c>
      <c r="B8" s="70">
        <v>7</v>
      </c>
      <c r="C8" s="70">
        <v>30</v>
      </c>
      <c r="D8" s="70">
        <v>100</v>
      </c>
      <c r="E8" s="64" t="s">
        <v>5501</v>
      </c>
      <c r="F8" s="64" t="s">
        <v>584</v>
      </c>
      <c r="G8" s="64" t="s">
        <v>5487</v>
      </c>
      <c r="H8" s="64" t="s">
        <v>5488</v>
      </c>
      <c r="I8" s="64" t="s">
        <v>662</v>
      </c>
      <c r="J8" s="70" t="s">
        <v>5489</v>
      </c>
      <c r="K8" s="70" t="s">
        <v>5490</v>
      </c>
      <c r="L8" s="70" t="s">
        <v>5491</v>
      </c>
      <c r="M8" s="70" t="s">
        <v>5492</v>
      </c>
      <c r="N8" s="64" t="s">
        <v>5493</v>
      </c>
      <c r="O8" s="64">
        <v>5</v>
      </c>
      <c r="P8" s="64" t="s">
        <v>5494</v>
      </c>
      <c r="Q8" s="67" t="s">
        <v>5495</v>
      </c>
    </row>
    <row r="9" spans="1:17" ht="26.45" customHeight="1">
      <c r="A9" s="61" t="s">
        <v>564</v>
      </c>
      <c r="B9" s="70">
        <v>1</v>
      </c>
      <c r="C9" s="70">
        <v>4</v>
      </c>
      <c r="D9" s="70">
        <v>10</v>
      </c>
      <c r="E9" s="64" t="s">
        <v>5502</v>
      </c>
      <c r="F9" s="64" t="s">
        <v>580</v>
      </c>
      <c r="G9" s="64" t="s">
        <v>5503</v>
      </c>
      <c r="H9" s="64" t="s">
        <v>5476</v>
      </c>
      <c r="I9" s="64" t="s">
        <v>5504</v>
      </c>
      <c r="J9" s="70" t="s">
        <v>694</v>
      </c>
      <c r="K9" s="70" t="s">
        <v>5505</v>
      </c>
      <c r="L9" s="70">
        <v>1</v>
      </c>
      <c r="M9" s="70" t="s">
        <v>5491</v>
      </c>
      <c r="N9" s="64" t="s">
        <v>5491</v>
      </c>
      <c r="O9" s="64">
        <v>15</v>
      </c>
      <c r="P9" s="64" t="s">
        <v>5494</v>
      </c>
      <c r="Q9" s="67" t="s">
        <v>5495</v>
      </c>
    </row>
    <row r="10" spans="1:17" ht="26.45" customHeight="1">
      <c r="A10" s="61" t="s">
        <v>564</v>
      </c>
      <c r="B10" s="70">
        <v>2</v>
      </c>
      <c r="C10" s="70">
        <v>7</v>
      </c>
      <c r="D10" s="70">
        <v>20</v>
      </c>
      <c r="E10" s="64" t="s">
        <v>5506</v>
      </c>
      <c r="F10" s="64" t="s">
        <v>580</v>
      </c>
      <c r="G10" s="64" t="s">
        <v>5503</v>
      </c>
      <c r="H10" s="64" t="s">
        <v>5476</v>
      </c>
      <c r="I10" s="64" t="s">
        <v>5504</v>
      </c>
      <c r="J10" s="70" t="s">
        <v>694</v>
      </c>
      <c r="K10" s="70" t="s">
        <v>5505</v>
      </c>
      <c r="L10" s="70">
        <v>1</v>
      </c>
      <c r="M10" s="70" t="s">
        <v>5491</v>
      </c>
      <c r="N10" s="64" t="s">
        <v>5491</v>
      </c>
      <c r="O10" s="64">
        <v>15</v>
      </c>
      <c r="P10" s="64" t="s">
        <v>5494</v>
      </c>
      <c r="Q10" s="67" t="s">
        <v>5495</v>
      </c>
    </row>
    <row r="11" spans="1:17" ht="26.45" customHeight="1">
      <c r="A11" s="61" t="s">
        <v>564</v>
      </c>
      <c r="B11" s="70">
        <v>3</v>
      </c>
      <c r="C11" s="70">
        <v>10</v>
      </c>
      <c r="D11" s="70">
        <v>30</v>
      </c>
      <c r="E11" s="64" t="s">
        <v>5507</v>
      </c>
      <c r="F11" s="64" t="s">
        <v>580</v>
      </c>
      <c r="G11" s="64" t="s">
        <v>5503</v>
      </c>
      <c r="H11" s="64" t="s">
        <v>5476</v>
      </c>
      <c r="I11" s="64" t="s">
        <v>5504</v>
      </c>
      <c r="J11" s="70" t="s">
        <v>694</v>
      </c>
      <c r="K11" s="70" t="s">
        <v>5505</v>
      </c>
      <c r="L11" s="70">
        <v>1</v>
      </c>
      <c r="M11" s="70" t="s">
        <v>5491</v>
      </c>
      <c r="N11" s="64" t="s">
        <v>5491</v>
      </c>
      <c r="O11" s="64">
        <v>15</v>
      </c>
      <c r="P11" s="64" t="s">
        <v>5494</v>
      </c>
      <c r="Q11" s="67" t="s">
        <v>5495</v>
      </c>
    </row>
    <row r="12" spans="1:17" ht="26.45" customHeight="1">
      <c r="A12" s="61" t="s">
        <v>564</v>
      </c>
      <c r="B12" s="70">
        <v>4</v>
      </c>
      <c r="C12" s="70">
        <v>14</v>
      </c>
      <c r="D12" s="70">
        <v>45</v>
      </c>
      <c r="E12" s="64" t="s">
        <v>5508</v>
      </c>
      <c r="F12" s="64" t="s">
        <v>580</v>
      </c>
      <c r="G12" s="64" t="s">
        <v>5503</v>
      </c>
      <c r="H12" s="64" t="s">
        <v>5476</v>
      </c>
      <c r="I12" s="64" t="s">
        <v>5504</v>
      </c>
      <c r="J12" s="70" t="s">
        <v>694</v>
      </c>
      <c r="K12" s="70" t="s">
        <v>5505</v>
      </c>
      <c r="L12" s="70">
        <v>1</v>
      </c>
      <c r="M12" s="70" t="s">
        <v>5491</v>
      </c>
      <c r="N12" s="64" t="s">
        <v>5491</v>
      </c>
      <c r="O12" s="64">
        <v>15</v>
      </c>
      <c r="P12" s="64" t="s">
        <v>5494</v>
      </c>
      <c r="Q12" s="67" t="s">
        <v>5495</v>
      </c>
    </row>
    <row r="13" spans="1:17" ht="26.45" customHeight="1">
      <c r="A13" s="61" t="s">
        <v>564</v>
      </c>
      <c r="B13" s="70">
        <v>5</v>
      </c>
      <c r="C13" s="70">
        <v>18</v>
      </c>
      <c r="D13" s="70">
        <v>60</v>
      </c>
      <c r="E13" s="64" t="s">
        <v>5509</v>
      </c>
      <c r="F13" s="64" t="s">
        <v>580</v>
      </c>
      <c r="G13" s="64" t="s">
        <v>5503</v>
      </c>
      <c r="H13" s="64" t="s">
        <v>5476</v>
      </c>
      <c r="I13" s="64" t="s">
        <v>5504</v>
      </c>
      <c r="J13" s="70" t="s">
        <v>694</v>
      </c>
      <c r="K13" s="70" t="s">
        <v>5505</v>
      </c>
      <c r="L13" s="70">
        <v>1</v>
      </c>
      <c r="M13" s="70" t="s">
        <v>5491</v>
      </c>
      <c r="N13" s="64" t="s">
        <v>5491</v>
      </c>
      <c r="O13" s="64">
        <v>15</v>
      </c>
      <c r="P13" s="64" t="s">
        <v>5494</v>
      </c>
      <c r="Q13" s="67" t="s">
        <v>5495</v>
      </c>
    </row>
    <row r="14" spans="1:17" ht="26.45" customHeight="1">
      <c r="A14" s="61" t="s">
        <v>564</v>
      </c>
      <c r="B14" s="70">
        <v>6</v>
      </c>
      <c r="C14" s="70">
        <v>22</v>
      </c>
      <c r="D14" s="70">
        <v>80</v>
      </c>
      <c r="E14" s="64" t="s">
        <v>5510</v>
      </c>
      <c r="F14" s="64" t="s">
        <v>580</v>
      </c>
      <c r="G14" s="64" t="s">
        <v>5503</v>
      </c>
      <c r="H14" s="64" t="s">
        <v>5476</v>
      </c>
      <c r="I14" s="64" t="s">
        <v>5504</v>
      </c>
      <c r="J14" s="70" t="s">
        <v>694</v>
      </c>
      <c r="K14" s="70" t="s">
        <v>5505</v>
      </c>
      <c r="L14" s="70">
        <v>1</v>
      </c>
      <c r="M14" s="70" t="s">
        <v>5491</v>
      </c>
      <c r="N14" s="64" t="s">
        <v>5491</v>
      </c>
      <c r="O14" s="64">
        <v>15</v>
      </c>
      <c r="P14" s="64" t="s">
        <v>5494</v>
      </c>
      <c r="Q14" s="67" t="s">
        <v>5495</v>
      </c>
    </row>
    <row r="15" spans="1:17" ht="26.45" customHeight="1">
      <c r="A15" s="61" t="s">
        <v>564</v>
      </c>
      <c r="B15" s="70">
        <v>7</v>
      </c>
      <c r="C15" s="70">
        <v>29</v>
      </c>
      <c r="D15" s="70">
        <v>100</v>
      </c>
      <c r="E15" s="64" t="s">
        <v>5511</v>
      </c>
      <c r="F15" s="64" t="s">
        <v>580</v>
      </c>
      <c r="G15" s="64" t="s">
        <v>5503</v>
      </c>
      <c r="H15" s="64" t="s">
        <v>5476</v>
      </c>
      <c r="I15" s="64" t="s">
        <v>5504</v>
      </c>
      <c r="J15" s="70" t="s">
        <v>694</v>
      </c>
      <c r="K15" s="70" t="s">
        <v>5505</v>
      </c>
      <c r="L15" s="70">
        <v>1</v>
      </c>
      <c r="M15" s="70" t="s">
        <v>5491</v>
      </c>
      <c r="N15" s="64" t="s">
        <v>5491</v>
      </c>
      <c r="O15" s="64">
        <v>15</v>
      </c>
      <c r="P15" s="64" t="s">
        <v>5494</v>
      </c>
      <c r="Q15" s="67" t="s">
        <v>5495</v>
      </c>
    </row>
    <row r="16" spans="1:17" ht="26.45" customHeight="1">
      <c r="A16" s="61" t="s">
        <v>578</v>
      </c>
      <c r="B16" s="70">
        <v>1</v>
      </c>
      <c r="C16" s="70">
        <v>4</v>
      </c>
      <c r="D16" s="70">
        <v>10</v>
      </c>
      <c r="E16" s="64" t="s">
        <v>5512</v>
      </c>
      <c r="F16" s="64" t="s">
        <v>579</v>
      </c>
      <c r="G16" s="64" t="s">
        <v>5513</v>
      </c>
      <c r="H16" s="64" t="s">
        <v>5476</v>
      </c>
      <c r="I16" s="64" t="s">
        <v>5504</v>
      </c>
      <c r="J16" s="70" t="s">
        <v>694</v>
      </c>
      <c r="K16" s="70" t="s">
        <v>5505</v>
      </c>
      <c r="L16" s="70">
        <v>1</v>
      </c>
      <c r="M16" s="70" t="s">
        <v>5491</v>
      </c>
      <c r="N16" s="64" t="s">
        <v>5491</v>
      </c>
      <c r="O16" s="64">
        <v>10</v>
      </c>
      <c r="P16" s="64" t="s">
        <v>5494</v>
      </c>
      <c r="Q16" s="67" t="s">
        <v>5495</v>
      </c>
    </row>
    <row r="17" spans="1:17" ht="26.45" customHeight="1">
      <c r="A17" s="61" t="s">
        <v>578</v>
      </c>
      <c r="B17" s="70">
        <v>2</v>
      </c>
      <c r="C17" s="70">
        <v>7</v>
      </c>
      <c r="D17" s="70">
        <v>20</v>
      </c>
      <c r="E17" s="64" t="s">
        <v>5514</v>
      </c>
      <c r="F17" s="64" t="s">
        <v>579</v>
      </c>
      <c r="G17" s="64" t="s">
        <v>5513</v>
      </c>
      <c r="H17" s="64" t="s">
        <v>5476</v>
      </c>
      <c r="I17" s="64" t="s">
        <v>5504</v>
      </c>
      <c r="J17" s="70" t="s">
        <v>694</v>
      </c>
      <c r="K17" s="70" t="s">
        <v>5505</v>
      </c>
      <c r="L17" s="70">
        <v>1</v>
      </c>
      <c r="M17" s="70" t="s">
        <v>5491</v>
      </c>
      <c r="N17" s="64" t="s">
        <v>5491</v>
      </c>
      <c r="O17" s="64">
        <v>10</v>
      </c>
      <c r="P17" s="64" t="s">
        <v>5494</v>
      </c>
      <c r="Q17" s="67" t="s">
        <v>5495</v>
      </c>
    </row>
    <row r="18" spans="1:17" ht="26.45" customHeight="1">
      <c r="A18" s="61" t="s">
        <v>578</v>
      </c>
      <c r="B18" s="70">
        <v>3</v>
      </c>
      <c r="C18" s="70">
        <v>10</v>
      </c>
      <c r="D18" s="70">
        <v>30</v>
      </c>
      <c r="E18" s="64" t="s">
        <v>5515</v>
      </c>
      <c r="F18" s="64" t="s">
        <v>579</v>
      </c>
      <c r="G18" s="64" t="s">
        <v>5513</v>
      </c>
      <c r="H18" s="64" t="s">
        <v>5476</v>
      </c>
      <c r="I18" s="64" t="s">
        <v>5504</v>
      </c>
      <c r="J18" s="70" t="s">
        <v>694</v>
      </c>
      <c r="K18" s="70" t="s">
        <v>5505</v>
      </c>
      <c r="L18" s="70">
        <v>1</v>
      </c>
      <c r="M18" s="70" t="s">
        <v>5491</v>
      </c>
      <c r="N18" s="64" t="s">
        <v>5491</v>
      </c>
      <c r="O18" s="64">
        <v>10</v>
      </c>
      <c r="P18" s="64" t="s">
        <v>5494</v>
      </c>
      <c r="Q18" s="67" t="s">
        <v>5495</v>
      </c>
    </row>
    <row r="19" spans="1:17" ht="26.45" customHeight="1">
      <c r="A19" s="61" t="s">
        <v>578</v>
      </c>
      <c r="B19" s="70">
        <v>4</v>
      </c>
      <c r="C19" s="70">
        <v>14</v>
      </c>
      <c r="D19" s="70">
        <v>45</v>
      </c>
      <c r="E19" s="64" t="s">
        <v>5516</v>
      </c>
      <c r="F19" s="64" t="s">
        <v>579</v>
      </c>
      <c r="G19" s="64" t="s">
        <v>5513</v>
      </c>
      <c r="H19" s="64" t="s">
        <v>5476</v>
      </c>
      <c r="I19" s="64" t="s">
        <v>5504</v>
      </c>
      <c r="J19" s="70" t="s">
        <v>694</v>
      </c>
      <c r="K19" s="70" t="s">
        <v>5505</v>
      </c>
      <c r="L19" s="70">
        <v>1</v>
      </c>
      <c r="M19" s="70" t="s">
        <v>5491</v>
      </c>
      <c r="N19" s="64" t="s">
        <v>5491</v>
      </c>
      <c r="O19" s="64">
        <v>10</v>
      </c>
      <c r="P19" s="64" t="s">
        <v>5494</v>
      </c>
      <c r="Q19" s="67" t="s">
        <v>5495</v>
      </c>
    </row>
    <row r="20" spans="1:17" ht="26.45" customHeight="1">
      <c r="A20" s="61" t="s">
        <v>578</v>
      </c>
      <c r="B20" s="70">
        <v>5</v>
      </c>
      <c r="C20" s="70">
        <v>18</v>
      </c>
      <c r="D20" s="70">
        <v>60</v>
      </c>
      <c r="E20" s="64" t="s">
        <v>5517</v>
      </c>
      <c r="F20" s="64" t="s">
        <v>579</v>
      </c>
      <c r="G20" s="64" t="s">
        <v>5513</v>
      </c>
      <c r="H20" s="64" t="s">
        <v>5476</v>
      </c>
      <c r="I20" s="64" t="s">
        <v>5504</v>
      </c>
      <c r="J20" s="70" t="s">
        <v>694</v>
      </c>
      <c r="K20" s="70" t="s">
        <v>5505</v>
      </c>
      <c r="L20" s="70">
        <v>1</v>
      </c>
      <c r="M20" s="70" t="s">
        <v>5491</v>
      </c>
      <c r="N20" s="64" t="s">
        <v>5491</v>
      </c>
      <c r="O20" s="64">
        <v>10</v>
      </c>
      <c r="P20" s="64" t="s">
        <v>5494</v>
      </c>
      <c r="Q20" s="67" t="s">
        <v>5495</v>
      </c>
    </row>
    <row r="21" spans="1:17" ht="26.45" customHeight="1">
      <c r="A21" s="61" t="s">
        <v>578</v>
      </c>
      <c r="B21" s="70">
        <v>6</v>
      </c>
      <c r="C21" s="70">
        <v>22</v>
      </c>
      <c r="D21" s="70">
        <v>80</v>
      </c>
      <c r="E21" s="64" t="s">
        <v>5518</v>
      </c>
      <c r="F21" s="64" t="s">
        <v>579</v>
      </c>
      <c r="G21" s="64" t="s">
        <v>5513</v>
      </c>
      <c r="H21" s="64" t="s">
        <v>5476</v>
      </c>
      <c r="I21" s="64" t="s">
        <v>5504</v>
      </c>
      <c r="J21" s="70" t="s">
        <v>694</v>
      </c>
      <c r="K21" s="70" t="s">
        <v>5505</v>
      </c>
      <c r="L21" s="70">
        <v>1</v>
      </c>
      <c r="M21" s="70" t="s">
        <v>5491</v>
      </c>
      <c r="N21" s="64" t="s">
        <v>5491</v>
      </c>
      <c r="O21" s="64">
        <v>10</v>
      </c>
      <c r="P21" s="64" t="s">
        <v>5494</v>
      </c>
      <c r="Q21" s="67" t="s">
        <v>5495</v>
      </c>
    </row>
    <row r="22" spans="1:17" ht="26.45" customHeight="1">
      <c r="A22" s="61" t="s">
        <v>578</v>
      </c>
      <c r="B22" s="70">
        <v>7</v>
      </c>
      <c r="C22" s="70">
        <v>29</v>
      </c>
      <c r="D22" s="70">
        <v>100</v>
      </c>
      <c r="E22" s="64" t="s">
        <v>5519</v>
      </c>
      <c r="F22" s="64" t="s">
        <v>579</v>
      </c>
      <c r="G22" s="64" t="s">
        <v>5513</v>
      </c>
      <c r="H22" s="64" t="s">
        <v>5476</v>
      </c>
      <c r="I22" s="64" t="s">
        <v>5504</v>
      </c>
      <c r="J22" s="70" t="s">
        <v>694</v>
      </c>
      <c r="K22" s="70" t="s">
        <v>5505</v>
      </c>
      <c r="L22" s="70">
        <v>1</v>
      </c>
      <c r="M22" s="70" t="s">
        <v>5491</v>
      </c>
      <c r="N22" s="64" t="s">
        <v>5491</v>
      </c>
      <c r="O22" s="64">
        <v>10</v>
      </c>
      <c r="P22" s="64" t="s">
        <v>5494</v>
      </c>
      <c r="Q22" s="67" t="s">
        <v>5495</v>
      </c>
    </row>
    <row r="23" spans="1:17" ht="15" customHeight="1">
      <c r="A23" s="61" t="s">
        <v>562</v>
      </c>
      <c r="B23" s="70">
        <v>1</v>
      </c>
      <c r="C23" s="70">
        <v>4</v>
      </c>
      <c r="D23" s="70">
        <v>15</v>
      </c>
      <c r="E23" s="64" t="s">
        <v>5520</v>
      </c>
      <c r="F23" s="64" t="s">
        <v>563</v>
      </c>
      <c r="G23" s="64" t="s">
        <v>5521</v>
      </c>
      <c r="H23" s="64" t="s">
        <v>5488</v>
      </c>
      <c r="I23" s="64" t="s">
        <v>662</v>
      </c>
      <c r="J23" s="70" t="s">
        <v>5489</v>
      </c>
      <c r="K23" s="70" t="s">
        <v>5522</v>
      </c>
      <c r="L23" s="70">
        <v>1</v>
      </c>
      <c r="M23" s="70" t="s">
        <v>5492</v>
      </c>
      <c r="N23" s="64" t="s">
        <v>5493</v>
      </c>
      <c r="O23" s="64">
        <v>20</v>
      </c>
      <c r="P23" s="64" t="s">
        <v>5523</v>
      </c>
      <c r="Q23" s="67" t="s">
        <v>5495</v>
      </c>
    </row>
    <row r="24" spans="1:17" ht="15" customHeight="1">
      <c r="A24" s="61" t="s">
        <v>562</v>
      </c>
      <c r="B24" s="70">
        <v>2</v>
      </c>
      <c r="C24" s="70">
        <v>8</v>
      </c>
      <c r="D24" s="70">
        <v>25</v>
      </c>
      <c r="E24" s="64" t="s">
        <v>5524</v>
      </c>
      <c r="F24" s="64" t="s">
        <v>563</v>
      </c>
      <c r="G24" s="64" t="s">
        <v>5521</v>
      </c>
      <c r="H24" s="64" t="s">
        <v>5488</v>
      </c>
      <c r="I24" s="64" t="s">
        <v>662</v>
      </c>
      <c r="J24" s="70" t="s">
        <v>5489</v>
      </c>
      <c r="K24" s="70" t="s">
        <v>5522</v>
      </c>
      <c r="L24" s="70">
        <v>1</v>
      </c>
      <c r="M24" s="70" t="s">
        <v>5492</v>
      </c>
      <c r="N24" s="64" t="s">
        <v>5493</v>
      </c>
      <c r="O24" s="64">
        <v>20</v>
      </c>
      <c r="P24" s="64" t="s">
        <v>5523</v>
      </c>
      <c r="Q24" s="67" t="s">
        <v>5495</v>
      </c>
    </row>
    <row r="25" spans="1:17" ht="15" customHeight="1">
      <c r="A25" s="61" t="s">
        <v>562</v>
      </c>
      <c r="B25" s="70">
        <v>3</v>
      </c>
      <c r="C25" s="70">
        <v>11</v>
      </c>
      <c r="D25" s="70">
        <v>35</v>
      </c>
      <c r="E25" s="64" t="s">
        <v>5525</v>
      </c>
      <c r="F25" s="64" t="s">
        <v>563</v>
      </c>
      <c r="G25" s="64" t="s">
        <v>5521</v>
      </c>
      <c r="H25" s="64" t="s">
        <v>5488</v>
      </c>
      <c r="I25" s="64" t="s">
        <v>662</v>
      </c>
      <c r="J25" s="70" t="s">
        <v>5489</v>
      </c>
      <c r="K25" s="70" t="s">
        <v>5522</v>
      </c>
      <c r="L25" s="70">
        <v>1</v>
      </c>
      <c r="M25" s="70" t="s">
        <v>5492</v>
      </c>
      <c r="N25" s="64" t="s">
        <v>5493</v>
      </c>
      <c r="O25" s="64">
        <v>20</v>
      </c>
      <c r="P25" s="64" t="s">
        <v>5523</v>
      </c>
      <c r="Q25" s="67" t="s">
        <v>5495</v>
      </c>
    </row>
    <row r="26" spans="1:17" ht="15" customHeight="1">
      <c r="A26" s="61" t="s">
        <v>562</v>
      </c>
      <c r="B26" s="70">
        <v>4</v>
      </c>
      <c r="C26" s="70">
        <v>14</v>
      </c>
      <c r="D26" s="70">
        <v>50</v>
      </c>
      <c r="E26" s="64" t="s">
        <v>4401</v>
      </c>
      <c r="F26" s="64" t="s">
        <v>563</v>
      </c>
      <c r="G26" s="64" t="s">
        <v>5521</v>
      </c>
      <c r="H26" s="64" t="s">
        <v>5488</v>
      </c>
      <c r="I26" s="64" t="s">
        <v>662</v>
      </c>
      <c r="J26" s="70" t="s">
        <v>5489</v>
      </c>
      <c r="K26" s="70" t="s">
        <v>5522</v>
      </c>
      <c r="L26" s="70">
        <v>1</v>
      </c>
      <c r="M26" s="70" t="s">
        <v>5492</v>
      </c>
      <c r="N26" s="64" t="s">
        <v>5493</v>
      </c>
      <c r="O26" s="64">
        <v>20</v>
      </c>
      <c r="P26" s="64" t="s">
        <v>5523</v>
      </c>
      <c r="Q26" s="67" t="s">
        <v>5495</v>
      </c>
    </row>
    <row r="27" spans="1:17" ht="15" customHeight="1">
      <c r="A27" s="61" t="s">
        <v>562</v>
      </c>
      <c r="B27" s="70">
        <v>5</v>
      </c>
      <c r="C27" s="70">
        <v>17</v>
      </c>
      <c r="D27" s="70">
        <v>70</v>
      </c>
      <c r="E27" s="64" t="s">
        <v>5526</v>
      </c>
      <c r="F27" s="64" t="s">
        <v>563</v>
      </c>
      <c r="G27" s="64" t="s">
        <v>5521</v>
      </c>
      <c r="H27" s="64" t="s">
        <v>5488</v>
      </c>
      <c r="I27" s="64" t="s">
        <v>662</v>
      </c>
      <c r="J27" s="70" t="s">
        <v>5489</v>
      </c>
      <c r="K27" s="70" t="s">
        <v>5522</v>
      </c>
      <c r="L27" s="70">
        <v>1</v>
      </c>
      <c r="M27" s="70" t="s">
        <v>5492</v>
      </c>
      <c r="N27" s="64" t="s">
        <v>5493</v>
      </c>
      <c r="O27" s="64">
        <v>20</v>
      </c>
      <c r="P27" s="64" t="s">
        <v>5523</v>
      </c>
      <c r="Q27" s="67" t="s">
        <v>5495</v>
      </c>
    </row>
    <row r="28" spans="1:17" ht="15" customHeight="1">
      <c r="A28" s="61" t="s">
        <v>562</v>
      </c>
      <c r="B28" s="70">
        <v>6</v>
      </c>
      <c r="C28" s="70">
        <v>20</v>
      </c>
      <c r="D28" s="70">
        <v>90</v>
      </c>
      <c r="E28" s="64" t="s">
        <v>5527</v>
      </c>
      <c r="F28" s="64" t="s">
        <v>563</v>
      </c>
      <c r="G28" s="64" t="s">
        <v>5521</v>
      </c>
      <c r="H28" s="64" t="s">
        <v>5488</v>
      </c>
      <c r="I28" s="64" t="s">
        <v>662</v>
      </c>
      <c r="J28" s="70" t="s">
        <v>5489</v>
      </c>
      <c r="K28" s="70" t="s">
        <v>5522</v>
      </c>
      <c r="L28" s="70">
        <v>1</v>
      </c>
      <c r="M28" s="70" t="s">
        <v>5492</v>
      </c>
      <c r="N28" s="64" t="s">
        <v>5493</v>
      </c>
      <c r="O28" s="64">
        <v>20</v>
      </c>
      <c r="P28" s="64" t="s">
        <v>5523</v>
      </c>
      <c r="Q28" s="67" t="s">
        <v>5495</v>
      </c>
    </row>
    <row r="29" spans="1:17" ht="15" customHeight="1">
      <c r="A29" s="61" t="s">
        <v>562</v>
      </c>
      <c r="B29" s="70">
        <v>7</v>
      </c>
      <c r="C29" s="70">
        <v>23</v>
      </c>
      <c r="D29" s="70">
        <v>115</v>
      </c>
      <c r="E29" s="64" t="s">
        <v>5528</v>
      </c>
      <c r="F29" s="64" t="s">
        <v>563</v>
      </c>
      <c r="G29" s="64" t="s">
        <v>5521</v>
      </c>
      <c r="H29" s="64" t="s">
        <v>5488</v>
      </c>
      <c r="I29" s="64" t="s">
        <v>662</v>
      </c>
      <c r="J29" s="70" t="s">
        <v>5489</v>
      </c>
      <c r="K29" s="70" t="s">
        <v>5522</v>
      </c>
      <c r="L29" s="70">
        <v>1</v>
      </c>
      <c r="M29" s="70" t="s">
        <v>5492</v>
      </c>
      <c r="N29" s="64" t="s">
        <v>5493</v>
      </c>
      <c r="O29" s="64">
        <v>20</v>
      </c>
      <c r="P29" s="64" t="s">
        <v>5523</v>
      </c>
      <c r="Q29" s="67" t="s">
        <v>5495</v>
      </c>
    </row>
    <row r="30" spans="1:17" ht="39.6" customHeight="1">
      <c r="A30" s="61" t="s">
        <v>565</v>
      </c>
      <c r="B30" s="70">
        <v>1</v>
      </c>
      <c r="C30" s="70">
        <v>2</v>
      </c>
      <c r="D30" s="70">
        <v>7</v>
      </c>
      <c r="E30" s="64"/>
      <c r="F30" s="64" t="s">
        <v>566</v>
      </c>
      <c r="G30" s="64" t="s">
        <v>5529</v>
      </c>
      <c r="H30" s="64" t="s">
        <v>5488</v>
      </c>
      <c r="I30" s="64" t="s">
        <v>5530</v>
      </c>
      <c r="J30" s="70" t="s">
        <v>726</v>
      </c>
      <c r="K30" s="70" t="s">
        <v>5530</v>
      </c>
      <c r="L30" s="70">
        <v>1</v>
      </c>
      <c r="M30" s="70" t="s">
        <v>5492</v>
      </c>
      <c r="N30" s="64" t="s">
        <v>5493</v>
      </c>
      <c r="O30" s="64">
        <v>2</v>
      </c>
      <c r="P30" s="64" t="s">
        <v>5523</v>
      </c>
      <c r="Q30" s="67" t="s">
        <v>5495</v>
      </c>
    </row>
    <row r="31" spans="1:17" ht="39.6" customHeight="1">
      <c r="A31" s="61" t="s">
        <v>565</v>
      </c>
      <c r="B31" s="70">
        <v>2</v>
      </c>
      <c r="C31" s="70">
        <v>5</v>
      </c>
      <c r="D31" s="70">
        <v>14</v>
      </c>
      <c r="E31" s="64"/>
      <c r="F31" s="64" t="s">
        <v>566</v>
      </c>
      <c r="G31" s="64" t="s">
        <v>5529</v>
      </c>
      <c r="H31" s="64" t="s">
        <v>5488</v>
      </c>
      <c r="I31" s="64" t="s">
        <v>5530</v>
      </c>
      <c r="J31" s="70" t="s">
        <v>726</v>
      </c>
      <c r="K31" s="70" t="s">
        <v>5530</v>
      </c>
      <c r="L31" s="70">
        <v>1</v>
      </c>
      <c r="M31" s="70" t="s">
        <v>5492</v>
      </c>
      <c r="N31" s="64" t="s">
        <v>5493</v>
      </c>
      <c r="O31" s="64">
        <v>2</v>
      </c>
      <c r="P31" s="64" t="s">
        <v>5523</v>
      </c>
      <c r="Q31" s="67" t="s">
        <v>5495</v>
      </c>
    </row>
    <row r="32" spans="1:17" ht="39.6" customHeight="1">
      <c r="A32" s="61" t="s">
        <v>565</v>
      </c>
      <c r="B32" s="70">
        <v>3</v>
      </c>
      <c r="C32" s="70">
        <v>8</v>
      </c>
      <c r="D32" s="70">
        <v>21</v>
      </c>
      <c r="E32" s="64"/>
      <c r="F32" s="64" t="s">
        <v>566</v>
      </c>
      <c r="G32" s="64" t="s">
        <v>5529</v>
      </c>
      <c r="H32" s="64" t="s">
        <v>5488</v>
      </c>
      <c r="I32" s="64" t="s">
        <v>5530</v>
      </c>
      <c r="J32" s="70" t="s">
        <v>726</v>
      </c>
      <c r="K32" s="70" t="s">
        <v>5530</v>
      </c>
      <c r="L32" s="70">
        <v>1</v>
      </c>
      <c r="M32" s="70" t="s">
        <v>5492</v>
      </c>
      <c r="N32" s="64" t="s">
        <v>5493</v>
      </c>
      <c r="O32" s="64">
        <v>2</v>
      </c>
      <c r="P32" s="64" t="s">
        <v>5523</v>
      </c>
      <c r="Q32" s="67" t="s">
        <v>5495</v>
      </c>
    </row>
    <row r="33" spans="1:17" ht="39.6" customHeight="1">
      <c r="A33" s="61" t="s">
        <v>565</v>
      </c>
      <c r="B33" s="70">
        <v>4</v>
      </c>
      <c r="C33" s="70">
        <v>11</v>
      </c>
      <c r="D33" s="70">
        <v>28</v>
      </c>
      <c r="E33" s="64"/>
      <c r="F33" s="64" t="s">
        <v>566</v>
      </c>
      <c r="G33" s="64" t="s">
        <v>5529</v>
      </c>
      <c r="H33" s="64" t="s">
        <v>5488</v>
      </c>
      <c r="I33" s="64" t="s">
        <v>5530</v>
      </c>
      <c r="J33" s="70" t="s">
        <v>726</v>
      </c>
      <c r="K33" s="70" t="s">
        <v>5530</v>
      </c>
      <c r="L33" s="70">
        <v>1</v>
      </c>
      <c r="M33" s="70" t="s">
        <v>5492</v>
      </c>
      <c r="N33" s="64" t="s">
        <v>5493</v>
      </c>
      <c r="O33" s="64">
        <v>2</v>
      </c>
      <c r="P33" s="64" t="s">
        <v>5523</v>
      </c>
      <c r="Q33" s="67" t="s">
        <v>5495</v>
      </c>
    </row>
    <row r="34" spans="1:17" ht="39.6" customHeight="1">
      <c r="A34" s="61" t="s">
        <v>565</v>
      </c>
      <c r="B34" s="70">
        <v>5</v>
      </c>
      <c r="C34" s="70">
        <v>14</v>
      </c>
      <c r="D34" s="70">
        <v>35</v>
      </c>
      <c r="E34" s="64"/>
      <c r="F34" s="64" t="s">
        <v>566</v>
      </c>
      <c r="G34" s="64" t="s">
        <v>5529</v>
      </c>
      <c r="H34" s="64" t="s">
        <v>5488</v>
      </c>
      <c r="I34" s="64" t="s">
        <v>5530</v>
      </c>
      <c r="J34" s="70" t="s">
        <v>726</v>
      </c>
      <c r="K34" s="70" t="s">
        <v>5530</v>
      </c>
      <c r="L34" s="70">
        <v>1</v>
      </c>
      <c r="M34" s="70" t="s">
        <v>5492</v>
      </c>
      <c r="N34" s="64" t="s">
        <v>5493</v>
      </c>
      <c r="O34" s="64">
        <v>2</v>
      </c>
      <c r="P34" s="64" t="s">
        <v>5523</v>
      </c>
      <c r="Q34" s="67" t="s">
        <v>5495</v>
      </c>
    </row>
    <row r="35" spans="1:17" ht="39.6" customHeight="1">
      <c r="A35" s="61" t="s">
        <v>565</v>
      </c>
      <c r="B35" s="70">
        <v>6</v>
      </c>
      <c r="C35" s="70">
        <v>17</v>
      </c>
      <c r="D35" s="70">
        <v>92</v>
      </c>
      <c r="E35" s="64"/>
      <c r="F35" s="64" t="s">
        <v>566</v>
      </c>
      <c r="G35" s="64" t="s">
        <v>5529</v>
      </c>
      <c r="H35" s="64" t="s">
        <v>5488</v>
      </c>
      <c r="I35" s="64" t="s">
        <v>5530</v>
      </c>
      <c r="J35" s="70" t="s">
        <v>726</v>
      </c>
      <c r="K35" s="70" t="s">
        <v>5530</v>
      </c>
      <c r="L35" s="70">
        <v>1</v>
      </c>
      <c r="M35" s="70" t="s">
        <v>5492</v>
      </c>
      <c r="N35" s="64" t="s">
        <v>5493</v>
      </c>
      <c r="O35" s="64">
        <v>2</v>
      </c>
      <c r="P35" s="64" t="s">
        <v>5523</v>
      </c>
      <c r="Q35" s="67" t="s">
        <v>5495</v>
      </c>
    </row>
    <row r="36" spans="1:17" ht="39.6" customHeight="1">
      <c r="A36" s="61" t="s">
        <v>565</v>
      </c>
      <c r="B36" s="70">
        <v>7</v>
      </c>
      <c r="C36" s="70">
        <v>20</v>
      </c>
      <c r="D36" s="70">
        <v>145</v>
      </c>
      <c r="E36" s="64"/>
      <c r="F36" s="64" t="s">
        <v>566</v>
      </c>
      <c r="G36" s="64" t="s">
        <v>5529</v>
      </c>
      <c r="H36" s="64" t="s">
        <v>5488</v>
      </c>
      <c r="I36" s="64" t="s">
        <v>5530</v>
      </c>
      <c r="J36" s="70" t="s">
        <v>726</v>
      </c>
      <c r="K36" s="70" t="s">
        <v>5530</v>
      </c>
      <c r="L36" s="70">
        <v>1</v>
      </c>
      <c r="M36" s="70" t="s">
        <v>5492</v>
      </c>
      <c r="N36" s="64" t="s">
        <v>5493</v>
      </c>
      <c r="O36" s="64">
        <v>2</v>
      </c>
      <c r="P36" s="64" t="s">
        <v>5523</v>
      </c>
      <c r="Q36" s="67" t="s">
        <v>5495</v>
      </c>
    </row>
    <row r="37" spans="1:17" ht="158.44999999999999" customHeight="1">
      <c r="A37" s="61" t="s">
        <v>655</v>
      </c>
      <c r="B37" s="70">
        <v>1</v>
      </c>
      <c r="C37" s="70">
        <v>1</v>
      </c>
      <c r="D37" s="70">
        <v>5</v>
      </c>
      <c r="E37" s="64"/>
      <c r="F37" s="64" t="s">
        <v>657</v>
      </c>
      <c r="G37" s="64" t="s">
        <v>5531</v>
      </c>
      <c r="H37" s="64" t="s">
        <v>5488</v>
      </c>
      <c r="I37" s="64" t="s">
        <v>662</v>
      </c>
      <c r="J37" s="70" t="s">
        <v>5489</v>
      </c>
      <c r="K37" s="70" t="s">
        <v>5490</v>
      </c>
      <c r="L37" s="70">
        <v>1</v>
      </c>
      <c r="M37" s="70" t="s">
        <v>5492</v>
      </c>
      <c r="N37" s="64" t="s">
        <v>5532</v>
      </c>
      <c r="O37" s="64">
        <v>5</v>
      </c>
      <c r="P37" s="64" t="s">
        <v>5494</v>
      </c>
      <c r="Q37" s="67" t="s">
        <v>5495</v>
      </c>
    </row>
    <row r="38" spans="1:17" ht="158.44999999999999" customHeight="1">
      <c r="A38" s="61" t="s">
        <v>655</v>
      </c>
      <c r="B38" s="70">
        <v>2</v>
      </c>
      <c r="C38" s="70">
        <v>4</v>
      </c>
      <c r="D38" s="70">
        <v>10</v>
      </c>
      <c r="E38" s="64"/>
      <c r="F38" s="64" t="s">
        <v>657</v>
      </c>
      <c r="G38" s="64" t="s">
        <v>5531</v>
      </c>
      <c r="H38" s="64" t="s">
        <v>5488</v>
      </c>
      <c r="I38" s="64" t="s">
        <v>662</v>
      </c>
      <c r="J38" s="70" t="s">
        <v>5489</v>
      </c>
      <c r="K38" s="70" t="s">
        <v>5490</v>
      </c>
      <c r="L38" s="70">
        <v>1</v>
      </c>
      <c r="M38" s="70" t="s">
        <v>5492</v>
      </c>
      <c r="N38" s="64" t="s">
        <v>5532</v>
      </c>
      <c r="O38" s="64">
        <v>5</v>
      </c>
      <c r="P38" s="64" t="s">
        <v>5494</v>
      </c>
      <c r="Q38" s="67" t="s">
        <v>5495</v>
      </c>
    </row>
    <row r="39" spans="1:17" ht="158.44999999999999" customHeight="1">
      <c r="A39" s="61" t="s">
        <v>655</v>
      </c>
      <c r="B39" s="70">
        <v>3</v>
      </c>
      <c r="C39" s="70">
        <v>7</v>
      </c>
      <c r="D39" s="70">
        <v>20</v>
      </c>
      <c r="E39" s="64"/>
      <c r="F39" s="64" t="s">
        <v>657</v>
      </c>
      <c r="G39" s="64" t="s">
        <v>5531</v>
      </c>
      <c r="H39" s="64" t="s">
        <v>5488</v>
      </c>
      <c r="I39" s="64" t="s">
        <v>662</v>
      </c>
      <c r="J39" s="70" t="s">
        <v>5489</v>
      </c>
      <c r="K39" s="70" t="s">
        <v>5490</v>
      </c>
      <c r="L39" s="70">
        <v>1</v>
      </c>
      <c r="M39" s="70" t="s">
        <v>5492</v>
      </c>
      <c r="N39" s="64" t="s">
        <v>5532</v>
      </c>
      <c r="O39" s="64">
        <v>5</v>
      </c>
      <c r="P39" s="64" t="s">
        <v>5494</v>
      </c>
      <c r="Q39" s="67" t="s">
        <v>5495</v>
      </c>
    </row>
    <row r="40" spans="1:17" ht="158.44999999999999" customHeight="1">
      <c r="A40" s="61" t="s">
        <v>655</v>
      </c>
      <c r="B40" s="70">
        <v>4</v>
      </c>
      <c r="C40" s="70">
        <v>10</v>
      </c>
      <c r="D40" s="70">
        <v>30</v>
      </c>
      <c r="E40" s="64"/>
      <c r="F40" s="64" t="s">
        <v>657</v>
      </c>
      <c r="G40" s="64" t="s">
        <v>5531</v>
      </c>
      <c r="H40" s="64" t="s">
        <v>5488</v>
      </c>
      <c r="I40" s="64" t="s">
        <v>662</v>
      </c>
      <c r="J40" s="70" t="s">
        <v>5489</v>
      </c>
      <c r="K40" s="70" t="s">
        <v>5490</v>
      </c>
      <c r="L40" s="70">
        <v>1</v>
      </c>
      <c r="M40" s="70" t="s">
        <v>5492</v>
      </c>
      <c r="N40" s="64" t="s">
        <v>5532</v>
      </c>
      <c r="O40" s="64">
        <v>5</v>
      </c>
      <c r="P40" s="64" t="s">
        <v>5494</v>
      </c>
      <c r="Q40" s="67" t="s">
        <v>5495</v>
      </c>
    </row>
    <row r="41" spans="1:17" ht="158.44999999999999" customHeight="1">
      <c r="A41" s="61" t="s">
        <v>655</v>
      </c>
      <c r="B41" s="70">
        <v>5</v>
      </c>
      <c r="C41" s="70">
        <v>13</v>
      </c>
      <c r="D41" s="70">
        <v>35</v>
      </c>
      <c r="E41" s="64"/>
      <c r="F41" s="64" t="s">
        <v>657</v>
      </c>
      <c r="G41" s="64" t="s">
        <v>5531</v>
      </c>
      <c r="H41" s="64" t="s">
        <v>5488</v>
      </c>
      <c r="I41" s="64" t="s">
        <v>662</v>
      </c>
      <c r="J41" s="70" t="s">
        <v>5489</v>
      </c>
      <c r="K41" s="70" t="s">
        <v>5490</v>
      </c>
      <c r="L41" s="70">
        <v>1</v>
      </c>
      <c r="M41" s="70" t="s">
        <v>5492</v>
      </c>
      <c r="N41" s="64" t="s">
        <v>5532</v>
      </c>
      <c r="O41" s="64">
        <v>5</v>
      </c>
      <c r="P41" s="64" t="s">
        <v>5494</v>
      </c>
      <c r="Q41" s="67" t="s">
        <v>5495</v>
      </c>
    </row>
    <row r="42" spans="1:17" ht="158.44999999999999" customHeight="1">
      <c r="A42" s="61" t="s">
        <v>655</v>
      </c>
      <c r="B42" s="70">
        <v>6</v>
      </c>
      <c r="C42" s="70">
        <v>16</v>
      </c>
      <c r="D42" s="70">
        <v>40</v>
      </c>
      <c r="E42" s="64"/>
      <c r="F42" s="64" t="s">
        <v>657</v>
      </c>
      <c r="G42" s="64" t="s">
        <v>5531</v>
      </c>
      <c r="H42" s="64" t="s">
        <v>5488</v>
      </c>
      <c r="I42" s="64" t="s">
        <v>662</v>
      </c>
      <c r="J42" s="70" t="s">
        <v>5489</v>
      </c>
      <c r="K42" s="70" t="s">
        <v>5490</v>
      </c>
      <c r="L42" s="70">
        <v>1</v>
      </c>
      <c r="M42" s="70" t="s">
        <v>5492</v>
      </c>
      <c r="N42" s="64" t="s">
        <v>5532</v>
      </c>
      <c r="O42" s="64">
        <v>5</v>
      </c>
      <c r="P42" s="64" t="s">
        <v>5494</v>
      </c>
      <c r="Q42" s="67" t="s">
        <v>5495</v>
      </c>
    </row>
    <row r="43" spans="1:17" ht="158.44999999999999" customHeight="1">
      <c r="A43" s="61" t="s">
        <v>655</v>
      </c>
      <c r="B43" s="70">
        <v>7</v>
      </c>
      <c r="C43" s="70">
        <v>19</v>
      </c>
      <c r="D43" s="70">
        <v>50</v>
      </c>
      <c r="E43" s="64"/>
      <c r="F43" s="64" t="s">
        <v>657</v>
      </c>
      <c r="G43" s="64" t="s">
        <v>5531</v>
      </c>
      <c r="H43" s="64" t="s">
        <v>5488</v>
      </c>
      <c r="I43" s="64" t="s">
        <v>662</v>
      </c>
      <c r="J43" s="70" t="s">
        <v>5489</v>
      </c>
      <c r="K43" s="70" t="s">
        <v>5490</v>
      </c>
      <c r="L43" s="70">
        <v>1</v>
      </c>
      <c r="M43" s="70" t="s">
        <v>5492</v>
      </c>
      <c r="N43" s="64" t="s">
        <v>5532</v>
      </c>
      <c r="O43" s="64">
        <v>5</v>
      </c>
      <c r="P43" s="64" t="s">
        <v>5494</v>
      </c>
      <c r="Q43" s="67" t="s">
        <v>5495</v>
      </c>
    </row>
    <row r="44" spans="1:17" ht="52.7" customHeight="1">
      <c r="A44" s="61" t="s">
        <v>571</v>
      </c>
      <c r="B44" s="70">
        <v>1</v>
      </c>
      <c r="C44" s="70">
        <v>4</v>
      </c>
      <c r="D44" s="70">
        <v>10</v>
      </c>
      <c r="E44" s="64"/>
      <c r="F44" s="64" t="s">
        <v>654</v>
      </c>
      <c r="G44" s="64" t="s">
        <v>5533</v>
      </c>
      <c r="H44" s="64" t="s">
        <v>5488</v>
      </c>
      <c r="I44" s="64" t="s">
        <v>662</v>
      </c>
      <c r="J44" s="70" t="s">
        <v>714</v>
      </c>
      <c r="K44" s="70" t="s">
        <v>5534</v>
      </c>
      <c r="L44" s="70">
        <v>1</v>
      </c>
      <c r="M44" s="70" t="s">
        <v>5492</v>
      </c>
      <c r="N44" s="64" t="s">
        <v>5535</v>
      </c>
      <c r="O44" s="64">
        <v>5</v>
      </c>
      <c r="P44" s="64" t="s">
        <v>5536</v>
      </c>
      <c r="Q44" s="67" t="s">
        <v>5495</v>
      </c>
    </row>
    <row r="45" spans="1:17" ht="52.7" customHeight="1">
      <c r="A45" s="61" t="s">
        <v>571</v>
      </c>
      <c r="B45" s="70">
        <v>2</v>
      </c>
      <c r="C45" s="70">
        <v>8</v>
      </c>
      <c r="D45" s="70">
        <v>15</v>
      </c>
      <c r="E45" s="64"/>
      <c r="F45" s="64" t="s">
        <v>654</v>
      </c>
      <c r="G45" s="64" t="s">
        <v>5533</v>
      </c>
      <c r="H45" s="64" t="s">
        <v>5488</v>
      </c>
      <c r="I45" s="64" t="s">
        <v>662</v>
      </c>
      <c r="J45" s="70" t="s">
        <v>714</v>
      </c>
      <c r="K45" s="70" t="s">
        <v>5534</v>
      </c>
      <c r="L45" s="70">
        <v>1</v>
      </c>
      <c r="M45" s="70" t="s">
        <v>5492</v>
      </c>
      <c r="N45" s="64" t="s">
        <v>5535</v>
      </c>
      <c r="O45" s="64">
        <v>5</v>
      </c>
      <c r="P45" s="64" t="s">
        <v>5536</v>
      </c>
      <c r="Q45" s="67" t="s">
        <v>5495</v>
      </c>
    </row>
    <row r="46" spans="1:17" ht="52.7" customHeight="1">
      <c r="A46" s="61" t="s">
        <v>571</v>
      </c>
      <c r="B46" s="70">
        <v>3</v>
      </c>
      <c r="C46" s="70">
        <v>12</v>
      </c>
      <c r="D46" s="70">
        <v>25</v>
      </c>
      <c r="E46" s="64"/>
      <c r="F46" s="64" t="s">
        <v>654</v>
      </c>
      <c r="G46" s="64" t="s">
        <v>5533</v>
      </c>
      <c r="H46" s="64" t="s">
        <v>5488</v>
      </c>
      <c r="I46" s="64" t="s">
        <v>662</v>
      </c>
      <c r="J46" s="70" t="s">
        <v>714</v>
      </c>
      <c r="K46" s="70" t="s">
        <v>5534</v>
      </c>
      <c r="L46" s="70">
        <v>1</v>
      </c>
      <c r="M46" s="70" t="s">
        <v>5492</v>
      </c>
      <c r="N46" s="64" t="s">
        <v>5535</v>
      </c>
      <c r="O46" s="64">
        <v>5</v>
      </c>
      <c r="P46" s="64" t="s">
        <v>5536</v>
      </c>
      <c r="Q46" s="67" t="s">
        <v>5495</v>
      </c>
    </row>
    <row r="47" spans="1:17" ht="52.7" customHeight="1">
      <c r="A47" s="61" t="s">
        <v>571</v>
      </c>
      <c r="B47" s="70">
        <v>4</v>
      </c>
      <c r="C47" s="70">
        <v>16</v>
      </c>
      <c r="D47" s="70">
        <v>35</v>
      </c>
      <c r="E47" s="64"/>
      <c r="F47" s="64" t="s">
        <v>654</v>
      </c>
      <c r="G47" s="64" t="s">
        <v>5533</v>
      </c>
      <c r="H47" s="64" t="s">
        <v>5488</v>
      </c>
      <c r="I47" s="64" t="s">
        <v>662</v>
      </c>
      <c r="J47" s="70" t="s">
        <v>714</v>
      </c>
      <c r="K47" s="70" t="s">
        <v>5534</v>
      </c>
      <c r="L47" s="70">
        <v>1</v>
      </c>
      <c r="M47" s="70" t="s">
        <v>5492</v>
      </c>
      <c r="N47" s="64" t="s">
        <v>5535</v>
      </c>
      <c r="O47" s="64">
        <v>5</v>
      </c>
      <c r="P47" s="64" t="s">
        <v>5536</v>
      </c>
      <c r="Q47" s="67" t="s">
        <v>5495</v>
      </c>
    </row>
    <row r="48" spans="1:17" ht="52.7" customHeight="1">
      <c r="A48" s="61" t="s">
        <v>571</v>
      </c>
      <c r="B48" s="70">
        <v>5</v>
      </c>
      <c r="C48" s="70">
        <v>20</v>
      </c>
      <c r="D48" s="70">
        <v>45</v>
      </c>
      <c r="E48" s="64"/>
      <c r="F48" s="64" t="s">
        <v>654</v>
      </c>
      <c r="G48" s="64" t="s">
        <v>5533</v>
      </c>
      <c r="H48" s="64" t="s">
        <v>5488</v>
      </c>
      <c r="I48" s="64" t="s">
        <v>662</v>
      </c>
      <c r="J48" s="70" t="s">
        <v>714</v>
      </c>
      <c r="K48" s="70" t="s">
        <v>5534</v>
      </c>
      <c r="L48" s="70">
        <v>1</v>
      </c>
      <c r="M48" s="70" t="s">
        <v>5492</v>
      </c>
      <c r="N48" s="64" t="s">
        <v>5535</v>
      </c>
      <c r="O48" s="64">
        <v>5</v>
      </c>
      <c r="P48" s="64" t="s">
        <v>5536</v>
      </c>
      <c r="Q48" s="67" t="s">
        <v>5495</v>
      </c>
    </row>
    <row r="49" spans="1:17" ht="52.7" customHeight="1">
      <c r="A49" s="61" t="s">
        <v>571</v>
      </c>
      <c r="B49" s="70">
        <v>6</v>
      </c>
      <c r="C49" s="70">
        <v>24</v>
      </c>
      <c r="D49" s="70">
        <v>60</v>
      </c>
      <c r="E49" s="64"/>
      <c r="F49" s="64" t="s">
        <v>654</v>
      </c>
      <c r="G49" s="64" t="s">
        <v>5533</v>
      </c>
      <c r="H49" s="64" t="s">
        <v>5488</v>
      </c>
      <c r="I49" s="64" t="s">
        <v>662</v>
      </c>
      <c r="J49" s="70" t="s">
        <v>714</v>
      </c>
      <c r="K49" s="70" t="s">
        <v>5534</v>
      </c>
      <c r="L49" s="70">
        <v>1</v>
      </c>
      <c r="M49" s="70" t="s">
        <v>5492</v>
      </c>
      <c r="N49" s="64" t="s">
        <v>5535</v>
      </c>
      <c r="O49" s="64">
        <v>5</v>
      </c>
      <c r="P49" s="64" t="s">
        <v>5536</v>
      </c>
      <c r="Q49" s="67" t="s">
        <v>5495</v>
      </c>
    </row>
    <row r="50" spans="1:17" ht="52.7" customHeight="1">
      <c r="A50" s="61" t="s">
        <v>571</v>
      </c>
      <c r="B50" s="70">
        <v>7</v>
      </c>
      <c r="C50" s="70">
        <v>28</v>
      </c>
      <c r="D50" s="70">
        <v>80</v>
      </c>
      <c r="E50" s="64"/>
      <c r="F50" s="64" t="s">
        <v>654</v>
      </c>
      <c r="G50" s="64" t="s">
        <v>5533</v>
      </c>
      <c r="H50" s="64" t="s">
        <v>5488</v>
      </c>
      <c r="I50" s="64" t="s">
        <v>662</v>
      </c>
      <c r="J50" s="70" t="s">
        <v>714</v>
      </c>
      <c r="K50" s="70" t="s">
        <v>5534</v>
      </c>
      <c r="L50" s="70">
        <v>1</v>
      </c>
      <c r="M50" s="70" t="s">
        <v>5492</v>
      </c>
      <c r="N50" s="64" t="s">
        <v>5535</v>
      </c>
      <c r="O50" s="64">
        <v>5</v>
      </c>
      <c r="P50" s="64" t="s">
        <v>5536</v>
      </c>
      <c r="Q50" s="67" t="s">
        <v>5495</v>
      </c>
    </row>
    <row r="51" spans="1:17" ht="52.7" customHeight="1">
      <c r="A51" s="61" t="s">
        <v>569</v>
      </c>
      <c r="B51" s="70">
        <v>1</v>
      </c>
      <c r="C51" s="70">
        <v>2</v>
      </c>
      <c r="D51" s="70">
        <v>5</v>
      </c>
      <c r="E51" s="64"/>
      <c r="F51" s="64" t="s">
        <v>570</v>
      </c>
      <c r="G51" s="64" t="s">
        <v>5537</v>
      </c>
      <c r="H51" s="64" t="s">
        <v>5488</v>
      </c>
      <c r="I51" s="64" t="s">
        <v>662</v>
      </c>
      <c r="J51" s="70" t="s">
        <v>714</v>
      </c>
      <c r="K51" s="70" t="s">
        <v>5530</v>
      </c>
      <c r="L51" s="70">
        <v>1</v>
      </c>
      <c r="M51" s="70" t="s">
        <v>5492</v>
      </c>
      <c r="N51" s="64" t="s">
        <v>5538</v>
      </c>
      <c r="O51" s="64">
        <v>10</v>
      </c>
      <c r="P51" s="64" t="s">
        <v>5539</v>
      </c>
      <c r="Q51" s="67" t="s">
        <v>5495</v>
      </c>
    </row>
    <row r="52" spans="1:17" ht="52.7" customHeight="1">
      <c r="A52" s="61" t="s">
        <v>569</v>
      </c>
      <c r="B52" s="70">
        <v>2</v>
      </c>
      <c r="C52" s="70">
        <v>5</v>
      </c>
      <c r="D52" s="70">
        <v>10</v>
      </c>
      <c r="E52" s="64"/>
      <c r="F52" s="64" t="s">
        <v>570</v>
      </c>
      <c r="G52" s="64" t="s">
        <v>5537</v>
      </c>
      <c r="H52" s="64" t="s">
        <v>5488</v>
      </c>
      <c r="I52" s="64" t="s">
        <v>662</v>
      </c>
      <c r="J52" s="70" t="s">
        <v>714</v>
      </c>
      <c r="K52" s="70" t="s">
        <v>5530</v>
      </c>
      <c r="L52" s="70">
        <v>1</v>
      </c>
      <c r="M52" s="70" t="s">
        <v>5492</v>
      </c>
      <c r="N52" s="64" t="s">
        <v>5538</v>
      </c>
      <c r="O52" s="64">
        <v>10</v>
      </c>
      <c r="P52" s="64" t="s">
        <v>5539</v>
      </c>
      <c r="Q52" s="67" t="s">
        <v>5495</v>
      </c>
    </row>
    <row r="53" spans="1:17" ht="52.7" customHeight="1">
      <c r="A53" s="61" t="s">
        <v>569</v>
      </c>
      <c r="B53" s="70">
        <v>3</v>
      </c>
      <c r="C53" s="70">
        <v>8</v>
      </c>
      <c r="D53" s="70">
        <v>20</v>
      </c>
      <c r="E53" s="64"/>
      <c r="F53" s="64" t="s">
        <v>570</v>
      </c>
      <c r="G53" s="64" t="s">
        <v>5537</v>
      </c>
      <c r="H53" s="64" t="s">
        <v>5488</v>
      </c>
      <c r="I53" s="64" t="s">
        <v>662</v>
      </c>
      <c r="J53" s="70" t="s">
        <v>714</v>
      </c>
      <c r="K53" s="70" t="s">
        <v>5530</v>
      </c>
      <c r="L53" s="70">
        <v>1</v>
      </c>
      <c r="M53" s="70" t="s">
        <v>5492</v>
      </c>
      <c r="N53" s="64" t="s">
        <v>5538</v>
      </c>
      <c r="O53" s="64">
        <v>10</v>
      </c>
      <c r="P53" s="64" t="s">
        <v>5539</v>
      </c>
      <c r="Q53" s="67" t="s">
        <v>5495</v>
      </c>
    </row>
    <row r="54" spans="1:17" ht="52.7" customHeight="1">
      <c r="A54" s="61" t="s">
        <v>569</v>
      </c>
      <c r="B54" s="70">
        <v>4</v>
      </c>
      <c r="C54" s="70">
        <v>11</v>
      </c>
      <c r="D54" s="70">
        <v>35</v>
      </c>
      <c r="E54" s="64"/>
      <c r="F54" s="64" t="s">
        <v>570</v>
      </c>
      <c r="G54" s="64" t="s">
        <v>5537</v>
      </c>
      <c r="H54" s="64" t="s">
        <v>5488</v>
      </c>
      <c r="I54" s="64" t="s">
        <v>662</v>
      </c>
      <c r="J54" s="70" t="s">
        <v>714</v>
      </c>
      <c r="K54" s="70" t="s">
        <v>5530</v>
      </c>
      <c r="L54" s="70">
        <v>1</v>
      </c>
      <c r="M54" s="70" t="s">
        <v>5492</v>
      </c>
      <c r="N54" s="64" t="s">
        <v>5538</v>
      </c>
      <c r="O54" s="64">
        <v>10</v>
      </c>
      <c r="P54" s="64" t="s">
        <v>5539</v>
      </c>
      <c r="Q54" s="67" t="s">
        <v>5495</v>
      </c>
    </row>
    <row r="55" spans="1:17" ht="52.7" customHeight="1">
      <c r="A55" s="61" t="s">
        <v>569</v>
      </c>
      <c r="B55" s="70">
        <v>5</v>
      </c>
      <c r="C55" s="70">
        <v>14</v>
      </c>
      <c r="D55" s="70">
        <v>55</v>
      </c>
      <c r="E55" s="64"/>
      <c r="F55" s="64" t="s">
        <v>570</v>
      </c>
      <c r="G55" s="64" t="s">
        <v>5537</v>
      </c>
      <c r="H55" s="64" t="s">
        <v>5488</v>
      </c>
      <c r="I55" s="64" t="s">
        <v>662</v>
      </c>
      <c r="J55" s="70" t="s">
        <v>714</v>
      </c>
      <c r="K55" s="70" t="s">
        <v>5530</v>
      </c>
      <c r="L55" s="70">
        <v>1</v>
      </c>
      <c r="M55" s="70" t="s">
        <v>5492</v>
      </c>
      <c r="N55" s="64" t="s">
        <v>5538</v>
      </c>
      <c r="O55" s="64">
        <v>10</v>
      </c>
      <c r="P55" s="64" t="s">
        <v>5539</v>
      </c>
      <c r="Q55" s="67" t="s">
        <v>5495</v>
      </c>
    </row>
    <row r="56" spans="1:17" ht="52.7" customHeight="1">
      <c r="A56" s="61" t="s">
        <v>569</v>
      </c>
      <c r="B56" s="70">
        <v>6</v>
      </c>
      <c r="C56" s="70">
        <v>17</v>
      </c>
      <c r="D56" s="70">
        <v>70</v>
      </c>
      <c r="E56" s="64"/>
      <c r="F56" s="64" t="s">
        <v>570</v>
      </c>
      <c r="G56" s="64" t="s">
        <v>5537</v>
      </c>
      <c r="H56" s="64" t="s">
        <v>5488</v>
      </c>
      <c r="I56" s="64" t="s">
        <v>662</v>
      </c>
      <c r="J56" s="70" t="s">
        <v>714</v>
      </c>
      <c r="K56" s="70" t="s">
        <v>5530</v>
      </c>
      <c r="L56" s="70">
        <v>1</v>
      </c>
      <c r="M56" s="70" t="s">
        <v>5492</v>
      </c>
      <c r="N56" s="64" t="s">
        <v>5538</v>
      </c>
      <c r="O56" s="64">
        <v>10</v>
      </c>
      <c r="P56" s="64" t="s">
        <v>5539</v>
      </c>
      <c r="Q56" s="67" t="s">
        <v>5495</v>
      </c>
    </row>
    <row r="57" spans="1:17" ht="52.7" customHeight="1">
      <c r="A57" s="61" t="s">
        <v>569</v>
      </c>
      <c r="B57" s="70">
        <v>7</v>
      </c>
      <c r="C57" s="70">
        <v>20</v>
      </c>
      <c r="D57" s="70">
        <v>90</v>
      </c>
      <c r="E57" s="64"/>
      <c r="F57" s="64" t="s">
        <v>570</v>
      </c>
      <c r="G57" s="64" t="s">
        <v>5537</v>
      </c>
      <c r="H57" s="64" t="s">
        <v>5488</v>
      </c>
      <c r="I57" s="64" t="s">
        <v>662</v>
      </c>
      <c r="J57" s="70" t="s">
        <v>714</v>
      </c>
      <c r="K57" s="70" t="s">
        <v>5530</v>
      </c>
      <c r="L57" s="70">
        <v>1</v>
      </c>
      <c r="M57" s="70" t="s">
        <v>5492</v>
      </c>
      <c r="N57" s="64" t="s">
        <v>5538</v>
      </c>
      <c r="O57" s="64">
        <v>10</v>
      </c>
      <c r="P57" s="64" t="s">
        <v>5539</v>
      </c>
      <c r="Q57" s="67" t="s">
        <v>5495</v>
      </c>
    </row>
    <row r="58" spans="1:17" ht="39.6" customHeight="1">
      <c r="A58" s="61" t="s">
        <v>572</v>
      </c>
      <c r="B58" s="70">
        <v>1</v>
      </c>
      <c r="C58" s="70">
        <v>2</v>
      </c>
      <c r="D58" s="70">
        <v>5</v>
      </c>
      <c r="E58" s="64"/>
      <c r="F58" s="64" t="s">
        <v>573</v>
      </c>
      <c r="G58" s="64" t="s">
        <v>5540</v>
      </c>
      <c r="H58" s="64" t="s">
        <v>5488</v>
      </c>
      <c r="I58" s="64" t="s">
        <v>662</v>
      </c>
      <c r="J58" s="70" t="s">
        <v>714</v>
      </c>
      <c r="K58" s="70" t="s">
        <v>5530</v>
      </c>
      <c r="L58" s="70">
        <v>1</v>
      </c>
      <c r="M58" s="70" t="s">
        <v>5492</v>
      </c>
      <c r="N58" s="64" t="s">
        <v>5538</v>
      </c>
      <c r="O58" s="64">
        <v>10</v>
      </c>
      <c r="P58" s="64" t="s">
        <v>5539</v>
      </c>
      <c r="Q58" s="67" t="s">
        <v>5495</v>
      </c>
    </row>
    <row r="59" spans="1:17" ht="39.6" customHeight="1">
      <c r="A59" s="61" t="s">
        <v>572</v>
      </c>
      <c r="B59" s="70">
        <v>2</v>
      </c>
      <c r="C59" s="70">
        <v>5</v>
      </c>
      <c r="D59" s="70">
        <v>10</v>
      </c>
      <c r="E59" s="64"/>
      <c r="F59" s="64" t="s">
        <v>573</v>
      </c>
      <c r="G59" s="64" t="s">
        <v>5540</v>
      </c>
      <c r="H59" s="64" t="s">
        <v>5488</v>
      </c>
      <c r="I59" s="64" t="s">
        <v>662</v>
      </c>
      <c r="J59" s="70" t="s">
        <v>714</v>
      </c>
      <c r="K59" s="70" t="s">
        <v>5530</v>
      </c>
      <c r="L59" s="70">
        <v>1</v>
      </c>
      <c r="M59" s="70" t="s">
        <v>5492</v>
      </c>
      <c r="N59" s="64" t="s">
        <v>5538</v>
      </c>
      <c r="O59" s="64">
        <v>10</v>
      </c>
      <c r="P59" s="64" t="s">
        <v>5539</v>
      </c>
      <c r="Q59" s="67" t="s">
        <v>5495</v>
      </c>
    </row>
    <row r="60" spans="1:17" ht="39.6" customHeight="1">
      <c r="A60" s="61" t="s">
        <v>572</v>
      </c>
      <c r="B60" s="70">
        <v>3</v>
      </c>
      <c r="C60" s="70">
        <v>8</v>
      </c>
      <c r="D60" s="70">
        <v>20</v>
      </c>
      <c r="E60" s="64"/>
      <c r="F60" s="64" t="s">
        <v>573</v>
      </c>
      <c r="G60" s="64" t="s">
        <v>5540</v>
      </c>
      <c r="H60" s="64" t="s">
        <v>5488</v>
      </c>
      <c r="I60" s="64" t="s">
        <v>662</v>
      </c>
      <c r="J60" s="70" t="s">
        <v>714</v>
      </c>
      <c r="K60" s="70" t="s">
        <v>5530</v>
      </c>
      <c r="L60" s="70">
        <v>1</v>
      </c>
      <c r="M60" s="70" t="s">
        <v>5492</v>
      </c>
      <c r="N60" s="64" t="s">
        <v>5538</v>
      </c>
      <c r="O60" s="64">
        <v>10</v>
      </c>
      <c r="P60" s="64" t="s">
        <v>5539</v>
      </c>
      <c r="Q60" s="67" t="s">
        <v>5495</v>
      </c>
    </row>
    <row r="61" spans="1:17" ht="39.6" customHeight="1">
      <c r="A61" s="61" t="s">
        <v>572</v>
      </c>
      <c r="B61" s="70">
        <v>4</v>
      </c>
      <c r="C61" s="70">
        <v>11</v>
      </c>
      <c r="D61" s="70">
        <v>35</v>
      </c>
      <c r="E61" s="64"/>
      <c r="F61" s="64" t="s">
        <v>573</v>
      </c>
      <c r="G61" s="64" t="s">
        <v>5540</v>
      </c>
      <c r="H61" s="64" t="s">
        <v>5488</v>
      </c>
      <c r="I61" s="64" t="s">
        <v>662</v>
      </c>
      <c r="J61" s="70" t="s">
        <v>714</v>
      </c>
      <c r="K61" s="70" t="s">
        <v>5530</v>
      </c>
      <c r="L61" s="70">
        <v>1</v>
      </c>
      <c r="M61" s="70" t="s">
        <v>5492</v>
      </c>
      <c r="N61" s="64" t="s">
        <v>5538</v>
      </c>
      <c r="O61" s="64">
        <v>10</v>
      </c>
      <c r="P61" s="64" t="s">
        <v>5539</v>
      </c>
      <c r="Q61" s="67" t="s">
        <v>5495</v>
      </c>
    </row>
    <row r="62" spans="1:17" ht="39.6" customHeight="1">
      <c r="A62" s="61" t="s">
        <v>572</v>
      </c>
      <c r="B62" s="70">
        <v>5</v>
      </c>
      <c r="C62" s="70">
        <v>14</v>
      </c>
      <c r="D62" s="70">
        <v>55</v>
      </c>
      <c r="E62" s="64"/>
      <c r="F62" s="64" t="s">
        <v>573</v>
      </c>
      <c r="G62" s="64" t="s">
        <v>5540</v>
      </c>
      <c r="H62" s="64" t="s">
        <v>5488</v>
      </c>
      <c r="I62" s="64" t="s">
        <v>662</v>
      </c>
      <c r="J62" s="70" t="s">
        <v>714</v>
      </c>
      <c r="K62" s="70" t="s">
        <v>5530</v>
      </c>
      <c r="L62" s="70">
        <v>1</v>
      </c>
      <c r="M62" s="70" t="s">
        <v>5492</v>
      </c>
      <c r="N62" s="64" t="s">
        <v>5538</v>
      </c>
      <c r="O62" s="64">
        <v>10</v>
      </c>
      <c r="P62" s="64" t="s">
        <v>5539</v>
      </c>
      <c r="Q62" s="67" t="s">
        <v>5495</v>
      </c>
    </row>
    <row r="63" spans="1:17" ht="39.6" customHeight="1">
      <c r="A63" s="61" t="s">
        <v>572</v>
      </c>
      <c r="B63" s="70">
        <v>6</v>
      </c>
      <c r="C63" s="70">
        <v>17</v>
      </c>
      <c r="D63" s="70">
        <v>70</v>
      </c>
      <c r="E63" s="64"/>
      <c r="F63" s="64" t="s">
        <v>573</v>
      </c>
      <c r="G63" s="64" t="s">
        <v>5540</v>
      </c>
      <c r="H63" s="64" t="s">
        <v>5488</v>
      </c>
      <c r="I63" s="64" t="s">
        <v>662</v>
      </c>
      <c r="J63" s="70" t="s">
        <v>714</v>
      </c>
      <c r="K63" s="70" t="s">
        <v>5530</v>
      </c>
      <c r="L63" s="70">
        <v>1</v>
      </c>
      <c r="M63" s="70" t="s">
        <v>5492</v>
      </c>
      <c r="N63" s="64" t="s">
        <v>5538</v>
      </c>
      <c r="O63" s="64">
        <v>10</v>
      </c>
      <c r="P63" s="64" t="s">
        <v>5539</v>
      </c>
      <c r="Q63" s="67" t="s">
        <v>5495</v>
      </c>
    </row>
    <row r="64" spans="1:17" ht="39.6" customHeight="1">
      <c r="A64" s="61" t="s">
        <v>572</v>
      </c>
      <c r="B64" s="70">
        <v>7</v>
      </c>
      <c r="C64" s="70">
        <v>20</v>
      </c>
      <c r="D64" s="70">
        <v>90</v>
      </c>
      <c r="E64" s="64"/>
      <c r="F64" s="64" t="s">
        <v>573</v>
      </c>
      <c r="G64" s="64" t="s">
        <v>5540</v>
      </c>
      <c r="H64" s="64" t="s">
        <v>5488</v>
      </c>
      <c r="I64" s="64" t="s">
        <v>662</v>
      </c>
      <c r="J64" s="70" t="s">
        <v>714</v>
      </c>
      <c r="K64" s="70" t="s">
        <v>5530</v>
      </c>
      <c r="L64" s="70">
        <v>1</v>
      </c>
      <c r="M64" s="70" t="s">
        <v>5492</v>
      </c>
      <c r="N64" s="64" t="s">
        <v>5538</v>
      </c>
      <c r="O64" s="64">
        <v>10</v>
      </c>
      <c r="P64" s="64" t="s">
        <v>5539</v>
      </c>
      <c r="Q64" s="67" t="s">
        <v>5495</v>
      </c>
    </row>
    <row r="65" spans="1:17" ht="39.6" customHeight="1">
      <c r="A65" s="61" t="s">
        <v>576</v>
      </c>
      <c r="B65" s="70">
        <v>1</v>
      </c>
      <c r="C65" s="70">
        <v>2</v>
      </c>
      <c r="D65" s="70">
        <v>5</v>
      </c>
      <c r="E65" s="64"/>
      <c r="F65" s="64" t="s">
        <v>577</v>
      </c>
      <c r="G65" s="64" t="s">
        <v>5540</v>
      </c>
      <c r="H65" s="64" t="s">
        <v>5488</v>
      </c>
      <c r="I65" s="64" t="s">
        <v>662</v>
      </c>
      <c r="J65" s="70" t="s">
        <v>714</v>
      </c>
      <c r="K65" s="70" t="s">
        <v>5530</v>
      </c>
      <c r="L65" s="70">
        <v>1</v>
      </c>
      <c r="M65" s="70" t="s">
        <v>5492</v>
      </c>
      <c r="N65" s="64" t="s">
        <v>5538</v>
      </c>
      <c r="O65" s="64">
        <v>10</v>
      </c>
      <c r="P65" s="64" t="s">
        <v>5539</v>
      </c>
      <c r="Q65" s="67" t="s">
        <v>5495</v>
      </c>
    </row>
    <row r="66" spans="1:17" ht="39.6" customHeight="1">
      <c r="A66" s="61" t="s">
        <v>576</v>
      </c>
      <c r="B66" s="70">
        <v>2</v>
      </c>
      <c r="C66" s="70">
        <v>5</v>
      </c>
      <c r="D66" s="70">
        <v>10</v>
      </c>
      <c r="E66" s="64"/>
      <c r="F66" s="64" t="s">
        <v>577</v>
      </c>
      <c r="G66" s="64" t="s">
        <v>5540</v>
      </c>
      <c r="H66" s="64" t="s">
        <v>5488</v>
      </c>
      <c r="I66" s="64" t="s">
        <v>662</v>
      </c>
      <c r="J66" s="70" t="s">
        <v>714</v>
      </c>
      <c r="K66" s="70" t="s">
        <v>5530</v>
      </c>
      <c r="L66" s="70">
        <v>1</v>
      </c>
      <c r="M66" s="70" t="s">
        <v>5492</v>
      </c>
      <c r="N66" s="64" t="s">
        <v>5538</v>
      </c>
      <c r="O66" s="64">
        <v>10</v>
      </c>
      <c r="P66" s="64" t="s">
        <v>5539</v>
      </c>
      <c r="Q66" s="67" t="s">
        <v>5495</v>
      </c>
    </row>
    <row r="67" spans="1:17" ht="39.6" customHeight="1">
      <c r="A67" s="61" t="s">
        <v>576</v>
      </c>
      <c r="B67" s="70">
        <v>3</v>
      </c>
      <c r="C67" s="70">
        <v>8</v>
      </c>
      <c r="D67" s="70">
        <v>20</v>
      </c>
      <c r="E67" s="64"/>
      <c r="F67" s="64" t="s">
        <v>577</v>
      </c>
      <c r="G67" s="64" t="s">
        <v>5540</v>
      </c>
      <c r="H67" s="64" t="s">
        <v>5488</v>
      </c>
      <c r="I67" s="64" t="s">
        <v>662</v>
      </c>
      <c r="J67" s="70" t="s">
        <v>714</v>
      </c>
      <c r="K67" s="70" t="s">
        <v>5530</v>
      </c>
      <c r="L67" s="70">
        <v>1</v>
      </c>
      <c r="M67" s="70" t="s">
        <v>5492</v>
      </c>
      <c r="N67" s="64" t="s">
        <v>5538</v>
      </c>
      <c r="O67" s="64">
        <v>10</v>
      </c>
      <c r="P67" s="64" t="s">
        <v>5539</v>
      </c>
      <c r="Q67" s="67" t="s">
        <v>5495</v>
      </c>
    </row>
    <row r="68" spans="1:17" ht="39.6" customHeight="1">
      <c r="A68" s="61" t="s">
        <v>576</v>
      </c>
      <c r="B68" s="70">
        <v>4</v>
      </c>
      <c r="C68" s="70">
        <v>11</v>
      </c>
      <c r="D68" s="70">
        <v>35</v>
      </c>
      <c r="E68" s="64"/>
      <c r="F68" s="64" t="s">
        <v>577</v>
      </c>
      <c r="G68" s="64" t="s">
        <v>5540</v>
      </c>
      <c r="H68" s="64" t="s">
        <v>5488</v>
      </c>
      <c r="I68" s="64" t="s">
        <v>662</v>
      </c>
      <c r="J68" s="70" t="s">
        <v>714</v>
      </c>
      <c r="K68" s="70" t="s">
        <v>5530</v>
      </c>
      <c r="L68" s="70">
        <v>1</v>
      </c>
      <c r="M68" s="70" t="s">
        <v>5492</v>
      </c>
      <c r="N68" s="64" t="s">
        <v>5538</v>
      </c>
      <c r="O68" s="64">
        <v>10</v>
      </c>
      <c r="P68" s="64" t="s">
        <v>5539</v>
      </c>
      <c r="Q68" s="67" t="s">
        <v>5495</v>
      </c>
    </row>
    <row r="69" spans="1:17" ht="39.6" customHeight="1">
      <c r="A69" s="61" t="s">
        <v>576</v>
      </c>
      <c r="B69" s="70">
        <v>5</v>
      </c>
      <c r="C69" s="70">
        <v>14</v>
      </c>
      <c r="D69" s="70">
        <v>55</v>
      </c>
      <c r="E69" s="64"/>
      <c r="F69" s="64" t="s">
        <v>577</v>
      </c>
      <c r="G69" s="64" t="s">
        <v>5540</v>
      </c>
      <c r="H69" s="64" t="s">
        <v>5488</v>
      </c>
      <c r="I69" s="64" t="s">
        <v>662</v>
      </c>
      <c r="J69" s="70" t="s">
        <v>714</v>
      </c>
      <c r="K69" s="70" t="s">
        <v>5530</v>
      </c>
      <c r="L69" s="70">
        <v>1</v>
      </c>
      <c r="M69" s="70" t="s">
        <v>5492</v>
      </c>
      <c r="N69" s="64" t="s">
        <v>5538</v>
      </c>
      <c r="O69" s="64">
        <v>10</v>
      </c>
      <c r="P69" s="64" t="s">
        <v>5539</v>
      </c>
      <c r="Q69" s="67" t="s">
        <v>5495</v>
      </c>
    </row>
    <row r="70" spans="1:17" ht="39.6" customHeight="1">
      <c r="A70" s="61" t="s">
        <v>576</v>
      </c>
      <c r="B70" s="70">
        <v>6</v>
      </c>
      <c r="C70" s="70">
        <v>17</v>
      </c>
      <c r="D70" s="70">
        <v>70</v>
      </c>
      <c r="E70" s="64"/>
      <c r="F70" s="64" t="s">
        <v>577</v>
      </c>
      <c r="G70" s="64" t="s">
        <v>5540</v>
      </c>
      <c r="H70" s="64" t="s">
        <v>5488</v>
      </c>
      <c r="I70" s="64" t="s">
        <v>662</v>
      </c>
      <c r="J70" s="70" t="s">
        <v>714</v>
      </c>
      <c r="K70" s="70" t="s">
        <v>5530</v>
      </c>
      <c r="L70" s="70">
        <v>1</v>
      </c>
      <c r="M70" s="70" t="s">
        <v>5492</v>
      </c>
      <c r="N70" s="64" t="s">
        <v>5538</v>
      </c>
      <c r="O70" s="64">
        <v>10</v>
      </c>
      <c r="P70" s="64" t="s">
        <v>5539</v>
      </c>
      <c r="Q70" s="67" t="s">
        <v>5495</v>
      </c>
    </row>
    <row r="71" spans="1:17" ht="39.6" customHeight="1">
      <c r="A71" s="61" t="s">
        <v>576</v>
      </c>
      <c r="B71" s="70">
        <v>7</v>
      </c>
      <c r="C71" s="70">
        <v>20</v>
      </c>
      <c r="D71" s="70">
        <v>90</v>
      </c>
      <c r="E71" s="64"/>
      <c r="F71" s="64" t="s">
        <v>577</v>
      </c>
      <c r="G71" s="64" t="s">
        <v>5540</v>
      </c>
      <c r="H71" s="64" t="s">
        <v>5488</v>
      </c>
      <c r="I71" s="64" t="s">
        <v>662</v>
      </c>
      <c r="J71" s="70" t="s">
        <v>714</v>
      </c>
      <c r="K71" s="70" t="s">
        <v>5530</v>
      </c>
      <c r="L71" s="70">
        <v>1</v>
      </c>
      <c r="M71" s="70" t="s">
        <v>5492</v>
      </c>
      <c r="N71" s="64" t="s">
        <v>5538</v>
      </c>
      <c r="O71" s="64">
        <v>10</v>
      </c>
      <c r="P71" s="64" t="s">
        <v>5539</v>
      </c>
      <c r="Q71" s="67" t="s">
        <v>5495</v>
      </c>
    </row>
    <row r="72" spans="1:17" ht="39.6" customHeight="1">
      <c r="A72" s="61" t="s">
        <v>574</v>
      </c>
      <c r="B72" s="70">
        <v>1</v>
      </c>
      <c r="C72" s="70">
        <v>2</v>
      </c>
      <c r="D72" s="70">
        <v>5</v>
      </c>
      <c r="E72" s="64"/>
      <c r="F72" s="64" t="s">
        <v>575</v>
      </c>
      <c r="G72" s="64" t="s">
        <v>5540</v>
      </c>
      <c r="H72" s="64" t="s">
        <v>5488</v>
      </c>
      <c r="I72" s="64" t="s">
        <v>662</v>
      </c>
      <c r="J72" s="70" t="s">
        <v>714</v>
      </c>
      <c r="K72" s="70" t="s">
        <v>5530</v>
      </c>
      <c r="L72" s="70">
        <v>1</v>
      </c>
      <c r="M72" s="70" t="s">
        <v>5492</v>
      </c>
      <c r="N72" s="64" t="s">
        <v>5538</v>
      </c>
      <c r="O72" s="64">
        <v>10</v>
      </c>
      <c r="P72" s="64" t="s">
        <v>5539</v>
      </c>
      <c r="Q72" s="67" t="s">
        <v>5495</v>
      </c>
    </row>
    <row r="73" spans="1:17" ht="39.6" customHeight="1">
      <c r="A73" s="61" t="s">
        <v>574</v>
      </c>
      <c r="B73" s="70">
        <v>2</v>
      </c>
      <c r="C73" s="70">
        <v>5</v>
      </c>
      <c r="D73" s="70">
        <v>10</v>
      </c>
      <c r="E73" s="64"/>
      <c r="F73" s="64" t="s">
        <v>575</v>
      </c>
      <c r="G73" s="64" t="s">
        <v>5540</v>
      </c>
      <c r="H73" s="64" t="s">
        <v>5488</v>
      </c>
      <c r="I73" s="64" t="s">
        <v>662</v>
      </c>
      <c r="J73" s="70" t="s">
        <v>714</v>
      </c>
      <c r="K73" s="70" t="s">
        <v>5530</v>
      </c>
      <c r="L73" s="70">
        <v>1</v>
      </c>
      <c r="M73" s="70" t="s">
        <v>5492</v>
      </c>
      <c r="N73" s="64" t="s">
        <v>5538</v>
      </c>
      <c r="O73" s="64">
        <v>10</v>
      </c>
      <c r="P73" s="64" t="s">
        <v>5539</v>
      </c>
      <c r="Q73" s="67" t="s">
        <v>5495</v>
      </c>
    </row>
    <row r="74" spans="1:17" ht="39.6" customHeight="1">
      <c r="A74" s="61" t="s">
        <v>574</v>
      </c>
      <c r="B74" s="70">
        <v>3</v>
      </c>
      <c r="C74" s="70">
        <v>8</v>
      </c>
      <c r="D74" s="70">
        <v>20</v>
      </c>
      <c r="E74" s="64"/>
      <c r="F74" s="64" t="s">
        <v>575</v>
      </c>
      <c r="G74" s="64" t="s">
        <v>5540</v>
      </c>
      <c r="H74" s="64" t="s">
        <v>5488</v>
      </c>
      <c r="I74" s="64" t="s">
        <v>662</v>
      </c>
      <c r="J74" s="70" t="s">
        <v>714</v>
      </c>
      <c r="K74" s="70" t="s">
        <v>5530</v>
      </c>
      <c r="L74" s="70">
        <v>1</v>
      </c>
      <c r="M74" s="70" t="s">
        <v>5492</v>
      </c>
      <c r="N74" s="64" t="s">
        <v>5538</v>
      </c>
      <c r="O74" s="64">
        <v>10</v>
      </c>
      <c r="P74" s="64" t="s">
        <v>5539</v>
      </c>
      <c r="Q74" s="67" t="s">
        <v>5495</v>
      </c>
    </row>
    <row r="75" spans="1:17" ht="39.6" customHeight="1">
      <c r="A75" s="61" t="s">
        <v>574</v>
      </c>
      <c r="B75" s="70">
        <v>4</v>
      </c>
      <c r="C75" s="70">
        <v>11</v>
      </c>
      <c r="D75" s="70">
        <v>35</v>
      </c>
      <c r="E75" s="64"/>
      <c r="F75" s="64" t="s">
        <v>575</v>
      </c>
      <c r="G75" s="64" t="s">
        <v>5540</v>
      </c>
      <c r="H75" s="64" t="s">
        <v>5488</v>
      </c>
      <c r="I75" s="64" t="s">
        <v>662</v>
      </c>
      <c r="J75" s="70" t="s">
        <v>714</v>
      </c>
      <c r="K75" s="70" t="s">
        <v>5530</v>
      </c>
      <c r="L75" s="70">
        <v>1</v>
      </c>
      <c r="M75" s="70" t="s">
        <v>5492</v>
      </c>
      <c r="N75" s="64" t="s">
        <v>5538</v>
      </c>
      <c r="O75" s="64">
        <v>10</v>
      </c>
      <c r="P75" s="64" t="s">
        <v>5539</v>
      </c>
      <c r="Q75" s="67" t="s">
        <v>5495</v>
      </c>
    </row>
    <row r="76" spans="1:17" ht="39.6" customHeight="1">
      <c r="A76" s="61" t="s">
        <v>574</v>
      </c>
      <c r="B76" s="70">
        <v>5</v>
      </c>
      <c r="C76" s="70">
        <v>14</v>
      </c>
      <c r="D76" s="70">
        <v>55</v>
      </c>
      <c r="E76" s="64"/>
      <c r="F76" s="64" t="s">
        <v>575</v>
      </c>
      <c r="G76" s="64" t="s">
        <v>5540</v>
      </c>
      <c r="H76" s="64" t="s">
        <v>5488</v>
      </c>
      <c r="I76" s="64" t="s">
        <v>662</v>
      </c>
      <c r="J76" s="70" t="s">
        <v>714</v>
      </c>
      <c r="K76" s="70" t="s">
        <v>5530</v>
      </c>
      <c r="L76" s="70">
        <v>1</v>
      </c>
      <c r="M76" s="70" t="s">
        <v>5492</v>
      </c>
      <c r="N76" s="64" t="s">
        <v>5538</v>
      </c>
      <c r="O76" s="64">
        <v>10</v>
      </c>
      <c r="P76" s="64" t="s">
        <v>5539</v>
      </c>
      <c r="Q76" s="67" t="s">
        <v>5495</v>
      </c>
    </row>
    <row r="77" spans="1:17" ht="39.6" customHeight="1">
      <c r="A77" s="61" t="s">
        <v>574</v>
      </c>
      <c r="B77" s="70">
        <v>6</v>
      </c>
      <c r="C77" s="70">
        <v>17</v>
      </c>
      <c r="D77" s="70">
        <v>70</v>
      </c>
      <c r="E77" s="64"/>
      <c r="F77" s="64" t="s">
        <v>575</v>
      </c>
      <c r="G77" s="64" t="s">
        <v>5540</v>
      </c>
      <c r="H77" s="64" t="s">
        <v>5488</v>
      </c>
      <c r="I77" s="64" t="s">
        <v>662</v>
      </c>
      <c r="J77" s="70" t="s">
        <v>714</v>
      </c>
      <c r="K77" s="70" t="s">
        <v>5530</v>
      </c>
      <c r="L77" s="70">
        <v>1</v>
      </c>
      <c r="M77" s="70" t="s">
        <v>5492</v>
      </c>
      <c r="N77" s="64" t="s">
        <v>5538</v>
      </c>
      <c r="O77" s="64">
        <v>10</v>
      </c>
      <c r="P77" s="64" t="s">
        <v>5539</v>
      </c>
      <c r="Q77" s="67" t="s">
        <v>5495</v>
      </c>
    </row>
    <row r="78" spans="1:17" ht="39.6" customHeight="1">
      <c r="A78" s="61" t="s">
        <v>574</v>
      </c>
      <c r="B78" s="70">
        <v>7</v>
      </c>
      <c r="C78" s="70">
        <v>20</v>
      </c>
      <c r="D78" s="70">
        <v>90</v>
      </c>
      <c r="E78" s="64"/>
      <c r="F78" s="64" t="s">
        <v>575</v>
      </c>
      <c r="G78" s="64" t="s">
        <v>5540</v>
      </c>
      <c r="H78" s="64" t="s">
        <v>5488</v>
      </c>
      <c r="I78" s="64" t="s">
        <v>662</v>
      </c>
      <c r="J78" s="70" t="s">
        <v>714</v>
      </c>
      <c r="K78" s="70" t="s">
        <v>5530</v>
      </c>
      <c r="L78" s="70">
        <v>1</v>
      </c>
      <c r="M78" s="70" t="s">
        <v>5492</v>
      </c>
      <c r="N78" s="64" t="s">
        <v>5538</v>
      </c>
      <c r="O78" s="64">
        <v>10</v>
      </c>
      <c r="P78" s="64" t="s">
        <v>5539</v>
      </c>
      <c r="Q78" s="67" t="s">
        <v>5495</v>
      </c>
    </row>
    <row r="79" spans="1:17" ht="15" customHeight="1">
      <c r="A79" s="61" t="s">
        <v>568</v>
      </c>
      <c r="B79" s="70">
        <v>1</v>
      </c>
      <c r="C79" s="70">
        <v>3</v>
      </c>
      <c r="D79" s="70">
        <v>10</v>
      </c>
      <c r="E79" s="64"/>
      <c r="F79" s="64" t="s">
        <v>659</v>
      </c>
      <c r="G79" s="64" t="s">
        <v>5541</v>
      </c>
      <c r="H79" s="64" t="s">
        <v>5476</v>
      </c>
      <c r="I79" s="64" t="s">
        <v>5504</v>
      </c>
      <c r="J79" s="70" t="s">
        <v>706</v>
      </c>
      <c r="K79" s="70" t="s">
        <v>5522</v>
      </c>
      <c r="L79" s="70">
        <v>1</v>
      </c>
      <c r="M79" s="70" t="s">
        <v>5492</v>
      </c>
      <c r="N79" s="64" t="s">
        <v>5535</v>
      </c>
      <c r="O79" s="64">
        <v>5</v>
      </c>
      <c r="P79" s="64" t="s">
        <v>5494</v>
      </c>
      <c r="Q79" s="67" t="s">
        <v>5495</v>
      </c>
    </row>
    <row r="80" spans="1:17" ht="15" customHeight="1">
      <c r="A80" s="61" t="s">
        <v>568</v>
      </c>
      <c r="B80" s="70">
        <v>2</v>
      </c>
      <c r="C80" s="70">
        <v>6</v>
      </c>
      <c r="D80" s="70">
        <v>15</v>
      </c>
      <c r="E80" s="64"/>
      <c r="F80" s="64" t="s">
        <v>659</v>
      </c>
      <c r="G80" s="64" t="s">
        <v>5541</v>
      </c>
      <c r="H80" s="64" t="s">
        <v>5476</v>
      </c>
      <c r="I80" s="64" t="s">
        <v>5504</v>
      </c>
      <c r="J80" s="70" t="s">
        <v>706</v>
      </c>
      <c r="K80" s="70" t="s">
        <v>5522</v>
      </c>
      <c r="L80" s="70">
        <v>1</v>
      </c>
      <c r="M80" s="70" t="s">
        <v>5492</v>
      </c>
      <c r="N80" s="64" t="s">
        <v>5535</v>
      </c>
      <c r="O80" s="64">
        <v>5</v>
      </c>
      <c r="P80" s="64" t="s">
        <v>5494</v>
      </c>
      <c r="Q80" s="67" t="s">
        <v>5495</v>
      </c>
    </row>
    <row r="81" spans="1:17" ht="15" customHeight="1">
      <c r="A81" s="61" t="s">
        <v>568</v>
      </c>
      <c r="B81" s="70">
        <v>3</v>
      </c>
      <c r="C81" s="70">
        <v>9</v>
      </c>
      <c r="D81" s="70">
        <v>25</v>
      </c>
      <c r="E81" s="64"/>
      <c r="F81" s="64" t="s">
        <v>659</v>
      </c>
      <c r="G81" s="64" t="s">
        <v>5541</v>
      </c>
      <c r="H81" s="64" t="s">
        <v>5476</v>
      </c>
      <c r="I81" s="64" t="s">
        <v>5504</v>
      </c>
      <c r="J81" s="70" t="s">
        <v>706</v>
      </c>
      <c r="K81" s="70" t="s">
        <v>5522</v>
      </c>
      <c r="L81" s="70">
        <v>1</v>
      </c>
      <c r="M81" s="70" t="s">
        <v>5492</v>
      </c>
      <c r="N81" s="64" t="s">
        <v>5535</v>
      </c>
      <c r="O81" s="64">
        <v>5</v>
      </c>
      <c r="P81" s="64" t="s">
        <v>5494</v>
      </c>
      <c r="Q81" s="67" t="s">
        <v>5495</v>
      </c>
    </row>
    <row r="82" spans="1:17" ht="15" customHeight="1">
      <c r="A82" s="61" t="s">
        <v>568</v>
      </c>
      <c r="B82" s="70">
        <v>4</v>
      </c>
      <c r="C82" s="70">
        <v>12</v>
      </c>
      <c r="D82" s="70">
        <v>40</v>
      </c>
      <c r="E82" s="64"/>
      <c r="F82" s="64" t="s">
        <v>659</v>
      </c>
      <c r="G82" s="64" t="s">
        <v>5541</v>
      </c>
      <c r="H82" s="64" t="s">
        <v>5476</v>
      </c>
      <c r="I82" s="64" t="s">
        <v>5504</v>
      </c>
      <c r="J82" s="70" t="s">
        <v>706</v>
      </c>
      <c r="K82" s="70" t="s">
        <v>5522</v>
      </c>
      <c r="L82" s="70">
        <v>1</v>
      </c>
      <c r="M82" s="70" t="s">
        <v>5492</v>
      </c>
      <c r="N82" s="64" t="s">
        <v>5535</v>
      </c>
      <c r="O82" s="64">
        <v>5</v>
      </c>
      <c r="P82" s="64" t="s">
        <v>5494</v>
      </c>
      <c r="Q82" s="67" t="s">
        <v>5495</v>
      </c>
    </row>
    <row r="83" spans="1:17" ht="15" customHeight="1">
      <c r="A83" s="61" t="s">
        <v>568</v>
      </c>
      <c r="B83" s="70">
        <v>5</v>
      </c>
      <c r="C83" s="70">
        <v>15</v>
      </c>
      <c r="D83" s="70">
        <v>60</v>
      </c>
      <c r="E83" s="64"/>
      <c r="F83" s="64" t="s">
        <v>659</v>
      </c>
      <c r="G83" s="64" t="s">
        <v>5541</v>
      </c>
      <c r="H83" s="64" t="s">
        <v>5476</v>
      </c>
      <c r="I83" s="64" t="s">
        <v>5504</v>
      </c>
      <c r="J83" s="70" t="s">
        <v>706</v>
      </c>
      <c r="K83" s="70" t="s">
        <v>5522</v>
      </c>
      <c r="L83" s="70">
        <v>1</v>
      </c>
      <c r="M83" s="70" t="s">
        <v>5492</v>
      </c>
      <c r="N83" s="64" t="s">
        <v>5535</v>
      </c>
      <c r="O83" s="64">
        <v>5</v>
      </c>
      <c r="P83" s="64" t="s">
        <v>5494</v>
      </c>
      <c r="Q83" s="67" t="s">
        <v>5495</v>
      </c>
    </row>
    <row r="84" spans="1:17" ht="15" customHeight="1">
      <c r="A84" s="61" t="s">
        <v>568</v>
      </c>
      <c r="B84" s="70">
        <v>6</v>
      </c>
      <c r="C84" s="70">
        <v>18</v>
      </c>
      <c r="D84" s="70">
        <v>80</v>
      </c>
      <c r="E84" s="64"/>
      <c r="F84" s="64" t="s">
        <v>659</v>
      </c>
      <c r="G84" s="64" t="s">
        <v>5541</v>
      </c>
      <c r="H84" s="64" t="s">
        <v>5476</v>
      </c>
      <c r="I84" s="64" t="s">
        <v>5504</v>
      </c>
      <c r="J84" s="70" t="s">
        <v>706</v>
      </c>
      <c r="K84" s="70" t="s">
        <v>5522</v>
      </c>
      <c r="L84" s="70">
        <v>1</v>
      </c>
      <c r="M84" s="70" t="s">
        <v>5492</v>
      </c>
      <c r="N84" s="64" t="s">
        <v>5535</v>
      </c>
      <c r="O84" s="64">
        <v>5</v>
      </c>
      <c r="P84" s="64" t="s">
        <v>5494</v>
      </c>
      <c r="Q84" s="67" t="s">
        <v>5495</v>
      </c>
    </row>
    <row r="85" spans="1:17" ht="15" customHeight="1">
      <c r="A85" s="61" t="s">
        <v>568</v>
      </c>
      <c r="B85" s="70">
        <v>7</v>
      </c>
      <c r="C85" s="70">
        <v>21</v>
      </c>
      <c r="D85" s="70">
        <v>105</v>
      </c>
      <c r="E85" s="64"/>
      <c r="F85" s="64" t="s">
        <v>659</v>
      </c>
      <c r="G85" s="64" t="s">
        <v>5541</v>
      </c>
      <c r="H85" s="64" t="s">
        <v>5476</v>
      </c>
      <c r="I85" s="64" t="s">
        <v>5504</v>
      </c>
      <c r="J85" s="70" t="s">
        <v>706</v>
      </c>
      <c r="K85" s="70" t="s">
        <v>5522</v>
      </c>
      <c r="L85" s="70">
        <v>1</v>
      </c>
      <c r="M85" s="70" t="s">
        <v>5492</v>
      </c>
      <c r="N85" s="64" t="s">
        <v>5535</v>
      </c>
      <c r="O85" s="64">
        <v>5</v>
      </c>
      <c r="P85" s="64" t="s">
        <v>5494</v>
      </c>
      <c r="Q85" s="67" t="s">
        <v>5495</v>
      </c>
    </row>
    <row r="86" spans="1:17" ht="26.45" customHeight="1">
      <c r="A86" s="61" t="s">
        <v>557</v>
      </c>
      <c r="B86" s="70">
        <v>1</v>
      </c>
      <c r="C86" s="70">
        <v>5</v>
      </c>
      <c r="D86" s="70">
        <v>15</v>
      </c>
      <c r="E86" s="64"/>
      <c r="F86" s="64" t="s">
        <v>559</v>
      </c>
      <c r="G86" s="64" t="s">
        <v>5542</v>
      </c>
      <c r="H86" s="64" t="s">
        <v>5476</v>
      </c>
      <c r="I86" s="64" t="s">
        <v>5504</v>
      </c>
      <c r="J86" s="70" t="s">
        <v>730</v>
      </c>
      <c r="K86" s="70" t="s">
        <v>5522</v>
      </c>
      <c r="L86" s="70">
        <v>1</v>
      </c>
      <c r="M86" s="70" t="s">
        <v>5492</v>
      </c>
      <c r="N86" s="64" t="s">
        <v>5532</v>
      </c>
      <c r="O86" s="64">
        <v>15</v>
      </c>
      <c r="P86" s="64" t="s">
        <v>5543</v>
      </c>
      <c r="Q86" s="67" t="s">
        <v>5495</v>
      </c>
    </row>
    <row r="87" spans="1:17" ht="26.45" customHeight="1">
      <c r="A87" s="61" t="s">
        <v>557</v>
      </c>
      <c r="B87" s="70">
        <v>2</v>
      </c>
      <c r="C87" s="70">
        <v>10</v>
      </c>
      <c r="D87" s="70">
        <v>25</v>
      </c>
      <c r="E87" s="64"/>
      <c r="F87" s="64" t="s">
        <v>559</v>
      </c>
      <c r="G87" s="64" t="s">
        <v>5542</v>
      </c>
      <c r="H87" s="64" t="s">
        <v>5476</v>
      </c>
      <c r="I87" s="64" t="s">
        <v>5504</v>
      </c>
      <c r="J87" s="70" t="s">
        <v>730</v>
      </c>
      <c r="K87" s="70" t="s">
        <v>5522</v>
      </c>
      <c r="L87" s="70">
        <v>1</v>
      </c>
      <c r="M87" s="70" t="s">
        <v>5492</v>
      </c>
      <c r="N87" s="64" t="s">
        <v>5532</v>
      </c>
      <c r="O87" s="64">
        <v>15</v>
      </c>
      <c r="P87" s="64" t="s">
        <v>5543</v>
      </c>
      <c r="Q87" s="67" t="s">
        <v>5495</v>
      </c>
    </row>
    <row r="88" spans="1:17" ht="26.45" customHeight="1">
      <c r="A88" s="61" t="s">
        <v>557</v>
      </c>
      <c r="B88" s="70">
        <v>3</v>
      </c>
      <c r="C88" s="70">
        <v>14</v>
      </c>
      <c r="D88" s="70">
        <v>35</v>
      </c>
      <c r="E88" s="64"/>
      <c r="F88" s="64" t="s">
        <v>559</v>
      </c>
      <c r="G88" s="64" t="s">
        <v>5542</v>
      </c>
      <c r="H88" s="64" t="s">
        <v>5476</v>
      </c>
      <c r="I88" s="64" t="s">
        <v>5504</v>
      </c>
      <c r="J88" s="70" t="s">
        <v>730</v>
      </c>
      <c r="K88" s="70" t="s">
        <v>5522</v>
      </c>
      <c r="L88" s="70">
        <v>1</v>
      </c>
      <c r="M88" s="70" t="s">
        <v>5492</v>
      </c>
      <c r="N88" s="64" t="s">
        <v>5532</v>
      </c>
      <c r="O88" s="64">
        <v>15</v>
      </c>
      <c r="P88" s="64" t="s">
        <v>5543</v>
      </c>
      <c r="Q88" s="67" t="s">
        <v>5495</v>
      </c>
    </row>
    <row r="89" spans="1:17" ht="26.45" customHeight="1">
      <c r="A89" s="61" t="s">
        <v>557</v>
      </c>
      <c r="B89" s="70">
        <v>4</v>
      </c>
      <c r="C89" s="70">
        <v>18</v>
      </c>
      <c r="D89" s="70">
        <v>50</v>
      </c>
      <c r="E89" s="64"/>
      <c r="F89" s="64" t="s">
        <v>559</v>
      </c>
      <c r="G89" s="64" t="s">
        <v>5542</v>
      </c>
      <c r="H89" s="64" t="s">
        <v>5476</v>
      </c>
      <c r="I89" s="64" t="s">
        <v>5504</v>
      </c>
      <c r="J89" s="70" t="s">
        <v>730</v>
      </c>
      <c r="K89" s="70" t="s">
        <v>5522</v>
      </c>
      <c r="L89" s="70">
        <v>1</v>
      </c>
      <c r="M89" s="70" t="s">
        <v>5492</v>
      </c>
      <c r="N89" s="64" t="s">
        <v>5532</v>
      </c>
      <c r="O89" s="64">
        <v>15</v>
      </c>
      <c r="P89" s="64" t="s">
        <v>5543</v>
      </c>
      <c r="Q89" s="67" t="s">
        <v>5495</v>
      </c>
    </row>
    <row r="90" spans="1:17" ht="26.45" customHeight="1">
      <c r="A90" s="61" t="s">
        <v>557</v>
      </c>
      <c r="B90" s="70">
        <v>5</v>
      </c>
      <c r="C90" s="70">
        <v>21</v>
      </c>
      <c r="D90" s="70">
        <v>70</v>
      </c>
      <c r="E90" s="64"/>
      <c r="F90" s="64" t="s">
        <v>559</v>
      </c>
      <c r="G90" s="64" t="s">
        <v>5542</v>
      </c>
      <c r="H90" s="64" t="s">
        <v>5476</v>
      </c>
      <c r="I90" s="64" t="s">
        <v>5504</v>
      </c>
      <c r="J90" s="70" t="s">
        <v>730</v>
      </c>
      <c r="K90" s="70" t="s">
        <v>5522</v>
      </c>
      <c r="L90" s="70">
        <v>1</v>
      </c>
      <c r="M90" s="70" t="s">
        <v>5492</v>
      </c>
      <c r="N90" s="64" t="s">
        <v>5532</v>
      </c>
      <c r="O90" s="64">
        <v>15</v>
      </c>
      <c r="P90" s="64" t="s">
        <v>5543</v>
      </c>
      <c r="Q90" s="67" t="s">
        <v>5495</v>
      </c>
    </row>
    <row r="91" spans="1:17" ht="26.45" customHeight="1">
      <c r="A91" s="61" t="s">
        <v>557</v>
      </c>
      <c r="B91" s="70">
        <v>6</v>
      </c>
      <c r="C91" s="70">
        <v>24</v>
      </c>
      <c r="D91" s="70">
        <v>90</v>
      </c>
      <c r="E91" s="64"/>
      <c r="F91" s="64" t="s">
        <v>559</v>
      </c>
      <c r="G91" s="64" t="s">
        <v>5542</v>
      </c>
      <c r="H91" s="64" t="s">
        <v>5476</v>
      </c>
      <c r="I91" s="64" t="s">
        <v>5504</v>
      </c>
      <c r="J91" s="70" t="s">
        <v>730</v>
      </c>
      <c r="K91" s="70" t="s">
        <v>5522</v>
      </c>
      <c r="L91" s="70">
        <v>1</v>
      </c>
      <c r="M91" s="70" t="s">
        <v>5492</v>
      </c>
      <c r="N91" s="64" t="s">
        <v>5532</v>
      </c>
      <c r="O91" s="64">
        <v>15</v>
      </c>
      <c r="P91" s="64" t="s">
        <v>5543</v>
      </c>
      <c r="Q91" s="67" t="s">
        <v>5495</v>
      </c>
    </row>
    <row r="92" spans="1:17" ht="26.45" customHeight="1">
      <c r="A92" s="61" t="s">
        <v>557</v>
      </c>
      <c r="B92" s="70">
        <v>7</v>
      </c>
      <c r="C92" s="70">
        <v>27</v>
      </c>
      <c r="D92" s="70">
        <v>115</v>
      </c>
      <c r="E92" s="64"/>
      <c r="F92" s="64" t="s">
        <v>559</v>
      </c>
      <c r="G92" s="64" t="s">
        <v>5542</v>
      </c>
      <c r="H92" s="64" t="s">
        <v>5476</v>
      </c>
      <c r="I92" s="64" t="s">
        <v>5504</v>
      </c>
      <c r="J92" s="70" t="s">
        <v>730</v>
      </c>
      <c r="K92" s="70" t="s">
        <v>5522</v>
      </c>
      <c r="L92" s="70">
        <v>1</v>
      </c>
      <c r="M92" s="70" t="s">
        <v>5492</v>
      </c>
      <c r="N92" s="64" t="s">
        <v>5532</v>
      </c>
      <c r="O92" s="64">
        <v>15</v>
      </c>
      <c r="P92" s="64" t="s">
        <v>5543</v>
      </c>
      <c r="Q92" s="67" t="s">
        <v>5495</v>
      </c>
    </row>
    <row r="93" spans="1:17" ht="15" customHeight="1">
      <c r="A93" s="61" t="s">
        <v>581</v>
      </c>
      <c r="B93" s="70">
        <v>1</v>
      </c>
      <c r="C93" s="70">
        <v>4</v>
      </c>
      <c r="D93" s="70">
        <v>20</v>
      </c>
      <c r="E93" s="64"/>
      <c r="F93" s="64" t="s">
        <v>582</v>
      </c>
      <c r="G93" s="64" t="s">
        <v>5544</v>
      </c>
      <c r="H93" s="64" t="s">
        <v>5488</v>
      </c>
      <c r="I93" s="64" t="s">
        <v>662</v>
      </c>
      <c r="J93" s="70" t="s">
        <v>730</v>
      </c>
      <c r="K93" s="70" t="s">
        <v>5522</v>
      </c>
      <c r="L93" s="70">
        <v>1</v>
      </c>
      <c r="M93" s="70" t="s">
        <v>5492</v>
      </c>
      <c r="N93" s="64" t="s">
        <v>5535</v>
      </c>
      <c r="O93" s="64">
        <v>10</v>
      </c>
      <c r="P93" s="64" t="s">
        <v>5536</v>
      </c>
      <c r="Q93" s="67" t="s">
        <v>5495</v>
      </c>
    </row>
    <row r="94" spans="1:17" ht="15" customHeight="1">
      <c r="A94" s="61" t="s">
        <v>581</v>
      </c>
      <c r="B94" s="70">
        <v>2</v>
      </c>
      <c r="C94" s="70">
        <v>7</v>
      </c>
      <c r="D94" s="70">
        <v>30</v>
      </c>
      <c r="E94" s="64"/>
      <c r="F94" s="64" t="s">
        <v>582</v>
      </c>
      <c r="G94" s="64" t="s">
        <v>5544</v>
      </c>
      <c r="H94" s="64" t="s">
        <v>5488</v>
      </c>
      <c r="I94" s="64" t="s">
        <v>662</v>
      </c>
      <c r="J94" s="70" t="s">
        <v>730</v>
      </c>
      <c r="K94" s="70" t="s">
        <v>5522</v>
      </c>
      <c r="L94" s="70">
        <v>1</v>
      </c>
      <c r="M94" s="70" t="s">
        <v>5492</v>
      </c>
      <c r="N94" s="64" t="s">
        <v>5535</v>
      </c>
      <c r="O94" s="64">
        <v>10</v>
      </c>
      <c r="P94" s="64" t="s">
        <v>5536</v>
      </c>
      <c r="Q94" s="67" t="s">
        <v>5495</v>
      </c>
    </row>
    <row r="95" spans="1:17" ht="15" customHeight="1">
      <c r="A95" s="61" t="s">
        <v>581</v>
      </c>
      <c r="B95" s="70">
        <v>3</v>
      </c>
      <c r="C95" s="70">
        <v>10</v>
      </c>
      <c r="D95" s="70">
        <v>40</v>
      </c>
      <c r="E95" s="64"/>
      <c r="F95" s="64" t="s">
        <v>582</v>
      </c>
      <c r="G95" s="64" t="s">
        <v>5544</v>
      </c>
      <c r="H95" s="64" t="s">
        <v>5488</v>
      </c>
      <c r="I95" s="64" t="s">
        <v>662</v>
      </c>
      <c r="J95" s="70" t="s">
        <v>730</v>
      </c>
      <c r="K95" s="70" t="s">
        <v>5522</v>
      </c>
      <c r="L95" s="70">
        <v>1</v>
      </c>
      <c r="M95" s="70" t="s">
        <v>5492</v>
      </c>
      <c r="N95" s="64" t="s">
        <v>5535</v>
      </c>
      <c r="O95" s="64">
        <v>10</v>
      </c>
      <c r="P95" s="64" t="s">
        <v>5536</v>
      </c>
      <c r="Q95" s="67" t="s">
        <v>5495</v>
      </c>
    </row>
    <row r="96" spans="1:17" ht="15" customHeight="1">
      <c r="A96" s="61" t="s">
        <v>581</v>
      </c>
      <c r="B96" s="70">
        <v>4</v>
      </c>
      <c r="C96" s="70">
        <v>14</v>
      </c>
      <c r="D96" s="70">
        <v>55</v>
      </c>
      <c r="E96" s="64"/>
      <c r="F96" s="64" t="s">
        <v>582</v>
      </c>
      <c r="G96" s="64" t="s">
        <v>5544</v>
      </c>
      <c r="H96" s="64" t="s">
        <v>5488</v>
      </c>
      <c r="I96" s="64" t="s">
        <v>662</v>
      </c>
      <c r="J96" s="70" t="s">
        <v>730</v>
      </c>
      <c r="K96" s="70" t="s">
        <v>5522</v>
      </c>
      <c r="L96" s="70">
        <v>1</v>
      </c>
      <c r="M96" s="70" t="s">
        <v>5492</v>
      </c>
      <c r="N96" s="64" t="s">
        <v>5535</v>
      </c>
      <c r="O96" s="64">
        <v>10</v>
      </c>
      <c r="P96" s="64" t="s">
        <v>5536</v>
      </c>
      <c r="Q96" s="67" t="s">
        <v>5495</v>
      </c>
    </row>
    <row r="97" spans="1:17" ht="15" customHeight="1">
      <c r="A97" s="61" t="s">
        <v>581</v>
      </c>
      <c r="B97" s="70">
        <v>5</v>
      </c>
      <c r="C97" s="70">
        <v>18</v>
      </c>
      <c r="D97" s="70">
        <v>75</v>
      </c>
      <c r="E97" s="64"/>
      <c r="F97" s="64" t="s">
        <v>582</v>
      </c>
      <c r="G97" s="64" t="s">
        <v>5544</v>
      </c>
      <c r="H97" s="64" t="s">
        <v>5488</v>
      </c>
      <c r="I97" s="64" t="s">
        <v>662</v>
      </c>
      <c r="J97" s="70" t="s">
        <v>730</v>
      </c>
      <c r="K97" s="70" t="s">
        <v>5522</v>
      </c>
      <c r="L97" s="70">
        <v>1</v>
      </c>
      <c r="M97" s="70" t="s">
        <v>5492</v>
      </c>
      <c r="N97" s="64" t="s">
        <v>5535</v>
      </c>
      <c r="O97" s="64">
        <v>10</v>
      </c>
      <c r="P97" s="64" t="s">
        <v>5536</v>
      </c>
      <c r="Q97" s="67" t="s">
        <v>5495</v>
      </c>
    </row>
    <row r="98" spans="1:17" ht="15" customHeight="1">
      <c r="A98" s="61" t="s">
        <v>581</v>
      </c>
      <c r="B98" s="70">
        <v>6</v>
      </c>
      <c r="C98" s="70">
        <v>22</v>
      </c>
      <c r="D98" s="70">
        <v>95</v>
      </c>
      <c r="E98" s="64"/>
      <c r="F98" s="64" t="s">
        <v>582</v>
      </c>
      <c r="G98" s="64" t="s">
        <v>5544</v>
      </c>
      <c r="H98" s="64" t="s">
        <v>5488</v>
      </c>
      <c r="I98" s="64" t="s">
        <v>662</v>
      </c>
      <c r="J98" s="70" t="s">
        <v>730</v>
      </c>
      <c r="K98" s="70" t="s">
        <v>5522</v>
      </c>
      <c r="L98" s="70">
        <v>1</v>
      </c>
      <c r="M98" s="70" t="s">
        <v>5492</v>
      </c>
      <c r="N98" s="64" t="s">
        <v>5535</v>
      </c>
      <c r="O98" s="64">
        <v>10</v>
      </c>
      <c r="P98" s="64" t="s">
        <v>5536</v>
      </c>
      <c r="Q98" s="67" t="s">
        <v>5495</v>
      </c>
    </row>
    <row r="99" spans="1:17" ht="15" customHeight="1">
      <c r="A99" s="61" t="s">
        <v>581</v>
      </c>
      <c r="B99" s="70">
        <v>7</v>
      </c>
      <c r="C99" s="70">
        <v>29</v>
      </c>
      <c r="D99" s="70">
        <v>150</v>
      </c>
      <c r="E99" s="64"/>
      <c r="F99" s="64" t="s">
        <v>582</v>
      </c>
      <c r="G99" s="64" t="s">
        <v>5544</v>
      </c>
      <c r="H99" s="64" t="s">
        <v>5488</v>
      </c>
      <c r="I99" s="64" t="s">
        <v>662</v>
      </c>
      <c r="J99" s="70" t="s">
        <v>730</v>
      </c>
      <c r="K99" s="70" t="s">
        <v>5522</v>
      </c>
      <c r="L99" s="70">
        <v>1</v>
      </c>
      <c r="M99" s="70" t="s">
        <v>5492</v>
      </c>
      <c r="N99" s="64" t="s">
        <v>5535</v>
      </c>
      <c r="O99" s="64">
        <v>10</v>
      </c>
      <c r="P99" s="64" t="s">
        <v>5536</v>
      </c>
      <c r="Q99" s="67" t="s">
        <v>5495</v>
      </c>
    </row>
    <row r="100" spans="1:17" ht="15" customHeight="1">
      <c r="A100" s="61" t="s">
        <v>561</v>
      </c>
      <c r="B100" s="70">
        <v>1</v>
      </c>
      <c r="C100" s="70">
        <v>4</v>
      </c>
      <c r="D100" s="70">
        <v>20</v>
      </c>
      <c r="E100" s="64"/>
      <c r="F100" s="64" t="s">
        <v>567</v>
      </c>
      <c r="G100" s="64" t="s">
        <v>5545</v>
      </c>
      <c r="H100" s="64" t="s">
        <v>5476</v>
      </c>
      <c r="I100" s="64" t="s">
        <v>5504</v>
      </c>
      <c r="J100" s="70" t="s">
        <v>5489</v>
      </c>
      <c r="K100" s="70" t="s">
        <v>5522</v>
      </c>
      <c r="L100" s="70">
        <v>1</v>
      </c>
      <c r="M100" s="70" t="s">
        <v>5492</v>
      </c>
      <c r="N100" s="64" t="s">
        <v>5535</v>
      </c>
      <c r="O100" s="64">
        <v>20</v>
      </c>
      <c r="P100" s="64" t="s">
        <v>5546</v>
      </c>
      <c r="Q100" s="67" t="s">
        <v>5495</v>
      </c>
    </row>
    <row r="101" spans="1:17" ht="15" customHeight="1">
      <c r="A101" s="61" t="s">
        <v>561</v>
      </c>
      <c r="B101" s="70">
        <v>2</v>
      </c>
      <c r="C101" s="70">
        <v>7</v>
      </c>
      <c r="D101" s="70">
        <v>30</v>
      </c>
      <c r="E101" s="64"/>
      <c r="F101" s="64" t="s">
        <v>567</v>
      </c>
      <c r="G101" s="64" t="s">
        <v>5545</v>
      </c>
      <c r="H101" s="64" t="s">
        <v>5476</v>
      </c>
      <c r="I101" s="64" t="s">
        <v>5504</v>
      </c>
      <c r="J101" s="70" t="s">
        <v>5489</v>
      </c>
      <c r="K101" s="70" t="s">
        <v>5522</v>
      </c>
      <c r="L101" s="70">
        <v>1</v>
      </c>
      <c r="M101" s="70" t="s">
        <v>5492</v>
      </c>
      <c r="N101" s="64" t="s">
        <v>5535</v>
      </c>
      <c r="O101" s="64">
        <v>20</v>
      </c>
      <c r="P101" s="64" t="s">
        <v>5546</v>
      </c>
      <c r="Q101" s="67" t="s">
        <v>5495</v>
      </c>
    </row>
    <row r="102" spans="1:17" ht="15" customHeight="1">
      <c r="A102" s="61" t="s">
        <v>561</v>
      </c>
      <c r="B102" s="70">
        <v>3</v>
      </c>
      <c r="C102" s="70">
        <v>10</v>
      </c>
      <c r="D102" s="70">
        <v>40</v>
      </c>
      <c r="E102" s="64"/>
      <c r="F102" s="64" t="s">
        <v>567</v>
      </c>
      <c r="G102" s="64" t="s">
        <v>5545</v>
      </c>
      <c r="H102" s="64" t="s">
        <v>5476</v>
      </c>
      <c r="I102" s="64" t="s">
        <v>5504</v>
      </c>
      <c r="J102" s="70" t="s">
        <v>5489</v>
      </c>
      <c r="K102" s="70" t="s">
        <v>5522</v>
      </c>
      <c r="L102" s="70">
        <v>1</v>
      </c>
      <c r="M102" s="70" t="s">
        <v>5492</v>
      </c>
      <c r="N102" s="64" t="s">
        <v>5535</v>
      </c>
      <c r="O102" s="64">
        <v>20</v>
      </c>
      <c r="P102" s="64" t="s">
        <v>5546</v>
      </c>
      <c r="Q102" s="67" t="s">
        <v>5495</v>
      </c>
    </row>
    <row r="103" spans="1:17" ht="15" customHeight="1">
      <c r="A103" s="61" t="s">
        <v>561</v>
      </c>
      <c r="B103" s="70">
        <v>4</v>
      </c>
      <c r="C103" s="70">
        <v>14</v>
      </c>
      <c r="D103" s="70">
        <v>55</v>
      </c>
      <c r="E103" s="64"/>
      <c r="F103" s="64" t="s">
        <v>567</v>
      </c>
      <c r="G103" s="64" t="s">
        <v>5545</v>
      </c>
      <c r="H103" s="64" t="s">
        <v>5476</v>
      </c>
      <c r="I103" s="64" t="s">
        <v>5504</v>
      </c>
      <c r="J103" s="70" t="s">
        <v>5489</v>
      </c>
      <c r="K103" s="70" t="s">
        <v>5522</v>
      </c>
      <c r="L103" s="70">
        <v>1</v>
      </c>
      <c r="M103" s="70" t="s">
        <v>5492</v>
      </c>
      <c r="N103" s="64" t="s">
        <v>5535</v>
      </c>
      <c r="O103" s="64">
        <v>20</v>
      </c>
      <c r="P103" s="64" t="s">
        <v>5546</v>
      </c>
      <c r="Q103" s="67" t="s">
        <v>5495</v>
      </c>
    </row>
    <row r="104" spans="1:17" ht="15" customHeight="1">
      <c r="A104" s="61" t="s">
        <v>561</v>
      </c>
      <c r="B104" s="70">
        <v>5</v>
      </c>
      <c r="C104" s="70">
        <v>18</v>
      </c>
      <c r="D104" s="70">
        <v>75</v>
      </c>
      <c r="E104" s="64"/>
      <c r="F104" s="64" t="s">
        <v>567</v>
      </c>
      <c r="G104" s="64" t="s">
        <v>5545</v>
      </c>
      <c r="H104" s="64" t="s">
        <v>5476</v>
      </c>
      <c r="I104" s="64" t="s">
        <v>5504</v>
      </c>
      <c r="J104" s="70" t="s">
        <v>5489</v>
      </c>
      <c r="K104" s="70" t="s">
        <v>5522</v>
      </c>
      <c r="L104" s="70">
        <v>1</v>
      </c>
      <c r="M104" s="70" t="s">
        <v>5492</v>
      </c>
      <c r="N104" s="64" t="s">
        <v>5535</v>
      </c>
      <c r="O104" s="64">
        <v>20</v>
      </c>
      <c r="P104" s="64" t="s">
        <v>5546</v>
      </c>
      <c r="Q104" s="67" t="s">
        <v>5495</v>
      </c>
    </row>
    <row r="105" spans="1:17" ht="15" customHeight="1">
      <c r="A105" s="61" t="s">
        <v>561</v>
      </c>
      <c r="B105" s="70">
        <v>6</v>
      </c>
      <c r="C105" s="70">
        <v>22</v>
      </c>
      <c r="D105" s="70">
        <v>95</v>
      </c>
      <c r="E105" s="64"/>
      <c r="F105" s="64" t="s">
        <v>567</v>
      </c>
      <c r="G105" s="64" t="s">
        <v>5545</v>
      </c>
      <c r="H105" s="64" t="s">
        <v>5476</v>
      </c>
      <c r="I105" s="64" t="s">
        <v>5504</v>
      </c>
      <c r="J105" s="70" t="s">
        <v>5489</v>
      </c>
      <c r="K105" s="70" t="s">
        <v>5522</v>
      </c>
      <c r="L105" s="70">
        <v>1</v>
      </c>
      <c r="M105" s="70" t="s">
        <v>5492</v>
      </c>
      <c r="N105" s="64" t="s">
        <v>5535</v>
      </c>
      <c r="O105" s="64">
        <v>20</v>
      </c>
      <c r="P105" s="64" t="s">
        <v>5546</v>
      </c>
      <c r="Q105" s="67" t="s">
        <v>5495</v>
      </c>
    </row>
    <row r="106" spans="1:17" ht="15" customHeight="1">
      <c r="A106" s="62" t="s">
        <v>561</v>
      </c>
      <c r="B106" s="71">
        <v>7</v>
      </c>
      <c r="C106" s="71">
        <v>29</v>
      </c>
      <c r="D106" s="71">
        <v>150</v>
      </c>
      <c r="E106" s="65"/>
      <c r="F106" s="65" t="s">
        <v>567</v>
      </c>
      <c r="G106" s="65" t="s">
        <v>5545</v>
      </c>
      <c r="H106" s="65" t="s">
        <v>5476</v>
      </c>
      <c r="I106" s="65" t="s">
        <v>5504</v>
      </c>
      <c r="J106" s="71" t="s">
        <v>5489</v>
      </c>
      <c r="K106" s="71" t="s">
        <v>5522</v>
      </c>
      <c r="L106" s="71">
        <v>1</v>
      </c>
      <c r="M106" s="71" t="s">
        <v>5492</v>
      </c>
      <c r="N106" s="65" t="s">
        <v>5535</v>
      </c>
      <c r="O106" s="65">
        <v>20</v>
      </c>
      <c r="P106" s="65" t="s">
        <v>5546</v>
      </c>
      <c r="Q106" s="68" t="s">
        <v>5495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1"/>
  <sheetViews>
    <sheetView workbookViewId="0"/>
  </sheetViews>
  <sheetFormatPr baseColWidth="10" defaultColWidth="9.140625" defaultRowHeight="15"/>
  <cols>
    <col min="1" max="1" width="30.140625" style="48" customWidth="1"/>
    <col min="2" max="2" width="31.7109375" style="48" customWidth="1"/>
  </cols>
  <sheetData>
    <row r="1" spans="1:3">
      <c r="A1" t="s">
        <v>5547</v>
      </c>
      <c r="B1" t="s">
        <v>5548</v>
      </c>
      <c r="C1" t="s">
        <v>13</v>
      </c>
    </row>
    <row r="2" spans="1:3">
      <c r="A2" t="s">
        <v>732</v>
      </c>
      <c r="B2" t="s">
        <v>826</v>
      </c>
      <c r="C2">
        <v>10</v>
      </c>
    </row>
    <row r="3" spans="1:3">
      <c r="A3" t="s">
        <v>818</v>
      </c>
      <c r="B3" t="s">
        <v>826</v>
      </c>
      <c r="C3">
        <v>10</v>
      </c>
    </row>
    <row r="4" spans="1:3">
      <c r="A4" t="s">
        <v>749</v>
      </c>
      <c r="B4" t="s">
        <v>826</v>
      </c>
      <c r="C4">
        <v>10</v>
      </c>
    </row>
    <row r="5" spans="1:3">
      <c r="A5" t="s">
        <v>755</v>
      </c>
      <c r="B5" t="s">
        <v>826</v>
      </c>
      <c r="C5">
        <v>10</v>
      </c>
    </row>
    <row r="6" spans="1:3">
      <c r="A6" t="s">
        <v>771</v>
      </c>
      <c r="B6" t="s">
        <v>826</v>
      </c>
      <c r="C6">
        <v>10</v>
      </c>
    </row>
    <row r="7" spans="1:3">
      <c r="A7" t="s">
        <v>765</v>
      </c>
      <c r="B7" t="s">
        <v>826</v>
      </c>
      <c r="C7">
        <v>10</v>
      </c>
    </row>
    <row r="8" spans="1:3">
      <c r="A8" t="s">
        <v>823</v>
      </c>
      <c r="B8" t="s">
        <v>732</v>
      </c>
      <c r="C8">
        <v>10</v>
      </c>
    </row>
    <row r="9" spans="1:3">
      <c r="A9" t="s">
        <v>792</v>
      </c>
      <c r="B9" t="s">
        <v>818</v>
      </c>
      <c r="C9">
        <v>10</v>
      </c>
    </row>
    <row r="10" spans="1:3">
      <c r="A10" t="s">
        <v>777</v>
      </c>
      <c r="B10" t="s">
        <v>755</v>
      </c>
      <c r="C10">
        <v>10</v>
      </c>
    </row>
    <row r="11" spans="1:3">
      <c r="A11" t="s">
        <v>752</v>
      </c>
      <c r="B11" t="s">
        <v>771</v>
      </c>
      <c r="C11">
        <v>10</v>
      </c>
    </row>
    <row r="12" spans="1:3">
      <c r="A12" t="s">
        <v>746</v>
      </c>
      <c r="B12" t="s">
        <v>749</v>
      </c>
      <c r="C12">
        <v>10</v>
      </c>
    </row>
    <row r="13" spans="1:3">
      <c r="A13" t="s">
        <v>801</v>
      </c>
      <c r="B13" t="s">
        <v>823</v>
      </c>
      <c r="C13">
        <v>15</v>
      </c>
    </row>
    <row r="14" spans="1:3">
      <c r="A14" t="s">
        <v>798</v>
      </c>
      <c r="B14" t="s">
        <v>823</v>
      </c>
      <c r="C14">
        <v>15</v>
      </c>
    </row>
    <row r="15" spans="1:3">
      <c r="A15" t="s">
        <v>795</v>
      </c>
      <c r="B15" t="s">
        <v>792</v>
      </c>
      <c r="C15">
        <v>15</v>
      </c>
    </row>
    <row r="16" spans="1:3">
      <c r="A16" t="s">
        <v>807</v>
      </c>
      <c r="B16" t="s">
        <v>777</v>
      </c>
      <c r="C16">
        <v>15</v>
      </c>
    </row>
    <row r="17" spans="1:3">
      <c r="A17" t="s">
        <v>739</v>
      </c>
      <c r="B17" t="s">
        <v>752</v>
      </c>
      <c r="C17">
        <v>15</v>
      </c>
    </row>
    <row r="18" spans="1:3">
      <c r="A18" t="s">
        <v>789</v>
      </c>
      <c r="B18" t="s">
        <v>746</v>
      </c>
      <c r="C18">
        <v>30</v>
      </c>
    </row>
    <row r="19" spans="1:3">
      <c r="A19" t="s">
        <v>789</v>
      </c>
      <c r="B19" t="s">
        <v>765</v>
      </c>
      <c r="C19">
        <v>10</v>
      </c>
    </row>
    <row r="20" spans="1:3">
      <c r="A20" t="s">
        <v>743</v>
      </c>
      <c r="B20" t="s">
        <v>746</v>
      </c>
      <c r="C20">
        <v>15</v>
      </c>
    </row>
    <row r="21" spans="1:3">
      <c r="A21" t="s">
        <v>758</v>
      </c>
      <c r="B21" t="s">
        <v>801</v>
      </c>
      <c r="C21">
        <v>15</v>
      </c>
    </row>
    <row r="22" spans="1:3">
      <c r="A22" t="s">
        <v>758</v>
      </c>
      <c r="B22" t="s">
        <v>739</v>
      </c>
      <c r="C22">
        <v>30</v>
      </c>
    </row>
    <row r="23" spans="1:3">
      <c r="A23" t="s">
        <v>758</v>
      </c>
      <c r="B23" t="s">
        <v>761</v>
      </c>
      <c r="C23">
        <v>30</v>
      </c>
    </row>
    <row r="24" spans="1:3">
      <c r="A24" t="s">
        <v>761</v>
      </c>
      <c r="B24" t="s">
        <v>795</v>
      </c>
      <c r="C24">
        <v>15</v>
      </c>
    </row>
    <row r="25" spans="1:3">
      <c r="A25" t="s">
        <v>804</v>
      </c>
      <c r="B25" t="s">
        <v>795</v>
      </c>
      <c r="C25">
        <v>20</v>
      </c>
    </row>
    <row r="26" spans="1:3">
      <c r="A26" t="s">
        <v>768</v>
      </c>
      <c r="B26" t="s">
        <v>807</v>
      </c>
      <c r="C26">
        <v>15</v>
      </c>
    </row>
    <row r="27" spans="1:3">
      <c r="A27" t="s">
        <v>780</v>
      </c>
      <c r="B27" t="s">
        <v>739</v>
      </c>
      <c r="C27">
        <v>20</v>
      </c>
    </row>
    <row r="28" spans="1:3">
      <c r="A28" t="s">
        <v>810</v>
      </c>
      <c r="B28" t="s">
        <v>743</v>
      </c>
      <c r="C28">
        <v>15</v>
      </c>
    </row>
    <row r="29" spans="1:3">
      <c r="A29" t="s">
        <v>786</v>
      </c>
      <c r="B29" t="s">
        <v>789</v>
      </c>
      <c r="C29">
        <v>30</v>
      </c>
    </row>
    <row r="30" spans="1:3">
      <c r="A30" t="s">
        <v>783</v>
      </c>
      <c r="B30" t="s">
        <v>758</v>
      </c>
      <c r="C30">
        <v>25</v>
      </c>
    </row>
    <row r="31" spans="1:3">
      <c r="A31" t="s">
        <v>774</v>
      </c>
      <c r="B31" t="s">
        <v>783</v>
      </c>
      <c r="C31">
        <v>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40"/>
  <sheetViews>
    <sheetView workbookViewId="0"/>
  </sheetViews>
  <sheetFormatPr baseColWidth="10" defaultColWidth="9.140625" defaultRowHeight="15"/>
  <sheetData>
    <row r="1" spans="1:9">
      <c r="A1" t="s">
        <v>6</v>
      </c>
      <c r="B1" t="s">
        <v>5474</v>
      </c>
      <c r="C1" t="s">
        <v>5549</v>
      </c>
      <c r="D1" t="s">
        <v>5550</v>
      </c>
      <c r="E1" t="s">
        <v>5551</v>
      </c>
      <c r="F1" t="s">
        <v>5552</v>
      </c>
      <c r="H1" t="s">
        <v>4319</v>
      </c>
      <c r="I1" t="s">
        <v>5553</v>
      </c>
    </row>
    <row r="2" spans="1:9">
      <c r="A2" t="s">
        <v>5554</v>
      </c>
      <c r="B2" t="s">
        <v>5555</v>
      </c>
      <c r="C2">
        <v>1</v>
      </c>
      <c r="D2" t="s">
        <v>5556</v>
      </c>
      <c r="E2" t="s">
        <v>5557</v>
      </c>
      <c r="F2" t="s">
        <v>5558</v>
      </c>
      <c r="G2" t="s">
        <v>5559</v>
      </c>
      <c r="H2" t="s">
        <v>4747</v>
      </c>
      <c r="I2" t="s">
        <v>5560</v>
      </c>
    </row>
    <row r="3" spans="1:9">
      <c r="A3" t="s">
        <v>5554</v>
      </c>
      <c r="B3" t="s">
        <v>5561</v>
      </c>
      <c r="C3">
        <v>1</v>
      </c>
      <c r="D3" t="s">
        <v>5556</v>
      </c>
      <c r="E3" t="s">
        <v>5557</v>
      </c>
      <c r="F3" t="s">
        <v>5558</v>
      </c>
      <c r="G3" t="s">
        <v>5559</v>
      </c>
      <c r="H3" t="s">
        <v>4747</v>
      </c>
      <c r="I3" t="s">
        <v>5562</v>
      </c>
    </row>
    <row r="4" spans="1:9">
      <c r="A4" t="s">
        <v>5554</v>
      </c>
      <c r="B4" t="s">
        <v>5563</v>
      </c>
      <c r="C4">
        <v>1</v>
      </c>
      <c r="D4" t="s">
        <v>5556</v>
      </c>
      <c r="E4" t="s">
        <v>5557</v>
      </c>
      <c r="F4">
        <v>470</v>
      </c>
      <c r="G4" t="s">
        <v>5564</v>
      </c>
      <c r="H4" t="s">
        <v>4747</v>
      </c>
      <c r="I4" t="s">
        <v>5565</v>
      </c>
    </row>
    <row r="5" spans="1:9">
      <c r="A5" t="s">
        <v>5554</v>
      </c>
      <c r="B5" t="s">
        <v>5566</v>
      </c>
      <c r="C5">
        <v>1</v>
      </c>
      <c r="D5" t="s">
        <v>5556</v>
      </c>
      <c r="E5" t="s">
        <v>5557</v>
      </c>
      <c r="F5">
        <v>282</v>
      </c>
      <c r="G5" t="s">
        <v>5564</v>
      </c>
      <c r="H5" t="s">
        <v>4747</v>
      </c>
      <c r="I5" t="s">
        <v>5565</v>
      </c>
    </row>
    <row r="6" spans="1:9">
      <c r="A6" t="s">
        <v>5554</v>
      </c>
      <c r="B6" t="s">
        <v>5567</v>
      </c>
      <c r="C6">
        <v>1</v>
      </c>
      <c r="D6" t="s">
        <v>5556</v>
      </c>
      <c r="E6" t="s">
        <v>5557</v>
      </c>
      <c r="F6">
        <v>750</v>
      </c>
      <c r="G6" t="s">
        <v>5564</v>
      </c>
      <c r="H6" t="s">
        <v>4747</v>
      </c>
      <c r="I6" t="s">
        <v>5565</v>
      </c>
    </row>
    <row r="7" spans="1:9">
      <c r="A7" t="s">
        <v>5554</v>
      </c>
      <c r="B7" t="s">
        <v>5568</v>
      </c>
      <c r="C7">
        <v>1</v>
      </c>
      <c r="D7" t="s">
        <v>5556</v>
      </c>
      <c r="E7" t="s">
        <v>5557</v>
      </c>
      <c r="F7">
        <v>2250</v>
      </c>
      <c r="G7" t="s">
        <v>5564</v>
      </c>
      <c r="H7" t="s">
        <v>4747</v>
      </c>
      <c r="I7" t="s">
        <v>5565</v>
      </c>
    </row>
    <row r="8" spans="1:9">
      <c r="A8" t="s">
        <v>5554</v>
      </c>
      <c r="B8" t="s">
        <v>5569</v>
      </c>
      <c r="C8">
        <v>1</v>
      </c>
      <c r="D8" t="s">
        <v>5556</v>
      </c>
      <c r="E8" t="s">
        <v>5557</v>
      </c>
      <c r="F8">
        <v>3380</v>
      </c>
      <c r="G8" t="s">
        <v>5564</v>
      </c>
      <c r="H8" t="s">
        <v>4747</v>
      </c>
      <c r="I8" t="s">
        <v>5565</v>
      </c>
    </row>
    <row r="9" spans="1:9">
      <c r="A9" t="s">
        <v>5554</v>
      </c>
      <c r="B9" t="s">
        <v>5570</v>
      </c>
      <c r="C9">
        <v>1</v>
      </c>
      <c r="D9" t="s">
        <v>5556</v>
      </c>
      <c r="E9" t="s">
        <v>5557</v>
      </c>
      <c r="F9" t="s">
        <v>5558</v>
      </c>
      <c r="G9" t="s">
        <v>5559</v>
      </c>
      <c r="H9" t="s">
        <v>4747</v>
      </c>
      <c r="I9" t="s">
        <v>5571</v>
      </c>
    </row>
    <row r="10" spans="1:9">
      <c r="A10" t="s">
        <v>5554</v>
      </c>
      <c r="B10" t="s">
        <v>5572</v>
      </c>
      <c r="C10">
        <v>1</v>
      </c>
      <c r="D10" t="s">
        <v>5556</v>
      </c>
      <c r="E10" t="s">
        <v>5557</v>
      </c>
      <c r="F10">
        <v>250</v>
      </c>
      <c r="G10" t="s">
        <v>5573</v>
      </c>
      <c r="H10" t="s">
        <v>4747</v>
      </c>
      <c r="I10" t="s">
        <v>5574</v>
      </c>
    </row>
    <row r="11" spans="1:9">
      <c r="A11" t="s">
        <v>5554</v>
      </c>
      <c r="B11" t="s">
        <v>5575</v>
      </c>
      <c r="C11">
        <v>1</v>
      </c>
      <c r="D11" t="s">
        <v>5556</v>
      </c>
      <c r="E11" t="s">
        <v>5557</v>
      </c>
      <c r="F11">
        <v>150</v>
      </c>
      <c r="G11" t="s">
        <v>5573</v>
      </c>
      <c r="H11" t="s">
        <v>4747</v>
      </c>
      <c r="I11" t="s">
        <v>5574</v>
      </c>
    </row>
    <row r="12" spans="1:9">
      <c r="A12" t="s">
        <v>5554</v>
      </c>
      <c r="B12" t="s">
        <v>5576</v>
      </c>
      <c r="C12">
        <v>1</v>
      </c>
      <c r="D12" t="s">
        <v>5556</v>
      </c>
      <c r="E12" t="s">
        <v>5557</v>
      </c>
      <c r="F12">
        <v>400</v>
      </c>
      <c r="G12" t="s">
        <v>5573</v>
      </c>
      <c r="H12" t="s">
        <v>4747</v>
      </c>
      <c r="I12" t="s">
        <v>5574</v>
      </c>
    </row>
    <row r="13" spans="1:9">
      <c r="A13" t="s">
        <v>5554</v>
      </c>
      <c r="B13" t="s">
        <v>5577</v>
      </c>
      <c r="C13">
        <v>1</v>
      </c>
      <c r="D13" t="s">
        <v>5556</v>
      </c>
      <c r="E13" t="s">
        <v>5557</v>
      </c>
      <c r="F13">
        <v>1200</v>
      </c>
      <c r="G13" t="s">
        <v>5573</v>
      </c>
      <c r="H13" t="s">
        <v>4747</v>
      </c>
      <c r="I13" t="s">
        <v>5574</v>
      </c>
    </row>
    <row r="14" spans="1:9">
      <c r="A14" t="s">
        <v>5554</v>
      </c>
      <c r="B14" t="s">
        <v>5578</v>
      </c>
      <c r="C14">
        <v>1</v>
      </c>
      <c r="D14" t="s">
        <v>5556</v>
      </c>
      <c r="E14" t="s">
        <v>5557</v>
      </c>
      <c r="F14">
        <v>1800</v>
      </c>
      <c r="G14" t="s">
        <v>5573</v>
      </c>
      <c r="H14" t="s">
        <v>4747</v>
      </c>
      <c r="I14" t="s">
        <v>5574</v>
      </c>
    </row>
    <row r="15" spans="1:9">
      <c r="A15" t="s">
        <v>5554</v>
      </c>
      <c r="B15" t="s">
        <v>5579</v>
      </c>
      <c r="C15">
        <v>1</v>
      </c>
      <c r="D15" t="s">
        <v>5556</v>
      </c>
      <c r="E15" t="s">
        <v>5557</v>
      </c>
      <c r="F15">
        <v>190</v>
      </c>
      <c r="G15" t="s">
        <v>5580</v>
      </c>
      <c r="H15" t="s">
        <v>4747</v>
      </c>
      <c r="I15" t="s">
        <v>5581</v>
      </c>
    </row>
    <row r="16" spans="1:9">
      <c r="A16" t="s">
        <v>5554</v>
      </c>
      <c r="B16" t="s">
        <v>5582</v>
      </c>
      <c r="C16">
        <v>1</v>
      </c>
      <c r="D16" t="s">
        <v>5556</v>
      </c>
      <c r="E16" t="s">
        <v>5557</v>
      </c>
      <c r="F16">
        <v>115</v>
      </c>
      <c r="G16" t="s">
        <v>5580</v>
      </c>
      <c r="H16" t="s">
        <v>4747</v>
      </c>
      <c r="I16" t="s">
        <v>5581</v>
      </c>
    </row>
    <row r="17" spans="1:9">
      <c r="A17" t="s">
        <v>5554</v>
      </c>
      <c r="B17" t="s">
        <v>5583</v>
      </c>
      <c r="C17">
        <v>1</v>
      </c>
      <c r="D17" t="s">
        <v>5556</v>
      </c>
      <c r="E17" t="s">
        <v>5557</v>
      </c>
      <c r="F17">
        <v>1350</v>
      </c>
      <c r="G17" t="s">
        <v>5580</v>
      </c>
      <c r="H17" t="s">
        <v>4747</v>
      </c>
      <c r="I17" t="s">
        <v>5581</v>
      </c>
    </row>
    <row r="18" spans="1:9">
      <c r="A18" t="s">
        <v>5554</v>
      </c>
      <c r="B18" t="s">
        <v>5584</v>
      </c>
      <c r="C18">
        <v>1</v>
      </c>
      <c r="D18" t="s">
        <v>5556</v>
      </c>
      <c r="E18" t="s">
        <v>5557</v>
      </c>
      <c r="F18">
        <v>300</v>
      </c>
      <c r="G18" t="s">
        <v>5580</v>
      </c>
      <c r="H18" t="s">
        <v>4747</v>
      </c>
      <c r="I18" t="s">
        <v>5581</v>
      </c>
    </row>
    <row r="19" spans="1:9">
      <c r="A19" t="s">
        <v>5554</v>
      </c>
      <c r="B19" t="s">
        <v>5585</v>
      </c>
      <c r="C19">
        <v>1</v>
      </c>
      <c r="D19" t="s">
        <v>5556</v>
      </c>
      <c r="E19" t="s">
        <v>5557</v>
      </c>
      <c r="F19">
        <v>900</v>
      </c>
      <c r="G19" t="s">
        <v>5580</v>
      </c>
      <c r="H19" t="s">
        <v>4747</v>
      </c>
      <c r="I19" t="s">
        <v>5581</v>
      </c>
    </row>
    <row r="20" spans="1:9">
      <c r="A20" t="s">
        <v>5554</v>
      </c>
      <c r="B20" t="s">
        <v>5586</v>
      </c>
      <c r="C20">
        <v>1</v>
      </c>
      <c r="D20" t="s">
        <v>5556</v>
      </c>
      <c r="E20" t="s">
        <v>5557</v>
      </c>
      <c r="F20">
        <v>282</v>
      </c>
      <c r="G20" t="s">
        <v>5587</v>
      </c>
      <c r="H20" t="s">
        <v>4747</v>
      </c>
      <c r="I20" t="s">
        <v>5588</v>
      </c>
    </row>
    <row r="21" spans="1:9">
      <c r="A21" t="s">
        <v>5554</v>
      </c>
      <c r="B21" t="s">
        <v>5589</v>
      </c>
      <c r="C21">
        <v>1</v>
      </c>
      <c r="D21" t="s">
        <v>5556</v>
      </c>
      <c r="E21" t="s">
        <v>5557</v>
      </c>
      <c r="F21">
        <v>169</v>
      </c>
      <c r="G21" t="s">
        <v>5587</v>
      </c>
      <c r="H21" t="s">
        <v>4747</v>
      </c>
      <c r="I21" t="s">
        <v>5588</v>
      </c>
    </row>
    <row r="22" spans="1:9">
      <c r="A22" t="s">
        <v>5554</v>
      </c>
      <c r="B22" t="s">
        <v>5590</v>
      </c>
      <c r="C22">
        <v>1</v>
      </c>
      <c r="D22" t="s">
        <v>5556</v>
      </c>
      <c r="E22" t="s">
        <v>5557</v>
      </c>
      <c r="F22">
        <v>2040</v>
      </c>
      <c r="G22" t="s">
        <v>5587</v>
      </c>
      <c r="H22" t="s">
        <v>4747</v>
      </c>
      <c r="I22" t="s">
        <v>5588</v>
      </c>
    </row>
    <row r="23" spans="1:9">
      <c r="A23" t="s">
        <v>5554</v>
      </c>
      <c r="B23" t="s">
        <v>5591</v>
      </c>
      <c r="C23">
        <v>1</v>
      </c>
      <c r="D23" t="s">
        <v>5556</v>
      </c>
      <c r="E23" t="s">
        <v>5557</v>
      </c>
      <c r="F23">
        <v>450</v>
      </c>
      <c r="G23" t="s">
        <v>5587</v>
      </c>
      <c r="H23" t="s">
        <v>4747</v>
      </c>
      <c r="I23" t="s">
        <v>5588</v>
      </c>
    </row>
    <row r="24" spans="1:9">
      <c r="A24" t="s">
        <v>5554</v>
      </c>
      <c r="B24" t="s">
        <v>5592</v>
      </c>
      <c r="C24">
        <v>1</v>
      </c>
      <c r="D24" t="s">
        <v>5556</v>
      </c>
      <c r="E24" t="s">
        <v>5557</v>
      </c>
      <c r="F24">
        <v>1350</v>
      </c>
      <c r="G24" t="s">
        <v>5587</v>
      </c>
      <c r="H24" t="s">
        <v>4747</v>
      </c>
      <c r="I24" t="s">
        <v>5588</v>
      </c>
    </row>
    <row r="25" spans="1:9">
      <c r="A25" t="s">
        <v>5554</v>
      </c>
      <c r="B25" t="s">
        <v>5593</v>
      </c>
      <c r="C25">
        <v>1</v>
      </c>
      <c r="D25" t="s">
        <v>5556</v>
      </c>
      <c r="E25" t="s">
        <v>5557</v>
      </c>
      <c r="F25">
        <v>938</v>
      </c>
      <c r="G25" t="s">
        <v>5594</v>
      </c>
      <c r="H25" t="s">
        <v>4747</v>
      </c>
      <c r="I25" t="s">
        <v>5595</v>
      </c>
    </row>
    <row r="26" spans="1:9">
      <c r="A26" t="s">
        <v>5554</v>
      </c>
      <c r="B26" t="s">
        <v>5596</v>
      </c>
      <c r="C26">
        <v>1</v>
      </c>
      <c r="D26" t="s">
        <v>5556</v>
      </c>
      <c r="E26" t="s">
        <v>5557</v>
      </c>
      <c r="F26">
        <v>563</v>
      </c>
      <c r="G26" t="s">
        <v>5594</v>
      </c>
      <c r="H26" t="s">
        <v>4747</v>
      </c>
      <c r="I26" t="s">
        <v>5595</v>
      </c>
    </row>
    <row r="27" spans="1:9">
      <c r="A27" t="s">
        <v>5554</v>
      </c>
      <c r="B27" t="s">
        <v>5597</v>
      </c>
      <c r="C27">
        <v>1</v>
      </c>
      <c r="D27" t="s">
        <v>5556</v>
      </c>
      <c r="E27" t="s">
        <v>5557</v>
      </c>
      <c r="F27">
        <v>1500</v>
      </c>
      <c r="G27" t="s">
        <v>5594</v>
      </c>
      <c r="H27" t="s">
        <v>4747</v>
      </c>
      <c r="I27" t="s">
        <v>5595</v>
      </c>
    </row>
    <row r="28" spans="1:9">
      <c r="A28" t="s">
        <v>5554</v>
      </c>
      <c r="B28" t="s">
        <v>5598</v>
      </c>
      <c r="C28">
        <v>1</v>
      </c>
      <c r="D28" t="s">
        <v>5556</v>
      </c>
      <c r="E28" t="s">
        <v>5557</v>
      </c>
      <c r="F28">
        <v>4500</v>
      </c>
      <c r="G28" t="s">
        <v>5594</v>
      </c>
      <c r="H28" t="s">
        <v>4747</v>
      </c>
      <c r="I28" t="s">
        <v>5595</v>
      </c>
    </row>
    <row r="29" spans="1:9">
      <c r="A29" t="s">
        <v>5554</v>
      </c>
      <c r="B29" t="s">
        <v>5599</v>
      </c>
      <c r="C29">
        <v>1</v>
      </c>
      <c r="D29" t="s">
        <v>5556</v>
      </c>
      <c r="E29" t="s">
        <v>5557</v>
      </c>
      <c r="F29">
        <v>6750</v>
      </c>
      <c r="G29" t="s">
        <v>5594</v>
      </c>
      <c r="H29" t="s">
        <v>4747</v>
      </c>
      <c r="I29" t="s">
        <v>5595</v>
      </c>
    </row>
    <row r="30" spans="1:9">
      <c r="A30" t="s">
        <v>5554</v>
      </c>
      <c r="B30" t="s">
        <v>5600</v>
      </c>
      <c r="C30">
        <v>1</v>
      </c>
      <c r="D30" t="s">
        <v>5556</v>
      </c>
      <c r="E30" t="s">
        <v>5557</v>
      </c>
      <c r="F30">
        <v>250</v>
      </c>
      <c r="G30" t="s">
        <v>1174</v>
      </c>
      <c r="H30" t="s">
        <v>4747</v>
      </c>
      <c r="I30" t="s">
        <v>5595</v>
      </c>
    </row>
    <row r="31" spans="1:9">
      <c r="A31" t="s">
        <v>5554</v>
      </c>
      <c r="B31" t="s">
        <v>5601</v>
      </c>
      <c r="C31">
        <v>1</v>
      </c>
      <c r="D31" t="s">
        <v>5556</v>
      </c>
      <c r="E31" t="s">
        <v>5557</v>
      </c>
      <c r="F31">
        <v>150</v>
      </c>
      <c r="G31" t="s">
        <v>1174</v>
      </c>
      <c r="H31" t="s">
        <v>4747</v>
      </c>
      <c r="I31" t="s">
        <v>5595</v>
      </c>
    </row>
    <row r="32" spans="1:9">
      <c r="A32" t="s">
        <v>5554</v>
      </c>
      <c r="B32" t="s">
        <v>5602</v>
      </c>
      <c r="C32">
        <v>1</v>
      </c>
      <c r="D32" t="s">
        <v>5556</v>
      </c>
      <c r="E32" t="s">
        <v>5557</v>
      </c>
      <c r="F32">
        <v>1800</v>
      </c>
      <c r="G32" t="s">
        <v>1174</v>
      </c>
      <c r="H32" t="s">
        <v>4747</v>
      </c>
      <c r="I32" t="s">
        <v>5595</v>
      </c>
    </row>
    <row r="33" spans="1:9">
      <c r="A33" t="s">
        <v>5554</v>
      </c>
      <c r="B33" t="s">
        <v>5603</v>
      </c>
      <c r="C33">
        <v>1</v>
      </c>
      <c r="D33" t="s">
        <v>5556</v>
      </c>
      <c r="E33" t="s">
        <v>5557</v>
      </c>
      <c r="F33">
        <v>400</v>
      </c>
      <c r="G33" t="s">
        <v>1174</v>
      </c>
      <c r="H33" t="s">
        <v>4747</v>
      </c>
      <c r="I33" t="s">
        <v>5595</v>
      </c>
    </row>
    <row r="34" spans="1:9">
      <c r="A34" t="s">
        <v>5554</v>
      </c>
      <c r="B34" t="s">
        <v>5604</v>
      </c>
      <c r="C34">
        <v>1</v>
      </c>
      <c r="D34" t="s">
        <v>5556</v>
      </c>
      <c r="E34" t="s">
        <v>5557</v>
      </c>
      <c r="F34">
        <v>1200</v>
      </c>
      <c r="G34" t="s">
        <v>1174</v>
      </c>
      <c r="H34" t="s">
        <v>4747</v>
      </c>
      <c r="I34" t="s">
        <v>5595</v>
      </c>
    </row>
    <row r="35" spans="1:9">
      <c r="A35" t="s">
        <v>5554</v>
      </c>
      <c r="B35" t="s">
        <v>5605</v>
      </c>
      <c r="C35">
        <v>1</v>
      </c>
      <c r="D35" t="s">
        <v>5556</v>
      </c>
      <c r="E35" t="s">
        <v>5557</v>
      </c>
      <c r="F35">
        <v>1000</v>
      </c>
      <c r="G35" t="s">
        <v>5606</v>
      </c>
      <c r="H35" t="s">
        <v>4747</v>
      </c>
      <c r="I35" t="s">
        <v>5595</v>
      </c>
    </row>
    <row r="36" spans="1:9">
      <c r="A36" t="s">
        <v>5554</v>
      </c>
      <c r="B36" t="s">
        <v>5607</v>
      </c>
      <c r="C36">
        <v>1</v>
      </c>
      <c r="D36" t="s">
        <v>5556</v>
      </c>
      <c r="E36" t="s">
        <v>5557</v>
      </c>
      <c r="F36">
        <v>3000</v>
      </c>
      <c r="G36" t="s">
        <v>5606</v>
      </c>
      <c r="H36" t="s">
        <v>4747</v>
      </c>
      <c r="I36" t="s">
        <v>5595</v>
      </c>
    </row>
    <row r="37" spans="1:9">
      <c r="A37" t="s">
        <v>5554</v>
      </c>
      <c r="B37" t="s">
        <v>5608</v>
      </c>
      <c r="C37">
        <v>1</v>
      </c>
      <c r="D37" t="s">
        <v>5556</v>
      </c>
      <c r="E37" t="s">
        <v>5557</v>
      </c>
      <c r="F37">
        <v>4500</v>
      </c>
      <c r="G37" t="s">
        <v>5606</v>
      </c>
      <c r="H37" t="s">
        <v>4747</v>
      </c>
      <c r="I37" t="s">
        <v>5595</v>
      </c>
    </row>
    <row r="38" spans="1:9">
      <c r="A38" t="s">
        <v>5554</v>
      </c>
      <c r="B38" t="s">
        <v>5609</v>
      </c>
      <c r="C38">
        <v>1</v>
      </c>
      <c r="D38" t="s">
        <v>5556</v>
      </c>
      <c r="E38" t="s">
        <v>5557</v>
      </c>
      <c r="F38" t="s">
        <v>5558</v>
      </c>
      <c r="G38" t="s">
        <v>5559</v>
      </c>
      <c r="H38" t="s">
        <v>4747</v>
      </c>
      <c r="I38" t="s">
        <v>5610</v>
      </c>
    </row>
    <row r="39" spans="1:9">
      <c r="A39" t="s">
        <v>5554</v>
      </c>
      <c r="B39" t="s">
        <v>5611</v>
      </c>
      <c r="C39">
        <v>1</v>
      </c>
      <c r="D39" t="s">
        <v>5556</v>
      </c>
      <c r="E39" t="s">
        <v>5557</v>
      </c>
      <c r="F39">
        <v>532</v>
      </c>
      <c r="G39" t="s">
        <v>5612</v>
      </c>
      <c r="H39" t="s">
        <v>4747</v>
      </c>
      <c r="I39" t="s">
        <v>5613</v>
      </c>
    </row>
    <row r="40" spans="1:9">
      <c r="A40" t="s">
        <v>5554</v>
      </c>
      <c r="B40" t="s">
        <v>5614</v>
      </c>
      <c r="C40">
        <v>1</v>
      </c>
      <c r="D40" t="s">
        <v>5556</v>
      </c>
      <c r="E40" t="s">
        <v>5557</v>
      </c>
      <c r="F40">
        <v>319</v>
      </c>
      <c r="G40" t="s">
        <v>5612</v>
      </c>
      <c r="H40" t="s">
        <v>4747</v>
      </c>
      <c r="I40" t="s">
        <v>5613</v>
      </c>
    </row>
    <row r="41" spans="1:9">
      <c r="A41" t="s">
        <v>5554</v>
      </c>
      <c r="B41" t="s">
        <v>5615</v>
      </c>
      <c r="C41">
        <v>1</v>
      </c>
      <c r="D41" t="s">
        <v>5556</v>
      </c>
      <c r="E41" t="s">
        <v>5557</v>
      </c>
      <c r="F41">
        <v>850</v>
      </c>
      <c r="G41" t="s">
        <v>5612</v>
      </c>
      <c r="H41" t="s">
        <v>4747</v>
      </c>
      <c r="I41" t="s">
        <v>5613</v>
      </c>
    </row>
    <row r="42" spans="1:9">
      <c r="A42" t="s">
        <v>5554</v>
      </c>
      <c r="B42" t="s">
        <v>5616</v>
      </c>
      <c r="C42">
        <v>1</v>
      </c>
      <c r="D42" t="s">
        <v>5556</v>
      </c>
      <c r="E42" t="s">
        <v>5557</v>
      </c>
      <c r="F42">
        <v>2550</v>
      </c>
      <c r="G42" t="s">
        <v>5612</v>
      </c>
      <c r="H42" t="s">
        <v>4747</v>
      </c>
      <c r="I42" t="s">
        <v>5613</v>
      </c>
    </row>
    <row r="43" spans="1:9">
      <c r="A43" t="s">
        <v>5554</v>
      </c>
      <c r="B43" t="s">
        <v>5617</v>
      </c>
      <c r="C43">
        <v>1</v>
      </c>
      <c r="D43" t="s">
        <v>5556</v>
      </c>
      <c r="E43" t="s">
        <v>5557</v>
      </c>
      <c r="F43">
        <v>3850</v>
      </c>
      <c r="G43" t="s">
        <v>5612</v>
      </c>
      <c r="H43" t="s">
        <v>4747</v>
      </c>
      <c r="I43" t="s">
        <v>5613</v>
      </c>
    </row>
    <row r="44" spans="1:9">
      <c r="A44" t="s">
        <v>5554</v>
      </c>
      <c r="B44" t="s">
        <v>5618</v>
      </c>
      <c r="C44">
        <v>1</v>
      </c>
      <c r="D44" t="s">
        <v>5556</v>
      </c>
      <c r="E44" t="s">
        <v>5557</v>
      </c>
      <c r="F44">
        <v>375</v>
      </c>
      <c r="G44" t="s">
        <v>5619</v>
      </c>
      <c r="H44" t="s">
        <v>4747</v>
      </c>
      <c r="I44" t="s">
        <v>5620</v>
      </c>
    </row>
    <row r="45" spans="1:9">
      <c r="A45" t="s">
        <v>5554</v>
      </c>
      <c r="B45" t="s">
        <v>5621</v>
      </c>
      <c r="C45">
        <v>1</v>
      </c>
      <c r="D45" t="s">
        <v>5556</v>
      </c>
      <c r="E45" t="s">
        <v>5557</v>
      </c>
      <c r="F45">
        <v>225</v>
      </c>
      <c r="G45" t="s">
        <v>5619</v>
      </c>
      <c r="H45" t="s">
        <v>4747</v>
      </c>
      <c r="I45" t="s">
        <v>5620</v>
      </c>
    </row>
    <row r="46" spans="1:9">
      <c r="A46" t="s">
        <v>5554</v>
      </c>
      <c r="B46" t="s">
        <v>5622</v>
      </c>
      <c r="C46">
        <v>1</v>
      </c>
      <c r="D46" t="s">
        <v>5556</v>
      </c>
      <c r="E46" t="s">
        <v>5557</v>
      </c>
      <c r="F46">
        <v>2700</v>
      </c>
      <c r="G46" t="s">
        <v>5619</v>
      </c>
      <c r="H46" t="s">
        <v>4747</v>
      </c>
      <c r="I46" t="s">
        <v>5620</v>
      </c>
    </row>
    <row r="47" spans="1:9">
      <c r="A47" t="s">
        <v>5554</v>
      </c>
      <c r="B47" t="s">
        <v>5623</v>
      </c>
      <c r="C47">
        <v>1</v>
      </c>
      <c r="D47" t="s">
        <v>5556</v>
      </c>
      <c r="E47" t="s">
        <v>5557</v>
      </c>
      <c r="F47">
        <v>600</v>
      </c>
      <c r="G47" t="s">
        <v>5619</v>
      </c>
      <c r="H47" t="s">
        <v>4747</v>
      </c>
      <c r="I47" t="s">
        <v>5620</v>
      </c>
    </row>
    <row r="48" spans="1:9">
      <c r="A48" t="s">
        <v>5554</v>
      </c>
      <c r="B48" t="s">
        <v>5624</v>
      </c>
      <c r="C48">
        <v>1</v>
      </c>
      <c r="D48" t="s">
        <v>5556</v>
      </c>
      <c r="E48" t="s">
        <v>5557</v>
      </c>
      <c r="F48">
        <v>1800</v>
      </c>
      <c r="G48" t="s">
        <v>5619</v>
      </c>
      <c r="H48" t="s">
        <v>4747</v>
      </c>
      <c r="I48" t="s">
        <v>5620</v>
      </c>
    </row>
    <row r="49" spans="1:9">
      <c r="A49" t="s">
        <v>5625</v>
      </c>
      <c r="B49" t="s">
        <v>5626</v>
      </c>
      <c r="C49">
        <v>1</v>
      </c>
      <c r="D49" t="s">
        <v>5627</v>
      </c>
      <c r="E49">
        <v>5</v>
      </c>
      <c r="F49">
        <v>35</v>
      </c>
      <c r="H49" t="s">
        <v>4727</v>
      </c>
      <c r="I49" t="s">
        <v>5628</v>
      </c>
    </row>
    <row r="50" spans="1:9">
      <c r="A50" t="s">
        <v>5625</v>
      </c>
      <c r="B50" t="s">
        <v>5629</v>
      </c>
      <c r="C50">
        <v>1</v>
      </c>
      <c r="D50" t="s">
        <v>5630</v>
      </c>
      <c r="E50">
        <v>1</v>
      </c>
      <c r="F50">
        <v>85</v>
      </c>
      <c r="H50" t="s">
        <v>4727</v>
      </c>
      <c r="I50" t="s">
        <v>5628</v>
      </c>
    </row>
    <row r="51" spans="1:9">
      <c r="A51" t="s">
        <v>5625</v>
      </c>
      <c r="B51" t="s">
        <v>5631</v>
      </c>
      <c r="C51">
        <v>1</v>
      </c>
      <c r="D51" t="s">
        <v>5632</v>
      </c>
      <c r="E51">
        <v>1</v>
      </c>
      <c r="F51">
        <v>500</v>
      </c>
      <c r="H51" t="s">
        <v>4727</v>
      </c>
      <c r="I51" t="s">
        <v>5628</v>
      </c>
    </row>
    <row r="52" spans="1:9">
      <c r="A52" t="s">
        <v>5633</v>
      </c>
      <c r="B52" t="s">
        <v>5634</v>
      </c>
      <c r="C52">
        <v>1</v>
      </c>
      <c r="D52" t="s">
        <v>5635</v>
      </c>
      <c r="E52">
        <v>0.2</v>
      </c>
      <c r="F52">
        <v>1</v>
      </c>
      <c r="H52" t="s">
        <v>4727</v>
      </c>
      <c r="I52" t="s">
        <v>5628</v>
      </c>
    </row>
    <row r="53" spans="1:9">
      <c r="A53" t="s">
        <v>5625</v>
      </c>
      <c r="B53" t="s">
        <v>5636</v>
      </c>
      <c r="C53">
        <v>1</v>
      </c>
      <c r="D53" t="s">
        <v>5637</v>
      </c>
      <c r="E53">
        <v>2E-3</v>
      </c>
      <c r="F53">
        <v>92</v>
      </c>
      <c r="H53" t="s">
        <v>4727</v>
      </c>
      <c r="I53" t="s">
        <v>5638</v>
      </c>
    </row>
    <row r="54" spans="1:9">
      <c r="A54" t="s">
        <v>5639</v>
      </c>
      <c r="B54" t="s">
        <v>5640</v>
      </c>
      <c r="C54">
        <v>1</v>
      </c>
      <c r="D54" t="s">
        <v>5641</v>
      </c>
      <c r="E54">
        <v>0.1</v>
      </c>
      <c r="F54">
        <v>0.98</v>
      </c>
      <c r="H54" t="s">
        <v>4727</v>
      </c>
      <c r="I54" t="s">
        <v>5642</v>
      </c>
    </row>
    <row r="55" spans="1:9">
      <c r="A55" t="s">
        <v>5639</v>
      </c>
      <c r="B55" t="s">
        <v>5643</v>
      </c>
      <c r="C55">
        <v>1</v>
      </c>
      <c r="D55" t="s">
        <v>5641</v>
      </c>
      <c r="E55">
        <v>0.1</v>
      </c>
      <c r="F55">
        <v>1.3</v>
      </c>
      <c r="H55" t="s">
        <v>4727</v>
      </c>
      <c r="I55" t="s">
        <v>5642</v>
      </c>
    </row>
    <row r="56" spans="1:9">
      <c r="A56" t="s">
        <v>5639</v>
      </c>
      <c r="B56" t="s">
        <v>5644</v>
      </c>
      <c r="C56">
        <v>1</v>
      </c>
      <c r="D56" t="s">
        <v>5641</v>
      </c>
      <c r="E56">
        <v>0.1</v>
      </c>
      <c r="F56">
        <v>3.5</v>
      </c>
      <c r="H56" t="s">
        <v>4727</v>
      </c>
      <c r="I56" t="s">
        <v>5642</v>
      </c>
    </row>
    <row r="57" spans="1:9">
      <c r="A57" t="s">
        <v>5625</v>
      </c>
      <c r="B57" t="s">
        <v>5645</v>
      </c>
      <c r="C57">
        <v>1</v>
      </c>
      <c r="D57" t="s">
        <v>5646</v>
      </c>
      <c r="E57">
        <v>1</v>
      </c>
      <c r="F57">
        <v>13</v>
      </c>
      <c r="H57" t="s">
        <v>4727</v>
      </c>
      <c r="I57" t="s">
        <v>5647</v>
      </c>
    </row>
    <row r="58" spans="1:9">
      <c r="A58" t="s">
        <v>5625</v>
      </c>
      <c r="B58" t="s">
        <v>5648</v>
      </c>
      <c r="C58">
        <v>1</v>
      </c>
      <c r="D58" t="s">
        <v>5646</v>
      </c>
      <c r="E58">
        <v>1</v>
      </c>
      <c r="F58">
        <v>13</v>
      </c>
      <c r="H58" t="s">
        <v>4727</v>
      </c>
      <c r="I58" t="s">
        <v>5647</v>
      </c>
    </row>
    <row r="59" spans="1:9">
      <c r="A59" t="s">
        <v>5649</v>
      </c>
      <c r="B59" t="s">
        <v>5650</v>
      </c>
      <c r="C59">
        <v>1</v>
      </c>
      <c r="D59" t="s">
        <v>5646</v>
      </c>
      <c r="E59">
        <v>0.02</v>
      </c>
      <c r="F59">
        <v>4.5</v>
      </c>
      <c r="H59" t="s">
        <v>4727</v>
      </c>
      <c r="I59" t="s">
        <v>5647</v>
      </c>
    </row>
    <row r="60" spans="1:9">
      <c r="A60" t="s">
        <v>5649</v>
      </c>
      <c r="B60" t="s">
        <v>5651</v>
      </c>
      <c r="C60">
        <v>1</v>
      </c>
      <c r="D60" t="s">
        <v>5556</v>
      </c>
      <c r="E60">
        <v>0.5</v>
      </c>
      <c r="F60">
        <v>0.1</v>
      </c>
      <c r="H60" t="s">
        <v>4727</v>
      </c>
      <c r="I60" t="s">
        <v>5647</v>
      </c>
    </row>
    <row r="61" spans="1:9">
      <c r="A61" t="s">
        <v>5652</v>
      </c>
      <c r="B61" t="s">
        <v>5653</v>
      </c>
      <c r="C61">
        <v>1</v>
      </c>
      <c r="D61" t="s">
        <v>5556</v>
      </c>
      <c r="E61">
        <v>0.25</v>
      </c>
      <c r="F61">
        <v>0.88</v>
      </c>
      <c r="H61" t="s">
        <v>4727</v>
      </c>
      <c r="I61" t="s">
        <v>5647</v>
      </c>
    </row>
    <row r="62" spans="1:9">
      <c r="A62" t="s">
        <v>5654</v>
      </c>
      <c r="B62" t="s">
        <v>5655</v>
      </c>
      <c r="C62">
        <v>1</v>
      </c>
      <c r="D62" t="s">
        <v>5556</v>
      </c>
      <c r="E62">
        <v>0.13</v>
      </c>
      <c r="F62">
        <v>3.5</v>
      </c>
      <c r="H62" t="s">
        <v>4727</v>
      </c>
      <c r="I62" t="s">
        <v>5647</v>
      </c>
    </row>
    <row r="63" spans="1:9">
      <c r="A63" t="s">
        <v>5625</v>
      </c>
      <c r="B63" t="s">
        <v>5656</v>
      </c>
      <c r="C63">
        <v>1</v>
      </c>
      <c r="D63" t="s">
        <v>5646</v>
      </c>
      <c r="E63">
        <v>1</v>
      </c>
      <c r="F63">
        <v>66</v>
      </c>
      <c r="H63" t="s">
        <v>4727</v>
      </c>
      <c r="I63" t="s">
        <v>5657</v>
      </c>
    </row>
    <row r="64" spans="1:9">
      <c r="A64" t="s">
        <v>5658</v>
      </c>
      <c r="B64" t="s">
        <v>5659</v>
      </c>
      <c r="C64">
        <v>1</v>
      </c>
      <c r="D64" t="s">
        <v>5646</v>
      </c>
      <c r="E64">
        <v>1</v>
      </c>
      <c r="F64">
        <v>3.5</v>
      </c>
      <c r="H64" t="s">
        <v>4727</v>
      </c>
      <c r="I64" t="s">
        <v>5660</v>
      </c>
    </row>
    <row r="65" spans="1:9">
      <c r="A65" t="s">
        <v>5633</v>
      </c>
      <c r="B65" t="s">
        <v>5661</v>
      </c>
      <c r="C65">
        <v>1</v>
      </c>
      <c r="D65" t="s">
        <v>5632</v>
      </c>
      <c r="E65">
        <v>0.25</v>
      </c>
      <c r="F65">
        <v>0.45</v>
      </c>
      <c r="H65" t="s">
        <v>4727</v>
      </c>
      <c r="I65" t="s">
        <v>5662</v>
      </c>
    </row>
    <row r="66" spans="1:9">
      <c r="A66" t="s">
        <v>5649</v>
      </c>
      <c r="B66" t="s">
        <v>5663</v>
      </c>
      <c r="C66">
        <v>1</v>
      </c>
      <c r="D66" t="s">
        <v>5632</v>
      </c>
      <c r="E66">
        <v>0.5</v>
      </c>
      <c r="F66">
        <v>2</v>
      </c>
      <c r="H66" t="s">
        <v>4727</v>
      </c>
      <c r="I66" t="s">
        <v>5662</v>
      </c>
    </row>
    <row r="67" spans="1:9">
      <c r="A67" t="s">
        <v>5649</v>
      </c>
      <c r="B67" t="s">
        <v>5664</v>
      </c>
      <c r="C67">
        <v>1</v>
      </c>
      <c r="D67" t="s">
        <v>5632</v>
      </c>
      <c r="E67">
        <v>0.13</v>
      </c>
      <c r="F67">
        <v>3</v>
      </c>
      <c r="H67" t="s">
        <v>4727</v>
      </c>
      <c r="I67" t="s">
        <v>5662</v>
      </c>
    </row>
    <row r="68" spans="1:9">
      <c r="A68" t="s">
        <v>5649</v>
      </c>
      <c r="B68" t="s">
        <v>5665</v>
      </c>
      <c r="C68">
        <v>1</v>
      </c>
      <c r="D68" t="s">
        <v>5641</v>
      </c>
      <c r="E68">
        <v>0.02</v>
      </c>
      <c r="F68">
        <v>14</v>
      </c>
      <c r="H68" t="s">
        <v>4727</v>
      </c>
      <c r="I68" t="s">
        <v>5662</v>
      </c>
    </row>
    <row r="69" spans="1:9">
      <c r="A69" t="s">
        <v>5625</v>
      </c>
      <c r="B69" t="s">
        <v>5666</v>
      </c>
      <c r="C69">
        <v>1</v>
      </c>
      <c r="D69" t="s">
        <v>5641</v>
      </c>
      <c r="E69">
        <v>0.12</v>
      </c>
      <c r="F69">
        <v>18</v>
      </c>
      <c r="H69" t="s">
        <v>4727</v>
      </c>
      <c r="I69" t="s">
        <v>5667</v>
      </c>
    </row>
    <row r="70" spans="1:9">
      <c r="A70" t="s">
        <v>5649</v>
      </c>
      <c r="B70" t="s">
        <v>5668</v>
      </c>
      <c r="C70">
        <v>1</v>
      </c>
      <c r="D70" t="s">
        <v>5646</v>
      </c>
      <c r="E70">
        <v>0.02</v>
      </c>
      <c r="F70">
        <v>2.2000000000000002</v>
      </c>
      <c r="H70" t="s">
        <v>4727</v>
      </c>
      <c r="I70" t="s">
        <v>5669</v>
      </c>
    </row>
    <row r="71" spans="1:9">
      <c r="A71" t="s">
        <v>5649</v>
      </c>
      <c r="B71" t="s">
        <v>5670</v>
      </c>
      <c r="C71">
        <v>1</v>
      </c>
      <c r="D71" t="s">
        <v>5646</v>
      </c>
      <c r="E71">
        <v>0.08</v>
      </c>
      <c r="F71">
        <v>12</v>
      </c>
      <c r="H71" t="s">
        <v>4727</v>
      </c>
      <c r="I71" t="s">
        <v>5669</v>
      </c>
    </row>
    <row r="72" spans="1:9">
      <c r="A72" t="s">
        <v>5625</v>
      </c>
      <c r="B72" t="s">
        <v>5671</v>
      </c>
      <c r="C72">
        <v>1</v>
      </c>
      <c r="D72" t="s">
        <v>5632</v>
      </c>
      <c r="E72">
        <v>1</v>
      </c>
      <c r="F72">
        <v>23</v>
      </c>
      <c r="H72" t="s">
        <v>4727</v>
      </c>
      <c r="I72" t="s">
        <v>5672</v>
      </c>
    </row>
    <row r="73" spans="1:9">
      <c r="A73" t="s">
        <v>5625</v>
      </c>
      <c r="B73" t="s">
        <v>5673</v>
      </c>
      <c r="C73">
        <v>1</v>
      </c>
      <c r="D73" t="s">
        <v>5632</v>
      </c>
      <c r="E73">
        <v>1</v>
      </c>
      <c r="F73">
        <v>25</v>
      </c>
      <c r="H73" t="s">
        <v>4727</v>
      </c>
      <c r="I73" t="s">
        <v>5672</v>
      </c>
    </row>
    <row r="74" spans="1:9">
      <c r="A74" t="s">
        <v>5674</v>
      </c>
      <c r="B74" t="s">
        <v>5675</v>
      </c>
      <c r="C74">
        <v>1</v>
      </c>
      <c r="D74" t="s">
        <v>5630</v>
      </c>
      <c r="E74">
        <v>0.5</v>
      </c>
      <c r="F74">
        <v>0.4</v>
      </c>
      <c r="H74" t="s">
        <v>4727</v>
      </c>
      <c r="I74" t="s">
        <v>5672</v>
      </c>
    </row>
    <row r="75" spans="1:9">
      <c r="A75" t="s">
        <v>5676</v>
      </c>
      <c r="B75" t="s">
        <v>5677</v>
      </c>
      <c r="C75">
        <v>1</v>
      </c>
      <c r="D75" t="s">
        <v>5678</v>
      </c>
      <c r="E75">
        <v>0.5</v>
      </c>
      <c r="F75">
        <v>0.1</v>
      </c>
      <c r="H75" t="s">
        <v>4530</v>
      </c>
      <c r="I75" t="s">
        <v>5679</v>
      </c>
    </row>
    <row r="76" spans="1:9">
      <c r="A76" t="s">
        <v>5676</v>
      </c>
      <c r="B76" t="s">
        <v>5680</v>
      </c>
      <c r="C76">
        <v>1</v>
      </c>
      <c r="D76" t="s">
        <v>5678</v>
      </c>
      <c r="E76">
        <v>1</v>
      </c>
      <c r="F76">
        <v>7.4999999999999997E-2</v>
      </c>
      <c r="H76" t="s">
        <v>4530</v>
      </c>
      <c r="I76" t="s">
        <v>5679</v>
      </c>
    </row>
    <row r="77" spans="1:9">
      <c r="A77" t="s">
        <v>5676</v>
      </c>
      <c r="B77" t="s">
        <v>5681</v>
      </c>
      <c r="C77">
        <v>1</v>
      </c>
      <c r="D77" t="s">
        <v>5678</v>
      </c>
      <c r="E77">
        <v>0.5</v>
      </c>
      <c r="F77">
        <v>1.4999999999999999E-2</v>
      </c>
      <c r="H77" t="s">
        <v>4530</v>
      </c>
      <c r="I77" t="s">
        <v>5679</v>
      </c>
    </row>
    <row r="78" spans="1:9">
      <c r="A78" t="s">
        <v>5676</v>
      </c>
      <c r="B78" t="s">
        <v>5682</v>
      </c>
      <c r="C78">
        <v>1</v>
      </c>
      <c r="D78" t="s">
        <v>5678</v>
      </c>
      <c r="E78">
        <v>1</v>
      </c>
      <c r="F78">
        <v>7.4999999999999997E-2</v>
      </c>
      <c r="H78" t="s">
        <v>4530</v>
      </c>
      <c r="I78" t="s">
        <v>5679</v>
      </c>
    </row>
    <row r="79" spans="1:9">
      <c r="A79" t="s">
        <v>5676</v>
      </c>
      <c r="B79" t="s">
        <v>5683</v>
      </c>
      <c r="C79">
        <v>1</v>
      </c>
      <c r="D79" t="s">
        <v>5678</v>
      </c>
      <c r="E79">
        <v>0.5</v>
      </c>
      <c r="F79">
        <v>0.05</v>
      </c>
      <c r="H79" t="s">
        <v>4530</v>
      </c>
      <c r="I79" t="s">
        <v>5679</v>
      </c>
    </row>
    <row r="80" spans="1:9">
      <c r="A80" t="s">
        <v>5676</v>
      </c>
      <c r="B80" t="s">
        <v>5684</v>
      </c>
      <c r="C80">
        <v>1</v>
      </c>
      <c r="D80" t="s">
        <v>5678</v>
      </c>
      <c r="E80">
        <v>1</v>
      </c>
      <c r="F80">
        <v>0.15</v>
      </c>
      <c r="H80" t="s">
        <v>4530</v>
      </c>
      <c r="I80" t="s">
        <v>5679</v>
      </c>
    </row>
    <row r="81" spans="1:9">
      <c r="A81" t="s">
        <v>5676</v>
      </c>
      <c r="B81" t="s">
        <v>5685</v>
      </c>
      <c r="C81">
        <v>1</v>
      </c>
      <c r="D81" t="s">
        <v>5678</v>
      </c>
      <c r="E81">
        <v>0.5</v>
      </c>
      <c r="F81">
        <v>0.1</v>
      </c>
      <c r="H81" t="s">
        <v>4530</v>
      </c>
      <c r="I81" t="s">
        <v>5679</v>
      </c>
    </row>
    <row r="82" spans="1:9">
      <c r="A82" t="s">
        <v>5674</v>
      </c>
      <c r="B82" t="s">
        <v>5686</v>
      </c>
      <c r="C82">
        <v>1</v>
      </c>
      <c r="D82" t="s">
        <v>5630</v>
      </c>
      <c r="E82">
        <v>0.5</v>
      </c>
      <c r="F82">
        <v>2.5000000000000001E-2</v>
      </c>
      <c r="H82" t="s">
        <v>4530</v>
      </c>
      <c r="I82" t="s">
        <v>5679</v>
      </c>
    </row>
    <row r="83" spans="1:9">
      <c r="A83" t="s">
        <v>5676</v>
      </c>
      <c r="B83" t="s">
        <v>5687</v>
      </c>
      <c r="C83">
        <v>1</v>
      </c>
      <c r="D83" t="s">
        <v>5635</v>
      </c>
      <c r="E83">
        <v>0.25</v>
      </c>
      <c r="F83">
        <v>0.43</v>
      </c>
      <c r="H83" t="s">
        <v>4530</v>
      </c>
      <c r="I83" t="s">
        <v>5688</v>
      </c>
    </row>
    <row r="84" spans="1:9">
      <c r="A84" t="s">
        <v>5676</v>
      </c>
      <c r="B84" t="s">
        <v>5689</v>
      </c>
      <c r="C84">
        <v>1</v>
      </c>
      <c r="D84" t="s">
        <v>5635</v>
      </c>
      <c r="E84">
        <v>0.5</v>
      </c>
      <c r="F84">
        <v>1</v>
      </c>
      <c r="H84" t="s">
        <v>4530</v>
      </c>
      <c r="I84" t="s">
        <v>5688</v>
      </c>
    </row>
    <row r="85" spans="1:9">
      <c r="A85" t="s">
        <v>5676</v>
      </c>
      <c r="B85" t="s">
        <v>5690</v>
      </c>
      <c r="C85">
        <v>1</v>
      </c>
      <c r="D85" t="s">
        <v>5635</v>
      </c>
      <c r="E85">
        <v>1</v>
      </c>
      <c r="F85">
        <v>3.5</v>
      </c>
      <c r="H85" t="s">
        <v>4530</v>
      </c>
      <c r="I85" t="s">
        <v>5688</v>
      </c>
    </row>
    <row r="86" spans="1:9">
      <c r="A86" t="s">
        <v>5676</v>
      </c>
      <c r="B86" t="s">
        <v>5691</v>
      </c>
      <c r="C86">
        <v>1</v>
      </c>
      <c r="D86" t="s">
        <v>5556</v>
      </c>
      <c r="E86">
        <v>0.5</v>
      </c>
      <c r="F86">
        <v>0.2</v>
      </c>
      <c r="H86" t="s">
        <v>4530</v>
      </c>
      <c r="I86" t="s">
        <v>5688</v>
      </c>
    </row>
    <row r="87" spans="1:9">
      <c r="A87" t="s">
        <v>5676</v>
      </c>
      <c r="B87" t="s">
        <v>5692</v>
      </c>
      <c r="C87">
        <v>1</v>
      </c>
      <c r="D87" t="s">
        <v>5678</v>
      </c>
      <c r="E87">
        <v>0.5</v>
      </c>
      <c r="F87">
        <v>0.25</v>
      </c>
      <c r="H87" t="s">
        <v>4530</v>
      </c>
      <c r="I87" t="s">
        <v>5688</v>
      </c>
    </row>
    <row r="88" spans="1:9">
      <c r="A88" t="s">
        <v>5676</v>
      </c>
      <c r="B88" t="s">
        <v>5693</v>
      </c>
      <c r="C88">
        <v>1</v>
      </c>
      <c r="D88" t="s">
        <v>5556</v>
      </c>
      <c r="E88">
        <v>0.5</v>
      </c>
      <c r="F88">
        <v>0.2</v>
      </c>
      <c r="H88" t="s">
        <v>4530</v>
      </c>
      <c r="I88" t="s">
        <v>5688</v>
      </c>
    </row>
    <row r="89" spans="1:9">
      <c r="A89" t="s">
        <v>5676</v>
      </c>
      <c r="B89" t="s">
        <v>5694</v>
      </c>
      <c r="C89">
        <v>1</v>
      </c>
      <c r="D89" t="s">
        <v>5635</v>
      </c>
      <c r="E89">
        <v>0.1</v>
      </c>
      <c r="F89">
        <v>0.15</v>
      </c>
      <c r="H89" t="s">
        <v>4530</v>
      </c>
      <c r="I89" t="s">
        <v>5688</v>
      </c>
    </row>
    <row r="90" spans="1:9">
      <c r="A90" t="s">
        <v>5676</v>
      </c>
      <c r="B90" t="s">
        <v>5695</v>
      </c>
      <c r="C90">
        <v>1</v>
      </c>
      <c r="D90" t="s">
        <v>5635</v>
      </c>
      <c r="E90">
        <v>0.1</v>
      </c>
      <c r="F90">
        <v>0.43</v>
      </c>
      <c r="H90" t="s">
        <v>4530</v>
      </c>
      <c r="I90" t="s">
        <v>5688</v>
      </c>
    </row>
    <row r="91" spans="1:9">
      <c r="A91" t="s">
        <v>5676</v>
      </c>
      <c r="B91" t="s">
        <v>5696</v>
      </c>
      <c r="C91">
        <v>1</v>
      </c>
      <c r="D91" t="s">
        <v>5678</v>
      </c>
      <c r="E91">
        <v>0.5</v>
      </c>
      <c r="F91">
        <v>0.3</v>
      </c>
      <c r="H91" t="s">
        <v>4530</v>
      </c>
      <c r="I91" t="s">
        <v>5688</v>
      </c>
    </row>
    <row r="92" spans="1:9">
      <c r="A92" t="s">
        <v>5676</v>
      </c>
      <c r="B92" t="s">
        <v>5697</v>
      </c>
      <c r="C92">
        <v>1</v>
      </c>
      <c r="D92" t="s">
        <v>5698</v>
      </c>
      <c r="E92">
        <v>0.02</v>
      </c>
      <c r="F92">
        <v>0.15</v>
      </c>
      <c r="H92" t="s">
        <v>4530</v>
      </c>
      <c r="I92" t="s">
        <v>5688</v>
      </c>
    </row>
    <row r="93" spans="1:9">
      <c r="A93" t="s">
        <v>5649</v>
      </c>
      <c r="B93" t="s">
        <v>5699</v>
      </c>
      <c r="C93">
        <v>1</v>
      </c>
      <c r="D93" t="s">
        <v>5700</v>
      </c>
      <c r="E93" t="s">
        <v>5557</v>
      </c>
      <c r="F93">
        <v>0.5</v>
      </c>
      <c r="H93" t="s">
        <v>4622</v>
      </c>
      <c r="I93" t="s">
        <v>5701</v>
      </c>
    </row>
    <row r="94" spans="1:9">
      <c r="A94" t="s">
        <v>5649</v>
      </c>
      <c r="B94" t="s">
        <v>5702</v>
      </c>
      <c r="C94">
        <v>1</v>
      </c>
      <c r="D94" t="s">
        <v>5700</v>
      </c>
      <c r="E94" t="s">
        <v>5557</v>
      </c>
      <c r="F94">
        <v>2</v>
      </c>
      <c r="H94" t="s">
        <v>4622</v>
      </c>
      <c r="I94" t="s">
        <v>5701</v>
      </c>
    </row>
    <row r="95" spans="1:9">
      <c r="A95" t="s">
        <v>5649</v>
      </c>
      <c r="B95" t="s">
        <v>5703</v>
      </c>
      <c r="C95">
        <v>1</v>
      </c>
      <c r="D95" t="s">
        <v>5700</v>
      </c>
      <c r="E95" t="s">
        <v>5557</v>
      </c>
      <c r="F95">
        <v>0.75</v>
      </c>
      <c r="H95" t="s">
        <v>4622</v>
      </c>
      <c r="I95" t="s">
        <v>5701</v>
      </c>
    </row>
    <row r="96" spans="1:9">
      <c r="A96" t="s">
        <v>5649</v>
      </c>
      <c r="B96" t="s">
        <v>5704</v>
      </c>
      <c r="C96">
        <v>1</v>
      </c>
      <c r="D96" t="s">
        <v>5700</v>
      </c>
      <c r="E96" t="s">
        <v>5557</v>
      </c>
      <c r="F96">
        <v>1</v>
      </c>
      <c r="H96" t="s">
        <v>4622</v>
      </c>
      <c r="I96" t="s">
        <v>5701</v>
      </c>
    </row>
    <row r="97" spans="1:9">
      <c r="A97" t="s">
        <v>5649</v>
      </c>
      <c r="B97" t="s">
        <v>5705</v>
      </c>
      <c r="C97">
        <v>1</v>
      </c>
      <c r="D97" t="s">
        <v>5700</v>
      </c>
      <c r="E97" t="s">
        <v>5557</v>
      </c>
      <c r="F97">
        <v>2</v>
      </c>
      <c r="H97" t="s">
        <v>4622</v>
      </c>
      <c r="I97" t="s">
        <v>5706</v>
      </c>
    </row>
    <row r="98" spans="1:9">
      <c r="A98" t="s">
        <v>5649</v>
      </c>
      <c r="B98" t="s">
        <v>5707</v>
      </c>
      <c r="C98">
        <v>1</v>
      </c>
      <c r="D98" t="s">
        <v>5700</v>
      </c>
      <c r="E98" t="s">
        <v>5557</v>
      </c>
      <c r="F98">
        <v>15</v>
      </c>
      <c r="H98" t="s">
        <v>4622</v>
      </c>
      <c r="I98" t="s">
        <v>5706</v>
      </c>
    </row>
    <row r="99" spans="1:9">
      <c r="A99" t="s">
        <v>5649</v>
      </c>
      <c r="B99" t="s">
        <v>5708</v>
      </c>
      <c r="C99">
        <v>1</v>
      </c>
      <c r="D99" t="s">
        <v>5700</v>
      </c>
      <c r="E99" t="s">
        <v>5557</v>
      </c>
      <c r="F99">
        <v>0.9</v>
      </c>
      <c r="H99" t="s">
        <v>4622</v>
      </c>
      <c r="I99" t="s">
        <v>5706</v>
      </c>
    </row>
    <row r="100" spans="1:9">
      <c r="A100" t="s">
        <v>5674</v>
      </c>
      <c r="B100" t="s">
        <v>5709</v>
      </c>
      <c r="C100">
        <v>1</v>
      </c>
      <c r="D100" t="s">
        <v>5700</v>
      </c>
      <c r="E100" t="s">
        <v>5557</v>
      </c>
      <c r="F100">
        <v>10</v>
      </c>
      <c r="H100" t="s">
        <v>4622</v>
      </c>
      <c r="I100" t="s">
        <v>5706</v>
      </c>
    </row>
    <row r="101" spans="1:9">
      <c r="A101" t="s">
        <v>5710</v>
      </c>
      <c r="B101" t="s">
        <v>5711</v>
      </c>
      <c r="C101">
        <v>1</v>
      </c>
      <c r="D101" t="s">
        <v>5712</v>
      </c>
      <c r="E101">
        <v>2.0000000000000001E-4</v>
      </c>
      <c r="F101">
        <v>3.6</v>
      </c>
      <c r="G101" t="s">
        <v>5713</v>
      </c>
      <c r="H101" t="s">
        <v>4713</v>
      </c>
      <c r="I101" t="s">
        <v>5710</v>
      </c>
    </row>
    <row r="102" spans="1:9">
      <c r="A102" t="s">
        <v>5710</v>
      </c>
      <c r="B102" t="s">
        <v>5714</v>
      </c>
      <c r="C102">
        <v>1</v>
      </c>
      <c r="D102" t="s">
        <v>5712</v>
      </c>
      <c r="E102">
        <v>2.0000000000000001E-4</v>
      </c>
      <c r="F102">
        <v>1.3</v>
      </c>
      <c r="G102" t="s">
        <v>5715</v>
      </c>
      <c r="H102" t="s">
        <v>4713</v>
      </c>
      <c r="I102" t="s">
        <v>5710</v>
      </c>
    </row>
    <row r="103" spans="1:9">
      <c r="A103" t="s">
        <v>5710</v>
      </c>
      <c r="B103" t="s">
        <v>5716</v>
      </c>
      <c r="C103">
        <v>1</v>
      </c>
      <c r="D103" t="s">
        <v>5712</v>
      </c>
      <c r="E103">
        <v>2.0000000000000001E-4</v>
      </c>
      <c r="F103">
        <v>2.2000000000000002</v>
      </c>
      <c r="G103" t="s">
        <v>5717</v>
      </c>
      <c r="H103" t="s">
        <v>4713</v>
      </c>
      <c r="I103" t="s">
        <v>5710</v>
      </c>
    </row>
    <row r="104" spans="1:9">
      <c r="A104" t="s">
        <v>5710</v>
      </c>
      <c r="B104" t="s">
        <v>5718</v>
      </c>
      <c r="C104">
        <v>1</v>
      </c>
      <c r="D104" t="s">
        <v>5712</v>
      </c>
      <c r="E104">
        <v>2.0000000000000001E-4</v>
      </c>
      <c r="F104">
        <v>3</v>
      </c>
      <c r="H104" t="s">
        <v>4713</v>
      </c>
      <c r="I104" t="s">
        <v>5710</v>
      </c>
    </row>
    <row r="105" spans="1:9">
      <c r="A105" t="s">
        <v>5710</v>
      </c>
      <c r="B105" t="s">
        <v>5719</v>
      </c>
      <c r="C105">
        <v>1</v>
      </c>
      <c r="D105" t="s">
        <v>5712</v>
      </c>
      <c r="E105">
        <v>2.0000000000000001E-4</v>
      </c>
      <c r="F105">
        <v>4.4000000000000004</v>
      </c>
      <c r="H105" t="s">
        <v>4713</v>
      </c>
      <c r="I105" t="s">
        <v>5710</v>
      </c>
    </row>
    <row r="106" spans="1:9">
      <c r="A106" t="s">
        <v>5710</v>
      </c>
      <c r="B106" t="s">
        <v>5720</v>
      </c>
      <c r="C106">
        <v>1</v>
      </c>
      <c r="D106" t="s">
        <v>5712</v>
      </c>
      <c r="E106">
        <v>2.0000000000000001E-4</v>
      </c>
      <c r="F106">
        <v>8</v>
      </c>
      <c r="H106" t="s">
        <v>4713</v>
      </c>
      <c r="I106" t="s">
        <v>5710</v>
      </c>
    </row>
    <row r="107" spans="1:9">
      <c r="A107" t="s">
        <v>5710</v>
      </c>
      <c r="B107" t="s">
        <v>5721</v>
      </c>
      <c r="C107">
        <v>1</v>
      </c>
      <c r="D107" t="s">
        <v>5712</v>
      </c>
      <c r="E107">
        <v>2.0000000000000001E-4</v>
      </c>
      <c r="F107">
        <v>16</v>
      </c>
      <c r="H107" t="s">
        <v>4713</v>
      </c>
      <c r="I107" t="s">
        <v>5710</v>
      </c>
    </row>
    <row r="108" spans="1:9">
      <c r="A108" t="s">
        <v>5710</v>
      </c>
      <c r="B108" t="s">
        <v>5722</v>
      </c>
      <c r="C108">
        <v>1</v>
      </c>
      <c r="D108" t="s">
        <v>5712</v>
      </c>
      <c r="E108">
        <v>2.0000000000000001E-4</v>
      </c>
      <c r="F108">
        <v>20</v>
      </c>
      <c r="H108" t="s">
        <v>4713</v>
      </c>
      <c r="I108" t="s">
        <v>5710</v>
      </c>
    </row>
    <row r="109" spans="1:9">
      <c r="A109" t="s">
        <v>5710</v>
      </c>
      <c r="B109" t="s">
        <v>5723</v>
      </c>
      <c r="C109">
        <v>1</v>
      </c>
      <c r="D109" t="s">
        <v>5712</v>
      </c>
      <c r="E109">
        <v>2.0000000000000001E-4</v>
      </c>
      <c r="F109">
        <v>25</v>
      </c>
      <c r="H109" t="s">
        <v>4713</v>
      </c>
      <c r="I109" t="s">
        <v>5710</v>
      </c>
    </row>
    <row r="110" spans="1:9">
      <c r="A110" t="s">
        <v>5710</v>
      </c>
      <c r="B110" t="s">
        <v>5724</v>
      </c>
      <c r="C110">
        <v>1</v>
      </c>
      <c r="D110" t="s">
        <v>5712</v>
      </c>
      <c r="E110">
        <v>2.0000000000000001E-4</v>
      </c>
      <c r="F110">
        <v>27</v>
      </c>
      <c r="G110" t="s">
        <v>5725</v>
      </c>
      <c r="H110" t="s">
        <v>4713</v>
      </c>
      <c r="I110" t="s">
        <v>5710</v>
      </c>
    </row>
    <row r="111" spans="1:9">
      <c r="A111" t="s">
        <v>5710</v>
      </c>
      <c r="B111" t="s">
        <v>5726</v>
      </c>
      <c r="C111">
        <v>1</v>
      </c>
      <c r="D111" t="s">
        <v>5712</v>
      </c>
      <c r="E111">
        <v>2.0000000000000001E-4</v>
      </c>
      <c r="F111">
        <v>22</v>
      </c>
      <c r="G111" t="s">
        <v>5727</v>
      </c>
      <c r="H111" t="s">
        <v>4713</v>
      </c>
      <c r="I111" t="s">
        <v>5710</v>
      </c>
    </row>
    <row r="112" spans="1:9">
      <c r="A112" t="s">
        <v>5710</v>
      </c>
      <c r="B112" t="s">
        <v>5728</v>
      </c>
      <c r="C112">
        <v>1</v>
      </c>
      <c r="D112" t="s">
        <v>5712</v>
      </c>
      <c r="E112">
        <v>2.0000000000000001E-4</v>
      </c>
      <c r="F112">
        <v>11</v>
      </c>
      <c r="G112" t="s">
        <v>5729</v>
      </c>
      <c r="H112" t="s">
        <v>4713</v>
      </c>
      <c r="I112" t="s">
        <v>5710</v>
      </c>
    </row>
    <row r="113" spans="1:9">
      <c r="A113" t="s">
        <v>5710</v>
      </c>
      <c r="B113" t="s">
        <v>5730</v>
      </c>
      <c r="C113">
        <v>1</v>
      </c>
      <c r="D113" t="s">
        <v>5712</v>
      </c>
      <c r="E113">
        <v>2.0000000000000001E-4</v>
      </c>
      <c r="F113">
        <v>7</v>
      </c>
      <c r="G113" t="s">
        <v>5731</v>
      </c>
      <c r="H113" t="s">
        <v>4713</v>
      </c>
      <c r="I113" t="s">
        <v>5710</v>
      </c>
    </row>
    <row r="114" spans="1:9">
      <c r="A114" t="s">
        <v>5710</v>
      </c>
      <c r="B114" t="s">
        <v>5732</v>
      </c>
      <c r="C114">
        <v>1</v>
      </c>
      <c r="D114" t="s">
        <v>5712</v>
      </c>
      <c r="E114">
        <v>2.0000000000000001E-4</v>
      </c>
      <c r="F114">
        <v>8</v>
      </c>
      <c r="H114" t="s">
        <v>4713</v>
      </c>
      <c r="I114" t="s">
        <v>5710</v>
      </c>
    </row>
    <row r="115" spans="1:9">
      <c r="A115" t="s">
        <v>5710</v>
      </c>
      <c r="B115" t="s">
        <v>5733</v>
      </c>
      <c r="C115">
        <v>1</v>
      </c>
      <c r="D115" t="s">
        <v>5712</v>
      </c>
      <c r="E115">
        <v>2.0000000000000001E-4</v>
      </c>
      <c r="F115">
        <v>3.5</v>
      </c>
      <c r="G115" t="s">
        <v>5734</v>
      </c>
      <c r="H115" t="s">
        <v>4713</v>
      </c>
      <c r="I115" t="s">
        <v>5710</v>
      </c>
    </row>
    <row r="116" spans="1:9">
      <c r="A116" t="s">
        <v>5710</v>
      </c>
      <c r="B116" t="s">
        <v>5735</v>
      </c>
      <c r="C116">
        <v>1</v>
      </c>
      <c r="D116" t="s">
        <v>5712</v>
      </c>
      <c r="E116">
        <v>2.0000000000000001E-4</v>
      </c>
      <c r="F116">
        <v>1.8</v>
      </c>
      <c r="G116" t="s">
        <v>5736</v>
      </c>
      <c r="H116" t="s">
        <v>4713</v>
      </c>
      <c r="I116" t="s">
        <v>5710</v>
      </c>
    </row>
    <row r="117" spans="1:9">
      <c r="A117" t="s">
        <v>4401</v>
      </c>
      <c r="B117" t="s">
        <v>5737</v>
      </c>
      <c r="C117">
        <v>1</v>
      </c>
      <c r="D117" t="s">
        <v>5738</v>
      </c>
      <c r="E117">
        <v>1</v>
      </c>
      <c r="F117">
        <v>88</v>
      </c>
      <c r="H117" t="s">
        <v>4713</v>
      </c>
      <c r="I117" t="s">
        <v>5710</v>
      </c>
    </row>
    <row r="118" spans="1:9">
      <c r="A118" t="s">
        <v>4401</v>
      </c>
      <c r="B118" t="s">
        <v>5739</v>
      </c>
      <c r="C118">
        <v>1</v>
      </c>
      <c r="D118" t="s">
        <v>5637</v>
      </c>
      <c r="E118">
        <v>1</v>
      </c>
      <c r="F118">
        <v>106</v>
      </c>
      <c r="H118" t="s">
        <v>4713</v>
      </c>
      <c r="I118" t="s">
        <v>5710</v>
      </c>
    </row>
    <row r="119" spans="1:9">
      <c r="A119" t="s">
        <v>5639</v>
      </c>
      <c r="B119" t="s">
        <v>5740</v>
      </c>
      <c r="C119">
        <v>1</v>
      </c>
      <c r="D119" t="s">
        <v>5635</v>
      </c>
      <c r="E119">
        <v>0.02</v>
      </c>
      <c r="F119">
        <v>1.7999999999999999E-2</v>
      </c>
      <c r="H119" t="s">
        <v>4713</v>
      </c>
      <c r="I119" t="s">
        <v>5741</v>
      </c>
    </row>
    <row r="120" spans="1:9">
      <c r="A120" t="s">
        <v>5639</v>
      </c>
      <c r="B120" t="s">
        <v>5742</v>
      </c>
      <c r="C120">
        <v>1</v>
      </c>
      <c r="D120" t="s">
        <v>5556</v>
      </c>
      <c r="E120">
        <v>0.5</v>
      </c>
      <c r="F120">
        <v>0.78</v>
      </c>
      <c r="H120" t="s">
        <v>4713</v>
      </c>
      <c r="I120" t="s">
        <v>5741</v>
      </c>
    </row>
    <row r="121" spans="1:9">
      <c r="A121" t="s">
        <v>5625</v>
      </c>
      <c r="B121" t="s">
        <v>5743</v>
      </c>
      <c r="C121">
        <v>1</v>
      </c>
      <c r="D121" t="s">
        <v>5630</v>
      </c>
      <c r="E121">
        <v>1</v>
      </c>
      <c r="F121">
        <v>3</v>
      </c>
      <c r="H121" t="s">
        <v>4713</v>
      </c>
      <c r="I121" t="s">
        <v>5744</v>
      </c>
    </row>
    <row r="122" spans="1:9">
      <c r="A122" t="s">
        <v>5639</v>
      </c>
      <c r="B122" t="s">
        <v>5745</v>
      </c>
      <c r="C122">
        <v>1</v>
      </c>
      <c r="D122" t="s">
        <v>5746</v>
      </c>
      <c r="E122">
        <v>0.05</v>
      </c>
      <c r="F122">
        <v>5.0000000000000001E-3</v>
      </c>
      <c r="H122" t="s">
        <v>4713</v>
      </c>
      <c r="I122" t="s">
        <v>5744</v>
      </c>
    </row>
    <row r="123" spans="1:9">
      <c r="A123" t="s">
        <v>5625</v>
      </c>
      <c r="B123" t="s">
        <v>5747</v>
      </c>
      <c r="C123">
        <v>1</v>
      </c>
      <c r="D123" t="s">
        <v>5632</v>
      </c>
      <c r="E123">
        <v>1</v>
      </c>
      <c r="F123">
        <v>52</v>
      </c>
      <c r="H123" t="s">
        <v>4713</v>
      </c>
      <c r="I123" t="s">
        <v>5748</v>
      </c>
    </row>
    <row r="124" spans="1:9">
      <c r="A124" t="s">
        <v>5625</v>
      </c>
      <c r="B124" t="s">
        <v>5749</v>
      </c>
      <c r="C124">
        <v>1</v>
      </c>
      <c r="D124" t="s">
        <v>5646</v>
      </c>
      <c r="E124">
        <v>1</v>
      </c>
      <c r="F124">
        <v>8</v>
      </c>
      <c r="H124" t="s">
        <v>4713</v>
      </c>
      <c r="I124" t="s">
        <v>5748</v>
      </c>
    </row>
    <row r="125" spans="1:9">
      <c r="A125" t="s">
        <v>5625</v>
      </c>
      <c r="B125" t="s">
        <v>5750</v>
      </c>
      <c r="C125">
        <v>1</v>
      </c>
      <c r="D125" t="s">
        <v>5630</v>
      </c>
      <c r="E125">
        <v>1</v>
      </c>
      <c r="F125">
        <v>35</v>
      </c>
      <c r="H125" t="s">
        <v>4713</v>
      </c>
      <c r="I125" t="s">
        <v>5672</v>
      </c>
    </row>
    <row r="126" spans="1:9">
      <c r="A126" t="s">
        <v>5625</v>
      </c>
      <c r="B126" t="s">
        <v>5751</v>
      </c>
      <c r="C126">
        <v>1</v>
      </c>
      <c r="D126" t="s">
        <v>5630</v>
      </c>
      <c r="E126">
        <v>1</v>
      </c>
      <c r="F126">
        <v>125</v>
      </c>
      <c r="H126" t="s">
        <v>4713</v>
      </c>
      <c r="I126" t="s">
        <v>5672</v>
      </c>
    </row>
    <row r="127" spans="1:9">
      <c r="A127" t="s">
        <v>5676</v>
      </c>
      <c r="B127" t="s">
        <v>5752</v>
      </c>
      <c r="C127">
        <v>1</v>
      </c>
      <c r="D127" t="s">
        <v>5630</v>
      </c>
      <c r="E127">
        <v>0.5</v>
      </c>
      <c r="F127">
        <v>0.3</v>
      </c>
      <c r="H127" t="s">
        <v>4713</v>
      </c>
      <c r="I127" t="s">
        <v>5672</v>
      </c>
    </row>
    <row r="128" spans="1:9">
      <c r="A128" t="s">
        <v>5753</v>
      </c>
      <c r="B128" t="s">
        <v>5754</v>
      </c>
      <c r="C128">
        <v>1</v>
      </c>
      <c r="D128" t="s">
        <v>5556</v>
      </c>
      <c r="E128" t="s">
        <v>5557</v>
      </c>
      <c r="F128">
        <v>640000</v>
      </c>
      <c r="H128" t="s">
        <v>4372</v>
      </c>
      <c r="I128" t="s">
        <v>5755</v>
      </c>
    </row>
    <row r="129" spans="1:9">
      <c r="A129" t="s">
        <v>5753</v>
      </c>
      <c r="B129" t="s">
        <v>5756</v>
      </c>
      <c r="C129">
        <v>1</v>
      </c>
      <c r="D129" t="s">
        <v>5556</v>
      </c>
      <c r="E129" t="s">
        <v>5557</v>
      </c>
      <c r="F129">
        <v>1400000</v>
      </c>
      <c r="H129" t="s">
        <v>4372</v>
      </c>
      <c r="I129" t="s">
        <v>5755</v>
      </c>
    </row>
    <row r="130" spans="1:9">
      <c r="A130" t="s">
        <v>5753</v>
      </c>
      <c r="B130" t="s">
        <v>5757</v>
      </c>
      <c r="C130">
        <v>1</v>
      </c>
      <c r="D130" t="s">
        <v>5556</v>
      </c>
      <c r="E130" t="s">
        <v>5557</v>
      </c>
      <c r="F130">
        <v>960000</v>
      </c>
      <c r="H130" t="s">
        <v>4372</v>
      </c>
      <c r="I130" t="s">
        <v>5755</v>
      </c>
    </row>
    <row r="131" spans="1:9">
      <c r="A131" t="s">
        <v>5753</v>
      </c>
      <c r="B131" t="s">
        <v>5758</v>
      </c>
      <c r="C131">
        <v>1</v>
      </c>
      <c r="D131" t="s">
        <v>5556</v>
      </c>
      <c r="E131" t="s">
        <v>5557</v>
      </c>
      <c r="F131">
        <v>420000</v>
      </c>
      <c r="H131" t="s">
        <v>4372</v>
      </c>
      <c r="I131" t="s">
        <v>5755</v>
      </c>
    </row>
    <row r="132" spans="1:9">
      <c r="A132" t="s">
        <v>5753</v>
      </c>
      <c r="B132" t="s">
        <v>5759</v>
      </c>
      <c r="C132">
        <v>1</v>
      </c>
      <c r="D132" t="s">
        <v>5556</v>
      </c>
      <c r="E132">
        <v>50</v>
      </c>
      <c r="F132">
        <v>528</v>
      </c>
      <c r="H132" t="s">
        <v>4372</v>
      </c>
      <c r="I132" t="s">
        <v>5760</v>
      </c>
    </row>
    <row r="133" spans="1:9">
      <c r="A133" t="s">
        <v>5753</v>
      </c>
      <c r="B133" t="s">
        <v>5761</v>
      </c>
      <c r="C133">
        <v>1</v>
      </c>
      <c r="D133" t="s">
        <v>5556</v>
      </c>
      <c r="E133">
        <v>400</v>
      </c>
      <c r="F133">
        <v>2860</v>
      </c>
      <c r="H133" t="s">
        <v>4372</v>
      </c>
      <c r="I133" t="s">
        <v>5760</v>
      </c>
    </row>
    <row r="134" spans="1:9">
      <c r="A134" t="s">
        <v>5753</v>
      </c>
      <c r="B134" t="s">
        <v>5762</v>
      </c>
      <c r="C134">
        <v>1</v>
      </c>
      <c r="D134" t="s">
        <v>5556</v>
      </c>
      <c r="E134">
        <v>50</v>
      </c>
      <c r="F134">
        <v>50</v>
      </c>
      <c r="H134" t="s">
        <v>4372</v>
      </c>
      <c r="I134" t="s">
        <v>5760</v>
      </c>
    </row>
    <row r="135" spans="1:9">
      <c r="A135" t="s">
        <v>5753</v>
      </c>
      <c r="B135" t="s">
        <v>5763</v>
      </c>
      <c r="C135">
        <v>1</v>
      </c>
      <c r="D135" t="s">
        <v>5556</v>
      </c>
      <c r="E135" t="s">
        <v>5557</v>
      </c>
      <c r="F135">
        <v>280000</v>
      </c>
      <c r="H135" t="s">
        <v>4372</v>
      </c>
      <c r="I135" t="s">
        <v>5760</v>
      </c>
    </row>
    <row r="136" spans="1:9">
      <c r="A136" t="s">
        <v>5625</v>
      </c>
      <c r="B136" t="s">
        <v>5764</v>
      </c>
      <c r="C136">
        <v>1</v>
      </c>
      <c r="D136" t="s">
        <v>5632</v>
      </c>
      <c r="E136">
        <v>1</v>
      </c>
      <c r="F136">
        <v>20</v>
      </c>
      <c r="H136" t="s">
        <v>4559</v>
      </c>
      <c r="I136" t="s">
        <v>5765</v>
      </c>
    </row>
    <row r="137" spans="1:9">
      <c r="A137" t="s">
        <v>5625</v>
      </c>
      <c r="B137" t="s">
        <v>5766</v>
      </c>
      <c r="C137">
        <v>1</v>
      </c>
      <c r="D137" t="s">
        <v>5632</v>
      </c>
      <c r="E137">
        <v>1</v>
      </c>
      <c r="F137">
        <v>13</v>
      </c>
      <c r="H137" t="s">
        <v>4559</v>
      </c>
      <c r="I137" t="s">
        <v>5765</v>
      </c>
    </row>
    <row r="138" spans="1:9">
      <c r="A138" t="s">
        <v>5625</v>
      </c>
      <c r="B138" t="s">
        <v>5767</v>
      </c>
      <c r="C138">
        <v>1</v>
      </c>
      <c r="D138" t="s">
        <v>5632</v>
      </c>
      <c r="E138">
        <v>1</v>
      </c>
      <c r="F138">
        <v>7.5</v>
      </c>
      <c r="H138" t="s">
        <v>4559</v>
      </c>
      <c r="I138" t="s">
        <v>5765</v>
      </c>
    </row>
    <row r="139" spans="1:9">
      <c r="A139" t="s">
        <v>5676</v>
      </c>
      <c r="B139" t="s">
        <v>5768</v>
      </c>
      <c r="C139">
        <v>1</v>
      </c>
      <c r="D139" t="s">
        <v>5632</v>
      </c>
      <c r="E139">
        <v>0.5</v>
      </c>
      <c r="F139">
        <v>0.5</v>
      </c>
      <c r="H139" t="s">
        <v>4559</v>
      </c>
      <c r="I139" t="s">
        <v>5769</v>
      </c>
    </row>
    <row r="140" spans="1:9">
      <c r="A140" t="s">
        <v>5676</v>
      </c>
      <c r="B140" t="s">
        <v>5770</v>
      </c>
      <c r="C140">
        <v>1</v>
      </c>
      <c r="D140" t="s">
        <v>5632</v>
      </c>
      <c r="E140">
        <v>1</v>
      </c>
      <c r="F140">
        <v>0.4</v>
      </c>
      <c r="H140" t="s">
        <v>4559</v>
      </c>
      <c r="I140" t="s">
        <v>5769</v>
      </c>
    </row>
    <row r="141" spans="1:9">
      <c r="A141" t="s">
        <v>5676</v>
      </c>
      <c r="B141" t="s">
        <v>5771</v>
      </c>
      <c r="C141">
        <v>1</v>
      </c>
      <c r="D141" t="s">
        <v>5632</v>
      </c>
      <c r="E141">
        <v>1</v>
      </c>
      <c r="F141">
        <v>0.5</v>
      </c>
      <c r="H141" t="s">
        <v>4559</v>
      </c>
      <c r="I141" t="s">
        <v>5769</v>
      </c>
    </row>
    <row r="142" spans="1:9">
      <c r="A142" t="s">
        <v>5676</v>
      </c>
      <c r="B142" t="s">
        <v>5772</v>
      </c>
      <c r="C142">
        <v>1</v>
      </c>
      <c r="D142" t="s">
        <v>5632</v>
      </c>
      <c r="E142">
        <v>1</v>
      </c>
      <c r="F142">
        <v>50</v>
      </c>
      <c r="H142" t="s">
        <v>4559</v>
      </c>
      <c r="I142" t="s">
        <v>5769</v>
      </c>
    </row>
    <row r="143" spans="1:9">
      <c r="A143" t="s">
        <v>5649</v>
      </c>
      <c r="B143" t="s">
        <v>5773</v>
      </c>
      <c r="C143">
        <v>1</v>
      </c>
      <c r="D143" t="s">
        <v>5632</v>
      </c>
      <c r="E143">
        <v>0.25</v>
      </c>
      <c r="F143">
        <v>2.8</v>
      </c>
      <c r="H143" t="s">
        <v>4559</v>
      </c>
      <c r="I143" t="s">
        <v>5774</v>
      </c>
    </row>
    <row r="144" spans="1:9">
      <c r="A144" t="s">
        <v>5649</v>
      </c>
      <c r="B144" t="s">
        <v>5775</v>
      </c>
      <c r="C144">
        <v>1</v>
      </c>
      <c r="D144" t="s">
        <v>5632</v>
      </c>
      <c r="E144">
        <v>0.25</v>
      </c>
      <c r="F144">
        <v>3</v>
      </c>
      <c r="H144" t="s">
        <v>4559</v>
      </c>
      <c r="I144" t="s">
        <v>5774</v>
      </c>
    </row>
    <row r="145" spans="1:9">
      <c r="A145" t="s">
        <v>5639</v>
      </c>
      <c r="B145" t="s">
        <v>5776</v>
      </c>
      <c r="C145">
        <v>1</v>
      </c>
      <c r="D145" t="s">
        <v>5556</v>
      </c>
      <c r="E145">
        <v>0.5</v>
      </c>
      <c r="F145">
        <v>15.4</v>
      </c>
      <c r="H145" t="s">
        <v>4630</v>
      </c>
      <c r="I145" t="s">
        <v>5777</v>
      </c>
    </row>
    <row r="146" spans="1:9">
      <c r="A146" t="s">
        <v>5639</v>
      </c>
      <c r="B146" t="s">
        <v>5778</v>
      </c>
      <c r="C146">
        <v>1</v>
      </c>
      <c r="D146" t="s">
        <v>5635</v>
      </c>
      <c r="E146">
        <v>0.08</v>
      </c>
      <c r="F146">
        <v>1.3</v>
      </c>
      <c r="H146" t="s">
        <v>4630</v>
      </c>
      <c r="I146" t="s">
        <v>5779</v>
      </c>
    </row>
    <row r="147" spans="1:9">
      <c r="A147" t="s">
        <v>5639</v>
      </c>
      <c r="B147" t="s">
        <v>5780</v>
      </c>
      <c r="C147">
        <v>1</v>
      </c>
      <c r="D147" t="s">
        <v>5635</v>
      </c>
      <c r="E147">
        <v>0.1</v>
      </c>
      <c r="F147">
        <v>7.5</v>
      </c>
      <c r="H147" t="s">
        <v>4630</v>
      </c>
      <c r="I147" t="s">
        <v>5779</v>
      </c>
    </row>
    <row r="148" spans="1:9">
      <c r="A148" t="s">
        <v>5639</v>
      </c>
      <c r="B148" t="s">
        <v>5781</v>
      </c>
      <c r="C148">
        <v>1</v>
      </c>
      <c r="D148" t="s">
        <v>5556</v>
      </c>
      <c r="E148">
        <v>0.75</v>
      </c>
      <c r="F148">
        <v>18</v>
      </c>
      <c r="H148" t="s">
        <v>4630</v>
      </c>
      <c r="I148" t="s">
        <v>5779</v>
      </c>
    </row>
    <row r="149" spans="1:9">
      <c r="A149" t="s">
        <v>5782</v>
      </c>
      <c r="B149" t="s">
        <v>5783</v>
      </c>
      <c r="C149">
        <v>100</v>
      </c>
      <c r="D149" t="s">
        <v>5784</v>
      </c>
      <c r="E149" t="s">
        <v>5557</v>
      </c>
      <c r="F149">
        <v>5</v>
      </c>
      <c r="H149" t="s">
        <v>4910</v>
      </c>
      <c r="I149" t="s">
        <v>5785</v>
      </c>
    </row>
    <row r="150" spans="1:9">
      <c r="A150" t="s">
        <v>5786</v>
      </c>
      <c r="B150" t="s">
        <v>5787</v>
      </c>
      <c r="C150">
        <v>1</v>
      </c>
      <c r="D150" t="s">
        <v>5556</v>
      </c>
      <c r="E150">
        <v>0.5</v>
      </c>
      <c r="F150">
        <v>32</v>
      </c>
      <c r="H150" t="s">
        <v>4439</v>
      </c>
      <c r="I150" t="s">
        <v>5788</v>
      </c>
    </row>
    <row r="151" spans="1:9">
      <c r="A151" t="s">
        <v>5786</v>
      </c>
      <c r="B151" t="s">
        <v>5789</v>
      </c>
      <c r="C151">
        <v>1</v>
      </c>
      <c r="D151" t="s">
        <v>5556</v>
      </c>
      <c r="E151">
        <v>0.3</v>
      </c>
      <c r="F151">
        <v>20</v>
      </c>
      <c r="H151" t="s">
        <v>4439</v>
      </c>
      <c r="I151" t="s">
        <v>5788</v>
      </c>
    </row>
    <row r="152" spans="1:9">
      <c r="A152" t="s">
        <v>5676</v>
      </c>
      <c r="B152" t="s">
        <v>5790</v>
      </c>
      <c r="C152">
        <v>1</v>
      </c>
      <c r="D152" t="s">
        <v>5698</v>
      </c>
      <c r="E152">
        <v>0.5</v>
      </c>
      <c r="F152">
        <v>0.25</v>
      </c>
      <c r="H152" t="s">
        <v>4567</v>
      </c>
      <c r="I152" t="s">
        <v>5791</v>
      </c>
    </row>
    <row r="153" spans="1:9">
      <c r="A153" t="s">
        <v>5676</v>
      </c>
      <c r="B153" t="s">
        <v>5792</v>
      </c>
      <c r="C153">
        <v>1</v>
      </c>
      <c r="D153" t="s">
        <v>5698</v>
      </c>
      <c r="E153">
        <v>0.1</v>
      </c>
      <c r="F153">
        <v>100</v>
      </c>
      <c r="H153" t="s">
        <v>4567</v>
      </c>
      <c r="I153" t="s">
        <v>5791</v>
      </c>
    </row>
    <row r="154" spans="1:9">
      <c r="A154" t="s">
        <v>5793</v>
      </c>
      <c r="B154" t="s">
        <v>5794</v>
      </c>
      <c r="C154">
        <v>1</v>
      </c>
      <c r="D154" t="s">
        <v>5632</v>
      </c>
      <c r="E154">
        <v>1</v>
      </c>
      <c r="F154">
        <v>3</v>
      </c>
      <c r="G154" t="s">
        <v>5795</v>
      </c>
      <c r="H154" t="s">
        <v>4567</v>
      </c>
      <c r="I154" t="s">
        <v>5796</v>
      </c>
    </row>
    <row r="155" spans="1:9">
      <c r="A155" t="s">
        <v>5676</v>
      </c>
      <c r="B155" t="s">
        <v>5797</v>
      </c>
      <c r="C155">
        <v>1</v>
      </c>
      <c r="D155" t="s">
        <v>5698</v>
      </c>
      <c r="E155">
        <v>0.5</v>
      </c>
      <c r="F155">
        <v>0.08</v>
      </c>
      <c r="H155" t="s">
        <v>4567</v>
      </c>
      <c r="I155" t="s">
        <v>5798</v>
      </c>
    </row>
    <row r="156" spans="1:9">
      <c r="A156" t="s">
        <v>5676</v>
      </c>
      <c r="B156" t="s">
        <v>5799</v>
      </c>
      <c r="C156">
        <v>1</v>
      </c>
      <c r="D156" t="s">
        <v>5698</v>
      </c>
      <c r="E156">
        <v>0.5</v>
      </c>
      <c r="F156">
        <v>0.02</v>
      </c>
      <c r="H156" t="s">
        <v>4567</v>
      </c>
      <c r="I156" t="s">
        <v>5798</v>
      </c>
    </row>
    <row r="157" spans="1:9">
      <c r="A157" t="s">
        <v>5676</v>
      </c>
      <c r="B157" t="s">
        <v>5800</v>
      </c>
      <c r="C157">
        <v>1</v>
      </c>
      <c r="D157" t="s">
        <v>5698</v>
      </c>
      <c r="E157">
        <v>0.5</v>
      </c>
      <c r="F157">
        <v>2.5000000000000001E-2</v>
      </c>
      <c r="H157" t="s">
        <v>4567</v>
      </c>
      <c r="I157" t="s">
        <v>5798</v>
      </c>
    </row>
    <row r="158" spans="1:9">
      <c r="A158" t="s">
        <v>5676</v>
      </c>
      <c r="B158" t="s">
        <v>5801</v>
      </c>
      <c r="C158">
        <v>1</v>
      </c>
      <c r="D158" t="s">
        <v>5698</v>
      </c>
      <c r="E158">
        <v>0.5</v>
      </c>
      <c r="F158">
        <v>0.03</v>
      </c>
      <c r="H158" t="s">
        <v>4567</v>
      </c>
      <c r="I158" t="s">
        <v>5798</v>
      </c>
    </row>
    <row r="159" spans="1:9">
      <c r="A159" t="s">
        <v>5676</v>
      </c>
      <c r="B159" t="s">
        <v>5802</v>
      </c>
      <c r="C159">
        <v>1</v>
      </c>
      <c r="D159" t="s">
        <v>5698</v>
      </c>
      <c r="E159">
        <v>0.5</v>
      </c>
      <c r="F159">
        <v>0.04</v>
      </c>
      <c r="H159" t="s">
        <v>4567</v>
      </c>
      <c r="I159" t="s">
        <v>5798</v>
      </c>
    </row>
    <row r="160" spans="1:9">
      <c r="A160" t="s">
        <v>5676</v>
      </c>
      <c r="B160" t="s">
        <v>5803</v>
      </c>
      <c r="C160">
        <v>1</v>
      </c>
      <c r="D160" t="s">
        <v>5698</v>
      </c>
      <c r="E160">
        <v>0.5</v>
      </c>
      <c r="F160">
        <v>0.05</v>
      </c>
      <c r="H160" t="s">
        <v>4567</v>
      </c>
      <c r="I160" t="s">
        <v>5798</v>
      </c>
    </row>
    <row r="161" spans="1:9">
      <c r="A161" t="s">
        <v>5676</v>
      </c>
      <c r="B161" t="s">
        <v>5804</v>
      </c>
      <c r="C161">
        <v>1</v>
      </c>
      <c r="D161" t="s">
        <v>5698</v>
      </c>
      <c r="E161">
        <v>3</v>
      </c>
      <c r="F161">
        <v>40</v>
      </c>
      <c r="H161" t="s">
        <v>4567</v>
      </c>
      <c r="I161" t="s">
        <v>5798</v>
      </c>
    </row>
    <row r="162" spans="1:9">
      <c r="A162" t="s">
        <v>5649</v>
      </c>
      <c r="B162" t="s">
        <v>5805</v>
      </c>
      <c r="C162">
        <v>1</v>
      </c>
      <c r="D162" t="s">
        <v>5556</v>
      </c>
      <c r="E162">
        <v>0.25</v>
      </c>
      <c r="F162">
        <v>0.5</v>
      </c>
      <c r="H162" t="s">
        <v>4567</v>
      </c>
      <c r="I162" t="s">
        <v>5806</v>
      </c>
    </row>
    <row r="163" spans="1:9">
      <c r="A163" t="s">
        <v>5625</v>
      </c>
      <c r="B163" t="s">
        <v>5807</v>
      </c>
      <c r="C163">
        <v>1</v>
      </c>
      <c r="D163" t="s">
        <v>5641</v>
      </c>
      <c r="E163">
        <v>0.2</v>
      </c>
      <c r="F163">
        <v>66</v>
      </c>
      <c r="H163" t="s">
        <v>4567</v>
      </c>
      <c r="I163" t="s">
        <v>5808</v>
      </c>
    </row>
    <row r="164" spans="1:9">
      <c r="A164" t="s">
        <v>5782</v>
      </c>
      <c r="B164" t="s">
        <v>5809</v>
      </c>
      <c r="C164">
        <v>100</v>
      </c>
      <c r="D164" t="s">
        <v>5784</v>
      </c>
      <c r="E164" t="s">
        <v>5557</v>
      </c>
      <c r="F164">
        <v>1</v>
      </c>
      <c r="H164" t="s">
        <v>4902</v>
      </c>
      <c r="I164" t="s">
        <v>5810</v>
      </c>
    </row>
    <row r="165" spans="1:9">
      <c r="A165" t="s">
        <v>5811</v>
      </c>
      <c r="B165" t="s">
        <v>5812</v>
      </c>
      <c r="C165">
        <v>1</v>
      </c>
      <c r="D165" t="s">
        <v>5556</v>
      </c>
      <c r="E165">
        <v>0.02</v>
      </c>
      <c r="F165">
        <v>0.02</v>
      </c>
      <c r="H165" t="s">
        <v>4902</v>
      </c>
      <c r="I165" t="s">
        <v>5811</v>
      </c>
    </row>
    <row r="166" spans="1:9">
      <c r="A166" t="s">
        <v>5811</v>
      </c>
      <c r="B166" t="s">
        <v>5813</v>
      </c>
      <c r="C166">
        <v>1</v>
      </c>
      <c r="D166" t="s">
        <v>5556</v>
      </c>
      <c r="E166">
        <v>1</v>
      </c>
      <c r="F166">
        <v>1</v>
      </c>
      <c r="H166" t="s">
        <v>4902</v>
      </c>
      <c r="I166" t="s">
        <v>5811</v>
      </c>
    </row>
    <row r="167" spans="1:9">
      <c r="A167" t="s">
        <v>5811</v>
      </c>
      <c r="B167" t="s">
        <v>5814</v>
      </c>
      <c r="C167">
        <v>1</v>
      </c>
      <c r="D167" t="s">
        <v>5784</v>
      </c>
      <c r="E167" t="s">
        <v>5557</v>
      </c>
      <c r="F167">
        <v>0.2</v>
      </c>
      <c r="H167" t="s">
        <v>4902</v>
      </c>
      <c r="I167" t="s">
        <v>5811</v>
      </c>
    </row>
    <row r="168" spans="1:9">
      <c r="A168" t="s">
        <v>5782</v>
      </c>
      <c r="B168" t="s">
        <v>5815</v>
      </c>
      <c r="C168">
        <v>100</v>
      </c>
      <c r="D168" t="s">
        <v>5784</v>
      </c>
      <c r="E168" t="s">
        <v>5557</v>
      </c>
      <c r="F168">
        <v>4</v>
      </c>
      <c r="H168" t="s">
        <v>4902</v>
      </c>
      <c r="I168" t="s">
        <v>5816</v>
      </c>
    </row>
    <row r="169" spans="1:9">
      <c r="A169" t="s">
        <v>5782</v>
      </c>
      <c r="B169" t="s">
        <v>5817</v>
      </c>
      <c r="C169">
        <v>100</v>
      </c>
      <c r="D169" t="s">
        <v>5784</v>
      </c>
      <c r="E169" t="s">
        <v>5557</v>
      </c>
      <c r="F169">
        <v>12</v>
      </c>
      <c r="H169" t="s">
        <v>4916</v>
      </c>
      <c r="I169" t="s">
        <v>5818</v>
      </c>
    </row>
    <row r="170" spans="1:9">
      <c r="A170" t="s">
        <v>5782</v>
      </c>
      <c r="B170" t="s">
        <v>5819</v>
      </c>
      <c r="C170">
        <v>100</v>
      </c>
      <c r="D170" t="s">
        <v>5784</v>
      </c>
      <c r="E170" t="s">
        <v>5557</v>
      </c>
      <c r="F170">
        <v>1</v>
      </c>
      <c r="H170" t="s">
        <v>4916</v>
      </c>
      <c r="I170" t="s">
        <v>5818</v>
      </c>
    </row>
    <row r="171" spans="1:9">
      <c r="A171" t="s">
        <v>5782</v>
      </c>
      <c r="B171" t="s">
        <v>5820</v>
      </c>
      <c r="C171">
        <v>100</v>
      </c>
      <c r="D171" t="s">
        <v>5784</v>
      </c>
      <c r="E171" t="s">
        <v>5557</v>
      </c>
      <c r="F171">
        <v>3</v>
      </c>
      <c r="H171" t="s">
        <v>4916</v>
      </c>
      <c r="I171" t="s">
        <v>5818</v>
      </c>
    </row>
    <row r="172" spans="1:9">
      <c r="A172" t="s">
        <v>5782</v>
      </c>
      <c r="B172" t="s">
        <v>5821</v>
      </c>
      <c r="C172">
        <v>100</v>
      </c>
      <c r="D172" t="s">
        <v>5784</v>
      </c>
      <c r="E172" t="s">
        <v>5557</v>
      </c>
      <c r="F172">
        <v>2</v>
      </c>
      <c r="H172" t="s">
        <v>4916</v>
      </c>
      <c r="I172" t="s">
        <v>5822</v>
      </c>
    </row>
    <row r="173" spans="1:9">
      <c r="A173" t="s">
        <v>5782</v>
      </c>
      <c r="B173" t="s">
        <v>5823</v>
      </c>
      <c r="C173">
        <v>100</v>
      </c>
      <c r="D173" t="s">
        <v>5784</v>
      </c>
      <c r="E173" t="s">
        <v>5557</v>
      </c>
      <c r="F173">
        <v>35</v>
      </c>
      <c r="H173" t="s">
        <v>4916</v>
      </c>
      <c r="I173" t="s">
        <v>5824</v>
      </c>
    </row>
    <row r="174" spans="1:9">
      <c r="A174" t="s">
        <v>5782</v>
      </c>
      <c r="B174" t="s">
        <v>5825</v>
      </c>
      <c r="C174">
        <v>1</v>
      </c>
      <c r="D174" t="s">
        <v>5826</v>
      </c>
      <c r="E174" t="s">
        <v>5557</v>
      </c>
      <c r="F174">
        <v>1.4999999999999999E-2</v>
      </c>
      <c r="H174" t="s">
        <v>4916</v>
      </c>
      <c r="I174" t="s">
        <v>5827</v>
      </c>
    </row>
    <row r="175" spans="1:9">
      <c r="A175" t="s">
        <v>5782</v>
      </c>
      <c r="B175" t="s">
        <v>5828</v>
      </c>
      <c r="C175">
        <v>100</v>
      </c>
      <c r="D175" t="s">
        <v>5784</v>
      </c>
      <c r="E175" t="s">
        <v>5557</v>
      </c>
      <c r="F175">
        <v>15</v>
      </c>
      <c r="H175" t="s">
        <v>4916</v>
      </c>
      <c r="I175" t="s">
        <v>5827</v>
      </c>
    </row>
    <row r="176" spans="1:9">
      <c r="A176" t="s">
        <v>5829</v>
      </c>
      <c r="B176" t="s">
        <v>5830</v>
      </c>
      <c r="C176">
        <v>1</v>
      </c>
      <c r="D176" t="s">
        <v>5700</v>
      </c>
      <c r="E176" t="s">
        <v>5557</v>
      </c>
      <c r="F176">
        <v>0.4</v>
      </c>
      <c r="H176" t="s">
        <v>4916</v>
      </c>
      <c r="I176" t="s">
        <v>5831</v>
      </c>
    </row>
    <row r="177" spans="1:9">
      <c r="A177" t="s">
        <v>5829</v>
      </c>
      <c r="B177" t="s">
        <v>5832</v>
      </c>
      <c r="C177">
        <v>1</v>
      </c>
      <c r="D177" t="s">
        <v>5700</v>
      </c>
      <c r="E177" t="s">
        <v>5557</v>
      </c>
      <c r="F177">
        <v>0.05</v>
      </c>
      <c r="H177" t="s">
        <v>4916</v>
      </c>
      <c r="I177" t="s">
        <v>5831</v>
      </c>
    </row>
    <row r="178" spans="1:9">
      <c r="A178" t="s">
        <v>5829</v>
      </c>
      <c r="B178" t="s">
        <v>5833</v>
      </c>
      <c r="C178">
        <v>1</v>
      </c>
      <c r="D178" t="s">
        <v>5556</v>
      </c>
      <c r="E178" t="s">
        <v>5557</v>
      </c>
      <c r="F178">
        <v>0.25</v>
      </c>
      <c r="H178" t="s">
        <v>4916</v>
      </c>
      <c r="I178" t="s">
        <v>5831</v>
      </c>
    </row>
    <row r="179" spans="1:9">
      <c r="A179" t="s">
        <v>5829</v>
      </c>
      <c r="B179" t="s">
        <v>5834</v>
      </c>
      <c r="C179">
        <v>10</v>
      </c>
      <c r="D179" t="s">
        <v>5835</v>
      </c>
      <c r="E179" t="s">
        <v>5557</v>
      </c>
      <c r="F179" t="s">
        <v>5558</v>
      </c>
      <c r="H179" t="s">
        <v>4916</v>
      </c>
      <c r="I179" t="s">
        <v>5831</v>
      </c>
    </row>
    <row r="180" spans="1:9">
      <c r="A180" t="s">
        <v>5654</v>
      </c>
      <c r="B180" t="s">
        <v>5836</v>
      </c>
      <c r="C180">
        <v>1</v>
      </c>
      <c r="D180" t="s">
        <v>5556</v>
      </c>
      <c r="E180">
        <v>0.25</v>
      </c>
      <c r="F180">
        <v>15</v>
      </c>
      <c r="H180" t="s">
        <v>4380</v>
      </c>
      <c r="I180" t="s">
        <v>5837</v>
      </c>
    </row>
    <row r="181" spans="1:9">
      <c r="A181" t="s">
        <v>5838</v>
      </c>
      <c r="B181" t="s">
        <v>5839</v>
      </c>
      <c r="C181">
        <v>1</v>
      </c>
      <c r="D181" t="s">
        <v>5556</v>
      </c>
      <c r="E181">
        <v>0.1</v>
      </c>
      <c r="F181">
        <v>1.2</v>
      </c>
      <c r="H181" t="s">
        <v>4380</v>
      </c>
      <c r="I181" t="s">
        <v>5840</v>
      </c>
    </row>
    <row r="182" spans="1:9">
      <c r="A182" t="s">
        <v>5838</v>
      </c>
      <c r="B182" t="s">
        <v>5841</v>
      </c>
      <c r="C182">
        <v>1</v>
      </c>
      <c r="D182" t="s">
        <v>5556</v>
      </c>
      <c r="E182">
        <v>0.25</v>
      </c>
      <c r="F182">
        <v>2.42</v>
      </c>
      <c r="H182" t="s">
        <v>4380</v>
      </c>
      <c r="I182" t="s">
        <v>5840</v>
      </c>
    </row>
    <row r="183" spans="1:9">
      <c r="A183" t="s">
        <v>5838</v>
      </c>
      <c r="B183" t="s">
        <v>5842</v>
      </c>
      <c r="C183">
        <v>1</v>
      </c>
      <c r="D183" t="s">
        <v>5556</v>
      </c>
      <c r="E183">
        <v>0.1</v>
      </c>
      <c r="F183">
        <v>1.2</v>
      </c>
      <c r="H183" t="s">
        <v>4380</v>
      </c>
      <c r="I183" t="s">
        <v>5840</v>
      </c>
    </row>
    <row r="184" spans="1:9">
      <c r="A184" t="s">
        <v>5838</v>
      </c>
      <c r="B184" t="s">
        <v>5843</v>
      </c>
      <c r="C184">
        <v>1</v>
      </c>
      <c r="D184" t="s">
        <v>5556</v>
      </c>
      <c r="E184">
        <v>0.5</v>
      </c>
      <c r="F184">
        <v>4.4000000000000004</v>
      </c>
      <c r="H184" t="s">
        <v>4380</v>
      </c>
      <c r="I184" t="s">
        <v>5840</v>
      </c>
    </row>
    <row r="185" spans="1:9">
      <c r="A185" t="s">
        <v>5844</v>
      </c>
      <c r="B185" t="s">
        <v>5845</v>
      </c>
      <c r="C185">
        <v>1</v>
      </c>
      <c r="D185" t="s">
        <v>5556</v>
      </c>
      <c r="E185">
        <v>1</v>
      </c>
      <c r="F185">
        <v>93</v>
      </c>
      <c r="H185" t="s">
        <v>4380</v>
      </c>
      <c r="I185" t="s">
        <v>5840</v>
      </c>
    </row>
    <row r="186" spans="1:9">
      <c r="A186" t="s">
        <v>5838</v>
      </c>
      <c r="B186" t="s">
        <v>5846</v>
      </c>
      <c r="C186">
        <v>1</v>
      </c>
      <c r="D186" t="s">
        <v>5556</v>
      </c>
      <c r="E186">
        <v>0.1</v>
      </c>
      <c r="F186">
        <v>17.600000000000001</v>
      </c>
      <c r="H186" t="s">
        <v>4380</v>
      </c>
      <c r="I186" t="s">
        <v>5847</v>
      </c>
    </row>
    <row r="187" spans="1:9">
      <c r="A187" t="s">
        <v>5633</v>
      </c>
      <c r="B187" t="s">
        <v>5848</v>
      </c>
      <c r="C187">
        <v>1</v>
      </c>
      <c r="D187" t="s">
        <v>5556</v>
      </c>
      <c r="E187">
        <v>0.1</v>
      </c>
      <c r="F187">
        <v>11</v>
      </c>
      <c r="H187" t="s">
        <v>4380</v>
      </c>
      <c r="I187" t="s">
        <v>5849</v>
      </c>
    </row>
    <row r="188" spans="1:9">
      <c r="A188" t="s">
        <v>5850</v>
      </c>
      <c r="B188" t="s">
        <v>5848</v>
      </c>
      <c r="C188">
        <v>1</v>
      </c>
      <c r="D188" t="s">
        <v>5556</v>
      </c>
      <c r="E188">
        <v>0.1</v>
      </c>
      <c r="F188">
        <v>11</v>
      </c>
      <c r="H188" t="s">
        <v>4380</v>
      </c>
      <c r="I188" t="s">
        <v>5849</v>
      </c>
    </row>
    <row r="189" spans="1:9">
      <c r="A189" t="s">
        <v>5850</v>
      </c>
      <c r="B189" t="s">
        <v>5851</v>
      </c>
      <c r="C189">
        <v>1</v>
      </c>
      <c r="D189" t="s">
        <v>5556</v>
      </c>
      <c r="E189">
        <v>0.08</v>
      </c>
      <c r="F189">
        <v>90</v>
      </c>
      <c r="H189" t="s">
        <v>4380</v>
      </c>
      <c r="I189" t="s">
        <v>5849</v>
      </c>
    </row>
    <row r="190" spans="1:9">
      <c r="A190" t="s">
        <v>5850</v>
      </c>
      <c r="B190" t="s">
        <v>5852</v>
      </c>
      <c r="C190">
        <v>1</v>
      </c>
      <c r="D190" t="s">
        <v>5556</v>
      </c>
      <c r="E190">
        <v>0.08</v>
      </c>
      <c r="F190">
        <v>155</v>
      </c>
      <c r="H190" t="s">
        <v>4380</v>
      </c>
      <c r="I190" t="s">
        <v>5849</v>
      </c>
    </row>
    <row r="191" spans="1:9">
      <c r="A191" t="s">
        <v>5850</v>
      </c>
      <c r="B191" t="s">
        <v>5853</v>
      </c>
      <c r="C191">
        <v>1</v>
      </c>
      <c r="D191" t="s">
        <v>5556</v>
      </c>
      <c r="E191">
        <v>0.08</v>
      </c>
      <c r="F191">
        <v>140</v>
      </c>
      <c r="H191" t="s">
        <v>4380</v>
      </c>
      <c r="I191" t="s">
        <v>5849</v>
      </c>
    </row>
    <row r="192" spans="1:9">
      <c r="A192" t="s">
        <v>5850</v>
      </c>
      <c r="B192" t="s">
        <v>5854</v>
      </c>
      <c r="C192">
        <v>1</v>
      </c>
      <c r="D192" t="s">
        <v>5556</v>
      </c>
      <c r="E192">
        <v>1.25</v>
      </c>
      <c r="F192">
        <v>360</v>
      </c>
      <c r="H192" t="s">
        <v>4380</v>
      </c>
      <c r="I192" t="s">
        <v>5849</v>
      </c>
    </row>
    <row r="193" spans="1:9">
      <c r="A193" t="s">
        <v>5850</v>
      </c>
      <c r="B193" t="s">
        <v>5855</v>
      </c>
      <c r="C193">
        <v>1</v>
      </c>
      <c r="D193" t="s">
        <v>5556</v>
      </c>
      <c r="E193">
        <v>4</v>
      </c>
      <c r="F193">
        <v>1500</v>
      </c>
      <c r="H193" t="s">
        <v>4380</v>
      </c>
      <c r="I193" t="s">
        <v>5849</v>
      </c>
    </row>
    <row r="194" spans="1:9">
      <c r="A194" t="s">
        <v>5850</v>
      </c>
      <c r="B194" t="s">
        <v>5856</v>
      </c>
      <c r="C194">
        <v>1</v>
      </c>
      <c r="D194" t="s">
        <v>5556</v>
      </c>
      <c r="E194">
        <v>0.5</v>
      </c>
      <c r="F194">
        <v>175</v>
      </c>
      <c r="H194" t="s">
        <v>4380</v>
      </c>
      <c r="I194" t="s">
        <v>5849</v>
      </c>
    </row>
    <row r="195" spans="1:9">
      <c r="A195" t="s">
        <v>5850</v>
      </c>
      <c r="B195" t="s">
        <v>5857</v>
      </c>
      <c r="C195">
        <v>1</v>
      </c>
      <c r="D195" t="s">
        <v>5556</v>
      </c>
      <c r="E195">
        <v>0.13</v>
      </c>
      <c r="F195">
        <v>176</v>
      </c>
      <c r="H195" t="s">
        <v>4380</v>
      </c>
      <c r="I195" t="s">
        <v>5849</v>
      </c>
    </row>
    <row r="196" spans="1:9">
      <c r="A196" t="s">
        <v>5850</v>
      </c>
      <c r="B196" t="s">
        <v>5858</v>
      </c>
      <c r="C196">
        <v>1</v>
      </c>
      <c r="D196" t="s">
        <v>5556</v>
      </c>
      <c r="E196">
        <v>0.05</v>
      </c>
      <c r="F196">
        <v>51</v>
      </c>
      <c r="H196" t="s">
        <v>4380</v>
      </c>
      <c r="I196" t="s">
        <v>5849</v>
      </c>
    </row>
    <row r="197" spans="1:9">
      <c r="A197" t="s">
        <v>5654</v>
      </c>
      <c r="B197" t="s">
        <v>5859</v>
      </c>
      <c r="C197">
        <v>1</v>
      </c>
      <c r="D197" t="s">
        <v>5556</v>
      </c>
      <c r="E197">
        <v>0.75</v>
      </c>
      <c r="F197">
        <v>32</v>
      </c>
      <c r="H197" t="s">
        <v>4380</v>
      </c>
      <c r="I197" t="s">
        <v>5849</v>
      </c>
    </row>
    <row r="198" spans="1:9">
      <c r="A198" t="s">
        <v>5860</v>
      </c>
      <c r="B198" t="s">
        <v>5861</v>
      </c>
      <c r="C198">
        <v>1</v>
      </c>
      <c r="D198" t="s">
        <v>5556</v>
      </c>
      <c r="E198">
        <v>9</v>
      </c>
      <c r="F198">
        <v>45</v>
      </c>
      <c r="H198" t="s">
        <v>4380</v>
      </c>
      <c r="I198" t="s">
        <v>5862</v>
      </c>
    </row>
    <row r="199" spans="1:9">
      <c r="A199" t="s">
        <v>5850</v>
      </c>
      <c r="B199" t="s">
        <v>5863</v>
      </c>
      <c r="C199">
        <v>1</v>
      </c>
      <c r="D199" t="s">
        <v>5556</v>
      </c>
      <c r="E199">
        <v>5</v>
      </c>
      <c r="F199">
        <v>792</v>
      </c>
      <c r="H199" t="s">
        <v>4380</v>
      </c>
      <c r="I199" t="s">
        <v>5862</v>
      </c>
    </row>
    <row r="200" spans="1:9">
      <c r="A200" t="s">
        <v>5850</v>
      </c>
      <c r="B200" t="s">
        <v>5864</v>
      </c>
      <c r="C200">
        <v>1</v>
      </c>
      <c r="D200" t="s">
        <v>5556</v>
      </c>
      <c r="E200">
        <v>0.38</v>
      </c>
      <c r="F200">
        <v>36</v>
      </c>
      <c r="H200" t="s">
        <v>4380</v>
      </c>
      <c r="I200" t="s">
        <v>5862</v>
      </c>
    </row>
    <row r="201" spans="1:9">
      <c r="A201" t="s">
        <v>5654</v>
      </c>
      <c r="B201" t="s">
        <v>5865</v>
      </c>
      <c r="C201">
        <v>1</v>
      </c>
      <c r="D201" t="s">
        <v>5556</v>
      </c>
      <c r="E201">
        <v>0.3</v>
      </c>
      <c r="F201">
        <v>300</v>
      </c>
      <c r="H201" t="s">
        <v>4380</v>
      </c>
      <c r="I201" t="s">
        <v>5862</v>
      </c>
    </row>
    <row r="202" spans="1:9">
      <c r="A202" t="s">
        <v>5654</v>
      </c>
      <c r="B202" t="s">
        <v>5866</v>
      </c>
      <c r="C202">
        <v>1</v>
      </c>
      <c r="D202" t="s">
        <v>5556</v>
      </c>
      <c r="E202">
        <v>2</v>
      </c>
      <c r="F202">
        <v>528</v>
      </c>
      <c r="H202" t="s">
        <v>4380</v>
      </c>
      <c r="I202" t="s">
        <v>5862</v>
      </c>
    </row>
    <row r="203" spans="1:9">
      <c r="A203" t="s">
        <v>5867</v>
      </c>
      <c r="B203" t="s">
        <v>5868</v>
      </c>
      <c r="C203">
        <v>1</v>
      </c>
      <c r="D203" t="s">
        <v>5556</v>
      </c>
      <c r="E203">
        <v>0.02</v>
      </c>
      <c r="F203">
        <v>2.2000000000000002</v>
      </c>
      <c r="G203" t="s">
        <v>5869</v>
      </c>
      <c r="H203" t="s">
        <v>5870</v>
      </c>
      <c r="I203" t="s">
        <v>5871</v>
      </c>
    </row>
    <row r="204" spans="1:9">
      <c r="A204" t="s">
        <v>5867</v>
      </c>
      <c r="B204" t="s">
        <v>5872</v>
      </c>
      <c r="C204">
        <v>1</v>
      </c>
      <c r="D204" t="s">
        <v>5556</v>
      </c>
      <c r="E204">
        <v>0.25</v>
      </c>
      <c r="F204">
        <v>1.8</v>
      </c>
      <c r="G204" t="s">
        <v>5869</v>
      </c>
      <c r="H204" t="s">
        <v>5870</v>
      </c>
      <c r="I204" t="s">
        <v>5871</v>
      </c>
    </row>
    <row r="205" spans="1:9">
      <c r="A205" t="s">
        <v>5838</v>
      </c>
      <c r="B205" t="s">
        <v>5873</v>
      </c>
      <c r="C205">
        <v>1</v>
      </c>
      <c r="D205" t="s">
        <v>5746</v>
      </c>
      <c r="E205">
        <v>0.5</v>
      </c>
      <c r="F205">
        <v>1100</v>
      </c>
      <c r="H205" t="s">
        <v>5870</v>
      </c>
      <c r="I205" t="s">
        <v>5870</v>
      </c>
    </row>
    <row r="206" spans="1:9">
      <c r="A206" t="s">
        <v>5838</v>
      </c>
      <c r="B206" t="s">
        <v>5874</v>
      </c>
      <c r="C206">
        <v>1</v>
      </c>
      <c r="D206" t="s">
        <v>5556</v>
      </c>
      <c r="E206">
        <v>0.5</v>
      </c>
      <c r="F206">
        <v>1100</v>
      </c>
      <c r="H206" t="s">
        <v>5870</v>
      </c>
      <c r="I206" t="s">
        <v>5870</v>
      </c>
    </row>
    <row r="207" spans="1:9">
      <c r="A207" t="s">
        <v>5860</v>
      </c>
      <c r="B207" t="s">
        <v>5875</v>
      </c>
      <c r="C207">
        <v>1</v>
      </c>
      <c r="D207" t="s">
        <v>5556</v>
      </c>
      <c r="E207">
        <v>10</v>
      </c>
      <c r="F207">
        <v>2200</v>
      </c>
      <c r="H207" t="s">
        <v>5870</v>
      </c>
      <c r="I207" t="s">
        <v>5870</v>
      </c>
    </row>
    <row r="208" spans="1:9">
      <c r="A208" t="s">
        <v>5860</v>
      </c>
      <c r="B208" t="s">
        <v>5876</v>
      </c>
      <c r="C208">
        <v>1</v>
      </c>
      <c r="D208" t="s">
        <v>5556</v>
      </c>
      <c r="E208">
        <v>1.25</v>
      </c>
      <c r="F208">
        <v>270</v>
      </c>
      <c r="H208" t="s">
        <v>5870</v>
      </c>
      <c r="I208" t="s">
        <v>5870</v>
      </c>
    </row>
    <row r="209" spans="1:9">
      <c r="A209" t="s">
        <v>5867</v>
      </c>
      <c r="B209" t="s">
        <v>5877</v>
      </c>
      <c r="C209">
        <v>1</v>
      </c>
      <c r="D209" t="s">
        <v>5556</v>
      </c>
      <c r="E209">
        <v>0.1</v>
      </c>
      <c r="F209">
        <v>100</v>
      </c>
      <c r="G209" t="s">
        <v>5869</v>
      </c>
      <c r="H209" t="s">
        <v>5870</v>
      </c>
      <c r="I209" t="s">
        <v>5870</v>
      </c>
    </row>
    <row r="210" spans="1:9">
      <c r="A210" t="s">
        <v>5867</v>
      </c>
      <c r="B210" t="s">
        <v>5878</v>
      </c>
      <c r="C210">
        <v>1</v>
      </c>
      <c r="D210" t="s">
        <v>5556</v>
      </c>
      <c r="E210">
        <v>0.37</v>
      </c>
      <c r="F210">
        <v>875</v>
      </c>
      <c r="G210" t="s">
        <v>5869</v>
      </c>
      <c r="H210" t="s">
        <v>5870</v>
      </c>
      <c r="I210" t="s">
        <v>5870</v>
      </c>
    </row>
    <row r="211" spans="1:9">
      <c r="A211" t="s">
        <v>5867</v>
      </c>
      <c r="B211" t="s">
        <v>5879</v>
      </c>
      <c r="C211">
        <v>1</v>
      </c>
      <c r="D211" t="s">
        <v>5556</v>
      </c>
      <c r="E211">
        <v>0.1</v>
      </c>
      <c r="F211">
        <v>88</v>
      </c>
      <c r="G211" t="s">
        <v>5869</v>
      </c>
      <c r="H211" t="s">
        <v>5870</v>
      </c>
      <c r="I211" t="s">
        <v>5870</v>
      </c>
    </row>
    <row r="212" spans="1:9">
      <c r="A212" t="s">
        <v>5867</v>
      </c>
      <c r="B212" t="s">
        <v>5880</v>
      </c>
      <c r="C212">
        <v>1</v>
      </c>
      <c r="D212" t="s">
        <v>5556</v>
      </c>
      <c r="E212">
        <v>0.1</v>
      </c>
      <c r="F212">
        <v>88</v>
      </c>
      <c r="G212" t="s">
        <v>5869</v>
      </c>
      <c r="H212" t="s">
        <v>5870</v>
      </c>
      <c r="I212" t="s">
        <v>5870</v>
      </c>
    </row>
    <row r="213" spans="1:9">
      <c r="A213" t="s">
        <v>5867</v>
      </c>
      <c r="B213" t="s">
        <v>5881</v>
      </c>
      <c r="C213">
        <v>1</v>
      </c>
      <c r="D213" t="s">
        <v>5556</v>
      </c>
      <c r="E213">
        <v>0.1</v>
      </c>
      <c r="F213">
        <v>88</v>
      </c>
      <c r="G213" t="s">
        <v>5869</v>
      </c>
      <c r="H213" t="s">
        <v>5870</v>
      </c>
      <c r="I213" t="s">
        <v>5870</v>
      </c>
    </row>
    <row r="214" spans="1:9">
      <c r="A214" t="s">
        <v>5867</v>
      </c>
      <c r="B214" t="s">
        <v>5882</v>
      </c>
      <c r="C214">
        <v>1</v>
      </c>
      <c r="D214" t="s">
        <v>5556</v>
      </c>
      <c r="E214">
        <v>0.1</v>
      </c>
      <c r="F214">
        <v>100</v>
      </c>
      <c r="G214" t="s">
        <v>5869</v>
      </c>
      <c r="H214" t="s">
        <v>5870</v>
      </c>
      <c r="I214" t="s">
        <v>5870</v>
      </c>
    </row>
    <row r="215" spans="1:9">
      <c r="A215" t="s">
        <v>5867</v>
      </c>
      <c r="B215" t="s">
        <v>5883</v>
      </c>
      <c r="C215">
        <v>1</v>
      </c>
      <c r="D215" t="s">
        <v>5556</v>
      </c>
      <c r="E215">
        <v>0.3</v>
      </c>
      <c r="F215">
        <v>260</v>
      </c>
      <c r="G215" t="s">
        <v>5869</v>
      </c>
      <c r="H215" t="s">
        <v>5870</v>
      </c>
      <c r="I215" t="s">
        <v>5870</v>
      </c>
    </row>
    <row r="216" spans="1:9">
      <c r="A216" t="s">
        <v>5838</v>
      </c>
      <c r="B216" t="s">
        <v>5884</v>
      </c>
      <c r="C216">
        <v>1</v>
      </c>
      <c r="D216" t="s">
        <v>5556</v>
      </c>
      <c r="E216">
        <v>2</v>
      </c>
      <c r="F216">
        <v>66</v>
      </c>
      <c r="H216" t="s">
        <v>5870</v>
      </c>
      <c r="I216" t="s">
        <v>5885</v>
      </c>
    </row>
    <row r="217" spans="1:9">
      <c r="A217" t="s">
        <v>5850</v>
      </c>
      <c r="B217" t="s">
        <v>5886</v>
      </c>
      <c r="C217">
        <v>1</v>
      </c>
      <c r="D217" t="s">
        <v>5556</v>
      </c>
      <c r="E217">
        <v>0.5</v>
      </c>
      <c r="F217">
        <v>5.3</v>
      </c>
      <c r="H217" t="s">
        <v>5870</v>
      </c>
      <c r="I217" t="s">
        <v>5885</v>
      </c>
    </row>
    <row r="218" spans="1:9">
      <c r="A218" t="s">
        <v>5838</v>
      </c>
      <c r="B218" t="s">
        <v>5887</v>
      </c>
      <c r="C218">
        <v>1</v>
      </c>
      <c r="D218" t="s">
        <v>5746</v>
      </c>
      <c r="E218">
        <v>0.3</v>
      </c>
      <c r="F218">
        <v>44</v>
      </c>
      <c r="H218" t="s">
        <v>5870</v>
      </c>
      <c r="I218" t="s">
        <v>5888</v>
      </c>
    </row>
    <row r="219" spans="1:9">
      <c r="A219" t="s">
        <v>5838</v>
      </c>
      <c r="B219" t="s">
        <v>5889</v>
      </c>
      <c r="C219">
        <v>1</v>
      </c>
      <c r="D219" t="s">
        <v>5556</v>
      </c>
      <c r="E219">
        <v>0.25</v>
      </c>
      <c r="F219">
        <v>44</v>
      </c>
      <c r="H219" t="s">
        <v>5870</v>
      </c>
      <c r="I219" t="s">
        <v>5888</v>
      </c>
    </row>
    <row r="220" spans="1:9">
      <c r="A220" t="s">
        <v>5838</v>
      </c>
      <c r="B220" t="s">
        <v>5890</v>
      </c>
      <c r="C220">
        <v>1</v>
      </c>
      <c r="D220" t="s">
        <v>5556</v>
      </c>
      <c r="E220">
        <v>0.25</v>
      </c>
      <c r="F220">
        <v>5.28</v>
      </c>
      <c r="H220" t="s">
        <v>5870</v>
      </c>
      <c r="I220" t="s">
        <v>5888</v>
      </c>
    </row>
    <row r="221" spans="1:9">
      <c r="A221" t="s">
        <v>5844</v>
      </c>
      <c r="B221" t="s">
        <v>5891</v>
      </c>
      <c r="C221">
        <v>1</v>
      </c>
      <c r="D221" t="s">
        <v>5556</v>
      </c>
      <c r="E221">
        <v>0.05</v>
      </c>
      <c r="F221">
        <v>1.3</v>
      </c>
      <c r="H221" t="s">
        <v>5870</v>
      </c>
      <c r="I221" t="s">
        <v>5888</v>
      </c>
    </row>
    <row r="222" spans="1:9">
      <c r="A222" t="s">
        <v>5652</v>
      </c>
      <c r="B222" t="s">
        <v>5892</v>
      </c>
      <c r="C222">
        <v>1</v>
      </c>
      <c r="D222" t="s">
        <v>5893</v>
      </c>
      <c r="E222">
        <v>0.38</v>
      </c>
      <c r="F222">
        <v>88</v>
      </c>
      <c r="H222" t="s">
        <v>5870</v>
      </c>
      <c r="I222" t="s">
        <v>5888</v>
      </c>
    </row>
    <row r="223" spans="1:9">
      <c r="A223" t="s">
        <v>5867</v>
      </c>
      <c r="B223" t="s">
        <v>5894</v>
      </c>
      <c r="C223">
        <v>1</v>
      </c>
      <c r="D223" t="s">
        <v>5556</v>
      </c>
      <c r="E223">
        <v>0.05</v>
      </c>
      <c r="F223">
        <v>10</v>
      </c>
      <c r="G223" t="s">
        <v>5869</v>
      </c>
      <c r="H223" t="s">
        <v>5870</v>
      </c>
      <c r="I223" t="s">
        <v>5888</v>
      </c>
    </row>
    <row r="224" spans="1:9">
      <c r="A224" t="s">
        <v>5867</v>
      </c>
      <c r="B224" t="s">
        <v>5895</v>
      </c>
      <c r="C224">
        <v>1</v>
      </c>
      <c r="D224" t="s">
        <v>5556</v>
      </c>
      <c r="E224">
        <v>0.25</v>
      </c>
      <c r="F224">
        <v>88</v>
      </c>
      <c r="G224" t="s">
        <v>5869</v>
      </c>
      <c r="H224" t="s">
        <v>5870</v>
      </c>
      <c r="I224" t="s">
        <v>5888</v>
      </c>
    </row>
    <row r="225" spans="1:9">
      <c r="A225" t="s">
        <v>5867</v>
      </c>
      <c r="B225" t="s">
        <v>5896</v>
      </c>
      <c r="C225">
        <v>1</v>
      </c>
      <c r="D225" t="s">
        <v>5556</v>
      </c>
      <c r="E225">
        <v>0.1</v>
      </c>
      <c r="F225">
        <v>8.8000000000000007</v>
      </c>
      <c r="G225" t="s">
        <v>5869</v>
      </c>
      <c r="H225" t="s">
        <v>5870</v>
      </c>
      <c r="I225" t="s">
        <v>5888</v>
      </c>
    </row>
    <row r="226" spans="1:9">
      <c r="A226" t="s">
        <v>5867</v>
      </c>
      <c r="B226" t="s">
        <v>5897</v>
      </c>
      <c r="C226">
        <v>1</v>
      </c>
      <c r="D226" t="s">
        <v>5556</v>
      </c>
      <c r="E226">
        <v>0.1</v>
      </c>
      <c r="F226">
        <v>8.8000000000000007</v>
      </c>
      <c r="G226" t="s">
        <v>5869</v>
      </c>
      <c r="H226" t="s">
        <v>5870</v>
      </c>
      <c r="I226" t="s">
        <v>5888</v>
      </c>
    </row>
    <row r="227" spans="1:9">
      <c r="A227" t="s">
        <v>5867</v>
      </c>
      <c r="B227" t="s">
        <v>5898</v>
      </c>
      <c r="C227">
        <v>1</v>
      </c>
      <c r="D227" t="s">
        <v>5556</v>
      </c>
      <c r="E227">
        <v>0.1</v>
      </c>
      <c r="F227">
        <v>8.8000000000000007</v>
      </c>
      <c r="G227" t="s">
        <v>5869</v>
      </c>
      <c r="H227" t="s">
        <v>5870</v>
      </c>
      <c r="I227" t="s">
        <v>5888</v>
      </c>
    </row>
    <row r="228" spans="1:9">
      <c r="A228" t="s">
        <v>5867</v>
      </c>
      <c r="B228" t="s">
        <v>5899</v>
      </c>
      <c r="C228">
        <v>1</v>
      </c>
      <c r="D228" t="s">
        <v>5556</v>
      </c>
      <c r="E228">
        <v>0.1</v>
      </c>
      <c r="F228">
        <v>10</v>
      </c>
      <c r="G228" t="s">
        <v>5869</v>
      </c>
      <c r="H228" t="s">
        <v>5870</v>
      </c>
      <c r="I228" t="s">
        <v>5888</v>
      </c>
    </row>
    <row r="229" spans="1:9">
      <c r="A229" t="s">
        <v>5867</v>
      </c>
      <c r="B229" t="s">
        <v>5900</v>
      </c>
      <c r="C229">
        <v>1</v>
      </c>
      <c r="D229" t="s">
        <v>5556</v>
      </c>
      <c r="E229">
        <v>0.3</v>
      </c>
      <c r="F229">
        <v>26</v>
      </c>
      <c r="G229" t="s">
        <v>5869</v>
      </c>
      <c r="H229" t="s">
        <v>5870</v>
      </c>
      <c r="I229" t="s">
        <v>5888</v>
      </c>
    </row>
    <row r="230" spans="1:9">
      <c r="A230" t="s">
        <v>5838</v>
      </c>
      <c r="B230" t="s">
        <v>5901</v>
      </c>
      <c r="C230">
        <v>1</v>
      </c>
      <c r="D230" t="s">
        <v>5556</v>
      </c>
      <c r="E230">
        <v>0.1</v>
      </c>
      <c r="F230">
        <v>0.88</v>
      </c>
      <c r="H230" t="s">
        <v>5870</v>
      </c>
      <c r="I230" t="s">
        <v>5902</v>
      </c>
    </row>
    <row r="231" spans="1:9">
      <c r="A231" t="s">
        <v>5838</v>
      </c>
      <c r="B231" t="s">
        <v>5903</v>
      </c>
      <c r="C231">
        <v>1</v>
      </c>
      <c r="D231" t="s">
        <v>5746</v>
      </c>
      <c r="E231">
        <v>0.25</v>
      </c>
      <c r="F231">
        <v>2.2000000000000002</v>
      </c>
      <c r="H231" t="s">
        <v>5870</v>
      </c>
      <c r="I231" t="s">
        <v>5902</v>
      </c>
    </row>
    <row r="232" spans="1:9">
      <c r="A232" t="s">
        <v>5838</v>
      </c>
      <c r="B232" t="s">
        <v>5904</v>
      </c>
      <c r="C232">
        <v>1</v>
      </c>
      <c r="D232" t="s">
        <v>5556</v>
      </c>
      <c r="E232">
        <v>0.25</v>
      </c>
      <c r="F232">
        <v>1.32</v>
      </c>
      <c r="H232" t="s">
        <v>5870</v>
      </c>
      <c r="I232" t="s">
        <v>5902</v>
      </c>
    </row>
    <row r="233" spans="1:9">
      <c r="A233" t="s">
        <v>5838</v>
      </c>
      <c r="B233" t="s">
        <v>5905</v>
      </c>
      <c r="C233">
        <v>1</v>
      </c>
      <c r="D233" t="s">
        <v>5556</v>
      </c>
      <c r="E233">
        <v>0.2</v>
      </c>
      <c r="F233">
        <v>1.32</v>
      </c>
      <c r="H233" t="s">
        <v>5870</v>
      </c>
      <c r="I233" t="s">
        <v>5902</v>
      </c>
    </row>
    <row r="234" spans="1:9">
      <c r="A234" t="s">
        <v>5860</v>
      </c>
      <c r="B234" t="s">
        <v>5906</v>
      </c>
      <c r="C234">
        <v>1</v>
      </c>
      <c r="D234" t="s">
        <v>5556</v>
      </c>
      <c r="E234">
        <v>0.75</v>
      </c>
      <c r="F234">
        <v>1.7</v>
      </c>
      <c r="H234" t="s">
        <v>5870</v>
      </c>
      <c r="I234" t="s">
        <v>5902</v>
      </c>
    </row>
    <row r="235" spans="1:9">
      <c r="A235" t="s">
        <v>5907</v>
      </c>
      <c r="B235" t="s">
        <v>5908</v>
      </c>
      <c r="C235">
        <v>1</v>
      </c>
      <c r="D235" t="s">
        <v>5556</v>
      </c>
      <c r="E235">
        <v>0.02</v>
      </c>
      <c r="F235">
        <v>0.44</v>
      </c>
      <c r="H235" t="s">
        <v>5870</v>
      </c>
      <c r="I235" t="s">
        <v>5902</v>
      </c>
    </row>
    <row r="236" spans="1:9">
      <c r="A236" t="s">
        <v>5909</v>
      </c>
      <c r="B236" t="s">
        <v>5910</v>
      </c>
      <c r="C236">
        <v>1</v>
      </c>
      <c r="D236" t="s">
        <v>5556</v>
      </c>
      <c r="E236">
        <v>1.5</v>
      </c>
      <c r="F236">
        <v>1.32</v>
      </c>
      <c r="H236" t="s">
        <v>4352</v>
      </c>
      <c r="I236" t="s">
        <v>5840</v>
      </c>
    </row>
    <row r="237" spans="1:9">
      <c r="A237" t="s">
        <v>5838</v>
      </c>
      <c r="B237" t="s">
        <v>5911</v>
      </c>
      <c r="C237">
        <v>1</v>
      </c>
      <c r="D237" t="s">
        <v>5556</v>
      </c>
      <c r="E237">
        <v>0.05</v>
      </c>
      <c r="F237">
        <v>1.4E-2</v>
      </c>
      <c r="H237" t="s">
        <v>4352</v>
      </c>
      <c r="I237" t="s">
        <v>5840</v>
      </c>
    </row>
    <row r="238" spans="1:9">
      <c r="A238" t="s">
        <v>5838</v>
      </c>
      <c r="B238" t="s">
        <v>5912</v>
      </c>
      <c r="C238">
        <v>1</v>
      </c>
      <c r="D238" t="s">
        <v>5556</v>
      </c>
      <c r="E238">
        <v>3</v>
      </c>
      <c r="F238">
        <v>3.08</v>
      </c>
      <c r="H238" t="s">
        <v>4352</v>
      </c>
      <c r="I238" t="s">
        <v>5840</v>
      </c>
    </row>
    <row r="239" spans="1:9">
      <c r="A239" t="s">
        <v>5838</v>
      </c>
      <c r="B239" t="s">
        <v>5913</v>
      </c>
      <c r="C239">
        <v>1</v>
      </c>
      <c r="D239" t="s">
        <v>5556</v>
      </c>
      <c r="E239">
        <v>7.0000000000000007E-2</v>
      </c>
      <c r="F239">
        <v>5.0000000000000001E-3</v>
      </c>
      <c r="H239" t="s">
        <v>4352</v>
      </c>
      <c r="I239" t="s">
        <v>5840</v>
      </c>
    </row>
    <row r="240" spans="1:9">
      <c r="A240" t="s">
        <v>5838</v>
      </c>
      <c r="B240" t="s">
        <v>5914</v>
      </c>
      <c r="C240">
        <v>1</v>
      </c>
      <c r="D240" t="s">
        <v>5556</v>
      </c>
      <c r="E240">
        <v>0.1</v>
      </c>
      <c r="F240">
        <v>1.7999999999999999E-2</v>
      </c>
      <c r="H240" t="s">
        <v>4352</v>
      </c>
      <c r="I240" t="s">
        <v>5840</v>
      </c>
    </row>
    <row r="241" spans="1:9">
      <c r="A241" t="s">
        <v>5649</v>
      </c>
      <c r="B241" t="s">
        <v>5915</v>
      </c>
      <c r="C241">
        <v>1</v>
      </c>
      <c r="D241" t="s">
        <v>5556</v>
      </c>
      <c r="E241">
        <v>0.13</v>
      </c>
      <c r="F241">
        <v>0.05</v>
      </c>
      <c r="H241" t="s">
        <v>4352</v>
      </c>
      <c r="I241" t="s">
        <v>5840</v>
      </c>
    </row>
    <row r="242" spans="1:9">
      <c r="A242" t="s">
        <v>5844</v>
      </c>
      <c r="B242" t="s">
        <v>5916</v>
      </c>
      <c r="C242">
        <v>1</v>
      </c>
      <c r="D242" t="s">
        <v>5556</v>
      </c>
      <c r="E242">
        <v>0.12</v>
      </c>
      <c r="F242">
        <v>2.2000000000000002</v>
      </c>
      <c r="H242" t="s">
        <v>4352</v>
      </c>
      <c r="I242" t="s">
        <v>5840</v>
      </c>
    </row>
    <row r="243" spans="1:9">
      <c r="A243" t="s">
        <v>5917</v>
      </c>
      <c r="B243" t="s">
        <v>5918</v>
      </c>
      <c r="C243">
        <v>1</v>
      </c>
      <c r="D243" t="s">
        <v>5556</v>
      </c>
      <c r="E243">
        <v>1.25</v>
      </c>
      <c r="F243">
        <v>2.1999999999999999E-2</v>
      </c>
      <c r="H243" t="s">
        <v>4352</v>
      </c>
      <c r="I243" t="s">
        <v>5840</v>
      </c>
    </row>
    <row r="244" spans="1:9">
      <c r="A244" t="s">
        <v>5639</v>
      </c>
      <c r="B244" t="s">
        <v>5919</v>
      </c>
      <c r="C244">
        <v>1</v>
      </c>
      <c r="D244" t="s">
        <v>5556</v>
      </c>
      <c r="E244">
        <v>0.5</v>
      </c>
      <c r="F244">
        <v>50</v>
      </c>
      <c r="H244" t="s">
        <v>4352</v>
      </c>
      <c r="I244" t="s">
        <v>5840</v>
      </c>
    </row>
    <row r="245" spans="1:9">
      <c r="A245" t="s">
        <v>5639</v>
      </c>
      <c r="B245" t="s">
        <v>5920</v>
      </c>
      <c r="C245">
        <v>1</v>
      </c>
      <c r="D245" t="s">
        <v>5556</v>
      </c>
      <c r="E245">
        <v>7.0000000000000007E-2</v>
      </c>
      <c r="F245">
        <v>3.6999999999999998E-2</v>
      </c>
      <c r="H245" t="s">
        <v>4352</v>
      </c>
      <c r="I245" t="s">
        <v>5840</v>
      </c>
    </row>
    <row r="246" spans="1:9">
      <c r="A246" t="s">
        <v>5907</v>
      </c>
      <c r="B246" t="s">
        <v>5921</v>
      </c>
      <c r="C246">
        <v>1</v>
      </c>
      <c r="D246" t="s">
        <v>5556</v>
      </c>
      <c r="E246">
        <v>0.03</v>
      </c>
      <c r="F246">
        <v>1.4E-2</v>
      </c>
      <c r="H246" t="s">
        <v>4352</v>
      </c>
      <c r="I246" t="s">
        <v>5840</v>
      </c>
    </row>
    <row r="247" spans="1:9">
      <c r="A247" t="s">
        <v>5907</v>
      </c>
      <c r="B247" t="s">
        <v>5922</v>
      </c>
      <c r="C247">
        <v>1</v>
      </c>
      <c r="D247" t="s">
        <v>5746</v>
      </c>
      <c r="E247">
        <v>0.5</v>
      </c>
      <c r="F247">
        <v>6.6000000000000003E-2</v>
      </c>
      <c r="H247" t="s">
        <v>4352</v>
      </c>
      <c r="I247" t="s">
        <v>5840</v>
      </c>
    </row>
    <row r="248" spans="1:9">
      <c r="A248" t="s">
        <v>5907</v>
      </c>
      <c r="B248" t="s">
        <v>5923</v>
      </c>
      <c r="C248">
        <v>1</v>
      </c>
      <c r="D248" t="s">
        <v>5746</v>
      </c>
      <c r="E248">
        <v>1.1000000000000001</v>
      </c>
      <c r="F248">
        <v>1.7</v>
      </c>
      <c r="H248" t="s">
        <v>4352</v>
      </c>
      <c r="I248" t="s">
        <v>5840</v>
      </c>
    </row>
    <row r="249" spans="1:9">
      <c r="A249" t="s">
        <v>5907</v>
      </c>
      <c r="B249" t="s">
        <v>5924</v>
      </c>
      <c r="C249">
        <v>1</v>
      </c>
      <c r="D249" t="s">
        <v>5556</v>
      </c>
      <c r="E249">
        <v>0.5</v>
      </c>
      <c r="F249">
        <v>2</v>
      </c>
      <c r="H249" t="s">
        <v>4352</v>
      </c>
      <c r="I249" t="s">
        <v>5840</v>
      </c>
    </row>
    <row r="250" spans="1:9">
      <c r="A250" t="s">
        <v>5907</v>
      </c>
      <c r="B250" t="s">
        <v>5925</v>
      </c>
      <c r="C250">
        <v>1</v>
      </c>
      <c r="D250" t="s">
        <v>5556</v>
      </c>
      <c r="E250">
        <v>1</v>
      </c>
      <c r="F250">
        <v>0.87</v>
      </c>
      <c r="H250" t="s">
        <v>4352</v>
      </c>
      <c r="I250" t="s">
        <v>5840</v>
      </c>
    </row>
    <row r="251" spans="1:9">
      <c r="A251" t="s">
        <v>5907</v>
      </c>
      <c r="B251" t="s">
        <v>5926</v>
      </c>
      <c r="C251">
        <v>1</v>
      </c>
      <c r="D251" t="s">
        <v>5746</v>
      </c>
      <c r="E251">
        <v>0.02</v>
      </c>
      <c r="F251">
        <v>0.88</v>
      </c>
      <c r="H251" t="s">
        <v>4352</v>
      </c>
      <c r="I251" t="s">
        <v>5840</v>
      </c>
    </row>
    <row r="252" spans="1:9">
      <c r="A252" t="s">
        <v>5674</v>
      </c>
      <c r="B252" t="s">
        <v>5927</v>
      </c>
      <c r="C252">
        <v>1</v>
      </c>
      <c r="D252" t="s">
        <v>5928</v>
      </c>
      <c r="E252" t="s">
        <v>5557</v>
      </c>
      <c r="F252">
        <v>0.05</v>
      </c>
      <c r="H252" t="s">
        <v>4352</v>
      </c>
      <c r="I252" t="s">
        <v>5840</v>
      </c>
    </row>
    <row r="253" spans="1:9">
      <c r="A253" t="s">
        <v>5674</v>
      </c>
      <c r="B253" t="s">
        <v>5929</v>
      </c>
      <c r="C253">
        <v>1</v>
      </c>
      <c r="D253" t="s">
        <v>5556</v>
      </c>
      <c r="E253">
        <v>0.5</v>
      </c>
      <c r="F253">
        <v>0.2</v>
      </c>
      <c r="H253" t="s">
        <v>4352</v>
      </c>
      <c r="I253" t="s">
        <v>5840</v>
      </c>
    </row>
    <row r="254" spans="1:9">
      <c r="A254" t="s">
        <v>5649</v>
      </c>
      <c r="B254" t="s">
        <v>5930</v>
      </c>
      <c r="C254">
        <v>1</v>
      </c>
      <c r="D254" t="s">
        <v>5556</v>
      </c>
      <c r="E254">
        <v>0.25</v>
      </c>
      <c r="F254">
        <v>0.25</v>
      </c>
      <c r="H254" t="s">
        <v>4352</v>
      </c>
      <c r="I254" t="s">
        <v>5931</v>
      </c>
    </row>
    <row r="255" spans="1:9">
      <c r="A255" t="s">
        <v>5652</v>
      </c>
      <c r="B255" t="s">
        <v>5932</v>
      </c>
      <c r="C255">
        <v>1</v>
      </c>
      <c r="D255" t="s">
        <v>5746</v>
      </c>
      <c r="E255">
        <v>1.5</v>
      </c>
      <c r="F255">
        <v>0.88</v>
      </c>
      <c r="H255" t="s">
        <v>4352</v>
      </c>
      <c r="I255" t="s">
        <v>5931</v>
      </c>
    </row>
    <row r="256" spans="1:9">
      <c r="A256" t="s">
        <v>5639</v>
      </c>
      <c r="B256" t="s">
        <v>5933</v>
      </c>
      <c r="C256">
        <v>1</v>
      </c>
      <c r="D256" t="s">
        <v>5746</v>
      </c>
      <c r="E256">
        <v>0.15</v>
      </c>
      <c r="F256">
        <v>3.5</v>
      </c>
      <c r="H256" t="s">
        <v>4352</v>
      </c>
      <c r="I256" t="s">
        <v>5931</v>
      </c>
    </row>
    <row r="257" spans="1:9">
      <c r="A257" t="s">
        <v>5658</v>
      </c>
      <c r="B257" t="s">
        <v>5934</v>
      </c>
      <c r="C257">
        <v>1</v>
      </c>
      <c r="D257" t="s">
        <v>5556</v>
      </c>
      <c r="E257">
        <v>1</v>
      </c>
      <c r="F257">
        <v>0.42</v>
      </c>
      <c r="H257" t="s">
        <v>4352</v>
      </c>
      <c r="I257" t="s">
        <v>5931</v>
      </c>
    </row>
    <row r="258" spans="1:9">
      <c r="A258" t="s">
        <v>5658</v>
      </c>
      <c r="B258" t="s">
        <v>5935</v>
      </c>
      <c r="C258">
        <v>1</v>
      </c>
      <c r="D258" t="s">
        <v>5556</v>
      </c>
      <c r="E258">
        <v>1.25</v>
      </c>
      <c r="F258">
        <v>1.7999999999999999E-2</v>
      </c>
      <c r="H258" t="s">
        <v>4352</v>
      </c>
      <c r="I258" t="s">
        <v>5931</v>
      </c>
    </row>
    <row r="259" spans="1:9">
      <c r="A259" t="s">
        <v>5838</v>
      </c>
      <c r="B259" t="s">
        <v>5936</v>
      </c>
      <c r="C259">
        <v>1</v>
      </c>
      <c r="D259" t="s">
        <v>5556</v>
      </c>
      <c r="E259">
        <v>3</v>
      </c>
      <c r="F259">
        <v>7.92</v>
      </c>
      <c r="H259" t="s">
        <v>4352</v>
      </c>
      <c r="I259" t="s">
        <v>5937</v>
      </c>
    </row>
    <row r="260" spans="1:9">
      <c r="A260" t="s">
        <v>5860</v>
      </c>
      <c r="B260" t="s">
        <v>5938</v>
      </c>
      <c r="C260">
        <v>1</v>
      </c>
      <c r="D260" t="s">
        <v>5556</v>
      </c>
      <c r="E260">
        <v>15</v>
      </c>
      <c r="F260">
        <v>8</v>
      </c>
      <c r="H260" t="s">
        <v>4352</v>
      </c>
      <c r="I260" t="s">
        <v>5937</v>
      </c>
    </row>
    <row r="261" spans="1:9">
      <c r="A261" t="s">
        <v>5786</v>
      </c>
      <c r="B261" t="s">
        <v>5939</v>
      </c>
      <c r="C261">
        <v>1</v>
      </c>
      <c r="D261" t="s">
        <v>5556</v>
      </c>
      <c r="E261">
        <v>1.1000000000000001</v>
      </c>
      <c r="F261">
        <v>6.6</v>
      </c>
      <c r="H261" t="s">
        <v>4352</v>
      </c>
      <c r="I261" t="s">
        <v>5937</v>
      </c>
    </row>
    <row r="262" spans="1:9">
      <c r="A262" t="s">
        <v>5786</v>
      </c>
      <c r="B262" t="s">
        <v>5940</v>
      </c>
      <c r="C262">
        <v>1</v>
      </c>
      <c r="D262" t="s">
        <v>5556</v>
      </c>
      <c r="E262">
        <v>1.5</v>
      </c>
      <c r="F262">
        <v>2.64</v>
      </c>
      <c r="H262" t="s">
        <v>4352</v>
      </c>
      <c r="I262" t="s">
        <v>5937</v>
      </c>
    </row>
    <row r="263" spans="1:9">
      <c r="A263" t="s">
        <v>5625</v>
      </c>
      <c r="B263" t="s">
        <v>5941</v>
      </c>
      <c r="C263">
        <v>1</v>
      </c>
      <c r="D263" t="s">
        <v>5630</v>
      </c>
      <c r="E263">
        <v>1</v>
      </c>
      <c r="F263">
        <v>1.4</v>
      </c>
      <c r="H263" t="s">
        <v>4352</v>
      </c>
      <c r="I263" t="s">
        <v>5942</v>
      </c>
    </row>
    <row r="264" spans="1:9">
      <c r="A264" t="s">
        <v>5625</v>
      </c>
      <c r="B264" t="s">
        <v>5943</v>
      </c>
      <c r="C264">
        <v>1</v>
      </c>
      <c r="D264" t="s">
        <v>5646</v>
      </c>
      <c r="E264">
        <v>1</v>
      </c>
      <c r="F264">
        <v>8</v>
      </c>
      <c r="H264" t="s">
        <v>4352</v>
      </c>
      <c r="I264" t="s">
        <v>5942</v>
      </c>
    </row>
    <row r="265" spans="1:9">
      <c r="A265" t="s">
        <v>5633</v>
      </c>
      <c r="B265" t="s">
        <v>5944</v>
      </c>
      <c r="C265">
        <v>1</v>
      </c>
      <c r="D265" t="s">
        <v>5556</v>
      </c>
      <c r="E265">
        <v>0.5</v>
      </c>
      <c r="F265">
        <v>2.1999999999999999E-2</v>
      </c>
      <c r="H265" t="s">
        <v>4352</v>
      </c>
      <c r="I265" t="s">
        <v>5942</v>
      </c>
    </row>
    <row r="266" spans="1:9">
      <c r="A266" t="s">
        <v>5909</v>
      </c>
      <c r="B266" t="s">
        <v>5945</v>
      </c>
      <c r="C266">
        <v>1</v>
      </c>
      <c r="D266" t="s">
        <v>5556</v>
      </c>
      <c r="E266">
        <v>2</v>
      </c>
      <c r="F266">
        <v>1.76</v>
      </c>
      <c r="H266" t="s">
        <v>4352</v>
      </c>
      <c r="I266" t="s">
        <v>5946</v>
      </c>
    </row>
    <row r="267" spans="1:9">
      <c r="A267" t="s">
        <v>5947</v>
      </c>
      <c r="B267" t="s">
        <v>5948</v>
      </c>
      <c r="C267">
        <v>1</v>
      </c>
      <c r="D267" t="s">
        <v>5893</v>
      </c>
      <c r="E267">
        <v>1.5</v>
      </c>
      <c r="F267">
        <v>5.3</v>
      </c>
      <c r="H267" t="s">
        <v>4352</v>
      </c>
      <c r="I267" t="s">
        <v>5946</v>
      </c>
    </row>
    <row r="268" spans="1:9">
      <c r="A268" t="s">
        <v>5947</v>
      </c>
      <c r="B268" t="s">
        <v>5949</v>
      </c>
      <c r="C268">
        <v>1</v>
      </c>
      <c r="D268" t="s">
        <v>5893</v>
      </c>
      <c r="E268">
        <v>0.6</v>
      </c>
      <c r="F268">
        <v>7.4999999999999997E-2</v>
      </c>
      <c r="H268" t="s">
        <v>4352</v>
      </c>
      <c r="I268" t="s">
        <v>5946</v>
      </c>
    </row>
    <row r="269" spans="1:9">
      <c r="A269" t="s">
        <v>5674</v>
      </c>
      <c r="B269" t="s">
        <v>5950</v>
      </c>
      <c r="C269">
        <v>1</v>
      </c>
      <c r="D269" t="s">
        <v>5556</v>
      </c>
      <c r="E269">
        <v>2</v>
      </c>
      <c r="F269">
        <v>1.32</v>
      </c>
      <c r="H269" t="s">
        <v>4352</v>
      </c>
      <c r="I269" t="s">
        <v>5946</v>
      </c>
    </row>
    <row r="270" spans="1:9">
      <c r="A270" t="s">
        <v>5674</v>
      </c>
      <c r="B270" t="s">
        <v>5951</v>
      </c>
      <c r="C270">
        <v>1</v>
      </c>
      <c r="D270" t="s">
        <v>5556</v>
      </c>
      <c r="E270">
        <v>2</v>
      </c>
      <c r="F270">
        <v>2.2000000000000002</v>
      </c>
      <c r="H270" t="s">
        <v>4352</v>
      </c>
      <c r="I270" t="s">
        <v>5946</v>
      </c>
    </row>
    <row r="271" spans="1:9">
      <c r="A271" t="s">
        <v>5947</v>
      </c>
      <c r="B271" t="s">
        <v>5952</v>
      </c>
      <c r="C271">
        <v>1</v>
      </c>
      <c r="D271" t="s">
        <v>5556</v>
      </c>
      <c r="E271">
        <v>0.05</v>
      </c>
      <c r="F271">
        <v>0.32</v>
      </c>
      <c r="H271" t="s">
        <v>4352</v>
      </c>
      <c r="I271" t="s">
        <v>5953</v>
      </c>
    </row>
    <row r="272" spans="1:9">
      <c r="A272" t="s">
        <v>5947</v>
      </c>
      <c r="B272" t="s">
        <v>5954</v>
      </c>
      <c r="C272">
        <v>1</v>
      </c>
      <c r="D272" t="s">
        <v>5556</v>
      </c>
      <c r="E272">
        <v>0.05</v>
      </c>
      <c r="F272">
        <v>3.5</v>
      </c>
      <c r="H272" t="s">
        <v>4352</v>
      </c>
      <c r="I272" t="s">
        <v>5953</v>
      </c>
    </row>
    <row r="273" spans="1:9">
      <c r="A273" t="s">
        <v>5947</v>
      </c>
      <c r="B273" t="s">
        <v>5955</v>
      </c>
      <c r="C273">
        <v>1</v>
      </c>
      <c r="D273" t="s">
        <v>5893</v>
      </c>
      <c r="E273">
        <v>1</v>
      </c>
      <c r="F273">
        <v>0.1</v>
      </c>
      <c r="H273" t="s">
        <v>4352</v>
      </c>
      <c r="I273" t="s">
        <v>5953</v>
      </c>
    </row>
    <row r="274" spans="1:9">
      <c r="A274" t="s">
        <v>5947</v>
      </c>
      <c r="B274" t="s">
        <v>5956</v>
      </c>
      <c r="C274">
        <v>1</v>
      </c>
      <c r="D274" t="s">
        <v>5893</v>
      </c>
      <c r="E274">
        <v>1</v>
      </c>
      <c r="F274">
        <v>1</v>
      </c>
      <c r="H274" t="s">
        <v>4352</v>
      </c>
      <c r="I274" t="s">
        <v>5953</v>
      </c>
    </row>
    <row r="275" spans="1:9">
      <c r="A275" t="s">
        <v>5909</v>
      </c>
      <c r="B275" t="s">
        <v>5957</v>
      </c>
      <c r="C275">
        <v>1</v>
      </c>
      <c r="D275" t="s">
        <v>5556</v>
      </c>
      <c r="E275">
        <v>2</v>
      </c>
      <c r="F275">
        <v>0.89</v>
      </c>
      <c r="H275" t="s">
        <v>4352</v>
      </c>
      <c r="I275" t="s">
        <v>5958</v>
      </c>
    </row>
    <row r="276" spans="1:9">
      <c r="A276" t="s">
        <v>5909</v>
      </c>
      <c r="B276" t="s">
        <v>5959</v>
      </c>
      <c r="C276">
        <v>1</v>
      </c>
      <c r="D276" t="s">
        <v>5556</v>
      </c>
      <c r="E276">
        <v>2.5</v>
      </c>
      <c r="F276">
        <v>2.5</v>
      </c>
      <c r="H276" t="s">
        <v>4352</v>
      </c>
      <c r="I276" t="s">
        <v>5958</v>
      </c>
    </row>
    <row r="277" spans="1:9">
      <c r="A277" t="s">
        <v>5947</v>
      </c>
      <c r="B277" t="s">
        <v>5960</v>
      </c>
      <c r="C277">
        <v>1</v>
      </c>
      <c r="D277" t="s">
        <v>5893</v>
      </c>
      <c r="E277">
        <v>1.5</v>
      </c>
      <c r="F277">
        <v>8.4</v>
      </c>
      <c r="H277" t="s">
        <v>4352</v>
      </c>
      <c r="I277" t="s">
        <v>5958</v>
      </c>
    </row>
    <row r="278" spans="1:9">
      <c r="A278" t="s">
        <v>5860</v>
      </c>
      <c r="B278" t="s">
        <v>5961</v>
      </c>
      <c r="C278">
        <v>1</v>
      </c>
      <c r="D278" t="s">
        <v>5556</v>
      </c>
      <c r="E278">
        <v>10</v>
      </c>
      <c r="F278">
        <v>13</v>
      </c>
      <c r="H278" t="s">
        <v>4352</v>
      </c>
      <c r="I278" t="s">
        <v>5958</v>
      </c>
    </row>
    <row r="279" spans="1:9">
      <c r="A279" t="s">
        <v>5860</v>
      </c>
      <c r="B279" t="s">
        <v>5962</v>
      </c>
      <c r="C279">
        <v>1</v>
      </c>
      <c r="D279" t="s">
        <v>5556</v>
      </c>
      <c r="E279">
        <v>25</v>
      </c>
      <c r="F279">
        <v>44</v>
      </c>
      <c r="H279" t="s">
        <v>4352</v>
      </c>
      <c r="I279" t="s">
        <v>5958</v>
      </c>
    </row>
    <row r="280" spans="1:9">
      <c r="A280" t="s">
        <v>5860</v>
      </c>
      <c r="B280" t="s">
        <v>5963</v>
      </c>
      <c r="C280">
        <v>1</v>
      </c>
      <c r="D280" t="s">
        <v>5556</v>
      </c>
      <c r="E280">
        <v>125</v>
      </c>
      <c r="F280">
        <v>176</v>
      </c>
      <c r="H280" t="s">
        <v>4352</v>
      </c>
      <c r="I280" t="s">
        <v>5958</v>
      </c>
    </row>
    <row r="281" spans="1:9">
      <c r="A281" t="s">
        <v>5860</v>
      </c>
      <c r="B281" t="s">
        <v>5964</v>
      </c>
      <c r="C281">
        <v>1</v>
      </c>
      <c r="D281" t="s">
        <v>5556</v>
      </c>
      <c r="E281">
        <v>3</v>
      </c>
      <c r="F281">
        <v>2.2000000000000002</v>
      </c>
      <c r="H281" t="s">
        <v>4352</v>
      </c>
      <c r="I281" t="s">
        <v>5958</v>
      </c>
    </row>
    <row r="282" spans="1:9">
      <c r="A282" t="s">
        <v>5860</v>
      </c>
      <c r="B282" t="s">
        <v>5965</v>
      </c>
      <c r="C282">
        <v>1</v>
      </c>
      <c r="D282" t="s">
        <v>5556</v>
      </c>
      <c r="E282">
        <v>30</v>
      </c>
      <c r="F282">
        <v>44</v>
      </c>
      <c r="H282" t="s">
        <v>4352</v>
      </c>
      <c r="I282" t="s">
        <v>5958</v>
      </c>
    </row>
    <row r="283" spans="1:9">
      <c r="A283" t="s">
        <v>5860</v>
      </c>
      <c r="B283" t="s">
        <v>5966</v>
      </c>
      <c r="C283">
        <v>1</v>
      </c>
      <c r="D283" t="s">
        <v>5556</v>
      </c>
      <c r="E283">
        <v>30</v>
      </c>
      <c r="F283">
        <v>18</v>
      </c>
      <c r="H283" t="s">
        <v>4352</v>
      </c>
      <c r="I283" t="s">
        <v>5958</v>
      </c>
    </row>
    <row r="284" spans="1:9">
      <c r="A284" t="s">
        <v>5860</v>
      </c>
      <c r="B284" t="s">
        <v>5967</v>
      </c>
      <c r="C284">
        <v>1</v>
      </c>
      <c r="D284" t="s">
        <v>5556</v>
      </c>
      <c r="E284">
        <v>100</v>
      </c>
      <c r="F284">
        <v>66</v>
      </c>
      <c r="H284" t="s">
        <v>4352</v>
      </c>
      <c r="I284" t="s">
        <v>5958</v>
      </c>
    </row>
    <row r="285" spans="1:9">
      <c r="A285" t="s">
        <v>5860</v>
      </c>
      <c r="B285" t="s">
        <v>5968</v>
      </c>
      <c r="C285">
        <v>1</v>
      </c>
      <c r="D285" t="s">
        <v>5556</v>
      </c>
      <c r="E285">
        <v>50</v>
      </c>
      <c r="F285">
        <v>110</v>
      </c>
      <c r="H285" t="s">
        <v>4352</v>
      </c>
      <c r="I285" t="s">
        <v>5958</v>
      </c>
    </row>
    <row r="286" spans="1:9">
      <c r="A286" t="s">
        <v>5860</v>
      </c>
      <c r="B286" t="s">
        <v>5969</v>
      </c>
      <c r="C286">
        <v>1</v>
      </c>
      <c r="D286" t="s">
        <v>5556</v>
      </c>
      <c r="E286">
        <v>4</v>
      </c>
      <c r="F286">
        <v>26</v>
      </c>
      <c r="H286" t="s">
        <v>4352</v>
      </c>
      <c r="I286" t="s">
        <v>5958</v>
      </c>
    </row>
    <row r="287" spans="1:9">
      <c r="A287" t="s">
        <v>5860</v>
      </c>
      <c r="B287" t="s">
        <v>5970</v>
      </c>
      <c r="C287">
        <v>1</v>
      </c>
      <c r="D287" t="s">
        <v>5556</v>
      </c>
      <c r="E287">
        <v>20</v>
      </c>
      <c r="F287">
        <v>48</v>
      </c>
      <c r="H287" t="s">
        <v>4352</v>
      </c>
      <c r="I287" t="s">
        <v>5958</v>
      </c>
    </row>
    <row r="288" spans="1:9">
      <c r="A288" t="s">
        <v>5860</v>
      </c>
      <c r="B288" t="s">
        <v>5971</v>
      </c>
      <c r="C288">
        <v>1</v>
      </c>
      <c r="D288" t="s">
        <v>5556</v>
      </c>
      <c r="E288">
        <v>4</v>
      </c>
      <c r="F288">
        <v>8</v>
      </c>
      <c r="H288" t="s">
        <v>4352</v>
      </c>
      <c r="I288" t="s">
        <v>5958</v>
      </c>
    </row>
    <row r="289" spans="1:9">
      <c r="A289" t="s">
        <v>5860</v>
      </c>
      <c r="B289" t="s">
        <v>5972</v>
      </c>
      <c r="C289">
        <v>1</v>
      </c>
      <c r="D289" t="s">
        <v>5556</v>
      </c>
      <c r="E289">
        <v>15</v>
      </c>
      <c r="F289">
        <v>5</v>
      </c>
      <c r="H289" t="s">
        <v>4352</v>
      </c>
      <c r="I289" t="s">
        <v>5958</v>
      </c>
    </row>
    <row r="290" spans="1:9">
      <c r="A290" t="s">
        <v>5860</v>
      </c>
      <c r="B290" t="s">
        <v>5973</v>
      </c>
      <c r="C290">
        <v>1</v>
      </c>
      <c r="D290" t="s">
        <v>5556</v>
      </c>
      <c r="E290">
        <v>20</v>
      </c>
      <c r="F290">
        <v>80</v>
      </c>
      <c r="H290" t="s">
        <v>4352</v>
      </c>
      <c r="I290" t="s">
        <v>5958</v>
      </c>
    </row>
    <row r="291" spans="1:9">
      <c r="A291" t="s">
        <v>5860</v>
      </c>
      <c r="B291" t="s">
        <v>5974</v>
      </c>
      <c r="C291">
        <v>1</v>
      </c>
      <c r="D291" t="s">
        <v>5556</v>
      </c>
      <c r="E291">
        <v>15</v>
      </c>
      <c r="F291">
        <v>14</v>
      </c>
      <c r="H291" t="s">
        <v>4352</v>
      </c>
      <c r="I291" t="s">
        <v>5958</v>
      </c>
    </row>
    <row r="292" spans="1:9">
      <c r="A292" t="s">
        <v>5860</v>
      </c>
      <c r="B292" t="s">
        <v>5975</v>
      </c>
      <c r="C292">
        <v>1</v>
      </c>
      <c r="D292" t="s">
        <v>5556</v>
      </c>
      <c r="E292">
        <v>5</v>
      </c>
      <c r="F292">
        <v>3.5</v>
      </c>
      <c r="H292" t="s">
        <v>4352</v>
      </c>
      <c r="I292" t="s">
        <v>5958</v>
      </c>
    </row>
    <row r="293" spans="1:9">
      <c r="A293" t="s">
        <v>5793</v>
      </c>
      <c r="B293" t="s">
        <v>5976</v>
      </c>
      <c r="C293">
        <v>1</v>
      </c>
      <c r="D293" t="s">
        <v>5556</v>
      </c>
      <c r="E293">
        <v>50</v>
      </c>
      <c r="F293">
        <v>26</v>
      </c>
      <c r="H293" t="s">
        <v>4352</v>
      </c>
      <c r="I293" t="s">
        <v>5977</v>
      </c>
    </row>
    <row r="294" spans="1:9">
      <c r="A294" t="s">
        <v>5793</v>
      </c>
      <c r="B294" t="s">
        <v>5978</v>
      </c>
      <c r="C294">
        <v>1</v>
      </c>
      <c r="D294" t="s">
        <v>5556</v>
      </c>
      <c r="E294">
        <v>17.5</v>
      </c>
      <c r="F294">
        <v>22</v>
      </c>
      <c r="H294" t="s">
        <v>4352</v>
      </c>
      <c r="I294" t="s">
        <v>5977</v>
      </c>
    </row>
    <row r="295" spans="1:9">
      <c r="A295" t="s">
        <v>5979</v>
      </c>
      <c r="B295" t="s">
        <v>5980</v>
      </c>
      <c r="C295">
        <v>1</v>
      </c>
      <c r="D295" t="s">
        <v>5556</v>
      </c>
      <c r="E295">
        <v>450</v>
      </c>
      <c r="F295">
        <v>6600</v>
      </c>
      <c r="H295" t="s">
        <v>4352</v>
      </c>
      <c r="I295" t="s">
        <v>5977</v>
      </c>
    </row>
    <row r="296" spans="1:9">
      <c r="A296" t="s">
        <v>5979</v>
      </c>
      <c r="B296" t="s">
        <v>5981</v>
      </c>
      <c r="C296">
        <v>1</v>
      </c>
      <c r="D296" t="s">
        <v>5556</v>
      </c>
      <c r="E296">
        <v>150</v>
      </c>
      <c r="F296">
        <v>1760</v>
      </c>
      <c r="H296" t="s">
        <v>4352</v>
      </c>
      <c r="I296" t="s">
        <v>5977</v>
      </c>
    </row>
    <row r="297" spans="1:9">
      <c r="A297" t="s">
        <v>5979</v>
      </c>
      <c r="B297" t="s">
        <v>5982</v>
      </c>
      <c r="C297">
        <v>1</v>
      </c>
      <c r="D297" t="s">
        <v>5556</v>
      </c>
      <c r="E297">
        <v>550</v>
      </c>
      <c r="F297">
        <v>4400</v>
      </c>
      <c r="H297" t="s">
        <v>4352</v>
      </c>
      <c r="I297" t="s">
        <v>5977</v>
      </c>
    </row>
    <row r="298" spans="1:9">
      <c r="A298" t="s">
        <v>5979</v>
      </c>
      <c r="B298" t="s">
        <v>5983</v>
      </c>
      <c r="C298">
        <v>1</v>
      </c>
      <c r="D298" t="s">
        <v>5984</v>
      </c>
      <c r="E298" t="s">
        <v>5557</v>
      </c>
      <c r="F298">
        <v>3960</v>
      </c>
      <c r="H298" t="s">
        <v>4352</v>
      </c>
      <c r="I298" t="s">
        <v>5977</v>
      </c>
    </row>
    <row r="299" spans="1:9">
      <c r="A299" t="s">
        <v>5979</v>
      </c>
      <c r="B299" t="s">
        <v>5985</v>
      </c>
      <c r="C299">
        <v>1</v>
      </c>
      <c r="D299" t="s">
        <v>5984</v>
      </c>
      <c r="E299" t="s">
        <v>5557</v>
      </c>
      <c r="F299">
        <v>100</v>
      </c>
      <c r="H299" t="s">
        <v>4352</v>
      </c>
      <c r="I299" t="s">
        <v>5977</v>
      </c>
    </row>
    <row r="300" spans="1:9">
      <c r="A300" t="s">
        <v>5979</v>
      </c>
      <c r="B300" t="s">
        <v>5986</v>
      </c>
      <c r="C300">
        <v>1</v>
      </c>
      <c r="D300" t="s">
        <v>5984</v>
      </c>
      <c r="E300" t="s">
        <v>5557</v>
      </c>
      <c r="F300">
        <v>35</v>
      </c>
      <c r="H300" t="s">
        <v>4352</v>
      </c>
      <c r="I300" t="s">
        <v>5977</v>
      </c>
    </row>
    <row r="301" spans="1:9">
      <c r="A301" t="s">
        <v>5979</v>
      </c>
      <c r="B301" t="s">
        <v>5987</v>
      </c>
      <c r="C301">
        <v>1</v>
      </c>
      <c r="D301" t="s">
        <v>5984</v>
      </c>
      <c r="E301" t="s">
        <v>5557</v>
      </c>
      <c r="F301">
        <v>53</v>
      </c>
      <c r="H301" t="s">
        <v>4352</v>
      </c>
      <c r="I301" t="s">
        <v>5977</v>
      </c>
    </row>
    <row r="302" spans="1:9">
      <c r="A302" t="s">
        <v>5979</v>
      </c>
      <c r="B302" t="s">
        <v>5988</v>
      </c>
      <c r="C302">
        <v>1</v>
      </c>
      <c r="D302" t="s">
        <v>5556</v>
      </c>
      <c r="E302">
        <v>500</v>
      </c>
      <c r="F302">
        <v>250</v>
      </c>
      <c r="H302" t="s">
        <v>4352</v>
      </c>
      <c r="I302" t="s">
        <v>5977</v>
      </c>
    </row>
    <row r="303" spans="1:9">
      <c r="A303" t="s">
        <v>5979</v>
      </c>
      <c r="B303" t="s">
        <v>5989</v>
      </c>
      <c r="C303">
        <v>1</v>
      </c>
      <c r="D303" t="s">
        <v>5556</v>
      </c>
      <c r="E303">
        <v>225</v>
      </c>
      <c r="F303">
        <v>2520</v>
      </c>
      <c r="H303" t="s">
        <v>4352</v>
      </c>
      <c r="I303" t="s">
        <v>5977</v>
      </c>
    </row>
    <row r="304" spans="1:9">
      <c r="A304" t="s">
        <v>5979</v>
      </c>
      <c r="B304" t="s">
        <v>5990</v>
      </c>
      <c r="C304">
        <v>1</v>
      </c>
      <c r="D304" t="s">
        <v>5984</v>
      </c>
      <c r="E304" t="s">
        <v>5557</v>
      </c>
      <c r="F304">
        <v>3200</v>
      </c>
      <c r="H304" t="s">
        <v>4352</v>
      </c>
      <c r="I304" t="s">
        <v>5977</v>
      </c>
    </row>
    <row r="305" spans="1:9">
      <c r="A305" t="s">
        <v>5979</v>
      </c>
      <c r="B305" t="s">
        <v>5991</v>
      </c>
      <c r="C305">
        <v>1</v>
      </c>
      <c r="D305" t="s">
        <v>5556</v>
      </c>
      <c r="E305">
        <v>300</v>
      </c>
      <c r="F305">
        <v>5280</v>
      </c>
      <c r="H305" t="s">
        <v>4352</v>
      </c>
      <c r="I305" t="s">
        <v>5977</v>
      </c>
    </row>
    <row r="306" spans="1:9">
      <c r="A306" t="s">
        <v>5979</v>
      </c>
      <c r="B306" t="s">
        <v>5992</v>
      </c>
      <c r="C306">
        <v>1</v>
      </c>
      <c r="D306" t="s">
        <v>5984</v>
      </c>
      <c r="E306" t="s">
        <v>5557</v>
      </c>
      <c r="F306">
        <v>2640</v>
      </c>
      <c r="H306" t="s">
        <v>4352</v>
      </c>
      <c r="I306" t="s">
        <v>5977</v>
      </c>
    </row>
    <row r="307" spans="1:9">
      <c r="A307" t="s">
        <v>5979</v>
      </c>
      <c r="B307" t="s">
        <v>5993</v>
      </c>
      <c r="C307">
        <v>1</v>
      </c>
      <c r="D307" t="s">
        <v>5556</v>
      </c>
      <c r="E307">
        <v>37.5</v>
      </c>
      <c r="F307">
        <v>180</v>
      </c>
      <c r="G307" t="s">
        <v>5994</v>
      </c>
      <c r="H307" t="s">
        <v>4352</v>
      </c>
      <c r="I307" t="s">
        <v>5977</v>
      </c>
    </row>
    <row r="308" spans="1:9">
      <c r="A308" t="s">
        <v>5979</v>
      </c>
      <c r="B308" t="s">
        <v>5995</v>
      </c>
      <c r="C308">
        <v>1</v>
      </c>
      <c r="D308" t="s">
        <v>5556</v>
      </c>
      <c r="E308">
        <v>300</v>
      </c>
      <c r="F308">
        <v>2860</v>
      </c>
      <c r="H308" t="s">
        <v>4352</v>
      </c>
      <c r="I308" t="s">
        <v>5977</v>
      </c>
    </row>
    <row r="309" spans="1:9">
      <c r="A309" t="s">
        <v>5979</v>
      </c>
      <c r="B309" t="s">
        <v>5996</v>
      </c>
      <c r="C309">
        <v>1</v>
      </c>
      <c r="D309" t="s">
        <v>5984</v>
      </c>
      <c r="E309" t="s">
        <v>5557</v>
      </c>
      <c r="F309">
        <v>5280</v>
      </c>
      <c r="H309" t="s">
        <v>4352</v>
      </c>
      <c r="I309" t="s">
        <v>5977</v>
      </c>
    </row>
    <row r="310" spans="1:9">
      <c r="A310" t="s">
        <v>5979</v>
      </c>
      <c r="B310" t="s">
        <v>5997</v>
      </c>
      <c r="C310">
        <v>1</v>
      </c>
      <c r="D310" t="s">
        <v>5984</v>
      </c>
      <c r="E310" t="s">
        <v>5557</v>
      </c>
      <c r="F310">
        <v>1320</v>
      </c>
      <c r="H310" t="s">
        <v>4352</v>
      </c>
      <c r="I310" t="s">
        <v>5977</v>
      </c>
    </row>
    <row r="311" spans="1:9">
      <c r="A311" t="s">
        <v>5979</v>
      </c>
      <c r="B311" t="s">
        <v>5998</v>
      </c>
      <c r="C311">
        <v>1</v>
      </c>
      <c r="D311" t="s">
        <v>5556</v>
      </c>
      <c r="E311">
        <v>500</v>
      </c>
      <c r="F311">
        <v>2960</v>
      </c>
      <c r="H311" t="s">
        <v>4352</v>
      </c>
      <c r="I311" t="s">
        <v>5977</v>
      </c>
    </row>
    <row r="312" spans="1:9">
      <c r="A312" t="s">
        <v>5979</v>
      </c>
      <c r="B312" t="s">
        <v>5999</v>
      </c>
      <c r="C312">
        <v>1</v>
      </c>
      <c r="D312" t="s">
        <v>5556</v>
      </c>
      <c r="E312">
        <v>625</v>
      </c>
      <c r="F312">
        <v>2640</v>
      </c>
      <c r="H312" t="s">
        <v>4352</v>
      </c>
      <c r="I312" t="s">
        <v>5977</v>
      </c>
    </row>
    <row r="313" spans="1:9">
      <c r="A313" t="s">
        <v>5979</v>
      </c>
      <c r="B313" t="s">
        <v>6000</v>
      </c>
      <c r="C313">
        <v>1</v>
      </c>
      <c r="D313" t="s">
        <v>5984</v>
      </c>
      <c r="E313" t="s">
        <v>5557</v>
      </c>
      <c r="F313">
        <v>1320</v>
      </c>
      <c r="H313" t="s">
        <v>4352</v>
      </c>
      <c r="I313" t="s">
        <v>5977</v>
      </c>
    </row>
    <row r="314" spans="1:9">
      <c r="A314" t="s">
        <v>5979</v>
      </c>
      <c r="B314" t="s">
        <v>6001</v>
      </c>
      <c r="C314">
        <v>1</v>
      </c>
      <c r="D314" t="s">
        <v>5556</v>
      </c>
      <c r="E314">
        <v>550</v>
      </c>
      <c r="F314">
        <v>1760</v>
      </c>
      <c r="H314" t="s">
        <v>4352</v>
      </c>
      <c r="I314" t="s">
        <v>5977</v>
      </c>
    </row>
    <row r="315" spans="1:9">
      <c r="A315" t="s">
        <v>5979</v>
      </c>
      <c r="B315" t="s">
        <v>6002</v>
      </c>
      <c r="C315">
        <v>1</v>
      </c>
      <c r="D315" t="s">
        <v>5556</v>
      </c>
      <c r="E315">
        <v>250</v>
      </c>
      <c r="F315">
        <v>4400</v>
      </c>
      <c r="H315" t="s">
        <v>4352</v>
      </c>
      <c r="I315" t="s">
        <v>5977</v>
      </c>
    </row>
    <row r="316" spans="1:9">
      <c r="A316" t="s">
        <v>6003</v>
      </c>
      <c r="B316" t="s">
        <v>6004</v>
      </c>
      <c r="C316">
        <v>1</v>
      </c>
      <c r="D316" t="s">
        <v>5556</v>
      </c>
      <c r="E316">
        <v>1</v>
      </c>
      <c r="F316">
        <v>132</v>
      </c>
      <c r="H316" t="s">
        <v>4598</v>
      </c>
      <c r="I316" t="s">
        <v>6005</v>
      </c>
    </row>
    <row r="317" spans="1:9">
      <c r="A317" t="s">
        <v>6003</v>
      </c>
      <c r="B317" t="s">
        <v>6006</v>
      </c>
      <c r="C317">
        <v>1</v>
      </c>
      <c r="D317" t="s">
        <v>5556</v>
      </c>
      <c r="E317">
        <v>0.25</v>
      </c>
      <c r="F317">
        <v>44</v>
      </c>
      <c r="H317" t="s">
        <v>4598</v>
      </c>
      <c r="I317" t="s">
        <v>6005</v>
      </c>
    </row>
    <row r="318" spans="1:9">
      <c r="A318" t="s">
        <v>6003</v>
      </c>
      <c r="B318" t="s">
        <v>6007</v>
      </c>
      <c r="C318">
        <v>1</v>
      </c>
      <c r="D318" t="s">
        <v>5556</v>
      </c>
      <c r="E318">
        <v>0.2</v>
      </c>
      <c r="F318">
        <v>0.88</v>
      </c>
      <c r="H318" t="s">
        <v>4598</v>
      </c>
      <c r="I318" t="s">
        <v>6005</v>
      </c>
    </row>
    <row r="319" spans="1:9">
      <c r="A319" t="s">
        <v>6003</v>
      </c>
      <c r="B319" t="s">
        <v>6008</v>
      </c>
      <c r="C319">
        <v>1</v>
      </c>
      <c r="D319" t="s">
        <v>5556</v>
      </c>
      <c r="E319">
        <v>0.75</v>
      </c>
      <c r="F319">
        <v>125</v>
      </c>
      <c r="H319" t="s">
        <v>4598</v>
      </c>
      <c r="I319" t="s">
        <v>6005</v>
      </c>
    </row>
    <row r="320" spans="1:9">
      <c r="A320" t="s">
        <v>6003</v>
      </c>
      <c r="B320" t="s">
        <v>6009</v>
      </c>
      <c r="C320">
        <v>1</v>
      </c>
      <c r="D320" t="s">
        <v>5556</v>
      </c>
      <c r="E320">
        <v>0.75</v>
      </c>
      <c r="F320">
        <v>154</v>
      </c>
      <c r="H320" t="s">
        <v>4598</v>
      </c>
      <c r="I320" t="s">
        <v>6005</v>
      </c>
    </row>
    <row r="321" spans="1:9">
      <c r="A321" t="s">
        <v>6003</v>
      </c>
      <c r="B321" t="s">
        <v>6010</v>
      </c>
      <c r="C321">
        <v>1</v>
      </c>
      <c r="D321" t="s">
        <v>5556</v>
      </c>
      <c r="E321">
        <v>2</v>
      </c>
      <c r="F321">
        <v>220</v>
      </c>
      <c r="H321" t="s">
        <v>4598</v>
      </c>
      <c r="I321" t="s">
        <v>6005</v>
      </c>
    </row>
    <row r="322" spans="1:9">
      <c r="A322" t="s">
        <v>6003</v>
      </c>
      <c r="B322" t="s">
        <v>6011</v>
      </c>
      <c r="C322">
        <v>1</v>
      </c>
      <c r="D322" t="s">
        <v>5556</v>
      </c>
      <c r="E322">
        <v>1.5</v>
      </c>
      <c r="F322">
        <v>330</v>
      </c>
      <c r="H322" t="s">
        <v>4598</v>
      </c>
      <c r="I322" t="s">
        <v>6005</v>
      </c>
    </row>
    <row r="323" spans="1:9">
      <c r="A323" t="s">
        <v>6003</v>
      </c>
      <c r="B323" t="s">
        <v>6012</v>
      </c>
      <c r="C323">
        <v>1</v>
      </c>
      <c r="D323" t="s">
        <v>5556</v>
      </c>
      <c r="E323">
        <v>1</v>
      </c>
      <c r="F323">
        <v>220</v>
      </c>
      <c r="H323" t="s">
        <v>4598</v>
      </c>
      <c r="I323" t="s">
        <v>6005</v>
      </c>
    </row>
    <row r="324" spans="1:9">
      <c r="A324" t="s">
        <v>6003</v>
      </c>
      <c r="B324" t="s">
        <v>6013</v>
      </c>
      <c r="C324">
        <v>1</v>
      </c>
      <c r="D324" t="s">
        <v>5556</v>
      </c>
      <c r="E324">
        <v>40</v>
      </c>
      <c r="F324">
        <v>5280</v>
      </c>
      <c r="H324" t="s">
        <v>4598</v>
      </c>
      <c r="I324" t="s">
        <v>6014</v>
      </c>
    </row>
    <row r="325" spans="1:9">
      <c r="A325" t="s">
        <v>6003</v>
      </c>
      <c r="B325" t="s">
        <v>6015</v>
      </c>
      <c r="C325">
        <v>1</v>
      </c>
      <c r="D325" t="s">
        <v>5556</v>
      </c>
      <c r="E325">
        <v>2</v>
      </c>
      <c r="F325">
        <v>330</v>
      </c>
      <c r="H325" t="s">
        <v>4598</v>
      </c>
      <c r="I325" t="s">
        <v>6014</v>
      </c>
    </row>
    <row r="326" spans="1:9">
      <c r="A326" t="s">
        <v>6003</v>
      </c>
      <c r="B326" t="s">
        <v>6016</v>
      </c>
      <c r="C326">
        <v>1</v>
      </c>
      <c r="D326" t="s">
        <v>5556</v>
      </c>
      <c r="E326">
        <v>2</v>
      </c>
      <c r="F326">
        <v>330</v>
      </c>
      <c r="H326" t="s">
        <v>4598</v>
      </c>
      <c r="I326" t="s">
        <v>6014</v>
      </c>
    </row>
    <row r="327" spans="1:9">
      <c r="A327" t="s">
        <v>6003</v>
      </c>
      <c r="B327" t="s">
        <v>6017</v>
      </c>
      <c r="C327">
        <v>1</v>
      </c>
      <c r="D327" t="s">
        <v>5556</v>
      </c>
      <c r="E327">
        <v>35</v>
      </c>
      <c r="F327">
        <v>13200</v>
      </c>
      <c r="H327" t="s">
        <v>4598</v>
      </c>
      <c r="I327" t="s">
        <v>6014</v>
      </c>
    </row>
    <row r="328" spans="1:9">
      <c r="A328" t="s">
        <v>6003</v>
      </c>
      <c r="B328" t="s">
        <v>6018</v>
      </c>
      <c r="C328">
        <v>1</v>
      </c>
      <c r="D328" t="s">
        <v>5556</v>
      </c>
      <c r="E328">
        <v>3</v>
      </c>
      <c r="F328">
        <v>220</v>
      </c>
      <c r="H328" t="s">
        <v>4598</v>
      </c>
      <c r="I328" t="s">
        <v>6019</v>
      </c>
    </row>
    <row r="329" spans="1:9">
      <c r="A329" t="s">
        <v>6003</v>
      </c>
      <c r="B329" t="s">
        <v>6020</v>
      </c>
      <c r="C329">
        <v>1</v>
      </c>
      <c r="D329" t="s">
        <v>5556</v>
      </c>
      <c r="E329">
        <v>1</v>
      </c>
      <c r="F329">
        <v>220</v>
      </c>
      <c r="H329" t="s">
        <v>4598</v>
      </c>
      <c r="I329" t="s">
        <v>6019</v>
      </c>
    </row>
    <row r="330" spans="1:9">
      <c r="A330" t="s">
        <v>6003</v>
      </c>
      <c r="B330" t="s">
        <v>6021</v>
      </c>
      <c r="C330">
        <v>1</v>
      </c>
      <c r="D330" t="s">
        <v>5556</v>
      </c>
      <c r="E330">
        <v>2.5</v>
      </c>
      <c r="F330">
        <v>88</v>
      </c>
      <c r="H330" t="s">
        <v>4598</v>
      </c>
      <c r="I330" t="s">
        <v>6019</v>
      </c>
    </row>
    <row r="331" spans="1:9">
      <c r="A331" t="s">
        <v>6003</v>
      </c>
      <c r="B331" t="s">
        <v>6022</v>
      </c>
      <c r="C331">
        <v>1</v>
      </c>
      <c r="D331" t="s">
        <v>5556</v>
      </c>
      <c r="E331">
        <v>0.5</v>
      </c>
      <c r="F331">
        <v>22</v>
      </c>
      <c r="H331" t="s">
        <v>4598</v>
      </c>
      <c r="I331" t="s">
        <v>6019</v>
      </c>
    </row>
    <row r="332" spans="1:9">
      <c r="A332" t="s">
        <v>6003</v>
      </c>
      <c r="B332" t="s">
        <v>6023</v>
      </c>
      <c r="C332">
        <v>1</v>
      </c>
      <c r="D332" t="s">
        <v>5556</v>
      </c>
      <c r="E332">
        <v>2</v>
      </c>
      <c r="F332">
        <v>44</v>
      </c>
      <c r="H332" t="s">
        <v>4598</v>
      </c>
      <c r="I332" t="s">
        <v>6019</v>
      </c>
    </row>
    <row r="333" spans="1:9">
      <c r="A333" t="s">
        <v>6024</v>
      </c>
      <c r="B333" t="s">
        <v>6025</v>
      </c>
      <c r="C333">
        <v>1</v>
      </c>
      <c r="D333" t="s">
        <v>6026</v>
      </c>
      <c r="E333" t="s">
        <v>5557</v>
      </c>
      <c r="F333">
        <v>1300</v>
      </c>
      <c r="H333" t="s">
        <v>4688</v>
      </c>
      <c r="I333" t="s">
        <v>6027</v>
      </c>
    </row>
    <row r="334" spans="1:9">
      <c r="A334" t="s">
        <v>6024</v>
      </c>
      <c r="B334" t="s">
        <v>6028</v>
      </c>
      <c r="C334">
        <v>1</v>
      </c>
      <c r="D334" t="s">
        <v>6026</v>
      </c>
      <c r="E334" t="s">
        <v>5557</v>
      </c>
      <c r="F334">
        <v>30</v>
      </c>
      <c r="H334" t="s">
        <v>4688</v>
      </c>
      <c r="I334" t="s">
        <v>6027</v>
      </c>
    </row>
    <row r="335" spans="1:9">
      <c r="A335" t="s">
        <v>6024</v>
      </c>
      <c r="B335" t="s">
        <v>6029</v>
      </c>
      <c r="C335">
        <v>1</v>
      </c>
      <c r="D335" t="s">
        <v>6026</v>
      </c>
      <c r="E335" t="s">
        <v>5557</v>
      </c>
      <c r="F335">
        <v>17.7</v>
      </c>
      <c r="H335" t="s">
        <v>4688</v>
      </c>
      <c r="I335" t="s">
        <v>6027</v>
      </c>
    </row>
    <row r="336" spans="1:9">
      <c r="A336" t="s">
        <v>6024</v>
      </c>
      <c r="B336" t="s">
        <v>6030</v>
      </c>
      <c r="C336">
        <v>1</v>
      </c>
      <c r="D336" t="s">
        <v>6026</v>
      </c>
      <c r="E336" t="s">
        <v>5557</v>
      </c>
      <c r="F336">
        <v>40</v>
      </c>
      <c r="H336" t="s">
        <v>4688</v>
      </c>
      <c r="I336" t="s">
        <v>6027</v>
      </c>
    </row>
    <row r="337" spans="1:9">
      <c r="A337" t="s">
        <v>5676</v>
      </c>
      <c r="B337" t="s">
        <v>6031</v>
      </c>
      <c r="C337">
        <v>1</v>
      </c>
      <c r="D337" t="s">
        <v>5698</v>
      </c>
      <c r="E337">
        <v>2.5000000000000001E-2</v>
      </c>
      <c r="F337">
        <v>0.4</v>
      </c>
      <c r="H337" t="s">
        <v>4688</v>
      </c>
      <c r="I337" t="s">
        <v>6032</v>
      </c>
    </row>
    <row r="338" spans="1:9">
      <c r="A338" t="s">
        <v>5676</v>
      </c>
      <c r="B338" t="s">
        <v>6033</v>
      </c>
      <c r="C338">
        <v>1</v>
      </c>
      <c r="D338" t="s">
        <v>5698</v>
      </c>
      <c r="E338">
        <v>0.2</v>
      </c>
      <c r="F338">
        <v>0.5</v>
      </c>
      <c r="H338" t="s">
        <v>4688</v>
      </c>
      <c r="I338" t="s">
        <v>6032</v>
      </c>
    </row>
    <row r="339" spans="1:9">
      <c r="A339" t="s">
        <v>6034</v>
      </c>
      <c r="B339" t="s">
        <v>6035</v>
      </c>
      <c r="C339">
        <v>30</v>
      </c>
      <c r="D339" t="s">
        <v>6036</v>
      </c>
      <c r="E339" t="s">
        <v>5557</v>
      </c>
      <c r="F339">
        <v>110</v>
      </c>
      <c r="H339" t="s">
        <v>4799</v>
      </c>
      <c r="I339" t="s">
        <v>6037</v>
      </c>
    </row>
    <row r="340" spans="1:9">
      <c r="A340" t="s">
        <v>6034</v>
      </c>
      <c r="B340" t="s">
        <v>6038</v>
      </c>
      <c r="C340">
        <v>7</v>
      </c>
      <c r="D340" t="s">
        <v>6036</v>
      </c>
      <c r="E340" t="s">
        <v>5557</v>
      </c>
      <c r="F340">
        <v>13.2</v>
      </c>
      <c r="G340" t="s">
        <v>6039</v>
      </c>
      <c r="H340" t="s">
        <v>4799</v>
      </c>
      <c r="I340" t="s">
        <v>6037</v>
      </c>
    </row>
    <row r="341" spans="1:9">
      <c r="A341" t="s">
        <v>6034</v>
      </c>
      <c r="B341" t="s">
        <v>6040</v>
      </c>
      <c r="C341">
        <v>7</v>
      </c>
      <c r="D341" t="s">
        <v>6036</v>
      </c>
      <c r="E341" t="s">
        <v>5557</v>
      </c>
      <c r="F341">
        <v>5</v>
      </c>
      <c r="H341" t="s">
        <v>4799</v>
      </c>
      <c r="I341" t="s">
        <v>6037</v>
      </c>
    </row>
    <row r="342" spans="1:9">
      <c r="A342" t="s">
        <v>6034</v>
      </c>
      <c r="B342" t="s">
        <v>6041</v>
      </c>
      <c r="C342">
        <v>1</v>
      </c>
      <c r="D342" t="s">
        <v>6036</v>
      </c>
      <c r="E342" t="s">
        <v>5557</v>
      </c>
      <c r="F342">
        <v>0.1</v>
      </c>
      <c r="H342" t="s">
        <v>4799</v>
      </c>
      <c r="I342" t="s">
        <v>6037</v>
      </c>
    </row>
    <row r="343" spans="1:9">
      <c r="A343" t="s">
        <v>6034</v>
      </c>
      <c r="B343" t="s">
        <v>6042</v>
      </c>
      <c r="C343">
        <v>7</v>
      </c>
      <c r="D343" t="s">
        <v>6036</v>
      </c>
      <c r="E343" t="s">
        <v>5557</v>
      </c>
      <c r="F343">
        <v>13</v>
      </c>
      <c r="G343" t="s">
        <v>6043</v>
      </c>
      <c r="H343" t="s">
        <v>4799</v>
      </c>
      <c r="I343" t="s">
        <v>6037</v>
      </c>
    </row>
    <row r="344" spans="1:9">
      <c r="A344" t="s">
        <v>6034</v>
      </c>
      <c r="B344" t="s">
        <v>6044</v>
      </c>
      <c r="C344">
        <v>30</v>
      </c>
      <c r="D344" t="s">
        <v>6036</v>
      </c>
      <c r="E344" t="s">
        <v>5557</v>
      </c>
      <c r="F344">
        <v>35</v>
      </c>
      <c r="H344" t="s">
        <v>4799</v>
      </c>
      <c r="I344" t="s">
        <v>6037</v>
      </c>
    </row>
    <row r="345" spans="1:9">
      <c r="A345" t="s">
        <v>6034</v>
      </c>
      <c r="B345" t="s">
        <v>6045</v>
      </c>
      <c r="C345">
        <v>1</v>
      </c>
      <c r="D345" t="s">
        <v>6036</v>
      </c>
      <c r="E345" t="s">
        <v>5557</v>
      </c>
      <c r="F345">
        <v>8</v>
      </c>
      <c r="H345" t="s">
        <v>4799</v>
      </c>
      <c r="I345" t="s">
        <v>6037</v>
      </c>
    </row>
    <row r="346" spans="1:9">
      <c r="A346" t="s">
        <v>6034</v>
      </c>
      <c r="B346" t="s">
        <v>6046</v>
      </c>
      <c r="C346">
        <v>7</v>
      </c>
      <c r="D346" t="s">
        <v>6036</v>
      </c>
      <c r="E346" t="s">
        <v>5557</v>
      </c>
      <c r="F346">
        <v>2</v>
      </c>
      <c r="G346" t="s">
        <v>6047</v>
      </c>
      <c r="H346" t="s">
        <v>4799</v>
      </c>
      <c r="I346" t="s">
        <v>6037</v>
      </c>
    </row>
    <row r="347" spans="1:9">
      <c r="A347" t="s">
        <v>6034</v>
      </c>
      <c r="B347" t="s">
        <v>6048</v>
      </c>
      <c r="C347">
        <v>30</v>
      </c>
      <c r="D347" t="s">
        <v>6036</v>
      </c>
      <c r="E347" t="s">
        <v>5557</v>
      </c>
      <c r="F347">
        <v>50</v>
      </c>
      <c r="H347" t="s">
        <v>4799</v>
      </c>
      <c r="I347" t="s">
        <v>6037</v>
      </c>
    </row>
    <row r="348" spans="1:9">
      <c r="A348" t="s">
        <v>6034</v>
      </c>
      <c r="B348" t="s">
        <v>6049</v>
      </c>
      <c r="C348">
        <v>30</v>
      </c>
      <c r="D348" t="s">
        <v>6036</v>
      </c>
      <c r="E348" t="s">
        <v>5557</v>
      </c>
      <c r="F348">
        <v>80</v>
      </c>
      <c r="H348" t="s">
        <v>4799</v>
      </c>
      <c r="I348" t="s">
        <v>6037</v>
      </c>
    </row>
    <row r="349" spans="1:9">
      <c r="A349" t="s">
        <v>6034</v>
      </c>
      <c r="B349" t="s">
        <v>6050</v>
      </c>
      <c r="C349">
        <v>30</v>
      </c>
      <c r="D349" t="s">
        <v>6036</v>
      </c>
      <c r="E349" t="s">
        <v>5557</v>
      </c>
      <c r="F349">
        <v>8</v>
      </c>
      <c r="H349" t="s">
        <v>4799</v>
      </c>
      <c r="I349" t="s">
        <v>6037</v>
      </c>
    </row>
    <row r="350" spans="1:9">
      <c r="A350" t="s">
        <v>6034</v>
      </c>
      <c r="B350" t="s">
        <v>6051</v>
      </c>
      <c r="C350">
        <v>30</v>
      </c>
      <c r="D350" t="s">
        <v>6036</v>
      </c>
      <c r="E350" t="s">
        <v>5557</v>
      </c>
      <c r="F350">
        <v>30</v>
      </c>
      <c r="H350" t="s">
        <v>4799</v>
      </c>
      <c r="I350" t="s">
        <v>6037</v>
      </c>
    </row>
    <row r="351" spans="1:9">
      <c r="A351" t="s">
        <v>6034</v>
      </c>
      <c r="B351" t="s">
        <v>6052</v>
      </c>
      <c r="C351">
        <v>30</v>
      </c>
      <c r="D351" t="s">
        <v>6036</v>
      </c>
      <c r="E351" t="s">
        <v>5557</v>
      </c>
      <c r="F351">
        <v>40</v>
      </c>
      <c r="H351" t="s">
        <v>4799</v>
      </c>
      <c r="I351" t="s">
        <v>6037</v>
      </c>
    </row>
    <row r="352" spans="1:9">
      <c r="A352" t="s">
        <v>6034</v>
      </c>
      <c r="B352" t="s">
        <v>6053</v>
      </c>
      <c r="C352">
        <v>1</v>
      </c>
      <c r="D352" t="s">
        <v>6036</v>
      </c>
      <c r="E352" t="s">
        <v>5557</v>
      </c>
      <c r="F352">
        <v>2.5</v>
      </c>
      <c r="H352" t="s">
        <v>4799</v>
      </c>
      <c r="I352" t="s">
        <v>6037</v>
      </c>
    </row>
    <row r="353" spans="1:9">
      <c r="A353" t="s">
        <v>6034</v>
      </c>
      <c r="B353" t="s">
        <v>6054</v>
      </c>
      <c r="C353">
        <v>1</v>
      </c>
      <c r="D353" t="s">
        <v>6036</v>
      </c>
      <c r="E353" t="s">
        <v>5557</v>
      </c>
      <c r="F353">
        <v>1.3</v>
      </c>
      <c r="H353" t="s">
        <v>4799</v>
      </c>
      <c r="I353" t="s">
        <v>6037</v>
      </c>
    </row>
    <row r="354" spans="1:9">
      <c r="A354" t="s">
        <v>6034</v>
      </c>
      <c r="B354" t="s">
        <v>6055</v>
      </c>
      <c r="C354">
        <v>30</v>
      </c>
      <c r="D354" t="s">
        <v>6036</v>
      </c>
      <c r="E354" t="s">
        <v>5557</v>
      </c>
      <c r="F354">
        <v>15</v>
      </c>
      <c r="H354" t="s">
        <v>4799</v>
      </c>
      <c r="I354" t="s">
        <v>6037</v>
      </c>
    </row>
    <row r="355" spans="1:9">
      <c r="A355" t="s">
        <v>6034</v>
      </c>
      <c r="B355" t="s">
        <v>6056</v>
      </c>
      <c r="C355">
        <v>1</v>
      </c>
      <c r="D355" t="s">
        <v>6036</v>
      </c>
      <c r="E355" t="s">
        <v>5557</v>
      </c>
      <c r="F355">
        <v>0.3</v>
      </c>
      <c r="H355" t="s">
        <v>4799</v>
      </c>
      <c r="I355" t="s">
        <v>6037</v>
      </c>
    </row>
    <row r="356" spans="1:9">
      <c r="A356" t="s">
        <v>6034</v>
      </c>
      <c r="B356" t="s">
        <v>6057</v>
      </c>
      <c r="C356">
        <v>7</v>
      </c>
      <c r="D356" t="s">
        <v>6036</v>
      </c>
      <c r="E356" t="s">
        <v>5557</v>
      </c>
      <c r="F356">
        <v>3</v>
      </c>
      <c r="G356" t="s">
        <v>6058</v>
      </c>
      <c r="H356" t="s">
        <v>4799</v>
      </c>
      <c r="I356" t="s">
        <v>6037</v>
      </c>
    </row>
    <row r="357" spans="1:9">
      <c r="A357" t="s">
        <v>6059</v>
      </c>
      <c r="B357" t="s">
        <v>6060</v>
      </c>
      <c r="C357">
        <v>5</v>
      </c>
      <c r="D357" t="s">
        <v>5698</v>
      </c>
      <c r="E357">
        <v>7.5</v>
      </c>
      <c r="F357">
        <v>2.5</v>
      </c>
      <c r="H357" t="s">
        <v>4799</v>
      </c>
      <c r="I357" t="s">
        <v>6037</v>
      </c>
    </row>
    <row r="358" spans="1:9">
      <c r="A358" t="s">
        <v>6059</v>
      </c>
      <c r="B358" t="s">
        <v>6061</v>
      </c>
      <c r="C358">
        <v>1</v>
      </c>
      <c r="D358" t="s">
        <v>6062</v>
      </c>
      <c r="E358">
        <v>1</v>
      </c>
      <c r="F358">
        <v>0.03</v>
      </c>
      <c r="H358" t="s">
        <v>4799</v>
      </c>
      <c r="I358" t="s">
        <v>6037</v>
      </c>
    </row>
    <row r="359" spans="1:9">
      <c r="A359" t="s">
        <v>6059</v>
      </c>
      <c r="B359" t="s">
        <v>6063</v>
      </c>
      <c r="C359">
        <v>1</v>
      </c>
      <c r="D359" t="s">
        <v>5698</v>
      </c>
      <c r="E359">
        <v>1</v>
      </c>
      <c r="F359">
        <v>0.05</v>
      </c>
      <c r="H359" t="s">
        <v>4799</v>
      </c>
      <c r="I359" t="s">
        <v>6037</v>
      </c>
    </row>
    <row r="360" spans="1:9">
      <c r="A360" t="s">
        <v>6059</v>
      </c>
      <c r="B360" t="s">
        <v>6064</v>
      </c>
      <c r="C360">
        <v>1</v>
      </c>
      <c r="D360" t="s">
        <v>5698</v>
      </c>
      <c r="E360">
        <v>0.8</v>
      </c>
      <c r="F360">
        <v>0.1</v>
      </c>
      <c r="H360" t="s">
        <v>4799</v>
      </c>
      <c r="I360" t="s">
        <v>6037</v>
      </c>
    </row>
    <row r="361" spans="1:9">
      <c r="A361" t="s">
        <v>6059</v>
      </c>
      <c r="B361" t="s">
        <v>6065</v>
      </c>
      <c r="C361">
        <v>1</v>
      </c>
      <c r="D361" t="s">
        <v>5698</v>
      </c>
      <c r="E361">
        <v>0.5</v>
      </c>
      <c r="F361">
        <v>0.15</v>
      </c>
      <c r="H361" t="s">
        <v>4799</v>
      </c>
      <c r="I361" t="s">
        <v>6037</v>
      </c>
    </row>
    <row r="362" spans="1:9">
      <c r="A362" t="s">
        <v>6059</v>
      </c>
      <c r="B362" t="s">
        <v>6066</v>
      </c>
      <c r="C362">
        <v>1</v>
      </c>
      <c r="D362" t="s">
        <v>5698</v>
      </c>
      <c r="E362">
        <v>0.5</v>
      </c>
      <c r="F362">
        <v>0.25</v>
      </c>
      <c r="H362" t="s">
        <v>4799</v>
      </c>
      <c r="I362" t="s">
        <v>6037</v>
      </c>
    </row>
    <row r="363" spans="1:9">
      <c r="A363" t="s">
        <v>6059</v>
      </c>
      <c r="B363" t="s">
        <v>6067</v>
      </c>
      <c r="C363">
        <v>1</v>
      </c>
      <c r="D363" t="s">
        <v>5698</v>
      </c>
      <c r="E363">
        <v>0.5</v>
      </c>
      <c r="F363">
        <v>0.35</v>
      </c>
      <c r="H363" t="s">
        <v>4799</v>
      </c>
      <c r="I363" t="s">
        <v>6037</v>
      </c>
    </row>
    <row r="364" spans="1:9">
      <c r="A364" t="s">
        <v>6059</v>
      </c>
      <c r="B364" t="s">
        <v>6068</v>
      </c>
      <c r="C364">
        <v>1</v>
      </c>
      <c r="D364" t="s">
        <v>5698</v>
      </c>
      <c r="E364">
        <v>0.5</v>
      </c>
      <c r="F364">
        <v>0.05</v>
      </c>
      <c r="H364" t="s">
        <v>4799</v>
      </c>
      <c r="I364" t="s">
        <v>6037</v>
      </c>
    </row>
    <row r="365" spans="1:9">
      <c r="A365" t="s">
        <v>6059</v>
      </c>
      <c r="B365" t="s">
        <v>6069</v>
      </c>
      <c r="C365">
        <v>2</v>
      </c>
      <c r="D365" t="s">
        <v>5698</v>
      </c>
      <c r="E365">
        <v>2</v>
      </c>
      <c r="F365">
        <v>0.9</v>
      </c>
      <c r="H365" t="s">
        <v>4799</v>
      </c>
      <c r="I365" t="s">
        <v>6037</v>
      </c>
    </row>
    <row r="366" spans="1:9">
      <c r="A366" t="s">
        <v>6059</v>
      </c>
      <c r="B366" t="s">
        <v>6070</v>
      </c>
      <c r="C366">
        <v>1</v>
      </c>
      <c r="D366" t="s">
        <v>5698</v>
      </c>
      <c r="E366">
        <v>0.5</v>
      </c>
      <c r="F366">
        <v>0.1</v>
      </c>
      <c r="H366" t="s">
        <v>4799</v>
      </c>
      <c r="I366" t="s">
        <v>6037</v>
      </c>
    </row>
    <row r="367" spans="1:9">
      <c r="A367" t="s">
        <v>6059</v>
      </c>
      <c r="B367" t="s">
        <v>6071</v>
      </c>
      <c r="C367">
        <v>1</v>
      </c>
      <c r="D367" t="s">
        <v>6062</v>
      </c>
      <c r="E367">
        <v>0.2</v>
      </c>
      <c r="F367">
        <v>0.5</v>
      </c>
      <c r="H367" t="s">
        <v>4799</v>
      </c>
      <c r="I367" t="s">
        <v>6037</v>
      </c>
    </row>
    <row r="368" spans="1:9">
      <c r="A368" t="s">
        <v>6059</v>
      </c>
      <c r="B368" t="s">
        <v>6072</v>
      </c>
      <c r="C368">
        <v>1</v>
      </c>
      <c r="D368" t="s">
        <v>6062</v>
      </c>
      <c r="E368">
        <v>0.3</v>
      </c>
      <c r="F368">
        <v>1.4999999999999999E-2</v>
      </c>
      <c r="H368" t="s">
        <v>4799</v>
      </c>
      <c r="I368" t="s">
        <v>6037</v>
      </c>
    </row>
    <row r="369" spans="1:9">
      <c r="A369" t="s">
        <v>6059</v>
      </c>
      <c r="B369" t="s">
        <v>6073</v>
      </c>
      <c r="C369">
        <v>10</v>
      </c>
      <c r="D369" t="s">
        <v>5698</v>
      </c>
      <c r="E369">
        <v>20</v>
      </c>
      <c r="F369">
        <v>1.2</v>
      </c>
      <c r="H369" t="s">
        <v>4799</v>
      </c>
      <c r="I369" t="s">
        <v>6037</v>
      </c>
    </row>
    <row r="370" spans="1:9">
      <c r="A370" t="s">
        <v>6059</v>
      </c>
      <c r="B370" t="s">
        <v>6074</v>
      </c>
      <c r="C370">
        <v>1</v>
      </c>
      <c r="D370" t="s">
        <v>6062</v>
      </c>
      <c r="E370">
        <v>0.2</v>
      </c>
      <c r="F370">
        <v>0.5</v>
      </c>
      <c r="H370" t="s">
        <v>4799</v>
      </c>
      <c r="I370" t="s">
        <v>6037</v>
      </c>
    </row>
    <row r="371" spans="1:9">
      <c r="A371" t="s">
        <v>6059</v>
      </c>
      <c r="B371" t="s">
        <v>6075</v>
      </c>
      <c r="C371">
        <v>1</v>
      </c>
      <c r="D371" t="s">
        <v>6062</v>
      </c>
      <c r="E371">
        <v>0.3</v>
      </c>
      <c r="F371">
        <v>0.1</v>
      </c>
      <c r="H371" t="s">
        <v>4799</v>
      </c>
      <c r="I371" t="s">
        <v>6037</v>
      </c>
    </row>
    <row r="372" spans="1:9">
      <c r="A372" t="s">
        <v>6059</v>
      </c>
      <c r="B372" t="s">
        <v>6076</v>
      </c>
      <c r="C372">
        <v>1</v>
      </c>
      <c r="D372" t="s">
        <v>6062</v>
      </c>
      <c r="E372">
        <v>0.1</v>
      </c>
      <c r="F372">
        <v>0.35</v>
      </c>
      <c r="H372" t="s">
        <v>4799</v>
      </c>
      <c r="I372" t="s">
        <v>6037</v>
      </c>
    </row>
    <row r="373" spans="1:9">
      <c r="A373" t="s">
        <v>6059</v>
      </c>
      <c r="B373" t="s">
        <v>6077</v>
      </c>
      <c r="C373">
        <v>1</v>
      </c>
      <c r="D373" t="s">
        <v>6062</v>
      </c>
      <c r="E373">
        <v>0.2</v>
      </c>
      <c r="F373">
        <v>0.05</v>
      </c>
      <c r="H373" t="s">
        <v>4799</v>
      </c>
      <c r="I373" t="s">
        <v>6037</v>
      </c>
    </row>
    <row r="374" spans="1:9">
      <c r="A374" t="s">
        <v>6059</v>
      </c>
      <c r="B374" t="s">
        <v>6078</v>
      </c>
      <c r="C374">
        <v>1</v>
      </c>
      <c r="D374" t="s">
        <v>6062</v>
      </c>
      <c r="E374">
        <v>1</v>
      </c>
      <c r="F374">
        <v>0.05</v>
      </c>
      <c r="H374" t="s">
        <v>4799</v>
      </c>
      <c r="I374" t="s">
        <v>6037</v>
      </c>
    </row>
    <row r="375" spans="1:9">
      <c r="A375" t="s">
        <v>6059</v>
      </c>
      <c r="B375" t="s">
        <v>6079</v>
      </c>
      <c r="C375">
        <v>1</v>
      </c>
      <c r="D375" t="s">
        <v>6062</v>
      </c>
      <c r="E375">
        <v>0.3</v>
      </c>
      <c r="F375">
        <v>2.5000000000000001E-2</v>
      </c>
      <c r="H375" t="s">
        <v>4799</v>
      </c>
      <c r="I375" t="s">
        <v>6037</v>
      </c>
    </row>
    <row r="376" spans="1:9">
      <c r="A376" t="s">
        <v>6059</v>
      </c>
      <c r="B376" t="s">
        <v>6080</v>
      </c>
      <c r="C376">
        <v>1</v>
      </c>
      <c r="D376" t="s">
        <v>6062</v>
      </c>
      <c r="E376">
        <v>0.5</v>
      </c>
      <c r="F376">
        <v>5.0000000000000001E-3</v>
      </c>
      <c r="H376" t="s">
        <v>4799</v>
      </c>
      <c r="I376" t="s">
        <v>6037</v>
      </c>
    </row>
    <row r="377" spans="1:9">
      <c r="A377" t="s">
        <v>6059</v>
      </c>
      <c r="B377" t="s">
        <v>6081</v>
      </c>
      <c r="C377">
        <v>1</v>
      </c>
      <c r="D377" t="s">
        <v>6062</v>
      </c>
      <c r="E377">
        <v>0.3</v>
      </c>
      <c r="F377">
        <v>0.25</v>
      </c>
      <c r="H377" t="s">
        <v>4799</v>
      </c>
      <c r="I377" t="s">
        <v>6037</v>
      </c>
    </row>
    <row r="378" spans="1:9">
      <c r="A378" t="s">
        <v>6059</v>
      </c>
      <c r="B378" t="s">
        <v>6082</v>
      </c>
      <c r="C378">
        <v>1</v>
      </c>
      <c r="D378" t="s">
        <v>6062</v>
      </c>
      <c r="E378">
        <v>0.3</v>
      </c>
      <c r="F378">
        <v>4.4999999999999998E-2</v>
      </c>
      <c r="H378" t="s">
        <v>4799</v>
      </c>
      <c r="I378" t="s">
        <v>6037</v>
      </c>
    </row>
    <row r="379" spans="1:9">
      <c r="A379" t="s">
        <v>6059</v>
      </c>
      <c r="B379" t="s">
        <v>6083</v>
      </c>
      <c r="C379">
        <v>1</v>
      </c>
      <c r="D379" t="s">
        <v>6062</v>
      </c>
      <c r="E379">
        <v>0.1</v>
      </c>
      <c r="F379">
        <v>0.35</v>
      </c>
      <c r="H379" t="s">
        <v>4799</v>
      </c>
      <c r="I379" t="s">
        <v>6037</v>
      </c>
    </row>
    <row r="380" spans="1:9">
      <c r="A380" t="s">
        <v>5676</v>
      </c>
      <c r="B380" t="s">
        <v>6084</v>
      </c>
      <c r="C380">
        <v>2</v>
      </c>
      <c r="D380" t="s">
        <v>5698</v>
      </c>
      <c r="E380">
        <v>1</v>
      </c>
      <c r="F380">
        <v>1</v>
      </c>
      <c r="H380" t="s">
        <v>4799</v>
      </c>
      <c r="I380" t="s">
        <v>6085</v>
      </c>
    </row>
    <row r="381" spans="1:9">
      <c r="A381" t="s">
        <v>5844</v>
      </c>
      <c r="B381" t="s">
        <v>6086</v>
      </c>
      <c r="C381">
        <v>1</v>
      </c>
      <c r="D381" t="s">
        <v>5556</v>
      </c>
      <c r="E381">
        <v>0.1</v>
      </c>
      <c r="F381">
        <v>45</v>
      </c>
      <c r="H381" t="s">
        <v>4799</v>
      </c>
      <c r="I381" t="s">
        <v>6085</v>
      </c>
    </row>
    <row r="382" spans="1:9">
      <c r="A382" t="s">
        <v>5907</v>
      </c>
      <c r="B382" t="s">
        <v>6087</v>
      </c>
      <c r="C382">
        <v>1</v>
      </c>
      <c r="D382" t="s">
        <v>6026</v>
      </c>
      <c r="E382">
        <v>1</v>
      </c>
      <c r="F382">
        <v>2.2000000000000002</v>
      </c>
      <c r="H382" t="s">
        <v>4799</v>
      </c>
      <c r="I382" t="s">
        <v>6085</v>
      </c>
    </row>
    <row r="383" spans="1:9">
      <c r="A383" t="s">
        <v>5674</v>
      </c>
      <c r="B383" t="s">
        <v>6088</v>
      </c>
      <c r="C383">
        <v>1</v>
      </c>
      <c r="D383" t="s">
        <v>5746</v>
      </c>
      <c r="E383">
        <v>4</v>
      </c>
      <c r="F383">
        <v>2.2000000000000002</v>
      </c>
      <c r="H383" t="s">
        <v>4799</v>
      </c>
      <c r="I383" t="s">
        <v>6085</v>
      </c>
    </row>
    <row r="384" spans="1:9">
      <c r="A384" t="s">
        <v>5786</v>
      </c>
      <c r="B384" t="s">
        <v>6089</v>
      </c>
      <c r="C384">
        <v>1</v>
      </c>
      <c r="D384" t="s">
        <v>5746</v>
      </c>
      <c r="E384">
        <v>0.6</v>
      </c>
      <c r="F384">
        <v>3.52</v>
      </c>
      <c r="H384" t="s">
        <v>4799</v>
      </c>
      <c r="I384" t="s">
        <v>6085</v>
      </c>
    </row>
    <row r="385" spans="1:9">
      <c r="A385" t="s">
        <v>5658</v>
      </c>
      <c r="B385" t="s">
        <v>6090</v>
      </c>
      <c r="C385">
        <v>1</v>
      </c>
      <c r="D385" t="s">
        <v>5746</v>
      </c>
      <c r="E385">
        <v>0.05</v>
      </c>
      <c r="F385">
        <v>3.5</v>
      </c>
      <c r="H385" t="s">
        <v>4799</v>
      </c>
      <c r="I385" t="s">
        <v>6085</v>
      </c>
    </row>
    <row r="386" spans="1:9">
      <c r="A386" t="s">
        <v>5658</v>
      </c>
      <c r="B386" t="s">
        <v>6091</v>
      </c>
      <c r="C386">
        <v>1</v>
      </c>
      <c r="D386" t="s">
        <v>5556</v>
      </c>
      <c r="E386">
        <v>0.5</v>
      </c>
      <c r="F386">
        <v>0.54</v>
      </c>
      <c r="H386" t="s">
        <v>4799</v>
      </c>
      <c r="I386" t="s">
        <v>6085</v>
      </c>
    </row>
    <row r="387" spans="1:9">
      <c r="A387" t="s">
        <v>6092</v>
      </c>
      <c r="B387" t="s">
        <v>6093</v>
      </c>
      <c r="C387">
        <v>1</v>
      </c>
      <c r="D387" t="s">
        <v>5556</v>
      </c>
      <c r="E387" t="s">
        <v>5557</v>
      </c>
      <c r="F387">
        <v>180</v>
      </c>
      <c r="H387" t="s">
        <v>4799</v>
      </c>
      <c r="I387" t="s">
        <v>6094</v>
      </c>
    </row>
    <row r="388" spans="1:9">
      <c r="A388" t="s">
        <v>6092</v>
      </c>
      <c r="B388" t="s">
        <v>6095</v>
      </c>
      <c r="C388">
        <v>1</v>
      </c>
      <c r="D388" t="s">
        <v>5556</v>
      </c>
      <c r="E388" t="s">
        <v>5557</v>
      </c>
      <c r="F388">
        <v>80</v>
      </c>
      <c r="H388" t="s">
        <v>4799</v>
      </c>
      <c r="I388" t="s">
        <v>6094</v>
      </c>
    </row>
    <row r="389" spans="1:9">
      <c r="A389" t="s">
        <v>6092</v>
      </c>
      <c r="B389" t="s">
        <v>6096</v>
      </c>
      <c r="C389">
        <v>1</v>
      </c>
      <c r="D389" t="s">
        <v>5556</v>
      </c>
      <c r="E389" t="s">
        <v>5557</v>
      </c>
      <c r="F389">
        <v>160</v>
      </c>
      <c r="H389" t="s">
        <v>4799</v>
      </c>
      <c r="I389" t="s">
        <v>6094</v>
      </c>
    </row>
    <row r="390" spans="1:9">
      <c r="A390" t="s">
        <v>6092</v>
      </c>
      <c r="B390" t="s">
        <v>6097</v>
      </c>
      <c r="C390">
        <v>1</v>
      </c>
      <c r="D390" t="s">
        <v>5556</v>
      </c>
      <c r="E390" t="s">
        <v>5557</v>
      </c>
      <c r="F390">
        <v>120</v>
      </c>
      <c r="H390" t="s">
        <v>4799</v>
      </c>
      <c r="I390" t="s">
        <v>6094</v>
      </c>
    </row>
    <row r="391" spans="1:9">
      <c r="A391" t="s">
        <v>6092</v>
      </c>
      <c r="B391" t="s">
        <v>6098</v>
      </c>
      <c r="C391">
        <v>1</v>
      </c>
      <c r="D391" t="s">
        <v>5556</v>
      </c>
      <c r="E391" t="s">
        <v>5557</v>
      </c>
      <c r="F391">
        <v>500</v>
      </c>
      <c r="H391" t="s">
        <v>4799</v>
      </c>
      <c r="I391" t="s">
        <v>6094</v>
      </c>
    </row>
    <row r="392" spans="1:9">
      <c r="A392" t="s">
        <v>6092</v>
      </c>
      <c r="B392" t="s">
        <v>6099</v>
      </c>
      <c r="C392">
        <v>1</v>
      </c>
      <c r="D392" t="s">
        <v>5556</v>
      </c>
      <c r="E392" t="s">
        <v>5557</v>
      </c>
      <c r="F392">
        <v>38</v>
      </c>
      <c r="H392" t="s">
        <v>4799</v>
      </c>
      <c r="I392" t="s">
        <v>6094</v>
      </c>
    </row>
    <row r="393" spans="1:9">
      <c r="A393" t="s">
        <v>6092</v>
      </c>
      <c r="B393" t="s">
        <v>6100</v>
      </c>
      <c r="C393">
        <v>1</v>
      </c>
      <c r="D393" t="s">
        <v>5556</v>
      </c>
      <c r="E393" t="s">
        <v>5557</v>
      </c>
      <c r="F393">
        <v>75</v>
      </c>
      <c r="H393" t="s">
        <v>4799</v>
      </c>
      <c r="I393" t="s">
        <v>6094</v>
      </c>
    </row>
    <row r="394" spans="1:9">
      <c r="A394" t="s">
        <v>6092</v>
      </c>
      <c r="B394" t="s">
        <v>6101</v>
      </c>
      <c r="C394">
        <v>1</v>
      </c>
      <c r="D394" t="s">
        <v>5556</v>
      </c>
      <c r="E394" t="s">
        <v>5557</v>
      </c>
      <c r="F394">
        <v>50</v>
      </c>
      <c r="H394" t="s">
        <v>4799</v>
      </c>
      <c r="I394" t="s">
        <v>6094</v>
      </c>
    </row>
    <row r="395" spans="1:9">
      <c r="A395" t="s">
        <v>6092</v>
      </c>
      <c r="B395" t="s">
        <v>6102</v>
      </c>
      <c r="C395">
        <v>1</v>
      </c>
      <c r="D395" t="s">
        <v>5556</v>
      </c>
      <c r="E395" t="s">
        <v>5557</v>
      </c>
      <c r="F395">
        <v>65</v>
      </c>
      <c r="H395" t="s">
        <v>4799</v>
      </c>
      <c r="I395" t="s">
        <v>6094</v>
      </c>
    </row>
    <row r="396" spans="1:9">
      <c r="A396" t="s">
        <v>6092</v>
      </c>
      <c r="B396" t="s">
        <v>6103</v>
      </c>
      <c r="C396">
        <v>1</v>
      </c>
      <c r="D396" t="s">
        <v>5556</v>
      </c>
      <c r="E396" t="s">
        <v>5557</v>
      </c>
      <c r="F396">
        <v>130</v>
      </c>
      <c r="H396" t="s">
        <v>4799</v>
      </c>
      <c r="I396" t="s">
        <v>6094</v>
      </c>
    </row>
    <row r="397" spans="1:9">
      <c r="A397" t="s">
        <v>6092</v>
      </c>
      <c r="B397" t="s">
        <v>6104</v>
      </c>
      <c r="C397">
        <v>1</v>
      </c>
      <c r="D397" t="s">
        <v>5556</v>
      </c>
      <c r="E397" t="s">
        <v>5557</v>
      </c>
      <c r="F397">
        <v>100</v>
      </c>
      <c r="H397" t="s">
        <v>4799</v>
      </c>
      <c r="I397" t="s">
        <v>6094</v>
      </c>
    </row>
    <row r="398" spans="1:9">
      <c r="A398" t="s">
        <v>6092</v>
      </c>
      <c r="B398" t="s">
        <v>6105</v>
      </c>
      <c r="C398">
        <v>1</v>
      </c>
      <c r="D398" t="s">
        <v>5556</v>
      </c>
      <c r="E398" t="s">
        <v>5557</v>
      </c>
      <c r="F398">
        <v>100</v>
      </c>
      <c r="H398" t="s">
        <v>4799</v>
      </c>
      <c r="I398" t="s">
        <v>6094</v>
      </c>
    </row>
    <row r="399" spans="1:9">
      <c r="A399" t="s">
        <v>6092</v>
      </c>
      <c r="B399" t="s">
        <v>6106</v>
      </c>
      <c r="C399">
        <v>1</v>
      </c>
      <c r="D399" t="s">
        <v>5556</v>
      </c>
      <c r="E399" t="s">
        <v>5557</v>
      </c>
      <c r="F399">
        <v>200</v>
      </c>
      <c r="H399" t="s">
        <v>4799</v>
      </c>
      <c r="I399" t="s">
        <v>6094</v>
      </c>
    </row>
    <row r="400" spans="1:9">
      <c r="A400" t="s">
        <v>6092</v>
      </c>
      <c r="B400" t="s">
        <v>6107</v>
      </c>
      <c r="C400">
        <v>1</v>
      </c>
      <c r="D400" t="s">
        <v>5556</v>
      </c>
      <c r="E400" t="s">
        <v>5557</v>
      </c>
      <c r="F400">
        <v>150</v>
      </c>
      <c r="H400" t="s">
        <v>4799</v>
      </c>
      <c r="I400" t="s">
        <v>6094</v>
      </c>
    </row>
    <row r="401" spans="1:9">
      <c r="A401" t="s">
        <v>6092</v>
      </c>
      <c r="B401" t="s">
        <v>6108</v>
      </c>
      <c r="C401">
        <v>1</v>
      </c>
      <c r="D401" t="s">
        <v>5556</v>
      </c>
      <c r="E401" t="s">
        <v>5557</v>
      </c>
      <c r="F401">
        <v>200</v>
      </c>
      <c r="H401" t="s">
        <v>4799</v>
      </c>
      <c r="I401" t="s">
        <v>6094</v>
      </c>
    </row>
    <row r="402" spans="1:9">
      <c r="A402" t="s">
        <v>6092</v>
      </c>
      <c r="B402" t="s">
        <v>6109</v>
      </c>
      <c r="C402">
        <v>1</v>
      </c>
      <c r="D402" t="s">
        <v>5556</v>
      </c>
      <c r="E402" t="s">
        <v>5557</v>
      </c>
      <c r="F402">
        <v>400</v>
      </c>
      <c r="H402" t="s">
        <v>4799</v>
      </c>
      <c r="I402" t="s">
        <v>6094</v>
      </c>
    </row>
    <row r="403" spans="1:9">
      <c r="A403" t="s">
        <v>6092</v>
      </c>
      <c r="B403" t="s">
        <v>6110</v>
      </c>
      <c r="C403">
        <v>1</v>
      </c>
      <c r="D403" t="s">
        <v>5556</v>
      </c>
      <c r="E403" t="s">
        <v>5557</v>
      </c>
      <c r="F403">
        <v>300</v>
      </c>
      <c r="H403" t="s">
        <v>4799</v>
      </c>
      <c r="I403" t="s">
        <v>6094</v>
      </c>
    </row>
    <row r="404" spans="1:9">
      <c r="A404" t="s">
        <v>6092</v>
      </c>
      <c r="B404" t="s">
        <v>6111</v>
      </c>
      <c r="C404">
        <v>1</v>
      </c>
      <c r="D404" t="s">
        <v>5556</v>
      </c>
      <c r="E404" t="s">
        <v>5557</v>
      </c>
      <c r="F404">
        <v>100</v>
      </c>
      <c r="H404" t="s">
        <v>4799</v>
      </c>
      <c r="I404" t="s">
        <v>6094</v>
      </c>
    </row>
    <row r="405" spans="1:9">
      <c r="A405" t="s">
        <v>6092</v>
      </c>
      <c r="B405" t="s">
        <v>6112</v>
      </c>
      <c r="C405">
        <v>1</v>
      </c>
      <c r="D405" t="s">
        <v>5556</v>
      </c>
      <c r="E405" t="s">
        <v>5557</v>
      </c>
      <c r="F405">
        <v>200</v>
      </c>
      <c r="H405" t="s">
        <v>4799</v>
      </c>
      <c r="I405" t="s">
        <v>6094</v>
      </c>
    </row>
    <row r="406" spans="1:9">
      <c r="A406" t="s">
        <v>6092</v>
      </c>
      <c r="B406" t="s">
        <v>6113</v>
      </c>
      <c r="C406">
        <v>1</v>
      </c>
      <c r="D406" t="s">
        <v>5556</v>
      </c>
      <c r="E406" t="s">
        <v>5557</v>
      </c>
      <c r="F406">
        <v>150</v>
      </c>
      <c r="H406" t="s">
        <v>4799</v>
      </c>
      <c r="I406" t="s">
        <v>6094</v>
      </c>
    </row>
    <row r="407" spans="1:9">
      <c r="A407" t="s">
        <v>5674</v>
      </c>
      <c r="B407" t="s">
        <v>6114</v>
      </c>
      <c r="C407">
        <v>1</v>
      </c>
      <c r="D407" t="s">
        <v>5698</v>
      </c>
      <c r="E407">
        <v>0.5</v>
      </c>
      <c r="F407">
        <v>2.2000000000000002</v>
      </c>
      <c r="G407" t="s">
        <v>6115</v>
      </c>
      <c r="H407" t="s">
        <v>4537</v>
      </c>
      <c r="I407" t="s">
        <v>6116</v>
      </c>
    </row>
    <row r="408" spans="1:9">
      <c r="A408" t="s">
        <v>5676</v>
      </c>
      <c r="B408" t="s">
        <v>6117</v>
      </c>
      <c r="C408">
        <v>1</v>
      </c>
      <c r="D408" t="s">
        <v>5698</v>
      </c>
      <c r="E408">
        <v>0.5</v>
      </c>
      <c r="F408">
        <v>0.3</v>
      </c>
      <c r="H408" t="s">
        <v>4537</v>
      </c>
      <c r="I408" t="s">
        <v>6118</v>
      </c>
    </row>
    <row r="409" spans="1:9">
      <c r="A409" t="s">
        <v>5676</v>
      </c>
      <c r="B409" t="s">
        <v>6119</v>
      </c>
      <c r="C409">
        <v>1</v>
      </c>
      <c r="D409" t="s">
        <v>5698</v>
      </c>
      <c r="E409">
        <v>0.5</v>
      </c>
      <c r="F409">
        <v>0.2</v>
      </c>
      <c r="H409" t="s">
        <v>4537</v>
      </c>
      <c r="I409" t="s">
        <v>6118</v>
      </c>
    </row>
    <row r="410" spans="1:9">
      <c r="A410" t="s">
        <v>5676</v>
      </c>
      <c r="B410" t="s">
        <v>6120</v>
      </c>
      <c r="C410">
        <v>1</v>
      </c>
      <c r="D410" t="s">
        <v>5698</v>
      </c>
      <c r="E410">
        <v>0.5</v>
      </c>
      <c r="F410">
        <v>0.4</v>
      </c>
      <c r="H410" t="s">
        <v>4537</v>
      </c>
      <c r="I410" t="s">
        <v>6121</v>
      </c>
    </row>
    <row r="411" spans="1:9">
      <c r="A411" t="s">
        <v>5676</v>
      </c>
      <c r="B411" t="s">
        <v>6122</v>
      </c>
      <c r="C411">
        <v>1</v>
      </c>
      <c r="D411" t="s">
        <v>5698</v>
      </c>
      <c r="E411">
        <v>0.5</v>
      </c>
      <c r="F411">
        <v>3.5000000000000003E-2</v>
      </c>
      <c r="H411" t="s">
        <v>4537</v>
      </c>
      <c r="I411" t="s">
        <v>6121</v>
      </c>
    </row>
    <row r="412" spans="1:9">
      <c r="A412" t="s">
        <v>5676</v>
      </c>
      <c r="B412" t="s">
        <v>6123</v>
      </c>
      <c r="C412">
        <v>1</v>
      </c>
      <c r="D412" t="s">
        <v>5698</v>
      </c>
      <c r="E412">
        <v>0.5</v>
      </c>
      <c r="F412">
        <v>0.05</v>
      </c>
      <c r="H412" t="s">
        <v>4537</v>
      </c>
      <c r="I412" t="s">
        <v>6121</v>
      </c>
    </row>
    <row r="413" spans="1:9">
      <c r="A413" t="s">
        <v>5676</v>
      </c>
      <c r="B413" t="s">
        <v>6124</v>
      </c>
      <c r="C413">
        <v>1</v>
      </c>
      <c r="D413" t="s">
        <v>5698</v>
      </c>
      <c r="E413">
        <v>0.5</v>
      </c>
      <c r="F413">
        <v>7.4999999999999997E-2</v>
      </c>
      <c r="H413" t="s">
        <v>4537</v>
      </c>
      <c r="I413" t="s">
        <v>6121</v>
      </c>
    </row>
    <row r="414" spans="1:9">
      <c r="A414" t="s">
        <v>5676</v>
      </c>
      <c r="B414" t="s">
        <v>6125</v>
      </c>
      <c r="C414">
        <v>1</v>
      </c>
      <c r="D414" t="s">
        <v>5698</v>
      </c>
      <c r="E414">
        <v>0.5</v>
      </c>
      <c r="F414">
        <v>0.4</v>
      </c>
      <c r="H414" t="s">
        <v>4537</v>
      </c>
      <c r="I414" t="s">
        <v>6121</v>
      </c>
    </row>
    <row r="415" spans="1:9">
      <c r="A415" t="s">
        <v>5676</v>
      </c>
      <c r="B415" t="s">
        <v>6126</v>
      </c>
      <c r="C415">
        <v>1</v>
      </c>
      <c r="D415" t="s">
        <v>5698</v>
      </c>
      <c r="E415">
        <v>0.125</v>
      </c>
      <c r="F415">
        <v>1.4999999999999999E-2</v>
      </c>
      <c r="H415" t="s">
        <v>4537</v>
      </c>
      <c r="I415" t="s">
        <v>6127</v>
      </c>
    </row>
    <row r="416" spans="1:9">
      <c r="A416" t="s">
        <v>6128</v>
      </c>
      <c r="B416" t="s">
        <v>6129</v>
      </c>
      <c r="C416">
        <v>1</v>
      </c>
      <c r="D416" t="s">
        <v>5556</v>
      </c>
      <c r="E416">
        <v>0.25</v>
      </c>
      <c r="F416">
        <v>660</v>
      </c>
      <c r="H416" t="s">
        <v>4588</v>
      </c>
      <c r="I416" t="s">
        <v>6130</v>
      </c>
    </row>
    <row r="417" spans="1:9">
      <c r="A417" t="s">
        <v>6128</v>
      </c>
      <c r="B417" t="s">
        <v>6131</v>
      </c>
      <c r="C417">
        <v>1</v>
      </c>
      <c r="D417" t="s">
        <v>5556</v>
      </c>
      <c r="E417">
        <v>0.25</v>
      </c>
      <c r="F417">
        <v>1320</v>
      </c>
      <c r="H417" t="s">
        <v>4588</v>
      </c>
      <c r="I417" t="s">
        <v>6130</v>
      </c>
    </row>
    <row r="418" spans="1:9">
      <c r="A418" t="s">
        <v>6128</v>
      </c>
      <c r="B418" t="s">
        <v>6132</v>
      </c>
      <c r="C418">
        <v>1</v>
      </c>
      <c r="D418" t="s">
        <v>5556</v>
      </c>
      <c r="E418">
        <v>0.25</v>
      </c>
      <c r="F418">
        <v>5.3</v>
      </c>
      <c r="H418" t="s">
        <v>4588</v>
      </c>
      <c r="I418" t="s">
        <v>6130</v>
      </c>
    </row>
    <row r="419" spans="1:9">
      <c r="A419" t="s">
        <v>6128</v>
      </c>
      <c r="B419" t="s">
        <v>6133</v>
      </c>
      <c r="C419">
        <v>1</v>
      </c>
      <c r="D419" t="s">
        <v>5556</v>
      </c>
      <c r="E419">
        <v>0.38</v>
      </c>
      <c r="F419">
        <v>100</v>
      </c>
      <c r="H419" t="s">
        <v>4588</v>
      </c>
      <c r="I419" t="s">
        <v>6130</v>
      </c>
    </row>
    <row r="420" spans="1:9">
      <c r="A420" t="s">
        <v>6128</v>
      </c>
      <c r="B420" t="s">
        <v>6134</v>
      </c>
      <c r="C420">
        <v>1</v>
      </c>
      <c r="D420" t="s">
        <v>5556</v>
      </c>
      <c r="E420">
        <v>0.25</v>
      </c>
      <c r="F420">
        <v>0.44</v>
      </c>
      <c r="H420" t="s">
        <v>4588</v>
      </c>
      <c r="I420" t="s">
        <v>6130</v>
      </c>
    </row>
    <row r="421" spans="1:9">
      <c r="A421" t="s">
        <v>6128</v>
      </c>
      <c r="B421" t="s">
        <v>6135</v>
      </c>
      <c r="C421">
        <v>1</v>
      </c>
      <c r="D421" t="s">
        <v>5556</v>
      </c>
      <c r="E421">
        <v>3</v>
      </c>
      <c r="F421">
        <v>40</v>
      </c>
      <c r="H421" t="s">
        <v>4588</v>
      </c>
      <c r="I421" t="s">
        <v>4392</v>
      </c>
    </row>
    <row r="422" spans="1:9">
      <c r="A422" t="s">
        <v>6128</v>
      </c>
      <c r="B422" t="s">
        <v>6136</v>
      </c>
      <c r="C422">
        <v>1</v>
      </c>
      <c r="D422" t="s">
        <v>5556</v>
      </c>
      <c r="E422">
        <v>1.5</v>
      </c>
      <c r="F422">
        <v>48</v>
      </c>
      <c r="H422" t="s">
        <v>4588</v>
      </c>
      <c r="I422" t="s">
        <v>4392</v>
      </c>
    </row>
    <row r="423" spans="1:9">
      <c r="A423" t="s">
        <v>5867</v>
      </c>
      <c r="B423" t="s">
        <v>6137</v>
      </c>
      <c r="C423">
        <v>1</v>
      </c>
      <c r="D423" t="s">
        <v>5700</v>
      </c>
      <c r="E423" t="s">
        <v>5557</v>
      </c>
      <c r="F423">
        <v>4.5</v>
      </c>
      <c r="G423" t="s">
        <v>5869</v>
      </c>
      <c r="H423" t="s">
        <v>4588</v>
      </c>
      <c r="I423" t="s">
        <v>6138</v>
      </c>
    </row>
    <row r="424" spans="1:9">
      <c r="A424" t="s">
        <v>5676</v>
      </c>
      <c r="B424" t="s">
        <v>6139</v>
      </c>
      <c r="C424">
        <v>1</v>
      </c>
      <c r="D424" t="s">
        <v>5630</v>
      </c>
      <c r="E424">
        <v>0.5</v>
      </c>
      <c r="F424">
        <v>0.02</v>
      </c>
      <c r="H424" t="s">
        <v>4648</v>
      </c>
      <c r="I424" t="s">
        <v>6140</v>
      </c>
    </row>
    <row r="425" spans="1:9">
      <c r="A425" t="s">
        <v>5676</v>
      </c>
      <c r="B425" t="s">
        <v>6141</v>
      </c>
      <c r="C425">
        <v>1</v>
      </c>
      <c r="D425" t="s">
        <v>5630</v>
      </c>
      <c r="E425">
        <v>0.5</v>
      </c>
      <c r="F425">
        <v>0.04</v>
      </c>
      <c r="H425" t="s">
        <v>4648</v>
      </c>
      <c r="I425" t="s">
        <v>6140</v>
      </c>
    </row>
    <row r="426" spans="1:9">
      <c r="A426" t="s">
        <v>5676</v>
      </c>
      <c r="B426" t="s">
        <v>6142</v>
      </c>
      <c r="C426">
        <v>1</v>
      </c>
      <c r="D426" t="s">
        <v>5630</v>
      </c>
      <c r="E426">
        <v>0.5</v>
      </c>
      <c r="F426">
        <v>3.5000000000000003E-2</v>
      </c>
      <c r="H426" t="s">
        <v>4648</v>
      </c>
      <c r="I426" t="s">
        <v>6140</v>
      </c>
    </row>
    <row r="427" spans="1:9">
      <c r="A427" t="s">
        <v>5676</v>
      </c>
      <c r="B427" t="s">
        <v>6143</v>
      </c>
      <c r="C427">
        <v>1</v>
      </c>
      <c r="D427" t="s">
        <v>5630</v>
      </c>
      <c r="E427">
        <v>0.5</v>
      </c>
      <c r="F427">
        <v>0.05</v>
      </c>
      <c r="H427" t="s">
        <v>4648</v>
      </c>
      <c r="I427" t="s">
        <v>6140</v>
      </c>
    </row>
    <row r="428" spans="1:9">
      <c r="A428" t="s">
        <v>5676</v>
      </c>
      <c r="B428" t="s">
        <v>6144</v>
      </c>
      <c r="C428">
        <v>1</v>
      </c>
      <c r="D428" t="s">
        <v>5630</v>
      </c>
      <c r="E428">
        <v>0.5</v>
      </c>
      <c r="F428">
        <v>0.02</v>
      </c>
      <c r="H428" t="s">
        <v>4648</v>
      </c>
      <c r="I428" t="s">
        <v>6140</v>
      </c>
    </row>
    <row r="429" spans="1:9">
      <c r="A429" t="s">
        <v>5676</v>
      </c>
      <c r="B429" t="s">
        <v>6145</v>
      </c>
      <c r="C429">
        <v>1</v>
      </c>
      <c r="D429" t="s">
        <v>5637</v>
      </c>
      <c r="E429">
        <v>0.5</v>
      </c>
      <c r="F429">
        <v>0.05</v>
      </c>
      <c r="H429" t="s">
        <v>4648</v>
      </c>
      <c r="I429" t="s">
        <v>6140</v>
      </c>
    </row>
    <row r="430" spans="1:9">
      <c r="A430" t="s">
        <v>5676</v>
      </c>
      <c r="B430" t="s">
        <v>6146</v>
      </c>
      <c r="C430">
        <v>1</v>
      </c>
      <c r="D430" t="s">
        <v>5698</v>
      </c>
      <c r="E430">
        <v>0.5</v>
      </c>
      <c r="F430">
        <v>2.2999999999999998</v>
      </c>
      <c r="H430" t="s">
        <v>4648</v>
      </c>
      <c r="I430" t="s">
        <v>6140</v>
      </c>
    </row>
    <row r="431" spans="1:9">
      <c r="A431" t="s">
        <v>5676</v>
      </c>
      <c r="B431" t="s">
        <v>6147</v>
      </c>
      <c r="C431">
        <v>1</v>
      </c>
      <c r="D431" t="s">
        <v>5698</v>
      </c>
      <c r="E431">
        <v>0.5</v>
      </c>
      <c r="F431">
        <v>1.4999999999999999E-2</v>
      </c>
      <c r="H431" t="s">
        <v>4648</v>
      </c>
      <c r="I431" t="s">
        <v>6140</v>
      </c>
    </row>
    <row r="432" spans="1:9">
      <c r="A432" t="s">
        <v>5676</v>
      </c>
      <c r="B432" t="s">
        <v>6148</v>
      </c>
      <c r="C432">
        <v>1</v>
      </c>
      <c r="D432" t="s">
        <v>5556</v>
      </c>
      <c r="E432">
        <v>0.5</v>
      </c>
      <c r="F432">
        <v>0.02</v>
      </c>
      <c r="H432" t="s">
        <v>4648</v>
      </c>
      <c r="I432" t="s">
        <v>6140</v>
      </c>
    </row>
    <row r="433" spans="1:9">
      <c r="A433" t="s">
        <v>5676</v>
      </c>
      <c r="B433" t="s">
        <v>6149</v>
      </c>
      <c r="C433">
        <v>1</v>
      </c>
      <c r="D433" t="s">
        <v>5630</v>
      </c>
      <c r="E433">
        <v>0.5</v>
      </c>
      <c r="F433">
        <v>3.5000000000000003E-2</v>
      </c>
      <c r="H433" t="s">
        <v>4648</v>
      </c>
      <c r="I433" t="s">
        <v>6140</v>
      </c>
    </row>
    <row r="434" spans="1:9">
      <c r="A434" t="s">
        <v>5676</v>
      </c>
      <c r="B434" t="s">
        <v>6150</v>
      </c>
      <c r="C434">
        <v>1</v>
      </c>
      <c r="D434" t="s">
        <v>5698</v>
      </c>
      <c r="E434">
        <v>0.5</v>
      </c>
      <c r="F434">
        <v>0.4</v>
      </c>
      <c r="H434" t="s">
        <v>4648</v>
      </c>
      <c r="I434" t="s">
        <v>6140</v>
      </c>
    </row>
    <row r="435" spans="1:9">
      <c r="A435" t="s">
        <v>5676</v>
      </c>
      <c r="B435" t="s">
        <v>6151</v>
      </c>
      <c r="C435">
        <v>1</v>
      </c>
      <c r="D435" t="s">
        <v>5698</v>
      </c>
      <c r="E435">
        <v>0.5</v>
      </c>
      <c r="F435">
        <v>0.25</v>
      </c>
      <c r="H435" t="s">
        <v>4648</v>
      </c>
      <c r="I435" t="s">
        <v>6140</v>
      </c>
    </row>
    <row r="436" spans="1:9">
      <c r="A436" t="s">
        <v>5676</v>
      </c>
      <c r="B436" t="s">
        <v>6152</v>
      </c>
      <c r="C436">
        <v>1</v>
      </c>
      <c r="D436" t="s">
        <v>5630</v>
      </c>
      <c r="E436">
        <v>0.5</v>
      </c>
      <c r="F436">
        <v>0.04</v>
      </c>
      <c r="H436" t="s">
        <v>4648</v>
      </c>
      <c r="I436" t="s">
        <v>6140</v>
      </c>
    </row>
    <row r="437" spans="1:9">
      <c r="A437" t="s">
        <v>5676</v>
      </c>
      <c r="B437" t="s">
        <v>6153</v>
      </c>
      <c r="C437">
        <v>1</v>
      </c>
      <c r="D437" t="s">
        <v>5630</v>
      </c>
      <c r="E437">
        <v>0.5</v>
      </c>
      <c r="F437">
        <v>0.02</v>
      </c>
      <c r="H437" t="s">
        <v>4648</v>
      </c>
      <c r="I437" t="s">
        <v>6140</v>
      </c>
    </row>
    <row r="438" spans="1:9">
      <c r="A438" t="s">
        <v>5676</v>
      </c>
      <c r="B438" t="s">
        <v>6154</v>
      </c>
      <c r="C438">
        <v>1</v>
      </c>
      <c r="D438" t="s">
        <v>5635</v>
      </c>
      <c r="E438">
        <v>0.25</v>
      </c>
      <c r="F438">
        <v>0.01</v>
      </c>
      <c r="H438" t="s">
        <v>4648</v>
      </c>
      <c r="I438" t="s">
        <v>6140</v>
      </c>
    </row>
    <row r="439" spans="1:9">
      <c r="A439" t="s">
        <v>5676</v>
      </c>
      <c r="B439" t="s">
        <v>6155</v>
      </c>
      <c r="C439">
        <v>1</v>
      </c>
      <c r="D439" t="s">
        <v>5630</v>
      </c>
      <c r="E439">
        <v>0.5</v>
      </c>
      <c r="F439">
        <v>2.5000000000000001E-2</v>
      </c>
      <c r="H439" t="s">
        <v>4648</v>
      </c>
      <c r="I439" t="s">
        <v>6140</v>
      </c>
    </row>
    <row r="440" spans="1:9">
      <c r="A440" t="s">
        <v>5676</v>
      </c>
      <c r="B440" t="s">
        <v>6156</v>
      </c>
      <c r="C440">
        <v>1</v>
      </c>
      <c r="D440" t="s">
        <v>5632</v>
      </c>
      <c r="E440">
        <v>1</v>
      </c>
      <c r="F440">
        <v>0.05</v>
      </c>
      <c r="H440" t="s">
        <v>4648</v>
      </c>
      <c r="I440" t="s">
        <v>6157</v>
      </c>
    </row>
    <row r="441" spans="1:9">
      <c r="A441" t="s">
        <v>5676</v>
      </c>
      <c r="B441" t="s">
        <v>6158</v>
      </c>
      <c r="C441">
        <v>1</v>
      </c>
      <c r="D441" t="s">
        <v>5630</v>
      </c>
      <c r="E441">
        <v>1</v>
      </c>
      <c r="F441">
        <v>7.4999999999999997E-2</v>
      </c>
      <c r="H441" t="s">
        <v>4648</v>
      </c>
      <c r="I441" t="s">
        <v>6157</v>
      </c>
    </row>
    <row r="442" spans="1:9">
      <c r="A442" t="s">
        <v>5676</v>
      </c>
      <c r="B442" t="s">
        <v>6159</v>
      </c>
      <c r="C442">
        <v>1</v>
      </c>
      <c r="D442" t="s">
        <v>5630</v>
      </c>
      <c r="E442">
        <v>1</v>
      </c>
      <c r="F442">
        <v>0.1</v>
      </c>
      <c r="H442" t="s">
        <v>4648</v>
      </c>
      <c r="I442" t="s">
        <v>6157</v>
      </c>
    </row>
    <row r="443" spans="1:9">
      <c r="A443" t="s">
        <v>5676</v>
      </c>
      <c r="B443" t="s">
        <v>6160</v>
      </c>
      <c r="C443">
        <v>1</v>
      </c>
      <c r="D443" t="s">
        <v>5630</v>
      </c>
      <c r="E443">
        <v>0.5</v>
      </c>
      <c r="F443">
        <v>1.4999999999999999E-2</v>
      </c>
      <c r="H443" t="s">
        <v>4648</v>
      </c>
      <c r="I443" t="s">
        <v>6157</v>
      </c>
    </row>
    <row r="444" spans="1:9">
      <c r="A444" t="s">
        <v>5676</v>
      </c>
      <c r="B444" t="s">
        <v>6161</v>
      </c>
      <c r="C444">
        <v>1</v>
      </c>
      <c r="D444" t="s">
        <v>5630</v>
      </c>
      <c r="E444">
        <v>0.5</v>
      </c>
      <c r="F444">
        <v>0.02</v>
      </c>
      <c r="H444" t="s">
        <v>4648</v>
      </c>
      <c r="I444" t="s">
        <v>6157</v>
      </c>
    </row>
    <row r="445" spans="1:9">
      <c r="A445" t="s">
        <v>5674</v>
      </c>
      <c r="B445" t="s">
        <v>6162</v>
      </c>
      <c r="C445">
        <v>7</v>
      </c>
      <c r="D445" t="s">
        <v>6036</v>
      </c>
      <c r="E445" t="s">
        <v>5557</v>
      </c>
      <c r="F445">
        <v>2.2000000000000002</v>
      </c>
      <c r="H445" t="s">
        <v>4648</v>
      </c>
      <c r="I445" t="s">
        <v>6157</v>
      </c>
    </row>
    <row r="446" spans="1:9">
      <c r="A446" t="s">
        <v>5674</v>
      </c>
      <c r="B446" t="s">
        <v>6163</v>
      </c>
      <c r="C446">
        <v>7</v>
      </c>
      <c r="D446" t="s">
        <v>6036</v>
      </c>
      <c r="E446" t="s">
        <v>5557</v>
      </c>
      <c r="F446">
        <v>20</v>
      </c>
      <c r="H446" t="s">
        <v>4648</v>
      </c>
      <c r="I446" t="s">
        <v>6157</v>
      </c>
    </row>
    <row r="447" spans="1:9">
      <c r="A447" t="s">
        <v>5674</v>
      </c>
      <c r="B447" t="s">
        <v>6164</v>
      </c>
      <c r="C447">
        <v>1</v>
      </c>
      <c r="D447" t="s">
        <v>5698</v>
      </c>
      <c r="E447" t="s">
        <v>5557</v>
      </c>
      <c r="F447">
        <v>2.5000000000000001E-2</v>
      </c>
      <c r="H447" t="s">
        <v>4648</v>
      </c>
      <c r="I447" t="s">
        <v>6157</v>
      </c>
    </row>
    <row r="448" spans="1:9">
      <c r="A448" t="s">
        <v>5676</v>
      </c>
      <c r="B448" t="s">
        <v>6165</v>
      </c>
      <c r="C448">
        <v>1</v>
      </c>
      <c r="D448" t="s">
        <v>5556</v>
      </c>
      <c r="E448">
        <v>0.2</v>
      </c>
      <c r="F448">
        <v>8.0000000000000002E-3</v>
      </c>
      <c r="H448" t="s">
        <v>4648</v>
      </c>
      <c r="I448" t="s">
        <v>6166</v>
      </c>
    </row>
    <row r="449" spans="1:9">
      <c r="A449" t="s">
        <v>5676</v>
      </c>
      <c r="B449" t="s">
        <v>6167</v>
      </c>
      <c r="C449">
        <v>1</v>
      </c>
      <c r="D449" t="s">
        <v>5635</v>
      </c>
      <c r="E449">
        <v>0.5</v>
      </c>
      <c r="F449">
        <v>0.2</v>
      </c>
      <c r="H449" t="s">
        <v>4648</v>
      </c>
      <c r="I449" t="s">
        <v>6166</v>
      </c>
    </row>
    <row r="450" spans="1:9">
      <c r="A450" t="s">
        <v>5676</v>
      </c>
      <c r="B450" t="s">
        <v>6168</v>
      </c>
      <c r="C450">
        <v>1</v>
      </c>
      <c r="D450" t="s">
        <v>5556</v>
      </c>
      <c r="E450">
        <v>0.2</v>
      </c>
      <c r="F450">
        <v>8.0000000000000002E-3</v>
      </c>
      <c r="H450" t="s">
        <v>4648</v>
      </c>
      <c r="I450" t="s">
        <v>6166</v>
      </c>
    </row>
    <row r="451" spans="1:9">
      <c r="A451" t="s">
        <v>5676</v>
      </c>
      <c r="B451" t="s">
        <v>6169</v>
      </c>
      <c r="C451">
        <v>1</v>
      </c>
      <c r="D451" t="s">
        <v>5698</v>
      </c>
      <c r="E451">
        <v>0.5</v>
      </c>
      <c r="F451">
        <v>0.2</v>
      </c>
      <c r="H451" t="s">
        <v>4648</v>
      </c>
      <c r="I451" t="s">
        <v>6166</v>
      </c>
    </row>
    <row r="452" spans="1:9">
      <c r="A452" t="s">
        <v>5676</v>
      </c>
      <c r="B452" t="s">
        <v>6170</v>
      </c>
      <c r="C452">
        <v>1</v>
      </c>
      <c r="D452" t="s">
        <v>5698</v>
      </c>
      <c r="E452">
        <v>0.5</v>
      </c>
      <c r="F452">
        <v>3.5</v>
      </c>
      <c r="H452" t="s">
        <v>4648</v>
      </c>
      <c r="I452" t="s">
        <v>6166</v>
      </c>
    </row>
    <row r="453" spans="1:9">
      <c r="A453" t="s">
        <v>5676</v>
      </c>
      <c r="B453" t="s">
        <v>6171</v>
      </c>
      <c r="C453">
        <v>1</v>
      </c>
      <c r="D453" t="s">
        <v>5630</v>
      </c>
      <c r="E453">
        <v>0.5</v>
      </c>
      <c r="F453">
        <v>0.1</v>
      </c>
      <c r="H453" t="s">
        <v>4648</v>
      </c>
      <c r="I453" t="s">
        <v>6166</v>
      </c>
    </row>
    <row r="454" spans="1:9">
      <c r="A454" t="s">
        <v>5676</v>
      </c>
      <c r="B454" t="s">
        <v>6172</v>
      </c>
      <c r="C454">
        <v>1</v>
      </c>
      <c r="D454" t="s">
        <v>5630</v>
      </c>
      <c r="E454">
        <v>0.5</v>
      </c>
      <c r="F454">
        <v>2.5000000000000001E-2</v>
      </c>
      <c r="H454" t="s">
        <v>4648</v>
      </c>
      <c r="I454" t="s">
        <v>6166</v>
      </c>
    </row>
    <row r="455" spans="1:9">
      <c r="A455" t="s">
        <v>5676</v>
      </c>
      <c r="B455" t="s">
        <v>6173</v>
      </c>
      <c r="C455">
        <v>1</v>
      </c>
      <c r="D455" t="s">
        <v>5698</v>
      </c>
      <c r="E455">
        <v>0.5</v>
      </c>
      <c r="F455">
        <v>0.35</v>
      </c>
      <c r="H455" t="s">
        <v>4648</v>
      </c>
      <c r="I455" t="s">
        <v>6166</v>
      </c>
    </row>
    <row r="456" spans="1:9">
      <c r="A456" t="s">
        <v>5676</v>
      </c>
      <c r="B456" t="s">
        <v>6174</v>
      </c>
      <c r="C456">
        <v>1</v>
      </c>
      <c r="D456" t="s">
        <v>5632</v>
      </c>
      <c r="E456">
        <v>1</v>
      </c>
      <c r="F456">
        <v>0.1</v>
      </c>
      <c r="H456" t="s">
        <v>4648</v>
      </c>
      <c r="I456" t="s">
        <v>6166</v>
      </c>
    </row>
    <row r="457" spans="1:9">
      <c r="A457" t="s">
        <v>5676</v>
      </c>
      <c r="B457" t="s">
        <v>6175</v>
      </c>
      <c r="C457">
        <v>1</v>
      </c>
      <c r="D457" t="s">
        <v>5698</v>
      </c>
      <c r="E457">
        <v>0.5</v>
      </c>
      <c r="F457">
        <v>1.6</v>
      </c>
      <c r="H457" t="s">
        <v>4648</v>
      </c>
      <c r="I457" t="s">
        <v>6166</v>
      </c>
    </row>
    <row r="458" spans="1:9">
      <c r="A458" t="s">
        <v>5676</v>
      </c>
      <c r="B458" t="s">
        <v>6176</v>
      </c>
      <c r="C458">
        <v>1</v>
      </c>
      <c r="D458" t="s">
        <v>5635</v>
      </c>
      <c r="E458">
        <v>0.5</v>
      </c>
      <c r="F458">
        <v>0.25</v>
      </c>
      <c r="H458" t="s">
        <v>4648</v>
      </c>
      <c r="I458" t="s">
        <v>6166</v>
      </c>
    </row>
    <row r="459" spans="1:9">
      <c r="A459" t="s">
        <v>5676</v>
      </c>
      <c r="B459" t="s">
        <v>6177</v>
      </c>
      <c r="C459">
        <v>1</v>
      </c>
      <c r="D459" t="s">
        <v>5635</v>
      </c>
      <c r="E459">
        <v>0.5</v>
      </c>
      <c r="F459">
        <v>0.1</v>
      </c>
      <c r="H459" t="s">
        <v>4648</v>
      </c>
      <c r="I459" t="s">
        <v>6178</v>
      </c>
    </row>
    <row r="460" spans="1:9">
      <c r="A460" t="s">
        <v>5676</v>
      </c>
      <c r="B460" t="s">
        <v>6179</v>
      </c>
      <c r="C460">
        <v>1</v>
      </c>
      <c r="D460" t="s">
        <v>5635</v>
      </c>
      <c r="E460">
        <v>0.5</v>
      </c>
      <c r="F460">
        <v>0.15</v>
      </c>
      <c r="H460" t="s">
        <v>4648</v>
      </c>
      <c r="I460" t="s">
        <v>6178</v>
      </c>
    </row>
    <row r="461" spans="1:9">
      <c r="A461" t="s">
        <v>5625</v>
      </c>
      <c r="B461" t="s">
        <v>6180</v>
      </c>
      <c r="C461">
        <v>1</v>
      </c>
      <c r="D461" t="s">
        <v>5632</v>
      </c>
      <c r="E461">
        <v>1</v>
      </c>
      <c r="F461">
        <v>1.5</v>
      </c>
      <c r="H461" t="s">
        <v>4648</v>
      </c>
      <c r="I461" t="s">
        <v>6181</v>
      </c>
    </row>
    <row r="462" spans="1:9">
      <c r="A462" t="s">
        <v>5676</v>
      </c>
      <c r="B462" t="s">
        <v>6182</v>
      </c>
      <c r="C462">
        <v>1</v>
      </c>
      <c r="D462" t="s">
        <v>5632</v>
      </c>
      <c r="E462">
        <v>0.5</v>
      </c>
      <c r="F462">
        <v>1</v>
      </c>
      <c r="H462" t="s">
        <v>4648</v>
      </c>
      <c r="I462" t="s">
        <v>6181</v>
      </c>
    </row>
    <row r="463" spans="1:9">
      <c r="A463" t="s">
        <v>5676</v>
      </c>
      <c r="B463" t="s">
        <v>6183</v>
      </c>
      <c r="C463">
        <v>1</v>
      </c>
      <c r="D463" t="s">
        <v>5632</v>
      </c>
      <c r="E463">
        <v>0.5</v>
      </c>
      <c r="F463">
        <v>1.5E-3</v>
      </c>
      <c r="H463" t="s">
        <v>4648</v>
      </c>
      <c r="I463" t="s">
        <v>6181</v>
      </c>
    </row>
    <row r="464" spans="1:9">
      <c r="A464" t="s">
        <v>5676</v>
      </c>
      <c r="B464" t="s">
        <v>6184</v>
      </c>
      <c r="C464">
        <v>1</v>
      </c>
      <c r="D464" t="s">
        <v>5632</v>
      </c>
      <c r="E464">
        <v>0.5</v>
      </c>
      <c r="F464">
        <v>880</v>
      </c>
      <c r="H464" t="s">
        <v>4648</v>
      </c>
      <c r="I464" t="s">
        <v>6181</v>
      </c>
    </row>
    <row r="465" spans="1:9">
      <c r="A465" t="s">
        <v>5676</v>
      </c>
      <c r="B465" t="s">
        <v>6185</v>
      </c>
      <c r="C465">
        <v>1</v>
      </c>
      <c r="D465" t="s">
        <v>5630</v>
      </c>
      <c r="E465">
        <v>1</v>
      </c>
      <c r="F465">
        <v>0.125</v>
      </c>
      <c r="H465" t="s">
        <v>4648</v>
      </c>
      <c r="I465" t="s">
        <v>6186</v>
      </c>
    </row>
    <row r="466" spans="1:9">
      <c r="A466" t="s">
        <v>5676</v>
      </c>
      <c r="B466" t="s">
        <v>6187</v>
      </c>
      <c r="C466">
        <v>1</v>
      </c>
      <c r="D466" t="s">
        <v>5630</v>
      </c>
      <c r="E466">
        <v>0.5</v>
      </c>
      <c r="F466">
        <v>1.5</v>
      </c>
      <c r="H466" t="s">
        <v>4648</v>
      </c>
      <c r="I466" t="s">
        <v>6186</v>
      </c>
    </row>
    <row r="467" spans="1:9">
      <c r="A467" t="s">
        <v>5676</v>
      </c>
      <c r="B467" t="s">
        <v>6188</v>
      </c>
      <c r="C467">
        <v>1</v>
      </c>
      <c r="D467" t="s">
        <v>5635</v>
      </c>
      <c r="E467">
        <v>0.2</v>
      </c>
      <c r="F467">
        <v>40</v>
      </c>
      <c r="H467" t="s">
        <v>4648</v>
      </c>
      <c r="I467" t="s">
        <v>6189</v>
      </c>
    </row>
    <row r="468" spans="1:9">
      <c r="A468" t="s">
        <v>5676</v>
      </c>
      <c r="B468" t="s">
        <v>6190</v>
      </c>
      <c r="C468">
        <v>1</v>
      </c>
      <c r="D468" t="s">
        <v>5632</v>
      </c>
      <c r="E468">
        <v>1</v>
      </c>
      <c r="F468">
        <v>0.15</v>
      </c>
      <c r="H468" t="s">
        <v>4648</v>
      </c>
      <c r="I468" t="s">
        <v>6191</v>
      </c>
    </row>
    <row r="469" spans="1:9">
      <c r="A469" t="s">
        <v>5676</v>
      </c>
      <c r="B469" t="s">
        <v>6192</v>
      </c>
      <c r="C469">
        <v>1</v>
      </c>
      <c r="D469" t="s">
        <v>5632</v>
      </c>
      <c r="E469">
        <v>1</v>
      </c>
      <c r="F469">
        <v>0.15</v>
      </c>
      <c r="H469" t="s">
        <v>4648</v>
      </c>
      <c r="I469" t="s">
        <v>6191</v>
      </c>
    </row>
    <row r="470" spans="1:9">
      <c r="A470" t="s">
        <v>5676</v>
      </c>
      <c r="B470" t="s">
        <v>6193</v>
      </c>
      <c r="C470">
        <v>1</v>
      </c>
      <c r="D470" t="s">
        <v>5632</v>
      </c>
      <c r="E470">
        <v>1</v>
      </c>
      <c r="F470">
        <v>3.5</v>
      </c>
      <c r="H470" t="s">
        <v>4648</v>
      </c>
      <c r="I470" t="s">
        <v>6191</v>
      </c>
    </row>
    <row r="471" spans="1:9">
      <c r="A471" t="s">
        <v>5674</v>
      </c>
      <c r="B471" t="s">
        <v>6194</v>
      </c>
      <c r="C471">
        <v>1</v>
      </c>
      <c r="D471" t="s">
        <v>5556</v>
      </c>
      <c r="E471">
        <v>1</v>
      </c>
      <c r="F471">
        <v>1.75</v>
      </c>
      <c r="H471" t="s">
        <v>4506</v>
      </c>
      <c r="I471" t="s">
        <v>6195</v>
      </c>
    </row>
    <row r="472" spans="1:9">
      <c r="A472" t="s">
        <v>5674</v>
      </c>
      <c r="B472" t="s">
        <v>6196</v>
      </c>
      <c r="C472">
        <v>1</v>
      </c>
      <c r="D472" t="s">
        <v>5556</v>
      </c>
      <c r="E472">
        <v>1</v>
      </c>
      <c r="F472">
        <v>13</v>
      </c>
      <c r="H472" t="s">
        <v>4506</v>
      </c>
      <c r="I472" t="s">
        <v>6195</v>
      </c>
    </row>
    <row r="473" spans="1:9">
      <c r="A473" t="s">
        <v>5947</v>
      </c>
      <c r="B473" t="s">
        <v>6197</v>
      </c>
      <c r="C473">
        <v>1</v>
      </c>
      <c r="D473" t="s">
        <v>5556</v>
      </c>
      <c r="E473">
        <v>1.25</v>
      </c>
      <c r="F473">
        <v>1.3</v>
      </c>
      <c r="H473" t="s">
        <v>4506</v>
      </c>
      <c r="I473" t="s">
        <v>6198</v>
      </c>
    </row>
    <row r="474" spans="1:9">
      <c r="A474" t="s">
        <v>5947</v>
      </c>
      <c r="B474" t="s">
        <v>6199</v>
      </c>
      <c r="C474">
        <v>1</v>
      </c>
      <c r="D474" t="s">
        <v>5556</v>
      </c>
      <c r="E474">
        <v>1.25</v>
      </c>
      <c r="F474">
        <v>17.600000000000001</v>
      </c>
      <c r="H474" t="s">
        <v>4506</v>
      </c>
      <c r="I474" t="s">
        <v>6198</v>
      </c>
    </row>
    <row r="475" spans="1:9">
      <c r="A475" t="s">
        <v>5947</v>
      </c>
      <c r="B475" t="s">
        <v>6200</v>
      </c>
      <c r="C475">
        <v>1</v>
      </c>
      <c r="D475" t="s">
        <v>5556</v>
      </c>
      <c r="E475">
        <v>1</v>
      </c>
      <c r="F475">
        <v>0.5</v>
      </c>
      <c r="H475" t="s">
        <v>4506</v>
      </c>
      <c r="I475" t="s">
        <v>6198</v>
      </c>
    </row>
    <row r="476" spans="1:9">
      <c r="A476" t="s">
        <v>5947</v>
      </c>
      <c r="B476" t="s">
        <v>6201</v>
      </c>
      <c r="C476">
        <v>1</v>
      </c>
      <c r="D476" t="s">
        <v>5556</v>
      </c>
      <c r="E476">
        <v>1</v>
      </c>
      <c r="F476">
        <v>60</v>
      </c>
      <c r="H476" t="s">
        <v>4506</v>
      </c>
      <c r="I476" t="s">
        <v>6198</v>
      </c>
    </row>
    <row r="477" spans="1:9">
      <c r="A477" t="s">
        <v>5947</v>
      </c>
      <c r="B477" t="s">
        <v>6202</v>
      </c>
      <c r="C477">
        <v>1</v>
      </c>
      <c r="D477" t="s">
        <v>5893</v>
      </c>
      <c r="E477">
        <v>0.15</v>
      </c>
      <c r="F477">
        <v>1.2</v>
      </c>
      <c r="H477" t="s">
        <v>4506</v>
      </c>
      <c r="I477" t="s">
        <v>6198</v>
      </c>
    </row>
    <row r="478" spans="1:9">
      <c r="A478" t="s">
        <v>5947</v>
      </c>
      <c r="B478" t="s">
        <v>6203</v>
      </c>
      <c r="C478">
        <v>1</v>
      </c>
      <c r="D478" t="s">
        <v>5893</v>
      </c>
      <c r="E478">
        <v>0.15</v>
      </c>
      <c r="F478">
        <v>10</v>
      </c>
      <c r="H478" t="s">
        <v>4506</v>
      </c>
      <c r="I478" t="s">
        <v>6198</v>
      </c>
    </row>
    <row r="479" spans="1:9">
      <c r="A479" t="s">
        <v>5947</v>
      </c>
      <c r="B479" t="s">
        <v>6204</v>
      </c>
      <c r="C479">
        <v>1</v>
      </c>
      <c r="D479" t="s">
        <v>5893</v>
      </c>
      <c r="E479">
        <v>0.75</v>
      </c>
      <c r="F479">
        <v>1.2</v>
      </c>
      <c r="H479" t="s">
        <v>4506</v>
      </c>
      <c r="I479" t="s">
        <v>6198</v>
      </c>
    </row>
    <row r="480" spans="1:9">
      <c r="A480" t="s">
        <v>5947</v>
      </c>
      <c r="B480" t="s">
        <v>6205</v>
      </c>
      <c r="C480">
        <v>1</v>
      </c>
      <c r="D480" t="s">
        <v>5893</v>
      </c>
      <c r="E480">
        <v>0.75</v>
      </c>
      <c r="F480">
        <v>13.2</v>
      </c>
      <c r="H480" t="s">
        <v>4506</v>
      </c>
      <c r="I480" t="s">
        <v>6198</v>
      </c>
    </row>
    <row r="481" spans="1:9">
      <c r="A481" t="s">
        <v>5947</v>
      </c>
      <c r="B481" t="s">
        <v>6206</v>
      </c>
      <c r="C481">
        <v>1</v>
      </c>
      <c r="D481" t="s">
        <v>5556</v>
      </c>
      <c r="E481">
        <v>1.75</v>
      </c>
      <c r="F481">
        <v>2</v>
      </c>
      <c r="H481" t="s">
        <v>4506</v>
      </c>
      <c r="I481" t="s">
        <v>6198</v>
      </c>
    </row>
    <row r="482" spans="1:9">
      <c r="A482" t="s">
        <v>5947</v>
      </c>
      <c r="B482" t="s">
        <v>6207</v>
      </c>
      <c r="C482">
        <v>1</v>
      </c>
      <c r="D482" t="s">
        <v>5556</v>
      </c>
      <c r="E482">
        <v>1.75</v>
      </c>
      <c r="F482">
        <v>35.5</v>
      </c>
      <c r="H482" t="s">
        <v>4506</v>
      </c>
      <c r="I482" t="s">
        <v>6198</v>
      </c>
    </row>
    <row r="483" spans="1:9">
      <c r="A483" t="s">
        <v>5793</v>
      </c>
      <c r="B483" t="s">
        <v>6208</v>
      </c>
      <c r="C483">
        <v>1</v>
      </c>
      <c r="D483" t="s">
        <v>5556</v>
      </c>
      <c r="E483">
        <v>30</v>
      </c>
      <c r="F483">
        <v>10</v>
      </c>
      <c r="G483" t="s">
        <v>6209</v>
      </c>
      <c r="H483" t="s">
        <v>4506</v>
      </c>
      <c r="I483" t="s">
        <v>6210</v>
      </c>
    </row>
    <row r="484" spans="1:9">
      <c r="A484" t="s">
        <v>5793</v>
      </c>
      <c r="B484" t="s">
        <v>6211</v>
      </c>
      <c r="C484">
        <v>1</v>
      </c>
      <c r="D484" t="s">
        <v>5556</v>
      </c>
      <c r="E484">
        <v>2</v>
      </c>
      <c r="F484">
        <v>20</v>
      </c>
      <c r="H484" t="s">
        <v>4506</v>
      </c>
      <c r="I484" t="s">
        <v>6210</v>
      </c>
    </row>
    <row r="485" spans="1:9">
      <c r="A485" t="s">
        <v>5793</v>
      </c>
      <c r="B485" t="s">
        <v>6212</v>
      </c>
      <c r="C485">
        <v>1</v>
      </c>
      <c r="D485" t="s">
        <v>5556</v>
      </c>
      <c r="E485">
        <v>37.5</v>
      </c>
      <c r="F485">
        <v>190</v>
      </c>
      <c r="G485" t="s">
        <v>6213</v>
      </c>
      <c r="H485" t="s">
        <v>4506</v>
      </c>
      <c r="I485" t="s">
        <v>6210</v>
      </c>
    </row>
    <row r="486" spans="1:9">
      <c r="A486" t="s">
        <v>5793</v>
      </c>
      <c r="B486" t="s">
        <v>6214</v>
      </c>
      <c r="C486">
        <v>1</v>
      </c>
      <c r="D486" t="s">
        <v>5556</v>
      </c>
      <c r="E486">
        <v>25</v>
      </c>
      <c r="F486">
        <v>150</v>
      </c>
      <c r="H486" t="s">
        <v>4506</v>
      </c>
      <c r="I486" t="s">
        <v>6210</v>
      </c>
    </row>
    <row r="487" spans="1:9">
      <c r="A487" t="s">
        <v>5793</v>
      </c>
      <c r="B487" t="s">
        <v>6215</v>
      </c>
      <c r="C487">
        <v>1</v>
      </c>
      <c r="D487" t="s">
        <v>5556</v>
      </c>
      <c r="E487">
        <v>20</v>
      </c>
      <c r="F487">
        <v>70</v>
      </c>
      <c r="G487" t="s">
        <v>6216</v>
      </c>
      <c r="H487" t="s">
        <v>4506</v>
      </c>
      <c r="I487" t="s">
        <v>6210</v>
      </c>
    </row>
    <row r="488" spans="1:9">
      <c r="A488" t="s">
        <v>5793</v>
      </c>
      <c r="B488" t="s">
        <v>6217</v>
      </c>
      <c r="C488">
        <v>1</v>
      </c>
      <c r="D488" t="s">
        <v>5556</v>
      </c>
      <c r="E488">
        <v>8</v>
      </c>
      <c r="F488">
        <v>4.4000000000000004</v>
      </c>
      <c r="H488" t="s">
        <v>4506</v>
      </c>
      <c r="I488" t="s">
        <v>6210</v>
      </c>
    </row>
    <row r="489" spans="1:9">
      <c r="A489" t="s">
        <v>5793</v>
      </c>
      <c r="B489" t="s">
        <v>6218</v>
      </c>
      <c r="C489">
        <v>1</v>
      </c>
      <c r="D489" t="s">
        <v>5556</v>
      </c>
      <c r="E489">
        <v>1</v>
      </c>
      <c r="F489">
        <v>0.35</v>
      </c>
      <c r="H489" t="s">
        <v>4506</v>
      </c>
      <c r="I489" t="s">
        <v>6210</v>
      </c>
    </row>
    <row r="490" spans="1:9">
      <c r="A490" t="s">
        <v>5793</v>
      </c>
      <c r="B490" t="s">
        <v>6219</v>
      </c>
      <c r="C490">
        <v>1</v>
      </c>
      <c r="D490" t="s">
        <v>5556</v>
      </c>
      <c r="E490">
        <v>3.75</v>
      </c>
      <c r="F490">
        <v>21</v>
      </c>
      <c r="H490" t="s">
        <v>4506</v>
      </c>
      <c r="I490" t="s">
        <v>6210</v>
      </c>
    </row>
    <row r="491" spans="1:9">
      <c r="A491" t="s">
        <v>5652</v>
      </c>
      <c r="B491" t="s">
        <v>6220</v>
      </c>
      <c r="C491">
        <v>1</v>
      </c>
      <c r="D491" t="s">
        <v>5556</v>
      </c>
      <c r="E491">
        <v>0.75</v>
      </c>
      <c r="F491">
        <v>1.75</v>
      </c>
      <c r="H491" t="s">
        <v>4506</v>
      </c>
      <c r="I491" t="s">
        <v>6210</v>
      </c>
    </row>
    <row r="492" spans="1:9">
      <c r="A492" t="s">
        <v>5652</v>
      </c>
      <c r="B492" t="s">
        <v>6221</v>
      </c>
      <c r="C492">
        <v>1</v>
      </c>
      <c r="D492" t="s">
        <v>5556</v>
      </c>
      <c r="E492">
        <v>0.37</v>
      </c>
      <c r="F492">
        <v>0.44</v>
      </c>
      <c r="H492" t="s">
        <v>4506</v>
      </c>
      <c r="I492" t="s">
        <v>6210</v>
      </c>
    </row>
    <row r="493" spans="1:9">
      <c r="A493" t="s">
        <v>5652</v>
      </c>
      <c r="B493" t="s">
        <v>6222</v>
      </c>
      <c r="C493">
        <v>1</v>
      </c>
      <c r="D493" t="s">
        <v>5556</v>
      </c>
      <c r="E493">
        <v>0.5</v>
      </c>
      <c r="F493">
        <v>0.88</v>
      </c>
      <c r="H493" t="s">
        <v>4506</v>
      </c>
      <c r="I493" t="s">
        <v>6210</v>
      </c>
    </row>
    <row r="494" spans="1:9">
      <c r="A494" t="s">
        <v>5652</v>
      </c>
      <c r="B494" t="s">
        <v>6223</v>
      </c>
      <c r="C494">
        <v>1</v>
      </c>
      <c r="D494" t="s">
        <v>5556</v>
      </c>
      <c r="E494">
        <v>1.5</v>
      </c>
      <c r="F494">
        <v>11</v>
      </c>
      <c r="H494" t="s">
        <v>4506</v>
      </c>
      <c r="I494" t="s">
        <v>6210</v>
      </c>
    </row>
    <row r="495" spans="1:9">
      <c r="A495" t="s">
        <v>5652</v>
      </c>
      <c r="B495" t="s">
        <v>6224</v>
      </c>
      <c r="C495">
        <v>1</v>
      </c>
      <c r="D495" t="s">
        <v>5556</v>
      </c>
      <c r="E495">
        <v>1</v>
      </c>
      <c r="F495">
        <v>3.5</v>
      </c>
      <c r="H495" t="s">
        <v>4506</v>
      </c>
      <c r="I495" t="s">
        <v>6210</v>
      </c>
    </row>
    <row r="496" spans="1:9">
      <c r="A496" t="s">
        <v>5652</v>
      </c>
      <c r="B496" t="s">
        <v>6225</v>
      </c>
      <c r="C496">
        <v>1</v>
      </c>
      <c r="D496" t="s">
        <v>5556</v>
      </c>
      <c r="E496">
        <v>2</v>
      </c>
      <c r="F496">
        <v>22</v>
      </c>
      <c r="H496" t="s">
        <v>4506</v>
      </c>
      <c r="I496" t="s">
        <v>6210</v>
      </c>
    </row>
    <row r="497" spans="1:9">
      <c r="A497" t="s">
        <v>5652</v>
      </c>
      <c r="B497" t="s">
        <v>6226</v>
      </c>
      <c r="C497">
        <v>1</v>
      </c>
      <c r="D497" t="s">
        <v>5556</v>
      </c>
      <c r="E497">
        <v>2</v>
      </c>
      <c r="F497">
        <v>2.6</v>
      </c>
      <c r="H497" t="s">
        <v>4506</v>
      </c>
      <c r="I497" t="s">
        <v>6210</v>
      </c>
    </row>
    <row r="498" spans="1:9">
      <c r="A498" t="s">
        <v>5652</v>
      </c>
      <c r="B498" t="s">
        <v>6227</v>
      </c>
      <c r="C498">
        <v>1</v>
      </c>
      <c r="D498" t="s">
        <v>5556</v>
      </c>
      <c r="E498">
        <v>0.75</v>
      </c>
      <c r="F498">
        <v>4.3</v>
      </c>
      <c r="H498" t="s">
        <v>4506</v>
      </c>
      <c r="I498" t="s">
        <v>6210</v>
      </c>
    </row>
    <row r="499" spans="1:9">
      <c r="A499" t="s">
        <v>5652</v>
      </c>
      <c r="B499" t="s">
        <v>6228</v>
      </c>
      <c r="C499">
        <v>1</v>
      </c>
      <c r="D499" t="s">
        <v>5556</v>
      </c>
      <c r="E499">
        <v>1.25</v>
      </c>
      <c r="F499">
        <v>24</v>
      </c>
      <c r="H499" t="s">
        <v>4506</v>
      </c>
      <c r="I499" t="s">
        <v>6210</v>
      </c>
    </row>
    <row r="500" spans="1:9">
      <c r="A500" t="s">
        <v>6229</v>
      </c>
      <c r="B500" t="s">
        <v>6230</v>
      </c>
      <c r="C500">
        <v>1</v>
      </c>
      <c r="D500" t="s">
        <v>5556</v>
      </c>
      <c r="E500">
        <v>1.75</v>
      </c>
      <c r="F500">
        <v>4.4000000000000004</v>
      </c>
      <c r="H500" t="s">
        <v>4506</v>
      </c>
      <c r="I500" t="s">
        <v>6210</v>
      </c>
    </row>
    <row r="501" spans="1:9">
      <c r="A501" t="s">
        <v>5674</v>
      </c>
      <c r="B501" t="s">
        <v>6231</v>
      </c>
      <c r="C501">
        <v>1</v>
      </c>
      <c r="D501" t="s">
        <v>5556</v>
      </c>
      <c r="E501">
        <v>0.4</v>
      </c>
      <c r="F501">
        <v>0.3</v>
      </c>
      <c r="H501" t="s">
        <v>4506</v>
      </c>
      <c r="I501" t="s">
        <v>6210</v>
      </c>
    </row>
    <row r="502" spans="1:9">
      <c r="A502" t="s">
        <v>5674</v>
      </c>
      <c r="B502" t="s">
        <v>6232</v>
      </c>
      <c r="C502">
        <v>1</v>
      </c>
      <c r="D502" t="s">
        <v>5556</v>
      </c>
      <c r="E502">
        <v>0.25</v>
      </c>
      <c r="F502">
        <v>0.2</v>
      </c>
      <c r="H502" t="s">
        <v>4506</v>
      </c>
      <c r="I502" t="s">
        <v>6210</v>
      </c>
    </row>
    <row r="503" spans="1:9">
      <c r="A503" t="s">
        <v>5674</v>
      </c>
      <c r="B503" t="s">
        <v>6233</v>
      </c>
      <c r="C503">
        <v>1</v>
      </c>
      <c r="D503" t="s">
        <v>5556</v>
      </c>
      <c r="E503">
        <v>20</v>
      </c>
      <c r="F503">
        <v>0.22500000000000001</v>
      </c>
      <c r="H503" t="s">
        <v>4506</v>
      </c>
      <c r="I503" t="s">
        <v>6210</v>
      </c>
    </row>
    <row r="504" spans="1:9">
      <c r="A504" t="s">
        <v>5674</v>
      </c>
      <c r="B504" t="s">
        <v>6234</v>
      </c>
      <c r="C504">
        <v>1</v>
      </c>
      <c r="D504" t="s">
        <v>5556</v>
      </c>
      <c r="E504">
        <v>0.75</v>
      </c>
      <c r="F504">
        <v>2.2000000000000002</v>
      </c>
      <c r="H504" t="s">
        <v>4506</v>
      </c>
      <c r="I504" t="s">
        <v>6210</v>
      </c>
    </row>
    <row r="505" spans="1:9">
      <c r="A505" t="s">
        <v>5674</v>
      </c>
      <c r="B505" t="s">
        <v>6235</v>
      </c>
      <c r="C505">
        <v>1</v>
      </c>
      <c r="D505" t="s">
        <v>5556</v>
      </c>
      <c r="E505">
        <v>0.38</v>
      </c>
      <c r="F505">
        <v>22</v>
      </c>
      <c r="H505" t="s">
        <v>4506</v>
      </c>
      <c r="I505" t="s">
        <v>6210</v>
      </c>
    </row>
    <row r="506" spans="1:9">
      <c r="A506" t="s">
        <v>5674</v>
      </c>
      <c r="B506" t="s">
        <v>6236</v>
      </c>
      <c r="C506">
        <v>1</v>
      </c>
      <c r="D506" t="s">
        <v>5556</v>
      </c>
      <c r="E506">
        <v>1.5</v>
      </c>
      <c r="F506">
        <v>0.88</v>
      </c>
      <c r="H506" t="s">
        <v>4506</v>
      </c>
      <c r="I506" t="s">
        <v>6210</v>
      </c>
    </row>
    <row r="507" spans="1:9">
      <c r="A507" t="s">
        <v>5674</v>
      </c>
      <c r="B507" t="s">
        <v>6237</v>
      </c>
      <c r="C507">
        <v>1</v>
      </c>
      <c r="D507" t="s">
        <v>5556</v>
      </c>
      <c r="E507">
        <v>0.75</v>
      </c>
      <c r="F507">
        <v>8</v>
      </c>
      <c r="G507" t="s">
        <v>6238</v>
      </c>
      <c r="H507" t="s">
        <v>4506</v>
      </c>
      <c r="I507" t="s">
        <v>6210</v>
      </c>
    </row>
    <row r="508" spans="1:9">
      <c r="A508" t="s">
        <v>5674</v>
      </c>
      <c r="B508" t="s">
        <v>6239</v>
      </c>
      <c r="C508">
        <v>1</v>
      </c>
      <c r="D508" t="s">
        <v>5556</v>
      </c>
      <c r="E508">
        <v>1</v>
      </c>
      <c r="F508">
        <v>2.2000000000000002</v>
      </c>
      <c r="H508" t="s">
        <v>4506</v>
      </c>
      <c r="I508" t="s">
        <v>6210</v>
      </c>
    </row>
    <row r="509" spans="1:9">
      <c r="A509" t="s">
        <v>5674</v>
      </c>
      <c r="B509" t="s">
        <v>6240</v>
      </c>
      <c r="C509">
        <v>1</v>
      </c>
      <c r="D509" t="s">
        <v>5556</v>
      </c>
      <c r="E509">
        <v>1</v>
      </c>
      <c r="F509">
        <v>1.75</v>
      </c>
      <c r="H509" t="s">
        <v>4506</v>
      </c>
      <c r="I509" t="s">
        <v>6210</v>
      </c>
    </row>
    <row r="510" spans="1:9">
      <c r="A510" t="s">
        <v>5674</v>
      </c>
      <c r="B510" t="s">
        <v>6241</v>
      </c>
      <c r="C510">
        <v>1</v>
      </c>
      <c r="D510" t="s">
        <v>5556</v>
      </c>
      <c r="E510">
        <v>0.5</v>
      </c>
      <c r="F510">
        <v>0.2</v>
      </c>
      <c r="H510" t="s">
        <v>4506</v>
      </c>
      <c r="I510" t="s">
        <v>6210</v>
      </c>
    </row>
    <row r="511" spans="1:9">
      <c r="A511" t="s">
        <v>5674</v>
      </c>
      <c r="B511" t="s">
        <v>6242</v>
      </c>
      <c r="C511">
        <v>1</v>
      </c>
      <c r="D511" t="s">
        <v>5556</v>
      </c>
      <c r="E511">
        <v>0.25</v>
      </c>
      <c r="F511">
        <v>0.25</v>
      </c>
      <c r="H511" t="s">
        <v>4506</v>
      </c>
      <c r="I511" t="s">
        <v>6210</v>
      </c>
    </row>
    <row r="512" spans="1:9">
      <c r="A512" t="s">
        <v>5674</v>
      </c>
      <c r="B512" t="s">
        <v>6243</v>
      </c>
      <c r="C512">
        <v>1</v>
      </c>
      <c r="D512" t="s">
        <v>5556</v>
      </c>
      <c r="E512">
        <v>0.36</v>
      </c>
      <c r="F512">
        <v>0.88</v>
      </c>
      <c r="H512" t="s">
        <v>4506</v>
      </c>
      <c r="I512" t="s">
        <v>6210</v>
      </c>
    </row>
    <row r="513" spans="1:9">
      <c r="A513" t="s">
        <v>5674</v>
      </c>
      <c r="B513" t="s">
        <v>6244</v>
      </c>
      <c r="C513">
        <v>1</v>
      </c>
      <c r="D513" t="s">
        <v>5556</v>
      </c>
      <c r="E513">
        <v>0.75</v>
      </c>
      <c r="F513">
        <v>8.8000000000000007</v>
      </c>
      <c r="H513" t="s">
        <v>4506</v>
      </c>
      <c r="I513" t="s">
        <v>6210</v>
      </c>
    </row>
    <row r="514" spans="1:9">
      <c r="A514" t="s">
        <v>5674</v>
      </c>
      <c r="B514" t="s">
        <v>6245</v>
      </c>
      <c r="C514">
        <v>1</v>
      </c>
      <c r="D514" t="s">
        <v>5556</v>
      </c>
      <c r="E514">
        <v>1.25</v>
      </c>
      <c r="F514">
        <v>22</v>
      </c>
      <c r="G514" t="s">
        <v>6238</v>
      </c>
      <c r="H514" t="s">
        <v>4506</v>
      </c>
      <c r="I514" t="s">
        <v>6210</v>
      </c>
    </row>
    <row r="515" spans="1:9">
      <c r="A515" t="s">
        <v>5674</v>
      </c>
      <c r="B515" t="s">
        <v>6246</v>
      </c>
      <c r="C515">
        <v>1</v>
      </c>
      <c r="D515" t="s">
        <v>5556</v>
      </c>
      <c r="E515">
        <v>5</v>
      </c>
      <c r="F515">
        <v>9</v>
      </c>
      <c r="G515" t="s">
        <v>6247</v>
      </c>
      <c r="H515" t="s">
        <v>4506</v>
      </c>
      <c r="I515" t="s">
        <v>6210</v>
      </c>
    </row>
    <row r="516" spans="1:9">
      <c r="A516" t="s">
        <v>5674</v>
      </c>
      <c r="B516" t="s">
        <v>6248</v>
      </c>
      <c r="C516">
        <v>1</v>
      </c>
      <c r="D516" t="s">
        <v>5556</v>
      </c>
      <c r="E516">
        <v>1.25</v>
      </c>
      <c r="F516">
        <v>3.5</v>
      </c>
      <c r="G516" t="s">
        <v>6247</v>
      </c>
      <c r="H516" t="s">
        <v>4506</v>
      </c>
      <c r="I516" t="s">
        <v>6210</v>
      </c>
    </row>
    <row r="517" spans="1:9">
      <c r="A517" t="s">
        <v>5674</v>
      </c>
      <c r="B517" t="s">
        <v>6249</v>
      </c>
      <c r="C517">
        <v>1</v>
      </c>
      <c r="D517" t="s">
        <v>5556</v>
      </c>
      <c r="E517">
        <v>2</v>
      </c>
      <c r="F517">
        <v>3.6</v>
      </c>
      <c r="G517" t="s">
        <v>6247</v>
      </c>
      <c r="H517" t="s">
        <v>4506</v>
      </c>
      <c r="I517" t="s">
        <v>6210</v>
      </c>
    </row>
    <row r="518" spans="1:9">
      <c r="A518" t="s">
        <v>5674</v>
      </c>
      <c r="B518" t="s">
        <v>6250</v>
      </c>
      <c r="C518">
        <v>1</v>
      </c>
      <c r="D518" t="s">
        <v>5556</v>
      </c>
      <c r="E518">
        <v>4</v>
      </c>
      <c r="F518">
        <v>9.4</v>
      </c>
      <c r="G518" t="s">
        <v>6247</v>
      </c>
      <c r="H518" t="s">
        <v>4506</v>
      </c>
      <c r="I518" t="s">
        <v>6210</v>
      </c>
    </row>
    <row r="519" spans="1:9">
      <c r="A519" t="s">
        <v>5674</v>
      </c>
      <c r="B519" t="s">
        <v>6251</v>
      </c>
      <c r="C519">
        <v>1</v>
      </c>
      <c r="D519" t="s">
        <v>5556</v>
      </c>
      <c r="E519">
        <v>0.25</v>
      </c>
      <c r="F519">
        <v>0.88</v>
      </c>
      <c r="H519" t="s">
        <v>4506</v>
      </c>
      <c r="I519" t="s">
        <v>6210</v>
      </c>
    </row>
    <row r="520" spans="1:9">
      <c r="A520" t="s">
        <v>5674</v>
      </c>
      <c r="B520" t="s">
        <v>6252</v>
      </c>
      <c r="C520">
        <v>1</v>
      </c>
      <c r="D520" t="s">
        <v>5556</v>
      </c>
      <c r="E520">
        <v>1.5</v>
      </c>
      <c r="F520">
        <v>5</v>
      </c>
      <c r="G520" t="s">
        <v>6247</v>
      </c>
      <c r="H520" t="s">
        <v>4506</v>
      </c>
      <c r="I520" t="s">
        <v>6210</v>
      </c>
    </row>
    <row r="521" spans="1:9">
      <c r="A521" t="s">
        <v>5674</v>
      </c>
      <c r="B521" t="s">
        <v>6253</v>
      </c>
      <c r="C521">
        <v>1</v>
      </c>
      <c r="D521" t="s">
        <v>5556</v>
      </c>
      <c r="E521">
        <v>0.25</v>
      </c>
      <c r="F521">
        <v>0.51300000000000001</v>
      </c>
      <c r="H521" t="s">
        <v>4506</v>
      </c>
      <c r="I521" t="s">
        <v>6210</v>
      </c>
    </row>
    <row r="522" spans="1:9">
      <c r="A522" t="s">
        <v>5909</v>
      </c>
      <c r="B522" t="s">
        <v>6254</v>
      </c>
      <c r="C522">
        <v>1</v>
      </c>
      <c r="D522" t="s">
        <v>5556</v>
      </c>
      <c r="E522">
        <v>1</v>
      </c>
      <c r="F522">
        <v>0.8</v>
      </c>
      <c r="H522" t="s">
        <v>4506</v>
      </c>
      <c r="I522" t="s">
        <v>6255</v>
      </c>
    </row>
    <row r="523" spans="1:9">
      <c r="A523" t="s">
        <v>5909</v>
      </c>
      <c r="B523" t="s">
        <v>6256</v>
      </c>
      <c r="C523">
        <v>1</v>
      </c>
      <c r="D523" t="s">
        <v>5556</v>
      </c>
      <c r="E523">
        <v>0.3</v>
      </c>
      <c r="F523">
        <v>1.32</v>
      </c>
      <c r="H523" t="s">
        <v>4506</v>
      </c>
      <c r="I523" t="s">
        <v>6255</v>
      </c>
    </row>
    <row r="524" spans="1:9">
      <c r="A524" t="s">
        <v>5909</v>
      </c>
      <c r="B524" t="s">
        <v>6257</v>
      </c>
      <c r="C524">
        <v>1</v>
      </c>
      <c r="D524" t="s">
        <v>5556</v>
      </c>
      <c r="E524">
        <v>0.06</v>
      </c>
      <c r="F524">
        <v>0.44</v>
      </c>
      <c r="H524" t="s">
        <v>4506</v>
      </c>
      <c r="I524" t="s">
        <v>6255</v>
      </c>
    </row>
    <row r="525" spans="1:9">
      <c r="A525" t="s">
        <v>5909</v>
      </c>
      <c r="B525" t="s">
        <v>6258</v>
      </c>
      <c r="C525">
        <v>1</v>
      </c>
      <c r="D525" t="s">
        <v>5556</v>
      </c>
      <c r="E525">
        <v>0.75</v>
      </c>
      <c r="F525">
        <v>0.98</v>
      </c>
      <c r="H525" t="s">
        <v>4506</v>
      </c>
      <c r="I525" t="s">
        <v>6255</v>
      </c>
    </row>
    <row r="526" spans="1:9">
      <c r="A526" t="s">
        <v>5909</v>
      </c>
      <c r="B526" t="s">
        <v>6259</v>
      </c>
      <c r="C526">
        <v>1</v>
      </c>
      <c r="D526" t="s">
        <v>5556</v>
      </c>
      <c r="E526">
        <v>1</v>
      </c>
      <c r="F526">
        <v>1.76</v>
      </c>
      <c r="H526" t="s">
        <v>4506</v>
      </c>
      <c r="I526" t="s">
        <v>6255</v>
      </c>
    </row>
    <row r="527" spans="1:9">
      <c r="A527" t="s">
        <v>5909</v>
      </c>
      <c r="B527" t="s">
        <v>6260</v>
      </c>
      <c r="C527">
        <v>1</v>
      </c>
      <c r="D527" t="s">
        <v>5556</v>
      </c>
      <c r="E527">
        <v>5</v>
      </c>
      <c r="F527">
        <v>66</v>
      </c>
      <c r="H527" t="s">
        <v>4506</v>
      </c>
      <c r="I527" t="s">
        <v>6255</v>
      </c>
    </row>
    <row r="528" spans="1:9">
      <c r="A528" t="s">
        <v>5909</v>
      </c>
      <c r="B528" t="s">
        <v>6261</v>
      </c>
      <c r="C528">
        <v>1</v>
      </c>
      <c r="D528" t="s">
        <v>5556</v>
      </c>
      <c r="E528">
        <v>0.1</v>
      </c>
      <c r="F528">
        <v>0.45</v>
      </c>
      <c r="H528" t="s">
        <v>4506</v>
      </c>
      <c r="I528" t="s">
        <v>6255</v>
      </c>
    </row>
    <row r="529" spans="1:9">
      <c r="A529" t="s">
        <v>5909</v>
      </c>
      <c r="B529" t="s">
        <v>6262</v>
      </c>
      <c r="C529">
        <v>1</v>
      </c>
      <c r="D529" t="s">
        <v>5556</v>
      </c>
      <c r="E529">
        <v>0.1</v>
      </c>
      <c r="F529">
        <v>2.1999999999999999E-2</v>
      </c>
      <c r="H529" t="s">
        <v>4506</v>
      </c>
      <c r="I529" t="s">
        <v>6255</v>
      </c>
    </row>
    <row r="530" spans="1:9">
      <c r="A530" t="s">
        <v>5909</v>
      </c>
      <c r="B530" t="s">
        <v>6263</v>
      </c>
      <c r="C530">
        <v>1</v>
      </c>
      <c r="D530" t="s">
        <v>5556</v>
      </c>
      <c r="E530">
        <v>0.3</v>
      </c>
      <c r="F530">
        <v>1.76</v>
      </c>
      <c r="H530" t="s">
        <v>4506</v>
      </c>
      <c r="I530" t="s">
        <v>6255</v>
      </c>
    </row>
    <row r="531" spans="1:9">
      <c r="A531" t="s">
        <v>5947</v>
      </c>
      <c r="B531" t="s">
        <v>6264</v>
      </c>
      <c r="C531">
        <v>1</v>
      </c>
      <c r="D531" t="s">
        <v>5556</v>
      </c>
      <c r="E531">
        <v>0.5</v>
      </c>
      <c r="F531">
        <v>2.5</v>
      </c>
      <c r="H531" t="s">
        <v>4506</v>
      </c>
      <c r="I531" t="s">
        <v>6255</v>
      </c>
    </row>
    <row r="532" spans="1:9">
      <c r="A532" t="s">
        <v>5947</v>
      </c>
      <c r="B532" t="s">
        <v>6265</v>
      </c>
      <c r="C532">
        <v>1</v>
      </c>
      <c r="D532" t="s">
        <v>5556</v>
      </c>
      <c r="E532">
        <v>0.5</v>
      </c>
      <c r="F532">
        <v>41</v>
      </c>
      <c r="H532" t="s">
        <v>4506</v>
      </c>
      <c r="I532" t="s">
        <v>6255</v>
      </c>
    </row>
    <row r="533" spans="1:9">
      <c r="A533" t="s">
        <v>5947</v>
      </c>
      <c r="B533" t="s">
        <v>6266</v>
      </c>
      <c r="C533">
        <v>1</v>
      </c>
      <c r="D533" t="s">
        <v>5556</v>
      </c>
      <c r="E533">
        <v>0.15</v>
      </c>
      <c r="F533">
        <v>0.2</v>
      </c>
      <c r="H533" t="s">
        <v>4506</v>
      </c>
      <c r="I533" t="s">
        <v>6255</v>
      </c>
    </row>
    <row r="534" spans="1:9">
      <c r="A534" t="s">
        <v>5947</v>
      </c>
      <c r="B534" t="s">
        <v>6267</v>
      </c>
      <c r="C534">
        <v>1</v>
      </c>
      <c r="D534" t="s">
        <v>5556</v>
      </c>
      <c r="E534">
        <v>0.15</v>
      </c>
      <c r="F534">
        <v>2.5</v>
      </c>
      <c r="H534" t="s">
        <v>4506</v>
      </c>
      <c r="I534" t="s">
        <v>6255</v>
      </c>
    </row>
    <row r="535" spans="1:9">
      <c r="A535" t="s">
        <v>5652</v>
      </c>
      <c r="B535" t="s">
        <v>6268</v>
      </c>
      <c r="C535">
        <v>1</v>
      </c>
      <c r="D535" t="s">
        <v>5556</v>
      </c>
      <c r="E535">
        <v>6</v>
      </c>
      <c r="F535">
        <v>17.600000000000001</v>
      </c>
      <c r="H535" t="s">
        <v>4506</v>
      </c>
      <c r="I535" t="s">
        <v>6255</v>
      </c>
    </row>
    <row r="536" spans="1:9">
      <c r="A536" t="s">
        <v>5652</v>
      </c>
      <c r="B536" t="s">
        <v>6269</v>
      </c>
      <c r="C536">
        <v>1</v>
      </c>
      <c r="D536" t="s">
        <v>5556</v>
      </c>
      <c r="E536">
        <v>15</v>
      </c>
      <c r="F536">
        <v>35.200000000000003</v>
      </c>
      <c r="H536" t="s">
        <v>4506</v>
      </c>
      <c r="I536" t="s">
        <v>6255</v>
      </c>
    </row>
    <row r="537" spans="1:9">
      <c r="A537" t="s">
        <v>5652</v>
      </c>
      <c r="B537" t="s">
        <v>6270</v>
      </c>
      <c r="C537">
        <v>1</v>
      </c>
      <c r="D537" t="s">
        <v>5556</v>
      </c>
      <c r="E537">
        <v>20</v>
      </c>
      <c r="F537">
        <v>52.8</v>
      </c>
      <c r="H537" t="s">
        <v>4506</v>
      </c>
      <c r="I537" t="s">
        <v>6255</v>
      </c>
    </row>
    <row r="538" spans="1:9">
      <c r="A538" t="s">
        <v>5652</v>
      </c>
      <c r="B538" t="s">
        <v>6271</v>
      </c>
      <c r="C538">
        <v>1</v>
      </c>
      <c r="D538" t="s">
        <v>5556</v>
      </c>
      <c r="E538">
        <v>25</v>
      </c>
      <c r="F538">
        <v>22</v>
      </c>
      <c r="H538" t="s">
        <v>4506</v>
      </c>
      <c r="I538" t="s">
        <v>6255</v>
      </c>
    </row>
    <row r="539" spans="1:9">
      <c r="A539" t="s">
        <v>5652</v>
      </c>
      <c r="B539" t="s">
        <v>6272</v>
      </c>
      <c r="C539">
        <v>1</v>
      </c>
      <c r="D539" t="s">
        <v>5556</v>
      </c>
      <c r="E539">
        <v>11.3</v>
      </c>
      <c r="F539">
        <v>25.8</v>
      </c>
      <c r="H539" t="s">
        <v>4506</v>
      </c>
      <c r="I539" t="s">
        <v>6255</v>
      </c>
    </row>
    <row r="540" spans="1:9">
      <c r="A540" t="s">
        <v>5652</v>
      </c>
      <c r="B540" t="s">
        <v>6260</v>
      </c>
      <c r="C540">
        <v>1</v>
      </c>
      <c r="D540" t="s">
        <v>5556</v>
      </c>
      <c r="E540">
        <v>5</v>
      </c>
      <c r="F540">
        <v>13.2</v>
      </c>
      <c r="H540" t="s">
        <v>4506</v>
      </c>
      <c r="I540" t="s">
        <v>6255</v>
      </c>
    </row>
    <row r="541" spans="1:9">
      <c r="A541" t="s">
        <v>5652</v>
      </c>
      <c r="B541" t="s">
        <v>6273</v>
      </c>
      <c r="C541">
        <v>1</v>
      </c>
      <c r="D541" t="s">
        <v>5556</v>
      </c>
      <c r="E541">
        <v>14.5</v>
      </c>
      <c r="F541">
        <v>440</v>
      </c>
      <c r="H541" t="s">
        <v>4506</v>
      </c>
      <c r="I541" t="s">
        <v>6255</v>
      </c>
    </row>
    <row r="542" spans="1:9">
      <c r="A542" t="s">
        <v>5652</v>
      </c>
      <c r="B542" t="s">
        <v>6274</v>
      </c>
      <c r="C542">
        <v>1</v>
      </c>
      <c r="D542" t="s">
        <v>5556</v>
      </c>
      <c r="E542">
        <v>6</v>
      </c>
      <c r="F542">
        <v>39.6</v>
      </c>
      <c r="H542" t="s">
        <v>4506</v>
      </c>
      <c r="I542" t="s">
        <v>6255</v>
      </c>
    </row>
    <row r="543" spans="1:9">
      <c r="A543" t="s">
        <v>5652</v>
      </c>
      <c r="B543" t="s">
        <v>6275</v>
      </c>
      <c r="C543">
        <v>1</v>
      </c>
      <c r="D543" t="s">
        <v>5893</v>
      </c>
      <c r="E543">
        <v>2</v>
      </c>
      <c r="F543">
        <v>4.7</v>
      </c>
      <c r="H543" t="s">
        <v>4506</v>
      </c>
      <c r="I543" t="s">
        <v>6255</v>
      </c>
    </row>
    <row r="544" spans="1:9">
      <c r="A544" t="s">
        <v>5674</v>
      </c>
      <c r="B544" t="s">
        <v>6276</v>
      </c>
      <c r="C544">
        <v>1</v>
      </c>
      <c r="D544" t="s">
        <v>5556</v>
      </c>
      <c r="E544">
        <v>32.5</v>
      </c>
      <c r="F544">
        <v>110</v>
      </c>
      <c r="H544" t="s">
        <v>4506</v>
      </c>
      <c r="I544" t="s">
        <v>6255</v>
      </c>
    </row>
    <row r="545" spans="1:9">
      <c r="A545" t="s">
        <v>5674</v>
      </c>
      <c r="B545" t="s">
        <v>6277</v>
      </c>
      <c r="C545">
        <v>1</v>
      </c>
      <c r="D545" t="s">
        <v>5556</v>
      </c>
      <c r="E545">
        <v>18.8</v>
      </c>
      <c r="F545">
        <v>28</v>
      </c>
      <c r="H545" t="s">
        <v>4506</v>
      </c>
      <c r="I545" t="s">
        <v>6255</v>
      </c>
    </row>
    <row r="546" spans="1:9">
      <c r="A546" t="s">
        <v>5674</v>
      </c>
      <c r="B546" t="s">
        <v>6278</v>
      </c>
      <c r="C546">
        <v>1</v>
      </c>
      <c r="D546" t="s">
        <v>5556</v>
      </c>
      <c r="E546">
        <v>30</v>
      </c>
      <c r="F546">
        <v>36</v>
      </c>
      <c r="H546" t="s">
        <v>4506</v>
      </c>
      <c r="I546" t="s">
        <v>6255</v>
      </c>
    </row>
    <row r="547" spans="1:9">
      <c r="A547" t="s">
        <v>5674</v>
      </c>
      <c r="B547" t="s">
        <v>6279</v>
      </c>
      <c r="C547">
        <v>1</v>
      </c>
      <c r="D547" t="s">
        <v>5556</v>
      </c>
      <c r="E547">
        <v>15</v>
      </c>
      <c r="F547">
        <v>22</v>
      </c>
      <c r="H547" t="s">
        <v>4506</v>
      </c>
      <c r="I547" t="s">
        <v>6255</v>
      </c>
    </row>
    <row r="548" spans="1:9">
      <c r="A548" t="s">
        <v>5674</v>
      </c>
      <c r="B548" t="s">
        <v>6280</v>
      </c>
      <c r="C548">
        <v>1</v>
      </c>
      <c r="D548" t="s">
        <v>5893</v>
      </c>
      <c r="E548">
        <v>5</v>
      </c>
      <c r="F548">
        <v>9.1</v>
      </c>
      <c r="G548" t="s">
        <v>6281</v>
      </c>
      <c r="H548" t="s">
        <v>4506</v>
      </c>
      <c r="I548" t="s">
        <v>6255</v>
      </c>
    </row>
    <row r="549" spans="1:9">
      <c r="A549" t="s">
        <v>5674</v>
      </c>
      <c r="B549" t="s">
        <v>6282</v>
      </c>
      <c r="C549">
        <v>1</v>
      </c>
      <c r="D549" t="s">
        <v>5893</v>
      </c>
      <c r="E549">
        <v>20</v>
      </c>
      <c r="F549">
        <v>4.5</v>
      </c>
      <c r="G549" t="s">
        <v>6283</v>
      </c>
      <c r="H549" t="s">
        <v>4506</v>
      </c>
      <c r="I549" t="s">
        <v>6255</v>
      </c>
    </row>
    <row r="550" spans="1:9">
      <c r="A550" t="s">
        <v>5674</v>
      </c>
      <c r="B550" t="s">
        <v>6284</v>
      </c>
      <c r="C550">
        <v>1</v>
      </c>
      <c r="D550" t="s">
        <v>5893</v>
      </c>
      <c r="E550">
        <v>1.5</v>
      </c>
      <c r="F550">
        <v>8.8000000000000007</v>
      </c>
      <c r="H550" t="s">
        <v>4506</v>
      </c>
      <c r="I550" t="s">
        <v>6255</v>
      </c>
    </row>
    <row r="551" spans="1:9">
      <c r="A551" t="s">
        <v>5947</v>
      </c>
      <c r="B551" t="s">
        <v>6285</v>
      </c>
      <c r="C551">
        <v>1</v>
      </c>
      <c r="D551" t="s">
        <v>5556</v>
      </c>
      <c r="E551">
        <v>0.75</v>
      </c>
      <c r="F551">
        <v>0.15</v>
      </c>
      <c r="H551" t="s">
        <v>4506</v>
      </c>
      <c r="I551" t="s">
        <v>6286</v>
      </c>
    </row>
    <row r="552" spans="1:9">
      <c r="A552" t="s">
        <v>5947</v>
      </c>
      <c r="B552" t="s">
        <v>6287</v>
      </c>
      <c r="C552">
        <v>1</v>
      </c>
      <c r="D552" t="s">
        <v>5556</v>
      </c>
      <c r="E552">
        <v>0.75</v>
      </c>
      <c r="F552">
        <v>1</v>
      </c>
      <c r="H552" t="s">
        <v>4506</v>
      </c>
      <c r="I552" t="s">
        <v>6286</v>
      </c>
    </row>
    <row r="553" spans="1:9">
      <c r="A553" t="s">
        <v>5947</v>
      </c>
      <c r="B553" t="s">
        <v>6288</v>
      </c>
      <c r="C553">
        <v>1</v>
      </c>
      <c r="D553" t="s">
        <v>5893</v>
      </c>
      <c r="E553">
        <v>1</v>
      </c>
      <c r="F553">
        <v>1</v>
      </c>
      <c r="H553" t="s">
        <v>4506</v>
      </c>
      <c r="I553" t="s">
        <v>6286</v>
      </c>
    </row>
    <row r="554" spans="1:9">
      <c r="A554" t="s">
        <v>5947</v>
      </c>
      <c r="B554" t="s">
        <v>6289</v>
      </c>
      <c r="C554">
        <v>1</v>
      </c>
      <c r="D554" t="s">
        <v>5893</v>
      </c>
      <c r="E554">
        <v>1</v>
      </c>
      <c r="F554">
        <v>50</v>
      </c>
      <c r="H554" t="s">
        <v>4506</v>
      </c>
      <c r="I554" t="s">
        <v>6286</v>
      </c>
    </row>
    <row r="555" spans="1:9">
      <c r="A555" t="s">
        <v>5947</v>
      </c>
      <c r="B555" t="s">
        <v>6290</v>
      </c>
      <c r="C555">
        <v>1</v>
      </c>
      <c r="D555" t="s">
        <v>5893</v>
      </c>
      <c r="E555">
        <v>1</v>
      </c>
      <c r="F555">
        <v>1.6</v>
      </c>
      <c r="H555" t="s">
        <v>4506</v>
      </c>
      <c r="I555" t="s">
        <v>6286</v>
      </c>
    </row>
    <row r="556" spans="1:9">
      <c r="A556" t="s">
        <v>5947</v>
      </c>
      <c r="B556" t="s">
        <v>6291</v>
      </c>
      <c r="C556">
        <v>1</v>
      </c>
      <c r="D556" t="s">
        <v>5893</v>
      </c>
      <c r="E556">
        <v>1</v>
      </c>
      <c r="F556">
        <v>10</v>
      </c>
      <c r="H556" t="s">
        <v>4506</v>
      </c>
      <c r="I556" t="s">
        <v>6286</v>
      </c>
    </row>
    <row r="557" spans="1:9">
      <c r="A557" t="s">
        <v>5947</v>
      </c>
      <c r="B557" t="s">
        <v>6292</v>
      </c>
      <c r="C557">
        <v>1</v>
      </c>
      <c r="D557" t="s">
        <v>5556</v>
      </c>
      <c r="E557">
        <v>1.8</v>
      </c>
      <c r="F557">
        <v>3.9</v>
      </c>
      <c r="H557" t="s">
        <v>4506</v>
      </c>
      <c r="I557" t="s">
        <v>6286</v>
      </c>
    </row>
    <row r="558" spans="1:9">
      <c r="A558" t="s">
        <v>5947</v>
      </c>
      <c r="B558" t="s">
        <v>6293</v>
      </c>
      <c r="C558">
        <v>1</v>
      </c>
      <c r="D558" t="s">
        <v>5556</v>
      </c>
      <c r="E558">
        <v>1.8</v>
      </c>
      <c r="F558">
        <v>12</v>
      </c>
      <c r="H558" t="s">
        <v>4506</v>
      </c>
      <c r="I558" t="s">
        <v>6286</v>
      </c>
    </row>
    <row r="559" spans="1:9">
      <c r="A559" t="s">
        <v>5947</v>
      </c>
      <c r="B559" t="s">
        <v>6294</v>
      </c>
      <c r="C559">
        <v>1</v>
      </c>
      <c r="D559" t="s">
        <v>5556</v>
      </c>
      <c r="E559">
        <v>2.5</v>
      </c>
      <c r="F559">
        <v>7</v>
      </c>
      <c r="H559" t="s">
        <v>4506</v>
      </c>
      <c r="I559" t="s">
        <v>6286</v>
      </c>
    </row>
    <row r="560" spans="1:9">
      <c r="A560" t="s">
        <v>5947</v>
      </c>
      <c r="B560" t="s">
        <v>6295</v>
      </c>
      <c r="C560">
        <v>1</v>
      </c>
      <c r="D560" t="s">
        <v>5556</v>
      </c>
      <c r="E560">
        <v>2.5</v>
      </c>
      <c r="F560">
        <v>25</v>
      </c>
      <c r="H560" t="s">
        <v>4506</v>
      </c>
      <c r="I560" t="s">
        <v>6286</v>
      </c>
    </row>
    <row r="561" spans="1:9">
      <c r="A561" t="s">
        <v>5947</v>
      </c>
      <c r="B561" t="s">
        <v>6296</v>
      </c>
      <c r="C561">
        <v>1</v>
      </c>
      <c r="D561" t="s">
        <v>5556</v>
      </c>
      <c r="E561">
        <v>2.5</v>
      </c>
      <c r="F561">
        <v>12</v>
      </c>
      <c r="H561" t="s">
        <v>4506</v>
      </c>
      <c r="I561" t="s">
        <v>6286</v>
      </c>
    </row>
    <row r="562" spans="1:9">
      <c r="A562" t="s">
        <v>5947</v>
      </c>
      <c r="B562" t="s">
        <v>6297</v>
      </c>
      <c r="C562">
        <v>1</v>
      </c>
      <c r="D562" t="s">
        <v>5556</v>
      </c>
      <c r="E562">
        <v>2.5</v>
      </c>
      <c r="F562">
        <v>28</v>
      </c>
      <c r="H562" t="s">
        <v>4506</v>
      </c>
      <c r="I562" t="s">
        <v>6286</v>
      </c>
    </row>
    <row r="563" spans="1:9">
      <c r="A563" t="s">
        <v>5786</v>
      </c>
      <c r="B563" t="s">
        <v>6298</v>
      </c>
      <c r="C563">
        <v>1</v>
      </c>
      <c r="D563" t="s">
        <v>5556</v>
      </c>
      <c r="E563">
        <v>1</v>
      </c>
      <c r="F563">
        <v>2.5</v>
      </c>
      <c r="H563" t="s">
        <v>4506</v>
      </c>
      <c r="I563" t="s">
        <v>5786</v>
      </c>
    </row>
    <row r="564" spans="1:9">
      <c r="A564" t="s">
        <v>5786</v>
      </c>
      <c r="B564" t="s">
        <v>6299</v>
      </c>
      <c r="C564">
        <v>1</v>
      </c>
      <c r="D564" t="s">
        <v>5556</v>
      </c>
      <c r="E564">
        <v>0.5</v>
      </c>
      <c r="F564">
        <v>5</v>
      </c>
      <c r="H564" t="s">
        <v>4506</v>
      </c>
      <c r="I564" t="s">
        <v>5786</v>
      </c>
    </row>
    <row r="565" spans="1:9">
      <c r="A565" t="s">
        <v>5786</v>
      </c>
      <c r="B565" t="s">
        <v>6300</v>
      </c>
      <c r="C565">
        <v>1</v>
      </c>
      <c r="D565" t="s">
        <v>5556</v>
      </c>
      <c r="E565">
        <v>0.4</v>
      </c>
      <c r="F565">
        <v>2.2000000000000002</v>
      </c>
      <c r="H565" t="s">
        <v>4506</v>
      </c>
      <c r="I565" t="s">
        <v>5786</v>
      </c>
    </row>
    <row r="566" spans="1:9">
      <c r="A566" t="s">
        <v>5786</v>
      </c>
      <c r="B566" t="s">
        <v>6301</v>
      </c>
      <c r="C566">
        <v>1</v>
      </c>
      <c r="D566" t="s">
        <v>5556</v>
      </c>
      <c r="E566">
        <v>0.5</v>
      </c>
      <c r="F566">
        <v>4.4000000000000004</v>
      </c>
      <c r="H566" t="s">
        <v>4506</v>
      </c>
      <c r="I566" t="s">
        <v>5786</v>
      </c>
    </row>
    <row r="567" spans="1:9">
      <c r="A567" t="s">
        <v>5786</v>
      </c>
      <c r="B567" t="s">
        <v>6302</v>
      </c>
      <c r="C567">
        <v>1</v>
      </c>
      <c r="D567" t="s">
        <v>5556</v>
      </c>
      <c r="E567">
        <v>0.5</v>
      </c>
      <c r="F567">
        <v>5</v>
      </c>
      <c r="H567" t="s">
        <v>4506</v>
      </c>
      <c r="I567" t="s">
        <v>5786</v>
      </c>
    </row>
    <row r="568" spans="1:9">
      <c r="A568" t="s">
        <v>5786</v>
      </c>
      <c r="B568" t="s">
        <v>6303</v>
      </c>
      <c r="C568">
        <v>1</v>
      </c>
      <c r="D568" t="s">
        <v>5556</v>
      </c>
      <c r="E568">
        <v>1</v>
      </c>
      <c r="F568">
        <v>6.6</v>
      </c>
      <c r="H568" t="s">
        <v>4506</v>
      </c>
      <c r="I568" t="s">
        <v>5786</v>
      </c>
    </row>
    <row r="569" spans="1:9">
      <c r="A569" t="s">
        <v>5786</v>
      </c>
      <c r="B569" t="s">
        <v>6304</v>
      </c>
      <c r="C569">
        <v>1</v>
      </c>
      <c r="D569" t="s">
        <v>5556</v>
      </c>
      <c r="E569">
        <v>2</v>
      </c>
      <c r="F569">
        <v>17.600000000000001</v>
      </c>
      <c r="H569" t="s">
        <v>4506</v>
      </c>
      <c r="I569" t="s">
        <v>5786</v>
      </c>
    </row>
    <row r="570" spans="1:9">
      <c r="A570" t="s">
        <v>5786</v>
      </c>
      <c r="B570" t="s">
        <v>6305</v>
      </c>
      <c r="C570">
        <v>1</v>
      </c>
      <c r="D570" t="s">
        <v>5556</v>
      </c>
      <c r="E570">
        <v>0.5</v>
      </c>
      <c r="F570">
        <v>5</v>
      </c>
      <c r="H570" t="s">
        <v>4506</v>
      </c>
      <c r="I570" t="s">
        <v>5786</v>
      </c>
    </row>
    <row r="571" spans="1:9">
      <c r="A571" t="s">
        <v>5786</v>
      </c>
      <c r="B571" t="s">
        <v>6306</v>
      </c>
      <c r="C571">
        <v>1</v>
      </c>
      <c r="D571" t="s">
        <v>5556</v>
      </c>
      <c r="E571">
        <v>0.75</v>
      </c>
      <c r="F571">
        <v>6.6</v>
      </c>
      <c r="H571" t="s">
        <v>4506</v>
      </c>
      <c r="I571" t="s">
        <v>5786</v>
      </c>
    </row>
    <row r="572" spans="1:9">
      <c r="A572" t="s">
        <v>5786</v>
      </c>
      <c r="B572" t="s">
        <v>6307</v>
      </c>
      <c r="C572">
        <v>1</v>
      </c>
      <c r="D572" t="s">
        <v>5556</v>
      </c>
      <c r="E572">
        <v>0.9</v>
      </c>
      <c r="F572">
        <v>7.92</v>
      </c>
      <c r="H572" t="s">
        <v>4506</v>
      </c>
      <c r="I572" t="s">
        <v>5786</v>
      </c>
    </row>
    <row r="573" spans="1:9">
      <c r="A573" t="s">
        <v>5786</v>
      </c>
      <c r="B573" t="s">
        <v>6308</v>
      </c>
      <c r="C573">
        <v>1</v>
      </c>
      <c r="D573" t="s">
        <v>5556</v>
      </c>
      <c r="E573">
        <v>0.3</v>
      </c>
      <c r="F573">
        <v>2</v>
      </c>
      <c r="H573" t="s">
        <v>4506</v>
      </c>
      <c r="I573" t="s">
        <v>5786</v>
      </c>
    </row>
    <row r="574" spans="1:9">
      <c r="A574" t="s">
        <v>5786</v>
      </c>
      <c r="B574" t="s">
        <v>6309</v>
      </c>
      <c r="C574">
        <v>1</v>
      </c>
      <c r="D574" t="s">
        <v>5556</v>
      </c>
      <c r="E574">
        <v>0.3</v>
      </c>
      <c r="F574">
        <v>3</v>
      </c>
      <c r="H574" t="s">
        <v>4506</v>
      </c>
      <c r="I574" t="s">
        <v>5786</v>
      </c>
    </row>
    <row r="575" spans="1:9">
      <c r="A575" t="s">
        <v>5786</v>
      </c>
      <c r="B575" t="s">
        <v>6310</v>
      </c>
      <c r="C575">
        <v>1</v>
      </c>
      <c r="D575" t="s">
        <v>5556</v>
      </c>
      <c r="E575">
        <v>0.2</v>
      </c>
      <c r="F575">
        <v>1.2</v>
      </c>
      <c r="H575" t="s">
        <v>4506</v>
      </c>
      <c r="I575" t="s">
        <v>5786</v>
      </c>
    </row>
    <row r="576" spans="1:9">
      <c r="A576" t="s">
        <v>5786</v>
      </c>
      <c r="B576" t="s">
        <v>6311</v>
      </c>
      <c r="C576">
        <v>1</v>
      </c>
      <c r="D576" t="s">
        <v>5556</v>
      </c>
      <c r="E576">
        <v>0.25</v>
      </c>
      <c r="F576">
        <v>3.52</v>
      </c>
      <c r="H576" t="s">
        <v>4506</v>
      </c>
      <c r="I576" t="s">
        <v>5786</v>
      </c>
    </row>
    <row r="577" spans="1:9">
      <c r="A577" t="s">
        <v>5786</v>
      </c>
      <c r="B577" t="s">
        <v>6312</v>
      </c>
      <c r="C577">
        <v>1</v>
      </c>
      <c r="D577" t="s">
        <v>5556</v>
      </c>
      <c r="E577">
        <v>1.5</v>
      </c>
      <c r="F577">
        <v>6.6</v>
      </c>
      <c r="H577" t="s">
        <v>4506</v>
      </c>
      <c r="I577" t="s">
        <v>5786</v>
      </c>
    </row>
    <row r="578" spans="1:9">
      <c r="A578" t="s">
        <v>6313</v>
      </c>
      <c r="B578" t="s">
        <v>6314</v>
      </c>
      <c r="C578">
        <v>1</v>
      </c>
      <c r="D578" t="s">
        <v>5556</v>
      </c>
      <c r="E578" t="s">
        <v>5557</v>
      </c>
      <c r="F578">
        <v>450000</v>
      </c>
      <c r="H578" t="s">
        <v>4640</v>
      </c>
      <c r="I578" t="s">
        <v>6315</v>
      </c>
    </row>
    <row r="579" spans="1:9">
      <c r="A579" t="s">
        <v>6313</v>
      </c>
      <c r="B579" t="s">
        <v>6316</v>
      </c>
      <c r="C579">
        <v>1</v>
      </c>
      <c r="D579" t="s">
        <v>5556</v>
      </c>
      <c r="E579" t="s">
        <v>5557</v>
      </c>
      <c r="F579">
        <v>2000000</v>
      </c>
      <c r="H579" t="s">
        <v>4640</v>
      </c>
      <c r="I579" t="s">
        <v>6315</v>
      </c>
    </row>
    <row r="580" spans="1:9">
      <c r="A580" t="s">
        <v>6313</v>
      </c>
      <c r="B580" t="s">
        <v>6317</v>
      </c>
      <c r="C580">
        <v>1</v>
      </c>
      <c r="D580" t="s">
        <v>5556</v>
      </c>
      <c r="E580" t="s">
        <v>5557</v>
      </c>
      <c r="F580">
        <v>1600000</v>
      </c>
      <c r="H580" t="s">
        <v>4640</v>
      </c>
      <c r="I580" t="s">
        <v>6318</v>
      </c>
    </row>
    <row r="581" spans="1:9">
      <c r="A581" t="s">
        <v>6313</v>
      </c>
      <c r="B581" t="s">
        <v>6319</v>
      </c>
      <c r="C581">
        <v>1</v>
      </c>
      <c r="D581" t="s">
        <v>5556</v>
      </c>
      <c r="E581" t="s">
        <v>5557</v>
      </c>
      <c r="F581">
        <v>400000</v>
      </c>
      <c r="H581" t="s">
        <v>4640</v>
      </c>
      <c r="I581" t="s">
        <v>6318</v>
      </c>
    </row>
    <row r="582" spans="1:9">
      <c r="A582" t="s">
        <v>6313</v>
      </c>
      <c r="B582" t="s">
        <v>6320</v>
      </c>
      <c r="C582">
        <v>1</v>
      </c>
      <c r="D582" t="s">
        <v>5556</v>
      </c>
      <c r="E582" t="s">
        <v>5557</v>
      </c>
      <c r="F582">
        <v>800000</v>
      </c>
      <c r="H582" t="s">
        <v>4640</v>
      </c>
      <c r="I582" t="s">
        <v>6318</v>
      </c>
    </row>
    <row r="583" spans="1:9">
      <c r="A583" t="s">
        <v>5658</v>
      </c>
      <c r="B583" t="s">
        <v>6321</v>
      </c>
      <c r="C583">
        <v>1</v>
      </c>
      <c r="D583" t="s">
        <v>5556</v>
      </c>
      <c r="E583">
        <v>6</v>
      </c>
      <c r="F583">
        <v>120</v>
      </c>
      <c r="H583" t="s">
        <v>4608</v>
      </c>
      <c r="I583" t="s">
        <v>6322</v>
      </c>
    </row>
    <row r="584" spans="1:9">
      <c r="A584" t="s">
        <v>5658</v>
      </c>
      <c r="B584" t="s">
        <v>6323</v>
      </c>
      <c r="C584">
        <v>1</v>
      </c>
      <c r="D584" t="s">
        <v>5556</v>
      </c>
      <c r="E584">
        <v>10</v>
      </c>
      <c r="F584">
        <v>22</v>
      </c>
      <c r="H584" t="s">
        <v>4608</v>
      </c>
      <c r="I584" t="s">
        <v>6322</v>
      </c>
    </row>
    <row r="585" spans="1:9">
      <c r="A585" t="s">
        <v>5658</v>
      </c>
      <c r="B585" t="s">
        <v>6324</v>
      </c>
      <c r="C585">
        <v>1</v>
      </c>
      <c r="D585" t="s">
        <v>5556</v>
      </c>
      <c r="E585">
        <v>5</v>
      </c>
      <c r="F585">
        <v>8.75</v>
      </c>
      <c r="H585" t="s">
        <v>4608</v>
      </c>
      <c r="I585" t="s">
        <v>6322</v>
      </c>
    </row>
    <row r="586" spans="1:9">
      <c r="A586" t="s">
        <v>5639</v>
      </c>
      <c r="B586" t="s">
        <v>6325</v>
      </c>
      <c r="C586">
        <v>1</v>
      </c>
      <c r="D586" t="s">
        <v>5556</v>
      </c>
      <c r="E586">
        <v>3</v>
      </c>
      <c r="F586">
        <v>8800</v>
      </c>
      <c r="H586" t="s">
        <v>4608</v>
      </c>
      <c r="I586" t="s">
        <v>6326</v>
      </c>
    </row>
    <row r="587" spans="1:9">
      <c r="A587" t="s">
        <v>5639</v>
      </c>
      <c r="B587" t="s">
        <v>6327</v>
      </c>
      <c r="C587">
        <v>1</v>
      </c>
      <c r="D587" t="s">
        <v>5556</v>
      </c>
      <c r="E587">
        <v>4</v>
      </c>
      <c r="F587">
        <v>26400</v>
      </c>
      <c r="H587" t="s">
        <v>4608</v>
      </c>
      <c r="I587" t="s">
        <v>6326</v>
      </c>
    </row>
    <row r="588" spans="1:9">
      <c r="A588" t="s">
        <v>6128</v>
      </c>
      <c r="B588" t="s">
        <v>6328</v>
      </c>
      <c r="C588">
        <v>1</v>
      </c>
      <c r="D588" t="s">
        <v>5556</v>
      </c>
      <c r="E588">
        <v>0.2</v>
      </c>
      <c r="F588">
        <v>35</v>
      </c>
      <c r="H588" t="s">
        <v>4608</v>
      </c>
      <c r="I588" t="s">
        <v>6329</v>
      </c>
    </row>
    <row r="589" spans="1:9">
      <c r="A589" t="s">
        <v>5654</v>
      </c>
      <c r="B589" t="s">
        <v>6330</v>
      </c>
      <c r="C589">
        <v>1</v>
      </c>
      <c r="D589" t="s">
        <v>5556</v>
      </c>
      <c r="E589">
        <v>0.5</v>
      </c>
      <c r="F589">
        <v>2500</v>
      </c>
      <c r="H589" t="s">
        <v>4608</v>
      </c>
      <c r="I589" t="s">
        <v>6329</v>
      </c>
    </row>
    <row r="590" spans="1:9">
      <c r="A590" t="s">
        <v>5674</v>
      </c>
      <c r="B590" t="s">
        <v>6331</v>
      </c>
      <c r="C590">
        <v>1</v>
      </c>
      <c r="D590" t="s">
        <v>5700</v>
      </c>
      <c r="E590" t="s">
        <v>5557</v>
      </c>
      <c r="F590">
        <v>30</v>
      </c>
      <c r="H590" t="s">
        <v>5126</v>
      </c>
      <c r="I590" t="s">
        <v>6332</v>
      </c>
    </row>
    <row r="591" spans="1:9">
      <c r="A591" t="s">
        <v>4401</v>
      </c>
      <c r="B591" t="s">
        <v>6333</v>
      </c>
      <c r="C591">
        <v>1</v>
      </c>
      <c r="D591" t="s">
        <v>5738</v>
      </c>
      <c r="E591">
        <v>1</v>
      </c>
      <c r="F591">
        <v>1000</v>
      </c>
      <c r="H591" t="s">
        <v>4451</v>
      </c>
      <c r="I591" t="s">
        <v>6334</v>
      </c>
    </row>
    <row r="592" spans="1:9">
      <c r="A592" t="s">
        <v>4401</v>
      </c>
      <c r="B592" t="s">
        <v>6335</v>
      </c>
      <c r="C592">
        <v>1</v>
      </c>
      <c r="D592" t="s">
        <v>5738</v>
      </c>
      <c r="E592">
        <v>1</v>
      </c>
      <c r="F592">
        <v>22</v>
      </c>
      <c r="H592" t="s">
        <v>4451</v>
      </c>
      <c r="I592" t="s">
        <v>6334</v>
      </c>
    </row>
    <row r="593" spans="1:9">
      <c r="A593" t="s">
        <v>4401</v>
      </c>
      <c r="B593" t="s">
        <v>6336</v>
      </c>
      <c r="C593">
        <v>1</v>
      </c>
      <c r="D593" t="s">
        <v>5637</v>
      </c>
      <c r="E593">
        <v>1</v>
      </c>
      <c r="F593">
        <v>27</v>
      </c>
      <c r="H593" t="s">
        <v>4451</v>
      </c>
      <c r="I593" t="s">
        <v>6334</v>
      </c>
    </row>
    <row r="594" spans="1:9">
      <c r="A594" t="s">
        <v>4401</v>
      </c>
      <c r="B594" t="s">
        <v>6337</v>
      </c>
      <c r="C594">
        <v>1</v>
      </c>
      <c r="D594" t="s">
        <v>5738</v>
      </c>
      <c r="E594">
        <v>1</v>
      </c>
      <c r="F594">
        <v>1250</v>
      </c>
      <c r="H594" t="s">
        <v>4451</v>
      </c>
      <c r="I594" t="s">
        <v>6334</v>
      </c>
    </row>
    <row r="595" spans="1:9">
      <c r="A595" t="s">
        <v>4401</v>
      </c>
      <c r="B595" t="s">
        <v>6338</v>
      </c>
      <c r="C595">
        <v>1</v>
      </c>
      <c r="D595" t="s">
        <v>5637</v>
      </c>
      <c r="E595">
        <v>1</v>
      </c>
      <c r="F595">
        <v>1500</v>
      </c>
      <c r="H595" t="s">
        <v>4451</v>
      </c>
      <c r="I595" t="s">
        <v>6334</v>
      </c>
    </row>
    <row r="596" spans="1:9">
      <c r="A596" t="s">
        <v>4401</v>
      </c>
      <c r="B596" t="s">
        <v>6339</v>
      </c>
      <c r="C596">
        <v>1</v>
      </c>
      <c r="D596" t="s">
        <v>5738</v>
      </c>
      <c r="E596">
        <v>1</v>
      </c>
      <c r="F596">
        <v>1500</v>
      </c>
      <c r="H596" t="s">
        <v>4451</v>
      </c>
      <c r="I596" t="s">
        <v>6334</v>
      </c>
    </row>
    <row r="597" spans="1:9">
      <c r="A597" t="s">
        <v>4401</v>
      </c>
      <c r="B597" t="s">
        <v>6340</v>
      </c>
      <c r="C597">
        <v>1</v>
      </c>
      <c r="D597" t="s">
        <v>5637</v>
      </c>
      <c r="E597">
        <v>1</v>
      </c>
      <c r="F597">
        <v>1800</v>
      </c>
      <c r="H597" t="s">
        <v>4451</v>
      </c>
      <c r="I597" t="s">
        <v>6334</v>
      </c>
    </row>
    <row r="598" spans="1:9">
      <c r="A598" t="s">
        <v>4401</v>
      </c>
      <c r="B598" t="s">
        <v>6341</v>
      </c>
      <c r="C598">
        <v>1</v>
      </c>
      <c r="D598" t="s">
        <v>5738</v>
      </c>
      <c r="E598">
        <v>1</v>
      </c>
      <c r="F598">
        <v>10000</v>
      </c>
      <c r="H598" t="s">
        <v>4451</v>
      </c>
      <c r="I598" t="s">
        <v>6334</v>
      </c>
    </row>
    <row r="599" spans="1:9">
      <c r="A599" t="s">
        <v>4401</v>
      </c>
      <c r="B599" t="s">
        <v>6342</v>
      </c>
      <c r="C599">
        <v>1</v>
      </c>
      <c r="D599" t="s">
        <v>5738</v>
      </c>
      <c r="E599">
        <v>1</v>
      </c>
      <c r="F599">
        <v>1500</v>
      </c>
      <c r="H599" t="s">
        <v>4451</v>
      </c>
      <c r="I599" t="s">
        <v>6334</v>
      </c>
    </row>
    <row r="600" spans="1:9">
      <c r="A600" t="s">
        <v>4401</v>
      </c>
      <c r="B600" t="s">
        <v>6343</v>
      </c>
      <c r="C600">
        <v>1</v>
      </c>
      <c r="D600" t="s">
        <v>5738</v>
      </c>
      <c r="E600">
        <v>1</v>
      </c>
      <c r="F600">
        <v>100</v>
      </c>
      <c r="H600" t="s">
        <v>4451</v>
      </c>
      <c r="I600" t="s">
        <v>6334</v>
      </c>
    </row>
    <row r="601" spans="1:9">
      <c r="A601" t="s">
        <v>4401</v>
      </c>
      <c r="B601" t="s">
        <v>6344</v>
      </c>
      <c r="C601">
        <v>1</v>
      </c>
      <c r="D601" t="s">
        <v>5637</v>
      </c>
      <c r="E601">
        <v>1</v>
      </c>
      <c r="F601">
        <v>120</v>
      </c>
      <c r="H601" t="s">
        <v>4451</v>
      </c>
      <c r="I601" t="s">
        <v>6334</v>
      </c>
    </row>
    <row r="602" spans="1:9">
      <c r="A602" t="s">
        <v>4401</v>
      </c>
      <c r="B602" t="s">
        <v>6345</v>
      </c>
      <c r="C602">
        <v>1</v>
      </c>
      <c r="D602" t="s">
        <v>5738</v>
      </c>
      <c r="E602">
        <v>1</v>
      </c>
      <c r="F602">
        <v>25</v>
      </c>
      <c r="H602" t="s">
        <v>4451</v>
      </c>
      <c r="I602" t="s">
        <v>6346</v>
      </c>
    </row>
    <row r="603" spans="1:9">
      <c r="A603" t="s">
        <v>4401</v>
      </c>
      <c r="B603" t="s">
        <v>6347</v>
      </c>
      <c r="C603">
        <v>1</v>
      </c>
      <c r="D603" t="s">
        <v>5637</v>
      </c>
      <c r="E603">
        <v>1</v>
      </c>
      <c r="F603">
        <v>30</v>
      </c>
      <c r="H603" t="s">
        <v>4451</v>
      </c>
      <c r="I603" t="s">
        <v>6346</v>
      </c>
    </row>
    <row r="604" spans="1:9">
      <c r="A604" t="s">
        <v>4401</v>
      </c>
      <c r="B604" t="s">
        <v>6348</v>
      </c>
      <c r="C604">
        <v>1</v>
      </c>
      <c r="D604" t="s">
        <v>5738</v>
      </c>
      <c r="E604">
        <v>1</v>
      </c>
      <c r="F604">
        <v>250</v>
      </c>
      <c r="H604" t="s">
        <v>4451</v>
      </c>
      <c r="I604" t="s">
        <v>6346</v>
      </c>
    </row>
    <row r="605" spans="1:9">
      <c r="A605" t="s">
        <v>4401</v>
      </c>
      <c r="B605" t="s">
        <v>6349</v>
      </c>
      <c r="C605">
        <v>1</v>
      </c>
      <c r="D605" t="s">
        <v>5637</v>
      </c>
      <c r="E605">
        <v>1</v>
      </c>
      <c r="F605">
        <v>300</v>
      </c>
      <c r="H605" t="s">
        <v>4451</v>
      </c>
      <c r="I605" t="s">
        <v>6346</v>
      </c>
    </row>
    <row r="606" spans="1:9">
      <c r="A606" t="s">
        <v>4401</v>
      </c>
      <c r="B606" t="s">
        <v>6350</v>
      </c>
      <c r="C606">
        <v>1</v>
      </c>
      <c r="D606" t="s">
        <v>5738</v>
      </c>
      <c r="E606">
        <v>1</v>
      </c>
      <c r="F606">
        <v>32</v>
      </c>
      <c r="H606" t="s">
        <v>4451</v>
      </c>
      <c r="I606" t="s">
        <v>6346</v>
      </c>
    </row>
    <row r="607" spans="1:9">
      <c r="A607" t="s">
        <v>4401</v>
      </c>
      <c r="B607" t="s">
        <v>6351</v>
      </c>
      <c r="C607">
        <v>1</v>
      </c>
      <c r="D607" t="s">
        <v>5637</v>
      </c>
      <c r="E607">
        <v>1</v>
      </c>
      <c r="F607">
        <v>39</v>
      </c>
      <c r="H607" t="s">
        <v>4451</v>
      </c>
      <c r="I607" t="s">
        <v>6346</v>
      </c>
    </row>
    <row r="608" spans="1:9">
      <c r="A608" t="s">
        <v>4401</v>
      </c>
      <c r="B608" t="s">
        <v>6352</v>
      </c>
      <c r="C608">
        <v>1</v>
      </c>
      <c r="D608" t="s">
        <v>5738</v>
      </c>
      <c r="E608">
        <v>1</v>
      </c>
      <c r="F608">
        <v>175</v>
      </c>
      <c r="H608" t="s">
        <v>4451</v>
      </c>
      <c r="I608" t="s">
        <v>6346</v>
      </c>
    </row>
    <row r="609" spans="1:9">
      <c r="A609" t="s">
        <v>4401</v>
      </c>
      <c r="B609" t="s">
        <v>6353</v>
      </c>
      <c r="C609">
        <v>1</v>
      </c>
      <c r="D609" t="s">
        <v>5637</v>
      </c>
      <c r="E609">
        <v>1</v>
      </c>
      <c r="F609">
        <v>210</v>
      </c>
      <c r="H609" t="s">
        <v>4451</v>
      </c>
      <c r="I609" t="s">
        <v>6346</v>
      </c>
    </row>
    <row r="610" spans="1:9">
      <c r="A610" t="s">
        <v>4401</v>
      </c>
      <c r="B610" t="s">
        <v>6354</v>
      </c>
      <c r="C610">
        <v>1</v>
      </c>
      <c r="D610" t="s">
        <v>5738</v>
      </c>
      <c r="E610">
        <v>1</v>
      </c>
      <c r="F610">
        <v>125</v>
      </c>
      <c r="H610" t="s">
        <v>4451</v>
      </c>
      <c r="I610" t="s">
        <v>6346</v>
      </c>
    </row>
    <row r="611" spans="1:9">
      <c r="A611" t="s">
        <v>4401</v>
      </c>
      <c r="B611" t="s">
        <v>6355</v>
      </c>
      <c r="C611">
        <v>1</v>
      </c>
      <c r="D611" t="s">
        <v>5637</v>
      </c>
      <c r="E611">
        <v>1</v>
      </c>
      <c r="F611">
        <v>150</v>
      </c>
      <c r="H611" t="s">
        <v>4451</v>
      </c>
      <c r="I611" t="s">
        <v>6346</v>
      </c>
    </row>
    <row r="612" spans="1:9">
      <c r="A612" t="s">
        <v>4401</v>
      </c>
      <c r="B612" t="s">
        <v>6356</v>
      </c>
      <c r="C612">
        <v>1</v>
      </c>
      <c r="D612" t="s">
        <v>5738</v>
      </c>
      <c r="E612">
        <v>1</v>
      </c>
      <c r="F612">
        <v>250000</v>
      </c>
      <c r="H612" t="s">
        <v>4451</v>
      </c>
      <c r="I612" t="s">
        <v>6357</v>
      </c>
    </row>
    <row r="613" spans="1:9">
      <c r="A613" t="s">
        <v>4401</v>
      </c>
      <c r="B613" t="s">
        <v>6358</v>
      </c>
      <c r="C613">
        <v>1</v>
      </c>
      <c r="D613" t="s">
        <v>5637</v>
      </c>
      <c r="E613">
        <v>1</v>
      </c>
      <c r="F613">
        <v>300000</v>
      </c>
      <c r="H613" t="s">
        <v>4451</v>
      </c>
      <c r="I613" t="s">
        <v>6357</v>
      </c>
    </row>
    <row r="614" spans="1:9">
      <c r="A614" t="s">
        <v>4401</v>
      </c>
      <c r="B614" t="s">
        <v>6359</v>
      </c>
      <c r="C614">
        <v>1</v>
      </c>
      <c r="D614" t="s">
        <v>5738</v>
      </c>
      <c r="E614">
        <v>1</v>
      </c>
      <c r="F614">
        <v>12</v>
      </c>
      <c r="H614" t="s">
        <v>4451</v>
      </c>
      <c r="I614" t="s">
        <v>6357</v>
      </c>
    </row>
    <row r="615" spans="1:9">
      <c r="A615" t="s">
        <v>4401</v>
      </c>
      <c r="B615" t="s">
        <v>6360</v>
      </c>
      <c r="C615">
        <v>1</v>
      </c>
      <c r="D615" t="s">
        <v>5738</v>
      </c>
      <c r="E615">
        <v>1</v>
      </c>
      <c r="F615">
        <v>50</v>
      </c>
      <c r="H615" t="s">
        <v>4451</v>
      </c>
      <c r="I615" t="s">
        <v>6357</v>
      </c>
    </row>
    <row r="616" spans="1:9">
      <c r="A616" t="s">
        <v>4401</v>
      </c>
      <c r="B616" t="s">
        <v>6361</v>
      </c>
      <c r="C616">
        <v>1</v>
      </c>
      <c r="D616" t="s">
        <v>5637</v>
      </c>
      <c r="E616">
        <v>1</v>
      </c>
      <c r="F616">
        <v>60</v>
      </c>
      <c r="H616" t="s">
        <v>4451</v>
      </c>
      <c r="I616" t="s">
        <v>6357</v>
      </c>
    </row>
    <row r="617" spans="1:9">
      <c r="A617" t="s">
        <v>4401</v>
      </c>
      <c r="B617" t="s">
        <v>6362</v>
      </c>
      <c r="C617">
        <v>1</v>
      </c>
      <c r="D617" t="s">
        <v>5738</v>
      </c>
      <c r="E617">
        <v>1</v>
      </c>
      <c r="F617">
        <v>15</v>
      </c>
      <c r="H617" t="s">
        <v>4451</v>
      </c>
      <c r="I617" t="s">
        <v>6357</v>
      </c>
    </row>
    <row r="618" spans="1:9">
      <c r="A618" t="s">
        <v>5676</v>
      </c>
      <c r="B618" t="s">
        <v>6363</v>
      </c>
      <c r="C618">
        <v>1</v>
      </c>
      <c r="D618" t="s">
        <v>5635</v>
      </c>
      <c r="E618">
        <v>0.1</v>
      </c>
      <c r="F618">
        <v>0.1</v>
      </c>
      <c r="H618" t="s">
        <v>4698</v>
      </c>
      <c r="I618" t="s">
        <v>6364</v>
      </c>
    </row>
    <row r="619" spans="1:9">
      <c r="A619" t="s">
        <v>6365</v>
      </c>
      <c r="B619" t="s">
        <v>6366</v>
      </c>
      <c r="C619">
        <v>1</v>
      </c>
      <c r="D619" t="s">
        <v>5637</v>
      </c>
      <c r="E619">
        <v>2E-3</v>
      </c>
      <c r="F619">
        <v>3.5</v>
      </c>
      <c r="H619" t="s">
        <v>4698</v>
      </c>
      <c r="I619" t="s">
        <v>6367</v>
      </c>
    </row>
    <row r="620" spans="1:9">
      <c r="A620" t="s">
        <v>6365</v>
      </c>
      <c r="B620" t="s">
        <v>6368</v>
      </c>
      <c r="C620">
        <v>1</v>
      </c>
      <c r="D620" t="s">
        <v>5637</v>
      </c>
      <c r="E620">
        <v>2E-3</v>
      </c>
      <c r="F620">
        <v>88</v>
      </c>
      <c r="H620" t="s">
        <v>4698</v>
      </c>
      <c r="I620" t="s">
        <v>6367</v>
      </c>
    </row>
    <row r="621" spans="1:9">
      <c r="A621" t="s">
        <v>6365</v>
      </c>
      <c r="B621" t="s">
        <v>6369</v>
      </c>
      <c r="C621">
        <v>1</v>
      </c>
      <c r="D621" t="s">
        <v>5637</v>
      </c>
      <c r="E621">
        <v>2E-3</v>
      </c>
      <c r="F621">
        <v>44</v>
      </c>
      <c r="H621" t="s">
        <v>4698</v>
      </c>
      <c r="I621" t="s">
        <v>6367</v>
      </c>
    </row>
    <row r="622" spans="1:9">
      <c r="A622" t="s">
        <v>6365</v>
      </c>
      <c r="B622" t="s">
        <v>6370</v>
      </c>
      <c r="C622">
        <v>1</v>
      </c>
      <c r="D622" t="s">
        <v>5637</v>
      </c>
      <c r="E622">
        <v>2E-3</v>
      </c>
      <c r="F622">
        <v>132</v>
      </c>
      <c r="H622" t="s">
        <v>4698</v>
      </c>
      <c r="I622" t="s">
        <v>6367</v>
      </c>
    </row>
    <row r="623" spans="1:9">
      <c r="A623" t="s">
        <v>6365</v>
      </c>
      <c r="B623" t="s">
        <v>6371</v>
      </c>
      <c r="C623">
        <v>1</v>
      </c>
      <c r="D623" t="s">
        <v>5637</v>
      </c>
      <c r="E623">
        <v>2E-3</v>
      </c>
      <c r="F623">
        <v>80</v>
      </c>
      <c r="H623" t="s">
        <v>4698</v>
      </c>
      <c r="I623" t="s">
        <v>6367</v>
      </c>
    </row>
    <row r="624" spans="1:9">
      <c r="A624" t="s">
        <v>6365</v>
      </c>
      <c r="B624" t="s">
        <v>6372</v>
      </c>
      <c r="C624">
        <v>1</v>
      </c>
      <c r="D624" t="s">
        <v>5637</v>
      </c>
      <c r="E624">
        <v>2E-3</v>
      </c>
      <c r="F624">
        <v>30</v>
      </c>
      <c r="H624" t="s">
        <v>4698</v>
      </c>
      <c r="I624" t="s">
        <v>6367</v>
      </c>
    </row>
    <row r="625" spans="1:9">
      <c r="A625" t="s">
        <v>6365</v>
      </c>
      <c r="B625" t="s">
        <v>6373</v>
      </c>
      <c r="C625">
        <v>1</v>
      </c>
      <c r="D625" t="s">
        <v>5637</v>
      </c>
      <c r="E625">
        <v>2E-3</v>
      </c>
      <c r="F625">
        <v>132</v>
      </c>
      <c r="H625" t="s">
        <v>4698</v>
      </c>
      <c r="I625" t="s">
        <v>6367</v>
      </c>
    </row>
    <row r="626" spans="1:9">
      <c r="A626" t="s">
        <v>6365</v>
      </c>
      <c r="B626" t="s">
        <v>6374</v>
      </c>
      <c r="C626">
        <v>1</v>
      </c>
      <c r="D626" t="s">
        <v>5637</v>
      </c>
      <c r="E626">
        <v>2E-3</v>
      </c>
      <c r="F626">
        <v>9</v>
      </c>
      <c r="H626" t="s">
        <v>4698</v>
      </c>
      <c r="I626" t="s">
        <v>6367</v>
      </c>
    </row>
    <row r="627" spans="1:9">
      <c r="A627" t="s">
        <v>6365</v>
      </c>
      <c r="B627" t="s">
        <v>6375</v>
      </c>
      <c r="C627">
        <v>1</v>
      </c>
      <c r="D627" t="s">
        <v>5637</v>
      </c>
      <c r="E627">
        <v>2E-3</v>
      </c>
      <c r="F627">
        <v>35</v>
      </c>
      <c r="H627" t="s">
        <v>4698</v>
      </c>
      <c r="I627" t="s">
        <v>6367</v>
      </c>
    </row>
    <row r="628" spans="1:9">
      <c r="A628" t="s">
        <v>6365</v>
      </c>
      <c r="B628" t="s">
        <v>6376</v>
      </c>
      <c r="C628">
        <v>1</v>
      </c>
      <c r="D628" t="s">
        <v>5637</v>
      </c>
      <c r="E628">
        <v>2E-3</v>
      </c>
      <c r="F628">
        <v>26</v>
      </c>
      <c r="H628" t="s">
        <v>4698</v>
      </c>
      <c r="I628" t="s">
        <v>6367</v>
      </c>
    </row>
    <row r="629" spans="1:9">
      <c r="A629" t="s">
        <v>6365</v>
      </c>
      <c r="B629" t="s">
        <v>6377</v>
      </c>
      <c r="C629">
        <v>1</v>
      </c>
      <c r="D629" t="s">
        <v>5637</v>
      </c>
      <c r="E629">
        <v>2E-3</v>
      </c>
      <c r="F629">
        <v>12</v>
      </c>
      <c r="H629" t="s">
        <v>4698</v>
      </c>
      <c r="I629" t="s">
        <v>6367</v>
      </c>
    </row>
    <row r="630" spans="1:9">
      <c r="A630" t="s">
        <v>6365</v>
      </c>
      <c r="B630" t="s">
        <v>6378</v>
      </c>
      <c r="C630">
        <v>1</v>
      </c>
      <c r="D630" t="s">
        <v>5637</v>
      </c>
      <c r="E630">
        <v>2E-3</v>
      </c>
      <c r="F630">
        <v>52</v>
      </c>
      <c r="H630" t="s">
        <v>4698</v>
      </c>
      <c r="I630" t="s">
        <v>6367</v>
      </c>
    </row>
    <row r="631" spans="1:9">
      <c r="A631" t="s">
        <v>6365</v>
      </c>
      <c r="B631" t="s">
        <v>6379</v>
      </c>
      <c r="C631">
        <v>1</v>
      </c>
      <c r="D631" t="s">
        <v>5637</v>
      </c>
      <c r="E631">
        <v>2E-3</v>
      </c>
      <c r="F631">
        <v>48</v>
      </c>
      <c r="H631" t="s">
        <v>4698</v>
      </c>
      <c r="I631" t="s">
        <v>6367</v>
      </c>
    </row>
    <row r="632" spans="1:9">
      <c r="A632" t="s">
        <v>6365</v>
      </c>
      <c r="B632" t="s">
        <v>6380</v>
      </c>
      <c r="C632">
        <v>1</v>
      </c>
      <c r="D632" t="s">
        <v>5637</v>
      </c>
      <c r="E632">
        <v>2E-3</v>
      </c>
      <c r="F632">
        <v>79</v>
      </c>
      <c r="H632" t="s">
        <v>4698</v>
      </c>
      <c r="I632" t="s">
        <v>6367</v>
      </c>
    </row>
    <row r="633" spans="1:9">
      <c r="A633" t="s">
        <v>6365</v>
      </c>
      <c r="B633" t="s">
        <v>6381</v>
      </c>
      <c r="C633">
        <v>1</v>
      </c>
      <c r="D633" t="s">
        <v>5637</v>
      </c>
      <c r="E633">
        <v>2E-3</v>
      </c>
      <c r="F633">
        <v>176</v>
      </c>
      <c r="H633" t="s">
        <v>4698</v>
      </c>
      <c r="I633" t="s">
        <v>6367</v>
      </c>
    </row>
    <row r="634" spans="1:9">
      <c r="A634" t="s">
        <v>6365</v>
      </c>
      <c r="B634" t="s">
        <v>6382</v>
      </c>
      <c r="C634">
        <v>1</v>
      </c>
      <c r="D634" t="s">
        <v>5637</v>
      </c>
      <c r="E634">
        <v>2E-3</v>
      </c>
      <c r="F634">
        <v>44</v>
      </c>
      <c r="H634" t="s">
        <v>4698</v>
      </c>
      <c r="I634" t="s">
        <v>6367</v>
      </c>
    </row>
    <row r="635" spans="1:9">
      <c r="A635" t="s">
        <v>6365</v>
      </c>
      <c r="B635" t="s">
        <v>6383</v>
      </c>
      <c r="C635">
        <v>1</v>
      </c>
      <c r="D635" t="s">
        <v>5637</v>
      </c>
      <c r="E635">
        <v>2E-3</v>
      </c>
      <c r="F635">
        <v>57</v>
      </c>
      <c r="H635" t="s">
        <v>4698</v>
      </c>
      <c r="I635" t="s">
        <v>6367</v>
      </c>
    </row>
    <row r="636" spans="1:9">
      <c r="A636" t="s">
        <v>6365</v>
      </c>
      <c r="B636" t="s">
        <v>6384</v>
      </c>
      <c r="C636">
        <v>1</v>
      </c>
      <c r="D636" t="s">
        <v>5637</v>
      </c>
      <c r="E636">
        <v>2E-3</v>
      </c>
      <c r="F636">
        <v>85</v>
      </c>
      <c r="H636" t="s">
        <v>4698</v>
      </c>
      <c r="I636" t="s">
        <v>6367</v>
      </c>
    </row>
    <row r="637" spans="1:9">
      <c r="A637" t="s">
        <v>6365</v>
      </c>
      <c r="B637" t="s">
        <v>6385</v>
      </c>
      <c r="C637">
        <v>1</v>
      </c>
      <c r="D637" t="s">
        <v>5637</v>
      </c>
      <c r="E637">
        <v>2E-3</v>
      </c>
      <c r="F637">
        <v>79</v>
      </c>
      <c r="H637" t="s">
        <v>4698</v>
      </c>
      <c r="I637" t="s">
        <v>6367</v>
      </c>
    </row>
    <row r="638" spans="1:9">
      <c r="A638" t="s">
        <v>6365</v>
      </c>
      <c r="B638" t="s">
        <v>6386</v>
      </c>
      <c r="C638">
        <v>1</v>
      </c>
      <c r="D638" t="s">
        <v>5637</v>
      </c>
      <c r="E638">
        <v>2E-3</v>
      </c>
      <c r="F638">
        <v>3.5</v>
      </c>
      <c r="H638" t="s">
        <v>4698</v>
      </c>
      <c r="I638" t="s">
        <v>6367</v>
      </c>
    </row>
    <row r="639" spans="1:9">
      <c r="A639" t="s">
        <v>6365</v>
      </c>
      <c r="B639" t="s">
        <v>6387</v>
      </c>
      <c r="C639">
        <v>1</v>
      </c>
      <c r="D639" t="s">
        <v>5637</v>
      </c>
      <c r="E639">
        <v>2E-3</v>
      </c>
      <c r="F639">
        <v>352</v>
      </c>
      <c r="H639" t="s">
        <v>4698</v>
      </c>
      <c r="I639" t="s">
        <v>6367</v>
      </c>
    </row>
    <row r="640" spans="1:9">
      <c r="A640" t="s">
        <v>6365</v>
      </c>
      <c r="B640" t="s">
        <v>6388</v>
      </c>
      <c r="C640">
        <v>1</v>
      </c>
      <c r="D640" t="s">
        <v>5637</v>
      </c>
      <c r="E640">
        <v>2E-3</v>
      </c>
      <c r="F640">
        <v>220</v>
      </c>
      <c r="H640" t="s">
        <v>4698</v>
      </c>
      <c r="I640" t="s">
        <v>6367</v>
      </c>
    </row>
    <row r="641" spans="1:9">
      <c r="A641" t="s">
        <v>6365</v>
      </c>
      <c r="B641" t="s">
        <v>6389</v>
      </c>
      <c r="C641">
        <v>1</v>
      </c>
      <c r="D641" t="s">
        <v>5637</v>
      </c>
      <c r="E641">
        <v>2E-3</v>
      </c>
      <c r="F641">
        <v>40</v>
      </c>
      <c r="H641" t="s">
        <v>4698</v>
      </c>
      <c r="I641" t="s">
        <v>6367</v>
      </c>
    </row>
    <row r="642" spans="1:9">
      <c r="A642" t="s">
        <v>6365</v>
      </c>
      <c r="B642" t="s">
        <v>6390</v>
      </c>
      <c r="C642">
        <v>1</v>
      </c>
      <c r="D642" t="s">
        <v>5637</v>
      </c>
      <c r="E642">
        <v>2E-3</v>
      </c>
      <c r="F642">
        <v>176</v>
      </c>
      <c r="H642" t="s">
        <v>4698</v>
      </c>
      <c r="I642" t="s">
        <v>6367</v>
      </c>
    </row>
    <row r="643" spans="1:9">
      <c r="A643" t="s">
        <v>6365</v>
      </c>
      <c r="B643" t="s">
        <v>6391</v>
      </c>
      <c r="C643">
        <v>1</v>
      </c>
      <c r="D643" t="s">
        <v>5637</v>
      </c>
      <c r="E643">
        <v>2E-3</v>
      </c>
      <c r="F643">
        <v>3</v>
      </c>
      <c r="H643" t="s">
        <v>4698</v>
      </c>
      <c r="I643" t="s">
        <v>6367</v>
      </c>
    </row>
    <row r="644" spans="1:9">
      <c r="A644" t="s">
        <v>6365</v>
      </c>
      <c r="B644" t="s">
        <v>6392</v>
      </c>
      <c r="C644">
        <v>1</v>
      </c>
      <c r="D644" t="s">
        <v>5637</v>
      </c>
      <c r="E644">
        <v>2E-3</v>
      </c>
      <c r="F644">
        <v>66</v>
      </c>
      <c r="H644" t="s">
        <v>4698</v>
      </c>
      <c r="I644" t="s">
        <v>6367</v>
      </c>
    </row>
    <row r="645" spans="1:9">
      <c r="A645" t="s">
        <v>6365</v>
      </c>
      <c r="B645" t="s">
        <v>6393</v>
      </c>
      <c r="C645">
        <v>1</v>
      </c>
      <c r="D645" t="s">
        <v>5637</v>
      </c>
      <c r="E645">
        <v>2E-3</v>
      </c>
      <c r="F645">
        <v>22</v>
      </c>
      <c r="H645" t="s">
        <v>4698</v>
      </c>
      <c r="I645" t="s">
        <v>6367</v>
      </c>
    </row>
    <row r="646" spans="1:9">
      <c r="A646" t="s">
        <v>6365</v>
      </c>
      <c r="B646" t="s">
        <v>6394</v>
      </c>
      <c r="C646">
        <v>1</v>
      </c>
      <c r="D646" t="s">
        <v>5637</v>
      </c>
      <c r="E646">
        <v>2E-3</v>
      </c>
      <c r="F646">
        <v>52</v>
      </c>
      <c r="H646" t="s">
        <v>4698</v>
      </c>
      <c r="I646" t="s">
        <v>6367</v>
      </c>
    </row>
    <row r="647" spans="1:9">
      <c r="A647" t="s">
        <v>6365</v>
      </c>
      <c r="B647" t="s">
        <v>6395</v>
      </c>
      <c r="C647">
        <v>1</v>
      </c>
      <c r="D647" t="s">
        <v>5637</v>
      </c>
      <c r="E647">
        <v>2E-3</v>
      </c>
      <c r="F647">
        <v>31</v>
      </c>
      <c r="H647" t="s">
        <v>4698</v>
      </c>
      <c r="I647" t="s">
        <v>6367</v>
      </c>
    </row>
    <row r="648" spans="1:9">
      <c r="A648" t="s">
        <v>6365</v>
      </c>
      <c r="B648" t="s">
        <v>6396</v>
      </c>
      <c r="C648">
        <v>1</v>
      </c>
      <c r="D648" t="s">
        <v>5637</v>
      </c>
      <c r="E648">
        <v>2E-3</v>
      </c>
      <c r="F648">
        <v>2.5</v>
      </c>
      <c r="H648" t="s">
        <v>4698</v>
      </c>
      <c r="I648" t="s">
        <v>6367</v>
      </c>
    </row>
    <row r="649" spans="1:9">
      <c r="A649" t="s">
        <v>6365</v>
      </c>
      <c r="B649" t="s">
        <v>6397</v>
      </c>
      <c r="C649">
        <v>1</v>
      </c>
      <c r="D649" t="s">
        <v>5637</v>
      </c>
      <c r="E649">
        <v>2E-3</v>
      </c>
      <c r="F649">
        <v>154</v>
      </c>
      <c r="H649" t="s">
        <v>4698</v>
      </c>
      <c r="I649" t="s">
        <v>6367</v>
      </c>
    </row>
    <row r="650" spans="1:9">
      <c r="A650" t="s">
        <v>6365</v>
      </c>
      <c r="B650" t="s">
        <v>6398</v>
      </c>
      <c r="C650">
        <v>1</v>
      </c>
      <c r="D650" t="s">
        <v>5637</v>
      </c>
      <c r="E650">
        <v>2E-3</v>
      </c>
      <c r="F650">
        <v>1.8</v>
      </c>
      <c r="H650" t="s">
        <v>4698</v>
      </c>
      <c r="I650" t="s">
        <v>6367</v>
      </c>
    </row>
    <row r="651" spans="1:9">
      <c r="A651" t="s">
        <v>6365</v>
      </c>
      <c r="B651" t="s">
        <v>6399</v>
      </c>
      <c r="C651">
        <v>1</v>
      </c>
      <c r="D651" t="s">
        <v>5637</v>
      </c>
      <c r="E651">
        <v>2E-3</v>
      </c>
      <c r="F651">
        <v>40</v>
      </c>
      <c r="H651" t="s">
        <v>4698</v>
      </c>
      <c r="I651" t="s">
        <v>6367</v>
      </c>
    </row>
    <row r="652" spans="1:9">
      <c r="A652" t="s">
        <v>6365</v>
      </c>
      <c r="B652" t="s">
        <v>6400</v>
      </c>
      <c r="C652">
        <v>1</v>
      </c>
      <c r="D652" t="s">
        <v>5637</v>
      </c>
      <c r="E652">
        <v>2E-3</v>
      </c>
      <c r="F652">
        <v>3</v>
      </c>
      <c r="H652" t="s">
        <v>4698</v>
      </c>
      <c r="I652" t="s">
        <v>6367</v>
      </c>
    </row>
    <row r="653" spans="1:9">
      <c r="A653" t="s">
        <v>6365</v>
      </c>
      <c r="B653" t="s">
        <v>6401</v>
      </c>
      <c r="C653">
        <v>1</v>
      </c>
      <c r="D653" t="s">
        <v>5637</v>
      </c>
      <c r="E653">
        <v>2E-3</v>
      </c>
      <c r="F653">
        <v>35</v>
      </c>
      <c r="H653" t="s">
        <v>4698</v>
      </c>
      <c r="I653" t="s">
        <v>6367</v>
      </c>
    </row>
    <row r="654" spans="1:9">
      <c r="A654" t="s">
        <v>6365</v>
      </c>
      <c r="B654" t="s">
        <v>6402</v>
      </c>
      <c r="C654">
        <v>1</v>
      </c>
      <c r="D654" t="s">
        <v>5637</v>
      </c>
      <c r="E654">
        <v>2E-3</v>
      </c>
      <c r="F654">
        <v>440</v>
      </c>
      <c r="H654" t="s">
        <v>4698</v>
      </c>
      <c r="I654" t="s">
        <v>6367</v>
      </c>
    </row>
    <row r="655" spans="1:9">
      <c r="A655" t="s">
        <v>6365</v>
      </c>
      <c r="B655" t="s">
        <v>6403</v>
      </c>
      <c r="C655">
        <v>1</v>
      </c>
      <c r="D655" t="s">
        <v>5637</v>
      </c>
      <c r="E655">
        <v>2E-3</v>
      </c>
      <c r="F655">
        <v>55</v>
      </c>
      <c r="H655" t="s">
        <v>4698</v>
      </c>
      <c r="I655" t="s">
        <v>6367</v>
      </c>
    </row>
    <row r="656" spans="1:9">
      <c r="A656" t="s">
        <v>6365</v>
      </c>
      <c r="B656" t="s">
        <v>6404</v>
      </c>
      <c r="C656">
        <v>1</v>
      </c>
      <c r="D656" t="s">
        <v>5637</v>
      </c>
      <c r="E656">
        <v>2E-3</v>
      </c>
      <c r="F656">
        <v>25</v>
      </c>
      <c r="H656" t="s">
        <v>4698</v>
      </c>
      <c r="I656" t="s">
        <v>6367</v>
      </c>
    </row>
    <row r="657" spans="1:9">
      <c r="A657" t="s">
        <v>5625</v>
      </c>
      <c r="B657" t="s">
        <v>6405</v>
      </c>
      <c r="C657">
        <v>1</v>
      </c>
      <c r="D657" t="s">
        <v>5646</v>
      </c>
      <c r="E657">
        <v>0.5</v>
      </c>
      <c r="F657">
        <v>13</v>
      </c>
      <c r="H657" t="s">
        <v>4698</v>
      </c>
      <c r="I657" t="s">
        <v>5642</v>
      </c>
    </row>
    <row r="658" spans="1:9">
      <c r="A658" t="s">
        <v>5676</v>
      </c>
      <c r="B658" t="s">
        <v>6406</v>
      </c>
      <c r="C658">
        <v>1</v>
      </c>
      <c r="D658" t="s">
        <v>5637</v>
      </c>
      <c r="E658">
        <v>0.1</v>
      </c>
      <c r="F658">
        <v>0.5</v>
      </c>
      <c r="H658" t="s">
        <v>4698</v>
      </c>
      <c r="I658" t="s">
        <v>6365</v>
      </c>
    </row>
    <row r="659" spans="1:9">
      <c r="A659" t="s">
        <v>5676</v>
      </c>
      <c r="B659" t="s">
        <v>6407</v>
      </c>
      <c r="C659">
        <v>1</v>
      </c>
      <c r="D659" t="s">
        <v>5630</v>
      </c>
      <c r="E659">
        <v>0.5</v>
      </c>
      <c r="F659">
        <v>0.1</v>
      </c>
      <c r="H659" t="s">
        <v>4698</v>
      </c>
      <c r="I659" t="s">
        <v>6365</v>
      </c>
    </row>
    <row r="660" spans="1:9">
      <c r="A660" t="s">
        <v>5674</v>
      </c>
      <c r="B660" t="s">
        <v>6408</v>
      </c>
      <c r="C660">
        <v>1</v>
      </c>
      <c r="D660" t="s">
        <v>5556</v>
      </c>
      <c r="E660">
        <v>0.13</v>
      </c>
      <c r="F660">
        <v>4</v>
      </c>
      <c r="G660" t="s">
        <v>6409</v>
      </c>
      <c r="H660" t="s">
        <v>4698</v>
      </c>
      <c r="I660" t="s">
        <v>6365</v>
      </c>
    </row>
    <row r="661" spans="1:9">
      <c r="A661" t="s">
        <v>5674</v>
      </c>
      <c r="B661" t="s">
        <v>6410</v>
      </c>
      <c r="C661">
        <v>1</v>
      </c>
      <c r="D661" t="s">
        <v>5630</v>
      </c>
      <c r="E661">
        <v>0.5</v>
      </c>
      <c r="F661">
        <v>0.5</v>
      </c>
      <c r="H661" t="s">
        <v>4698</v>
      </c>
      <c r="I661" t="s">
        <v>6411</v>
      </c>
    </row>
    <row r="662" spans="1:9">
      <c r="A662" t="s">
        <v>5633</v>
      </c>
      <c r="B662" t="s">
        <v>6412</v>
      </c>
      <c r="C662">
        <v>1</v>
      </c>
      <c r="D662" t="s">
        <v>5646</v>
      </c>
      <c r="E662">
        <v>0.25</v>
      </c>
      <c r="F662">
        <v>4.5999999999999996</v>
      </c>
      <c r="H662" t="s">
        <v>4698</v>
      </c>
      <c r="I662" t="s">
        <v>6413</v>
      </c>
    </row>
    <row r="663" spans="1:9">
      <c r="A663" t="s">
        <v>5633</v>
      </c>
      <c r="B663" t="s">
        <v>6414</v>
      </c>
      <c r="C663">
        <v>1</v>
      </c>
      <c r="D663" t="s">
        <v>5630</v>
      </c>
      <c r="E663">
        <v>0.2</v>
      </c>
      <c r="F663">
        <v>0.4</v>
      </c>
      <c r="H663" t="s">
        <v>4698</v>
      </c>
      <c r="I663" t="s">
        <v>6413</v>
      </c>
    </row>
    <row r="664" spans="1:9">
      <c r="A664" t="s">
        <v>5676</v>
      </c>
      <c r="B664" t="s">
        <v>6415</v>
      </c>
      <c r="C664">
        <v>1</v>
      </c>
      <c r="D664" t="s">
        <v>5646</v>
      </c>
      <c r="E664">
        <v>0.25</v>
      </c>
      <c r="F664">
        <v>50</v>
      </c>
      <c r="H664" t="s">
        <v>4698</v>
      </c>
      <c r="I664" t="s">
        <v>6416</v>
      </c>
    </row>
    <row r="665" spans="1:9">
      <c r="A665" t="s">
        <v>5676</v>
      </c>
      <c r="B665" t="s">
        <v>6417</v>
      </c>
      <c r="C665">
        <v>1</v>
      </c>
      <c r="D665" t="s">
        <v>5635</v>
      </c>
      <c r="E665">
        <v>0.1</v>
      </c>
      <c r="F665">
        <v>0.1</v>
      </c>
      <c r="H665" t="s">
        <v>4698</v>
      </c>
      <c r="I665" t="s">
        <v>6418</v>
      </c>
    </row>
    <row r="666" spans="1:9">
      <c r="A666" t="s">
        <v>5676</v>
      </c>
      <c r="B666" t="s">
        <v>6419</v>
      </c>
      <c r="C666">
        <v>1</v>
      </c>
      <c r="D666" t="s">
        <v>5635</v>
      </c>
      <c r="E666">
        <v>0.05</v>
      </c>
      <c r="F666">
        <v>2.5</v>
      </c>
      <c r="H666" t="s">
        <v>4698</v>
      </c>
      <c r="I666" t="s">
        <v>6418</v>
      </c>
    </row>
    <row r="667" spans="1:9">
      <c r="A667" t="s">
        <v>5676</v>
      </c>
      <c r="B667" t="s">
        <v>6420</v>
      </c>
      <c r="C667">
        <v>1</v>
      </c>
      <c r="D667" t="s">
        <v>5630</v>
      </c>
      <c r="E667">
        <v>0.5</v>
      </c>
      <c r="F667">
        <v>0.25</v>
      </c>
      <c r="H667" t="s">
        <v>4698</v>
      </c>
      <c r="I667" t="s">
        <v>6418</v>
      </c>
    </row>
    <row r="668" spans="1:9">
      <c r="A668" t="s">
        <v>5625</v>
      </c>
      <c r="B668" t="s">
        <v>6421</v>
      </c>
      <c r="C668">
        <v>1</v>
      </c>
      <c r="D668" t="s">
        <v>5667</v>
      </c>
      <c r="E668">
        <v>0.2</v>
      </c>
      <c r="F668">
        <v>80</v>
      </c>
      <c r="G668" t="s">
        <v>6422</v>
      </c>
      <c r="H668" t="s">
        <v>5667</v>
      </c>
      <c r="I668" t="s">
        <v>5667</v>
      </c>
    </row>
    <row r="669" spans="1:9">
      <c r="A669" t="s">
        <v>5674</v>
      </c>
      <c r="B669" t="s">
        <v>6423</v>
      </c>
      <c r="C669">
        <v>1</v>
      </c>
      <c r="D669" t="s">
        <v>5556</v>
      </c>
      <c r="E669">
        <v>1.5</v>
      </c>
      <c r="F669">
        <v>13.2</v>
      </c>
      <c r="H669" t="s">
        <v>4431</v>
      </c>
      <c r="I669" t="s">
        <v>6424</v>
      </c>
    </row>
    <row r="670" spans="1:9">
      <c r="A670" t="s">
        <v>5652</v>
      </c>
      <c r="B670" t="s">
        <v>6425</v>
      </c>
      <c r="C670">
        <v>1</v>
      </c>
      <c r="D670" t="s">
        <v>5556</v>
      </c>
      <c r="E670">
        <v>50</v>
      </c>
      <c r="F670">
        <v>220000</v>
      </c>
      <c r="H670" t="s">
        <v>4431</v>
      </c>
      <c r="I670" t="s">
        <v>6426</v>
      </c>
    </row>
    <row r="671" spans="1:9">
      <c r="A671" t="s">
        <v>5633</v>
      </c>
      <c r="B671" t="s">
        <v>6427</v>
      </c>
      <c r="C671">
        <v>1</v>
      </c>
      <c r="D671" t="s">
        <v>5556</v>
      </c>
      <c r="E671">
        <v>0.4</v>
      </c>
      <c r="F671">
        <v>1.32</v>
      </c>
      <c r="H671" t="s">
        <v>4400</v>
      </c>
      <c r="I671" t="s">
        <v>6428</v>
      </c>
    </row>
    <row r="672" spans="1:9">
      <c r="A672" t="s">
        <v>5633</v>
      </c>
      <c r="B672" t="s">
        <v>6429</v>
      </c>
      <c r="C672">
        <v>1</v>
      </c>
      <c r="D672" t="s">
        <v>5556</v>
      </c>
      <c r="E672">
        <v>0.5</v>
      </c>
      <c r="F672">
        <v>2.2000000000000002</v>
      </c>
      <c r="H672" t="s">
        <v>4400</v>
      </c>
      <c r="I672" t="s">
        <v>6428</v>
      </c>
    </row>
    <row r="673" spans="1:9">
      <c r="A673" t="s">
        <v>5633</v>
      </c>
      <c r="B673" t="s">
        <v>6430</v>
      </c>
      <c r="C673">
        <v>1</v>
      </c>
      <c r="D673" t="s">
        <v>5556</v>
      </c>
      <c r="E673">
        <v>0.75</v>
      </c>
      <c r="F673">
        <v>5.28</v>
      </c>
      <c r="H673" t="s">
        <v>4400</v>
      </c>
      <c r="I673" t="s">
        <v>6428</v>
      </c>
    </row>
    <row r="674" spans="1:9">
      <c r="A674" t="s">
        <v>5633</v>
      </c>
      <c r="B674" t="s">
        <v>6431</v>
      </c>
      <c r="C674">
        <v>1</v>
      </c>
      <c r="D674" t="s">
        <v>5556</v>
      </c>
      <c r="E674">
        <v>0.25</v>
      </c>
      <c r="F674">
        <v>3.1</v>
      </c>
      <c r="H674" t="s">
        <v>4400</v>
      </c>
      <c r="I674" t="s">
        <v>6428</v>
      </c>
    </row>
    <row r="675" spans="1:9">
      <c r="A675" t="s">
        <v>5838</v>
      </c>
      <c r="B675" t="s">
        <v>6432</v>
      </c>
      <c r="C675">
        <v>1</v>
      </c>
      <c r="D675" t="s">
        <v>5556</v>
      </c>
      <c r="E675">
        <v>0.4</v>
      </c>
      <c r="F675">
        <v>2.2000000000000002</v>
      </c>
      <c r="H675" t="s">
        <v>4400</v>
      </c>
      <c r="I675" t="s">
        <v>6428</v>
      </c>
    </row>
    <row r="676" spans="1:9">
      <c r="A676" t="s">
        <v>5639</v>
      </c>
      <c r="B676" t="s">
        <v>6433</v>
      </c>
      <c r="C676">
        <v>1</v>
      </c>
      <c r="D676" t="s">
        <v>5746</v>
      </c>
      <c r="E676">
        <v>0.4</v>
      </c>
      <c r="F676">
        <v>8</v>
      </c>
      <c r="H676" t="s">
        <v>4400</v>
      </c>
      <c r="I676" t="s">
        <v>6428</v>
      </c>
    </row>
    <row r="677" spans="1:9">
      <c r="A677" t="s">
        <v>5639</v>
      </c>
      <c r="B677" t="s">
        <v>6434</v>
      </c>
      <c r="C677">
        <v>1</v>
      </c>
      <c r="D677" t="s">
        <v>5556</v>
      </c>
      <c r="E677">
        <v>0.2</v>
      </c>
      <c r="F677">
        <v>1.3</v>
      </c>
      <c r="H677" t="s">
        <v>4400</v>
      </c>
      <c r="I677" t="s">
        <v>6428</v>
      </c>
    </row>
    <row r="678" spans="1:9">
      <c r="A678" t="s">
        <v>5639</v>
      </c>
      <c r="B678" t="s">
        <v>6435</v>
      </c>
      <c r="C678">
        <v>1</v>
      </c>
      <c r="D678" t="s">
        <v>5556</v>
      </c>
      <c r="E678">
        <v>0.1</v>
      </c>
      <c r="F678">
        <v>6.6</v>
      </c>
      <c r="H678" t="s">
        <v>4400</v>
      </c>
      <c r="I678" t="s">
        <v>6428</v>
      </c>
    </row>
    <row r="679" spans="1:9">
      <c r="A679" t="s">
        <v>5639</v>
      </c>
      <c r="B679" t="s">
        <v>6436</v>
      </c>
      <c r="C679">
        <v>1</v>
      </c>
      <c r="D679" t="s">
        <v>5746</v>
      </c>
      <c r="E679">
        <v>0.05</v>
      </c>
      <c r="F679">
        <v>0.88</v>
      </c>
      <c r="H679" t="s">
        <v>4400</v>
      </c>
      <c r="I679" t="s">
        <v>6428</v>
      </c>
    </row>
    <row r="680" spans="1:9">
      <c r="A680" t="s">
        <v>5674</v>
      </c>
      <c r="B680" t="s">
        <v>6437</v>
      </c>
      <c r="C680">
        <v>1</v>
      </c>
      <c r="D680" t="s">
        <v>5556</v>
      </c>
      <c r="E680">
        <v>5</v>
      </c>
      <c r="F680">
        <v>17.600000000000001</v>
      </c>
      <c r="H680" t="s">
        <v>4400</v>
      </c>
      <c r="I680" t="s">
        <v>6428</v>
      </c>
    </row>
    <row r="681" spans="1:9">
      <c r="A681" t="s">
        <v>5674</v>
      </c>
      <c r="B681" t="s">
        <v>6438</v>
      </c>
      <c r="C681">
        <v>1</v>
      </c>
      <c r="D681" t="s">
        <v>5556</v>
      </c>
      <c r="E681">
        <v>2</v>
      </c>
      <c r="F681">
        <v>6.6</v>
      </c>
      <c r="H681" t="s">
        <v>4400</v>
      </c>
      <c r="I681" t="s">
        <v>6428</v>
      </c>
    </row>
    <row r="682" spans="1:9">
      <c r="A682" t="s">
        <v>5658</v>
      </c>
      <c r="B682" t="s">
        <v>6439</v>
      </c>
      <c r="C682">
        <v>1</v>
      </c>
      <c r="D682" t="s">
        <v>5746</v>
      </c>
      <c r="E682">
        <v>0.37</v>
      </c>
      <c r="F682">
        <v>52.8</v>
      </c>
      <c r="H682" t="s">
        <v>4400</v>
      </c>
      <c r="I682" t="s">
        <v>6428</v>
      </c>
    </row>
    <row r="683" spans="1:9">
      <c r="A683" t="s">
        <v>5654</v>
      </c>
      <c r="B683" t="s">
        <v>6440</v>
      </c>
      <c r="C683">
        <v>1</v>
      </c>
      <c r="D683" t="s">
        <v>5556</v>
      </c>
      <c r="E683">
        <v>1</v>
      </c>
      <c r="F683">
        <v>5</v>
      </c>
      <c r="H683" t="s">
        <v>4400</v>
      </c>
      <c r="I683" t="s">
        <v>6428</v>
      </c>
    </row>
    <row r="684" spans="1:9">
      <c r="A684" t="s">
        <v>5633</v>
      </c>
      <c r="B684" t="s">
        <v>6441</v>
      </c>
      <c r="C684">
        <v>1</v>
      </c>
      <c r="D684" t="s">
        <v>5746</v>
      </c>
      <c r="E684">
        <v>0.1</v>
      </c>
      <c r="F684">
        <v>2.7E-2</v>
      </c>
      <c r="H684" t="s">
        <v>4400</v>
      </c>
      <c r="I684" t="s">
        <v>6442</v>
      </c>
    </row>
    <row r="685" spans="1:9">
      <c r="A685" t="s">
        <v>5838</v>
      </c>
      <c r="B685" t="s">
        <v>6443</v>
      </c>
      <c r="C685">
        <v>1</v>
      </c>
      <c r="D685" t="s">
        <v>5556</v>
      </c>
      <c r="E685">
        <v>1.25</v>
      </c>
      <c r="F685">
        <v>3.52</v>
      </c>
      <c r="H685" t="s">
        <v>4400</v>
      </c>
      <c r="I685" t="s">
        <v>6442</v>
      </c>
    </row>
    <row r="686" spans="1:9">
      <c r="A686" t="s">
        <v>5838</v>
      </c>
      <c r="B686" t="s">
        <v>6444</v>
      </c>
      <c r="C686">
        <v>1</v>
      </c>
      <c r="D686" t="s">
        <v>5556</v>
      </c>
      <c r="E686">
        <v>4</v>
      </c>
      <c r="F686">
        <v>8.8000000000000007</v>
      </c>
      <c r="H686" t="s">
        <v>4400</v>
      </c>
      <c r="I686" t="s">
        <v>6442</v>
      </c>
    </row>
    <row r="687" spans="1:9">
      <c r="A687" t="s">
        <v>5838</v>
      </c>
      <c r="B687" t="s">
        <v>6445</v>
      </c>
      <c r="C687">
        <v>1</v>
      </c>
      <c r="D687" t="s">
        <v>5556</v>
      </c>
      <c r="E687">
        <v>1</v>
      </c>
      <c r="F687">
        <v>1.76</v>
      </c>
      <c r="H687" t="s">
        <v>4400</v>
      </c>
      <c r="I687" t="s">
        <v>6442</v>
      </c>
    </row>
    <row r="688" spans="1:9">
      <c r="A688" t="s">
        <v>5838</v>
      </c>
      <c r="B688" t="s">
        <v>6446</v>
      </c>
      <c r="C688">
        <v>1</v>
      </c>
      <c r="D688" t="s">
        <v>5556</v>
      </c>
      <c r="E688">
        <v>2</v>
      </c>
      <c r="F688">
        <v>2.52</v>
      </c>
      <c r="H688" t="s">
        <v>4400</v>
      </c>
      <c r="I688" t="s">
        <v>6442</v>
      </c>
    </row>
    <row r="689" spans="1:9">
      <c r="A689" t="s">
        <v>5838</v>
      </c>
      <c r="B689" t="s">
        <v>6447</v>
      </c>
      <c r="C689">
        <v>1</v>
      </c>
      <c r="D689" t="s">
        <v>5556</v>
      </c>
      <c r="E689">
        <v>0.5</v>
      </c>
      <c r="F689">
        <v>0.88</v>
      </c>
      <c r="H689" t="s">
        <v>4400</v>
      </c>
      <c r="I689" t="s">
        <v>6442</v>
      </c>
    </row>
    <row r="690" spans="1:9">
      <c r="A690" t="s">
        <v>5838</v>
      </c>
      <c r="B690" t="s">
        <v>6448</v>
      </c>
      <c r="C690">
        <v>1</v>
      </c>
      <c r="D690" t="s">
        <v>5556</v>
      </c>
      <c r="E690">
        <v>3</v>
      </c>
      <c r="F690">
        <v>4.5</v>
      </c>
      <c r="H690" t="s">
        <v>4400</v>
      </c>
      <c r="I690" t="s">
        <v>6442</v>
      </c>
    </row>
    <row r="691" spans="1:9">
      <c r="A691" t="s">
        <v>5838</v>
      </c>
      <c r="B691" t="s">
        <v>6449</v>
      </c>
      <c r="C691">
        <v>1</v>
      </c>
      <c r="D691" t="s">
        <v>5556</v>
      </c>
      <c r="E691">
        <v>2</v>
      </c>
      <c r="F691">
        <v>3.52</v>
      </c>
      <c r="H691" t="s">
        <v>4400</v>
      </c>
      <c r="I691" t="s">
        <v>6442</v>
      </c>
    </row>
    <row r="692" spans="1:9">
      <c r="A692" t="s">
        <v>5649</v>
      </c>
      <c r="B692" t="s">
        <v>6450</v>
      </c>
      <c r="C692">
        <v>1</v>
      </c>
      <c r="D692" t="s">
        <v>5556</v>
      </c>
      <c r="E692">
        <v>0.05</v>
      </c>
      <c r="F692">
        <v>7.5</v>
      </c>
      <c r="H692" t="s">
        <v>4400</v>
      </c>
      <c r="I692" t="s">
        <v>6442</v>
      </c>
    </row>
    <row r="693" spans="1:9">
      <c r="A693" t="s">
        <v>5860</v>
      </c>
      <c r="B693" t="s">
        <v>6451</v>
      </c>
      <c r="C693">
        <v>1</v>
      </c>
      <c r="D693" t="s">
        <v>5556</v>
      </c>
      <c r="E693">
        <v>10</v>
      </c>
      <c r="F693">
        <v>17</v>
      </c>
      <c r="H693" t="s">
        <v>4400</v>
      </c>
      <c r="I693" t="s">
        <v>6442</v>
      </c>
    </row>
    <row r="694" spans="1:9">
      <c r="A694" t="s">
        <v>5860</v>
      </c>
      <c r="B694" t="s">
        <v>6452</v>
      </c>
      <c r="C694">
        <v>1</v>
      </c>
      <c r="D694" t="s">
        <v>5556</v>
      </c>
      <c r="E694">
        <v>1.5</v>
      </c>
      <c r="F694">
        <v>0.3</v>
      </c>
      <c r="H694" t="s">
        <v>4400</v>
      </c>
      <c r="I694" t="s">
        <v>6442</v>
      </c>
    </row>
    <row r="695" spans="1:9">
      <c r="A695" t="s">
        <v>5860</v>
      </c>
      <c r="B695" t="s">
        <v>6453</v>
      </c>
      <c r="C695">
        <v>1</v>
      </c>
      <c r="D695" t="s">
        <v>5556</v>
      </c>
      <c r="E695">
        <v>150</v>
      </c>
      <c r="F695">
        <v>180</v>
      </c>
      <c r="H695" t="s">
        <v>4400</v>
      </c>
      <c r="I695" t="s">
        <v>6442</v>
      </c>
    </row>
    <row r="696" spans="1:9">
      <c r="A696" t="s">
        <v>5860</v>
      </c>
      <c r="B696" t="s">
        <v>6454</v>
      </c>
      <c r="C696">
        <v>1</v>
      </c>
      <c r="D696" t="s">
        <v>5556</v>
      </c>
      <c r="E696">
        <v>100</v>
      </c>
      <c r="F696">
        <v>110</v>
      </c>
      <c r="H696" t="s">
        <v>4400</v>
      </c>
      <c r="I696" t="s">
        <v>6442</v>
      </c>
    </row>
    <row r="697" spans="1:9">
      <c r="A697" t="s">
        <v>5860</v>
      </c>
      <c r="B697" t="s">
        <v>6455</v>
      </c>
      <c r="C697">
        <v>1</v>
      </c>
      <c r="D697" t="s">
        <v>5556</v>
      </c>
      <c r="E697">
        <v>1000</v>
      </c>
      <c r="F697">
        <v>4400</v>
      </c>
      <c r="H697" t="s">
        <v>4400</v>
      </c>
      <c r="I697" t="s">
        <v>6442</v>
      </c>
    </row>
    <row r="698" spans="1:9">
      <c r="A698" t="s">
        <v>5917</v>
      </c>
      <c r="B698" t="s">
        <v>6456</v>
      </c>
      <c r="C698">
        <v>1</v>
      </c>
      <c r="D698" t="s">
        <v>5893</v>
      </c>
      <c r="E698">
        <v>2</v>
      </c>
      <c r="F698">
        <v>1.3</v>
      </c>
      <c r="H698" t="s">
        <v>4400</v>
      </c>
      <c r="I698" t="s">
        <v>6442</v>
      </c>
    </row>
    <row r="699" spans="1:9">
      <c r="A699" t="s">
        <v>5652</v>
      </c>
      <c r="B699" t="s">
        <v>6457</v>
      </c>
      <c r="C699">
        <v>1</v>
      </c>
      <c r="D699" t="s">
        <v>5893</v>
      </c>
      <c r="E699">
        <v>0.25</v>
      </c>
      <c r="F699">
        <v>2.6</v>
      </c>
      <c r="H699" t="s">
        <v>4400</v>
      </c>
      <c r="I699" t="s">
        <v>6442</v>
      </c>
    </row>
    <row r="700" spans="1:9">
      <c r="A700" t="s">
        <v>5652</v>
      </c>
      <c r="B700" t="s">
        <v>6458</v>
      </c>
      <c r="C700">
        <v>1</v>
      </c>
      <c r="D700" t="s">
        <v>5893</v>
      </c>
      <c r="E700">
        <v>0.25</v>
      </c>
      <c r="F700">
        <v>2.7</v>
      </c>
      <c r="H700" t="s">
        <v>4400</v>
      </c>
      <c r="I700" t="s">
        <v>6442</v>
      </c>
    </row>
    <row r="701" spans="1:9">
      <c r="A701" t="s">
        <v>6229</v>
      </c>
      <c r="B701" t="s">
        <v>6459</v>
      </c>
      <c r="C701">
        <v>1</v>
      </c>
      <c r="D701" t="s">
        <v>6460</v>
      </c>
      <c r="E701">
        <v>2.5</v>
      </c>
      <c r="F701">
        <v>140</v>
      </c>
      <c r="H701" t="s">
        <v>4400</v>
      </c>
      <c r="I701" t="s">
        <v>6442</v>
      </c>
    </row>
    <row r="702" spans="1:9">
      <c r="A702" t="s">
        <v>6229</v>
      </c>
      <c r="B702" t="s">
        <v>6461</v>
      </c>
      <c r="C702">
        <v>1</v>
      </c>
      <c r="D702" t="s">
        <v>6460</v>
      </c>
      <c r="E702">
        <v>10</v>
      </c>
      <c r="F702">
        <v>553</v>
      </c>
      <c r="H702" t="s">
        <v>4400</v>
      </c>
      <c r="I702" t="s">
        <v>6442</v>
      </c>
    </row>
    <row r="703" spans="1:9">
      <c r="A703" t="s">
        <v>5674</v>
      </c>
      <c r="B703" t="s">
        <v>6462</v>
      </c>
      <c r="C703">
        <v>1</v>
      </c>
      <c r="D703" t="s">
        <v>5746</v>
      </c>
      <c r="E703">
        <v>3</v>
      </c>
      <c r="F703">
        <v>36</v>
      </c>
      <c r="H703" t="s">
        <v>4400</v>
      </c>
      <c r="I703" t="s">
        <v>6442</v>
      </c>
    </row>
    <row r="704" spans="1:9">
      <c r="A704" t="s">
        <v>5674</v>
      </c>
      <c r="B704" t="s">
        <v>6463</v>
      </c>
      <c r="C704">
        <v>1</v>
      </c>
      <c r="D704" t="s">
        <v>5746</v>
      </c>
      <c r="E704">
        <v>2.5</v>
      </c>
      <c r="F704">
        <v>8</v>
      </c>
      <c r="H704" t="s">
        <v>4400</v>
      </c>
      <c r="I704" t="s">
        <v>6442</v>
      </c>
    </row>
    <row r="705" spans="1:9">
      <c r="A705" t="s">
        <v>5674</v>
      </c>
      <c r="B705" t="s">
        <v>6464</v>
      </c>
      <c r="C705">
        <v>1</v>
      </c>
      <c r="D705" t="s">
        <v>5556</v>
      </c>
      <c r="E705">
        <v>0.75</v>
      </c>
      <c r="F705">
        <v>0.88</v>
      </c>
      <c r="H705" t="s">
        <v>4400</v>
      </c>
      <c r="I705" t="s">
        <v>6442</v>
      </c>
    </row>
    <row r="706" spans="1:9">
      <c r="A706" t="s">
        <v>5658</v>
      </c>
      <c r="B706" t="s">
        <v>6465</v>
      </c>
      <c r="C706">
        <v>1</v>
      </c>
      <c r="D706" t="s">
        <v>5635</v>
      </c>
      <c r="E706">
        <v>0.75</v>
      </c>
      <c r="F706">
        <v>4</v>
      </c>
      <c r="H706" t="s">
        <v>4400</v>
      </c>
      <c r="I706" t="s">
        <v>6442</v>
      </c>
    </row>
    <row r="707" spans="1:9">
      <c r="A707" t="s">
        <v>5658</v>
      </c>
      <c r="B707" t="s">
        <v>6466</v>
      </c>
      <c r="C707">
        <v>1</v>
      </c>
      <c r="D707" t="s">
        <v>5556</v>
      </c>
      <c r="E707">
        <v>0.02</v>
      </c>
      <c r="F707">
        <v>4.4000000000000004</v>
      </c>
      <c r="H707" t="s">
        <v>4400</v>
      </c>
      <c r="I707" t="s">
        <v>6442</v>
      </c>
    </row>
    <row r="708" spans="1:9">
      <c r="A708" t="s">
        <v>5658</v>
      </c>
      <c r="B708" t="s">
        <v>6467</v>
      </c>
      <c r="C708">
        <v>1</v>
      </c>
      <c r="D708" t="s">
        <v>5746</v>
      </c>
      <c r="E708">
        <v>0.02</v>
      </c>
      <c r="F708">
        <v>9.0000000000000011E-3</v>
      </c>
      <c r="H708" t="s">
        <v>4400</v>
      </c>
      <c r="I708" t="s">
        <v>6442</v>
      </c>
    </row>
    <row r="709" spans="1:9">
      <c r="A709" t="s">
        <v>5658</v>
      </c>
      <c r="B709" t="s">
        <v>6468</v>
      </c>
      <c r="C709">
        <v>1</v>
      </c>
      <c r="D709" t="s">
        <v>5556</v>
      </c>
      <c r="E709">
        <v>2.5</v>
      </c>
      <c r="F709">
        <v>30</v>
      </c>
      <c r="H709" t="s">
        <v>4400</v>
      </c>
      <c r="I709" t="s">
        <v>6442</v>
      </c>
    </row>
    <row r="710" spans="1:9">
      <c r="A710" t="s">
        <v>5658</v>
      </c>
      <c r="B710" t="s">
        <v>6469</v>
      </c>
      <c r="C710">
        <v>1</v>
      </c>
      <c r="D710" t="s">
        <v>5556</v>
      </c>
      <c r="E710">
        <v>4</v>
      </c>
      <c r="F710">
        <v>35</v>
      </c>
      <c r="H710" t="s">
        <v>4400</v>
      </c>
      <c r="I710" t="s">
        <v>6442</v>
      </c>
    </row>
    <row r="711" spans="1:9">
      <c r="A711" t="s">
        <v>5658</v>
      </c>
      <c r="B711" t="s">
        <v>6470</v>
      </c>
      <c r="C711">
        <v>1</v>
      </c>
      <c r="D711" t="s">
        <v>5556</v>
      </c>
      <c r="E711">
        <v>1</v>
      </c>
      <c r="F711">
        <v>27</v>
      </c>
      <c r="H711" t="s">
        <v>4400</v>
      </c>
      <c r="I711" t="s">
        <v>6442</v>
      </c>
    </row>
    <row r="712" spans="1:9">
      <c r="A712" t="s">
        <v>5658</v>
      </c>
      <c r="B712" t="s">
        <v>6470</v>
      </c>
      <c r="C712">
        <v>1</v>
      </c>
      <c r="D712" t="s">
        <v>5556</v>
      </c>
      <c r="E712">
        <v>1.75</v>
      </c>
      <c r="F712">
        <v>30</v>
      </c>
      <c r="H712" t="s">
        <v>4400</v>
      </c>
      <c r="I712" t="s">
        <v>6442</v>
      </c>
    </row>
    <row r="713" spans="1:9">
      <c r="A713" t="s">
        <v>5658</v>
      </c>
      <c r="B713" t="s">
        <v>6471</v>
      </c>
      <c r="C713">
        <v>1</v>
      </c>
      <c r="D713" t="s">
        <v>5556</v>
      </c>
      <c r="E713">
        <v>1.5</v>
      </c>
      <c r="F713">
        <v>28</v>
      </c>
      <c r="H713" t="s">
        <v>4400</v>
      </c>
      <c r="I713" t="s">
        <v>6442</v>
      </c>
    </row>
    <row r="714" spans="1:9">
      <c r="A714" t="s">
        <v>5658</v>
      </c>
      <c r="B714" t="s">
        <v>6472</v>
      </c>
      <c r="C714">
        <v>1</v>
      </c>
      <c r="D714" t="s">
        <v>5556</v>
      </c>
      <c r="E714">
        <v>0.5</v>
      </c>
      <c r="F714">
        <v>20</v>
      </c>
      <c r="H714" t="s">
        <v>4400</v>
      </c>
      <c r="I714" t="s">
        <v>6442</v>
      </c>
    </row>
    <row r="715" spans="1:9">
      <c r="A715" t="s">
        <v>5658</v>
      </c>
      <c r="B715" t="s">
        <v>6473</v>
      </c>
      <c r="C715">
        <v>1</v>
      </c>
      <c r="D715" t="s">
        <v>5556</v>
      </c>
      <c r="E715">
        <v>2.25</v>
      </c>
      <c r="F715">
        <v>30</v>
      </c>
      <c r="H715" t="s">
        <v>4400</v>
      </c>
      <c r="I715" t="s">
        <v>6442</v>
      </c>
    </row>
    <row r="716" spans="1:9">
      <c r="A716" t="s">
        <v>5658</v>
      </c>
      <c r="B716" t="s">
        <v>6474</v>
      </c>
      <c r="C716">
        <v>1</v>
      </c>
      <c r="D716" t="s">
        <v>5556</v>
      </c>
      <c r="E716">
        <v>2.5</v>
      </c>
      <c r="F716">
        <v>50</v>
      </c>
      <c r="H716" t="s">
        <v>4400</v>
      </c>
      <c r="I716" t="s">
        <v>6442</v>
      </c>
    </row>
    <row r="717" spans="1:9">
      <c r="A717" t="s">
        <v>5658</v>
      </c>
      <c r="B717" t="s">
        <v>6475</v>
      </c>
      <c r="C717">
        <v>1</v>
      </c>
      <c r="D717" t="s">
        <v>5556</v>
      </c>
      <c r="E717">
        <v>3</v>
      </c>
      <c r="F717">
        <v>7</v>
      </c>
      <c r="H717" t="s">
        <v>4400</v>
      </c>
      <c r="I717" t="s">
        <v>6442</v>
      </c>
    </row>
    <row r="718" spans="1:9">
      <c r="A718" t="s">
        <v>5658</v>
      </c>
      <c r="B718" t="s">
        <v>6476</v>
      </c>
      <c r="C718">
        <v>1</v>
      </c>
      <c r="D718" t="s">
        <v>5556</v>
      </c>
      <c r="E718">
        <v>0.38</v>
      </c>
      <c r="F718">
        <v>3.5</v>
      </c>
      <c r="H718" t="s">
        <v>4400</v>
      </c>
      <c r="I718" t="s">
        <v>6442</v>
      </c>
    </row>
    <row r="719" spans="1:9">
      <c r="A719" t="s">
        <v>5658</v>
      </c>
      <c r="B719" t="s">
        <v>6477</v>
      </c>
      <c r="C719">
        <v>1</v>
      </c>
      <c r="D719" t="s">
        <v>5556</v>
      </c>
      <c r="E719">
        <v>0.4</v>
      </c>
      <c r="F719">
        <v>11</v>
      </c>
      <c r="H719" t="s">
        <v>4400</v>
      </c>
      <c r="I719" t="s">
        <v>6442</v>
      </c>
    </row>
    <row r="720" spans="1:9">
      <c r="A720" t="s">
        <v>5658</v>
      </c>
      <c r="B720" t="s">
        <v>6478</v>
      </c>
      <c r="C720">
        <v>1</v>
      </c>
      <c r="D720" t="s">
        <v>5556</v>
      </c>
      <c r="E720">
        <v>0.75</v>
      </c>
      <c r="F720">
        <v>6.6</v>
      </c>
      <c r="H720" t="s">
        <v>4400</v>
      </c>
      <c r="I720" t="s">
        <v>6442</v>
      </c>
    </row>
    <row r="721" spans="1:9">
      <c r="A721" t="s">
        <v>5658</v>
      </c>
      <c r="B721" t="s">
        <v>6479</v>
      </c>
      <c r="C721">
        <v>1</v>
      </c>
      <c r="D721" t="s">
        <v>5556</v>
      </c>
      <c r="E721">
        <v>1.5</v>
      </c>
      <c r="F721">
        <v>5</v>
      </c>
      <c r="H721" t="s">
        <v>4400</v>
      </c>
      <c r="I721" t="s">
        <v>6442</v>
      </c>
    </row>
    <row r="722" spans="1:9">
      <c r="A722" t="s">
        <v>5658</v>
      </c>
      <c r="B722" t="s">
        <v>6480</v>
      </c>
      <c r="C722">
        <v>1</v>
      </c>
      <c r="D722" t="s">
        <v>5556</v>
      </c>
      <c r="E722">
        <v>5</v>
      </c>
      <c r="F722">
        <v>15</v>
      </c>
      <c r="H722" t="s">
        <v>4400</v>
      </c>
      <c r="I722" t="s">
        <v>6442</v>
      </c>
    </row>
    <row r="723" spans="1:9">
      <c r="A723" t="s">
        <v>5658</v>
      </c>
      <c r="B723" t="s">
        <v>6481</v>
      </c>
      <c r="C723">
        <v>1</v>
      </c>
      <c r="D723" t="s">
        <v>5635</v>
      </c>
      <c r="E723">
        <v>1.25</v>
      </c>
      <c r="F723">
        <v>2.2000000000000002</v>
      </c>
      <c r="H723" t="s">
        <v>4400</v>
      </c>
      <c r="I723" t="s">
        <v>6442</v>
      </c>
    </row>
    <row r="724" spans="1:9">
      <c r="A724" t="s">
        <v>5658</v>
      </c>
      <c r="B724" t="s">
        <v>6482</v>
      </c>
      <c r="C724">
        <v>1</v>
      </c>
      <c r="D724" t="s">
        <v>5746</v>
      </c>
      <c r="E724">
        <v>0.75</v>
      </c>
      <c r="F724">
        <v>4.4000000000000004</v>
      </c>
      <c r="H724" t="s">
        <v>4400</v>
      </c>
      <c r="I724" t="s">
        <v>6442</v>
      </c>
    </row>
    <row r="725" spans="1:9">
      <c r="A725" t="s">
        <v>5658</v>
      </c>
      <c r="B725" t="s">
        <v>6483</v>
      </c>
      <c r="C725">
        <v>1</v>
      </c>
      <c r="D725" t="s">
        <v>5556</v>
      </c>
      <c r="E725">
        <v>0.5</v>
      </c>
      <c r="F725">
        <v>20</v>
      </c>
      <c r="H725" t="s">
        <v>4400</v>
      </c>
      <c r="I725" t="s">
        <v>6442</v>
      </c>
    </row>
    <row r="726" spans="1:9">
      <c r="A726" t="s">
        <v>5658</v>
      </c>
      <c r="B726" t="s">
        <v>6484</v>
      </c>
      <c r="C726">
        <v>1</v>
      </c>
      <c r="D726" t="s">
        <v>5556</v>
      </c>
      <c r="E726">
        <v>6.25</v>
      </c>
      <c r="F726">
        <v>90</v>
      </c>
      <c r="H726" t="s">
        <v>4400</v>
      </c>
      <c r="I726" t="s">
        <v>6442</v>
      </c>
    </row>
    <row r="727" spans="1:9">
      <c r="A727" t="s">
        <v>5658</v>
      </c>
      <c r="B727" t="s">
        <v>6485</v>
      </c>
      <c r="C727">
        <v>1</v>
      </c>
      <c r="D727" t="s">
        <v>5556</v>
      </c>
      <c r="E727">
        <v>1.25</v>
      </c>
      <c r="F727">
        <v>5.2</v>
      </c>
      <c r="H727" t="s">
        <v>4400</v>
      </c>
      <c r="I727" t="s">
        <v>6442</v>
      </c>
    </row>
    <row r="728" spans="1:9">
      <c r="A728" t="s">
        <v>5658</v>
      </c>
      <c r="B728" t="s">
        <v>6486</v>
      </c>
      <c r="C728">
        <v>1</v>
      </c>
      <c r="D728" t="s">
        <v>5635</v>
      </c>
      <c r="E728">
        <v>2</v>
      </c>
      <c r="F728">
        <v>1.7</v>
      </c>
      <c r="H728" t="s">
        <v>4400</v>
      </c>
      <c r="I728" t="s">
        <v>6442</v>
      </c>
    </row>
    <row r="729" spans="1:9">
      <c r="A729" t="s">
        <v>5658</v>
      </c>
      <c r="B729" t="s">
        <v>6487</v>
      </c>
      <c r="C729">
        <v>1</v>
      </c>
      <c r="D729" t="s">
        <v>5746</v>
      </c>
      <c r="E729">
        <v>1</v>
      </c>
      <c r="F729">
        <v>5</v>
      </c>
      <c r="H729" t="s">
        <v>4400</v>
      </c>
      <c r="I729" t="s">
        <v>6442</v>
      </c>
    </row>
    <row r="730" spans="1:9">
      <c r="A730" t="s">
        <v>5658</v>
      </c>
      <c r="B730" t="s">
        <v>6488</v>
      </c>
      <c r="C730">
        <v>1</v>
      </c>
      <c r="D730" t="s">
        <v>5556</v>
      </c>
      <c r="E730">
        <v>0.25</v>
      </c>
      <c r="F730">
        <v>1</v>
      </c>
      <c r="H730" t="s">
        <v>4400</v>
      </c>
      <c r="I730" t="s">
        <v>6442</v>
      </c>
    </row>
    <row r="731" spans="1:9">
      <c r="A731" t="s">
        <v>5658</v>
      </c>
      <c r="B731" t="s">
        <v>6489</v>
      </c>
      <c r="C731">
        <v>1</v>
      </c>
      <c r="D731" t="s">
        <v>5556</v>
      </c>
      <c r="E731">
        <v>1.5</v>
      </c>
      <c r="F731">
        <v>8.8000000000000007</v>
      </c>
      <c r="H731" t="s">
        <v>4400</v>
      </c>
      <c r="I731" t="s">
        <v>6442</v>
      </c>
    </row>
    <row r="732" spans="1:9">
      <c r="A732" t="s">
        <v>5658</v>
      </c>
      <c r="B732" t="s">
        <v>6490</v>
      </c>
      <c r="C732">
        <v>1</v>
      </c>
      <c r="D732" t="s">
        <v>5556</v>
      </c>
      <c r="E732">
        <v>2</v>
      </c>
      <c r="F732">
        <v>7</v>
      </c>
      <c r="H732" t="s">
        <v>4400</v>
      </c>
      <c r="I732" t="s">
        <v>6442</v>
      </c>
    </row>
    <row r="733" spans="1:9">
      <c r="A733" t="s">
        <v>5658</v>
      </c>
      <c r="B733" t="s">
        <v>6491</v>
      </c>
      <c r="C733">
        <v>1</v>
      </c>
      <c r="D733" t="s">
        <v>5556</v>
      </c>
      <c r="E733">
        <v>0.4</v>
      </c>
      <c r="F733">
        <v>13.2</v>
      </c>
      <c r="H733" t="s">
        <v>4400</v>
      </c>
      <c r="I733" t="s">
        <v>6442</v>
      </c>
    </row>
    <row r="734" spans="1:9">
      <c r="A734" t="s">
        <v>5658</v>
      </c>
      <c r="B734" t="s">
        <v>6492</v>
      </c>
      <c r="C734">
        <v>1</v>
      </c>
      <c r="D734" t="s">
        <v>5556</v>
      </c>
      <c r="E734">
        <v>1</v>
      </c>
      <c r="F734">
        <v>3.5</v>
      </c>
      <c r="H734" t="s">
        <v>4400</v>
      </c>
      <c r="I734" t="s">
        <v>6442</v>
      </c>
    </row>
    <row r="735" spans="1:9">
      <c r="A735" t="s">
        <v>5658</v>
      </c>
      <c r="B735" t="s">
        <v>6493</v>
      </c>
      <c r="C735">
        <v>1</v>
      </c>
      <c r="D735" t="s">
        <v>5556</v>
      </c>
      <c r="E735">
        <v>0.05</v>
      </c>
      <c r="F735">
        <v>0.46</v>
      </c>
      <c r="H735" t="s">
        <v>4400</v>
      </c>
      <c r="I735" t="s">
        <v>6442</v>
      </c>
    </row>
    <row r="736" spans="1:9">
      <c r="A736" t="s">
        <v>5658</v>
      </c>
      <c r="B736" t="s">
        <v>6494</v>
      </c>
      <c r="C736">
        <v>1</v>
      </c>
      <c r="D736" t="s">
        <v>5556</v>
      </c>
      <c r="E736">
        <v>2.5</v>
      </c>
      <c r="F736">
        <v>30</v>
      </c>
      <c r="H736" t="s">
        <v>4400</v>
      </c>
      <c r="I736" t="s">
        <v>6442</v>
      </c>
    </row>
    <row r="737" spans="1:9">
      <c r="A737" t="s">
        <v>5658</v>
      </c>
      <c r="B737" t="s">
        <v>6495</v>
      </c>
      <c r="C737">
        <v>1</v>
      </c>
      <c r="D737" t="s">
        <v>5556</v>
      </c>
      <c r="E737">
        <v>0.75</v>
      </c>
      <c r="F737">
        <v>20</v>
      </c>
      <c r="H737" t="s">
        <v>4400</v>
      </c>
      <c r="I737" t="s">
        <v>6442</v>
      </c>
    </row>
    <row r="738" spans="1:9">
      <c r="A738" t="s">
        <v>5658</v>
      </c>
      <c r="B738" t="s">
        <v>6496</v>
      </c>
      <c r="C738">
        <v>1</v>
      </c>
      <c r="D738" t="s">
        <v>5556</v>
      </c>
      <c r="E738">
        <v>2</v>
      </c>
      <c r="F738">
        <v>10</v>
      </c>
      <c r="H738" t="s">
        <v>4400</v>
      </c>
      <c r="I738" t="s">
        <v>6442</v>
      </c>
    </row>
    <row r="739" spans="1:9">
      <c r="A739" t="s">
        <v>5658</v>
      </c>
      <c r="B739" t="s">
        <v>6497</v>
      </c>
      <c r="C739">
        <v>1</v>
      </c>
      <c r="D739" t="s">
        <v>5556</v>
      </c>
      <c r="E739">
        <v>0.5</v>
      </c>
      <c r="F739">
        <v>5.3</v>
      </c>
      <c r="H739" t="s">
        <v>4400</v>
      </c>
      <c r="I739" t="s">
        <v>6442</v>
      </c>
    </row>
    <row r="740" spans="1:9">
      <c r="A740" t="s">
        <v>5658</v>
      </c>
      <c r="B740" t="s">
        <v>6498</v>
      </c>
      <c r="C740">
        <v>1</v>
      </c>
      <c r="D740" t="s">
        <v>5556</v>
      </c>
      <c r="E740">
        <v>0.5</v>
      </c>
      <c r="F740">
        <v>20</v>
      </c>
      <c r="H740" t="s">
        <v>4400</v>
      </c>
      <c r="I740" t="s">
        <v>6442</v>
      </c>
    </row>
    <row r="741" spans="1:9">
      <c r="A741" t="s">
        <v>5658</v>
      </c>
      <c r="B741" t="s">
        <v>6499</v>
      </c>
      <c r="C741">
        <v>1</v>
      </c>
      <c r="D741" t="s">
        <v>5556</v>
      </c>
      <c r="E741">
        <v>2.25</v>
      </c>
      <c r="F741">
        <v>22</v>
      </c>
      <c r="H741" t="s">
        <v>4400</v>
      </c>
      <c r="I741" t="s">
        <v>6442</v>
      </c>
    </row>
    <row r="742" spans="1:9">
      <c r="A742" t="s">
        <v>5674</v>
      </c>
      <c r="B742" t="s">
        <v>6500</v>
      </c>
      <c r="C742">
        <v>1</v>
      </c>
      <c r="D742" t="s">
        <v>6501</v>
      </c>
      <c r="E742" t="s">
        <v>5557</v>
      </c>
      <c r="F742">
        <v>0.125</v>
      </c>
      <c r="H742" t="s">
        <v>4400</v>
      </c>
      <c r="I742" t="s">
        <v>6502</v>
      </c>
    </row>
    <row r="743" spans="1:9">
      <c r="A743" t="s">
        <v>5674</v>
      </c>
      <c r="B743" t="s">
        <v>6503</v>
      </c>
      <c r="C743">
        <v>1</v>
      </c>
      <c r="D743" t="s">
        <v>6501</v>
      </c>
      <c r="E743" t="s">
        <v>5557</v>
      </c>
      <c r="F743">
        <v>0.42</v>
      </c>
      <c r="H743" t="s">
        <v>4400</v>
      </c>
      <c r="I743" t="s">
        <v>6502</v>
      </c>
    </row>
    <row r="744" spans="1:9">
      <c r="A744" t="s">
        <v>5674</v>
      </c>
      <c r="B744" t="s">
        <v>6504</v>
      </c>
      <c r="C744">
        <v>1</v>
      </c>
      <c r="D744" t="s">
        <v>5556</v>
      </c>
      <c r="E744">
        <v>1</v>
      </c>
      <c r="F744">
        <v>58</v>
      </c>
      <c r="H744" t="s">
        <v>4400</v>
      </c>
      <c r="I744" t="s">
        <v>6502</v>
      </c>
    </row>
    <row r="745" spans="1:9">
      <c r="A745" t="s">
        <v>5674</v>
      </c>
      <c r="B745" t="s">
        <v>6505</v>
      </c>
      <c r="C745">
        <v>1</v>
      </c>
      <c r="D745" t="s">
        <v>5556</v>
      </c>
      <c r="E745">
        <v>0.5</v>
      </c>
      <c r="F745">
        <v>1</v>
      </c>
      <c r="H745" t="s">
        <v>4400</v>
      </c>
      <c r="I745" t="s">
        <v>6502</v>
      </c>
    </row>
    <row r="746" spans="1:9">
      <c r="A746" t="s">
        <v>5649</v>
      </c>
      <c r="B746" t="s">
        <v>6506</v>
      </c>
      <c r="C746">
        <v>1</v>
      </c>
      <c r="D746" t="s">
        <v>5556</v>
      </c>
      <c r="E746">
        <v>0.05</v>
      </c>
      <c r="F746">
        <v>2.5000000000000001E-2</v>
      </c>
      <c r="H746" t="s">
        <v>4481</v>
      </c>
      <c r="I746" t="s">
        <v>6507</v>
      </c>
    </row>
    <row r="747" spans="1:9">
      <c r="A747" t="s">
        <v>5917</v>
      </c>
      <c r="B747" t="s">
        <v>6508</v>
      </c>
      <c r="C747">
        <v>1</v>
      </c>
      <c r="D747" t="s">
        <v>5556</v>
      </c>
      <c r="E747">
        <v>1.5</v>
      </c>
      <c r="F747">
        <v>0.82000000000000006</v>
      </c>
      <c r="H747" t="s">
        <v>4481</v>
      </c>
      <c r="I747" t="s">
        <v>6507</v>
      </c>
    </row>
    <row r="748" spans="1:9">
      <c r="A748" t="s">
        <v>5917</v>
      </c>
      <c r="B748" t="s">
        <v>6509</v>
      </c>
      <c r="C748">
        <v>1</v>
      </c>
      <c r="D748" t="s">
        <v>5556</v>
      </c>
      <c r="E748">
        <v>2</v>
      </c>
      <c r="F748">
        <v>5.7</v>
      </c>
      <c r="H748" t="s">
        <v>4481</v>
      </c>
      <c r="I748" t="s">
        <v>6507</v>
      </c>
    </row>
    <row r="749" spans="1:9">
      <c r="A749" t="s">
        <v>5917</v>
      </c>
      <c r="B749" t="s">
        <v>6510</v>
      </c>
      <c r="C749">
        <v>1</v>
      </c>
      <c r="D749" t="s">
        <v>5556</v>
      </c>
      <c r="E749">
        <v>2</v>
      </c>
      <c r="F749">
        <v>6</v>
      </c>
      <c r="H749" t="s">
        <v>4481</v>
      </c>
      <c r="I749" t="s">
        <v>6507</v>
      </c>
    </row>
    <row r="750" spans="1:9">
      <c r="A750" t="s">
        <v>5917</v>
      </c>
      <c r="B750" t="s">
        <v>6511</v>
      </c>
      <c r="C750">
        <v>1</v>
      </c>
      <c r="D750" t="s">
        <v>5556</v>
      </c>
      <c r="E750">
        <v>15</v>
      </c>
      <c r="F750">
        <v>10</v>
      </c>
      <c r="H750" t="s">
        <v>4481</v>
      </c>
      <c r="I750" t="s">
        <v>6507</v>
      </c>
    </row>
    <row r="751" spans="1:9">
      <c r="A751" t="s">
        <v>5917</v>
      </c>
      <c r="B751" t="s">
        <v>6512</v>
      </c>
      <c r="C751">
        <v>1</v>
      </c>
      <c r="D751" t="s">
        <v>5556</v>
      </c>
      <c r="E751">
        <v>22.5</v>
      </c>
      <c r="F751">
        <v>15</v>
      </c>
      <c r="H751" t="s">
        <v>4481</v>
      </c>
      <c r="I751" t="s">
        <v>6507</v>
      </c>
    </row>
    <row r="752" spans="1:9">
      <c r="A752" t="s">
        <v>5917</v>
      </c>
      <c r="B752" t="s">
        <v>6513</v>
      </c>
      <c r="C752">
        <v>1</v>
      </c>
      <c r="D752" t="s">
        <v>5556</v>
      </c>
      <c r="E752">
        <v>2</v>
      </c>
      <c r="F752">
        <v>3.5</v>
      </c>
      <c r="H752" t="s">
        <v>4481</v>
      </c>
      <c r="I752" t="s">
        <v>6507</v>
      </c>
    </row>
    <row r="753" spans="1:9">
      <c r="A753" t="s">
        <v>5652</v>
      </c>
      <c r="B753" t="s">
        <v>6514</v>
      </c>
      <c r="C753">
        <v>1</v>
      </c>
      <c r="D753" t="s">
        <v>5556</v>
      </c>
      <c r="E753">
        <v>1.5</v>
      </c>
      <c r="F753">
        <v>0.88</v>
      </c>
      <c r="H753" t="s">
        <v>4481</v>
      </c>
      <c r="I753" t="s">
        <v>6507</v>
      </c>
    </row>
    <row r="754" spans="1:9">
      <c r="A754" t="s">
        <v>5652</v>
      </c>
      <c r="B754" t="s">
        <v>6515</v>
      </c>
      <c r="C754">
        <v>1</v>
      </c>
      <c r="D754" t="s">
        <v>5556</v>
      </c>
      <c r="E754">
        <v>1</v>
      </c>
      <c r="F754">
        <v>2.2000000000000002</v>
      </c>
      <c r="H754" t="s">
        <v>4481</v>
      </c>
      <c r="I754" t="s">
        <v>6507</v>
      </c>
    </row>
    <row r="755" spans="1:9">
      <c r="A755" t="s">
        <v>5652</v>
      </c>
      <c r="B755" t="s">
        <v>6516</v>
      </c>
      <c r="C755">
        <v>1</v>
      </c>
      <c r="D755" t="s">
        <v>5556</v>
      </c>
      <c r="E755">
        <v>12.5</v>
      </c>
      <c r="F755">
        <v>93</v>
      </c>
      <c r="H755" t="s">
        <v>4481</v>
      </c>
      <c r="I755" t="s">
        <v>6507</v>
      </c>
    </row>
    <row r="756" spans="1:9">
      <c r="A756" t="s">
        <v>5674</v>
      </c>
      <c r="B756" t="s">
        <v>6515</v>
      </c>
      <c r="C756">
        <v>1</v>
      </c>
      <c r="D756" t="s">
        <v>5556</v>
      </c>
      <c r="E756">
        <v>1</v>
      </c>
      <c r="F756">
        <v>2.2000000000000002</v>
      </c>
      <c r="H756" t="s">
        <v>4481</v>
      </c>
      <c r="I756" t="s">
        <v>6507</v>
      </c>
    </row>
    <row r="757" spans="1:9">
      <c r="A757" t="s">
        <v>5674</v>
      </c>
      <c r="B757" t="s">
        <v>6517</v>
      </c>
      <c r="C757">
        <v>1</v>
      </c>
      <c r="D757" t="s">
        <v>5556</v>
      </c>
      <c r="E757">
        <v>5</v>
      </c>
      <c r="F757">
        <v>1.25</v>
      </c>
      <c r="H757" t="s">
        <v>4481</v>
      </c>
      <c r="I757" t="s">
        <v>6507</v>
      </c>
    </row>
    <row r="758" spans="1:9">
      <c r="A758" t="s">
        <v>6128</v>
      </c>
      <c r="B758" t="s">
        <v>6518</v>
      </c>
      <c r="C758">
        <v>1</v>
      </c>
      <c r="D758" t="s">
        <v>5556</v>
      </c>
      <c r="E758">
        <v>1.5</v>
      </c>
      <c r="F758">
        <v>6.6</v>
      </c>
      <c r="H758" t="s">
        <v>4481</v>
      </c>
      <c r="I758" t="s">
        <v>6519</v>
      </c>
    </row>
    <row r="759" spans="1:9">
      <c r="A759" t="s">
        <v>6128</v>
      </c>
      <c r="B759" t="s">
        <v>6520</v>
      </c>
      <c r="C759">
        <v>1</v>
      </c>
      <c r="D759" t="s">
        <v>5556</v>
      </c>
      <c r="E759">
        <v>0.2</v>
      </c>
      <c r="F759">
        <v>1.3</v>
      </c>
      <c r="H759" t="s">
        <v>4481</v>
      </c>
      <c r="I759" t="s">
        <v>6519</v>
      </c>
    </row>
    <row r="760" spans="1:9">
      <c r="A760" t="s">
        <v>5947</v>
      </c>
      <c r="B760" t="s">
        <v>6521</v>
      </c>
      <c r="C760">
        <v>1</v>
      </c>
      <c r="D760" t="s">
        <v>5556</v>
      </c>
      <c r="E760">
        <v>0.25</v>
      </c>
      <c r="F760">
        <v>1.76</v>
      </c>
      <c r="H760" t="s">
        <v>4481</v>
      </c>
      <c r="I760" t="s">
        <v>6195</v>
      </c>
    </row>
    <row r="761" spans="1:9">
      <c r="A761" t="s">
        <v>5947</v>
      </c>
      <c r="B761" t="s">
        <v>6522</v>
      </c>
      <c r="C761">
        <v>1</v>
      </c>
      <c r="D761" t="s">
        <v>5556</v>
      </c>
      <c r="E761">
        <v>0.25</v>
      </c>
      <c r="F761">
        <v>50</v>
      </c>
      <c r="H761" t="s">
        <v>4481</v>
      </c>
      <c r="I761" t="s">
        <v>6195</v>
      </c>
    </row>
    <row r="762" spans="1:9">
      <c r="A762" t="s">
        <v>5947</v>
      </c>
      <c r="B762" t="s">
        <v>6523</v>
      </c>
      <c r="C762">
        <v>1</v>
      </c>
      <c r="D762" t="s">
        <v>5556</v>
      </c>
      <c r="E762">
        <v>0.1</v>
      </c>
      <c r="F762">
        <v>7.4999999999999997E-2</v>
      </c>
      <c r="H762" t="s">
        <v>4481</v>
      </c>
      <c r="I762" t="s">
        <v>6195</v>
      </c>
    </row>
    <row r="763" spans="1:9">
      <c r="A763" t="s">
        <v>5947</v>
      </c>
      <c r="B763" t="s">
        <v>6524</v>
      </c>
      <c r="C763">
        <v>1</v>
      </c>
      <c r="D763" t="s">
        <v>5556</v>
      </c>
      <c r="E763">
        <v>0.08</v>
      </c>
      <c r="F763">
        <v>0.13</v>
      </c>
      <c r="H763" t="s">
        <v>4481</v>
      </c>
      <c r="I763" t="s">
        <v>6525</v>
      </c>
    </row>
    <row r="764" spans="1:9">
      <c r="A764" t="s">
        <v>5947</v>
      </c>
      <c r="B764" t="s">
        <v>6526</v>
      </c>
      <c r="C764">
        <v>1</v>
      </c>
      <c r="D764" t="s">
        <v>5556</v>
      </c>
      <c r="E764">
        <v>0.08</v>
      </c>
      <c r="F764">
        <v>2.5</v>
      </c>
      <c r="H764" t="s">
        <v>4481</v>
      </c>
      <c r="I764" t="s">
        <v>6525</v>
      </c>
    </row>
    <row r="765" spans="1:9">
      <c r="A765" t="s">
        <v>5947</v>
      </c>
      <c r="B765" t="s">
        <v>6527</v>
      </c>
      <c r="C765">
        <v>1</v>
      </c>
      <c r="D765" t="s">
        <v>5556</v>
      </c>
      <c r="E765">
        <v>0.25</v>
      </c>
      <c r="F765">
        <v>1.1999999999999999E-3</v>
      </c>
      <c r="H765" t="s">
        <v>4481</v>
      </c>
      <c r="I765" t="s">
        <v>6525</v>
      </c>
    </row>
    <row r="766" spans="1:9">
      <c r="A766" t="s">
        <v>5947</v>
      </c>
      <c r="B766" t="s">
        <v>6528</v>
      </c>
      <c r="C766">
        <v>1</v>
      </c>
      <c r="D766" t="s">
        <v>5556</v>
      </c>
      <c r="E766">
        <v>0.25</v>
      </c>
      <c r="F766">
        <v>70</v>
      </c>
      <c r="H766" t="s">
        <v>4481</v>
      </c>
      <c r="I766" t="s">
        <v>6525</v>
      </c>
    </row>
    <row r="767" spans="1:9">
      <c r="A767" t="s">
        <v>5947</v>
      </c>
      <c r="B767" t="s">
        <v>6529</v>
      </c>
      <c r="C767">
        <v>1</v>
      </c>
      <c r="D767" t="s">
        <v>5556</v>
      </c>
      <c r="E767">
        <v>0.1</v>
      </c>
      <c r="F767">
        <v>0.42</v>
      </c>
      <c r="H767" t="s">
        <v>4481</v>
      </c>
      <c r="I767" t="s">
        <v>6525</v>
      </c>
    </row>
    <row r="768" spans="1:9">
      <c r="A768" t="s">
        <v>5947</v>
      </c>
      <c r="B768" t="s">
        <v>6530</v>
      </c>
      <c r="C768">
        <v>1</v>
      </c>
      <c r="D768" t="s">
        <v>5556</v>
      </c>
      <c r="E768">
        <v>0.1</v>
      </c>
      <c r="F768">
        <v>3.5</v>
      </c>
      <c r="H768" t="s">
        <v>4481</v>
      </c>
      <c r="I768" t="s">
        <v>6525</v>
      </c>
    </row>
    <row r="769" spans="1:9">
      <c r="A769" t="s">
        <v>5947</v>
      </c>
      <c r="B769" t="s">
        <v>6531</v>
      </c>
      <c r="C769">
        <v>1</v>
      </c>
      <c r="D769" t="s">
        <v>5556</v>
      </c>
      <c r="E769">
        <v>0.25</v>
      </c>
      <c r="F769">
        <v>50</v>
      </c>
      <c r="H769" t="s">
        <v>4481</v>
      </c>
      <c r="I769" t="s">
        <v>6525</v>
      </c>
    </row>
    <row r="770" spans="1:9">
      <c r="A770" t="s">
        <v>5947</v>
      </c>
      <c r="B770" t="s">
        <v>6532</v>
      </c>
      <c r="C770">
        <v>1</v>
      </c>
      <c r="D770" t="s">
        <v>5556</v>
      </c>
      <c r="E770">
        <v>0.25</v>
      </c>
      <c r="F770">
        <v>22</v>
      </c>
      <c r="H770" t="s">
        <v>4481</v>
      </c>
      <c r="I770" t="s">
        <v>6525</v>
      </c>
    </row>
    <row r="771" spans="1:9">
      <c r="A771" t="s">
        <v>5947</v>
      </c>
      <c r="B771" t="s">
        <v>6533</v>
      </c>
      <c r="C771">
        <v>1</v>
      </c>
      <c r="D771" t="s">
        <v>5556</v>
      </c>
      <c r="E771">
        <v>0.12</v>
      </c>
      <c r="F771">
        <v>2</v>
      </c>
      <c r="H771" t="s">
        <v>4481</v>
      </c>
      <c r="I771" t="s">
        <v>6525</v>
      </c>
    </row>
    <row r="772" spans="1:9">
      <c r="A772" t="s">
        <v>5947</v>
      </c>
      <c r="B772" t="s">
        <v>6534</v>
      </c>
      <c r="C772">
        <v>1</v>
      </c>
      <c r="D772" t="s">
        <v>5556</v>
      </c>
      <c r="E772">
        <v>0.12</v>
      </c>
      <c r="F772">
        <v>13</v>
      </c>
      <c r="H772" t="s">
        <v>4481</v>
      </c>
      <c r="I772" t="s">
        <v>6525</v>
      </c>
    </row>
    <row r="773" spans="1:9">
      <c r="A773" t="s">
        <v>5947</v>
      </c>
      <c r="B773" t="s">
        <v>6535</v>
      </c>
      <c r="C773">
        <v>1</v>
      </c>
      <c r="D773" t="s">
        <v>5556</v>
      </c>
      <c r="E773">
        <v>0.75</v>
      </c>
      <c r="F773">
        <v>2</v>
      </c>
      <c r="H773" t="s">
        <v>4481</v>
      </c>
      <c r="I773" t="s">
        <v>6525</v>
      </c>
    </row>
    <row r="774" spans="1:9">
      <c r="A774" t="s">
        <v>5947</v>
      </c>
      <c r="B774" t="s">
        <v>6536</v>
      </c>
      <c r="C774">
        <v>1</v>
      </c>
      <c r="D774" t="s">
        <v>5556</v>
      </c>
      <c r="E774">
        <v>0.75</v>
      </c>
      <c r="F774">
        <v>20</v>
      </c>
      <c r="H774" t="s">
        <v>4481</v>
      </c>
      <c r="I774" t="s">
        <v>6525</v>
      </c>
    </row>
    <row r="775" spans="1:9">
      <c r="A775" t="s">
        <v>5947</v>
      </c>
      <c r="B775" t="s">
        <v>6537</v>
      </c>
      <c r="C775">
        <v>1</v>
      </c>
      <c r="D775" t="s">
        <v>5556</v>
      </c>
      <c r="E775">
        <v>0.08</v>
      </c>
      <c r="F775">
        <v>7.4999999999999997E-2</v>
      </c>
      <c r="H775" t="s">
        <v>4481</v>
      </c>
      <c r="I775" t="s">
        <v>6525</v>
      </c>
    </row>
    <row r="776" spans="1:9">
      <c r="A776" t="s">
        <v>5947</v>
      </c>
      <c r="B776" t="s">
        <v>6538</v>
      </c>
      <c r="C776">
        <v>1</v>
      </c>
      <c r="D776" t="s">
        <v>5556</v>
      </c>
      <c r="E776">
        <v>0.1</v>
      </c>
      <c r="F776">
        <v>0.05</v>
      </c>
      <c r="H776" t="s">
        <v>4481</v>
      </c>
      <c r="I776" t="s">
        <v>6525</v>
      </c>
    </row>
    <row r="777" spans="1:9">
      <c r="A777" t="s">
        <v>5947</v>
      </c>
      <c r="B777" t="s">
        <v>6539</v>
      </c>
      <c r="C777">
        <v>1</v>
      </c>
      <c r="D777" t="s">
        <v>5556</v>
      </c>
      <c r="E777">
        <v>0.1</v>
      </c>
      <c r="F777">
        <v>1</v>
      </c>
      <c r="H777" t="s">
        <v>4481</v>
      </c>
      <c r="I777" t="s">
        <v>6525</v>
      </c>
    </row>
    <row r="778" spans="1:9">
      <c r="A778" t="s">
        <v>5947</v>
      </c>
      <c r="B778" t="s">
        <v>6540</v>
      </c>
      <c r="C778">
        <v>1</v>
      </c>
      <c r="D778" t="s">
        <v>5556</v>
      </c>
      <c r="E778">
        <v>0.05</v>
      </c>
      <c r="F778">
        <v>0.12</v>
      </c>
      <c r="H778" t="s">
        <v>4481</v>
      </c>
      <c r="I778" t="s">
        <v>6525</v>
      </c>
    </row>
    <row r="779" spans="1:9">
      <c r="A779" t="s">
        <v>5947</v>
      </c>
      <c r="B779" t="s">
        <v>6541</v>
      </c>
      <c r="C779">
        <v>1</v>
      </c>
      <c r="D779" t="s">
        <v>5556</v>
      </c>
      <c r="E779">
        <v>0.05</v>
      </c>
      <c r="F779">
        <v>2</v>
      </c>
      <c r="H779" t="s">
        <v>4481</v>
      </c>
      <c r="I779" t="s">
        <v>6525</v>
      </c>
    </row>
    <row r="780" spans="1:9">
      <c r="A780" t="s">
        <v>5947</v>
      </c>
      <c r="B780" t="s">
        <v>6542</v>
      </c>
      <c r="C780">
        <v>1</v>
      </c>
      <c r="D780" t="s">
        <v>5556</v>
      </c>
      <c r="E780">
        <v>2</v>
      </c>
      <c r="F780">
        <v>3.5</v>
      </c>
      <c r="H780" t="s">
        <v>4481</v>
      </c>
      <c r="I780" t="s">
        <v>6198</v>
      </c>
    </row>
    <row r="781" spans="1:9">
      <c r="A781" t="s">
        <v>5947</v>
      </c>
      <c r="B781" t="s">
        <v>6543</v>
      </c>
      <c r="C781">
        <v>1</v>
      </c>
      <c r="D781" t="s">
        <v>5556</v>
      </c>
      <c r="E781">
        <v>2</v>
      </c>
      <c r="F781">
        <v>52.8</v>
      </c>
      <c r="H781" t="s">
        <v>4481</v>
      </c>
      <c r="I781" t="s">
        <v>6198</v>
      </c>
    </row>
    <row r="782" spans="1:9">
      <c r="A782" t="s">
        <v>5947</v>
      </c>
      <c r="B782" t="s">
        <v>6544</v>
      </c>
      <c r="C782">
        <v>1</v>
      </c>
      <c r="D782" t="s">
        <v>5556</v>
      </c>
      <c r="E782">
        <v>0.38</v>
      </c>
      <c r="F782">
        <v>1.3</v>
      </c>
      <c r="H782" t="s">
        <v>4481</v>
      </c>
      <c r="I782" t="s">
        <v>6198</v>
      </c>
    </row>
    <row r="783" spans="1:9">
      <c r="A783" t="s">
        <v>5947</v>
      </c>
      <c r="B783" t="s">
        <v>6545</v>
      </c>
      <c r="C783">
        <v>1</v>
      </c>
      <c r="D783" t="s">
        <v>5556</v>
      </c>
      <c r="E783">
        <v>0.38</v>
      </c>
      <c r="F783">
        <v>13.2</v>
      </c>
      <c r="H783" t="s">
        <v>4481</v>
      </c>
      <c r="I783" t="s">
        <v>6198</v>
      </c>
    </row>
    <row r="784" spans="1:9">
      <c r="A784" t="s">
        <v>5947</v>
      </c>
      <c r="B784" t="s">
        <v>6546</v>
      </c>
      <c r="C784">
        <v>1</v>
      </c>
      <c r="D784" t="s">
        <v>5556</v>
      </c>
      <c r="E784">
        <v>0.6</v>
      </c>
      <c r="F784">
        <v>0.5</v>
      </c>
      <c r="H784" t="s">
        <v>4481</v>
      </c>
      <c r="I784" t="s">
        <v>6198</v>
      </c>
    </row>
    <row r="785" spans="1:9">
      <c r="A785" t="s">
        <v>5947</v>
      </c>
      <c r="B785" t="s">
        <v>6547</v>
      </c>
      <c r="C785">
        <v>1</v>
      </c>
      <c r="D785" t="s">
        <v>5556</v>
      </c>
      <c r="E785">
        <v>0.6</v>
      </c>
      <c r="F785">
        <v>1</v>
      </c>
      <c r="H785" t="s">
        <v>4481</v>
      </c>
      <c r="I785" t="s">
        <v>6198</v>
      </c>
    </row>
    <row r="786" spans="1:9">
      <c r="A786" t="s">
        <v>5947</v>
      </c>
      <c r="B786" t="s">
        <v>6548</v>
      </c>
      <c r="C786">
        <v>1</v>
      </c>
      <c r="D786" t="s">
        <v>5556</v>
      </c>
      <c r="E786">
        <v>0.75</v>
      </c>
      <c r="F786">
        <v>0.4</v>
      </c>
      <c r="H786" t="s">
        <v>4481</v>
      </c>
      <c r="I786" t="s">
        <v>6198</v>
      </c>
    </row>
    <row r="787" spans="1:9">
      <c r="A787" t="s">
        <v>5947</v>
      </c>
      <c r="B787" t="s">
        <v>6549</v>
      </c>
      <c r="C787">
        <v>1</v>
      </c>
      <c r="D787" t="s">
        <v>5556</v>
      </c>
      <c r="E787">
        <v>0.75</v>
      </c>
      <c r="F787">
        <v>2</v>
      </c>
      <c r="H787" t="s">
        <v>4481</v>
      </c>
      <c r="I787" t="s">
        <v>6198</v>
      </c>
    </row>
    <row r="788" spans="1:9">
      <c r="A788" t="s">
        <v>5947</v>
      </c>
      <c r="B788" t="s">
        <v>6550</v>
      </c>
      <c r="C788">
        <v>1</v>
      </c>
      <c r="D788" t="s">
        <v>5556</v>
      </c>
      <c r="E788">
        <v>1.25</v>
      </c>
      <c r="F788">
        <v>1</v>
      </c>
      <c r="H788" t="s">
        <v>4481</v>
      </c>
      <c r="I788" t="s">
        <v>6198</v>
      </c>
    </row>
    <row r="789" spans="1:9">
      <c r="A789" t="s">
        <v>5947</v>
      </c>
      <c r="B789" t="s">
        <v>6551</v>
      </c>
      <c r="C789">
        <v>1</v>
      </c>
      <c r="D789" t="s">
        <v>5556</v>
      </c>
      <c r="E789">
        <v>1.25</v>
      </c>
      <c r="F789">
        <v>90</v>
      </c>
      <c r="H789" t="s">
        <v>4481</v>
      </c>
      <c r="I789" t="s">
        <v>6198</v>
      </c>
    </row>
    <row r="790" spans="1:9">
      <c r="A790" t="s">
        <v>5947</v>
      </c>
      <c r="B790" t="s">
        <v>6552</v>
      </c>
      <c r="C790">
        <v>1</v>
      </c>
      <c r="D790" t="s">
        <v>5556</v>
      </c>
      <c r="E790">
        <v>1.25</v>
      </c>
      <c r="F790">
        <v>0.8</v>
      </c>
      <c r="H790" t="s">
        <v>4481</v>
      </c>
      <c r="I790" t="s">
        <v>6198</v>
      </c>
    </row>
    <row r="791" spans="1:9">
      <c r="A791" t="s">
        <v>5947</v>
      </c>
      <c r="B791" t="s">
        <v>6553</v>
      </c>
      <c r="C791">
        <v>1</v>
      </c>
      <c r="D791" t="s">
        <v>5556</v>
      </c>
      <c r="E791">
        <v>1.25</v>
      </c>
      <c r="F791">
        <v>3.5</v>
      </c>
      <c r="H791" t="s">
        <v>4481</v>
      </c>
      <c r="I791" t="s">
        <v>6198</v>
      </c>
    </row>
    <row r="792" spans="1:9">
      <c r="A792" t="s">
        <v>5947</v>
      </c>
      <c r="B792" t="s">
        <v>6554</v>
      </c>
      <c r="C792">
        <v>1</v>
      </c>
      <c r="D792" t="s">
        <v>5556</v>
      </c>
      <c r="E792">
        <v>0.2</v>
      </c>
      <c r="F792">
        <v>1</v>
      </c>
      <c r="H792" t="s">
        <v>4481</v>
      </c>
      <c r="I792" t="s">
        <v>6198</v>
      </c>
    </row>
    <row r="793" spans="1:9">
      <c r="A793" t="s">
        <v>5947</v>
      </c>
      <c r="B793" t="s">
        <v>6555</v>
      </c>
      <c r="C793">
        <v>1</v>
      </c>
      <c r="D793" t="s">
        <v>5556</v>
      </c>
      <c r="E793">
        <v>0.2</v>
      </c>
      <c r="F793">
        <v>10</v>
      </c>
      <c r="H793" t="s">
        <v>4481</v>
      </c>
      <c r="I793" t="s">
        <v>6198</v>
      </c>
    </row>
    <row r="794" spans="1:9">
      <c r="A794" t="s">
        <v>5947</v>
      </c>
      <c r="B794" t="s">
        <v>6556</v>
      </c>
      <c r="C794">
        <v>1</v>
      </c>
      <c r="D794" t="s">
        <v>5556</v>
      </c>
      <c r="E794">
        <v>0.03</v>
      </c>
      <c r="F794">
        <v>0.1</v>
      </c>
      <c r="H794" t="s">
        <v>4481</v>
      </c>
      <c r="I794" t="s">
        <v>6198</v>
      </c>
    </row>
    <row r="795" spans="1:9">
      <c r="A795" t="s">
        <v>5947</v>
      </c>
      <c r="B795" t="s">
        <v>6557</v>
      </c>
      <c r="C795">
        <v>1</v>
      </c>
      <c r="D795" t="s">
        <v>5556</v>
      </c>
      <c r="E795">
        <v>0.03</v>
      </c>
      <c r="F795">
        <v>5</v>
      </c>
      <c r="H795" t="s">
        <v>4481</v>
      </c>
      <c r="I795" t="s">
        <v>6198</v>
      </c>
    </row>
    <row r="796" spans="1:9">
      <c r="A796" t="s">
        <v>5947</v>
      </c>
      <c r="B796" t="s">
        <v>6558</v>
      </c>
      <c r="C796">
        <v>1</v>
      </c>
      <c r="D796" t="s">
        <v>5556</v>
      </c>
      <c r="E796">
        <v>0.25</v>
      </c>
      <c r="F796">
        <v>0.2</v>
      </c>
      <c r="H796" t="s">
        <v>4481</v>
      </c>
      <c r="I796" t="s">
        <v>6198</v>
      </c>
    </row>
    <row r="797" spans="1:9">
      <c r="A797" t="s">
        <v>5947</v>
      </c>
      <c r="B797" t="s">
        <v>6559</v>
      </c>
      <c r="C797">
        <v>1</v>
      </c>
      <c r="D797" t="s">
        <v>5556</v>
      </c>
      <c r="E797">
        <v>0.25</v>
      </c>
      <c r="F797">
        <v>3.5</v>
      </c>
      <c r="H797" t="s">
        <v>4481</v>
      </c>
      <c r="I797" t="s">
        <v>6198</v>
      </c>
    </row>
    <row r="798" spans="1:9">
      <c r="A798" t="s">
        <v>5947</v>
      </c>
      <c r="B798" t="s">
        <v>6560</v>
      </c>
      <c r="C798">
        <v>1</v>
      </c>
      <c r="D798" t="s">
        <v>5556</v>
      </c>
      <c r="E798">
        <v>0.88</v>
      </c>
      <c r="F798">
        <v>1</v>
      </c>
      <c r="H798" t="s">
        <v>4481</v>
      </c>
      <c r="I798" t="s">
        <v>6198</v>
      </c>
    </row>
    <row r="799" spans="1:9">
      <c r="A799" t="s">
        <v>5947</v>
      </c>
      <c r="B799" t="s">
        <v>6561</v>
      </c>
      <c r="C799">
        <v>1</v>
      </c>
      <c r="D799" t="s">
        <v>5556</v>
      </c>
      <c r="E799">
        <v>0.88</v>
      </c>
      <c r="F799">
        <v>10</v>
      </c>
      <c r="H799" t="s">
        <v>4481</v>
      </c>
      <c r="I799" t="s">
        <v>6198</v>
      </c>
    </row>
    <row r="800" spans="1:9">
      <c r="A800" t="s">
        <v>5947</v>
      </c>
      <c r="B800" t="s">
        <v>6562</v>
      </c>
      <c r="C800">
        <v>1</v>
      </c>
      <c r="D800" t="s">
        <v>5556</v>
      </c>
      <c r="E800">
        <v>1.5</v>
      </c>
      <c r="F800">
        <v>1.8E-3</v>
      </c>
      <c r="H800" t="s">
        <v>4481</v>
      </c>
      <c r="I800" t="s">
        <v>6198</v>
      </c>
    </row>
    <row r="801" spans="1:9">
      <c r="A801" t="s">
        <v>5947</v>
      </c>
      <c r="B801" t="s">
        <v>6563</v>
      </c>
      <c r="C801">
        <v>1</v>
      </c>
      <c r="D801" t="s">
        <v>5556</v>
      </c>
      <c r="E801">
        <v>1.5</v>
      </c>
      <c r="F801">
        <v>13.1</v>
      </c>
      <c r="H801" t="s">
        <v>4481</v>
      </c>
      <c r="I801" t="s">
        <v>6198</v>
      </c>
    </row>
    <row r="802" spans="1:9">
      <c r="A802" t="s">
        <v>5947</v>
      </c>
      <c r="B802" t="s">
        <v>6564</v>
      </c>
      <c r="C802">
        <v>1</v>
      </c>
      <c r="D802" t="s">
        <v>5556</v>
      </c>
      <c r="E802">
        <v>0.75</v>
      </c>
      <c r="F802">
        <v>0.81</v>
      </c>
      <c r="H802" t="s">
        <v>4481</v>
      </c>
      <c r="I802" t="s">
        <v>6198</v>
      </c>
    </row>
    <row r="803" spans="1:9">
      <c r="A803" t="s">
        <v>5947</v>
      </c>
      <c r="B803" t="s">
        <v>6565</v>
      </c>
      <c r="C803">
        <v>1</v>
      </c>
      <c r="D803" t="s">
        <v>5556</v>
      </c>
      <c r="E803">
        <v>0.75</v>
      </c>
      <c r="F803">
        <v>50</v>
      </c>
      <c r="H803" t="s">
        <v>4481</v>
      </c>
      <c r="I803" t="s">
        <v>6198</v>
      </c>
    </row>
    <row r="804" spans="1:9">
      <c r="A804" t="s">
        <v>5947</v>
      </c>
      <c r="B804" t="s">
        <v>6566</v>
      </c>
      <c r="C804">
        <v>1</v>
      </c>
      <c r="D804" t="s">
        <v>5556</v>
      </c>
      <c r="E804">
        <v>1.5</v>
      </c>
      <c r="F804">
        <v>2.5</v>
      </c>
      <c r="H804" t="s">
        <v>4481</v>
      </c>
      <c r="I804" t="s">
        <v>6198</v>
      </c>
    </row>
    <row r="805" spans="1:9">
      <c r="A805" t="s">
        <v>5947</v>
      </c>
      <c r="B805" t="s">
        <v>6567</v>
      </c>
      <c r="C805">
        <v>1</v>
      </c>
      <c r="D805" t="s">
        <v>5556</v>
      </c>
      <c r="E805">
        <v>1</v>
      </c>
      <c r="F805">
        <v>0.9</v>
      </c>
      <c r="H805" t="s">
        <v>4481</v>
      </c>
      <c r="I805" t="s">
        <v>6198</v>
      </c>
    </row>
    <row r="806" spans="1:9">
      <c r="A806" t="s">
        <v>5947</v>
      </c>
      <c r="B806" t="s">
        <v>6568</v>
      </c>
      <c r="C806">
        <v>1</v>
      </c>
      <c r="D806" t="s">
        <v>5556</v>
      </c>
      <c r="E806">
        <v>1</v>
      </c>
      <c r="F806">
        <v>55</v>
      </c>
      <c r="H806" t="s">
        <v>4481</v>
      </c>
      <c r="I806" t="s">
        <v>6198</v>
      </c>
    </row>
    <row r="807" spans="1:9">
      <c r="A807" t="s">
        <v>5947</v>
      </c>
      <c r="B807" t="s">
        <v>6569</v>
      </c>
      <c r="C807">
        <v>1</v>
      </c>
      <c r="D807" t="s">
        <v>5556</v>
      </c>
      <c r="E807">
        <v>0.75</v>
      </c>
      <c r="F807">
        <v>1.76</v>
      </c>
      <c r="H807" t="s">
        <v>4481</v>
      </c>
      <c r="I807" t="s">
        <v>6198</v>
      </c>
    </row>
    <row r="808" spans="1:9">
      <c r="A808" t="s">
        <v>5947</v>
      </c>
      <c r="B808" t="s">
        <v>6570</v>
      </c>
      <c r="C808">
        <v>1</v>
      </c>
      <c r="D808" t="s">
        <v>5556</v>
      </c>
      <c r="E808">
        <v>0.75</v>
      </c>
      <c r="F808">
        <v>35.200000000000003</v>
      </c>
      <c r="H808" t="s">
        <v>4481</v>
      </c>
      <c r="I808" t="s">
        <v>6198</v>
      </c>
    </row>
    <row r="809" spans="1:9">
      <c r="A809" t="s">
        <v>5947</v>
      </c>
      <c r="B809" t="s">
        <v>6571</v>
      </c>
      <c r="C809">
        <v>1</v>
      </c>
      <c r="D809" t="s">
        <v>5556</v>
      </c>
      <c r="E809">
        <v>1</v>
      </c>
      <c r="F809">
        <v>0.5</v>
      </c>
      <c r="H809" t="s">
        <v>4481</v>
      </c>
      <c r="I809" t="s">
        <v>6198</v>
      </c>
    </row>
    <row r="810" spans="1:9">
      <c r="A810" t="s">
        <v>5947</v>
      </c>
      <c r="B810" t="s">
        <v>6572</v>
      </c>
      <c r="C810">
        <v>1</v>
      </c>
      <c r="D810" t="s">
        <v>5556</v>
      </c>
      <c r="E810">
        <v>1</v>
      </c>
      <c r="F810">
        <v>26</v>
      </c>
      <c r="H810" t="s">
        <v>4481</v>
      </c>
      <c r="I810" t="s">
        <v>6198</v>
      </c>
    </row>
    <row r="811" spans="1:9">
      <c r="A811" t="s">
        <v>5947</v>
      </c>
      <c r="B811" t="s">
        <v>6573</v>
      </c>
      <c r="C811">
        <v>1</v>
      </c>
      <c r="D811" t="s">
        <v>5556</v>
      </c>
      <c r="E811">
        <v>1.25</v>
      </c>
      <c r="F811">
        <v>0.45</v>
      </c>
      <c r="H811" t="s">
        <v>4481</v>
      </c>
      <c r="I811" t="s">
        <v>6198</v>
      </c>
    </row>
    <row r="812" spans="1:9">
      <c r="A812" t="s">
        <v>5947</v>
      </c>
      <c r="B812" t="s">
        <v>6574</v>
      </c>
      <c r="C812">
        <v>1</v>
      </c>
      <c r="D812" t="s">
        <v>5556</v>
      </c>
      <c r="E812">
        <v>1.25</v>
      </c>
      <c r="F812">
        <v>26</v>
      </c>
      <c r="H812" t="s">
        <v>4481</v>
      </c>
      <c r="I812" t="s">
        <v>6198</v>
      </c>
    </row>
    <row r="813" spans="1:9">
      <c r="A813" t="s">
        <v>5947</v>
      </c>
      <c r="B813" t="s">
        <v>6575</v>
      </c>
      <c r="C813">
        <v>1</v>
      </c>
      <c r="D813" t="s">
        <v>5556</v>
      </c>
      <c r="E813">
        <v>2</v>
      </c>
      <c r="F813">
        <v>0.9</v>
      </c>
      <c r="H813" t="s">
        <v>4481</v>
      </c>
      <c r="I813" t="s">
        <v>6198</v>
      </c>
    </row>
    <row r="814" spans="1:9">
      <c r="A814" t="s">
        <v>5947</v>
      </c>
      <c r="B814" t="s">
        <v>6576</v>
      </c>
      <c r="C814">
        <v>1</v>
      </c>
      <c r="D814" t="s">
        <v>5556</v>
      </c>
      <c r="E814">
        <v>2</v>
      </c>
      <c r="F814">
        <v>3.5</v>
      </c>
      <c r="H814" t="s">
        <v>4481</v>
      </c>
      <c r="I814" t="s">
        <v>6198</v>
      </c>
    </row>
    <row r="815" spans="1:9">
      <c r="A815" t="s">
        <v>5947</v>
      </c>
      <c r="B815" t="s">
        <v>6577</v>
      </c>
      <c r="C815">
        <v>1</v>
      </c>
      <c r="D815" t="s">
        <v>5556</v>
      </c>
      <c r="E815">
        <v>0.75</v>
      </c>
      <c r="F815">
        <v>2.1</v>
      </c>
      <c r="H815" t="s">
        <v>4481</v>
      </c>
      <c r="I815" t="s">
        <v>6198</v>
      </c>
    </row>
    <row r="816" spans="1:9">
      <c r="A816" t="s">
        <v>5947</v>
      </c>
      <c r="B816" t="s">
        <v>6578</v>
      </c>
      <c r="C816">
        <v>1</v>
      </c>
      <c r="D816" t="s">
        <v>5556</v>
      </c>
      <c r="E816">
        <v>0.75</v>
      </c>
      <c r="F816">
        <v>50</v>
      </c>
      <c r="H816" t="s">
        <v>4481</v>
      </c>
      <c r="I816" t="s">
        <v>6198</v>
      </c>
    </row>
    <row r="817" spans="1:9">
      <c r="A817" t="s">
        <v>5947</v>
      </c>
      <c r="B817" t="s">
        <v>6579</v>
      </c>
      <c r="C817">
        <v>1</v>
      </c>
      <c r="D817" t="s">
        <v>5556</v>
      </c>
      <c r="E817">
        <v>3</v>
      </c>
      <c r="F817">
        <v>150</v>
      </c>
      <c r="H817" t="s">
        <v>4481</v>
      </c>
      <c r="I817" t="s">
        <v>6198</v>
      </c>
    </row>
    <row r="818" spans="1:9">
      <c r="A818" t="s">
        <v>5947</v>
      </c>
      <c r="B818" t="s">
        <v>6580</v>
      </c>
      <c r="C818">
        <v>1</v>
      </c>
      <c r="D818" t="s">
        <v>5556</v>
      </c>
      <c r="E818">
        <v>3</v>
      </c>
      <c r="F818">
        <v>53</v>
      </c>
      <c r="H818" t="s">
        <v>4481</v>
      </c>
      <c r="I818" t="s">
        <v>6198</v>
      </c>
    </row>
    <row r="819" spans="1:9">
      <c r="A819" t="s">
        <v>5947</v>
      </c>
      <c r="B819" t="s">
        <v>6581</v>
      </c>
      <c r="C819">
        <v>1</v>
      </c>
      <c r="D819" t="s">
        <v>5556</v>
      </c>
      <c r="E819">
        <v>2</v>
      </c>
      <c r="F819">
        <v>3.5</v>
      </c>
      <c r="H819" t="s">
        <v>4481</v>
      </c>
      <c r="I819" t="s">
        <v>6198</v>
      </c>
    </row>
    <row r="820" spans="1:9">
      <c r="A820" t="s">
        <v>5947</v>
      </c>
      <c r="B820" t="s">
        <v>6582</v>
      </c>
      <c r="C820">
        <v>1</v>
      </c>
      <c r="D820" t="s">
        <v>5556</v>
      </c>
      <c r="E820">
        <v>2</v>
      </c>
      <c r="F820">
        <v>35</v>
      </c>
      <c r="H820" t="s">
        <v>4481</v>
      </c>
      <c r="I820" t="s">
        <v>6198</v>
      </c>
    </row>
    <row r="821" spans="1:9">
      <c r="A821" t="s">
        <v>5947</v>
      </c>
      <c r="B821" t="s">
        <v>6583</v>
      </c>
      <c r="C821">
        <v>1</v>
      </c>
      <c r="D821" t="s">
        <v>5556</v>
      </c>
      <c r="E821">
        <v>1.5</v>
      </c>
      <c r="F821">
        <v>1.4</v>
      </c>
      <c r="H821" t="s">
        <v>4481</v>
      </c>
      <c r="I821" t="s">
        <v>6198</v>
      </c>
    </row>
    <row r="822" spans="1:9">
      <c r="A822" t="s">
        <v>5947</v>
      </c>
      <c r="B822" t="s">
        <v>6584</v>
      </c>
      <c r="C822">
        <v>1</v>
      </c>
      <c r="D822" t="s">
        <v>5556</v>
      </c>
      <c r="E822">
        <v>1.5</v>
      </c>
      <c r="F822">
        <v>13</v>
      </c>
      <c r="H822" t="s">
        <v>4481</v>
      </c>
      <c r="I822" t="s">
        <v>6198</v>
      </c>
    </row>
    <row r="823" spans="1:9">
      <c r="A823" t="s">
        <v>5947</v>
      </c>
      <c r="B823" t="s">
        <v>6585</v>
      </c>
      <c r="C823">
        <v>1</v>
      </c>
      <c r="D823" t="s">
        <v>5556</v>
      </c>
      <c r="E823">
        <v>0.75</v>
      </c>
      <c r="F823">
        <v>1.86</v>
      </c>
      <c r="H823" t="s">
        <v>4481</v>
      </c>
      <c r="I823" t="s">
        <v>6198</v>
      </c>
    </row>
    <row r="824" spans="1:9">
      <c r="A824" t="s">
        <v>5947</v>
      </c>
      <c r="B824" t="s">
        <v>6586</v>
      </c>
      <c r="C824">
        <v>1</v>
      </c>
      <c r="D824" t="s">
        <v>5556</v>
      </c>
      <c r="E824">
        <v>0.75</v>
      </c>
      <c r="F824">
        <v>85</v>
      </c>
      <c r="H824" t="s">
        <v>4481</v>
      </c>
      <c r="I824" t="s">
        <v>6198</v>
      </c>
    </row>
    <row r="825" spans="1:9">
      <c r="A825" t="s">
        <v>5947</v>
      </c>
      <c r="B825" t="s">
        <v>6587</v>
      </c>
      <c r="C825">
        <v>1</v>
      </c>
      <c r="D825" t="s">
        <v>5556</v>
      </c>
      <c r="E825">
        <v>0.6</v>
      </c>
      <c r="F825">
        <v>1.5</v>
      </c>
      <c r="H825" t="s">
        <v>4481</v>
      </c>
      <c r="I825" t="s">
        <v>6198</v>
      </c>
    </row>
    <row r="826" spans="1:9">
      <c r="A826" t="s">
        <v>5947</v>
      </c>
      <c r="B826" t="s">
        <v>6588</v>
      </c>
      <c r="C826">
        <v>1</v>
      </c>
      <c r="D826" t="s">
        <v>5556</v>
      </c>
      <c r="E826">
        <v>0.6</v>
      </c>
      <c r="F826">
        <v>20</v>
      </c>
      <c r="H826" t="s">
        <v>4481</v>
      </c>
      <c r="I826" t="s">
        <v>6198</v>
      </c>
    </row>
    <row r="827" spans="1:9">
      <c r="A827" t="s">
        <v>5947</v>
      </c>
      <c r="B827" t="s">
        <v>6589</v>
      </c>
      <c r="C827">
        <v>1</v>
      </c>
      <c r="D827" t="s">
        <v>5556</v>
      </c>
      <c r="E827">
        <v>1.25</v>
      </c>
      <c r="F827">
        <v>2.5</v>
      </c>
      <c r="H827" t="s">
        <v>4481</v>
      </c>
      <c r="I827" t="s">
        <v>6198</v>
      </c>
    </row>
    <row r="828" spans="1:9">
      <c r="A828" t="s">
        <v>5947</v>
      </c>
      <c r="B828" t="s">
        <v>6590</v>
      </c>
      <c r="C828">
        <v>1</v>
      </c>
      <c r="D828" t="s">
        <v>5556</v>
      </c>
      <c r="E828">
        <v>1.25</v>
      </c>
      <c r="F828">
        <v>27</v>
      </c>
      <c r="H828" t="s">
        <v>4481</v>
      </c>
      <c r="I828" t="s">
        <v>6198</v>
      </c>
    </row>
    <row r="829" spans="1:9">
      <c r="A829" t="s">
        <v>5947</v>
      </c>
      <c r="B829" t="s">
        <v>6591</v>
      </c>
      <c r="C829">
        <v>1</v>
      </c>
      <c r="D829" t="s">
        <v>5556</v>
      </c>
      <c r="E829">
        <v>0.8</v>
      </c>
      <c r="F829">
        <v>0.35</v>
      </c>
      <c r="H829" t="s">
        <v>4481</v>
      </c>
      <c r="I829" t="s">
        <v>6198</v>
      </c>
    </row>
    <row r="830" spans="1:9">
      <c r="A830" t="s">
        <v>5947</v>
      </c>
      <c r="B830" t="s">
        <v>6592</v>
      </c>
      <c r="C830">
        <v>1</v>
      </c>
      <c r="D830" t="s">
        <v>5556</v>
      </c>
      <c r="E830">
        <v>0.8</v>
      </c>
      <c r="F830">
        <v>17</v>
      </c>
      <c r="H830" t="s">
        <v>4481</v>
      </c>
      <c r="I830" t="s">
        <v>6198</v>
      </c>
    </row>
    <row r="831" spans="1:9">
      <c r="A831" t="s">
        <v>5947</v>
      </c>
      <c r="B831" t="s">
        <v>6593</v>
      </c>
      <c r="C831">
        <v>1</v>
      </c>
      <c r="D831" t="s">
        <v>5556</v>
      </c>
      <c r="E831">
        <v>1.1000000000000001</v>
      </c>
      <c r="F831">
        <v>0.45</v>
      </c>
      <c r="H831" t="s">
        <v>4481</v>
      </c>
      <c r="I831" t="s">
        <v>6198</v>
      </c>
    </row>
    <row r="832" spans="1:9">
      <c r="A832" t="s">
        <v>5947</v>
      </c>
      <c r="B832" t="s">
        <v>6594</v>
      </c>
      <c r="C832">
        <v>1</v>
      </c>
      <c r="D832" t="s">
        <v>5556</v>
      </c>
      <c r="E832">
        <v>1.1000000000000001</v>
      </c>
      <c r="F832">
        <v>18</v>
      </c>
      <c r="H832" t="s">
        <v>4481</v>
      </c>
      <c r="I832" t="s">
        <v>6198</v>
      </c>
    </row>
    <row r="833" spans="1:9">
      <c r="A833" t="s">
        <v>5947</v>
      </c>
      <c r="B833" t="s">
        <v>6595</v>
      </c>
      <c r="C833">
        <v>1</v>
      </c>
      <c r="D833" t="s">
        <v>5556</v>
      </c>
      <c r="E833">
        <v>0.05</v>
      </c>
      <c r="F833">
        <v>1</v>
      </c>
      <c r="H833" t="s">
        <v>4481</v>
      </c>
      <c r="I833" t="s">
        <v>6198</v>
      </c>
    </row>
    <row r="834" spans="1:9">
      <c r="A834" t="s">
        <v>5947</v>
      </c>
      <c r="B834" t="s">
        <v>6596</v>
      </c>
      <c r="C834">
        <v>1</v>
      </c>
      <c r="D834" t="s">
        <v>5556</v>
      </c>
      <c r="E834">
        <v>0.05</v>
      </c>
      <c r="F834">
        <v>43</v>
      </c>
      <c r="H834" t="s">
        <v>4481</v>
      </c>
      <c r="I834" t="s">
        <v>6198</v>
      </c>
    </row>
    <row r="835" spans="1:9">
      <c r="A835" t="s">
        <v>5947</v>
      </c>
      <c r="B835" t="s">
        <v>6597</v>
      </c>
      <c r="C835">
        <v>1</v>
      </c>
      <c r="D835" t="s">
        <v>5556</v>
      </c>
      <c r="E835">
        <v>0.5</v>
      </c>
      <c r="F835">
        <v>0.8</v>
      </c>
      <c r="H835" t="s">
        <v>4481</v>
      </c>
      <c r="I835" t="s">
        <v>6198</v>
      </c>
    </row>
    <row r="836" spans="1:9">
      <c r="A836" t="s">
        <v>5947</v>
      </c>
      <c r="B836" t="s">
        <v>6598</v>
      </c>
      <c r="C836">
        <v>1</v>
      </c>
      <c r="D836" t="s">
        <v>5556</v>
      </c>
      <c r="E836">
        <v>0.5</v>
      </c>
      <c r="F836">
        <v>46</v>
      </c>
      <c r="H836" t="s">
        <v>4481</v>
      </c>
      <c r="I836" t="s">
        <v>6198</v>
      </c>
    </row>
    <row r="837" spans="1:9">
      <c r="A837" t="s">
        <v>5947</v>
      </c>
      <c r="B837" t="s">
        <v>6599</v>
      </c>
      <c r="C837">
        <v>1</v>
      </c>
      <c r="D837" t="s">
        <v>5556</v>
      </c>
      <c r="E837">
        <v>1.5</v>
      </c>
      <c r="F837">
        <v>2</v>
      </c>
      <c r="H837" t="s">
        <v>4481</v>
      </c>
      <c r="I837" t="s">
        <v>6198</v>
      </c>
    </row>
    <row r="838" spans="1:9">
      <c r="A838" t="s">
        <v>5947</v>
      </c>
      <c r="B838" t="s">
        <v>6600</v>
      </c>
      <c r="C838">
        <v>1</v>
      </c>
      <c r="D838" t="s">
        <v>5556</v>
      </c>
      <c r="E838">
        <v>1.5</v>
      </c>
      <c r="F838">
        <v>16</v>
      </c>
      <c r="H838" t="s">
        <v>4481</v>
      </c>
      <c r="I838" t="s">
        <v>6198</v>
      </c>
    </row>
    <row r="839" spans="1:9">
      <c r="A839" t="s">
        <v>5947</v>
      </c>
      <c r="B839" t="s">
        <v>6601</v>
      </c>
      <c r="C839">
        <v>1</v>
      </c>
      <c r="D839" t="s">
        <v>5556</v>
      </c>
      <c r="E839">
        <v>0.75</v>
      </c>
      <c r="F839">
        <v>0.87</v>
      </c>
      <c r="H839" t="s">
        <v>4481</v>
      </c>
      <c r="I839" t="s">
        <v>6198</v>
      </c>
    </row>
    <row r="840" spans="1:9">
      <c r="A840" t="s">
        <v>5947</v>
      </c>
      <c r="B840" t="s">
        <v>6602</v>
      </c>
      <c r="C840">
        <v>1</v>
      </c>
      <c r="D840" t="s">
        <v>5556</v>
      </c>
      <c r="E840">
        <v>0.75</v>
      </c>
      <c r="F840">
        <v>53</v>
      </c>
      <c r="H840" t="s">
        <v>4481</v>
      </c>
      <c r="I840" t="s">
        <v>6198</v>
      </c>
    </row>
    <row r="841" spans="1:9">
      <c r="A841" t="s">
        <v>5947</v>
      </c>
      <c r="B841" t="s">
        <v>6603</v>
      </c>
      <c r="C841">
        <v>1</v>
      </c>
      <c r="D841" t="s">
        <v>5556</v>
      </c>
      <c r="E841">
        <v>1</v>
      </c>
      <c r="F841">
        <v>2.2999999999999998</v>
      </c>
      <c r="H841" t="s">
        <v>4481</v>
      </c>
      <c r="I841" t="s">
        <v>6198</v>
      </c>
    </row>
    <row r="842" spans="1:9">
      <c r="A842" t="s">
        <v>5947</v>
      </c>
      <c r="B842" t="s">
        <v>6604</v>
      </c>
      <c r="C842">
        <v>1</v>
      </c>
      <c r="D842" t="s">
        <v>5556</v>
      </c>
      <c r="E842">
        <v>1</v>
      </c>
      <c r="F842">
        <v>11</v>
      </c>
      <c r="H842" t="s">
        <v>4481</v>
      </c>
      <c r="I842" t="s">
        <v>6198</v>
      </c>
    </row>
    <row r="843" spans="1:9">
      <c r="A843" t="s">
        <v>5947</v>
      </c>
      <c r="B843" t="s">
        <v>6605</v>
      </c>
      <c r="C843">
        <v>1</v>
      </c>
      <c r="D843" t="s">
        <v>5556</v>
      </c>
      <c r="E843">
        <v>1.25</v>
      </c>
      <c r="F843">
        <v>2.5</v>
      </c>
      <c r="H843" t="s">
        <v>4481</v>
      </c>
      <c r="I843" t="s">
        <v>6198</v>
      </c>
    </row>
    <row r="844" spans="1:9">
      <c r="A844" t="s">
        <v>5947</v>
      </c>
      <c r="B844" t="s">
        <v>6606</v>
      </c>
      <c r="C844">
        <v>1</v>
      </c>
      <c r="D844" t="s">
        <v>5556</v>
      </c>
      <c r="E844">
        <v>1.25</v>
      </c>
      <c r="F844">
        <v>7.5</v>
      </c>
      <c r="H844" t="s">
        <v>4481</v>
      </c>
      <c r="I844" t="s">
        <v>6198</v>
      </c>
    </row>
    <row r="845" spans="1:9">
      <c r="A845" t="s">
        <v>5947</v>
      </c>
      <c r="B845" t="s">
        <v>6607</v>
      </c>
      <c r="C845">
        <v>1</v>
      </c>
      <c r="D845" t="s">
        <v>5556</v>
      </c>
      <c r="E845">
        <v>0.25</v>
      </c>
      <c r="F845">
        <v>1.3</v>
      </c>
      <c r="H845" t="s">
        <v>4481</v>
      </c>
      <c r="I845" t="s">
        <v>6198</v>
      </c>
    </row>
    <row r="846" spans="1:9">
      <c r="A846" t="s">
        <v>5947</v>
      </c>
      <c r="B846" t="s">
        <v>6608</v>
      </c>
      <c r="C846">
        <v>1</v>
      </c>
      <c r="D846" t="s">
        <v>5556</v>
      </c>
      <c r="E846">
        <v>0.25</v>
      </c>
      <c r="F846">
        <v>4.0999999999999996</v>
      </c>
      <c r="H846" t="s">
        <v>4481</v>
      </c>
      <c r="I846" t="s">
        <v>6198</v>
      </c>
    </row>
    <row r="847" spans="1:9">
      <c r="A847" t="s">
        <v>5947</v>
      </c>
      <c r="B847" t="s">
        <v>6609</v>
      </c>
      <c r="C847">
        <v>1</v>
      </c>
      <c r="D847" t="s">
        <v>5556</v>
      </c>
      <c r="E847">
        <v>0.25</v>
      </c>
      <c r="F847">
        <v>2.6</v>
      </c>
      <c r="H847" t="s">
        <v>4481</v>
      </c>
      <c r="I847" t="s">
        <v>6610</v>
      </c>
    </row>
    <row r="848" spans="1:9">
      <c r="A848" t="s">
        <v>5947</v>
      </c>
      <c r="B848" t="s">
        <v>6611</v>
      </c>
      <c r="C848">
        <v>1</v>
      </c>
      <c r="D848" t="s">
        <v>5556</v>
      </c>
      <c r="E848">
        <v>0.25</v>
      </c>
      <c r="F848">
        <v>52.8</v>
      </c>
      <c r="H848" t="s">
        <v>4481</v>
      </c>
      <c r="I848" t="s">
        <v>6610</v>
      </c>
    </row>
    <row r="849" spans="1:9">
      <c r="A849" t="s">
        <v>5947</v>
      </c>
      <c r="B849" t="s">
        <v>6612</v>
      </c>
      <c r="C849">
        <v>1</v>
      </c>
      <c r="D849" t="s">
        <v>5556</v>
      </c>
      <c r="E849">
        <v>0.13</v>
      </c>
      <c r="F849">
        <v>5</v>
      </c>
      <c r="H849" t="s">
        <v>4481</v>
      </c>
      <c r="I849" t="s">
        <v>6610</v>
      </c>
    </row>
    <row r="850" spans="1:9">
      <c r="A850" t="s">
        <v>5947</v>
      </c>
      <c r="B850" t="s">
        <v>6613</v>
      </c>
      <c r="C850">
        <v>1</v>
      </c>
      <c r="D850" t="s">
        <v>5556</v>
      </c>
      <c r="E850">
        <v>0.13</v>
      </c>
      <c r="F850">
        <v>36</v>
      </c>
      <c r="H850" t="s">
        <v>4481</v>
      </c>
      <c r="I850" t="s">
        <v>6610</v>
      </c>
    </row>
    <row r="851" spans="1:9">
      <c r="A851" t="s">
        <v>5947</v>
      </c>
      <c r="B851" t="s">
        <v>6614</v>
      </c>
      <c r="C851">
        <v>1</v>
      </c>
      <c r="D851" t="s">
        <v>5556</v>
      </c>
      <c r="E851">
        <v>0.12</v>
      </c>
      <c r="F851">
        <v>5.3</v>
      </c>
      <c r="H851" t="s">
        <v>4481</v>
      </c>
      <c r="I851" t="s">
        <v>6610</v>
      </c>
    </row>
    <row r="852" spans="1:9">
      <c r="A852" t="s">
        <v>5947</v>
      </c>
      <c r="B852" t="s">
        <v>6615</v>
      </c>
      <c r="C852">
        <v>1</v>
      </c>
      <c r="D852" t="s">
        <v>5556</v>
      </c>
      <c r="E852">
        <v>0.12</v>
      </c>
      <c r="F852">
        <v>35</v>
      </c>
      <c r="H852" t="s">
        <v>4481</v>
      </c>
      <c r="I852" t="s">
        <v>6610</v>
      </c>
    </row>
    <row r="853" spans="1:9">
      <c r="A853" t="s">
        <v>5947</v>
      </c>
      <c r="B853" t="s">
        <v>6616</v>
      </c>
      <c r="C853">
        <v>1</v>
      </c>
      <c r="D853" t="s">
        <v>5556</v>
      </c>
      <c r="E853">
        <v>0.5</v>
      </c>
      <c r="F853">
        <v>5</v>
      </c>
      <c r="H853" t="s">
        <v>4481</v>
      </c>
      <c r="I853" t="s">
        <v>6610</v>
      </c>
    </row>
    <row r="854" spans="1:9">
      <c r="A854" t="s">
        <v>5947</v>
      </c>
      <c r="B854" t="s">
        <v>6617</v>
      </c>
      <c r="C854">
        <v>1</v>
      </c>
      <c r="D854" t="s">
        <v>5556</v>
      </c>
      <c r="E854">
        <v>0.5</v>
      </c>
      <c r="F854">
        <v>66</v>
      </c>
      <c r="H854" t="s">
        <v>4481</v>
      </c>
      <c r="I854" t="s">
        <v>6610</v>
      </c>
    </row>
    <row r="855" spans="1:9">
      <c r="A855" t="s">
        <v>5947</v>
      </c>
      <c r="B855" t="s">
        <v>6618</v>
      </c>
      <c r="C855">
        <v>1</v>
      </c>
      <c r="D855" t="s">
        <v>5556</v>
      </c>
      <c r="E855">
        <v>0.5</v>
      </c>
      <c r="F855">
        <v>132</v>
      </c>
      <c r="H855" t="s">
        <v>4481</v>
      </c>
      <c r="I855" t="s">
        <v>6610</v>
      </c>
    </row>
    <row r="856" spans="1:9">
      <c r="A856" t="s">
        <v>5947</v>
      </c>
      <c r="B856" t="s">
        <v>6619</v>
      </c>
      <c r="C856">
        <v>1</v>
      </c>
      <c r="D856" t="s">
        <v>5556</v>
      </c>
      <c r="E856">
        <v>0.5</v>
      </c>
      <c r="F856">
        <v>53</v>
      </c>
      <c r="H856" t="s">
        <v>4481</v>
      </c>
      <c r="I856" t="s">
        <v>6610</v>
      </c>
    </row>
    <row r="857" spans="1:9">
      <c r="A857" t="s">
        <v>5947</v>
      </c>
      <c r="B857" t="s">
        <v>6620</v>
      </c>
      <c r="C857">
        <v>1</v>
      </c>
      <c r="D857" t="s">
        <v>5556</v>
      </c>
      <c r="E857">
        <v>5</v>
      </c>
      <c r="F857">
        <v>350</v>
      </c>
      <c r="H857" t="s">
        <v>4481</v>
      </c>
      <c r="I857" t="s">
        <v>6610</v>
      </c>
    </row>
    <row r="858" spans="1:9">
      <c r="A858" t="s">
        <v>5947</v>
      </c>
      <c r="B858" t="s">
        <v>6621</v>
      </c>
      <c r="C858">
        <v>1</v>
      </c>
      <c r="D858" t="s">
        <v>5556</v>
      </c>
      <c r="E858">
        <v>5</v>
      </c>
      <c r="F858">
        <v>130</v>
      </c>
      <c r="H858" t="s">
        <v>4481</v>
      </c>
      <c r="I858" t="s">
        <v>6610</v>
      </c>
    </row>
    <row r="859" spans="1:9">
      <c r="A859" t="s">
        <v>5947</v>
      </c>
      <c r="B859" t="s">
        <v>6622</v>
      </c>
      <c r="C859">
        <v>1</v>
      </c>
      <c r="D859" t="s">
        <v>5556</v>
      </c>
      <c r="E859">
        <v>0.3</v>
      </c>
      <c r="F859">
        <v>50</v>
      </c>
      <c r="H859" t="s">
        <v>4481</v>
      </c>
      <c r="I859" t="s">
        <v>6610</v>
      </c>
    </row>
    <row r="860" spans="1:9">
      <c r="A860" t="s">
        <v>5947</v>
      </c>
      <c r="B860" t="s">
        <v>6623</v>
      </c>
      <c r="C860">
        <v>1</v>
      </c>
      <c r="D860" t="s">
        <v>5556</v>
      </c>
      <c r="E860">
        <v>0.3</v>
      </c>
      <c r="F860">
        <v>30.8</v>
      </c>
      <c r="H860" t="s">
        <v>4481</v>
      </c>
      <c r="I860" t="s">
        <v>6610</v>
      </c>
    </row>
    <row r="861" spans="1:9">
      <c r="A861" t="s">
        <v>5947</v>
      </c>
      <c r="B861" t="s">
        <v>6624</v>
      </c>
      <c r="C861">
        <v>1</v>
      </c>
      <c r="D861" t="s">
        <v>5556</v>
      </c>
      <c r="E861">
        <v>0.1</v>
      </c>
      <c r="F861">
        <v>2.5</v>
      </c>
      <c r="H861" t="s">
        <v>4481</v>
      </c>
      <c r="I861" t="s">
        <v>6610</v>
      </c>
    </row>
    <row r="862" spans="1:9">
      <c r="A862" t="s">
        <v>5947</v>
      </c>
      <c r="B862" t="s">
        <v>6625</v>
      </c>
      <c r="C862">
        <v>1</v>
      </c>
      <c r="D862" t="s">
        <v>5556</v>
      </c>
      <c r="E862">
        <v>0.1</v>
      </c>
      <c r="F862">
        <v>27</v>
      </c>
      <c r="H862" t="s">
        <v>4481</v>
      </c>
      <c r="I862" t="s">
        <v>6610</v>
      </c>
    </row>
    <row r="863" spans="1:9">
      <c r="A863" t="s">
        <v>5947</v>
      </c>
      <c r="B863" t="s">
        <v>6626</v>
      </c>
      <c r="C863">
        <v>1</v>
      </c>
      <c r="D863" t="s">
        <v>5556</v>
      </c>
      <c r="E863">
        <v>0.02</v>
      </c>
      <c r="F863">
        <v>3.52</v>
      </c>
      <c r="H863" t="s">
        <v>4481</v>
      </c>
      <c r="I863" t="s">
        <v>6610</v>
      </c>
    </row>
    <row r="864" spans="1:9">
      <c r="A864" t="s">
        <v>5947</v>
      </c>
      <c r="B864" t="s">
        <v>6627</v>
      </c>
      <c r="C864">
        <v>1</v>
      </c>
      <c r="D864" t="s">
        <v>5556</v>
      </c>
      <c r="E864">
        <v>0.02</v>
      </c>
      <c r="F864">
        <v>20</v>
      </c>
      <c r="H864" t="s">
        <v>4481</v>
      </c>
      <c r="I864" t="s">
        <v>6610</v>
      </c>
    </row>
    <row r="865" spans="1:9">
      <c r="A865" t="s">
        <v>5947</v>
      </c>
      <c r="B865" t="s">
        <v>6628</v>
      </c>
      <c r="C865">
        <v>1</v>
      </c>
      <c r="D865" t="s">
        <v>5556</v>
      </c>
      <c r="E865">
        <v>0.05</v>
      </c>
      <c r="F865">
        <v>5</v>
      </c>
      <c r="H865" t="s">
        <v>4481</v>
      </c>
      <c r="I865" t="s">
        <v>6610</v>
      </c>
    </row>
    <row r="866" spans="1:9">
      <c r="A866" t="s">
        <v>5947</v>
      </c>
      <c r="B866" t="s">
        <v>6629</v>
      </c>
      <c r="C866">
        <v>1</v>
      </c>
      <c r="D866" t="s">
        <v>5556</v>
      </c>
      <c r="E866">
        <v>0.05</v>
      </c>
      <c r="F866">
        <v>28</v>
      </c>
      <c r="H866" t="s">
        <v>4481</v>
      </c>
      <c r="I866" t="s">
        <v>6610</v>
      </c>
    </row>
    <row r="867" spans="1:9">
      <c r="A867" t="s">
        <v>5947</v>
      </c>
      <c r="B867" t="s">
        <v>6630</v>
      </c>
      <c r="C867">
        <v>1</v>
      </c>
      <c r="D867" t="s">
        <v>5556</v>
      </c>
      <c r="E867">
        <v>0.75</v>
      </c>
      <c r="F867">
        <v>13.5</v>
      </c>
      <c r="H867" t="s">
        <v>4481</v>
      </c>
      <c r="I867" t="s">
        <v>6610</v>
      </c>
    </row>
    <row r="868" spans="1:9">
      <c r="A868" t="s">
        <v>5947</v>
      </c>
      <c r="B868" t="s">
        <v>6631</v>
      </c>
      <c r="C868">
        <v>1</v>
      </c>
      <c r="D868" t="s">
        <v>5556</v>
      </c>
      <c r="E868">
        <v>0.75</v>
      </c>
      <c r="F868">
        <v>67</v>
      </c>
      <c r="H868" t="s">
        <v>4481</v>
      </c>
      <c r="I868" t="s">
        <v>6610</v>
      </c>
    </row>
    <row r="869" spans="1:9">
      <c r="A869" t="s">
        <v>5947</v>
      </c>
      <c r="B869" t="s">
        <v>6632</v>
      </c>
      <c r="C869">
        <v>1</v>
      </c>
      <c r="D869" t="s">
        <v>5556</v>
      </c>
      <c r="E869">
        <v>0.25</v>
      </c>
      <c r="F869">
        <v>4</v>
      </c>
      <c r="H869" t="s">
        <v>4481</v>
      </c>
      <c r="I869" t="s">
        <v>6610</v>
      </c>
    </row>
    <row r="870" spans="1:9">
      <c r="A870" t="s">
        <v>5947</v>
      </c>
      <c r="B870" t="s">
        <v>6633</v>
      </c>
      <c r="C870">
        <v>1</v>
      </c>
      <c r="D870" t="s">
        <v>5556</v>
      </c>
      <c r="E870">
        <v>0.25</v>
      </c>
      <c r="F870">
        <v>8.5</v>
      </c>
      <c r="H870" t="s">
        <v>4481</v>
      </c>
      <c r="I870" t="s">
        <v>6610</v>
      </c>
    </row>
    <row r="871" spans="1:9">
      <c r="A871" t="s">
        <v>5674</v>
      </c>
      <c r="B871" t="s">
        <v>6634</v>
      </c>
      <c r="C871">
        <v>1</v>
      </c>
      <c r="D871" t="s">
        <v>5556</v>
      </c>
      <c r="E871">
        <v>0.5</v>
      </c>
      <c r="F871">
        <v>3.5</v>
      </c>
      <c r="G871" t="s">
        <v>6635</v>
      </c>
      <c r="H871" t="s">
        <v>4481</v>
      </c>
      <c r="I871" t="s">
        <v>6610</v>
      </c>
    </row>
    <row r="872" spans="1:9">
      <c r="A872" t="s">
        <v>5674</v>
      </c>
      <c r="B872" t="s">
        <v>6636</v>
      </c>
      <c r="C872">
        <v>1</v>
      </c>
      <c r="D872" t="s">
        <v>5556</v>
      </c>
      <c r="E872">
        <v>0.2</v>
      </c>
      <c r="F872">
        <v>2.2000000000000002</v>
      </c>
      <c r="H872" t="s">
        <v>4481</v>
      </c>
      <c r="I872" t="s">
        <v>6610</v>
      </c>
    </row>
    <row r="873" spans="1:9">
      <c r="A873" t="s">
        <v>5947</v>
      </c>
      <c r="B873" t="s">
        <v>6637</v>
      </c>
      <c r="C873">
        <v>1</v>
      </c>
      <c r="D873" t="s">
        <v>5556</v>
      </c>
      <c r="E873">
        <v>1</v>
      </c>
      <c r="F873">
        <v>220</v>
      </c>
      <c r="H873" t="s">
        <v>4481</v>
      </c>
      <c r="I873" t="s">
        <v>6638</v>
      </c>
    </row>
    <row r="874" spans="1:9">
      <c r="A874" t="s">
        <v>5947</v>
      </c>
      <c r="B874" t="s">
        <v>6639</v>
      </c>
      <c r="C874">
        <v>1</v>
      </c>
      <c r="D874" t="s">
        <v>5556</v>
      </c>
      <c r="E874">
        <v>1</v>
      </c>
      <c r="F874">
        <v>1100</v>
      </c>
      <c r="H874" t="s">
        <v>4481</v>
      </c>
      <c r="I874" t="s">
        <v>6638</v>
      </c>
    </row>
    <row r="875" spans="1:9">
      <c r="A875" t="s">
        <v>5947</v>
      </c>
      <c r="B875" t="s">
        <v>6640</v>
      </c>
      <c r="C875">
        <v>1</v>
      </c>
      <c r="D875" t="s">
        <v>5556</v>
      </c>
      <c r="E875">
        <v>3</v>
      </c>
      <c r="F875">
        <v>17.600000000000001</v>
      </c>
      <c r="H875" t="s">
        <v>4481</v>
      </c>
      <c r="I875" t="s">
        <v>6638</v>
      </c>
    </row>
    <row r="876" spans="1:9">
      <c r="A876" t="s">
        <v>5909</v>
      </c>
      <c r="B876" t="s">
        <v>6641</v>
      </c>
      <c r="C876">
        <v>1</v>
      </c>
      <c r="D876" t="s">
        <v>5556</v>
      </c>
      <c r="E876">
        <v>0.4</v>
      </c>
      <c r="F876">
        <v>1.7999999999999999E-2</v>
      </c>
      <c r="H876" t="s">
        <v>4481</v>
      </c>
      <c r="I876" t="s">
        <v>6642</v>
      </c>
    </row>
    <row r="877" spans="1:9">
      <c r="A877" t="s">
        <v>5909</v>
      </c>
      <c r="B877" t="s">
        <v>6643</v>
      </c>
      <c r="C877">
        <v>1</v>
      </c>
      <c r="D877" t="s">
        <v>5556</v>
      </c>
      <c r="E877">
        <v>0.03</v>
      </c>
      <c r="F877">
        <v>5.0000000000000001E-3</v>
      </c>
      <c r="H877" t="s">
        <v>4481</v>
      </c>
      <c r="I877" t="s">
        <v>6642</v>
      </c>
    </row>
    <row r="878" spans="1:9">
      <c r="A878" t="s">
        <v>5909</v>
      </c>
      <c r="B878" t="s">
        <v>6644</v>
      </c>
      <c r="C878">
        <v>1</v>
      </c>
      <c r="D878" t="s">
        <v>5556</v>
      </c>
      <c r="E878">
        <v>0.4</v>
      </c>
      <c r="F878">
        <v>3.5999999999999997E-2</v>
      </c>
      <c r="H878" t="s">
        <v>4481</v>
      </c>
      <c r="I878" t="s">
        <v>6642</v>
      </c>
    </row>
    <row r="879" spans="1:9">
      <c r="A879" t="s">
        <v>5909</v>
      </c>
      <c r="B879" t="s">
        <v>6645</v>
      </c>
      <c r="C879">
        <v>1</v>
      </c>
      <c r="D879" t="s">
        <v>5556</v>
      </c>
      <c r="E879">
        <v>1</v>
      </c>
      <c r="F879">
        <v>0.11</v>
      </c>
      <c r="H879" t="s">
        <v>4481</v>
      </c>
      <c r="I879" t="s">
        <v>6642</v>
      </c>
    </row>
    <row r="880" spans="1:9">
      <c r="A880" t="s">
        <v>5838</v>
      </c>
      <c r="B880" t="s">
        <v>6646</v>
      </c>
      <c r="C880">
        <v>1</v>
      </c>
      <c r="D880" t="s">
        <v>5556</v>
      </c>
      <c r="E880">
        <v>0.2</v>
      </c>
      <c r="F880">
        <v>2.1999999999999999E-2</v>
      </c>
      <c r="H880" t="s">
        <v>4481</v>
      </c>
      <c r="I880" t="s">
        <v>6642</v>
      </c>
    </row>
    <row r="881" spans="1:9">
      <c r="A881" t="s">
        <v>5674</v>
      </c>
      <c r="B881" t="s">
        <v>6647</v>
      </c>
      <c r="C881">
        <v>1</v>
      </c>
      <c r="D881" t="s">
        <v>5556</v>
      </c>
      <c r="E881">
        <v>0.25</v>
      </c>
      <c r="F881">
        <v>0.15</v>
      </c>
      <c r="H881" t="s">
        <v>4481</v>
      </c>
      <c r="I881" t="s">
        <v>6642</v>
      </c>
    </row>
    <row r="882" spans="1:9">
      <c r="A882" t="s">
        <v>5786</v>
      </c>
      <c r="B882" t="s">
        <v>6648</v>
      </c>
      <c r="C882">
        <v>1</v>
      </c>
      <c r="D882" t="s">
        <v>5556</v>
      </c>
      <c r="E882">
        <v>0.5</v>
      </c>
      <c r="F882">
        <v>0.89</v>
      </c>
      <c r="H882" t="s">
        <v>4481</v>
      </c>
      <c r="I882" t="s">
        <v>6642</v>
      </c>
    </row>
    <row r="883" spans="1:9">
      <c r="A883" t="s">
        <v>5860</v>
      </c>
      <c r="B883" t="s">
        <v>6649</v>
      </c>
      <c r="C883">
        <v>1</v>
      </c>
      <c r="D883" t="s">
        <v>5556</v>
      </c>
      <c r="E883">
        <v>4</v>
      </c>
      <c r="F883">
        <v>9</v>
      </c>
      <c r="H883" t="s">
        <v>4481</v>
      </c>
      <c r="I883" t="s">
        <v>6650</v>
      </c>
    </row>
    <row r="884" spans="1:9">
      <c r="A884" t="s">
        <v>5860</v>
      </c>
      <c r="B884" t="s">
        <v>6651</v>
      </c>
      <c r="C884">
        <v>1</v>
      </c>
      <c r="D884" t="s">
        <v>5556</v>
      </c>
      <c r="E884">
        <v>4.5</v>
      </c>
      <c r="F884">
        <v>27</v>
      </c>
      <c r="H884" t="s">
        <v>4481</v>
      </c>
      <c r="I884" t="s">
        <v>6650</v>
      </c>
    </row>
    <row r="885" spans="1:9">
      <c r="A885" t="s">
        <v>5947</v>
      </c>
      <c r="B885" t="s">
        <v>6652</v>
      </c>
      <c r="C885">
        <v>1</v>
      </c>
      <c r="D885" t="s">
        <v>5556</v>
      </c>
      <c r="E885">
        <v>0.37</v>
      </c>
      <c r="F885">
        <v>0.5</v>
      </c>
      <c r="H885" t="s">
        <v>4481</v>
      </c>
      <c r="I885" t="s">
        <v>6653</v>
      </c>
    </row>
    <row r="886" spans="1:9">
      <c r="A886" t="s">
        <v>5947</v>
      </c>
      <c r="B886" t="s">
        <v>6654</v>
      </c>
      <c r="C886">
        <v>1</v>
      </c>
      <c r="D886" t="s">
        <v>5556</v>
      </c>
      <c r="E886">
        <v>0.37</v>
      </c>
      <c r="F886">
        <v>3.52</v>
      </c>
      <c r="H886" t="s">
        <v>4481</v>
      </c>
      <c r="I886" t="s">
        <v>6653</v>
      </c>
    </row>
    <row r="887" spans="1:9">
      <c r="A887" t="s">
        <v>5947</v>
      </c>
      <c r="B887" t="s">
        <v>6655</v>
      </c>
      <c r="C887">
        <v>1</v>
      </c>
      <c r="D887" t="s">
        <v>5556</v>
      </c>
      <c r="E887">
        <v>0.62</v>
      </c>
      <c r="F887">
        <v>0.85</v>
      </c>
      <c r="H887" t="s">
        <v>4481</v>
      </c>
      <c r="I887" t="s">
        <v>6653</v>
      </c>
    </row>
    <row r="888" spans="1:9">
      <c r="A888" t="s">
        <v>5947</v>
      </c>
      <c r="B888" t="s">
        <v>6656</v>
      </c>
      <c r="C888">
        <v>1</v>
      </c>
      <c r="D888" t="s">
        <v>5556</v>
      </c>
      <c r="E888">
        <v>0.62</v>
      </c>
      <c r="F888">
        <v>80</v>
      </c>
      <c r="H888" t="s">
        <v>4481</v>
      </c>
      <c r="I888" t="s">
        <v>6653</v>
      </c>
    </row>
    <row r="889" spans="1:9">
      <c r="A889" t="s">
        <v>5947</v>
      </c>
      <c r="B889" t="s">
        <v>6657</v>
      </c>
      <c r="C889">
        <v>1</v>
      </c>
      <c r="D889" t="s">
        <v>5556</v>
      </c>
      <c r="E889">
        <v>0.1</v>
      </c>
      <c r="F889">
        <v>0.05</v>
      </c>
      <c r="H889" t="s">
        <v>4481</v>
      </c>
      <c r="I889" t="s">
        <v>6653</v>
      </c>
    </row>
    <row r="890" spans="1:9">
      <c r="A890" t="s">
        <v>5947</v>
      </c>
      <c r="B890" t="s">
        <v>6658</v>
      </c>
      <c r="C890">
        <v>1</v>
      </c>
      <c r="D890" t="s">
        <v>5556</v>
      </c>
      <c r="E890">
        <v>0.1</v>
      </c>
      <c r="F890">
        <v>0.9</v>
      </c>
      <c r="H890" t="s">
        <v>4481</v>
      </c>
      <c r="I890" t="s">
        <v>6653</v>
      </c>
    </row>
    <row r="891" spans="1:9">
      <c r="A891" t="s">
        <v>5947</v>
      </c>
      <c r="B891" t="s">
        <v>6659</v>
      </c>
      <c r="C891">
        <v>1</v>
      </c>
      <c r="D891" t="s">
        <v>5556</v>
      </c>
      <c r="E891">
        <v>0.1</v>
      </c>
      <c r="F891">
        <v>7.4999999999999997E-2</v>
      </c>
      <c r="H891" t="s">
        <v>4481</v>
      </c>
      <c r="I891" t="s">
        <v>6653</v>
      </c>
    </row>
    <row r="892" spans="1:9">
      <c r="A892" t="s">
        <v>5947</v>
      </c>
      <c r="B892" t="s">
        <v>6660</v>
      </c>
      <c r="C892">
        <v>1</v>
      </c>
      <c r="D892" t="s">
        <v>5556</v>
      </c>
      <c r="E892">
        <v>0.1</v>
      </c>
      <c r="F892">
        <v>1.1000000000000001</v>
      </c>
      <c r="H892" t="s">
        <v>4481</v>
      </c>
      <c r="I892" t="s">
        <v>6653</v>
      </c>
    </row>
    <row r="893" spans="1:9">
      <c r="A893" t="s">
        <v>5947</v>
      </c>
      <c r="B893" t="s">
        <v>6661</v>
      </c>
      <c r="C893">
        <v>1</v>
      </c>
      <c r="D893" t="s">
        <v>5556</v>
      </c>
      <c r="E893">
        <v>0.2</v>
      </c>
      <c r="F893">
        <v>2.5000000000000001E-2</v>
      </c>
      <c r="H893" t="s">
        <v>4481</v>
      </c>
      <c r="I893" t="s">
        <v>6653</v>
      </c>
    </row>
    <row r="894" spans="1:9">
      <c r="A894" t="s">
        <v>5947</v>
      </c>
      <c r="B894" t="s">
        <v>6662</v>
      </c>
      <c r="C894">
        <v>1</v>
      </c>
      <c r="D894" t="s">
        <v>5556</v>
      </c>
      <c r="E894">
        <v>0.5</v>
      </c>
      <c r="F894">
        <v>0.35</v>
      </c>
      <c r="H894" t="s">
        <v>4481</v>
      </c>
      <c r="I894" t="s">
        <v>6653</v>
      </c>
    </row>
    <row r="895" spans="1:9">
      <c r="A895" t="s">
        <v>5947</v>
      </c>
      <c r="B895" t="s">
        <v>6663</v>
      </c>
      <c r="C895">
        <v>1</v>
      </c>
      <c r="D895" t="s">
        <v>5556</v>
      </c>
      <c r="E895">
        <v>0.5</v>
      </c>
      <c r="F895">
        <v>90</v>
      </c>
      <c r="H895" t="s">
        <v>4481</v>
      </c>
      <c r="I895" t="s">
        <v>6653</v>
      </c>
    </row>
    <row r="896" spans="1:9">
      <c r="A896" t="s">
        <v>5947</v>
      </c>
      <c r="B896" t="s">
        <v>6664</v>
      </c>
      <c r="C896">
        <v>1</v>
      </c>
      <c r="D896" t="s">
        <v>5556</v>
      </c>
      <c r="E896">
        <v>1</v>
      </c>
      <c r="F896">
        <v>1.6</v>
      </c>
      <c r="H896" t="s">
        <v>4481</v>
      </c>
      <c r="I896" t="s">
        <v>6653</v>
      </c>
    </row>
    <row r="897" spans="1:9">
      <c r="A897" t="s">
        <v>5947</v>
      </c>
      <c r="B897" t="s">
        <v>6665</v>
      </c>
      <c r="C897">
        <v>1</v>
      </c>
      <c r="D897" t="s">
        <v>5556</v>
      </c>
      <c r="E897">
        <v>1</v>
      </c>
      <c r="F897">
        <v>43</v>
      </c>
      <c r="H897" t="s">
        <v>4481</v>
      </c>
      <c r="I897" t="s">
        <v>6653</v>
      </c>
    </row>
    <row r="898" spans="1:9">
      <c r="A898" t="s">
        <v>5860</v>
      </c>
      <c r="B898" t="s">
        <v>6666</v>
      </c>
      <c r="C898">
        <v>1</v>
      </c>
      <c r="D898" t="s">
        <v>5556</v>
      </c>
      <c r="E898">
        <v>10</v>
      </c>
      <c r="F898">
        <v>8</v>
      </c>
      <c r="H898" t="s">
        <v>4481</v>
      </c>
      <c r="I898" t="s">
        <v>6667</v>
      </c>
    </row>
    <row r="899" spans="1:9">
      <c r="A899" t="s">
        <v>5652</v>
      </c>
      <c r="B899" t="s">
        <v>6668</v>
      </c>
      <c r="C899">
        <v>1</v>
      </c>
      <c r="D899" t="s">
        <v>5556</v>
      </c>
      <c r="E899">
        <v>4</v>
      </c>
      <c r="F899">
        <v>17.600000000000001</v>
      </c>
      <c r="H899" t="s">
        <v>4481</v>
      </c>
      <c r="I899" t="s">
        <v>6667</v>
      </c>
    </row>
    <row r="900" spans="1:9">
      <c r="A900" t="s">
        <v>5907</v>
      </c>
      <c r="B900" t="s">
        <v>6669</v>
      </c>
      <c r="C900">
        <v>1</v>
      </c>
      <c r="D900" t="s">
        <v>5556</v>
      </c>
      <c r="E900">
        <v>0.25</v>
      </c>
      <c r="F900">
        <v>2.5000000000000001E-2</v>
      </c>
      <c r="H900" t="s">
        <v>4481</v>
      </c>
      <c r="I900" t="s">
        <v>6667</v>
      </c>
    </row>
    <row r="901" spans="1:9">
      <c r="A901" t="s">
        <v>5909</v>
      </c>
      <c r="B901" t="s">
        <v>6670</v>
      </c>
      <c r="C901">
        <v>1</v>
      </c>
      <c r="D901" t="s">
        <v>5556</v>
      </c>
      <c r="E901">
        <v>1</v>
      </c>
      <c r="F901">
        <v>0.44</v>
      </c>
      <c r="H901" t="s">
        <v>4524</v>
      </c>
      <c r="I901" t="s">
        <v>6671</v>
      </c>
    </row>
    <row r="902" spans="1:9">
      <c r="A902" t="s">
        <v>6229</v>
      </c>
      <c r="B902" t="s">
        <v>6672</v>
      </c>
      <c r="C902">
        <v>1</v>
      </c>
      <c r="D902" t="s">
        <v>5556</v>
      </c>
      <c r="E902">
        <v>2</v>
      </c>
      <c r="F902">
        <v>8</v>
      </c>
      <c r="H902" t="s">
        <v>4524</v>
      </c>
      <c r="I902" t="s">
        <v>6671</v>
      </c>
    </row>
    <row r="903" spans="1:9">
      <c r="A903" t="s">
        <v>6229</v>
      </c>
      <c r="B903" t="s">
        <v>6673</v>
      </c>
      <c r="C903">
        <v>1</v>
      </c>
      <c r="D903" t="s">
        <v>5556</v>
      </c>
      <c r="E903">
        <v>0.88</v>
      </c>
      <c r="F903">
        <v>3</v>
      </c>
      <c r="H903" t="s">
        <v>4524</v>
      </c>
      <c r="I903" t="s">
        <v>6671</v>
      </c>
    </row>
    <row r="904" spans="1:9">
      <c r="A904" t="s">
        <v>6229</v>
      </c>
      <c r="B904" t="s">
        <v>6674</v>
      </c>
      <c r="C904">
        <v>1</v>
      </c>
      <c r="D904" t="s">
        <v>5556</v>
      </c>
      <c r="E904">
        <v>1.5</v>
      </c>
      <c r="F904">
        <v>8.8000000000000007</v>
      </c>
      <c r="H904" t="s">
        <v>4524</v>
      </c>
      <c r="I904" t="s">
        <v>6671</v>
      </c>
    </row>
    <row r="905" spans="1:9">
      <c r="A905" t="s">
        <v>6229</v>
      </c>
      <c r="B905" t="s">
        <v>6675</v>
      </c>
      <c r="C905">
        <v>1</v>
      </c>
      <c r="D905" t="s">
        <v>6460</v>
      </c>
      <c r="E905">
        <v>1.75</v>
      </c>
      <c r="F905">
        <v>5.3</v>
      </c>
      <c r="H905" t="s">
        <v>4524</v>
      </c>
      <c r="I905" t="s">
        <v>6676</v>
      </c>
    </row>
    <row r="906" spans="1:9">
      <c r="A906" t="s">
        <v>6229</v>
      </c>
      <c r="B906" t="s">
        <v>6677</v>
      </c>
      <c r="C906">
        <v>1</v>
      </c>
      <c r="D906" t="s">
        <v>6460</v>
      </c>
      <c r="E906">
        <v>0.25</v>
      </c>
      <c r="F906">
        <v>0.44</v>
      </c>
      <c r="H906" t="s">
        <v>4524</v>
      </c>
      <c r="I906" t="s">
        <v>6676</v>
      </c>
    </row>
    <row r="907" spans="1:9">
      <c r="A907" t="s">
        <v>6229</v>
      </c>
      <c r="B907" t="s">
        <v>6678</v>
      </c>
      <c r="C907">
        <v>1</v>
      </c>
      <c r="D907" t="s">
        <v>6460</v>
      </c>
      <c r="E907">
        <v>0.25</v>
      </c>
      <c r="F907">
        <v>0.44</v>
      </c>
      <c r="H907" t="s">
        <v>4524</v>
      </c>
      <c r="I907" t="s">
        <v>6676</v>
      </c>
    </row>
    <row r="908" spans="1:9">
      <c r="A908" t="s">
        <v>6229</v>
      </c>
      <c r="B908" t="s">
        <v>6679</v>
      </c>
      <c r="C908">
        <v>1</v>
      </c>
      <c r="D908" t="s">
        <v>6460</v>
      </c>
      <c r="E908">
        <v>1.3</v>
      </c>
      <c r="F908">
        <v>3</v>
      </c>
      <c r="H908" t="s">
        <v>4524</v>
      </c>
      <c r="I908" t="s">
        <v>6676</v>
      </c>
    </row>
    <row r="909" spans="1:9">
      <c r="A909" t="s">
        <v>6229</v>
      </c>
      <c r="B909" t="s">
        <v>6680</v>
      </c>
      <c r="C909">
        <v>1</v>
      </c>
      <c r="D909" t="s">
        <v>6460</v>
      </c>
      <c r="E909">
        <v>1.1000000000000001</v>
      </c>
      <c r="F909">
        <v>1.8</v>
      </c>
      <c r="H909" t="s">
        <v>4524</v>
      </c>
      <c r="I909" t="s">
        <v>6676</v>
      </c>
    </row>
    <row r="910" spans="1:9">
      <c r="A910" t="s">
        <v>6229</v>
      </c>
      <c r="B910" t="s">
        <v>6681</v>
      </c>
      <c r="C910">
        <v>1</v>
      </c>
      <c r="D910" t="s">
        <v>6460</v>
      </c>
      <c r="E910">
        <v>1.25</v>
      </c>
      <c r="F910">
        <v>4.4000000000000004</v>
      </c>
      <c r="H910" t="s">
        <v>4524</v>
      </c>
      <c r="I910" t="s">
        <v>6676</v>
      </c>
    </row>
    <row r="911" spans="1:9">
      <c r="A911" t="s">
        <v>6229</v>
      </c>
      <c r="B911" t="s">
        <v>6682</v>
      </c>
      <c r="C911">
        <v>1</v>
      </c>
      <c r="D911" t="s">
        <v>6460</v>
      </c>
      <c r="E911">
        <v>0.3</v>
      </c>
      <c r="F911">
        <v>1.3</v>
      </c>
      <c r="H911" t="s">
        <v>4524</v>
      </c>
      <c r="I911" t="s">
        <v>6676</v>
      </c>
    </row>
    <row r="912" spans="1:9">
      <c r="A912" t="s">
        <v>6229</v>
      </c>
      <c r="B912" t="s">
        <v>6683</v>
      </c>
      <c r="C912">
        <v>1</v>
      </c>
      <c r="D912" t="s">
        <v>6460</v>
      </c>
      <c r="E912">
        <v>0.6</v>
      </c>
      <c r="F912">
        <v>52.8</v>
      </c>
      <c r="H912" t="s">
        <v>4524</v>
      </c>
      <c r="I912" t="s">
        <v>6676</v>
      </c>
    </row>
    <row r="913" spans="1:9">
      <c r="A913" t="s">
        <v>6229</v>
      </c>
      <c r="B913" t="s">
        <v>6684</v>
      </c>
      <c r="C913">
        <v>1</v>
      </c>
      <c r="D913" t="s">
        <v>6460</v>
      </c>
      <c r="E913">
        <v>10</v>
      </c>
      <c r="F913">
        <v>4</v>
      </c>
      <c r="H913" t="s">
        <v>4524</v>
      </c>
      <c r="I913" t="s">
        <v>6676</v>
      </c>
    </row>
    <row r="914" spans="1:9">
      <c r="A914" t="s">
        <v>5674</v>
      </c>
      <c r="B914" t="s">
        <v>6685</v>
      </c>
      <c r="C914">
        <v>1</v>
      </c>
      <c r="D914" t="s">
        <v>5556</v>
      </c>
      <c r="E914">
        <v>0.5</v>
      </c>
      <c r="F914">
        <v>0.44</v>
      </c>
      <c r="H914" t="s">
        <v>4524</v>
      </c>
      <c r="I914" t="s">
        <v>6676</v>
      </c>
    </row>
    <row r="915" spans="1:9">
      <c r="A915" t="s">
        <v>5838</v>
      </c>
      <c r="B915" t="s">
        <v>6686</v>
      </c>
      <c r="C915">
        <v>1</v>
      </c>
      <c r="D915" t="s">
        <v>5746</v>
      </c>
      <c r="E915">
        <v>5</v>
      </c>
      <c r="F915">
        <v>52.8</v>
      </c>
      <c r="H915" t="s">
        <v>4581</v>
      </c>
      <c r="I915" t="s">
        <v>6687</v>
      </c>
    </row>
    <row r="916" spans="1:9">
      <c r="A916" t="s">
        <v>5838</v>
      </c>
      <c r="B916" t="s">
        <v>6688</v>
      </c>
      <c r="C916">
        <v>1</v>
      </c>
      <c r="D916" t="s">
        <v>5556</v>
      </c>
      <c r="E916">
        <v>0.25</v>
      </c>
      <c r="F916">
        <v>6.6</v>
      </c>
      <c r="H916" t="s">
        <v>4581</v>
      </c>
      <c r="I916" t="s">
        <v>6687</v>
      </c>
    </row>
    <row r="917" spans="1:9">
      <c r="A917" t="s">
        <v>5838</v>
      </c>
      <c r="B917" t="s">
        <v>6689</v>
      </c>
      <c r="C917">
        <v>1</v>
      </c>
      <c r="D917" t="s">
        <v>5556</v>
      </c>
      <c r="E917">
        <v>0.18</v>
      </c>
      <c r="F917">
        <v>6.6</v>
      </c>
      <c r="H917" t="s">
        <v>4581</v>
      </c>
      <c r="I917" t="s">
        <v>6687</v>
      </c>
    </row>
    <row r="918" spans="1:9">
      <c r="A918" t="s">
        <v>5838</v>
      </c>
      <c r="B918" t="s">
        <v>6690</v>
      </c>
      <c r="C918">
        <v>1</v>
      </c>
      <c r="D918" t="s">
        <v>5556</v>
      </c>
      <c r="E918">
        <v>1.5</v>
      </c>
      <c r="F918">
        <v>5.28</v>
      </c>
      <c r="H918" t="s">
        <v>4581</v>
      </c>
      <c r="I918" t="s">
        <v>6687</v>
      </c>
    </row>
    <row r="919" spans="1:9">
      <c r="A919" t="s">
        <v>5838</v>
      </c>
      <c r="B919" t="s">
        <v>6691</v>
      </c>
      <c r="C919">
        <v>1</v>
      </c>
      <c r="D919" t="s">
        <v>5556</v>
      </c>
      <c r="E919">
        <v>0.1</v>
      </c>
      <c r="F919">
        <v>2.1999999999999999E-2</v>
      </c>
      <c r="H919" t="s">
        <v>4581</v>
      </c>
      <c r="I919" t="s">
        <v>6692</v>
      </c>
    </row>
    <row r="920" spans="1:9">
      <c r="A920" t="s">
        <v>5838</v>
      </c>
      <c r="B920" t="s">
        <v>6693</v>
      </c>
      <c r="C920">
        <v>1</v>
      </c>
      <c r="D920" t="s">
        <v>5556</v>
      </c>
      <c r="E920">
        <v>0.5</v>
      </c>
      <c r="F920">
        <v>0.88</v>
      </c>
      <c r="H920" t="s">
        <v>4581</v>
      </c>
      <c r="I920" t="s">
        <v>6692</v>
      </c>
    </row>
    <row r="921" spans="1:9">
      <c r="A921" t="s">
        <v>5838</v>
      </c>
      <c r="B921" t="s">
        <v>6694</v>
      </c>
      <c r="C921">
        <v>1</v>
      </c>
      <c r="D921" t="s">
        <v>5556</v>
      </c>
      <c r="E921">
        <v>0.75</v>
      </c>
      <c r="F921">
        <v>0.88</v>
      </c>
      <c r="H921" t="s">
        <v>4581</v>
      </c>
      <c r="I921" t="s">
        <v>6692</v>
      </c>
    </row>
    <row r="922" spans="1:9">
      <c r="A922" t="s">
        <v>5838</v>
      </c>
      <c r="B922" t="s">
        <v>6695</v>
      </c>
      <c r="C922">
        <v>1</v>
      </c>
      <c r="D922" t="s">
        <v>5556</v>
      </c>
      <c r="E922">
        <v>0.15</v>
      </c>
      <c r="F922">
        <v>2.1999999999999999E-2</v>
      </c>
      <c r="H922" t="s">
        <v>4581</v>
      </c>
      <c r="I922" t="s">
        <v>6692</v>
      </c>
    </row>
    <row r="923" spans="1:9">
      <c r="A923" t="s">
        <v>5844</v>
      </c>
      <c r="B923" t="s">
        <v>6696</v>
      </c>
      <c r="C923">
        <v>1</v>
      </c>
      <c r="D923" t="s">
        <v>5556</v>
      </c>
      <c r="E923">
        <v>0.13</v>
      </c>
      <c r="F923">
        <v>0.44</v>
      </c>
      <c r="H923" t="s">
        <v>4581</v>
      </c>
      <c r="I923" t="s">
        <v>6692</v>
      </c>
    </row>
    <row r="924" spans="1:9">
      <c r="A924" t="s">
        <v>5676</v>
      </c>
      <c r="B924" t="s">
        <v>6697</v>
      </c>
      <c r="C924">
        <v>1</v>
      </c>
      <c r="D924" t="s">
        <v>5635</v>
      </c>
      <c r="E924">
        <v>0.5</v>
      </c>
      <c r="F924">
        <v>4.4999999999999998E-2</v>
      </c>
      <c r="H924" t="s">
        <v>4670</v>
      </c>
      <c r="I924" t="s">
        <v>6698</v>
      </c>
    </row>
    <row r="925" spans="1:9">
      <c r="A925" t="s">
        <v>5676</v>
      </c>
      <c r="B925" t="s">
        <v>6699</v>
      </c>
      <c r="C925">
        <v>1</v>
      </c>
      <c r="D925" t="s">
        <v>5556</v>
      </c>
      <c r="E925">
        <v>5</v>
      </c>
      <c r="F925">
        <v>1.75</v>
      </c>
      <c r="H925" t="s">
        <v>4670</v>
      </c>
      <c r="I925" t="s">
        <v>6698</v>
      </c>
    </row>
    <row r="926" spans="1:9">
      <c r="A926" t="s">
        <v>5676</v>
      </c>
      <c r="B926" t="s">
        <v>6700</v>
      </c>
      <c r="C926">
        <v>1</v>
      </c>
      <c r="D926" t="s">
        <v>5556</v>
      </c>
      <c r="E926">
        <v>3</v>
      </c>
      <c r="F926">
        <v>0.75</v>
      </c>
      <c r="H926" t="s">
        <v>4670</v>
      </c>
      <c r="I926" t="s">
        <v>6698</v>
      </c>
    </row>
    <row r="927" spans="1:9">
      <c r="A927" t="s">
        <v>5639</v>
      </c>
      <c r="B927" t="s">
        <v>6701</v>
      </c>
      <c r="C927">
        <v>1</v>
      </c>
      <c r="D927" t="s">
        <v>5635</v>
      </c>
      <c r="E927">
        <v>0.02</v>
      </c>
      <c r="F927">
        <v>1.8</v>
      </c>
      <c r="H927" t="s">
        <v>4670</v>
      </c>
      <c r="I927" t="s">
        <v>6698</v>
      </c>
    </row>
    <row r="928" spans="1:9">
      <c r="A928" t="s">
        <v>5633</v>
      </c>
      <c r="B928" t="s">
        <v>6702</v>
      </c>
      <c r="C928">
        <v>1</v>
      </c>
      <c r="D928" t="s">
        <v>5556</v>
      </c>
      <c r="E928">
        <v>0.05</v>
      </c>
      <c r="F928">
        <v>1.4E-2</v>
      </c>
      <c r="H928" t="s">
        <v>4670</v>
      </c>
      <c r="I928" t="s">
        <v>6703</v>
      </c>
    </row>
    <row r="929" spans="1:9">
      <c r="A929" t="s">
        <v>5676</v>
      </c>
      <c r="B929" t="s">
        <v>6704</v>
      </c>
      <c r="C929">
        <v>1</v>
      </c>
      <c r="D929" t="s">
        <v>5646</v>
      </c>
      <c r="E929">
        <v>0.5</v>
      </c>
      <c r="F929">
        <v>1</v>
      </c>
      <c r="H929" t="s">
        <v>4670</v>
      </c>
      <c r="I929" t="s">
        <v>6703</v>
      </c>
    </row>
    <row r="930" spans="1:9">
      <c r="A930" t="s">
        <v>5838</v>
      </c>
      <c r="B930" t="s">
        <v>6705</v>
      </c>
      <c r="C930">
        <v>1</v>
      </c>
      <c r="D930" t="s">
        <v>5556</v>
      </c>
      <c r="E930">
        <v>0.5</v>
      </c>
      <c r="F930">
        <v>4.4000000000000004</v>
      </c>
      <c r="H930" t="s">
        <v>4670</v>
      </c>
      <c r="I930" t="s">
        <v>4547</v>
      </c>
    </row>
    <row r="931" spans="1:9">
      <c r="A931" t="s">
        <v>5676</v>
      </c>
      <c r="B931" t="s">
        <v>6706</v>
      </c>
      <c r="C931">
        <v>1</v>
      </c>
      <c r="D931" t="s">
        <v>5698</v>
      </c>
      <c r="E931">
        <v>0.5</v>
      </c>
      <c r="F931">
        <v>0.2</v>
      </c>
      <c r="H931" t="s">
        <v>4670</v>
      </c>
      <c r="I931" t="s">
        <v>4547</v>
      </c>
    </row>
    <row r="932" spans="1:9">
      <c r="A932" t="s">
        <v>5676</v>
      </c>
      <c r="B932" t="s">
        <v>6707</v>
      </c>
      <c r="C932">
        <v>1</v>
      </c>
      <c r="D932" t="s">
        <v>5698</v>
      </c>
      <c r="E932">
        <v>0.5</v>
      </c>
      <c r="F932">
        <v>0.15</v>
      </c>
      <c r="H932" t="s">
        <v>4670</v>
      </c>
      <c r="I932" t="s">
        <v>4547</v>
      </c>
    </row>
    <row r="933" spans="1:9">
      <c r="A933" t="s">
        <v>5676</v>
      </c>
      <c r="B933" t="s">
        <v>6708</v>
      </c>
      <c r="C933">
        <v>1</v>
      </c>
      <c r="D933" t="s">
        <v>5698</v>
      </c>
      <c r="E933">
        <v>0.5</v>
      </c>
      <c r="F933">
        <v>0.35</v>
      </c>
      <c r="H933" t="s">
        <v>4670</v>
      </c>
      <c r="I933" t="s">
        <v>4547</v>
      </c>
    </row>
    <row r="934" spans="1:9">
      <c r="A934" t="s">
        <v>5676</v>
      </c>
      <c r="B934" t="s">
        <v>6709</v>
      </c>
      <c r="C934">
        <v>1</v>
      </c>
      <c r="D934" t="s">
        <v>5698</v>
      </c>
      <c r="E934">
        <v>0.5</v>
      </c>
      <c r="F934">
        <v>0.1</v>
      </c>
      <c r="H934" t="s">
        <v>4670</v>
      </c>
      <c r="I934" t="s">
        <v>4547</v>
      </c>
    </row>
    <row r="935" spans="1:9">
      <c r="A935" t="s">
        <v>5676</v>
      </c>
      <c r="B935" t="s">
        <v>6710</v>
      </c>
      <c r="C935">
        <v>1</v>
      </c>
      <c r="D935" t="s">
        <v>5698</v>
      </c>
      <c r="E935">
        <v>0.5</v>
      </c>
      <c r="F935">
        <v>0.2</v>
      </c>
      <c r="H935" t="s">
        <v>4670</v>
      </c>
      <c r="I935" t="s">
        <v>4547</v>
      </c>
    </row>
    <row r="936" spans="1:9">
      <c r="A936" t="s">
        <v>5676</v>
      </c>
      <c r="B936" t="s">
        <v>6711</v>
      </c>
      <c r="C936">
        <v>1</v>
      </c>
      <c r="D936" t="s">
        <v>5698</v>
      </c>
      <c r="E936">
        <v>0.5</v>
      </c>
      <c r="F936">
        <v>0.1</v>
      </c>
      <c r="H936" t="s">
        <v>4670</v>
      </c>
      <c r="I936" t="s">
        <v>4547</v>
      </c>
    </row>
    <row r="937" spans="1:9">
      <c r="A937" t="s">
        <v>5676</v>
      </c>
      <c r="B937" t="s">
        <v>6712</v>
      </c>
      <c r="C937">
        <v>1</v>
      </c>
      <c r="D937" t="s">
        <v>5556</v>
      </c>
      <c r="E937">
        <v>0.5</v>
      </c>
      <c r="F937">
        <v>0.5</v>
      </c>
      <c r="H937" t="s">
        <v>4670</v>
      </c>
      <c r="I937" t="s">
        <v>4547</v>
      </c>
    </row>
    <row r="938" spans="1:9">
      <c r="A938" t="s">
        <v>5676</v>
      </c>
      <c r="B938" t="s">
        <v>6713</v>
      </c>
      <c r="C938">
        <v>1</v>
      </c>
      <c r="D938" t="s">
        <v>5698</v>
      </c>
      <c r="E938">
        <v>0.5</v>
      </c>
      <c r="F938">
        <v>0.15</v>
      </c>
      <c r="H938" t="s">
        <v>4670</v>
      </c>
      <c r="I938" t="s">
        <v>4547</v>
      </c>
    </row>
    <row r="939" spans="1:9">
      <c r="A939" t="s">
        <v>5674</v>
      </c>
      <c r="B939" t="s">
        <v>6714</v>
      </c>
      <c r="C939">
        <v>1</v>
      </c>
      <c r="D939" t="s">
        <v>5556</v>
      </c>
      <c r="E939">
        <v>0.5</v>
      </c>
      <c r="F939">
        <v>0.05</v>
      </c>
      <c r="H939" t="s">
        <v>4670</v>
      </c>
      <c r="I939" t="s">
        <v>4547</v>
      </c>
    </row>
    <row r="940" spans="1:9">
      <c r="A940" t="s">
        <v>5676</v>
      </c>
      <c r="B940" t="s">
        <v>6715</v>
      </c>
      <c r="C940">
        <v>1</v>
      </c>
      <c r="D940" t="s">
        <v>5646</v>
      </c>
      <c r="E940">
        <v>0.5</v>
      </c>
      <c r="F940">
        <v>0.05</v>
      </c>
      <c r="H940" t="s">
        <v>4670</v>
      </c>
      <c r="I940" t="s">
        <v>6716</v>
      </c>
    </row>
    <row r="941" spans="1:9">
      <c r="A941" t="s">
        <v>5676</v>
      </c>
      <c r="B941" t="s">
        <v>6717</v>
      </c>
      <c r="C941">
        <v>1</v>
      </c>
      <c r="D941" t="s">
        <v>5678</v>
      </c>
      <c r="E941">
        <v>0.5</v>
      </c>
      <c r="F941">
        <v>7.4999999999999997E-2</v>
      </c>
      <c r="H941" t="s">
        <v>4670</v>
      </c>
      <c r="I941" t="s">
        <v>6716</v>
      </c>
    </row>
    <row r="942" spans="1:9">
      <c r="A942" t="s">
        <v>5676</v>
      </c>
      <c r="B942" t="s">
        <v>6718</v>
      </c>
      <c r="C942">
        <v>1</v>
      </c>
      <c r="D942" t="s">
        <v>5678</v>
      </c>
      <c r="E942">
        <v>0.5</v>
      </c>
      <c r="F942">
        <v>1</v>
      </c>
      <c r="H942" t="s">
        <v>4670</v>
      </c>
      <c r="I942" t="s">
        <v>6716</v>
      </c>
    </row>
    <row r="943" spans="1:9">
      <c r="A943" t="s">
        <v>5676</v>
      </c>
      <c r="B943" t="s">
        <v>6719</v>
      </c>
      <c r="C943">
        <v>1</v>
      </c>
      <c r="D943" t="s">
        <v>5678</v>
      </c>
      <c r="E943">
        <v>0.5</v>
      </c>
      <c r="F943">
        <v>0.1</v>
      </c>
      <c r="H943" t="s">
        <v>4670</v>
      </c>
      <c r="I943" t="s">
        <v>6716</v>
      </c>
    </row>
    <row r="944" spans="1:9">
      <c r="A944" t="s">
        <v>5676</v>
      </c>
      <c r="B944" t="s">
        <v>6720</v>
      </c>
      <c r="C944">
        <v>1</v>
      </c>
      <c r="D944" t="s">
        <v>5678</v>
      </c>
      <c r="E944">
        <v>0.5</v>
      </c>
      <c r="F944">
        <v>7.4999999999999997E-2</v>
      </c>
      <c r="H944" t="s">
        <v>4670</v>
      </c>
      <c r="I944" t="s">
        <v>6716</v>
      </c>
    </row>
    <row r="945" spans="1:9">
      <c r="A945" t="s">
        <v>5676</v>
      </c>
      <c r="B945" t="s">
        <v>6721</v>
      </c>
      <c r="C945">
        <v>1</v>
      </c>
      <c r="D945" t="s">
        <v>5632</v>
      </c>
      <c r="E945">
        <v>0.5</v>
      </c>
      <c r="F945">
        <v>1.4999999999999999E-2</v>
      </c>
      <c r="H945" t="s">
        <v>4670</v>
      </c>
      <c r="I945" t="s">
        <v>6716</v>
      </c>
    </row>
    <row r="946" spans="1:9">
      <c r="A946" t="s">
        <v>5633</v>
      </c>
      <c r="B946" t="s">
        <v>6722</v>
      </c>
      <c r="C946">
        <v>1</v>
      </c>
      <c r="D946" t="s">
        <v>5556</v>
      </c>
      <c r="E946">
        <v>0.05</v>
      </c>
      <c r="F946">
        <v>3.0000000000000001E-3</v>
      </c>
      <c r="H946" t="s">
        <v>4670</v>
      </c>
      <c r="I946" t="s">
        <v>6723</v>
      </c>
    </row>
    <row r="947" spans="1:9">
      <c r="A947" t="s">
        <v>5633</v>
      </c>
      <c r="B947" t="s">
        <v>6724</v>
      </c>
      <c r="C947">
        <v>1</v>
      </c>
      <c r="D947" t="s">
        <v>5556</v>
      </c>
      <c r="E947">
        <v>0.1</v>
      </c>
      <c r="F947">
        <v>6.0000000000000001E-3</v>
      </c>
      <c r="H947" t="s">
        <v>4670</v>
      </c>
      <c r="I947" t="s">
        <v>6723</v>
      </c>
    </row>
    <row r="948" spans="1:9">
      <c r="A948" t="s">
        <v>5633</v>
      </c>
      <c r="B948" t="s">
        <v>6725</v>
      </c>
      <c r="C948">
        <v>1</v>
      </c>
      <c r="D948" t="s">
        <v>5632</v>
      </c>
      <c r="E948">
        <v>0.25</v>
      </c>
      <c r="F948">
        <v>2.1999999999999999E-2</v>
      </c>
      <c r="H948" t="s">
        <v>4670</v>
      </c>
      <c r="I948" t="s">
        <v>6723</v>
      </c>
    </row>
    <row r="949" spans="1:9">
      <c r="A949" t="s">
        <v>5793</v>
      </c>
      <c r="B949" t="s">
        <v>6726</v>
      </c>
      <c r="C949">
        <v>1</v>
      </c>
      <c r="D949" t="s">
        <v>5646</v>
      </c>
      <c r="E949">
        <v>2</v>
      </c>
      <c r="F949">
        <v>2.6</v>
      </c>
      <c r="H949" t="s">
        <v>4670</v>
      </c>
      <c r="I949" t="s">
        <v>6723</v>
      </c>
    </row>
    <row r="950" spans="1:9">
      <c r="A950" t="s">
        <v>6024</v>
      </c>
      <c r="B950" t="s">
        <v>6727</v>
      </c>
      <c r="C950">
        <v>1</v>
      </c>
      <c r="D950" t="s">
        <v>6026</v>
      </c>
      <c r="E950" t="s">
        <v>5557</v>
      </c>
      <c r="F950">
        <v>7</v>
      </c>
      <c r="H950" t="s">
        <v>4670</v>
      </c>
      <c r="I950" t="s">
        <v>6728</v>
      </c>
    </row>
    <row r="951" spans="1:9">
      <c r="A951" t="s">
        <v>6024</v>
      </c>
      <c r="B951" t="s">
        <v>6729</v>
      </c>
      <c r="C951">
        <v>1</v>
      </c>
      <c r="D951" t="s">
        <v>6026</v>
      </c>
      <c r="E951" t="s">
        <v>5557</v>
      </c>
      <c r="F951">
        <v>4.2</v>
      </c>
      <c r="H951" t="s">
        <v>4670</v>
      </c>
      <c r="I951" t="s">
        <v>6728</v>
      </c>
    </row>
    <row r="952" spans="1:9">
      <c r="A952" t="s">
        <v>6024</v>
      </c>
      <c r="B952" t="s">
        <v>6730</v>
      </c>
      <c r="C952">
        <v>1</v>
      </c>
      <c r="D952" t="s">
        <v>6026</v>
      </c>
      <c r="E952" t="s">
        <v>5557</v>
      </c>
      <c r="F952">
        <v>1.2</v>
      </c>
      <c r="H952" t="s">
        <v>4670</v>
      </c>
      <c r="I952" t="s">
        <v>6728</v>
      </c>
    </row>
    <row r="953" spans="1:9">
      <c r="A953" t="s">
        <v>6024</v>
      </c>
      <c r="B953" t="s">
        <v>6731</v>
      </c>
      <c r="C953">
        <v>1</v>
      </c>
      <c r="D953" t="s">
        <v>6026</v>
      </c>
      <c r="E953" t="s">
        <v>5557</v>
      </c>
      <c r="F953">
        <v>2.6</v>
      </c>
      <c r="H953" t="s">
        <v>4670</v>
      </c>
      <c r="I953" t="s">
        <v>6728</v>
      </c>
    </row>
    <row r="954" spans="1:9">
      <c r="A954" t="s">
        <v>5649</v>
      </c>
      <c r="B954" t="s">
        <v>6732</v>
      </c>
      <c r="C954">
        <v>1</v>
      </c>
      <c r="D954" t="s">
        <v>5556</v>
      </c>
      <c r="E954">
        <v>0.25</v>
      </c>
      <c r="F954">
        <v>2.5</v>
      </c>
      <c r="H954" t="s">
        <v>4421</v>
      </c>
      <c r="I954" t="s">
        <v>1418</v>
      </c>
    </row>
    <row r="955" spans="1:9">
      <c r="A955" t="s">
        <v>6024</v>
      </c>
      <c r="B955" t="s">
        <v>6733</v>
      </c>
      <c r="C955">
        <v>1</v>
      </c>
      <c r="D955" t="s">
        <v>6026</v>
      </c>
      <c r="E955" t="s">
        <v>5557</v>
      </c>
      <c r="F955">
        <v>35.6</v>
      </c>
      <c r="H955" t="s">
        <v>4494</v>
      </c>
      <c r="I955" t="s">
        <v>6610</v>
      </c>
    </row>
    <row r="956" spans="1:9">
      <c r="A956" t="s">
        <v>6024</v>
      </c>
      <c r="B956" t="s">
        <v>6734</v>
      </c>
      <c r="C956">
        <v>1</v>
      </c>
      <c r="D956" t="s">
        <v>6026</v>
      </c>
      <c r="E956" t="s">
        <v>5557</v>
      </c>
      <c r="F956">
        <v>66</v>
      </c>
      <c r="H956" t="s">
        <v>4494</v>
      </c>
      <c r="I956" t="s">
        <v>6610</v>
      </c>
    </row>
    <row r="957" spans="1:9">
      <c r="A957" t="s">
        <v>6024</v>
      </c>
      <c r="B957" t="s">
        <v>6735</v>
      </c>
      <c r="C957">
        <v>1</v>
      </c>
      <c r="D957" t="s">
        <v>6026</v>
      </c>
      <c r="E957" t="s">
        <v>5557</v>
      </c>
      <c r="F957">
        <v>22.3</v>
      </c>
      <c r="H957" t="s">
        <v>4494</v>
      </c>
      <c r="I957" t="s">
        <v>6610</v>
      </c>
    </row>
    <row r="958" spans="1:9">
      <c r="A958" t="s">
        <v>6024</v>
      </c>
      <c r="B958" t="s">
        <v>6736</v>
      </c>
      <c r="C958">
        <v>1</v>
      </c>
      <c r="D958" t="s">
        <v>6026</v>
      </c>
      <c r="E958" t="s">
        <v>5557</v>
      </c>
      <c r="F958">
        <v>35</v>
      </c>
      <c r="H958" t="s">
        <v>4494</v>
      </c>
      <c r="I958" t="s">
        <v>6610</v>
      </c>
    </row>
    <row r="959" spans="1:9">
      <c r="A959" t="s">
        <v>6024</v>
      </c>
      <c r="B959" t="s">
        <v>6737</v>
      </c>
      <c r="C959">
        <v>1</v>
      </c>
      <c r="D959" t="s">
        <v>5556</v>
      </c>
      <c r="E959">
        <v>0.25</v>
      </c>
      <c r="F959">
        <v>4</v>
      </c>
      <c r="H959" t="s">
        <v>4494</v>
      </c>
      <c r="I959" t="s">
        <v>6610</v>
      </c>
    </row>
    <row r="960" spans="1:9">
      <c r="A960" t="s">
        <v>6024</v>
      </c>
      <c r="B960" t="s">
        <v>6738</v>
      </c>
      <c r="C960">
        <v>1</v>
      </c>
      <c r="D960" t="s">
        <v>5556</v>
      </c>
      <c r="E960">
        <v>0.25</v>
      </c>
      <c r="F960">
        <v>31</v>
      </c>
      <c r="H960" t="s">
        <v>4494</v>
      </c>
      <c r="I960" t="s">
        <v>6610</v>
      </c>
    </row>
    <row r="961" spans="1:9">
      <c r="A961" t="s">
        <v>6024</v>
      </c>
      <c r="B961" t="s">
        <v>6739</v>
      </c>
      <c r="C961">
        <v>0.5</v>
      </c>
      <c r="D961" t="s">
        <v>6026</v>
      </c>
      <c r="E961" t="s">
        <v>5557</v>
      </c>
      <c r="F961">
        <v>5</v>
      </c>
      <c r="H961" t="s">
        <v>4494</v>
      </c>
      <c r="I961" t="s">
        <v>6610</v>
      </c>
    </row>
    <row r="962" spans="1:9">
      <c r="A962" t="s">
        <v>6024</v>
      </c>
      <c r="B962" t="s">
        <v>6740</v>
      </c>
      <c r="C962">
        <v>1</v>
      </c>
      <c r="D962" t="s">
        <v>6026</v>
      </c>
      <c r="E962" t="s">
        <v>5557</v>
      </c>
      <c r="F962">
        <v>40</v>
      </c>
      <c r="H962" t="s">
        <v>4494</v>
      </c>
      <c r="I962" t="s">
        <v>6610</v>
      </c>
    </row>
    <row r="963" spans="1:9">
      <c r="A963" t="s">
        <v>6024</v>
      </c>
      <c r="B963" t="s">
        <v>6741</v>
      </c>
      <c r="C963">
        <v>1</v>
      </c>
      <c r="D963" t="s">
        <v>6026</v>
      </c>
      <c r="E963" t="s">
        <v>5557</v>
      </c>
      <c r="F963">
        <v>3</v>
      </c>
      <c r="H963" t="s">
        <v>4494</v>
      </c>
      <c r="I963" t="s">
        <v>6742</v>
      </c>
    </row>
    <row r="964" spans="1:9">
      <c r="A964" t="s">
        <v>6024</v>
      </c>
      <c r="B964" t="s">
        <v>6743</v>
      </c>
      <c r="C964">
        <v>7.5</v>
      </c>
      <c r="D964" t="s">
        <v>6026</v>
      </c>
      <c r="E964">
        <v>7.5</v>
      </c>
      <c r="F964">
        <v>52.8</v>
      </c>
      <c r="H964" t="s">
        <v>4494</v>
      </c>
      <c r="I964" t="s">
        <v>6742</v>
      </c>
    </row>
    <row r="965" spans="1:9">
      <c r="A965" t="s">
        <v>6024</v>
      </c>
      <c r="B965" t="s">
        <v>6743</v>
      </c>
      <c r="C965">
        <v>1</v>
      </c>
      <c r="D965" t="s">
        <v>6026</v>
      </c>
      <c r="E965" t="s">
        <v>5557</v>
      </c>
      <c r="F965">
        <v>7.9</v>
      </c>
      <c r="H965" t="s">
        <v>4494</v>
      </c>
      <c r="I965" t="s">
        <v>6742</v>
      </c>
    </row>
    <row r="966" spans="1:9">
      <c r="A966" t="s">
        <v>6024</v>
      </c>
      <c r="B966" t="s">
        <v>6744</v>
      </c>
      <c r="C966">
        <v>1</v>
      </c>
      <c r="D966" t="s">
        <v>6026</v>
      </c>
      <c r="E966" t="s">
        <v>5557</v>
      </c>
      <c r="F966">
        <v>5</v>
      </c>
      <c r="H966" t="s">
        <v>4494</v>
      </c>
      <c r="I966" t="s">
        <v>6745</v>
      </c>
    </row>
    <row r="967" spans="1:9">
      <c r="A967" t="s">
        <v>6024</v>
      </c>
      <c r="B967" t="s">
        <v>6746</v>
      </c>
      <c r="C967">
        <v>1</v>
      </c>
      <c r="D967" t="s">
        <v>6026</v>
      </c>
      <c r="E967" t="s">
        <v>5557</v>
      </c>
      <c r="F967">
        <v>8.9</v>
      </c>
      <c r="H967" t="s">
        <v>4494</v>
      </c>
      <c r="I967" t="s">
        <v>6745</v>
      </c>
    </row>
    <row r="968" spans="1:9">
      <c r="A968" t="s">
        <v>6024</v>
      </c>
      <c r="B968" t="s">
        <v>6747</v>
      </c>
      <c r="C968">
        <v>1</v>
      </c>
      <c r="D968" t="s">
        <v>6026</v>
      </c>
      <c r="E968" t="s">
        <v>5557</v>
      </c>
      <c r="F968">
        <v>1.7</v>
      </c>
      <c r="H968" t="s">
        <v>4494</v>
      </c>
      <c r="I968" t="s">
        <v>6745</v>
      </c>
    </row>
    <row r="969" spans="1:9">
      <c r="A969" t="s">
        <v>6024</v>
      </c>
      <c r="B969" t="s">
        <v>6748</v>
      </c>
      <c r="C969">
        <v>1</v>
      </c>
      <c r="D969" t="s">
        <v>6026</v>
      </c>
      <c r="E969" t="s">
        <v>5557</v>
      </c>
      <c r="F969">
        <v>3.9</v>
      </c>
      <c r="H969" t="s">
        <v>4494</v>
      </c>
      <c r="I969" t="s">
        <v>6745</v>
      </c>
    </row>
    <row r="970" spans="1:9">
      <c r="A970" t="s">
        <v>6024</v>
      </c>
      <c r="B970" t="s">
        <v>6749</v>
      </c>
      <c r="C970">
        <v>1</v>
      </c>
      <c r="D970" t="s">
        <v>6026</v>
      </c>
      <c r="E970" t="s">
        <v>5557</v>
      </c>
      <c r="F970">
        <v>2.1</v>
      </c>
      <c r="H970" t="s">
        <v>4494</v>
      </c>
      <c r="I970" t="s">
        <v>6745</v>
      </c>
    </row>
    <row r="971" spans="1:9">
      <c r="A971" t="s">
        <v>6024</v>
      </c>
      <c r="B971" t="s">
        <v>6750</v>
      </c>
      <c r="C971">
        <v>1</v>
      </c>
      <c r="D971" t="s">
        <v>6026</v>
      </c>
      <c r="E971" t="s">
        <v>5557</v>
      </c>
      <c r="F971">
        <v>2.6</v>
      </c>
      <c r="H971" t="s">
        <v>4494</v>
      </c>
      <c r="I971" t="s">
        <v>6745</v>
      </c>
    </row>
    <row r="972" spans="1:9">
      <c r="A972" t="s">
        <v>5782</v>
      </c>
      <c r="B972" t="s">
        <v>6751</v>
      </c>
      <c r="C972">
        <v>100</v>
      </c>
      <c r="D972" t="s">
        <v>5784</v>
      </c>
      <c r="E972" t="s">
        <v>5557</v>
      </c>
      <c r="F972" t="s">
        <v>5558</v>
      </c>
      <c r="H972" t="s">
        <v>5557</v>
      </c>
      <c r="I972" t="s">
        <v>5557</v>
      </c>
    </row>
    <row r="973" spans="1:9">
      <c r="A973" t="s">
        <v>5782</v>
      </c>
      <c r="B973" t="s">
        <v>6752</v>
      </c>
      <c r="C973">
        <v>100</v>
      </c>
      <c r="D973" t="s">
        <v>5784</v>
      </c>
      <c r="E973" t="s">
        <v>5557</v>
      </c>
      <c r="F973" t="s">
        <v>5558</v>
      </c>
      <c r="H973" t="s">
        <v>5557</v>
      </c>
      <c r="I973" t="s">
        <v>5557</v>
      </c>
    </row>
    <row r="974" spans="1:9" ht="36" customHeight="1">
      <c r="A974" s="76" t="s">
        <v>6753</v>
      </c>
      <c r="B974" s="76" t="s">
        <v>6754</v>
      </c>
      <c r="C974" s="77">
        <v>1</v>
      </c>
      <c r="D974" s="76" t="s">
        <v>5746</v>
      </c>
      <c r="E974" s="78">
        <v>0.7</v>
      </c>
      <c r="F974" s="78">
        <v>60</v>
      </c>
      <c r="G974" s="76" t="s">
        <v>6755</v>
      </c>
      <c r="H974" s="76" t="s">
        <v>4400</v>
      </c>
      <c r="I974" s="76" t="s">
        <v>6428</v>
      </c>
    </row>
    <row r="975" spans="1:9" ht="36" customHeight="1">
      <c r="A975" s="76" t="s">
        <v>6753</v>
      </c>
      <c r="B975" s="76" t="s">
        <v>6756</v>
      </c>
      <c r="C975" s="77">
        <v>1</v>
      </c>
      <c r="D975" s="76" t="s">
        <v>5556</v>
      </c>
      <c r="E975" s="78">
        <v>0.03</v>
      </c>
      <c r="F975" s="78">
        <v>4</v>
      </c>
      <c r="G975" s="76" t="s">
        <v>6757</v>
      </c>
      <c r="H975" s="76" t="s">
        <v>4400</v>
      </c>
      <c r="I975" s="76" t="s">
        <v>6428</v>
      </c>
    </row>
    <row r="976" spans="1:9" ht="36" customHeight="1">
      <c r="A976" s="76" t="s">
        <v>5639</v>
      </c>
      <c r="B976" s="76" t="s">
        <v>6758</v>
      </c>
      <c r="C976" s="77">
        <v>1</v>
      </c>
      <c r="D976" s="76" t="s">
        <v>6759</v>
      </c>
      <c r="E976" s="78">
        <v>0.01</v>
      </c>
      <c r="F976" s="78">
        <v>0.3</v>
      </c>
      <c r="G976" s="76" t="s">
        <v>6760</v>
      </c>
      <c r="H976" s="76" t="s">
        <v>4630</v>
      </c>
      <c r="I976" s="76" t="s">
        <v>6761</v>
      </c>
    </row>
    <row r="977" spans="1:9" ht="48" customHeight="1">
      <c r="A977" s="76" t="s">
        <v>5786</v>
      </c>
      <c r="B977" s="76" t="s">
        <v>6762</v>
      </c>
      <c r="C977" s="77">
        <v>1</v>
      </c>
      <c r="D977" s="76" t="s">
        <v>5556</v>
      </c>
      <c r="E977" s="78">
        <v>0.25</v>
      </c>
      <c r="F977" s="78">
        <v>3</v>
      </c>
      <c r="G977" s="76" t="s">
        <v>6763</v>
      </c>
      <c r="H977" s="76" t="s">
        <v>4506</v>
      </c>
      <c r="I977" s="76" t="s">
        <v>6255</v>
      </c>
    </row>
    <row r="978" spans="1:9" ht="24" customHeight="1">
      <c r="A978" s="76" t="s">
        <v>5639</v>
      </c>
      <c r="B978" s="76" t="s">
        <v>6764</v>
      </c>
      <c r="C978" s="77">
        <v>1</v>
      </c>
      <c r="D978" s="76" t="s">
        <v>6759</v>
      </c>
      <c r="E978" s="78">
        <v>0.04</v>
      </c>
      <c r="F978" s="78">
        <v>12</v>
      </c>
      <c r="G978" s="76" t="s">
        <v>6765</v>
      </c>
      <c r="H978" s="76" t="s">
        <v>5080</v>
      </c>
      <c r="I978" s="76" t="s">
        <v>6766</v>
      </c>
    </row>
    <row r="979" spans="1:9" ht="36" customHeight="1">
      <c r="A979" s="76" t="s">
        <v>5639</v>
      </c>
      <c r="B979" s="76" t="s">
        <v>6767</v>
      </c>
      <c r="C979" s="77">
        <v>1</v>
      </c>
      <c r="D979" s="76" t="s">
        <v>6759</v>
      </c>
      <c r="E979" s="78">
        <v>0.05</v>
      </c>
      <c r="F979" s="78">
        <v>20</v>
      </c>
      <c r="G979" s="76" t="s">
        <v>6768</v>
      </c>
      <c r="H979" s="76" t="s">
        <v>5080</v>
      </c>
      <c r="I979" s="76" t="s">
        <v>6766</v>
      </c>
    </row>
    <row r="980" spans="1:9" ht="36" customHeight="1">
      <c r="A980" s="76" t="s">
        <v>5658</v>
      </c>
      <c r="B980" s="76" t="s">
        <v>6769</v>
      </c>
      <c r="C980" s="77">
        <v>1</v>
      </c>
      <c r="D980" s="76" t="s">
        <v>5556</v>
      </c>
      <c r="E980" s="78">
        <v>2</v>
      </c>
      <c r="F980" s="78">
        <v>12</v>
      </c>
      <c r="G980" s="76" t="s">
        <v>6770</v>
      </c>
      <c r="H980" s="76" t="s">
        <v>4352</v>
      </c>
      <c r="I980" s="76" t="s">
        <v>5958</v>
      </c>
    </row>
    <row r="981" spans="1:9" ht="24" customHeight="1">
      <c r="A981" s="76" t="s">
        <v>5658</v>
      </c>
      <c r="B981" s="76" t="s">
        <v>6771</v>
      </c>
      <c r="C981" s="77">
        <v>1</v>
      </c>
      <c r="D981" s="76" t="s">
        <v>5556</v>
      </c>
      <c r="E981" s="78">
        <v>2.5</v>
      </c>
      <c r="F981" s="78">
        <v>35</v>
      </c>
      <c r="G981" s="76" t="s">
        <v>6772</v>
      </c>
      <c r="H981" s="76" t="s">
        <v>4400</v>
      </c>
      <c r="I981" s="76" t="s">
        <v>6428</v>
      </c>
    </row>
    <row r="982" spans="1:9" ht="24" customHeight="1">
      <c r="A982" s="76" t="s">
        <v>6773</v>
      </c>
      <c r="B982" s="76" t="s">
        <v>6774</v>
      </c>
      <c r="C982" s="77">
        <v>1</v>
      </c>
      <c r="D982" s="76" t="s">
        <v>6775</v>
      </c>
      <c r="E982" s="78">
        <v>1</v>
      </c>
      <c r="F982" s="78">
        <v>0.15</v>
      </c>
      <c r="G982" s="76" t="s">
        <v>6776</v>
      </c>
      <c r="H982" s="76" t="s">
        <v>4648</v>
      </c>
      <c r="I982" s="76" t="s">
        <v>6777</v>
      </c>
    </row>
    <row r="983" spans="1:9" ht="36" customHeight="1">
      <c r="A983" s="76" t="s">
        <v>6773</v>
      </c>
      <c r="B983" s="76" t="s">
        <v>6778</v>
      </c>
      <c r="C983" s="77">
        <v>1</v>
      </c>
      <c r="D983" s="76" t="s">
        <v>6779</v>
      </c>
      <c r="E983" s="78">
        <v>0.05</v>
      </c>
      <c r="F983" s="78">
        <v>0.25</v>
      </c>
      <c r="G983" s="76" t="s">
        <v>6780</v>
      </c>
      <c r="H983" s="76" t="s">
        <v>4648</v>
      </c>
      <c r="I983" s="76" t="s">
        <v>6140</v>
      </c>
    </row>
    <row r="984" spans="1:9" ht="24" customHeight="1">
      <c r="A984" s="76" t="s">
        <v>5658</v>
      </c>
      <c r="B984" s="76" t="s">
        <v>6781</v>
      </c>
      <c r="C984" s="77">
        <v>1</v>
      </c>
      <c r="D984" s="76" t="s">
        <v>5556</v>
      </c>
      <c r="E984" s="78">
        <v>0.7</v>
      </c>
      <c r="F984" s="78">
        <v>5</v>
      </c>
      <c r="G984" s="76" t="s">
        <v>6782</v>
      </c>
      <c r="H984" s="76" t="s">
        <v>4400</v>
      </c>
      <c r="I984" s="76" t="s">
        <v>6442</v>
      </c>
    </row>
    <row r="985" spans="1:9" ht="36" customHeight="1">
      <c r="A985" s="76" t="s">
        <v>5658</v>
      </c>
      <c r="B985" s="76" t="s">
        <v>6783</v>
      </c>
      <c r="C985" s="77">
        <v>1</v>
      </c>
      <c r="D985" s="76" t="s">
        <v>5746</v>
      </c>
      <c r="E985" s="78">
        <v>0.8</v>
      </c>
      <c r="F985" s="78">
        <v>90</v>
      </c>
      <c r="G985" s="76" t="s">
        <v>6784</v>
      </c>
      <c r="H985" s="76" t="s">
        <v>4608</v>
      </c>
      <c r="I985" s="76" t="s">
        <v>6785</v>
      </c>
    </row>
    <row r="986" spans="1:9" ht="36" customHeight="1">
      <c r="A986" s="76" t="s">
        <v>5658</v>
      </c>
      <c r="B986" s="76" t="s">
        <v>6786</v>
      </c>
      <c r="C986" s="77">
        <v>1</v>
      </c>
      <c r="D986" s="76" t="s">
        <v>5746</v>
      </c>
      <c r="E986" s="78">
        <v>3</v>
      </c>
      <c r="F986" s="78">
        <v>40</v>
      </c>
      <c r="G986" s="76" t="s">
        <v>6787</v>
      </c>
      <c r="H986" s="76" t="s">
        <v>4400</v>
      </c>
      <c r="I986" s="76" t="s">
        <v>6428</v>
      </c>
    </row>
    <row r="987" spans="1:9" ht="60" customHeight="1">
      <c r="A987" s="76" t="s">
        <v>6788</v>
      </c>
      <c r="B987" s="76" t="s">
        <v>6789</v>
      </c>
      <c r="C987" s="77">
        <v>1</v>
      </c>
      <c r="D987" s="76" t="s">
        <v>5556</v>
      </c>
      <c r="E987" s="78">
        <v>0.6</v>
      </c>
      <c r="F987" s="78">
        <v>6</v>
      </c>
      <c r="G987" s="76" t="s">
        <v>6790</v>
      </c>
      <c r="H987" s="76" t="s">
        <v>4506</v>
      </c>
      <c r="I987" s="76" t="s">
        <v>6198</v>
      </c>
    </row>
    <row r="988" spans="1:9" ht="48" customHeight="1">
      <c r="A988" s="76" t="s">
        <v>5633</v>
      </c>
      <c r="B988" s="76" t="s">
        <v>6791</v>
      </c>
      <c r="C988" s="77">
        <v>1</v>
      </c>
      <c r="D988" s="76" t="s">
        <v>5556</v>
      </c>
      <c r="E988" s="78">
        <v>1</v>
      </c>
      <c r="F988" s="78">
        <v>18</v>
      </c>
      <c r="G988" s="76" t="s">
        <v>6792</v>
      </c>
      <c r="H988" s="76" t="s">
        <v>4400</v>
      </c>
      <c r="I988" s="76" t="s">
        <v>6428</v>
      </c>
    </row>
    <row r="989" spans="1:9" ht="48" customHeight="1">
      <c r="A989" s="76" t="s">
        <v>5658</v>
      </c>
      <c r="B989" s="76" t="s">
        <v>6793</v>
      </c>
      <c r="C989" s="77">
        <v>1</v>
      </c>
      <c r="D989" s="76" t="s">
        <v>5556</v>
      </c>
      <c r="E989" s="78">
        <v>1.5</v>
      </c>
      <c r="F989" s="78">
        <v>18</v>
      </c>
      <c r="G989" s="76" t="s">
        <v>6794</v>
      </c>
      <c r="H989" s="76" t="s">
        <v>4506</v>
      </c>
      <c r="I989" s="76" t="s">
        <v>6255</v>
      </c>
    </row>
    <row r="990" spans="1:9" ht="36" customHeight="1">
      <c r="A990" s="76" t="s">
        <v>6795</v>
      </c>
      <c r="B990" s="76" t="s">
        <v>6796</v>
      </c>
      <c r="C990" s="77">
        <v>1</v>
      </c>
      <c r="D990" s="76" t="s">
        <v>5556</v>
      </c>
      <c r="E990" s="78">
        <v>2</v>
      </c>
      <c r="F990" s="78">
        <v>8</v>
      </c>
      <c r="G990" s="76" t="s">
        <v>6797</v>
      </c>
      <c r="H990" s="76" t="s">
        <v>4481</v>
      </c>
      <c r="I990" s="76" t="s">
        <v>6798</v>
      </c>
    </row>
    <row r="991" spans="1:9" ht="48" customHeight="1">
      <c r="A991" s="76" t="s">
        <v>5793</v>
      </c>
      <c r="B991" s="76" t="s">
        <v>6799</v>
      </c>
      <c r="C991" s="77">
        <v>1</v>
      </c>
      <c r="D991" s="76" t="s">
        <v>6800</v>
      </c>
      <c r="E991" s="78">
        <v>0.5</v>
      </c>
      <c r="F991" s="78">
        <v>10</v>
      </c>
      <c r="G991" s="76" t="s">
        <v>6801</v>
      </c>
      <c r="H991" s="76" t="s">
        <v>4352</v>
      </c>
      <c r="I991" s="76" t="s">
        <v>5958</v>
      </c>
    </row>
    <row r="992" spans="1:9" ht="36" customHeight="1">
      <c r="A992" s="76" t="s">
        <v>5639</v>
      </c>
      <c r="B992" s="76" t="s">
        <v>6802</v>
      </c>
      <c r="C992" s="77">
        <v>1</v>
      </c>
      <c r="D992" s="76" t="s">
        <v>6803</v>
      </c>
      <c r="E992" s="78">
        <v>0.02</v>
      </c>
      <c r="F992" s="78">
        <v>25</v>
      </c>
      <c r="G992" s="76" t="s">
        <v>6804</v>
      </c>
      <c r="H992" s="76" t="s">
        <v>4630</v>
      </c>
      <c r="I992" s="76" t="s">
        <v>6761</v>
      </c>
    </row>
    <row r="993" spans="1:9" ht="48" customHeight="1">
      <c r="A993" s="76" t="s">
        <v>5850</v>
      </c>
      <c r="B993" s="76" t="s">
        <v>6805</v>
      </c>
      <c r="C993" s="77">
        <v>1</v>
      </c>
      <c r="D993" s="76" t="s">
        <v>5556</v>
      </c>
      <c r="E993" s="78">
        <v>5</v>
      </c>
      <c r="F993" s="78">
        <v>600</v>
      </c>
      <c r="G993" s="76" t="s">
        <v>6806</v>
      </c>
      <c r="H993" s="76" t="s">
        <v>4608</v>
      </c>
      <c r="I993" s="76" t="s">
        <v>6785</v>
      </c>
    </row>
    <row r="994" spans="1:9" ht="24" customHeight="1">
      <c r="A994" s="76" t="s">
        <v>5850</v>
      </c>
      <c r="B994" s="76" t="s">
        <v>6807</v>
      </c>
      <c r="C994" s="77">
        <v>1</v>
      </c>
      <c r="D994" s="76" t="s">
        <v>5556</v>
      </c>
      <c r="E994" s="78">
        <v>3</v>
      </c>
      <c r="F994" s="78">
        <v>20</v>
      </c>
      <c r="G994" s="76" t="s">
        <v>6808</v>
      </c>
      <c r="H994" s="76" t="s">
        <v>4352</v>
      </c>
      <c r="I994" s="76" t="s">
        <v>5958</v>
      </c>
    </row>
    <row r="995" spans="1:9" ht="60" customHeight="1">
      <c r="A995" s="76" t="s">
        <v>6809</v>
      </c>
      <c r="B995" s="76" t="s">
        <v>6810</v>
      </c>
      <c r="C995" s="77">
        <v>1</v>
      </c>
      <c r="D995" s="76" t="s">
        <v>5635</v>
      </c>
      <c r="E995" s="78">
        <v>1</v>
      </c>
      <c r="F995" s="78">
        <v>12</v>
      </c>
      <c r="G995" s="76" t="s">
        <v>6811</v>
      </c>
      <c r="H995" s="76" t="s">
        <v>4380</v>
      </c>
      <c r="I995" s="76" t="s">
        <v>6812</v>
      </c>
    </row>
    <row r="996" spans="1:9" ht="48" customHeight="1">
      <c r="A996" s="76" t="s">
        <v>6809</v>
      </c>
      <c r="B996" s="76" t="s">
        <v>6813</v>
      </c>
      <c r="C996" s="77">
        <v>1</v>
      </c>
      <c r="D996" s="76" t="s">
        <v>6814</v>
      </c>
      <c r="E996" s="78">
        <v>0.5</v>
      </c>
      <c r="F996" s="78">
        <v>8</v>
      </c>
      <c r="G996" s="76" t="s">
        <v>6815</v>
      </c>
      <c r="H996" s="76" t="s">
        <v>4727</v>
      </c>
      <c r="I996" s="76" t="s">
        <v>6816</v>
      </c>
    </row>
    <row r="997" spans="1:9" ht="48" customHeight="1">
      <c r="A997" s="76" t="s">
        <v>6817</v>
      </c>
      <c r="B997" s="76" t="s">
        <v>6818</v>
      </c>
      <c r="C997" s="77">
        <v>1</v>
      </c>
      <c r="D997" s="76" t="s">
        <v>5556</v>
      </c>
      <c r="E997" s="78">
        <v>180</v>
      </c>
      <c r="F997" s="78">
        <v>1200</v>
      </c>
      <c r="G997" s="76" t="s">
        <v>6819</v>
      </c>
      <c r="H997" s="76" t="s">
        <v>4608</v>
      </c>
      <c r="I997" s="76" t="s">
        <v>6820</v>
      </c>
    </row>
    <row r="998" spans="1:9" ht="60" customHeight="1">
      <c r="A998" s="76" t="s">
        <v>6817</v>
      </c>
      <c r="B998" s="76" t="s">
        <v>6821</v>
      </c>
      <c r="C998" s="77">
        <v>1</v>
      </c>
      <c r="D998" s="76" t="s">
        <v>5746</v>
      </c>
      <c r="E998" s="78">
        <v>12</v>
      </c>
      <c r="F998" s="78">
        <v>180</v>
      </c>
      <c r="G998" s="76" t="s">
        <v>6822</v>
      </c>
      <c r="H998" s="76" t="s">
        <v>4630</v>
      </c>
      <c r="I998" s="76" t="s">
        <v>6823</v>
      </c>
    </row>
    <row r="999" spans="1:9" ht="24" customHeight="1">
      <c r="A999" s="76" t="s">
        <v>6809</v>
      </c>
      <c r="B999" s="76" t="s">
        <v>6824</v>
      </c>
      <c r="C999" s="77">
        <v>1</v>
      </c>
      <c r="D999" s="76" t="s">
        <v>6825</v>
      </c>
      <c r="E999" s="78">
        <v>0.5</v>
      </c>
      <c r="F999" s="78">
        <v>4</v>
      </c>
      <c r="G999" s="76" t="s">
        <v>6826</v>
      </c>
      <c r="H999" s="76" t="s">
        <v>4727</v>
      </c>
      <c r="I999" s="76" t="s">
        <v>6816</v>
      </c>
    </row>
    <row r="1000" spans="1:9" ht="48" customHeight="1">
      <c r="A1000" s="76" t="s">
        <v>5907</v>
      </c>
      <c r="B1000" s="76" t="s">
        <v>6827</v>
      </c>
      <c r="C1000" s="77">
        <v>1</v>
      </c>
      <c r="D1000" s="76" t="s">
        <v>5746</v>
      </c>
      <c r="E1000" s="78">
        <v>0.08</v>
      </c>
      <c r="F1000" s="78">
        <v>2</v>
      </c>
      <c r="G1000" s="76" t="s">
        <v>6828</v>
      </c>
      <c r="H1000" s="76" t="s">
        <v>4630</v>
      </c>
      <c r="I1000" s="76" t="s">
        <v>6761</v>
      </c>
    </row>
    <row r="1001" spans="1:9" ht="48" customHeight="1">
      <c r="A1001" s="76" t="s">
        <v>5907</v>
      </c>
      <c r="B1001" s="76" t="s">
        <v>6829</v>
      </c>
      <c r="C1001" s="77">
        <v>1</v>
      </c>
      <c r="D1001" s="76" t="s">
        <v>5746</v>
      </c>
      <c r="E1001" s="78">
        <v>0.08</v>
      </c>
      <c r="F1001" s="78">
        <v>8</v>
      </c>
      <c r="G1001" s="76" t="s">
        <v>6830</v>
      </c>
      <c r="H1001" s="76" t="s">
        <v>4630</v>
      </c>
      <c r="I1001" s="76" t="s">
        <v>6761</v>
      </c>
    </row>
    <row r="1002" spans="1:9" ht="36" customHeight="1">
      <c r="A1002" s="76" t="s">
        <v>5907</v>
      </c>
      <c r="B1002" s="76" t="s">
        <v>6831</v>
      </c>
      <c r="C1002" s="77">
        <v>1</v>
      </c>
      <c r="D1002" s="76" t="s">
        <v>5746</v>
      </c>
      <c r="E1002" s="78">
        <v>0.02</v>
      </c>
      <c r="F1002" s="78">
        <v>5</v>
      </c>
      <c r="G1002" s="76" t="s">
        <v>6832</v>
      </c>
      <c r="H1002" s="76" t="s">
        <v>4352</v>
      </c>
      <c r="I1002" s="76" t="s">
        <v>6833</v>
      </c>
    </row>
    <row r="1003" spans="1:9" ht="24" customHeight="1">
      <c r="A1003" s="76" t="s">
        <v>6817</v>
      </c>
      <c r="B1003" s="76" t="s">
        <v>6834</v>
      </c>
      <c r="C1003" s="77">
        <v>1</v>
      </c>
      <c r="D1003" s="76" t="s">
        <v>5556</v>
      </c>
      <c r="E1003" s="78">
        <v>60</v>
      </c>
      <c r="F1003" s="78">
        <v>180</v>
      </c>
      <c r="G1003" s="76" t="s">
        <v>6835</v>
      </c>
      <c r="H1003" s="76" t="s">
        <v>4400</v>
      </c>
      <c r="I1003" s="76" t="s">
        <v>6442</v>
      </c>
    </row>
    <row r="1004" spans="1:9" ht="36" customHeight="1">
      <c r="A1004" s="76" t="s">
        <v>6817</v>
      </c>
      <c r="B1004" s="76" t="s">
        <v>6836</v>
      </c>
      <c r="C1004" s="77">
        <v>1</v>
      </c>
      <c r="D1004" s="76" t="s">
        <v>5556</v>
      </c>
      <c r="E1004" s="78">
        <v>80</v>
      </c>
      <c r="F1004" s="78">
        <v>120</v>
      </c>
      <c r="G1004" s="76" t="s">
        <v>6837</v>
      </c>
      <c r="H1004" s="76" t="s">
        <v>4400</v>
      </c>
      <c r="I1004" s="76" t="s">
        <v>6442</v>
      </c>
    </row>
    <row r="1005" spans="1:9" ht="24" customHeight="1">
      <c r="A1005" s="76" t="s">
        <v>6817</v>
      </c>
      <c r="B1005" s="76" t="s">
        <v>6838</v>
      </c>
      <c r="C1005" s="77">
        <v>1</v>
      </c>
      <c r="D1005" s="76" t="s">
        <v>5556</v>
      </c>
      <c r="E1005" s="78">
        <v>8</v>
      </c>
      <c r="F1005" s="78">
        <v>45</v>
      </c>
      <c r="G1005" s="76" t="s">
        <v>6839</v>
      </c>
      <c r="H1005" s="76" t="s">
        <v>4506</v>
      </c>
      <c r="I1005" s="76" t="s">
        <v>6255</v>
      </c>
    </row>
    <row r="1006" spans="1:9" ht="48" customHeight="1">
      <c r="A1006" s="76" t="s">
        <v>6817</v>
      </c>
      <c r="B1006" s="76" t="s">
        <v>6840</v>
      </c>
      <c r="C1006" s="77">
        <v>1</v>
      </c>
      <c r="D1006" s="76" t="s">
        <v>5556</v>
      </c>
      <c r="E1006" s="78">
        <v>35</v>
      </c>
      <c r="F1006" s="78">
        <v>100</v>
      </c>
      <c r="G1006" s="76" t="s">
        <v>6841</v>
      </c>
      <c r="H1006" s="76" t="s">
        <v>4352</v>
      </c>
      <c r="I1006" s="76" t="s">
        <v>5958</v>
      </c>
    </row>
    <row r="1007" spans="1:9" ht="36" customHeight="1">
      <c r="A1007" s="76" t="s">
        <v>5658</v>
      </c>
      <c r="B1007" s="76" t="s">
        <v>6842</v>
      </c>
      <c r="C1007" s="77">
        <v>1</v>
      </c>
      <c r="D1007" s="76" t="s">
        <v>5746</v>
      </c>
      <c r="E1007" s="78">
        <v>1.2</v>
      </c>
      <c r="F1007" s="78">
        <v>65</v>
      </c>
      <c r="G1007" s="76" t="s">
        <v>6843</v>
      </c>
      <c r="H1007" s="76" t="s">
        <v>4400</v>
      </c>
      <c r="I1007" s="76" t="s">
        <v>6428</v>
      </c>
    </row>
    <row r="1008" spans="1:9" ht="48" customHeight="1">
      <c r="A1008" s="76" t="s">
        <v>5658</v>
      </c>
      <c r="B1008" s="76" t="s">
        <v>6844</v>
      </c>
      <c r="C1008" s="77">
        <v>1</v>
      </c>
      <c r="D1008" s="76" t="s">
        <v>5746</v>
      </c>
      <c r="E1008" s="78">
        <v>5</v>
      </c>
      <c r="F1008" s="78">
        <v>55</v>
      </c>
      <c r="G1008" s="76" t="s">
        <v>6845</v>
      </c>
      <c r="H1008" s="76" t="s">
        <v>4400</v>
      </c>
      <c r="I1008" s="76" t="s">
        <v>6442</v>
      </c>
    </row>
    <row r="1009" spans="1:9" ht="48" customHeight="1">
      <c r="A1009" s="76" t="s">
        <v>6846</v>
      </c>
      <c r="B1009" s="76" t="s">
        <v>6847</v>
      </c>
      <c r="C1009" s="77">
        <v>1</v>
      </c>
      <c r="D1009" s="76" t="s">
        <v>5635</v>
      </c>
      <c r="E1009" s="78">
        <v>0.3</v>
      </c>
      <c r="F1009" s="78">
        <v>5</v>
      </c>
      <c r="G1009" s="76" t="s">
        <v>6848</v>
      </c>
      <c r="H1009" s="76" t="s">
        <v>4400</v>
      </c>
      <c r="I1009" s="76" t="s">
        <v>6428</v>
      </c>
    </row>
    <row r="1010" spans="1:9" ht="36" customHeight="1">
      <c r="A1010" s="76" t="s">
        <v>5658</v>
      </c>
      <c r="B1010" s="76" t="s">
        <v>6849</v>
      </c>
      <c r="C1010" s="77">
        <v>1</v>
      </c>
      <c r="D1010" s="76" t="s">
        <v>5746</v>
      </c>
      <c r="E1010" s="78">
        <v>0.4</v>
      </c>
      <c r="F1010" s="78">
        <v>9</v>
      </c>
      <c r="G1010" s="76" t="s">
        <v>6850</v>
      </c>
      <c r="H1010" s="76" t="s">
        <v>4400</v>
      </c>
      <c r="I1010" s="76" t="s">
        <v>6428</v>
      </c>
    </row>
    <row r="1011" spans="1:9" ht="48" customHeight="1">
      <c r="A1011" s="76" t="s">
        <v>5658</v>
      </c>
      <c r="B1011" s="76" t="s">
        <v>6851</v>
      </c>
      <c r="C1011" s="77">
        <v>1</v>
      </c>
      <c r="D1011" s="76" t="s">
        <v>5746</v>
      </c>
      <c r="E1011" s="78">
        <v>1.2</v>
      </c>
      <c r="F1011" s="78">
        <v>16</v>
      </c>
      <c r="G1011" s="76" t="s">
        <v>6852</v>
      </c>
      <c r="H1011" s="76" t="s">
        <v>4400</v>
      </c>
      <c r="I1011" s="76" t="s">
        <v>6442</v>
      </c>
    </row>
    <row r="1012" spans="1:9" ht="60" customHeight="1">
      <c r="A1012" s="76" t="s">
        <v>6846</v>
      </c>
      <c r="B1012" s="76" t="s">
        <v>6853</v>
      </c>
      <c r="C1012" s="77">
        <v>1</v>
      </c>
      <c r="D1012" s="76" t="s">
        <v>5635</v>
      </c>
      <c r="E1012" s="78">
        <v>0.3</v>
      </c>
      <c r="F1012" s="78">
        <v>6</v>
      </c>
      <c r="G1012" s="76" t="s">
        <v>6854</v>
      </c>
      <c r="H1012" s="76" t="s">
        <v>4400</v>
      </c>
      <c r="I1012" s="76" t="s">
        <v>6428</v>
      </c>
    </row>
    <row r="1013" spans="1:9" ht="48" customHeight="1">
      <c r="A1013" s="76" t="s">
        <v>6846</v>
      </c>
      <c r="B1013" s="76" t="s">
        <v>6855</v>
      </c>
      <c r="C1013" s="77">
        <v>1</v>
      </c>
      <c r="D1013" s="76" t="s">
        <v>5746</v>
      </c>
      <c r="E1013" s="78">
        <v>2</v>
      </c>
      <c r="F1013" s="78">
        <v>30</v>
      </c>
      <c r="G1013" s="76" t="s">
        <v>6856</v>
      </c>
      <c r="H1013" s="76" t="s">
        <v>4608</v>
      </c>
      <c r="I1013" s="76" t="s">
        <v>6820</v>
      </c>
    </row>
    <row r="1014" spans="1:9" ht="36" customHeight="1">
      <c r="A1014" s="76" t="s">
        <v>6857</v>
      </c>
      <c r="B1014" s="76" t="s">
        <v>6858</v>
      </c>
      <c r="C1014" s="77">
        <v>1</v>
      </c>
      <c r="D1014" s="76" t="s">
        <v>6859</v>
      </c>
      <c r="E1014" s="78">
        <v>10</v>
      </c>
      <c r="F1014" s="78">
        <v>4</v>
      </c>
      <c r="G1014" s="76" t="s">
        <v>6860</v>
      </c>
      <c r="H1014" s="76" t="s">
        <v>4352</v>
      </c>
      <c r="I1014" s="76" t="s">
        <v>6861</v>
      </c>
    </row>
    <row r="1015" spans="1:9" ht="36" customHeight="1">
      <c r="A1015" s="76" t="s">
        <v>6857</v>
      </c>
      <c r="B1015" s="76" t="s">
        <v>6862</v>
      </c>
      <c r="C1015" s="77">
        <v>1</v>
      </c>
      <c r="D1015" s="76" t="s">
        <v>5556</v>
      </c>
      <c r="E1015" s="78">
        <v>15</v>
      </c>
      <c r="F1015" s="78">
        <v>6</v>
      </c>
      <c r="G1015" s="76" t="s">
        <v>6863</v>
      </c>
      <c r="H1015" s="76" t="s">
        <v>4352</v>
      </c>
      <c r="I1015" s="76" t="s">
        <v>6861</v>
      </c>
    </row>
    <row r="1016" spans="1:9" ht="48" customHeight="1">
      <c r="A1016" s="76" t="s">
        <v>5909</v>
      </c>
      <c r="B1016" s="76" t="s">
        <v>6864</v>
      </c>
      <c r="C1016" s="77">
        <v>1</v>
      </c>
      <c r="D1016" s="76" t="s">
        <v>5556</v>
      </c>
      <c r="E1016" s="78">
        <v>1</v>
      </c>
      <c r="F1016" s="78">
        <v>5</v>
      </c>
      <c r="G1016" s="76" t="s">
        <v>6865</v>
      </c>
      <c r="H1016" s="76" t="s">
        <v>4506</v>
      </c>
      <c r="I1016" s="76" t="s">
        <v>6866</v>
      </c>
    </row>
    <row r="1017" spans="1:9" ht="36" customHeight="1">
      <c r="A1017" s="76" t="s">
        <v>6867</v>
      </c>
      <c r="B1017" s="76" t="s">
        <v>6868</v>
      </c>
      <c r="C1017" s="77">
        <v>1</v>
      </c>
      <c r="D1017" s="76" t="s">
        <v>6869</v>
      </c>
      <c r="E1017" s="78">
        <v>0.15</v>
      </c>
      <c r="F1017" s="78">
        <v>1.5</v>
      </c>
      <c r="G1017" s="76" t="s">
        <v>6870</v>
      </c>
      <c r="H1017" s="76" t="s">
        <v>4494</v>
      </c>
      <c r="I1017" s="76" t="s">
        <v>6871</v>
      </c>
    </row>
    <row r="1018" spans="1:9" ht="48" customHeight="1">
      <c r="A1018" s="76" t="s">
        <v>6867</v>
      </c>
      <c r="B1018" s="76" t="s">
        <v>6872</v>
      </c>
      <c r="C1018" s="77">
        <v>1</v>
      </c>
      <c r="D1018" s="76" t="s">
        <v>6869</v>
      </c>
      <c r="E1018" s="78">
        <v>0.15</v>
      </c>
      <c r="F1018" s="78">
        <v>3</v>
      </c>
      <c r="G1018" s="76" t="s">
        <v>6873</v>
      </c>
      <c r="H1018" s="76" t="s">
        <v>4494</v>
      </c>
      <c r="I1018" s="76" t="s">
        <v>6871</v>
      </c>
    </row>
    <row r="1019" spans="1:9" ht="60" customHeight="1">
      <c r="A1019" s="76" t="s">
        <v>6867</v>
      </c>
      <c r="B1019" s="76" t="s">
        <v>6874</v>
      </c>
      <c r="C1019" s="77">
        <v>1</v>
      </c>
      <c r="D1019" s="76" t="s">
        <v>5746</v>
      </c>
      <c r="E1019" s="78">
        <v>0.8</v>
      </c>
      <c r="F1019" s="78">
        <v>75</v>
      </c>
      <c r="G1019" s="76" t="s">
        <v>6875</v>
      </c>
      <c r="H1019" s="76" t="s">
        <v>4400</v>
      </c>
      <c r="I1019" s="76" t="s">
        <v>6428</v>
      </c>
    </row>
    <row r="1020" spans="1:9" ht="48" customHeight="1">
      <c r="A1020" s="76" t="s">
        <v>6867</v>
      </c>
      <c r="B1020" s="76" t="s">
        <v>6876</v>
      </c>
      <c r="C1020" s="77">
        <v>1</v>
      </c>
      <c r="D1020" s="76" t="s">
        <v>6877</v>
      </c>
      <c r="E1020" s="78">
        <v>0.05</v>
      </c>
      <c r="F1020" s="78">
        <v>4</v>
      </c>
      <c r="G1020" s="76" t="s">
        <v>6878</v>
      </c>
      <c r="H1020" s="76" t="s">
        <v>4400</v>
      </c>
      <c r="I1020" s="76" t="s">
        <v>6428</v>
      </c>
    </row>
    <row r="1021" spans="1:9" ht="48" customHeight="1">
      <c r="A1021" s="76" t="s">
        <v>6867</v>
      </c>
      <c r="B1021" s="76" t="s">
        <v>6879</v>
      </c>
      <c r="C1021" s="77">
        <v>1</v>
      </c>
      <c r="D1021" s="76" t="s">
        <v>6880</v>
      </c>
      <c r="E1021" s="78">
        <v>0.25</v>
      </c>
      <c r="F1021" s="78">
        <v>4</v>
      </c>
      <c r="G1021" s="76" t="s">
        <v>6881</v>
      </c>
      <c r="H1021" s="76" t="s">
        <v>4727</v>
      </c>
      <c r="I1021" s="76" t="s">
        <v>6882</v>
      </c>
    </row>
    <row r="1022" spans="1:9" ht="36" customHeight="1">
      <c r="A1022" s="76" t="s">
        <v>6867</v>
      </c>
      <c r="B1022" s="76" t="s">
        <v>6883</v>
      </c>
      <c r="C1022" s="77">
        <v>1</v>
      </c>
      <c r="D1022" s="76" t="s">
        <v>5746</v>
      </c>
      <c r="E1022" s="78">
        <v>2</v>
      </c>
      <c r="F1022" s="78">
        <v>18</v>
      </c>
      <c r="G1022" s="76" t="s">
        <v>6884</v>
      </c>
      <c r="H1022" s="76" t="s">
        <v>4400</v>
      </c>
      <c r="I1022" s="76" t="s">
        <v>6428</v>
      </c>
    </row>
    <row r="1023" spans="1:9" ht="36" customHeight="1">
      <c r="A1023" s="76" t="s">
        <v>5658</v>
      </c>
      <c r="B1023" s="76" t="s">
        <v>6885</v>
      </c>
      <c r="C1023" s="77">
        <v>1</v>
      </c>
      <c r="D1023" s="76" t="s">
        <v>5746</v>
      </c>
      <c r="E1023" s="78">
        <v>1</v>
      </c>
      <c r="F1023" s="78">
        <v>4</v>
      </c>
      <c r="G1023" s="76" t="s">
        <v>6886</v>
      </c>
      <c r="H1023" s="76" t="s">
        <v>4581</v>
      </c>
      <c r="I1023" s="76" t="s">
        <v>6692</v>
      </c>
    </row>
    <row r="1024" spans="1:9" ht="48" customHeight="1">
      <c r="A1024" s="76" t="s">
        <v>6365</v>
      </c>
      <c r="B1024" s="76" t="s">
        <v>6887</v>
      </c>
      <c r="C1024" s="77">
        <v>1</v>
      </c>
      <c r="D1024" s="76" t="s">
        <v>6888</v>
      </c>
      <c r="E1024" s="78">
        <v>0.1</v>
      </c>
      <c r="F1024" s="78">
        <v>2</v>
      </c>
      <c r="G1024" s="76" t="s">
        <v>6889</v>
      </c>
      <c r="H1024" s="76" t="s">
        <v>4698</v>
      </c>
      <c r="I1024" s="76" t="s">
        <v>6890</v>
      </c>
    </row>
    <row r="1025" spans="1:9" ht="48" customHeight="1">
      <c r="A1025" s="76" t="s">
        <v>5909</v>
      </c>
      <c r="B1025" s="76" t="s">
        <v>6891</v>
      </c>
      <c r="C1025" s="77">
        <v>1</v>
      </c>
      <c r="D1025" s="76" t="s">
        <v>5746</v>
      </c>
      <c r="E1025" s="78">
        <v>1</v>
      </c>
      <c r="F1025" s="78">
        <v>6</v>
      </c>
      <c r="G1025" s="76" t="s">
        <v>6892</v>
      </c>
      <c r="H1025" s="76" t="s">
        <v>4352</v>
      </c>
      <c r="I1025" s="76" t="s">
        <v>5958</v>
      </c>
    </row>
    <row r="1026" spans="1:9" ht="36" customHeight="1">
      <c r="A1026" s="76" t="s">
        <v>6893</v>
      </c>
      <c r="B1026" s="76" t="s">
        <v>6894</v>
      </c>
      <c r="C1026" s="77">
        <v>1</v>
      </c>
      <c r="D1026" s="76" t="s">
        <v>5556</v>
      </c>
      <c r="E1026" s="78">
        <v>0.5</v>
      </c>
      <c r="F1026" s="78">
        <v>12</v>
      </c>
      <c r="G1026" s="76" t="s">
        <v>6895</v>
      </c>
      <c r="H1026" s="76" t="s">
        <v>4380</v>
      </c>
      <c r="I1026" s="76" t="s">
        <v>6812</v>
      </c>
    </row>
    <row r="1027" spans="1:9" ht="60" customHeight="1">
      <c r="A1027" s="76" t="s">
        <v>6893</v>
      </c>
      <c r="B1027" s="76" t="s">
        <v>6896</v>
      </c>
      <c r="C1027" s="77">
        <v>1</v>
      </c>
      <c r="D1027" s="76" t="s">
        <v>5746</v>
      </c>
      <c r="E1027" s="78">
        <v>5</v>
      </c>
      <c r="F1027" s="78">
        <v>80</v>
      </c>
      <c r="G1027" s="76" t="s">
        <v>6897</v>
      </c>
      <c r="H1027" s="76" t="s">
        <v>4380</v>
      </c>
      <c r="I1027" s="76" t="s">
        <v>6812</v>
      </c>
    </row>
    <row r="1028" spans="1:9" ht="24" customHeight="1">
      <c r="A1028" s="76" t="s">
        <v>6893</v>
      </c>
      <c r="B1028" s="76" t="s">
        <v>6898</v>
      </c>
      <c r="C1028" s="77">
        <v>1</v>
      </c>
      <c r="D1028" s="76" t="s">
        <v>5556</v>
      </c>
      <c r="E1028" s="78">
        <v>0.4</v>
      </c>
      <c r="F1028" s="78">
        <v>8</v>
      </c>
      <c r="G1028" s="76" t="s">
        <v>6899</v>
      </c>
      <c r="H1028" s="76" t="s">
        <v>4400</v>
      </c>
      <c r="I1028" s="76" t="s">
        <v>6428</v>
      </c>
    </row>
    <row r="1029" spans="1:9" ht="48" customHeight="1">
      <c r="A1029" s="76" t="s">
        <v>6900</v>
      </c>
      <c r="B1029" s="76" t="s">
        <v>6901</v>
      </c>
      <c r="C1029" s="77">
        <v>1</v>
      </c>
      <c r="D1029" s="76" t="s">
        <v>5556</v>
      </c>
      <c r="E1029" s="78">
        <v>0.2</v>
      </c>
      <c r="F1029" s="78">
        <v>4</v>
      </c>
      <c r="G1029" s="76" t="s">
        <v>6902</v>
      </c>
      <c r="H1029" s="76" t="s">
        <v>4352</v>
      </c>
      <c r="I1029" s="76" t="s">
        <v>6833</v>
      </c>
    </row>
    <row r="1030" spans="1:9" ht="24" customHeight="1">
      <c r="A1030" s="76" t="s">
        <v>6900</v>
      </c>
      <c r="B1030" s="76" t="s">
        <v>6903</v>
      </c>
      <c r="C1030" s="77">
        <v>1</v>
      </c>
      <c r="D1030" s="76" t="s">
        <v>5635</v>
      </c>
      <c r="E1030" s="78">
        <v>0.1</v>
      </c>
      <c r="F1030" s="78">
        <v>0.5</v>
      </c>
      <c r="G1030" s="76" t="s">
        <v>6904</v>
      </c>
      <c r="H1030" s="76" t="s">
        <v>4727</v>
      </c>
      <c r="I1030" s="76" t="s">
        <v>6816</v>
      </c>
    </row>
    <row r="1031" spans="1:9" ht="36" customHeight="1">
      <c r="A1031" s="76" t="s">
        <v>6900</v>
      </c>
      <c r="B1031" s="76" t="s">
        <v>6905</v>
      </c>
      <c r="C1031" s="77">
        <v>1</v>
      </c>
      <c r="D1031" s="76" t="s">
        <v>6888</v>
      </c>
      <c r="E1031" s="78">
        <v>0.05</v>
      </c>
      <c r="F1031" s="78">
        <v>1</v>
      </c>
      <c r="G1031" s="76" t="s">
        <v>6906</v>
      </c>
      <c r="H1031" s="76" t="s">
        <v>4698</v>
      </c>
      <c r="I1031" s="76" t="s">
        <v>5765</v>
      </c>
    </row>
    <row r="1032" spans="1:9" ht="24" customHeight="1">
      <c r="A1032" s="76" t="s">
        <v>6907</v>
      </c>
      <c r="B1032" s="76" t="s">
        <v>6908</v>
      </c>
      <c r="C1032" s="77">
        <v>1</v>
      </c>
      <c r="D1032" s="76" t="s">
        <v>6909</v>
      </c>
      <c r="E1032" s="78">
        <v>0.8</v>
      </c>
      <c r="F1032" s="78">
        <v>30</v>
      </c>
      <c r="G1032" s="76" t="s">
        <v>6910</v>
      </c>
      <c r="H1032" s="76" t="s">
        <v>4630</v>
      </c>
      <c r="I1032" s="76" t="s">
        <v>5777</v>
      </c>
    </row>
    <row r="1033" spans="1:9" ht="36" customHeight="1">
      <c r="A1033" s="76" t="s">
        <v>6907</v>
      </c>
      <c r="B1033" s="76" t="s">
        <v>6911</v>
      </c>
      <c r="C1033" s="77">
        <v>1</v>
      </c>
      <c r="D1033" s="76" t="s">
        <v>6909</v>
      </c>
      <c r="E1033" s="78">
        <v>1</v>
      </c>
      <c r="F1033" s="78">
        <v>60</v>
      </c>
      <c r="G1033" s="76" t="s">
        <v>6912</v>
      </c>
      <c r="H1033" s="76" t="s">
        <v>4630</v>
      </c>
      <c r="I1033" s="76" t="s">
        <v>5777</v>
      </c>
    </row>
    <row r="1034" spans="1:9" ht="36" customHeight="1">
      <c r="A1034" s="76" t="s">
        <v>6913</v>
      </c>
      <c r="B1034" s="76" t="s">
        <v>6914</v>
      </c>
      <c r="C1034" s="77">
        <v>1</v>
      </c>
      <c r="D1034" s="76" t="s">
        <v>5746</v>
      </c>
      <c r="E1034" s="78">
        <v>1.2</v>
      </c>
      <c r="F1034" s="78">
        <v>12</v>
      </c>
      <c r="G1034" s="76" t="s">
        <v>6915</v>
      </c>
      <c r="H1034" s="76" t="s">
        <v>4352</v>
      </c>
      <c r="I1034" s="76" t="s">
        <v>5958</v>
      </c>
    </row>
    <row r="1035" spans="1:9" ht="48" customHeight="1">
      <c r="A1035" s="76" t="s">
        <v>5639</v>
      </c>
      <c r="B1035" s="76" t="s">
        <v>6916</v>
      </c>
      <c r="C1035" s="77">
        <v>1</v>
      </c>
      <c r="D1035" s="76" t="s">
        <v>5556</v>
      </c>
      <c r="E1035" s="78">
        <v>0.1</v>
      </c>
      <c r="F1035" s="78">
        <v>12</v>
      </c>
      <c r="G1035" s="76" t="s">
        <v>6917</v>
      </c>
      <c r="H1035" s="76" t="s">
        <v>4400</v>
      </c>
      <c r="I1035" s="76" t="s">
        <v>6428</v>
      </c>
    </row>
    <row r="1036" spans="1:9" ht="24" customHeight="1">
      <c r="A1036" s="76" t="s">
        <v>5639</v>
      </c>
      <c r="B1036" s="76" t="s">
        <v>6918</v>
      </c>
      <c r="C1036" s="77">
        <v>1</v>
      </c>
      <c r="D1036" s="76" t="s">
        <v>5556</v>
      </c>
      <c r="E1036" s="78">
        <v>0.08</v>
      </c>
      <c r="F1036" s="78">
        <v>4</v>
      </c>
      <c r="G1036" s="76" t="s">
        <v>6919</v>
      </c>
      <c r="H1036" s="76" t="s">
        <v>4352</v>
      </c>
      <c r="I1036" s="76" t="s">
        <v>6833</v>
      </c>
    </row>
    <row r="1037" spans="1:9" ht="24" customHeight="1">
      <c r="A1037" s="76" t="s">
        <v>5639</v>
      </c>
      <c r="B1037" s="76" t="s">
        <v>6920</v>
      </c>
      <c r="C1037" s="77">
        <v>1</v>
      </c>
      <c r="D1037" s="76" t="s">
        <v>6921</v>
      </c>
      <c r="E1037" s="78">
        <v>0.05</v>
      </c>
      <c r="F1037" s="78">
        <v>0.5</v>
      </c>
      <c r="G1037" s="76" t="s">
        <v>6922</v>
      </c>
      <c r="H1037" s="76" t="s">
        <v>4727</v>
      </c>
      <c r="I1037" s="76" t="s">
        <v>6923</v>
      </c>
    </row>
    <row r="1038" spans="1:9" ht="48" customHeight="1">
      <c r="A1038" s="76" t="s">
        <v>5639</v>
      </c>
      <c r="B1038" s="76" t="s">
        <v>6924</v>
      </c>
      <c r="C1038" s="77">
        <v>1</v>
      </c>
      <c r="D1038" s="76" t="s">
        <v>5635</v>
      </c>
      <c r="E1038" s="78">
        <v>0.08</v>
      </c>
      <c r="F1038" s="78">
        <v>2</v>
      </c>
      <c r="G1038" s="76" t="s">
        <v>6925</v>
      </c>
      <c r="H1038" s="76" t="s">
        <v>4630</v>
      </c>
      <c r="I1038" s="76" t="s">
        <v>6761</v>
      </c>
    </row>
    <row r="1039" spans="1:9" ht="24" customHeight="1">
      <c r="A1039" s="76" t="s">
        <v>6788</v>
      </c>
      <c r="B1039" s="76" t="s">
        <v>6926</v>
      </c>
      <c r="C1039" s="77">
        <v>1</v>
      </c>
      <c r="D1039" s="76" t="s">
        <v>5556</v>
      </c>
      <c r="E1039" s="78">
        <v>0.7</v>
      </c>
      <c r="F1039" s="78">
        <v>2.5</v>
      </c>
      <c r="G1039" s="76" t="s">
        <v>6927</v>
      </c>
      <c r="H1039" s="76" t="s">
        <v>4506</v>
      </c>
      <c r="I1039" s="76" t="s">
        <v>6198</v>
      </c>
    </row>
    <row r="1040" spans="1:9" ht="36" customHeight="1">
      <c r="A1040" s="76" t="s">
        <v>6788</v>
      </c>
      <c r="B1040" s="76" t="s">
        <v>6928</v>
      </c>
      <c r="C1040" s="77">
        <v>1</v>
      </c>
      <c r="D1040" s="76" t="s">
        <v>5556</v>
      </c>
      <c r="E1040" s="78">
        <v>0.2</v>
      </c>
      <c r="F1040" s="78">
        <v>0.4</v>
      </c>
      <c r="G1040" s="76" t="s">
        <v>6929</v>
      </c>
      <c r="H1040" s="76" t="s">
        <v>4481</v>
      </c>
      <c r="I1040" s="76" t="s">
        <v>6930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19"/>
  <sheetViews>
    <sheetView workbookViewId="0"/>
  </sheetViews>
  <sheetFormatPr baseColWidth="10" defaultColWidth="9.140625" defaultRowHeight="15"/>
  <cols>
    <col min="3" max="3" width="21.85546875" style="48" customWidth="1"/>
    <col min="10" max="10" width="39.5703125" style="48" customWidth="1"/>
    <col min="12" max="12" width="9.140625" style="48" customWidth="1"/>
  </cols>
  <sheetData>
    <row r="1" spans="1:16">
      <c r="A1" s="30" t="s">
        <v>1</v>
      </c>
      <c r="B1" s="31" t="s">
        <v>6931</v>
      </c>
      <c r="C1" s="31" t="s">
        <v>5474</v>
      </c>
      <c r="D1" s="32" t="s">
        <v>6932</v>
      </c>
      <c r="E1" s="32" t="s">
        <v>6933</v>
      </c>
      <c r="F1" s="31" t="s">
        <v>6934</v>
      </c>
      <c r="G1" s="31" t="s">
        <v>6935</v>
      </c>
      <c r="H1" s="31" t="s">
        <v>6936</v>
      </c>
      <c r="I1" s="31" t="s">
        <v>6937</v>
      </c>
      <c r="J1" s="31" t="s">
        <v>15</v>
      </c>
      <c r="K1" s="31" t="s">
        <v>6938</v>
      </c>
      <c r="L1" s="31" t="s">
        <v>6939</v>
      </c>
      <c r="M1" s="31" t="s">
        <v>6940</v>
      </c>
      <c r="N1" s="33" t="s">
        <v>6941</v>
      </c>
      <c r="O1" s="33" t="s">
        <v>6942</v>
      </c>
      <c r="P1" s="31" t="s">
        <v>6943</v>
      </c>
    </row>
    <row r="2" spans="1:16">
      <c r="A2" s="30" t="s">
        <v>6944</v>
      </c>
      <c r="B2" s="34" t="s">
        <v>6945</v>
      </c>
      <c r="C2" s="35" t="s">
        <v>6946</v>
      </c>
      <c r="D2" s="36">
        <v>5</v>
      </c>
      <c r="E2" s="36" t="s">
        <v>6947</v>
      </c>
      <c r="F2" s="34" t="s">
        <v>6948</v>
      </c>
      <c r="G2" s="34" t="s">
        <v>6949</v>
      </c>
      <c r="H2" s="34" t="s">
        <v>6949</v>
      </c>
      <c r="I2" s="34" t="s">
        <v>6950</v>
      </c>
      <c r="J2" s="34" t="s">
        <v>6951</v>
      </c>
      <c r="K2" s="36">
        <v>3</v>
      </c>
      <c r="L2" s="44">
        <v>0</v>
      </c>
      <c r="M2">
        <v>1</v>
      </c>
      <c r="N2" s="38">
        <v>0.25</v>
      </c>
      <c r="O2" s="38">
        <f t="shared" ref="O2:O33" si="0">N2*(K2+L2)</f>
        <v>0.75</v>
      </c>
      <c r="P2" s="30">
        <v>4</v>
      </c>
    </row>
    <row r="3" spans="1:16">
      <c r="A3" s="30" t="s">
        <v>6944</v>
      </c>
      <c r="B3" s="34" t="s">
        <v>6945</v>
      </c>
      <c r="C3" s="35" t="s">
        <v>6952</v>
      </c>
      <c r="D3" s="36">
        <v>15</v>
      </c>
      <c r="E3" s="36" t="s">
        <v>6947</v>
      </c>
      <c r="F3" s="34" t="s">
        <v>6948</v>
      </c>
      <c r="G3" s="34" t="s">
        <v>6949</v>
      </c>
      <c r="H3" s="34" t="s">
        <v>6949</v>
      </c>
      <c r="I3" s="34" t="s">
        <v>6950</v>
      </c>
      <c r="J3" s="34" t="s">
        <v>6953</v>
      </c>
      <c r="K3" s="36">
        <v>4</v>
      </c>
      <c r="L3" s="44">
        <v>0</v>
      </c>
      <c r="M3">
        <v>2</v>
      </c>
      <c r="N3" s="38">
        <v>0.5</v>
      </c>
      <c r="O3" s="38">
        <f t="shared" si="0"/>
        <v>2</v>
      </c>
      <c r="P3" s="30">
        <v>6</v>
      </c>
    </row>
    <row r="4" spans="1:16">
      <c r="A4" s="30" t="s">
        <v>6944</v>
      </c>
      <c r="B4" s="34" t="s">
        <v>6945</v>
      </c>
      <c r="C4" s="35" t="s">
        <v>6954</v>
      </c>
      <c r="D4" s="36">
        <v>30</v>
      </c>
      <c r="E4" s="36" t="s">
        <v>6947</v>
      </c>
      <c r="F4" s="34" t="s">
        <v>6948</v>
      </c>
      <c r="G4" s="34" t="s">
        <v>6949</v>
      </c>
      <c r="H4" s="34" t="s">
        <v>6949</v>
      </c>
      <c r="I4" s="34" t="s">
        <v>6950</v>
      </c>
      <c r="J4" s="34" t="s">
        <v>6955</v>
      </c>
      <c r="K4" s="36">
        <v>5</v>
      </c>
      <c r="L4" s="44">
        <v>0</v>
      </c>
      <c r="M4">
        <v>3</v>
      </c>
      <c r="N4" s="38">
        <v>1</v>
      </c>
      <c r="O4" s="38">
        <f t="shared" si="0"/>
        <v>5</v>
      </c>
      <c r="P4" s="30">
        <v>10</v>
      </c>
    </row>
    <row r="5" spans="1:16">
      <c r="A5" s="30" t="s">
        <v>6944</v>
      </c>
      <c r="B5" s="34" t="s">
        <v>6945</v>
      </c>
      <c r="C5" s="40" t="s">
        <v>6956</v>
      </c>
      <c r="D5" s="36">
        <v>15</v>
      </c>
      <c r="E5" s="36" t="s">
        <v>6947</v>
      </c>
      <c r="F5" s="34" t="s">
        <v>6948</v>
      </c>
      <c r="G5" s="34" t="s">
        <v>6949</v>
      </c>
      <c r="H5" s="34" t="s">
        <v>6949</v>
      </c>
      <c r="I5" s="34" t="s">
        <v>6957</v>
      </c>
      <c r="J5" s="34" t="s">
        <v>6958</v>
      </c>
      <c r="K5" s="36">
        <v>4</v>
      </c>
      <c r="L5" s="44">
        <v>0</v>
      </c>
      <c r="M5">
        <v>5</v>
      </c>
      <c r="N5" s="38">
        <v>50</v>
      </c>
      <c r="O5" s="38">
        <f t="shared" si="0"/>
        <v>200</v>
      </c>
      <c r="P5" s="30">
        <v>30</v>
      </c>
    </row>
    <row r="6" spans="1:16">
      <c r="A6" s="30" t="s">
        <v>6944</v>
      </c>
      <c r="B6" s="34" t="s">
        <v>6945</v>
      </c>
      <c r="C6" s="35" t="s">
        <v>6959</v>
      </c>
      <c r="D6" s="36">
        <v>30</v>
      </c>
      <c r="E6" s="36" t="s">
        <v>6947</v>
      </c>
      <c r="F6" s="34" t="s">
        <v>6948</v>
      </c>
      <c r="G6" s="34" t="s">
        <v>6949</v>
      </c>
      <c r="H6" s="34" t="s">
        <v>6949</v>
      </c>
      <c r="I6" s="34" t="s">
        <v>6957</v>
      </c>
      <c r="J6" s="34" t="s">
        <v>6960</v>
      </c>
      <c r="K6" s="36">
        <v>5</v>
      </c>
      <c r="L6" s="44">
        <v>0</v>
      </c>
      <c r="M6">
        <v>6</v>
      </c>
      <c r="N6" s="38">
        <v>150</v>
      </c>
      <c r="O6" s="38">
        <f t="shared" si="0"/>
        <v>750</v>
      </c>
      <c r="P6" s="30">
        <v>48</v>
      </c>
    </row>
    <row r="7" spans="1:16">
      <c r="A7" s="30" t="s">
        <v>6944</v>
      </c>
      <c r="B7" s="34" t="s">
        <v>6945</v>
      </c>
      <c r="C7" s="35" t="s">
        <v>6961</v>
      </c>
      <c r="D7" s="36">
        <v>5</v>
      </c>
      <c r="E7" s="36" t="s">
        <v>6947</v>
      </c>
      <c r="F7" s="34" t="s">
        <v>6948</v>
      </c>
      <c r="G7" s="34" t="s">
        <v>6949</v>
      </c>
      <c r="H7" s="34" t="s">
        <v>6949</v>
      </c>
      <c r="I7" s="34" t="s">
        <v>6957</v>
      </c>
      <c r="J7" s="34" t="s">
        <v>6962</v>
      </c>
      <c r="K7" s="36">
        <v>3</v>
      </c>
      <c r="L7" s="44">
        <v>0</v>
      </c>
      <c r="M7">
        <v>4</v>
      </c>
      <c r="N7" s="38">
        <v>25</v>
      </c>
      <c r="O7" s="38">
        <f t="shared" si="0"/>
        <v>75</v>
      </c>
      <c r="P7" s="30">
        <v>18</v>
      </c>
    </row>
    <row r="8" spans="1:16">
      <c r="A8" s="30" t="s">
        <v>6944</v>
      </c>
      <c r="B8" s="34" t="s">
        <v>6945</v>
      </c>
      <c r="C8" s="35" t="s">
        <v>6963</v>
      </c>
      <c r="D8" s="36">
        <v>5</v>
      </c>
      <c r="E8" s="36" t="s">
        <v>6947</v>
      </c>
      <c r="F8" s="34" t="s">
        <v>6948</v>
      </c>
      <c r="G8" s="34" t="s">
        <v>6964</v>
      </c>
      <c r="H8" s="34" t="s">
        <v>6965</v>
      </c>
      <c r="I8" s="34" t="s">
        <v>6966</v>
      </c>
      <c r="J8" s="34" t="s">
        <v>6967</v>
      </c>
      <c r="K8" s="36">
        <v>2</v>
      </c>
      <c r="L8" s="44">
        <v>0</v>
      </c>
      <c r="M8">
        <v>2</v>
      </c>
      <c r="N8" s="38">
        <v>1</v>
      </c>
      <c r="O8" s="38">
        <f t="shared" si="0"/>
        <v>2</v>
      </c>
      <c r="P8" s="30">
        <v>12</v>
      </c>
    </row>
    <row r="9" spans="1:16">
      <c r="A9" s="30" t="s">
        <v>6944</v>
      </c>
      <c r="B9" s="34" t="s">
        <v>6945</v>
      </c>
      <c r="C9" s="35" t="s">
        <v>6968</v>
      </c>
      <c r="D9" s="36">
        <v>15</v>
      </c>
      <c r="E9" s="36" t="s">
        <v>6947</v>
      </c>
      <c r="F9" s="34" t="s">
        <v>6948</v>
      </c>
      <c r="G9" s="34" t="s">
        <v>6964</v>
      </c>
      <c r="H9" s="34" t="s">
        <v>6965</v>
      </c>
      <c r="I9" s="34" t="s">
        <v>6966</v>
      </c>
      <c r="J9" s="34" t="s">
        <v>6967</v>
      </c>
      <c r="K9" s="36">
        <v>3</v>
      </c>
      <c r="L9" s="44">
        <v>0</v>
      </c>
      <c r="M9">
        <v>3</v>
      </c>
      <c r="N9" s="38">
        <v>2</v>
      </c>
      <c r="O9" s="38">
        <f t="shared" si="0"/>
        <v>6</v>
      </c>
      <c r="P9" s="30">
        <v>18</v>
      </c>
    </row>
    <row r="10" spans="1:16">
      <c r="A10" s="30" t="s">
        <v>6944</v>
      </c>
      <c r="B10" s="34" t="s">
        <v>6945</v>
      </c>
      <c r="C10" s="35" t="s">
        <v>6969</v>
      </c>
      <c r="D10" s="36">
        <v>30</v>
      </c>
      <c r="E10" s="36" t="s">
        <v>6947</v>
      </c>
      <c r="F10" s="34" t="s">
        <v>6948</v>
      </c>
      <c r="G10" s="34" t="s">
        <v>6964</v>
      </c>
      <c r="H10" s="34" t="s">
        <v>6965</v>
      </c>
      <c r="I10" s="34" t="s">
        <v>6966</v>
      </c>
      <c r="J10" s="34" t="s">
        <v>6967</v>
      </c>
      <c r="K10" s="36">
        <v>4</v>
      </c>
      <c r="L10" s="44">
        <v>0</v>
      </c>
      <c r="M10">
        <v>4</v>
      </c>
      <c r="N10" s="38">
        <v>4</v>
      </c>
      <c r="O10" s="38">
        <f t="shared" si="0"/>
        <v>16</v>
      </c>
      <c r="P10" s="30">
        <v>30</v>
      </c>
    </row>
    <row r="11" spans="1:16">
      <c r="A11" s="30" t="s">
        <v>6944</v>
      </c>
      <c r="B11" s="34" t="s">
        <v>6945</v>
      </c>
      <c r="C11" s="35" t="s">
        <v>6970</v>
      </c>
      <c r="D11" s="36">
        <v>5</v>
      </c>
      <c r="E11" s="36" t="s">
        <v>6947</v>
      </c>
      <c r="F11" s="34" t="s">
        <v>6948</v>
      </c>
      <c r="G11" s="34" t="s">
        <v>6964</v>
      </c>
      <c r="H11" s="34" t="s">
        <v>6965</v>
      </c>
      <c r="I11" s="34" t="s">
        <v>6966</v>
      </c>
      <c r="J11" s="34" t="s">
        <v>6971</v>
      </c>
      <c r="K11" s="36">
        <v>2</v>
      </c>
      <c r="L11" s="44">
        <v>0</v>
      </c>
      <c r="M11">
        <v>2</v>
      </c>
      <c r="N11" s="38">
        <v>1</v>
      </c>
      <c r="O11" s="38">
        <f t="shared" si="0"/>
        <v>2</v>
      </c>
      <c r="P11" s="30">
        <v>12</v>
      </c>
    </row>
    <row r="12" spans="1:16">
      <c r="A12" s="30" t="s">
        <v>6944</v>
      </c>
      <c r="B12" s="34" t="s">
        <v>6945</v>
      </c>
      <c r="C12" s="35" t="s">
        <v>6972</v>
      </c>
      <c r="D12" s="36">
        <v>15</v>
      </c>
      <c r="E12" s="36" t="s">
        <v>6947</v>
      </c>
      <c r="F12" s="34" t="s">
        <v>6948</v>
      </c>
      <c r="G12" s="34" t="s">
        <v>6964</v>
      </c>
      <c r="H12" s="34" t="s">
        <v>6965</v>
      </c>
      <c r="I12" s="34" t="s">
        <v>6966</v>
      </c>
      <c r="J12" s="34" t="s">
        <v>6971</v>
      </c>
      <c r="K12" s="36">
        <v>3</v>
      </c>
      <c r="L12" s="44">
        <v>0</v>
      </c>
      <c r="M12">
        <v>3</v>
      </c>
      <c r="N12" s="38">
        <v>2</v>
      </c>
      <c r="O12" s="38">
        <f t="shared" si="0"/>
        <v>6</v>
      </c>
      <c r="P12" s="30">
        <v>18</v>
      </c>
    </row>
    <row r="13" spans="1:16">
      <c r="A13" s="30" t="s">
        <v>6944</v>
      </c>
      <c r="B13" s="34" t="s">
        <v>6945</v>
      </c>
      <c r="C13" s="35" t="s">
        <v>6973</v>
      </c>
      <c r="D13" s="36">
        <v>30</v>
      </c>
      <c r="E13" s="36" t="s">
        <v>6947</v>
      </c>
      <c r="F13" s="34" t="s">
        <v>6948</v>
      </c>
      <c r="G13" s="34" t="s">
        <v>6964</v>
      </c>
      <c r="H13" s="34" t="s">
        <v>6965</v>
      </c>
      <c r="I13" s="34" t="s">
        <v>6966</v>
      </c>
      <c r="J13" s="34" t="s">
        <v>6971</v>
      </c>
      <c r="K13" s="36">
        <v>4</v>
      </c>
      <c r="L13" s="44">
        <v>0</v>
      </c>
      <c r="M13">
        <v>4</v>
      </c>
      <c r="N13" s="38">
        <v>4</v>
      </c>
      <c r="O13" s="38">
        <f t="shared" si="0"/>
        <v>16</v>
      </c>
      <c r="P13" s="30">
        <v>30</v>
      </c>
    </row>
    <row r="14" spans="1:16">
      <c r="A14" s="30" t="s">
        <v>6944</v>
      </c>
      <c r="B14" s="34" t="s">
        <v>6945</v>
      </c>
      <c r="C14" s="35" t="s">
        <v>6974</v>
      </c>
      <c r="D14" s="36">
        <v>5</v>
      </c>
      <c r="E14" s="36" t="s">
        <v>6947</v>
      </c>
      <c r="F14" s="34" t="s">
        <v>6975</v>
      </c>
      <c r="G14" s="34" t="s">
        <v>6964</v>
      </c>
      <c r="H14" s="34" t="s">
        <v>6976</v>
      </c>
      <c r="I14" s="34" t="s">
        <v>6966</v>
      </c>
      <c r="J14" s="34" t="s">
        <v>6977</v>
      </c>
      <c r="K14" s="36">
        <v>2</v>
      </c>
      <c r="L14" s="44">
        <v>0</v>
      </c>
      <c r="M14">
        <v>2</v>
      </c>
      <c r="N14" s="38">
        <v>0.5</v>
      </c>
      <c r="O14" s="38">
        <f t="shared" si="0"/>
        <v>1</v>
      </c>
      <c r="P14" s="30">
        <v>12</v>
      </c>
    </row>
    <row r="15" spans="1:16">
      <c r="A15" s="30" t="s">
        <v>6944</v>
      </c>
      <c r="B15" s="34" t="s">
        <v>6945</v>
      </c>
      <c r="C15" s="35" t="s">
        <v>6978</v>
      </c>
      <c r="D15" s="36">
        <v>15</v>
      </c>
      <c r="E15" s="36" t="s">
        <v>6947</v>
      </c>
      <c r="F15" s="34" t="s">
        <v>6975</v>
      </c>
      <c r="G15" s="34" t="s">
        <v>6964</v>
      </c>
      <c r="H15" s="34" t="s">
        <v>6976</v>
      </c>
      <c r="I15" s="34" t="s">
        <v>6966</v>
      </c>
      <c r="J15" s="34" t="s">
        <v>6977</v>
      </c>
      <c r="K15" s="36">
        <v>3</v>
      </c>
      <c r="L15" s="44">
        <v>0</v>
      </c>
      <c r="M15">
        <v>3</v>
      </c>
      <c r="N15" s="38">
        <v>1</v>
      </c>
      <c r="O15" s="38">
        <f t="shared" si="0"/>
        <v>3</v>
      </c>
      <c r="P15" s="30">
        <v>18</v>
      </c>
    </row>
    <row r="16" spans="1:16">
      <c r="A16" s="30" t="s">
        <v>6944</v>
      </c>
      <c r="B16" s="34" t="s">
        <v>6945</v>
      </c>
      <c r="C16" s="35" t="s">
        <v>6979</v>
      </c>
      <c r="D16" s="36">
        <v>30</v>
      </c>
      <c r="E16" s="36" t="s">
        <v>6947</v>
      </c>
      <c r="F16" s="34" t="s">
        <v>6975</v>
      </c>
      <c r="G16" s="34" t="s">
        <v>6964</v>
      </c>
      <c r="H16" s="34" t="s">
        <v>6976</v>
      </c>
      <c r="I16" s="34" t="s">
        <v>6966</v>
      </c>
      <c r="J16" s="34" t="s">
        <v>6977</v>
      </c>
      <c r="K16" s="36">
        <v>4</v>
      </c>
      <c r="L16" s="44">
        <v>0</v>
      </c>
      <c r="M16">
        <v>4</v>
      </c>
      <c r="N16" s="38">
        <v>3</v>
      </c>
      <c r="O16" s="38">
        <f t="shared" si="0"/>
        <v>12</v>
      </c>
      <c r="P16" s="30">
        <v>30</v>
      </c>
    </row>
    <row r="17" spans="1:16">
      <c r="A17" s="30" t="s">
        <v>6944</v>
      </c>
      <c r="B17" s="34" t="s">
        <v>6945</v>
      </c>
      <c r="C17" s="35" t="s">
        <v>6980</v>
      </c>
      <c r="D17" s="36">
        <v>5</v>
      </c>
      <c r="E17" s="36" t="s">
        <v>6947</v>
      </c>
      <c r="F17" s="34" t="s">
        <v>6948</v>
      </c>
      <c r="G17" s="34" t="s">
        <v>6964</v>
      </c>
      <c r="H17" s="34" t="s">
        <v>6965</v>
      </c>
      <c r="I17" s="34" t="s">
        <v>6966</v>
      </c>
      <c r="J17" s="34" t="s">
        <v>6981</v>
      </c>
      <c r="K17" s="36">
        <v>2</v>
      </c>
      <c r="L17" s="44">
        <v>0</v>
      </c>
      <c r="M17">
        <v>2</v>
      </c>
      <c r="N17" s="38">
        <v>1</v>
      </c>
      <c r="O17" s="38">
        <f t="shared" si="0"/>
        <v>2</v>
      </c>
      <c r="P17" s="30">
        <v>12</v>
      </c>
    </row>
    <row r="18" spans="1:16">
      <c r="A18" s="30" t="s">
        <v>6944</v>
      </c>
      <c r="B18" s="34" t="s">
        <v>6945</v>
      </c>
      <c r="C18" s="40" t="s">
        <v>6982</v>
      </c>
      <c r="D18" s="36">
        <v>15</v>
      </c>
      <c r="E18" s="36" t="s">
        <v>6947</v>
      </c>
      <c r="F18" s="34" t="s">
        <v>6948</v>
      </c>
      <c r="G18" s="34" t="s">
        <v>6964</v>
      </c>
      <c r="H18" s="34" t="s">
        <v>6965</v>
      </c>
      <c r="I18" s="34" t="s">
        <v>6966</v>
      </c>
      <c r="J18" s="34" t="s">
        <v>6983</v>
      </c>
      <c r="K18" s="36">
        <v>3</v>
      </c>
      <c r="L18" s="44">
        <v>0</v>
      </c>
      <c r="M18">
        <v>3</v>
      </c>
      <c r="N18" s="38">
        <v>2</v>
      </c>
      <c r="O18" s="38">
        <f t="shared" si="0"/>
        <v>6</v>
      </c>
      <c r="P18" s="30">
        <v>18</v>
      </c>
    </row>
    <row r="19" spans="1:16">
      <c r="A19" s="30" t="s">
        <v>6944</v>
      </c>
      <c r="B19" s="34" t="s">
        <v>6945</v>
      </c>
      <c r="C19" s="35" t="s">
        <v>6984</v>
      </c>
      <c r="D19" s="36">
        <v>30</v>
      </c>
      <c r="E19" s="36" t="s">
        <v>6947</v>
      </c>
      <c r="F19" s="34" t="s">
        <v>6948</v>
      </c>
      <c r="G19" s="34" t="s">
        <v>6964</v>
      </c>
      <c r="H19" s="34" t="s">
        <v>6965</v>
      </c>
      <c r="I19" s="34" t="s">
        <v>6966</v>
      </c>
      <c r="J19" s="34" t="s">
        <v>6985</v>
      </c>
      <c r="K19" s="36">
        <v>4</v>
      </c>
      <c r="L19" s="44">
        <v>0</v>
      </c>
      <c r="M19">
        <v>4</v>
      </c>
      <c r="N19" s="38">
        <v>4</v>
      </c>
      <c r="O19" s="38">
        <f t="shared" si="0"/>
        <v>16</v>
      </c>
      <c r="P19" s="30">
        <v>30</v>
      </c>
    </row>
    <row r="20" spans="1:16">
      <c r="A20" s="30" t="s">
        <v>6944</v>
      </c>
      <c r="B20" s="34" t="s">
        <v>6945</v>
      </c>
      <c r="C20" s="35" t="s">
        <v>6986</v>
      </c>
      <c r="D20" s="36">
        <v>5</v>
      </c>
      <c r="E20" s="36" t="s">
        <v>6947</v>
      </c>
      <c r="F20" s="34" t="s">
        <v>6948</v>
      </c>
      <c r="G20" s="34" t="s">
        <v>6964</v>
      </c>
      <c r="H20" s="34" t="s">
        <v>6965</v>
      </c>
      <c r="I20" s="34" t="s">
        <v>6966</v>
      </c>
      <c r="J20" s="34" t="s">
        <v>6987</v>
      </c>
      <c r="K20" s="36">
        <v>2</v>
      </c>
      <c r="L20" s="44">
        <v>0</v>
      </c>
      <c r="M20">
        <v>2</v>
      </c>
      <c r="N20" s="38">
        <v>1</v>
      </c>
      <c r="O20" s="38">
        <f t="shared" si="0"/>
        <v>2</v>
      </c>
      <c r="P20" s="30">
        <v>18</v>
      </c>
    </row>
    <row r="21" spans="1:16">
      <c r="A21" s="30" t="s">
        <v>6944</v>
      </c>
      <c r="B21" s="34" t="s">
        <v>6945</v>
      </c>
      <c r="C21" s="35" t="s">
        <v>6988</v>
      </c>
      <c r="D21" s="36">
        <v>15</v>
      </c>
      <c r="E21" s="36" t="s">
        <v>6947</v>
      </c>
      <c r="F21" s="34" t="s">
        <v>6948</v>
      </c>
      <c r="G21" s="34" t="s">
        <v>6964</v>
      </c>
      <c r="H21" s="34" t="s">
        <v>6965</v>
      </c>
      <c r="I21" s="34" t="s">
        <v>6966</v>
      </c>
      <c r="J21" s="34" t="s">
        <v>6987</v>
      </c>
      <c r="K21" s="36">
        <v>3</v>
      </c>
      <c r="L21" s="44">
        <v>0</v>
      </c>
      <c r="M21">
        <v>3</v>
      </c>
      <c r="N21" s="38">
        <v>2</v>
      </c>
      <c r="O21" s="38">
        <f t="shared" si="0"/>
        <v>6</v>
      </c>
      <c r="P21" s="30">
        <v>27</v>
      </c>
    </row>
    <row r="22" spans="1:16">
      <c r="A22" s="30" t="s">
        <v>6944</v>
      </c>
      <c r="B22" s="34" t="s">
        <v>6945</v>
      </c>
      <c r="C22" s="35" t="s">
        <v>6989</v>
      </c>
      <c r="D22" s="36">
        <v>30</v>
      </c>
      <c r="E22" s="36" t="s">
        <v>6947</v>
      </c>
      <c r="F22" s="34" t="s">
        <v>6948</v>
      </c>
      <c r="G22" s="34" t="s">
        <v>6964</v>
      </c>
      <c r="H22" s="34" t="s">
        <v>6965</v>
      </c>
      <c r="I22" s="34" t="s">
        <v>6966</v>
      </c>
      <c r="J22" s="34" t="s">
        <v>6987</v>
      </c>
      <c r="K22" s="36">
        <v>4</v>
      </c>
      <c r="L22" s="44">
        <v>0</v>
      </c>
      <c r="M22">
        <v>4</v>
      </c>
      <c r="N22" s="38">
        <v>4</v>
      </c>
      <c r="O22" s="38">
        <f t="shared" si="0"/>
        <v>16</v>
      </c>
      <c r="P22" s="30">
        <v>45</v>
      </c>
    </row>
    <row r="23" spans="1:16">
      <c r="A23" s="30" t="s">
        <v>6944</v>
      </c>
      <c r="B23" s="34" t="s">
        <v>6945</v>
      </c>
      <c r="C23" s="35" t="s">
        <v>6990</v>
      </c>
      <c r="D23" s="36">
        <v>5</v>
      </c>
      <c r="E23" s="36" t="s">
        <v>6947</v>
      </c>
      <c r="F23" s="34" t="s">
        <v>6948</v>
      </c>
      <c r="G23" s="34" t="s">
        <v>6949</v>
      </c>
      <c r="H23" s="34" t="s">
        <v>6949</v>
      </c>
      <c r="I23" s="34" t="s">
        <v>6966</v>
      </c>
      <c r="J23" s="34" t="s">
        <v>6991</v>
      </c>
      <c r="K23" s="36">
        <v>3</v>
      </c>
      <c r="L23" s="44">
        <v>0</v>
      </c>
      <c r="M23">
        <v>4</v>
      </c>
      <c r="N23" s="38">
        <v>50</v>
      </c>
      <c r="O23" s="38">
        <f t="shared" si="0"/>
        <v>150</v>
      </c>
      <c r="P23" s="30">
        <v>12</v>
      </c>
    </row>
    <row r="24" spans="1:16">
      <c r="A24" s="30" t="s">
        <v>6944</v>
      </c>
      <c r="B24" s="34" t="s">
        <v>6945</v>
      </c>
      <c r="C24" s="35" t="s">
        <v>6992</v>
      </c>
      <c r="D24" s="36">
        <v>15</v>
      </c>
      <c r="E24" s="36" t="s">
        <v>6947</v>
      </c>
      <c r="F24" s="34" t="s">
        <v>6948</v>
      </c>
      <c r="G24" s="34" t="s">
        <v>6949</v>
      </c>
      <c r="H24" s="34" t="s">
        <v>6949</v>
      </c>
      <c r="I24" s="34" t="s">
        <v>6966</v>
      </c>
      <c r="J24" s="34" t="s">
        <v>6993</v>
      </c>
      <c r="K24" s="36">
        <v>4</v>
      </c>
      <c r="L24" s="44">
        <v>0</v>
      </c>
      <c r="M24">
        <v>5</v>
      </c>
      <c r="N24" s="38">
        <v>150</v>
      </c>
      <c r="O24" s="38">
        <f t="shared" si="0"/>
        <v>600</v>
      </c>
      <c r="P24" s="30">
        <v>18</v>
      </c>
    </row>
    <row r="25" spans="1:16">
      <c r="A25" s="30" t="s">
        <v>6944</v>
      </c>
      <c r="B25" s="34" t="s">
        <v>6945</v>
      </c>
      <c r="C25" s="35" t="s">
        <v>6994</v>
      </c>
      <c r="D25" s="36">
        <v>30</v>
      </c>
      <c r="E25" s="36" t="s">
        <v>6947</v>
      </c>
      <c r="F25" s="34" t="s">
        <v>6948</v>
      </c>
      <c r="G25" s="34" t="s">
        <v>6949</v>
      </c>
      <c r="H25" s="34" t="s">
        <v>6949</v>
      </c>
      <c r="I25" s="34" t="s">
        <v>6966</v>
      </c>
      <c r="J25" s="34" t="s">
        <v>6995</v>
      </c>
      <c r="K25" s="36">
        <v>5</v>
      </c>
      <c r="L25" s="44">
        <v>0</v>
      </c>
      <c r="M25">
        <v>6</v>
      </c>
      <c r="N25" s="38">
        <v>500</v>
      </c>
      <c r="O25" s="38">
        <f t="shared" si="0"/>
        <v>2500</v>
      </c>
      <c r="P25" s="30">
        <v>30</v>
      </c>
    </row>
    <row r="26" spans="1:16">
      <c r="A26" s="30" t="s">
        <v>6944</v>
      </c>
      <c r="B26" s="34" t="s">
        <v>6945</v>
      </c>
      <c r="C26" s="40" t="s">
        <v>6996</v>
      </c>
      <c r="D26" s="36">
        <v>5</v>
      </c>
      <c r="E26" s="36" t="s">
        <v>6947</v>
      </c>
      <c r="F26" s="34" t="s">
        <v>6948</v>
      </c>
      <c r="G26" s="34" t="s">
        <v>6964</v>
      </c>
      <c r="H26" s="34" t="s">
        <v>6976</v>
      </c>
      <c r="I26" s="34" t="s">
        <v>6966</v>
      </c>
      <c r="J26" s="34" t="s">
        <v>6997</v>
      </c>
      <c r="K26" s="36">
        <v>2</v>
      </c>
      <c r="L26" s="44">
        <v>0</v>
      </c>
      <c r="M26">
        <v>2</v>
      </c>
      <c r="N26" s="38">
        <v>0.5</v>
      </c>
      <c r="O26" s="38">
        <f t="shared" si="0"/>
        <v>1</v>
      </c>
      <c r="P26" s="30">
        <v>12</v>
      </c>
    </row>
    <row r="27" spans="1:16">
      <c r="A27" s="30" t="s">
        <v>6944</v>
      </c>
      <c r="B27" s="34" t="s">
        <v>6945</v>
      </c>
      <c r="C27" s="40" t="s">
        <v>6998</v>
      </c>
      <c r="D27" s="36">
        <v>15</v>
      </c>
      <c r="E27" s="36" t="s">
        <v>6947</v>
      </c>
      <c r="F27" s="34" t="s">
        <v>6948</v>
      </c>
      <c r="G27" s="34" t="s">
        <v>6964</v>
      </c>
      <c r="H27" s="34" t="s">
        <v>6976</v>
      </c>
      <c r="I27" s="34" t="s">
        <v>6966</v>
      </c>
      <c r="J27" s="34" t="s">
        <v>6999</v>
      </c>
      <c r="K27" s="36">
        <v>3</v>
      </c>
      <c r="L27" s="44">
        <v>0</v>
      </c>
      <c r="M27">
        <v>3</v>
      </c>
      <c r="N27" s="38">
        <v>1</v>
      </c>
      <c r="O27" s="38">
        <f t="shared" si="0"/>
        <v>3</v>
      </c>
      <c r="P27" s="30">
        <v>18</v>
      </c>
    </row>
    <row r="28" spans="1:16">
      <c r="A28" s="30" t="s">
        <v>6944</v>
      </c>
      <c r="B28" s="34" t="s">
        <v>6945</v>
      </c>
      <c r="C28" s="40" t="s">
        <v>7000</v>
      </c>
      <c r="D28" s="36">
        <v>30</v>
      </c>
      <c r="E28" s="36" t="s">
        <v>6947</v>
      </c>
      <c r="F28" s="34" t="s">
        <v>6948</v>
      </c>
      <c r="G28" s="34" t="s">
        <v>6964</v>
      </c>
      <c r="H28" s="34" t="s">
        <v>6976</v>
      </c>
      <c r="I28" s="34" t="s">
        <v>6966</v>
      </c>
      <c r="J28" s="34" t="s">
        <v>7001</v>
      </c>
      <c r="K28" s="36">
        <v>4</v>
      </c>
      <c r="L28" s="44">
        <v>0</v>
      </c>
      <c r="M28">
        <v>4</v>
      </c>
      <c r="N28" s="38">
        <v>3</v>
      </c>
      <c r="O28" s="38">
        <f t="shared" si="0"/>
        <v>12</v>
      </c>
      <c r="P28" s="30">
        <v>30</v>
      </c>
    </row>
    <row r="29" spans="1:16">
      <c r="A29" s="30" t="s">
        <v>6944</v>
      </c>
      <c r="B29" s="34" t="s">
        <v>6945</v>
      </c>
      <c r="C29" s="35" t="s">
        <v>7002</v>
      </c>
      <c r="D29" s="36">
        <v>5</v>
      </c>
      <c r="E29" s="36" t="s">
        <v>7003</v>
      </c>
      <c r="F29" s="34" t="s">
        <v>4531</v>
      </c>
      <c r="G29" s="34" t="s">
        <v>7004</v>
      </c>
      <c r="H29" s="34" t="s">
        <v>7005</v>
      </c>
      <c r="I29" s="34" t="s">
        <v>7006</v>
      </c>
      <c r="J29" s="34" t="s">
        <v>7007</v>
      </c>
      <c r="K29" s="36">
        <v>4</v>
      </c>
      <c r="L29" s="44">
        <v>0</v>
      </c>
      <c r="M29">
        <v>4</v>
      </c>
      <c r="N29" s="38">
        <v>20</v>
      </c>
      <c r="O29" s="38">
        <f t="shared" si="0"/>
        <v>80</v>
      </c>
      <c r="P29" s="30">
        <v>12</v>
      </c>
    </row>
    <row r="30" spans="1:16">
      <c r="A30" s="30" t="s">
        <v>6944</v>
      </c>
      <c r="B30" s="34" t="s">
        <v>6945</v>
      </c>
      <c r="C30" s="35" t="s">
        <v>7008</v>
      </c>
      <c r="D30" s="36">
        <v>15</v>
      </c>
      <c r="E30" s="36" t="s">
        <v>7003</v>
      </c>
      <c r="F30" s="34" t="s">
        <v>4531</v>
      </c>
      <c r="G30" s="34" t="s">
        <v>7004</v>
      </c>
      <c r="H30" s="34" t="s">
        <v>7005</v>
      </c>
      <c r="I30" s="34" t="s">
        <v>7006</v>
      </c>
      <c r="J30" s="34" t="s">
        <v>7009</v>
      </c>
      <c r="K30" s="36">
        <v>5</v>
      </c>
      <c r="L30" s="44">
        <v>0</v>
      </c>
      <c r="M30">
        <v>5</v>
      </c>
      <c r="N30" s="38">
        <v>40</v>
      </c>
      <c r="O30" s="38">
        <f t="shared" si="0"/>
        <v>200</v>
      </c>
      <c r="P30" s="30">
        <v>18</v>
      </c>
    </row>
    <row r="31" spans="1:16">
      <c r="A31" s="30" t="s">
        <v>6944</v>
      </c>
      <c r="B31" s="34" t="s">
        <v>6945</v>
      </c>
      <c r="C31" s="35" t="s">
        <v>7010</v>
      </c>
      <c r="D31" s="36">
        <v>30</v>
      </c>
      <c r="E31" s="36" t="s">
        <v>7003</v>
      </c>
      <c r="F31" s="34" t="s">
        <v>4531</v>
      </c>
      <c r="G31" s="34" t="s">
        <v>7004</v>
      </c>
      <c r="H31" s="34" t="s">
        <v>7005</v>
      </c>
      <c r="I31" s="34" t="s">
        <v>7006</v>
      </c>
      <c r="J31" s="34" t="s">
        <v>7011</v>
      </c>
      <c r="K31" s="36">
        <v>6</v>
      </c>
      <c r="L31" s="44">
        <v>0</v>
      </c>
      <c r="M31">
        <v>6</v>
      </c>
      <c r="N31" s="38">
        <v>60</v>
      </c>
      <c r="O31" s="38">
        <f t="shared" si="0"/>
        <v>360</v>
      </c>
      <c r="P31" s="30">
        <v>30</v>
      </c>
    </row>
    <row r="32" spans="1:16">
      <c r="A32" s="30" t="s">
        <v>6944</v>
      </c>
      <c r="B32" s="34" t="s">
        <v>6945</v>
      </c>
      <c r="C32" s="35" t="s">
        <v>7012</v>
      </c>
      <c r="D32" s="36">
        <v>5</v>
      </c>
      <c r="E32" s="36" t="s">
        <v>6947</v>
      </c>
      <c r="F32" s="34" t="s">
        <v>6948</v>
      </c>
      <c r="G32" s="34" t="s">
        <v>6964</v>
      </c>
      <c r="H32" s="34" t="s">
        <v>7013</v>
      </c>
      <c r="I32" s="34" t="s">
        <v>7014</v>
      </c>
      <c r="J32" s="41" t="s">
        <v>7015</v>
      </c>
      <c r="K32" s="36">
        <v>1</v>
      </c>
      <c r="L32" s="44">
        <v>0</v>
      </c>
      <c r="M32">
        <v>1</v>
      </c>
      <c r="N32" s="38">
        <v>2</v>
      </c>
      <c r="O32" s="38">
        <f t="shared" si="0"/>
        <v>2</v>
      </c>
      <c r="P32" s="30">
        <v>18</v>
      </c>
    </row>
    <row r="33" spans="1:16">
      <c r="A33" s="30" t="s">
        <v>6944</v>
      </c>
      <c r="B33" s="34" t="s">
        <v>6945</v>
      </c>
      <c r="C33" s="35" t="s">
        <v>7016</v>
      </c>
      <c r="D33" s="36">
        <v>15</v>
      </c>
      <c r="E33" s="36" t="s">
        <v>6947</v>
      </c>
      <c r="F33" s="34" t="s">
        <v>6948</v>
      </c>
      <c r="G33" s="34" t="s">
        <v>6964</v>
      </c>
      <c r="H33" s="34" t="s">
        <v>7017</v>
      </c>
      <c r="I33" s="34" t="s">
        <v>7014</v>
      </c>
      <c r="J33" s="41" t="s">
        <v>7018</v>
      </c>
      <c r="K33" s="36">
        <v>2</v>
      </c>
      <c r="L33" s="44">
        <v>0</v>
      </c>
      <c r="M33">
        <v>2</v>
      </c>
      <c r="N33" s="38">
        <v>4</v>
      </c>
      <c r="O33" s="38">
        <f t="shared" si="0"/>
        <v>8</v>
      </c>
      <c r="P33" s="30">
        <v>30</v>
      </c>
    </row>
    <row r="34" spans="1:16">
      <c r="A34" s="30" t="s">
        <v>6944</v>
      </c>
      <c r="B34" s="34" t="s">
        <v>6945</v>
      </c>
      <c r="C34" s="35" t="s">
        <v>7019</v>
      </c>
      <c r="D34" s="36">
        <v>30</v>
      </c>
      <c r="E34" s="36" t="s">
        <v>6947</v>
      </c>
      <c r="F34" s="34" t="s">
        <v>6948</v>
      </c>
      <c r="G34" s="34" t="s">
        <v>6964</v>
      </c>
      <c r="H34" s="34" t="s">
        <v>7020</v>
      </c>
      <c r="I34" s="34" t="s">
        <v>7014</v>
      </c>
      <c r="J34" s="41" t="s">
        <v>7021</v>
      </c>
      <c r="K34" s="36">
        <v>4</v>
      </c>
      <c r="L34" s="44">
        <v>0</v>
      </c>
      <c r="M34">
        <v>4</v>
      </c>
      <c r="N34" s="38">
        <v>7</v>
      </c>
      <c r="O34" s="38">
        <f t="shared" ref="O34:O65" si="1">N34*(K34+L34)</f>
        <v>28</v>
      </c>
      <c r="P34" s="30">
        <v>48</v>
      </c>
    </row>
    <row r="35" spans="1:16">
      <c r="A35" s="30" t="s">
        <v>6944</v>
      </c>
      <c r="B35" s="34" t="s">
        <v>7022</v>
      </c>
      <c r="C35" s="35" t="s">
        <v>7023</v>
      </c>
      <c r="D35" s="36">
        <v>5</v>
      </c>
      <c r="E35" s="36" t="s">
        <v>6947</v>
      </c>
      <c r="F35" s="34" t="s">
        <v>6975</v>
      </c>
      <c r="G35" s="34" t="s">
        <v>6949</v>
      </c>
      <c r="H35" s="34" t="s">
        <v>6949</v>
      </c>
      <c r="I35" s="34" t="s">
        <v>5493</v>
      </c>
      <c r="J35" s="34" t="s">
        <v>7024</v>
      </c>
      <c r="K35" s="36">
        <v>3</v>
      </c>
      <c r="L35" s="44">
        <v>0</v>
      </c>
      <c r="M35">
        <v>4</v>
      </c>
      <c r="N35" s="38">
        <v>50</v>
      </c>
      <c r="O35" s="38">
        <f t="shared" si="1"/>
        <v>150</v>
      </c>
      <c r="P35" s="30">
        <v>24</v>
      </c>
    </row>
    <row r="36" spans="1:16">
      <c r="A36" s="30" t="s">
        <v>6944</v>
      </c>
      <c r="B36" s="34" t="s">
        <v>7022</v>
      </c>
      <c r="C36" s="35" t="s">
        <v>7025</v>
      </c>
      <c r="D36" s="36">
        <v>15</v>
      </c>
      <c r="E36" s="36" t="s">
        <v>6947</v>
      </c>
      <c r="F36" s="34" t="s">
        <v>6975</v>
      </c>
      <c r="G36" s="34" t="s">
        <v>6949</v>
      </c>
      <c r="H36" s="34" t="s">
        <v>6949</v>
      </c>
      <c r="I36" s="34" t="s">
        <v>5493</v>
      </c>
      <c r="J36" s="34" t="s">
        <v>7026</v>
      </c>
      <c r="K36" s="36">
        <v>4</v>
      </c>
      <c r="L36" s="44">
        <v>0</v>
      </c>
      <c r="M36">
        <v>5</v>
      </c>
      <c r="N36" s="38">
        <v>150</v>
      </c>
      <c r="O36" s="38">
        <f t="shared" si="1"/>
        <v>600</v>
      </c>
      <c r="P36" s="30">
        <v>36</v>
      </c>
    </row>
    <row r="37" spans="1:16">
      <c r="A37" s="30" t="s">
        <v>6944</v>
      </c>
      <c r="B37" s="34" t="s">
        <v>7022</v>
      </c>
      <c r="C37" s="35" t="s">
        <v>7027</v>
      </c>
      <c r="D37" s="36">
        <v>30</v>
      </c>
      <c r="E37" s="36" t="s">
        <v>6947</v>
      </c>
      <c r="F37" s="34" t="s">
        <v>6975</v>
      </c>
      <c r="G37" s="34" t="s">
        <v>6949</v>
      </c>
      <c r="H37" s="34" t="s">
        <v>6949</v>
      </c>
      <c r="I37" s="34" t="s">
        <v>5493</v>
      </c>
      <c r="J37" s="34" t="s">
        <v>7028</v>
      </c>
      <c r="K37" s="36">
        <v>5</v>
      </c>
      <c r="L37" s="44">
        <v>0</v>
      </c>
      <c r="M37">
        <v>6</v>
      </c>
      <c r="N37" s="38">
        <v>500</v>
      </c>
      <c r="O37" s="38">
        <f t="shared" si="1"/>
        <v>2500</v>
      </c>
      <c r="P37" s="30">
        <v>60</v>
      </c>
    </row>
    <row r="38" spans="1:16">
      <c r="A38" s="30" t="s">
        <v>6944</v>
      </c>
      <c r="B38" s="34" t="s">
        <v>6945</v>
      </c>
      <c r="C38" s="35" t="s">
        <v>7029</v>
      </c>
      <c r="D38" s="36">
        <v>15</v>
      </c>
      <c r="E38" s="36" t="s">
        <v>7003</v>
      </c>
      <c r="F38" s="34" t="s">
        <v>7030</v>
      </c>
      <c r="G38" s="34" t="s">
        <v>6964</v>
      </c>
      <c r="H38" s="34" t="s">
        <v>6964</v>
      </c>
      <c r="I38" s="34" t="s">
        <v>5493</v>
      </c>
      <c r="J38" s="34" t="s">
        <v>7031</v>
      </c>
      <c r="K38" s="36">
        <v>5</v>
      </c>
      <c r="L38" s="44">
        <v>0</v>
      </c>
      <c r="M38">
        <v>3</v>
      </c>
      <c r="N38" s="38">
        <v>10</v>
      </c>
      <c r="O38" s="38">
        <f t="shared" si="1"/>
        <v>50</v>
      </c>
      <c r="P38" s="30">
        <v>18</v>
      </c>
    </row>
    <row r="39" spans="1:16">
      <c r="A39" s="30" t="s">
        <v>6944</v>
      </c>
      <c r="B39" s="34" t="s">
        <v>6945</v>
      </c>
      <c r="C39" s="35" t="s">
        <v>7032</v>
      </c>
      <c r="D39" s="36">
        <v>30</v>
      </c>
      <c r="E39" s="36" t="s">
        <v>6947</v>
      </c>
      <c r="F39" s="34" t="s">
        <v>6975</v>
      </c>
      <c r="G39" s="34" t="s">
        <v>6964</v>
      </c>
      <c r="H39" s="34" t="s">
        <v>6964</v>
      </c>
      <c r="I39" s="34" t="s">
        <v>5493</v>
      </c>
      <c r="J39" s="34" t="s">
        <v>7031</v>
      </c>
      <c r="K39" s="36">
        <v>2</v>
      </c>
      <c r="L39" s="44">
        <v>0</v>
      </c>
      <c r="M39">
        <v>3</v>
      </c>
      <c r="N39" s="38">
        <v>1</v>
      </c>
      <c r="O39" s="38">
        <f t="shared" si="1"/>
        <v>2</v>
      </c>
      <c r="P39" s="30">
        <v>15</v>
      </c>
    </row>
    <row r="40" spans="1:16">
      <c r="A40" s="30" t="s">
        <v>6944</v>
      </c>
      <c r="B40" s="34" t="s">
        <v>6945</v>
      </c>
      <c r="C40" s="35" t="s">
        <v>7033</v>
      </c>
      <c r="D40" s="36">
        <v>30</v>
      </c>
      <c r="E40" s="36" t="s">
        <v>7003</v>
      </c>
      <c r="F40" s="34" t="s">
        <v>7030</v>
      </c>
      <c r="G40" s="34" t="s">
        <v>6964</v>
      </c>
      <c r="H40" s="34" t="s">
        <v>6964</v>
      </c>
      <c r="I40" s="34" t="s">
        <v>5493</v>
      </c>
      <c r="J40" s="34" t="s">
        <v>7034</v>
      </c>
      <c r="K40" s="36">
        <v>6</v>
      </c>
      <c r="L40" s="44">
        <v>0</v>
      </c>
      <c r="M40">
        <v>4</v>
      </c>
      <c r="N40" s="38">
        <v>20</v>
      </c>
      <c r="O40" s="38">
        <f t="shared" si="1"/>
        <v>120</v>
      </c>
      <c r="P40" s="30">
        <v>30</v>
      </c>
    </row>
    <row r="41" spans="1:16">
      <c r="A41" s="30" t="s">
        <v>6944</v>
      </c>
      <c r="B41" s="34" t="s">
        <v>6945</v>
      </c>
      <c r="C41" s="35" t="s">
        <v>7035</v>
      </c>
      <c r="D41" s="36">
        <v>40</v>
      </c>
      <c r="E41" s="36" t="s">
        <v>6947</v>
      </c>
      <c r="F41" s="34" t="s">
        <v>6975</v>
      </c>
      <c r="G41" s="34" t="s">
        <v>6964</v>
      </c>
      <c r="H41" s="34" t="s">
        <v>6964</v>
      </c>
      <c r="I41" s="34" t="s">
        <v>5493</v>
      </c>
      <c r="J41" s="34" t="s">
        <v>7034</v>
      </c>
      <c r="K41" s="36">
        <v>3</v>
      </c>
      <c r="L41" s="44">
        <v>0</v>
      </c>
      <c r="M41">
        <v>5</v>
      </c>
      <c r="N41" s="38">
        <v>5</v>
      </c>
      <c r="O41" s="38">
        <f t="shared" si="1"/>
        <v>15</v>
      </c>
      <c r="P41" s="30">
        <v>24</v>
      </c>
    </row>
    <row r="42" spans="1:16">
      <c r="A42" s="30" t="s">
        <v>6944</v>
      </c>
      <c r="B42" s="34" t="s">
        <v>6945</v>
      </c>
      <c r="C42" s="35" t="s">
        <v>7036</v>
      </c>
      <c r="D42" s="36">
        <v>40</v>
      </c>
      <c r="E42" s="36" t="s">
        <v>7003</v>
      </c>
      <c r="F42" s="34" t="s">
        <v>7030</v>
      </c>
      <c r="G42" s="34" t="s">
        <v>6964</v>
      </c>
      <c r="H42" s="34" t="s">
        <v>6964</v>
      </c>
      <c r="I42" s="34" t="s">
        <v>5493</v>
      </c>
      <c r="J42" s="34" t="s">
        <v>7037</v>
      </c>
      <c r="K42" s="36">
        <v>7</v>
      </c>
      <c r="L42" s="44">
        <v>0</v>
      </c>
      <c r="M42">
        <v>5</v>
      </c>
      <c r="N42" s="38">
        <v>30</v>
      </c>
      <c r="O42" s="38">
        <f t="shared" si="1"/>
        <v>210</v>
      </c>
      <c r="P42" s="30">
        <v>48</v>
      </c>
    </row>
    <row r="43" spans="1:16">
      <c r="A43" s="30" t="s">
        <v>6944</v>
      </c>
      <c r="B43" s="34" t="s">
        <v>6945</v>
      </c>
      <c r="C43" s="35" t="s">
        <v>7038</v>
      </c>
      <c r="D43" s="36">
        <v>5</v>
      </c>
      <c r="E43" s="36" t="s">
        <v>6947</v>
      </c>
      <c r="F43" s="34" t="s">
        <v>6975</v>
      </c>
      <c r="G43" s="34" t="s">
        <v>6964</v>
      </c>
      <c r="H43" s="34" t="s">
        <v>6964</v>
      </c>
      <c r="I43" s="34" t="s">
        <v>5493</v>
      </c>
      <c r="J43" s="34" t="s">
        <v>7039</v>
      </c>
      <c r="K43" s="36">
        <v>1</v>
      </c>
      <c r="L43" s="44">
        <v>0</v>
      </c>
      <c r="M43">
        <v>1</v>
      </c>
      <c r="N43" s="38">
        <v>0.25</v>
      </c>
      <c r="O43" s="38">
        <f t="shared" si="1"/>
        <v>0.25</v>
      </c>
      <c r="P43" s="30">
        <v>6</v>
      </c>
    </row>
    <row r="44" spans="1:16">
      <c r="A44" s="30" t="s">
        <v>6944</v>
      </c>
      <c r="B44" s="34" t="s">
        <v>6945</v>
      </c>
      <c r="C44" s="35" t="s">
        <v>7040</v>
      </c>
      <c r="D44" s="36">
        <v>5</v>
      </c>
      <c r="E44" s="36" t="s">
        <v>7003</v>
      </c>
      <c r="F44" s="34" t="s">
        <v>7030</v>
      </c>
      <c r="G44" s="34" t="s">
        <v>6964</v>
      </c>
      <c r="H44" s="34" t="s">
        <v>6964</v>
      </c>
      <c r="I44" s="34" t="s">
        <v>5493</v>
      </c>
      <c r="J44" s="34" t="s">
        <v>7041</v>
      </c>
      <c r="K44" s="36">
        <v>4</v>
      </c>
      <c r="L44" s="44">
        <v>0</v>
      </c>
      <c r="M44">
        <v>2</v>
      </c>
      <c r="N44" s="38">
        <v>5</v>
      </c>
      <c r="O44" s="38">
        <f t="shared" si="1"/>
        <v>20</v>
      </c>
      <c r="P44" s="30">
        <v>12</v>
      </c>
    </row>
    <row r="45" spans="1:16">
      <c r="A45" s="30" t="s">
        <v>6944</v>
      </c>
      <c r="B45" s="34" t="s">
        <v>6945</v>
      </c>
      <c r="C45" s="35" t="s">
        <v>7042</v>
      </c>
      <c r="D45" s="36">
        <v>15</v>
      </c>
      <c r="E45" s="36" t="s">
        <v>6947</v>
      </c>
      <c r="F45" s="34" t="s">
        <v>6975</v>
      </c>
      <c r="G45" s="34" t="s">
        <v>6964</v>
      </c>
      <c r="H45" s="34" t="s">
        <v>6964</v>
      </c>
      <c r="I45" s="34" t="s">
        <v>5493</v>
      </c>
      <c r="J45" s="34" t="s">
        <v>7041</v>
      </c>
      <c r="K45" s="36">
        <v>1</v>
      </c>
      <c r="L45" s="44">
        <v>0</v>
      </c>
      <c r="M45">
        <v>2</v>
      </c>
      <c r="N45" s="38">
        <v>0.5</v>
      </c>
      <c r="O45" s="38">
        <f t="shared" si="1"/>
        <v>0.5</v>
      </c>
      <c r="P45" s="30">
        <v>9</v>
      </c>
    </row>
    <row r="46" spans="1:16">
      <c r="A46" s="30" t="s">
        <v>6944</v>
      </c>
      <c r="B46" s="34" t="s">
        <v>6945</v>
      </c>
      <c r="C46" s="35" t="s">
        <v>7043</v>
      </c>
      <c r="D46" s="36">
        <v>15</v>
      </c>
      <c r="E46" s="36" t="s">
        <v>6947</v>
      </c>
      <c r="F46" s="34" t="s">
        <v>6948</v>
      </c>
      <c r="G46" s="34" t="s">
        <v>6964</v>
      </c>
      <c r="H46" s="34" t="s">
        <v>6964</v>
      </c>
      <c r="I46" s="34" t="s">
        <v>5493</v>
      </c>
      <c r="J46" s="34" t="s">
        <v>7044</v>
      </c>
      <c r="K46" s="36">
        <v>3</v>
      </c>
      <c r="L46" s="44">
        <v>0</v>
      </c>
      <c r="M46">
        <v>3</v>
      </c>
      <c r="N46" s="38">
        <v>1</v>
      </c>
      <c r="O46" s="38">
        <f t="shared" si="1"/>
        <v>3</v>
      </c>
      <c r="P46" s="30">
        <v>9</v>
      </c>
    </row>
    <row r="47" spans="1:16">
      <c r="A47" s="30" t="s">
        <v>6944</v>
      </c>
      <c r="B47" s="34" t="s">
        <v>6945</v>
      </c>
      <c r="C47" s="35" t="s">
        <v>7045</v>
      </c>
      <c r="D47" s="36">
        <v>30</v>
      </c>
      <c r="E47" s="36" t="s">
        <v>6947</v>
      </c>
      <c r="F47" s="34" t="s">
        <v>6948</v>
      </c>
      <c r="G47" s="34" t="s">
        <v>6964</v>
      </c>
      <c r="H47" s="34" t="s">
        <v>6964</v>
      </c>
      <c r="I47" s="34" t="s">
        <v>5493</v>
      </c>
      <c r="J47" s="34" t="s">
        <v>7046</v>
      </c>
      <c r="K47" s="36">
        <v>4</v>
      </c>
      <c r="L47" s="44">
        <v>0</v>
      </c>
      <c r="M47">
        <v>4</v>
      </c>
      <c r="N47" s="38">
        <v>3</v>
      </c>
      <c r="O47" s="38">
        <f t="shared" si="1"/>
        <v>12</v>
      </c>
      <c r="P47" s="30">
        <v>15</v>
      </c>
    </row>
    <row r="48" spans="1:16">
      <c r="A48" s="30" t="s">
        <v>6944</v>
      </c>
      <c r="B48" s="34" t="s">
        <v>6945</v>
      </c>
      <c r="C48" s="35" t="s">
        <v>7047</v>
      </c>
      <c r="D48" s="36">
        <v>5</v>
      </c>
      <c r="E48" s="36" t="s">
        <v>6947</v>
      </c>
      <c r="F48" s="34" t="s">
        <v>6948</v>
      </c>
      <c r="G48" s="34" t="s">
        <v>6964</v>
      </c>
      <c r="H48" s="34" t="s">
        <v>6964</v>
      </c>
      <c r="I48" s="34" t="s">
        <v>5493</v>
      </c>
      <c r="J48" s="34" t="s">
        <v>7048</v>
      </c>
      <c r="K48" s="36">
        <v>2</v>
      </c>
      <c r="L48" s="44">
        <v>0</v>
      </c>
      <c r="M48">
        <v>2</v>
      </c>
      <c r="N48" s="38">
        <v>0.5</v>
      </c>
      <c r="O48" s="38">
        <f t="shared" si="1"/>
        <v>1</v>
      </c>
      <c r="P48" s="30">
        <v>6</v>
      </c>
    </row>
    <row r="49" spans="1:16">
      <c r="A49" s="30" t="s">
        <v>7049</v>
      </c>
      <c r="B49" s="34" t="s">
        <v>6945</v>
      </c>
      <c r="C49" s="35" t="s">
        <v>7050</v>
      </c>
      <c r="D49" s="36">
        <v>65</v>
      </c>
      <c r="E49" s="36" t="s">
        <v>6947</v>
      </c>
      <c r="F49" s="34" t="s">
        <v>4531</v>
      </c>
      <c r="G49" s="34" t="s">
        <v>7051</v>
      </c>
      <c r="H49" s="34" t="s">
        <v>7052</v>
      </c>
      <c r="I49" s="34" t="s">
        <v>5493</v>
      </c>
      <c r="J49" s="34" t="s">
        <v>7053</v>
      </c>
      <c r="K49" s="36">
        <v>1</v>
      </c>
      <c r="L49" s="44">
        <v>0</v>
      </c>
      <c r="M49">
        <v>1</v>
      </c>
      <c r="N49" s="38">
        <v>5</v>
      </c>
      <c r="O49" s="38">
        <f t="shared" si="1"/>
        <v>5</v>
      </c>
      <c r="P49" s="30">
        <v>6</v>
      </c>
    </row>
    <row r="50" spans="1:16">
      <c r="A50" s="30" t="s">
        <v>7049</v>
      </c>
      <c r="B50" s="34" t="s">
        <v>7022</v>
      </c>
      <c r="C50" s="35" t="s">
        <v>7054</v>
      </c>
      <c r="D50" s="36">
        <v>75</v>
      </c>
      <c r="E50" s="36" t="s">
        <v>6947</v>
      </c>
      <c r="F50" s="34" t="s">
        <v>4531</v>
      </c>
      <c r="G50" s="34" t="s">
        <v>6949</v>
      </c>
      <c r="H50" s="34" t="s">
        <v>6949</v>
      </c>
      <c r="I50" s="34" t="s">
        <v>5493</v>
      </c>
      <c r="J50" s="34" t="s">
        <v>7055</v>
      </c>
      <c r="K50" s="36">
        <v>1</v>
      </c>
      <c r="L50" s="44">
        <v>0</v>
      </c>
      <c r="M50">
        <v>3</v>
      </c>
      <c r="N50" s="38">
        <v>25</v>
      </c>
      <c r="O50" s="38">
        <f t="shared" si="1"/>
        <v>25</v>
      </c>
      <c r="P50" s="30">
        <v>24</v>
      </c>
    </row>
    <row r="51" spans="1:16">
      <c r="A51" s="30" t="s">
        <v>7049</v>
      </c>
      <c r="B51" s="34" t="s">
        <v>7022</v>
      </c>
      <c r="C51" s="35" t="s">
        <v>7056</v>
      </c>
      <c r="D51" s="36">
        <v>85</v>
      </c>
      <c r="E51" s="36" t="s">
        <v>6947</v>
      </c>
      <c r="F51" s="34" t="s">
        <v>4531</v>
      </c>
      <c r="G51" s="34" t="s">
        <v>6949</v>
      </c>
      <c r="H51" s="34" t="s">
        <v>6949</v>
      </c>
      <c r="I51" s="34" t="s">
        <v>5493</v>
      </c>
      <c r="J51" s="34" t="s">
        <v>7057</v>
      </c>
      <c r="K51" s="36">
        <v>1</v>
      </c>
      <c r="L51" s="44">
        <v>0</v>
      </c>
      <c r="M51">
        <v>4</v>
      </c>
      <c r="N51" s="38">
        <v>250</v>
      </c>
      <c r="O51" s="38">
        <f t="shared" si="1"/>
        <v>250</v>
      </c>
      <c r="P51" s="30">
        <v>48</v>
      </c>
    </row>
    <row r="52" spans="1:16">
      <c r="A52" s="30" t="s">
        <v>7049</v>
      </c>
      <c r="B52" s="34" t="s">
        <v>6945</v>
      </c>
      <c r="C52" s="35" t="s">
        <v>7058</v>
      </c>
      <c r="D52" s="36">
        <v>30</v>
      </c>
      <c r="E52" s="36" t="s">
        <v>6947</v>
      </c>
      <c r="F52" s="34" t="s">
        <v>4531</v>
      </c>
      <c r="G52" s="34" t="s">
        <v>7059</v>
      </c>
      <c r="H52" s="34" t="s">
        <v>7060</v>
      </c>
      <c r="I52" s="34" t="s">
        <v>7061</v>
      </c>
      <c r="J52" s="34" t="s">
        <v>7062</v>
      </c>
      <c r="K52" s="36">
        <v>1</v>
      </c>
      <c r="L52" s="44">
        <v>0</v>
      </c>
      <c r="M52">
        <v>1</v>
      </c>
      <c r="N52" s="38">
        <v>2.5</v>
      </c>
      <c r="O52" s="38">
        <f t="shared" si="1"/>
        <v>2.5</v>
      </c>
      <c r="P52" s="30">
        <v>6</v>
      </c>
    </row>
    <row r="53" spans="1:16">
      <c r="A53" s="30" t="s">
        <v>7049</v>
      </c>
      <c r="B53" s="34" t="s">
        <v>6945</v>
      </c>
      <c r="C53" s="35" t="s">
        <v>7063</v>
      </c>
      <c r="D53" s="36">
        <v>40</v>
      </c>
      <c r="E53" s="36" t="s">
        <v>6947</v>
      </c>
      <c r="F53" s="34" t="s">
        <v>4531</v>
      </c>
      <c r="G53" s="34" t="s">
        <v>7059</v>
      </c>
      <c r="H53" s="34" t="s">
        <v>7060</v>
      </c>
      <c r="I53" s="34" t="s">
        <v>7061</v>
      </c>
      <c r="J53" s="34" t="s">
        <v>7064</v>
      </c>
      <c r="K53" s="36">
        <v>1</v>
      </c>
      <c r="L53" s="44">
        <v>0</v>
      </c>
      <c r="M53">
        <v>1</v>
      </c>
      <c r="N53" s="38">
        <v>10</v>
      </c>
      <c r="O53" s="38">
        <f t="shared" si="1"/>
        <v>10</v>
      </c>
      <c r="P53" s="30">
        <v>9</v>
      </c>
    </row>
    <row r="54" spans="1:16">
      <c r="A54" s="30" t="s">
        <v>7049</v>
      </c>
      <c r="B54" s="34" t="s">
        <v>6945</v>
      </c>
      <c r="C54" s="35" t="s">
        <v>7065</v>
      </c>
      <c r="D54" s="36">
        <v>50</v>
      </c>
      <c r="E54" s="36" t="s">
        <v>6947</v>
      </c>
      <c r="F54" s="34" t="s">
        <v>4531</v>
      </c>
      <c r="G54" s="34" t="s">
        <v>7059</v>
      </c>
      <c r="H54" s="34" t="s">
        <v>7060</v>
      </c>
      <c r="I54" s="34" t="s">
        <v>7061</v>
      </c>
      <c r="J54" s="34" t="s">
        <v>7066</v>
      </c>
      <c r="K54" s="36">
        <v>1</v>
      </c>
      <c r="L54" s="44">
        <v>0</v>
      </c>
      <c r="M54">
        <v>1</v>
      </c>
      <c r="N54" s="38">
        <v>40</v>
      </c>
      <c r="O54" s="38">
        <f t="shared" si="1"/>
        <v>40</v>
      </c>
      <c r="P54" s="30">
        <v>15</v>
      </c>
    </row>
    <row r="55" spans="1:16">
      <c r="A55" s="30" t="s">
        <v>7049</v>
      </c>
      <c r="B55" s="34" t="s">
        <v>7022</v>
      </c>
      <c r="C55" s="35" t="s">
        <v>7067</v>
      </c>
      <c r="D55" s="36">
        <v>30</v>
      </c>
      <c r="E55" s="36" t="s">
        <v>6947</v>
      </c>
      <c r="F55" s="34" t="s">
        <v>7030</v>
      </c>
      <c r="G55" s="34" t="s">
        <v>7068</v>
      </c>
      <c r="H55" s="34" t="s">
        <v>7059</v>
      </c>
      <c r="I55" s="34" t="s">
        <v>5493</v>
      </c>
      <c r="J55" s="34" t="s">
        <v>7069</v>
      </c>
      <c r="K55" s="36">
        <v>1</v>
      </c>
      <c r="L55" s="44">
        <v>0</v>
      </c>
      <c r="M55">
        <v>2</v>
      </c>
      <c r="N55" s="38">
        <v>5</v>
      </c>
      <c r="O55" s="38">
        <f t="shared" si="1"/>
        <v>5</v>
      </c>
      <c r="P55" s="30">
        <v>12</v>
      </c>
    </row>
    <row r="56" spans="1:16">
      <c r="A56" s="30" t="s">
        <v>7049</v>
      </c>
      <c r="B56" s="34" t="s">
        <v>7022</v>
      </c>
      <c r="C56" s="35" t="s">
        <v>7070</v>
      </c>
      <c r="D56" s="36">
        <v>40</v>
      </c>
      <c r="E56" s="36" t="s">
        <v>6947</v>
      </c>
      <c r="F56" s="34" t="s">
        <v>7030</v>
      </c>
      <c r="G56" s="34" t="s">
        <v>7068</v>
      </c>
      <c r="H56" s="34" t="s">
        <v>7059</v>
      </c>
      <c r="I56" s="34" t="s">
        <v>5493</v>
      </c>
      <c r="J56" s="34" t="s">
        <v>7071</v>
      </c>
      <c r="K56" s="36">
        <v>1</v>
      </c>
      <c r="L56" s="44">
        <v>0</v>
      </c>
      <c r="M56">
        <v>3</v>
      </c>
      <c r="N56" s="38">
        <v>20</v>
      </c>
      <c r="O56" s="38">
        <f t="shared" si="1"/>
        <v>20</v>
      </c>
      <c r="P56" s="30">
        <v>18</v>
      </c>
    </row>
    <row r="57" spans="1:16">
      <c r="A57" s="30" t="s">
        <v>7049</v>
      </c>
      <c r="B57" s="34" t="s">
        <v>7022</v>
      </c>
      <c r="C57" s="35" t="s">
        <v>7072</v>
      </c>
      <c r="D57" s="36">
        <v>50</v>
      </c>
      <c r="E57" s="36" t="s">
        <v>6947</v>
      </c>
      <c r="F57" s="34" t="s">
        <v>7030</v>
      </c>
      <c r="G57" s="34" t="s">
        <v>7068</v>
      </c>
      <c r="H57" s="34" t="s">
        <v>7059</v>
      </c>
      <c r="I57" s="34" t="s">
        <v>5493</v>
      </c>
      <c r="J57" s="34" t="s">
        <v>7073</v>
      </c>
      <c r="K57" s="36">
        <v>1</v>
      </c>
      <c r="L57" s="44">
        <v>0</v>
      </c>
      <c r="M57">
        <v>4</v>
      </c>
      <c r="N57" s="38">
        <v>125</v>
      </c>
      <c r="O57" s="38">
        <f t="shared" si="1"/>
        <v>125</v>
      </c>
      <c r="P57" s="30">
        <v>30</v>
      </c>
    </row>
    <row r="58" spans="1:16">
      <c r="A58" s="30" t="s">
        <v>7049</v>
      </c>
      <c r="B58" s="34" t="s">
        <v>7022</v>
      </c>
      <c r="C58" s="35" t="s">
        <v>7074</v>
      </c>
      <c r="D58" s="36">
        <v>55</v>
      </c>
      <c r="E58" s="36" t="s">
        <v>6947</v>
      </c>
      <c r="F58" s="34" t="s">
        <v>4531</v>
      </c>
      <c r="G58" s="34" t="s">
        <v>7068</v>
      </c>
      <c r="H58" s="34" t="s">
        <v>7075</v>
      </c>
      <c r="I58" s="34" t="s">
        <v>5493</v>
      </c>
      <c r="J58" s="34" t="s">
        <v>7076</v>
      </c>
      <c r="K58" s="36">
        <v>1</v>
      </c>
      <c r="L58" s="44">
        <v>0</v>
      </c>
      <c r="M58">
        <v>3</v>
      </c>
      <c r="N58" s="38">
        <v>250</v>
      </c>
      <c r="O58" s="38">
        <f t="shared" si="1"/>
        <v>250</v>
      </c>
      <c r="P58" s="30">
        <v>24</v>
      </c>
    </row>
    <row r="59" spans="1:16">
      <c r="A59" s="30" t="s">
        <v>7049</v>
      </c>
      <c r="B59" s="34" t="s">
        <v>7022</v>
      </c>
      <c r="C59" s="35" t="s">
        <v>7077</v>
      </c>
      <c r="D59" s="36">
        <v>65</v>
      </c>
      <c r="E59" s="36" t="s">
        <v>6947</v>
      </c>
      <c r="F59" s="34" t="s">
        <v>4531</v>
      </c>
      <c r="G59" s="34" t="s">
        <v>7068</v>
      </c>
      <c r="H59" s="34" t="s">
        <v>7075</v>
      </c>
      <c r="I59" s="34" t="s">
        <v>5493</v>
      </c>
      <c r="J59" s="34" t="s">
        <v>7078</v>
      </c>
      <c r="K59" s="36">
        <v>1</v>
      </c>
      <c r="L59" s="44">
        <v>0</v>
      </c>
      <c r="M59">
        <v>6</v>
      </c>
      <c r="N59" s="38">
        <v>2500</v>
      </c>
      <c r="O59" s="38">
        <f t="shared" si="1"/>
        <v>2500</v>
      </c>
      <c r="P59" s="30">
        <v>48</v>
      </c>
    </row>
    <row r="60" spans="1:16">
      <c r="A60" s="30" t="s">
        <v>7049</v>
      </c>
      <c r="B60" s="34" t="s">
        <v>7022</v>
      </c>
      <c r="C60" s="35" t="s">
        <v>7079</v>
      </c>
      <c r="D60" s="36">
        <v>80</v>
      </c>
      <c r="E60" s="36" t="s">
        <v>6947</v>
      </c>
      <c r="F60" s="34" t="s">
        <v>4531</v>
      </c>
      <c r="G60" s="34" t="s">
        <v>7080</v>
      </c>
      <c r="H60" s="34" t="s">
        <v>7081</v>
      </c>
      <c r="I60" s="34" t="s">
        <v>5493</v>
      </c>
      <c r="J60" s="34" t="s">
        <v>7082</v>
      </c>
      <c r="K60" s="36">
        <v>2</v>
      </c>
      <c r="L60" s="44">
        <v>0</v>
      </c>
      <c r="M60">
        <v>7</v>
      </c>
      <c r="N60" s="38">
        <v>1500</v>
      </c>
      <c r="O60" s="38">
        <f t="shared" si="1"/>
        <v>3000</v>
      </c>
      <c r="P60" s="30">
        <v>150</v>
      </c>
    </row>
    <row r="61" spans="1:16">
      <c r="A61" s="30" t="s">
        <v>7049</v>
      </c>
      <c r="B61" s="34" t="s">
        <v>7022</v>
      </c>
      <c r="C61" s="35" t="s">
        <v>7083</v>
      </c>
      <c r="D61" s="36">
        <v>90</v>
      </c>
      <c r="E61" s="36" t="s">
        <v>6947</v>
      </c>
      <c r="F61" s="34" t="s">
        <v>4531</v>
      </c>
      <c r="G61" s="34" t="s">
        <v>7080</v>
      </c>
      <c r="H61" s="34" t="s">
        <v>7081</v>
      </c>
      <c r="I61" s="34" t="s">
        <v>5493</v>
      </c>
      <c r="J61" s="34" t="s">
        <v>7084</v>
      </c>
      <c r="K61" s="36">
        <v>3</v>
      </c>
      <c r="L61" s="44">
        <v>0</v>
      </c>
      <c r="M61">
        <v>7</v>
      </c>
      <c r="N61" s="38">
        <v>2000</v>
      </c>
      <c r="O61" s="38">
        <f t="shared" si="1"/>
        <v>6000</v>
      </c>
      <c r="P61" s="30">
        <v>240</v>
      </c>
    </row>
    <row r="62" spans="1:16">
      <c r="A62" s="30" t="s">
        <v>7049</v>
      </c>
      <c r="B62" s="34" t="s">
        <v>7022</v>
      </c>
      <c r="C62" s="35" t="s">
        <v>7085</v>
      </c>
      <c r="D62" s="36">
        <v>60</v>
      </c>
      <c r="E62" s="36" t="s">
        <v>6947</v>
      </c>
      <c r="F62" s="34" t="s">
        <v>4531</v>
      </c>
      <c r="G62" s="34" t="s">
        <v>7080</v>
      </c>
      <c r="H62" s="34" t="s">
        <v>7081</v>
      </c>
      <c r="I62" s="34" t="s">
        <v>5493</v>
      </c>
      <c r="J62" s="34" t="s">
        <v>7086</v>
      </c>
      <c r="K62" s="36">
        <v>1</v>
      </c>
      <c r="L62" s="44">
        <v>0</v>
      </c>
      <c r="M62">
        <v>5</v>
      </c>
      <c r="N62" s="38">
        <v>500</v>
      </c>
      <c r="O62" s="38">
        <f t="shared" si="1"/>
        <v>500</v>
      </c>
      <c r="P62" s="30">
        <v>60</v>
      </c>
    </row>
    <row r="63" spans="1:16">
      <c r="A63" s="30" t="s">
        <v>7049</v>
      </c>
      <c r="B63" s="34" t="s">
        <v>7022</v>
      </c>
      <c r="C63" s="35" t="s">
        <v>7087</v>
      </c>
      <c r="D63" s="36">
        <v>70</v>
      </c>
      <c r="E63" s="36" t="s">
        <v>6947</v>
      </c>
      <c r="F63" s="34" t="s">
        <v>4531</v>
      </c>
      <c r="G63" s="34" t="s">
        <v>7080</v>
      </c>
      <c r="H63" s="34" t="s">
        <v>7081</v>
      </c>
      <c r="I63" s="34" t="s">
        <v>5493</v>
      </c>
      <c r="J63" s="34" t="s">
        <v>7088</v>
      </c>
      <c r="K63" s="36">
        <v>1</v>
      </c>
      <c r="L63" s="44">
        <v>0</v>
      </c>
      <c r="M63">
        <v>6</v>
      </c>
      <c r="N63" s="38">
        <v>1000</v>
      </c>
      <c r="O63" s="38">
        <f t="shared" si="1"/>
        <v>1000</v>
      </c>
      <c r="P63" s="30">
        <v>90</v>
      </c>
    </row>
    <row r="64" spans="1:16">
      <c r="A64" s="30" t="s">
        <v>7049</v>
      </c>
      <c r="B64" s="34" t="s">
        <v>6945</v>
      </c>
      <c r="C64" s="35" t="s">
        <v>7089</v>
      </c>
      <c r="D64" s="36">
        <v>65</v>
      </c>
      <c r="E64" s="36" t="s">
        <v>6947</v>
      </c>
      <c r="F64" s="34" t="s">
        <v>4531</v>
      </c>
      <c r="G64" s="34" t="s">
        <v>7068</v>
      </c>
      <c r="H64" s="34" t="s">
        <v>7051</v>
      </c>
      <c r="I64" s="34" t="s">
        <v>7090</v>
      </c>
      <c r="J64" s="34" t="s">
        <v>7091</v>
      </c>
      <c r="K64" s="36">
        <v>1</v>
      </c>
      <c r="L64" s="44">
        <v>0</v>
      </c>
      <c r="M64">
        <v>1</v>
      </c>
      <c r="N64" s="38">
        <v>25</v>
      </c>
      <c r="O64" s="38">
        <f t="shared" si="1"/>
        <v>25</v>
      </c>
      <c r="P64" s="30">
        <v>10</v>
      </c>
    </row>
    <row r="65" spans="1:16">
      <c r="A65" s="30" t="s">
        <v>7049</v>
      </c>
      <c r="B65" s="34" t="s">
        <v>6945</v>
      </c>
      <c r="C65" s="35" t="s">
        <v>7092</v>
      </c>
      <c r="D65" s="36">
        <v>75</v>
      </c>
      <c r="E65" s="36" t="s">
        <v>6947</v>
      </c>
      <c r="F65" s="34" t="s">
        <v>4531</v>
      </c>
      <c r="G65" s="34" t="s">
        <v>7068</v>
      </c>
      <c r="H65" s="34" t="s">
        <v>7051</v>
      </c>
      <c r="I65" s="34" t="s">
        <v>7090</v>
      </c>
      <c r="J65" s="34" t="s">
        <v>7093</v>
      </c>
      <c r="K65" s="36">
        <v>1</v>
      </c>
      <c r="L65" s="44">
        <v>0</v>
      </c>
      <c r="M65">
        <v>3</v>
      </c>
      <c r="N65" s="38">
        <v>50</v>
      </c>
      <c r="O65" s="38">
        <f t="shared" si="1"/>
        <v>50</v>
      </c>
      <c r="P65" s="30">
        <v>15</v>
      </c>
    </row>
    <row r="66" spans="1:16">
      <c r="A66" s="30" t="s">
        <v>7049</v>
      </c>
      <c r="B66" s="34" t="s">
        <v>6945</v>
      </c>
      <c r="C66" s="35" t="s">
        <v>7094</v>
      </c>
      <c r="D66" s="36">
        <v>85</v>
      </c>
      <c r="E66" s="36" t="s">
        <v>6947</v>
      </c>
      <c r="F66" s="34" t="s">
        <v>4531</v>
      </c>
      <c r="G66" s="34" t="s">
        <v>7068</v>
      </c>
      <c r="H66" s="34" t="s">
        <v>7051</v>
      </c>
      <c r="I66" s="34" t="s">
        <v>7090</v>
      </c>
      <c r="J66" s="34" t="s">
        <v>7095</v>
      </c>
      <c r="K66" s="36">
        <v>1</v>
      </c>
      <c r="L66" s="44">
        <v>0</v>
      </c>
      <c r="M66">
        <v>5</v>
      </c>
      <c r="N66" s="38">
        <v>100</v>
      </c>
      <c r="O66" s="38">
        <f t="shared" ref="O66:O97" si="2">N66*(K66+L66)</f>
        <v>100</v>
      </c>
      <c r="P66" s="30">
        <v>25</v>
      </c>
    </row>
    <row r="67" spans="1:16">
      <c r="A67" s="30" t="s">
        <v>7049</v>
      </c>
      <c r="B67" s="34" t="s">
        <v>7022</v>
      </c>
      <c r="C67" s="35" t="s">
        <v>7096</v>
      </c>
      <c r="D67" s="36">
        <v>35</v>
      </c>
      <c r="E67" s="36" t="s">
        <v>6947</v>
      </c>
      <c r="F67" s="34" t="s">
        <v>4531</v>
      </c>
      <c r="G67" s="34" t="s">
        <v>6949</v>
      </c>
      <c r="H67" s="34" t="s">
        <v>6949</v>
      </c>
      <c r="I67" s="34" t="s">
        <v>6957</v>
      </c>
      <c r="J67" s="34" t="s">
        <v>7097</v>
      </c>
      <c r="K67" s="36">
        <v>1</v>
      </c>
      <c r="L67" s="44">
        <v>0</v>
      </c>
      <c r="M67">
        <v>2</v>
      </c>
      <c r="N67" s="38">
        <v>5</v>
      </c>
      <c r="O67" s="38">
        <f t="shared" si="2"/>
        <v>5</v>
      </c>
      <c r="P67" s="30">
        <v>18</v>
      </c>
    </row>
    <row r="68" spans="1:16">
      <c r="A68" s="30" t="s">
        <v>7049</v>
      </c>
      <c r="B68" s="34" t="s">
        <v>7022</v>
      </c>
      <c r="C68" s="35" t="s">
        <v>7098</v>
      </c>
      <c r="D68" s="36">
        <v>45</v>
      </c>
      <c r="E68" s="36" t="s">
        <v>6947</v>
      </c>
      <c r="F68" s="34" t="s">
        <v>4531</v>
      </c>
      <c r="G68" s="34" t="s">
        <v>6949</v>
      </c>
      <c r="H68" s="34" t="s">
        <v>6949</v>
      </c>
      <c r="I68" s="34" t="s">
        <v>7099</v>
      </c>
      <c r="J68" s="34" t="s">
        <v>7100</v>
      </c>
      <c r="K68" s="36">
        <v>1</v>
      </c>
      <c r="L68" s="44">
        <v>0</v>
      </c>
      <c r="M68">
        <v>3</v>
      </c>
      <c r="N68" s="38">
        <v>20</v>
      </c>
      <c r="O68" s="38">
        <f t="shared" si="2"/>
        <v>20</v>
      </c>
      <c r="P68" s="30">
        <v>27</v>
      </c>
    </row>
    <row r="69" spans="1:16">
      <c r="A69" s="30" t="s">
        <v>7049</v>
      </c>
      <c r="B69" s="34" t="s">
        <v>7022</v>
      </c>
      <c r="C69" s="35" t="s">
        <v>7101</v>
      </c>
      <c r="D69" s="36">
        <v>55</v>
      </c>
      <c r="E69" s="36" t="s">
        <v>6947</v>
      </c>
      <c r="F69" s="34" t="s">
        <v>4531</v>
      </c>
      <c r="G69" s="34" t="s">
        <v>6949</v>
      </c>
      <c r="H69" s="34" t="s">
        <v>6949</v>
      </c>
      <c r="I69" s="34" t="s">
        <v>7102</v>
      </c>
      <c r="J69" s="34" t="s">
        <v>7103</v>
      </c>
      <c r="K69" s="36">
        <v>1</v>
      </c>
      <c r="L69" s="44">
        <v>0</v>
      </c>
      <c r="M69">
        <v>4</v>
      </c>
      <c r="N69" s="38">
        <v>50</v>
      </c>
      <c r="O69" s="38">
        <f t="shared" si="2"/>
        <v>50</v>
      </c>
      <c r="P69" s="30">
        <v>45</v>
      </c>
    </row>
    <row r="70" spans="1:16">
      <c r="A70" s="30" t="s">
        <v>7049</v>
      </c>
      <c r="B70" s="34" t="s">
        <v>7022</v>
      </c>
      <c r="C70" s="35" t="s">
        <v>7104</v>
      </c>
      <c r="D70" s="36">
        <v>40</v>
      </c>
      <c r="E70" s="36" t="s">
        <v>6947</v>
      </c>
      <c r="F70" s="34" t="s">
        <v>4531</v>
      </c>
      <c r="G70" s="34" t="s">
        <v>6949</v>
      </c>
      <c r="H70" s="34" t="s">
        <v>6949</v>
      </c>
      <c r="I70" s="34" t="s">
        <v>5493</v>
      </c>
      <c r="J70" s="34" t="s">
        <v>7105</v>
      </c>
      <c r="K70" s="36">
        <v>1</v>
      </c>
      <c r="L70" s="44">
        <v>0</v>
      </c>
      <c r="M70">
        <v>3</v>
      </c>
      <c r="N70" s="38">
        <v>100</v>
      </c>
      <c r="O70" s="38">
        <f t="shared" si="2"/>
        <v>100</v>
      </c>
      <c r="P70" s="30">
        <v>30</v>
      </c>
    </row>
    <row r="71" spans="1:16">
      <c r="A71" s="30" t="s">
        <v>7049</v>
      </c>
      <c r="B71" s="34" t="s">
        <v>7022</v>
      </c>
      <c r="C71" s="35" t="s">
        <v>7106</v>
      </c>
      <c r="D71" s="36">
        <v>45</v>
      </c>
      <c r="E71" s="36" t="s">
        <v>6947</v>
      </c>
      <c r="F71" s="34" t="s">
        <v>4531</v>
      </c>
      <c r="G71" s="34" t="s">
        <v>6949</v>
      </c>
      <c r="H71" s="34" t="s">
        <v>6949</v>
      </c>
      <c r="I71" s="34" t="s">
        <v>5493</v>
      </c>
      <c r="J71" s="34" t="s">
        <v>7107</v>
      </c>
      <c r="K71" s="36">
        <v>1</v>
      </c>
      <c r="L71" s="44">
        <v>0</v>
      </c>
      <c r="M71">
        <v>4</v>
      </c>
      <c r="N71" s="38">
        <v>250</v>
      </c>
      <c r="O71" s="38">
        <f t="shared" si="2"/>
        <v>250</v>
      </c>
      <c r="P71" s="30">
        <v>45</v>
      </c>
    </row>
    <row r="72" spans="1:16">
      <c r="A72" s="30" t="s">
        <v>7049</v>
      </c>
      <c r="B72" s="34" t="s">
        <v>7022</v>
      </c>
      <c r="C72" s="35" t="s">
        <v>7108</v>
      </c>
      <c r="D72" s="36">
        <v>50</v>
      </c>
      <c r="E72" s="36" t="s">
        <v>6947</v>
      </c>
      <c r="F72" s="34" t="s">
        <v>4531</v>
      </c>
      <c r="G72" s="34" t="s">
        <v>6949</v>
      </c>
      <c r="H72" s="34" t="s">
        <v>6949</v>
      </c>
      <c r="I72" s="34" t="s">
        <v>5493</v>
      </c>
      <c r="J72" s="34" t="s">
        <v>7109</v>
      </c>
      <c r="K72" s="36">
        <v>1</v>
      </c>
      <c r="L72" s="44">
        <v>0</v>
      </c>
      <c r="M72">
        <v>5</v>
      </c>
      <c r="N72" s="38">
        <v>750</v>
      </c>
      <c r="O72" s="38">
        <f t="shared" si="2"/>
        <v>750</v>
      </c>
      <c r="P72" s="30">
        <v>75</v>
      </c>
    </row>
    <row r="73" spans="1:16">
      <c r="A73" s="30" t="s">
        <v>7049</v>
      </c>
      <c r="B73" s="34" t="s">
        <v>7022</v>
      </c>
      <c r="C73" s="35" t="s">
        <v>7110</v>
      </c>
      <c r="D73" s="36">
        <v>35</v>
      </c>
      <c r="E73" s="36" t="s">
        <v>6947</v>
      </c>
      <c r="F73" s="34" t="s">
        <v>4531</v>
      </c>
      <c r="G73" s="34" t="s">
        <v>6949</v>
      </c>
      <c r="H73" s="34" t="s">
        <v>6949</v>
      </c>
      <c r="I73" s="34" t="s">
        <v>5493</v>
      </c>
      <c r="J73" s="34" t="s">
        <v>7111</v>
      </c>
      <c r="K73" s="36">
        <v>1</v>
      </c>
      <c r="L73" s="44">
        <v>0</v>
      </c>
      <c r="M73">
        <v>2</v>
      </c>
      <c r="N73" s="38">
        <v>12.5</v>
      </c>
      <c r="O73" s="38">
        <f t="shared" si="2"/>
        <v>12.5</v>
      </c>
      <c r="P73" s="30">
        <v>24</v>
      </c>
    </row>
    <row r="74" spans="1:16">
      <c r="A74" s="30" t="s">
        <v>7049</v>
      </c>
      <c r="B74" s="34" t="s">
        <v>7022</v>
      </c>
      <c r="C74" s="35" t="s">
        <v>7112</v>
      </c>
      <c r="D74" s="36">
        <v>45</v>
      </c>
      <c r="E74" s="36" t="s">
        <v>6947</v>
      </c>
      <c r="F74" s="34" t="s">
        <v>4531</v>
      </c>
      <c r="G74" s="34" t="s">
        <v>6949</v>
      </c>
      <c r="H74" s="34" t="s">
        <v>6949</v>
      </c>
      <c r="I74" s="34" t="s">
        <v>5493</v>
      </c>
      <c r="J74" s="34" t="s">
        <v>7113</v>
      </c>
      <c r="K74" s="36">
        <v>1</v>
      </c>
      <c r="L74" s="44">
        <v>0</v>
      </c>
      <c r="M74">
        <v>3</v>
      </c>
      <c r="N74" s="38">
        <v>50</v>
      </c>
      <c r="O74" s="38">
        <f t="shared" si="2"/>
        <v>50</v>
      </c>
      <c r="P74" s="30">
        <v>36</v>
      </c>
    </row>
    <row r="75" spans="1:16">
      <c r="A75" s="30" t="s">
        <v>7049</v>
      </c>
      <c r="B75" s="34" t="s">
        <v>7022</v>
      </c>
      <c r="C75" s="35" t="s">
        <v>7114</v>
      </c>
      <c r="D75" s="36">
        <v>55</v>
      </c>
      <c r="E75" s="36" t="s">
        <v>6947</v>
      </c>
      <c r="F75" s="34" t="s">
        <v>4531</v>
      </c>
      <c r="G75" s="34" t="s">
        <v>6949</v>
      </c>
      <c r="H75" s="34" t="s">
        <v>6949</v>
      </c>
      <c r="I75" s="34" t="s">
        <v>5493</v>
      </c>
      <c r="J75" s="34" t="s">
        <v>7115</v>
      </c>
      <c r="K75" s="36">
        <v>1</v>
      </c>
      <c r="L75" s="44">
        <v>0</v>
      </c>
      <c r="M75">
        <v>4</v>
      </c>
      <c r="N75" s="38">
        <v>200</v>
      </c>
      <c r="O75" s="38">
        <f t="shared" si="2"/>
        <v>200</v>
      </c>
      <c r="P75" s="30">
        <v>60</v>
      </c>
    </row>
    <row r="76" spans="1:16">
      <c r="A76" s="30" t="s">
        <v>7049</v>
      </c>
      <c r="B76" s="34" t="s">
        <v>7022</v>
      </c>
      <c r="C76" s="35" t="s">
        <v>7116</v>
      </c>
      <c r="D76" s="36">
        <v>40</v>
      </c>
      <c r="E76" s="36" t="s">
        <v>6947</v>
      </c>
      <c r="F76" s="34" t="s">
        <v>4531</v>
      </c>
      <c r="G76" s="34" t="s">
        <v>6949</v>
      </c>
      <c r="H76" s="34" t="s">
        <v>6949</v>
      </c>
      <c r="I76" s="34" t="s">
        <v>5493</v>
      </c>
      <c r="J76" s="34" t="s">
        <v>7117</v>
      </c>
      <c r="K76" s="36">
        <v>1</v>
      </c>
      <c r="L76" s="44">
        <v>0</v>
      </c>
      <c r="M76">
        <v>3</v>
      </c>
      <c r="N76" s="38">
        <v>50</v>
      </c>
      <c r="O76" s="38">
        <f t="shared" si="2"/>
        <v>50</v>
      </c>
      <c r="P76" s="30">
        <v>24</v>
      </c>
    </row>
    <row r="77" spans="1:16">
      <c r="A77" s="30" t="s">
        <v>7049</v>
      </c>
      <c r="B77" s="34" t="s">
        <v>7022</v>
      </c>
      <c r="C77" s="35" t="s">
        <v>7118</v>
      </c>
      <c r="D77" s="36">
        <v>50</v>
      </c>
      <c r="E77" s="36" t="s">
        <v>6947</v>
      </c>
      <c r="F77" s="34" t="s">
        <v>4531</v>
      </c>
      <c r="G77" s="34" t="s">
        <v>6949</v>
      </c>
      <c r="H77" s="34" t="s">
        <v>6949</v>
      </c>
      <c r="I77" s="34" t="s">
        <v>5493</v>
      </c>
      <c r="J77" s="34" t="s">
        <v>7119</v>
      </c>
      <c r="K77" s="36">
        <v>1</v>
      </c>
      <c r="L77" s="44">
        <v>0</v>
      </c>
      <c r="M77">
        <v>4</v>
      </c>
      <c r="N77" s="38">
        <v>150</v>
      </c>
      <c r="O77" s="38">
        <f t="shared" si="2"/>
        <v>150</v>
      </c>
      <c r="P77" s="30">
        <v>36</v>
      </c>
    </row>
    <row r="78" spans="1:16">
      <c r="A78" s="30" t="s">
        <v>7049</v>
      </c>
      <c r="B78" s="34" t="s">
        <v>7022</v>
      </c>
      <c r="C78" s="35" t="s">
        <v>7120</v>
      </c>
      <c r="D78" s="36">
        <v>60</v>
      </c>
      <c r="E78" s="36" t="s">
        <v>6947</v>
      </c>
      <c r="F78" s="34" t="s">
        <v>4531</v>
      </c>
      <c r="G78" s="34" t="s">
        <v>6949</v>
      </c>
      <c r="H78" s="34" t="s">
        <v>6949</v>
      </c>
      <c r="I78" s="34" t="s">
        <v>5493</v>
      </c>
      <c r="J78" s="34" t="s">
        <v>7121</v>
      </c>
      <c r="K78" s="36">
        <v>1</v>
      </c>
      <c r="L78" s="44">
        <v>0</v>
      </c>
      <c r="M78">
        <v>5</v>
      </c>
      <c r="N78" s="38">
        <v>500</v>
      </c>
      <c r="O78" s="38">
        <f t="shared" si="2"/>
        <v>500</v>
      </c>
      <c r="P78" s="30">
        <v>60</v>
      </c>
    </row>
    <row r="79" spans="1:16">
      <c r="A79" s="30" t="s">
        <v>7122</v>
      </c>
      <c r="B79" s="34" t="s">
        <v>7022</v>
      </c>
      <c r="C79" s="35" t="s">
        <v>7123</v>
      </c>
      <c r="D79" s="36">
        <v>55</v>
      </c>
      <c r="E79" s="36" t="s">
        <v>6947</v>
      </c>
      <c r="F79" s="34" t="s">
        <v>4531</v>
      </c>
      <c r="G79" s="34" t="s">
        <v>6949</v>
      </c>
      <c r="H79" s="34" t="s">
        <v>6949</v>
      </c>
      <c r="I79" s="34" t="s">
        <v>6966</v>
      </c>
      <c r="J79" s="34" t="s">
        <v>7124</v>
      </c>
      <c r="K79" s="36">
        <v>3</v>
      </c>
      <c r="L79" s="44">
        <v>0</v>
      </c>
      <c r="M79">
        <v>5</v>
      </c>
      <c r="N79" s="38">
        <v>83.35</v>
      </c>
      <c r="O79" s="38">
        <f t="shared" si="2"/>
        <v>250.04999999999998</v>
      </c>
      <c r="P79" s="30">
        <v>36</v>
      </c>
    </row>
    <row r="80" spans="1:16">
      <c r="A80" s="30" t="s">
        <v>7122</v>
      </c>
      <c r="B80" s="34" t="s">
        <v>7022</v>
      </c>
      <c r="C80" s="35" t="s">
        <v>7125</v>
      </c>
      <c r="D80" s="36">
        <v>65</v>
      </c>
      <c r="E80" s="36" t="s">
        <v>6947</v>
      </c>
      <c r="F80" s="34" t="s">
        <v>4531</v>
      </c>
      <c r="G80" s="34" t="s">
        <v>6949</v>
      </c>
      <c r="H80" s="34" t="s">
        <v>6949</v>
      </c>
      <c r="I80" s="34" t="s">
        <v>6966</v>
      </c>
      <c r="J80" s="34" t="s">
        <v>7126</v>
      </c>
      <c r="K80" s="36">
        <v>4</v>
      </c>
      <c r="L80" s="44">
        <v>0</v>
      </c>
      <c r="M80">
        <v>6</v>
      </c>
      <c r="N80" s="38">
        <v>175</v>
      </c>
      <c r="O80" s="38">
        <f t="shared" si="2"/>
        <v>700</v>
      </c>
      <c r="P80" s="30">
        <v>54</v>
      </c>
    </row>
    <row r="81" spans="1:16">
      <c r="A81" s="30" t="s">
        <v>7122</v>
      </c>
      <c r="B81" s="34" t="s">
        <v>7022</v>
      </c>
      <c r="C81" s="35" t="s">
        <v>7127</v>
      </c>
      <c r="D81" s="36">
        <v>75</v>
      </c>
      <c r="E81" s="36" t="s">
        <v>6947</v>
      </c>
      <c r="F81" s="34" t="s">
        <v>4531</v>
      </c>
      <c r="G81" s="34" t="s">
        <v>6949</v>
      </c>
      <c r="H81" s="34" t="s">
        <v>6949</v>
      </c>
      <c r="I81" s="34" t="s">
        <v>6966</v>
      </c>
      <c r="J81" s="34" t="s">
        <v>7128</v>
      </c>
      <c r="K81" s="36">
        <v>4</v>
      </c>
      <c r="L81" s="44">
        <v>0</v>
      </c>
      <c r="M81">
        <v>7</v>
      </c>
      <c r="N81" s="38">
        <v>500</v>
      </c>
      <c r="O81" s="38">
        <f t="shared" si="2"/>
        <v>2000</v>
      </c>
      <c r="P81" s="39">
        <v>90</v>
      </c>
    </row>
    <row r="82" spans="1:16">
      <c r="A82" s="30" t="s">
        <v>7122</v>
      </c>
      <c r="B82" s="34" t="s">
        <v>7022</v>
      </c>
      <c r="C82" s="35" t="s">
        <v>7129</v>
      </c>
      <c r="D82" s="36">
        <v>45</v>
      </c>
      <c r="E82" s="36" t="s">
        <v>6947</v>
      </c>
      <c r="F82" s="34" t="s">
        <v>4531</v>
      </c>
      <c r="G82" s="34" t="s">
        <v>6949</v>
      </c>
      <c r="H82" s="34" t="s">
        <v>6949</v>
      </c>
      <c r="I82" s="34" t="s">
        <v>6966</v>
      </c>
      <c r="J82" s="34" t="s">
        <v>7130</v>
      </c>
      <c r="K82" s="36">
        <v>2</v>
      </c>
      <c r="L82" s="44">
        <v>0</v>
      </c>
      <c r="M82">
        <v>3</v>
      </c>
      <c r="N82" s="38">
        <v>50</v>
      </c>
      <c r="O82" s="38">
        <f t="shared" si="2"/>
        <v>100</v>
      </c>
      <c r="P82" s="30">
        <v>30</v>
      </c>
    </row>
    <row r="83" spans="1:16">
      <c r="A83" s="30" t="s">
        <v>7122</v>
      </c>
      <c r="B83" s="34" t="s">
        <v>7022</v>
      </c>
      <c r="C83" s="35" t="s">
        <v>7131</v>
      </c>
      <c r="D83" s="36">
        <v>55</v>
      </c>
      <c r="E83" s="36" t="s">
        <v>6947</v>
      </c>
      <c r="F83" s="34" t="s">
        <v>4531</v>
      </c>
      <c r="G83" s="34" t="s">
        <v>6949</v>
      </c>
      <c r="H83" s="34" t="s">
        <v>6949</v>
      </c>
      <c r="I83" s="34" t="s">
        <v>6966</v>
      </c>
      <c r="J83" s="34" t="s">
        <v>7132</v>
      </c>
      <c r="K83" s="36">
        <v>2</v>
      </c>
      <c r="L83" s="44">
        <v>0</v>
      </c>
      <c r="M83">
        <v>4</v>
      </c>
      <c r="N83" s="38">
        <v>125</v>
      </c>
      <c r="O83" s="38">
        <f t="shared" si="2"/>
        <v>250</v>
      </c>
      <c r="P83" s="30">
        <v>45</v>
      </c>
    </row>
    <row r="84" spans="1:16">
      <c r="A84" s="30" t="s">
        <v>7122</v>
      </c>
      <c r="B84" s="34" t="s">
        <v>7022</v>
      </c>
      <c r="C84" s="35" t="s">
        <v>7133</v>
      </c>
      <c r="D84" s="36">
        <v>65</v>
      </c>
      <c r="E84" s="36" t="s">
        <v>6947</v>
      </c>
      <c r="F84" s="34" t="s">
        <v>4531</v>
      </c>
      <c r="G84" s="34" t="s">
        <v>6949</v>
      </c>
      <c r="H84" s="34" t="s">
        <v>6949</v>
      </c>
      <c r="I84" s="34" t="s">
        <v>6966</v>
      </c>
      <c r="J84" s="34" t="s">
        <v>7134</v>
      </c>
      <c r="K84" s="36">
        <v>2</v>
      </c>
      <c r="L84" s="44">
        <v>0</v>
      </c>
      <c r="M84">
        <v>5</v>
      </c>
      <c r="N84" s="38">
        <v>300</v>
      </c>
      <c r="O84" s="38">
        <f t="shared" si="2"/>
        <v>600</v>
      </c>
      <c r="P84" s="30">
        <v>75</v>
      </c>
    </row>
    <row r="85" spans="1:16">
      <c r="A85" s="30" t="s">
        <v>7122</v>
      </c>
      <c r="B85" s="34" t="s">
        <v>7022</v>
      </c>
      <c r="C85" s="35" t="s">
        <v>7135</v>
      </c>
      <c r="D85" s="36">
        <v>65</v>
      </c>
      <c r="E85" s="36" t="s">
        <v>6947</v>
      </c>
      <c r="F85" s="34" t="s">
        <v>4531</v>
      </c>
      <c r="G85" s="34" t="s">
        <v>7068</v>
      </c>
      <c r="H85" s="34" t="s">
        <v>7136</v>
      </c>
      <c r="I85" s="34" t="s">
        <v>6966</v>
      </c>
      <c r="J85" s="34" t="s">
        <v>7137</v>
      </c>
      <c r="K85" s="36">
        <v>2</v>
      </c>
      <c r="L85" s="44">
        <v>0</v>
      </c>
      <c r="M85">
        <v>7</v>
      </c>
      <c r="N85" s="37">
        <v>5000</v>
      </c>
      <c r="O85" s="38">
        <f t="shared" si="2"/>
        <v>10000</v>
      </c>
      <c r="P85" s="30">
        <v>60</v>
      </c>
    </row>
    <row r="86" spans="1:16">
      <c r="A86" s="30" t="s">
        <v>7122</v>
      </c>
      <c r="B86" s="34" t="s">
        <v>7022</v>
      </c>
      <c r="C86" s="35" t="s">
        <v>7138</v>
      </c>
      <c r="D86" s="36">
        <v>45</v>
      </c>
      <c r="E86" s="36" t="s">
        <v>6947</v>
      </c>
      <c r="F86" s="34" t="s">
        <v>4531</v>
      </c>
      <c r="G86" s="34" t="s">
        <v>7068</v>
      </c>
      <c r="H86" s="34" t="s">
        <v>7136</v>
      </c>
      <c r="I86" s="34" t="s">
        <v>6966</v>
      </c>
      <c r="J86" s="34" t="s">
        <v>7139</v>
      </c>
      <c r="K86" s="36">
        <v>2</v>
      </c>
      <c r="L86" s="44">
        <v>0</v>
      </c>
      <c r="M86">
        <v>3</v>
      </c>
      <c r="N86" s="38">
        <v>100</v>
      </c>
      <c r="O86" s="38">
        <f t="shared" si="2"/>
        <v>200</v>
      </c>
      <c r="P86" s="30">
        <v>18</v>
      </c>
    </row>
    <row r="87" spans="1:16">
      <c r="A87" s="30" t="s">
        <v>7122</v>
      </c>
      <c r="B87" s="34" t="s">
        <v>7022</v>
      </c>
      <c r="C87" s="35" t="s">
        <v>7140</v>
      </c>
      <c r="D87" s="36">
        <v>55</v>
      </c>
      <c r="E87" s="36" t="s">
        <v>6947</v>
      </c>
      <c r="F87" s="34" t="s">
        <v>4531</v>
      </c>
      <c r="G87" s="34" t="s">
        <v>7068</v>
      </c>
      <c r="H87" s="34" t="s">
        <v>7136</v>
      </c>
      <c r="I87" s="34" t="s">
        <v>6966</v>
      </c>
      <c r="J87" s="34" t="s">
        <v>7141</v>
      </c>
      <c r="K87" s="36">
        <v>2</v>
      </c>
      <c r="L87" s="44">
        <v>0</v>
      </c>
      <c r="M87">
        <v>4</v>
      </c>
      <c r="N87" s="38">
        <v>350</v>
      </c>
      <c r="O87" s="38">
        <f t="shared" si="2"/>
        <v>700</v>
      </c>
      <c r="P87" s="30">
        <v>30</v>
      </c>
    </row>
    <row r="88" spans="1:16">
      <c r="A88" s="30" t="s">
        <v>7122</v>
      </c>
      <c r="B88" s="34" t="s">
        <v>7022</v>
      </c>
      <c r="C88" s="35" t="s">
        <v>7142</v>
      </c>
      <c r="D88" s="36">
        <v>45</v>
      </c>
      <c r="E88" s="36" t="s">
        <v>6947</v>
      </c>
      <c r="F88" s="34" t="s">
        <v>4531</v>
      </c>
      <c r="G88" s="34" t="s">
        <v>6949</v>
      </c>
      <c r="H88" s="34" t="s">
        <v>6949</v>
      </c>
      <c r="I88" s="34" t="s">
        <v>6966</v>
      </c>
      <c r="J88" s="41" t="s">
        <v>7143</v>
      </c>
      <c r="K88" s="36">
        <v>2</v>
      </c>
      <c r="L88" s="44">
        <v>0</v>
      </c>
      <c r="M88">
        <v>4</v>
      </c>
      <c r="N88" s="38">
        <v>33</v>
      </c>
      <c r="O88" s="38">
        <f t="shared" si="2"/>
        <v>66</v>
      </c>
      <c r="P88" s="30">
        <v>30</v>
      </c>
    </row>
    <row r="89" spans="1:16">
      <c r="A89" s="30" t="s">
        <v>7122</v>
      </c>
      <c r="B89" s="34" t="s">
        <v>7022</v>
      </c>
      <c r="C89" s="35" t="s">
        <v>7144</v>
      </c>
      <c r="D89" s="36">
        <v>55</v>
      </c>
      <c r="E89" s="36" t="s">
        <v>6947</v>
      </c>
      <c r="F89" s="34" t="s">
        <v>4531</v>
      </c>
      <c r="G89" s="34" t="s">
        <v>6949</v>
      </c>
      <c r="H89" s="34" t="s">
        <v>6949</v>
      </c>
      <c r="I89" s="34" t="s">
        <v>6966</v>
      </c>
      <c r="J89" s="41" t="s">
        <v>7145</v>
      </c>
      <c r="K89" s="36">
        <v>2</v>
      </c>
      <c r="L89" s="44">
        <v>0</v>
      </c>
      <c r="M89">
        <v>5</v>
      </c>
      <c r="N89" s="38">
        <v>75</v>
      </c>
      <c r="O89" s="38">
        <f t="shared" si="2"/>
        <v>150</v>
      </c>
      <c r="P89" s="30">
        <v>45</v>
      </c>
    </row>
    <row r="90" spans="1:16">
      <c r="A90" s="30" t="s">
        <v>7122</v>
      </c>
      <c r="B90" s="34" t="s">
        <v>7022</v>
      </c>
      <c r="C90" s="35" t="s">
        <v>7146</v>
      </c>
      <c r="D90" s="36">
        <v>65</v>
      </c>
      <c r="E90" s="36" t="s">
        <v>6947</v>
      </c>
      <c r="F90" s="34" t="s">
        <v>4531</v>
      </c>
      <c r="G90" s="34" t="s">
        <v>6949</v>
      </c>
      <c r="H90" s="34" t="s">
        <v>6949</v>
      </c>
      <c r="I90" s="34" t="s">
        <v>6966</v>
      </c>
      <c r="J90" s="41" t="s">
        <v>7147</v>
      </c>
      <c r="K90" s="36">
        <v>3</v>
      </c>
      <c r="L90" s="44">
        <v>0</v>
      </c>
      <c r="M90">
        <v>7</v>
      </c>
      <c r="N90" s="38">
        <v>200</v>
      </c>
      <c r="O90" s="38">
        <f t="shared" si="2"/>
        <v>600</v>
      </c>
      <c r="P90" s="30">
        <v>75</v>
      </c>
    </row>
    <row r="91" spans="1:16">
      <c r="A91" s="30" t="s">
        <v>7122</v>
      </c>
      <c r="B91" s="34" t="s">
        <v>7022</v>
      </c>
      <c r="C91" s="35" t="s">
        <v>7148</v>
      </c>
      <c r="D91" s="36">
        <v>45</v>
      </c>
      <c r="E91" s="36" t="s">
        <v>6947</v>
      </c>
      <c r="F91" s="34" t="s">
        <v>4531</v>
      </c>
      <c r="G91" s="34" t="s">
        <v>6949</v>
      </c>
      <c r="H91" s="34" t="s">
        <v>6949</v>
      </c>
      <c r="I91" s="34" t="s">
        <v>6966</v>
      </c>
      <c r="J91" s="34" t="s">
        <v>7149</v>
      </c>
      <c r="K91" s="36">
        <v>2</v>
      </c>
      <c r="L91" s="44">
        <v>0</v>
      </c>
      <c r="M91">
        <v>4</v>
      </c>
      <c r="N91" s="38">
        <v>32.5</v>
      </c>
      <c r="O91" s="38">
        <f t="shared" si="2"/>
        <v>65</v>
      </c>
      <c r="P91" s="30">
        <v>30</v>
      </c>
    </row>
    <row r="92" spans="1:16">
      <c r="A92" s="30" t="s">
        <v>7122</v>
      </c>
      <c r="B92" s="34" t="s">
        <v>7022</v>
      </c>
      <c r="C92" s="35" t="s">
        <v>7150</v>
      </c>
      <c r="D92" s="36">
        <v>55</v>
      </c>
      <c r="E92" s="36" t="s">
        <v>6947</v>
      </c>
      <c r="F92" s="34" t="s">
        <v>4531</v>
      </c>
      <c r="G92" s="34" t="s">
        <v>6949</v>
      </c>
      <c r="H92" s="34" t="s">
        <v>6949</v>
      </c>
      <c r="I92" s="34" t="s">
        <v>6966</v>
      </c>
      <c r="J92" s="34" t="s">
        <v>7151</v>
      </c>
      <c r="K92" s="36">
        <v>2</v>
      </c>
      <c r="L92" s="44">
        <v>0</v>
      </c>
      <c r="M92">
        <v>5</v>
      </c>
      <c r="N92" s="38">
        <v>75</v>
      </c>
      <c r="O92" s="38">
        <f t="shared" si="2"/>
        <v>150</v>
      </c>
      <c r="P92" s="30">
        <v>45</v>
      </c>
    </row>
    <row r="93" spans="1:16">
      <c r="A93" s="30" t="s">
        <v>7122</v>
      </c>
      <c r="B93" s="34" t="s">
        <v>7022</v>
      </c>
      <c r="C93" s="35" t="s">
        <v>7152</v>
      </c>
      <c r="D93" s="36">
        <v>65</v>
      </c>
      <c r="E93" s="36" t="s">
        <v>6947</v>
      </c>
      <c r="F93" s="34" t="s">
        <v>4531</v>
      </c>
      <c r="G93" s="34" t="s">
        <v>6949</v>
      </c>
      <c r="H93" s="34" t="s">
        <v>6949</v>
      </c>
      <c r="I93" s="34" t="s">
        <v>6966</v>
      </c>
      <c r="J93" s="34" t="s">
        <v>7153</v>
      </c>
      <c r="K93" s="36">
        <v>3</v>
      </c>
      <c r="L93" s="44">
        <v>0</v>
      </c>
      <c r="M93">
        <v>7</v>
      </c>
      <c r="N93" s="38">
        <v>200</v>
      </c>
      <c r="O93" s="38">
        <f t="shared" si="2"/>
        <v>600</v>
      </c>
      <c r="P93" s="30">
        <v>75</v>
      </c>
    </row>
    <row r="94" spans="1:16">
      <c r="A94" s="30" t="s">
        <v>7122</v>
      </c>
      <c r="B94" s="34" t="s">
        <v>7022</v>
      </c>
      <c r="C94" s="35" t="s">
        <v>7154</v>
      </c>
      <c r="D94" s="36">
        <v>65</v>
      </c>
      <c r="E94" s="36" t="s">
        <v>6947</v>
      </c>
      <c r="F94" s="34" t="s">
        <v>4531</v>
      </c>
      <c r="G94" s="34" t="s">
        <v>6949</v>
      </c>
      <c r="H94" s="34" t="s">
        <v>6949</v>
      </c>
      <c r="I94" s="34" t="s">
        <v>6966</v>
      </c>
      <c r="J94" s="43" t="s">
        <v>7155</v>
      </c>
      <c r="K94" s="36">
        <v>3</v>
      </c>
      <c r="L94" s="44">
        <v>0</v>
      </c>
      <c r="M94">
        <v>7</v>
      </c>
      <c r="N94" s="38">
        <v>259</v>
      </c>
      <c r="O94" s="38">
        <f t="shared" si="2"/>
        <v>777</v>
      </c>
      <c r="P94" s="30">
        <v>75</v>
      </c>
    </row>
    <row r="95" spans="1:16">
      <c r="A95" s="30" t="s">
        <v>7122</v>
      </c>
      <c r="B95" s="34" t="s">
        <v>7022</v>
      </c>
      <c r="C95" s="35" t="s">
        <v>7156</v>
      </c>
      <c r="D95" s="36">
        <v>45</v>
      </c>
      <c r="E95" s="36" t="s">
        <v>6947</v>
      </c>
      <c r="F95" s="34" t="s">
        <v>4531</v>
      </c>
      <c r="G95" s="34" t="s">
        <v>6949</v>
      </c>
      <c r="H95" s="34" t="s">
        <v>6949</v>
      </c>
      <c r="I95" s="34" t="s">
        <v>6966</v>
      </c>
      <c r="J95" s="34" t="s">
        <v>7157</v>
      </c>
      <c r="K95" s="36">
        <v>2</v>
      </c>
      <c r="L95" s="44">
        <v>0</v>
      </c>
      <c r="M95">
        <v>4</v>
      </c>
      <c r="N95" s="38">
        <v>37.5</v>
      </c>
      <c r="O95" s="38">
        <f t="shared" si="2"/>
        <v>75</v>
      </c>
      <c r="P95" s="30">
        <v>30</v>
      </c>
    </row>
    <row r="96" spans="1:16">
      <c r="A96" s="30" t="s">
        <v>7122</v>
      </c>
      <c r="B96" s="34" t="s">
        <v>7022</v>
      </c>
      <c r="C96" s="35" t="s">
        <v>7158</v>
      </c>
      <c r="D96" s="36">
        <v>55</v>
      </c>
      <c r="E96" s="36" t="s">
        <v>6947</v>
      </c>
      <c r="F96" s="34" t="s">
        <v>4531</v>
      </c>
      <c r="G96" s="34" t="s">
        <v>6949</v>
      </c>
      <c r="H96" s="34" t="s">
        <v>6949</v>
      </c>
      <c r="I96" s="34" t="s">
        <v>6966</v>
      </c>
      <c r="J96" s="34" t="s">
        <v>7159</v>
      </c>
      <c r="K96" s="36">
        <v>2</v>
      </c>
      <c r="L96" s="44">
        <v>0</v>
      </c>
      <c r="M96">
        <v>5</v>
      </c>
      <c r="N96" s="38">
        <v>90</v>
      </c>
      <c r="O96" s="38">
        <f t="shared" si="2"/>
        <v>180</v>
      </c>
      <c r="P96" s="30">
        <v>45</v>
      </c>
    </row>
    <row r="97" spans="1:16">
      <c r="A97" s="30" t="s">
        <v>7122</v>
      </c>
      <c r="B97" s="34" t="s">
        <v>6945</v>
      </c>
      <c r="C97" s="35" t="s">
        <v>7160</v>
      </c>
      <c r="D97" s="36">
        <v>45</v>
      </c>
      <c r="E97" s="36" t="s">
        <v>6947</v>
      </c>
      <c r="F97" s="34" t="s">
        <v>4531</v>
      </c>
      <c r="G97" s="34" t="s">
        <v>7161</v>
      </c>
      <c r="H97" s="34" t="s">
        <v>7006</v>
      </c>
      <c r="I97" s="34" t="s">
        <v>6966</v>
      </c>
      <c r="J97" s="34" t="s">
        <v>7162</v>
      </c>
      <c r="K97" s="36">
        <v>2</v>
      </c>
      <c r="L97" s="44">
        <v>0</v>
      </c>
      <c r="M97">
        <v>4</v>
      </c>
      <c r="N97" s="38">
        <v>31</v>
      </c>
      <c r="O97" s="38">
        <f t="shared" si="2"/>
        <v>62</v>
      </c>
      <c r="P97" s="30">
        <v>10</v>
      </c>
    </row>
    <row r="98" spans="1:16">
      <c r="A98" s="30" t="s">
        <v>7122</v>
      </c>
      <c r="B98" s="34" t="s">
        <v>6945</v>
      </c>
      <c r="C98" s="35" t="s">
        <v>7163</v>
      </c>
      <c r="D98" s="36">
        <v>55</v>
      </c>
      <c r="E98" s="36" t="s">
        <v>6947</v>
      </c>
      <c r="F98" s="34" t="s">
        <v>4531</v>
      </c>
      <c r="G98" s="34" t="s">
        <v>7161</v>
      </c>
      <c r="H98" s="34" t="s">
        <v>7006</v>
      </c>
      <c r="I98" s="34" t="s">
        <v>6966</v>
      </c>
      <c r="J98" s="34" t="s">
        <v>7164</v>
      </c>
      <c r="K98" s="36">
        <v>2</v>
      </c>
      <c r="L98" s="44">
        <v>0</v>
      </c>
      <c r="M98">
        <v>5</v>
      </c>
      <c r="N98" s="38">
        <v>75</v>
      </c>
      <c r="O98" s="38">
        <f t="shared" ref="O98:O129" si="3">N98*(K98+L98)</f>
        <v>150</v>
      </c>
      <c r="P98" s="30">
        <v>15</v>
      </c>
    </row>
    <row r="99" spans="1:16">
      <c r="A99" s="30" t="s">
        <v>7122</v>
      </c>
      <c r="B99" s="34" t="s">
        <v>6945</v>
      </c>
      <c r="C99" s="35" t="s">
        <v>7165</v>
      </c>
      <c r="D99" s="36">
        <v>65</v>
      </c>
      <c r="E99" s="36" t="s">
        <v>6947</v>
      </c>
      <c r="F99" s="34" t="s">
        <v>4531</v>
      </c>
      <c r="G99" s="34" t="s">
        <v>7161</v>
      </c>
      <c r="H99" s="34" t="s">
        <v>7006</v>
      </c>
      <c r="I99" s="34" t="s">
        <v>6966</v>
      </c>
      <c r="J99" s="34" t="s">
        <v>7166</v>
      </c>
      <c r="K99" s="36">
        <v>2</v>
      </c>
      <c r="L99" s="44">
        <v>0</v>
      </c>
      <c r="M99">
        <v>6</v>
      </c>
      <c r="N99" s="38">
        <v>250</v>
      </c>
      <c r="O99" s="38">
        <f t="shared" si="3"/>
        <v>500</v>
      </c>
      <c r="P99" s="30">
        <v>25</v>
      </c>
    </row>
    <row r="100" spans="1:16">
      <c r="A100" s="30" t="s">
        <v>7122</v>
      </c>
      <c r="B100" s="34" t="s">
        <v>7022</v>
      </c>
      <c r="C100" s="35" t="s">
        <v>7167</v>
      </c>
      <c r="D100" s="36">
        <v>35</v>
      </c>
      <c r="E100" s="36" t="s">
        <v>6947</v>
      </c>
      <c r="F100" s="34" t="s">
        <v>4531</v>
      </c>
      <c r="G100" s="34" t="s">
        <v>7068</v>
      </c>
      <c r="H100" s="34" t="s">
        <v>7136</v>
      </c>
      <c r="I100" s="34" t="s">
        <v>6966</v>
      </c>
      <c r="J100" s="34" t="s">
        <v>7168</v>
      </c>
      <c r="K100" s="36">
        <v>2</v>
      </c>
      <c r="L100" s="44">
        <v>0</v>
      </c>
      <c r="M100">
        <v>2</v>
      </c>
      <c r="N100" s="38">
        <v>25</v>
      </c>
      <c r="O100" s="38">
        <f t="shared" si="3"/>
        <v>50</v>
      </c>
      <c r="P100" s="30">
        <v>12</v>
      </c>
    </row>
    <row r="101" spans="1:16">
      <c r="A101" s="30" t="s">
        <v>5665</v>
      </c>
      <c r="B101" s="34" t="s">
        <v>7022</v>
      </c>
      <c r="C101" s="35" t="s">
        <v>7169</v>
      </c>
      <c r="D101" s="36">
        <v>65</v>
      </c>
      <c r="E101" s="36" t="s">
        <v>6947</v>
      </c>
      <c r="F101" s="34" t="s">
        <v>7170</v>
      </c>
      <c r="G101" s="34" t="s">
        <v>6949</v>
      </c>
      <c r="H101" s="34" t="s">
        <v>6949</v>
      </c>
      <c r="I101" s="34" t="s">
        <v>7171</v>
      </c>
      <c r="J101" s="34" t="s">
        <v>7172</v>
      </c>
      <c r="K101" s="36">
        <v>2</v>
      </c>
      <c r="L101" s="44">
        <v>0</v>
      </c>
      <c r="M101">
        <v>7</v>
      </c>
      <c r="N101" s="38">
        <v>80</v>
      </c>
      <c r="O101" s="38">
        <f t="shared" si="3"/>
        <v>160</v>
      </c>
      <c r="P101" s="30">
        <v>36</v>
      </c>
    </row>
    <row r="102" spans="1:16">
      <c r="A102" s="30" t="s">
        <v>5665</v>
      </c>
      <c r="B102" s="34" t="s">
        <v>6945</v>
      </c>
      <c r="C102" s="35" t="s">
        <v>7173</v>
      </c>
      <c r="D102" s="36">
        <v>30</v>
      </c>
      <c r="E102" s="36" t="s">
        <v>6947</v>
      </c>
      <c r="F102" s="34" t="s">
        <v>7170</v>
      </c>
      <c r="G102" s="34" t="s">
        <v>7068</v>
      </c>
      <c r="H102" s="34" t="s">
        <v>7174</v>
      </c>
      <c r="I102" s="34" t="s">
        <v>7175</v>
      </c>
      <c r="J102" s="34" t="s">
        <v>7176</v>
      </c>
      <c r="K102" s="36">
        <v>1</v>
      </c>
      <c r="L102" s="44">
        <v>0</v>
      </c>
      <c r="M102">
        <v>4</v>
      </c>
      <c r="N102" s="38">
        <v>5</v>
      </c>
      <c r="O102" s="38">
        <f t="shared" si="3"/>
        <v>5</v>
      </c>
      <c r="P102" s="30">
        <v>6</v>
      </c>
    </row>
    <row r="103" spans="1:16">
      <c r="A103" s="30" t="s">
        <v>5665</v>
      </c>
      <c r="B103" s="34" t="s">
        <v>6945</v>
      </c>
      <c r="C103" s="35" t="s">
        <v>7177</v>
      </c>
      <c r="D103" s="36">
        <v>40</v>
      </c>
      <c r="E103" s="36" t="s">
        <v>6947</v>
      </c>
      <c r="F103" s="34" t="s">
        <v>7170</v>
      </c>
      <c r="G103" s="34" t="s">
        <v>7068</v>
      </c>
      <c r="H103" s="34" t="s">
        <v>7174</v>
      </c>
      <c r="I103" s="34" t="s">
        <v>7014</v>
      </c>
      <c r="J103" s="34" t="s">
        <v>7178</v>
      </c>
      <c r="K103" s="36">
        <v>1</v>
      </c>
      <c r="L103" s="44">
        <v>0</v>
      </c>
      <c r="M103">
        <v>5</v>
      </c>
      <c r="N103" s="38">
        <v>10</v>
      </c>
      <c r="O103" s="38">
        <f t="shared" si="3"/>
        <v>10</v>
      </c>
      <c r="P103" s="30">
        <v>12</v>
      </c>
    </row>
    <row r="104" spans="1:16">
      <c r="A104" s="30" t="s">
        <v>5665</v>
      </c>
      <c r="B104" s="34" t="s">
        <v>6945</v>
      </c>
      <c r="C104" s="35" t="s">
        <v>7179</v>
      </c>
      <c r="D104" s="36">
        <v>50</v>
      </c>
      <c r="E104" s="36" t="s">
        <v>6947</v>
      </c>
      <c r="F104" s="34" t="s">
        <v>7170</v>
      </c>
      <c r="G104" s="34" t="s">
        <v>7068</v>
      </c>
      <c r="H104" s="34" t="s">
        <v>7174</v>
      </c>
      <c r="I104" s="34" t="s">
        <v>7180</v>
      </c>
      <c r="J104" s="34" t="s">
        <v>7181</v>
      </c>
      <c r="K104" s="36">
        <v>1</v>
      </c>
      <c r="L104" s="44">
        <v>0</v>
      </c>
      <c r="M104">
        <v>6</v>
      </c>
      <c r="N104" s="38">
        <v>25</v>
      </c>
      <c r="O104" s="38">
        <f t="shared" si="3"/>
        <v>25</v>
      </c>
      <c r="P104" s="30">
        <v>18</v>
      </c>
    </row>
    <row r="105" spans="1:16">
      <c r="A105" s="30" t="s">
        <v>5665</v>
      </c>
      <c r="B105" s="34" t="s">
        <v>6945</v>
      </c>
      <c r="C105" s="35" t="s">
        <v>7182</v>
      </c>
      <c r="D105" s="36">
        <v>60</v>
      </c>
      <c r="E105" s="36" t="s">
        <v>6947</v>
      </c>
      <c r="F105" s="34" t="s">
        <v>7170</v>
      </c>
      <c r="G105" s="34" t="s">
        <v>7068</v>
      </c>
      <c r="H105" s="34" t="s">
        <v>7174</v>
      </c>
      <c r="I105" s="34" t="s">
        <v>6950</v>
      </c>
      <c r="J105" s="34" t="s">
        <v>7183</v>
      </c>
      <c r="K105" s="36">
        <v>1</v>
      </c>
      <c r="L105" s="44">
        <v>0</v>
      </c>
      <c r="M105">
        <v>7</v>
      </c>
      <c r="N105" s="38">
        <v>60</v>
      </c>
      <c r="O105" s="38">
        <f t="shared" si="3"/>
        <v>60</v>
      </c>
      <c r="P105" s="30">
        <v>24</v>
      </c>
    </row>
    <row r="106" spans="1:16">
      <c r="A106" s="30" t="s">
        <v>7184</v>
      </c>
      <c r="B106" s="34" t="s">
        <v>7022</v>
      </c>
      <c r="C106" s="35" t="s">
        <v>7185</v>
      </c>
      <c r="D106" s="36">
        <v>40</v>
      </c>
      <c r="E106" s="36" t="s">
        <v>6947</v>
      </c>
      <c r="F106" s="34" t="s">
        <v>4531</v>
      </c>
      <c r="G106" s="34" t="s">
        <v>7068</v>
      </c>
      <c r="H106" s="34" t="s">
        <v>7136</v>
      </c>
      <c r="I106" s="34" t="s">
        <v>7186</v>
      </c>
      <c r="J106" s="34" t="s">
        <v>7187</v>
      </c>
      <c r="K106" s="36">
        <v>3</v>
      </c>
      <c r="L106" s="44">
        <v>0</v>
      </c>
      <c r="M106">
        <v>5</v>
      </c>
      <c r="N106" s="42">
        <v>100</v>
      </c>
      <c r="O106" s="38">
        <f t="shared" si="3"/>
        <v>300</v>
      </c>
      <c r="P106" s="30">
        <v>45</v>
      </c>
    </row>
    <row r="107" spans="1:16">
      <c r="A107" s="30" t="s">
        <v>7184</v>
      </c>
      <c r="B107" s="34" t="s">
        <v>7022</v>
      </c>
      <c r="C107" s="35" t="s">
        <v>7188</v>
      </c>
      <c r="D107" s="36">
        <v>50</v>
      </c>
      <c r="E107" s="36" t="s">
        <v>6947</v>
      </c>
      <c r="F107" s="34" t="s">
        <v>4531</v>
      </c>
      <c r="G107" s="34" t="s">
        <v>7068</v>
      </c>
      <c r="H107" s="34" t="s">
        <v>7136</v>
      </c>
      <c r="I107" s="34" t="s">
        <v>7189</v>
      </c>
      <c r="J107" s="34" t="s">
        <v>7190</v>
      </c>
      <c r="K107" s="36">
        <v>3</v>
      </c>
      <c r="L107" s="44">
        <v>0</v>
      </c>
      <c r="M107">
        <v>6</v>
      </c>
      <c r="N107" s="42">
        <v>250</v>
      </c>
      <c r="O107" s="38">
        <f t="shared" si="3"/>
        <v>750</v>
      </c>
      <c r="P107" s="30">
        <v>75</v>
      </c>
    </row>
    <row r="108" spans="1:16">
      <c r="A108" s="30" t="s">
        <v>7184</v>
      </c>
      <c r="B108" s="34" t="s">
        <v>7022</v>
      </c>
      <c r="C108" s="35" t="s">
        <v>7191</v>
      </c>
      <c r="D108" s="36">
        <v>30</v>
      </c>
      <c r="E108" s="36" t="s">
        <v>6947</v>
      </c>
      <c r="F108" s="34" t="s">
        <v>4531</v>
      </c>
      <c r="G108" s="34" t="s">
        <v>7068</v>
      </c>
      <c r="H108" s="34" t="s">
        <v>7136</v>
      </c>
      <c r="I108" s="34" t="s">
        <v>7192</v>
      </c>
      <c r="J108" s="34" t="s">
        <v>7193</v>
      </c>
      <c r="K108" s="36">
        <v>3</v>
      </c>
      <c r="L108" s="44">
        <v>0</v>
      </c>
      <c r="M108">
        <v>4</v>
      </c>
      <c r="N108" s="42">
        <v>50</v>
      </c>
      <c r="O108" s="38">
        <f t="shared" si="3"/>
        <v>150</v>
      </c>
      <c r="P108" s="30">
        <v>30</v>
      </c>
    </row>
    <row r="109" spans="1:16">
      <c r="A109" s="30" t="s">
        <v>7184</v>
      </c>
      <c r="B109" s="34" t="s">
        <v>7022</v>
      </c>
      <c r="C109" s="35" t="s">
        <v>7194</v>
      </c>
      <c r="D109" s="36">
        <v>45</v>
      </c>
      <c r="E109" s="36" t="s">
        <v>6947</v>
      </c>
      <c r="F109" s="34" t="s">
        <v>4531</v>
      </c>
      <c r="G109" s="34" t="s">
        <v>6949</v>
      </c>
      <c r="H109" s="34" t="s">
        <v>6949</v>
      </c>
      <c r="I109" s="34" t="s">
        <v>7014</v>
      </c>
      <c r="J109" s="34" t="s">
        <v>7195</v>
      </c>
      <c r="K109" s="36">
        <v>1</v>
      </c>
      <c r="L109" s="44">
        <v>0</v>
      </c>
      <c r="M109">
        <v>4</v>
      </c>
      <c r="N109" s="38">
        <v>100</v>
      </c>
      <c r="O109" s="38">
        <f t="shared" si="3"/>
        <v>100</v>
      </c>
      <c r="P109" s="30">
        <v>36</v>
      </c>
    </row>
    <row r="110" spans="1:16">
      <c r="A110" s="30" t="s">
        <v>7184</v>
      </c>
      <c r="B110" s="34" t="s">
        <v>7022</v>
      </c>
      <c r="C110" s="35" t="s">
        <v>353</v>
      </c>
      <c r="D110" s="36">
        <v>60</v>
      </c>
      <c r="E110" s="36" t="s">
        <v>6947</v>
      </c>
      <c r="F110" s="34" t="s">
        <v>4531</v>
      </c>
      <c r="G110" s="34" t="s">
        <v>6949</v>
      </c>
      <c r="H110" s="34" t="s">
        <v>6949</v>
      </c>
      <c r="I110" s="34" t="s">
        <v>7196</v>
      </c>
      <c r="J110" s="41" t="s">
        <v>7197</v>
      </c>
      <c r="K110" s="36">
        <v>1</v>
      </c>
      <c r="L110" s="44">
        <v>0</v>
      </c>
      <c r="M110">
        <v>4</v>
      </c>
      <c r="N110" s="38">
        <v>150</v>
      </c>
      <c r="O110" s="38">
        <f t="shared" si="3"/>
        <v>150</v>
      </c>
      <c r="P110" s="30">
        <v>48</v>
      </c>
    </row>
    <row r="111" spans="1:16">
      <c r="A111" s="30" t="s">
        <v>7184</v>
      </c>
      <c r="B111" s="34" t="s">
        <v>7022</v>
      </c>
      <c r="C111" s="35" t="s">
        <v>7198</v>
      </c>
      <c r="D111" s="36">
        <v>60</v>
      </c>
      <c r="E111" s="36" t="s">
        <v>6947</v>
      </c>
      <c r="F111" s="34" t="s">
        <v>4531</v>
      </c>
      <c r="G111" s="34" t="s">
        <v>6949</v>
      </c>
      <c r="H111" s="34" t="s">
        <v>6949</v>
      </c>
      <c r="I111" s="34" t="s">
        <v>7196</v>
      </c>
      <c r="J111" s="34" t="s">
        <v>7199</v>
      </c>
      <c r="K111" s="36">
        <v>1</v>
      </c>
      <c r="L111" s="44">
        <v>0</v>
      </c>
      <c r="M111">
        <v>4</v>
      </c>
      <c r="N111" s="38">
        <v>150</v>
      </c>
      <c r="O111" s="38">
        <f t="shared" si="3"/>
        <v>150</v>
      </c>
      <c r="P111" s="30">
        <v>48</v>
      </c>
    </row>
    <row r="112" spans="1:16">
      <c r="A112" s="30" t="s">
        <v>7184</v>
      </c>
      <c r="B112" s="34" t="s">
        <v>7022</v>
      </c>
      <c r="C112" s="35" t="s">
        <v>7200</v>
      </c>
      <c r="D112" s="36">
        <v>60</v>
      </c>
      <c r="E112" s="36" t="s">
        <v>6947</v>
      </c>
      <c r="F112" s="34" t="s">
        <v>4531</v>
      </c>
      <c r="G112" s="34" t="s">
        <v>6949</v>
      </c>
      <c r="H112" s="34" t="s">
        <v>6949</v>
      </c>
      <c r="I112" s="34" t="s">
        <v>7196</v>
      </c>
      <c r="J112" s="34" t="s">
        <v>7201</v>
      </c>
      <c r="K112" s="36">
        <v>1</v>
      </c>
      <c r="L112" s="44">
        <v>0</v>
      </c>
      <c r="M112">
        <v>4</v>
      </c>
      <c r="N112" s="38">
        <v>150</v>
      </c>
      <c r="O112" s="38">
        <f t="shared" si="3"/>
        <v>150</v>
      </c>
      <c r="P112" s="30">
        <v>48</v>
      </c>
    </row>
    <row r="113" spans="1:16">
      <c r="A113" s="30" t="s">
        <v>7184</v>
      </c>
      <c r="B113" s="34" t="s">
        <v>7022</v>
      </c>
      <c r="C113" s="35" t="s">
        <v>7202</v>
      </c>
      <c r="D113" s="36">
        <v>40</v>
      </c>
      <c r="E113" s="36" t="s">
        <v>6947</v>
      </c>
      <c r="F113" s="34" t="s">
        <v>4531</v>
      </c>
      <c r="G113" s="34" t="s">
        <v>6949</v>
      </c>
      <c r="H113" s="34" t="s">
        <v>6949</v>
      </c>
      <c r="I113" s="34" t="s">
        <v>7203</v>
      </c>
      <c r="J113" s="34" t="s">
        <v>7204</v>
      </c>
      <c r="K113" s="36">
        <v>1</v>
      </c>
      <c r="L113" s="44">
        <v>0</v>
      </c>
      <c r="M113">
        <v>4</v>
      </c>
      <c r="N113" s="38">
        <v>125</v>
      </c>
      <c r="O113" s="38">
        <f t="shared" si="3"/>
        <v>125</v>
      </c>
      <c r="P113" s="30">
        <v>60</v>
      </c>
    </row>
    <row r="114" spans="1:16">
      <c r="A114" s="30" t="s">
        <v>7184</v>
      </c>
      <c r="B114" s="34" t="s">
        <v>7022</v>
      </c>
      <c r="C114" s="35" t="s">
        <v>7205</v>
      </c>
      <c r="D114" s="36">
        <v>20</v>
      </c>
      <c r="E114" s="36" t="s">
        <v>6947</v>
      </c>
      <c r="F114" s="34" t="s">
        <v>4531</v>
      </c>
      <c r="G114" s="34" t="s">
        <v>6949</v>
      </c>
      <c r="H114" s="34" t="s">
        <v>6949</v>
      </c>
      <c r="I114" s="34" t="s">
        <v>7206</v>
      </c>
      <c r="J114" s="41" t="s">
        <v>7207</v>
      </c>
      <c r="K114" s="36">
        <v>1</v>
      </c>
      <c r="L114" s="44">
        <v>0</v>
      </c>
      <c r="M114">
        <v>3</v>
      </c>
      <c r="N114" s="42">
        <v>50</v>
      </c>
      <c r="O114" s="38">
        <f t="shared" si="3"/>
        <v>50</v>
      </c>
      <c r="P114" s="30">
        <v>24</v>
      </c>
    </row>
    <row r="115" spans="1:16">
      <c r="A115" s="30" t="s">
        <v>7184</v>
      </c>
      <c r="B115" s="34" t="s">
        <v>7022</v>
      </c>
      <c r="C115" s="35" t="s">
        <v>7208</v>
      </c>
      <c r="D115" s="36">
        <v>30</v>
      </c>
      <c r="E115" s="36" t="s">
        <v>6947</v>
      </c>
      <c r="F115" s="34" t="s">
        <v>4531</v>
      </c>
      <c r="G115" s="34" t="s">
        <v>6949</v>
      </c>
      <c r="H115" s="34" t="s">
        <v>6949</v>
      </c>
      <c r="I115" s="34" t="s">
        <v>7209</v>
      </c>
      <c r="J115" s="34" t="s">
        <v>7210</v>
      </c>
      <c r="K115" s="36">
        <v>1</v>
      </c>
      <c r="L115" s="44">
        <v>0</v>
      </c>
      <c r="M115">
        <v>3</v>
      </c>
      <c r="N115" s="38">
        <v>75</v>
      </c>
      <c r="O115" s="38">
        <f t="shared" si="3"/>
        <v>75</v>
      </c>
      <c r="P115" s="30">
        <v>36</v>
      </c>
    </row>
    <row r="116" spans="1:16">
      <c r="A116" s="30" t="s">
        <v>7184</v>
      </c>
      <c r="B116" s="34" t="s">
        <v>7022</v>
      </c>
      <c r="C116" s="35" t="s">
        <v>7211</v>
      </c>
      <c r="D116" s="36">
        <v>65</v>
      </c>
      <c r="E116" s="36" t="s">
        <v>6947</v>
      </c>
      <c r="F116" s="34" t="s">
        <v>4531</v>
      </c>
      <c r="G116" s="34" t="s">
        <v>7068</v>
      </c>
      <c r="H116" s="34" t="s">
        <v>7080</v>
      </c>
      <c r="I116" s="34" t="s">
        <v>7060</v>
      </c>
      <c r="J116" s="34" t="s">
        <v>7212</v>
      </c>
      <c r="K116" s="36">
        <v>4</v>
      </c>
      <c r="L116" s="44">
        <v>0</v>
      </c>
      <c r="M116">
        <v>7</v>
      </c>
      <c r="N116" s="38">
        <v>190</v>
      </c>
      <c r="O116" s="38">
        <f t="shared" si="3"/>
        <v>760</v>
      </c>
      <c r="P116" s="30">
        <v>72</v>
      </c>
    </row>
    <row r="117" spans="1:16">
      <c r="A117" s="30" t="s">
        <v>7184</v>
      </c>
      <c r="B117" s="34" t="s">
        <v>7022</v>
      </c>
      <c r="C117" s="35" t="s">
        <v>7213</v>
      </c>
      <c r="D117" s="36">
        <v>75</v>
      </c>
      <c r="E117" s="36" t="s">
        <v>6947</v>
      </c>
      <c r="F117" s="34" t="s">
        <v>4531</v>
      </c>
      <c r="G117" s="34" t="s">
        <v>7068</v>
      </c>
      <c r="H117" s="34" t="s">
        <v>7080</v>
      </c>
      <c r="I117" s="34" t="s">
        <v>7075</v>
      </c>
      <c r="J117" s="34" t="s">
        <v>7214</v>
      </c>
      <c r="K117" s="36">
        <v>4</v>
      </c>
      <c r="L117" s="44">
        <v>0</v>
      </c>
      <c r="M117">
        <v>7</v>
      </c>
      <c r="N117" s="38">
        <v>625</v>
      </c>
      <c r="O117" s="38">
        <f t="shared" si="3"/>
        <v>2500</v>
      </c>
      <c r="P117" s="30">
        <v>120</v>
      </c>
    </row>
    <row r="118" spans="1:16">
      <c r="A118" s="30" t="s">
        <v>7184</v>
      </c>
      <c r="B118" s="34" t="s">
        <v>7022</v>
      </c>
      <c r="C118" s="35" t="s">
        <v>7215</v>
      </c>
      <c r="D118" s="36">
        <v>55</v>
      </c>
      <c r="E118" s="36" t="s">
        <v>6947</v>
      </c>
      <c r="F118" s="34" t="s">
        <v>4531</v>
      </c>
      <c r="G118" s="34" t="s">
        <v>7068</v>
      </c>
      <c r="H118" s="34" t="s">
        <v>7080</v>
      </c>
      <c r="I118" s="34" t="s">
        <v>7161</v>
      </c>
      <c r="J118" s="34" t="s">
        <v>7216</v>
      </c>
      <c r="K118" s="36">
        <v>4</v>
      </c>
      <c r="L118" s="44">
        <v>0</v>
      </c>
      <c r="M118">
        <v>6</v>
      </c>
      <c r="N118" s="38">
        <v>65</v>
      </c>
      <c r="O118" s="38">
        <f t="shared" si="3"/>
        <v>260</v>
      </c>
      <c r="P118" s="30">
        <v>48</v>
      </c>
    </row>
    <row r="119" spans="1:16">
      <c r="A119" s="30" t="s">
        <v>7184</v>
      </c>
      <c r="B119" s="34" t="s">
        <v>6945</v>
      </c>
      <c r="C119" s="35" t="s">
        <v>7217</v>
      </c>
      <c r="D119" s="36">
        <v>75</v>
      </c>
      <c r="E119" s="36" t="s">
        <v>7003</v>
      </c>
      <c r="F119" s="34" t="s">
        <v>7030</v>
      </c>
      <c r="G119" s="34" t="s">
        <v>7136</v>
      </c>
      <c r="H119" s="34" t="s">
        <v>7218</v>
      </c>
      <c r="I119" s="34" t="s">
        <v>7175</v>
      </c>
      <c r="J119" s="34" t="s">
        <v>7219</v>
      </c>
      <c r="K119" s="36">
        <v>2</v>
      </c>
      <c r="L119" s="44">
        <v>0</v>
      </c>
      <c r="M119">
        <v>5</v>
      </c>
      <c r="N119" s="38">
        <v>25</v>
      </c>
      <c r="O119" s="38">
        <f t="shared" si="3"/>
        <v>50</v>
      </c>
      <c r="P119" s="30">
        <v>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61"/>
  <sheetViews>
    <sheetView workbookViewId="0"/>
  </sheetViews>
  <sheetFormatPr baseColWidth="10" defaultColWidth="9.140625" defaultRowHeight="15"/>
  <sheetData>
    <row r="1" spans="1:9">
      <c r="B1" t="s">
        <v>7220</v>
      </c>
      <c r="C1" t="s">
        <v>7221</v>
      </c>
      <c r="D1" t="s">
        <v>7222</v>
      </c>
      <c r="E1" t="s">
        <v>7223</v>
      </c>
      <c r="F1" t="s">
        <v>7224</v>
      </c>
      <c r="G1" t="s">
        <v>7225</v>
      </c>
      <c r="H1" t="s">
        <v>7226</v>
      </c>
      <c r="I1" t="s">
        <v>593</v>
      </c>
    </row>
    <row r="2" spans="1:9">
      <c r="A2" t="s">
        <v>7227</v>
      </c>
      <c r="B2" t="s">
        <v>7228</v>
      </c>
      <c r="C2" t="s">
        <v>7229</v>
      </c>
      <c r="D2" t="s">
        <v>7230</v>
      </c>
      <c r="E2">
        <v>3</v>
      </c>
      <c r="F2">
        <v>1</v>
      </c>
      <c r="G2">
        <v>227</v>
      </c>
      <c r="H2">
        <v>3</v>
      </c>
      <c r="I2">
        <v>2</v>
      </c>
    </row>
    <row r="3" spans="1:9">
      <c r="A3" t="s">
        <v>7231</v>
      </c>
      <c r="B3" t="s">
        <v>7232</v>
      </c>
      <c r="C3" t="s">
        <v>7229</v>
      </c>
      <c r="D3" t="s">
        <v>7230</v>
      </c>
      <c r="E3">
        <v>4</v>
      </c>
      <c r="F3">
        <v>2</v>
      </c>
      <c r="G3">
        <v>274</v>
      </c>
      <c r="H3">
        <v>3</v>
      </c>
      <c r="I3">
        <v>2</v>
      </c>
    </row>
    <row r="4" spans="1:9">
      <c r="A4" t="s">
        <v>7233</v>
      </c>
      <c r="B4" t="s">
        <v>7234</v>
      </c>
      <c r="C4" t="s">
        <v>7229</v>
      </c>
      <c r="D4" t="s">
        <v>7230</v>
      </c>
      <c r="E4">
        <v>6</v>
      </c>
      <c r="F4">
        <v>3</v>
      </c>
      <c r="G4">
        <v>1830</v>
      </c>
      <c r="H4">
        <v>3</v>
      </c>
      <c r="I4">
        <v>2</v>
      </c>
    </row>
    <row r="5" spans="1:9">
      <c r="A5" t="s">
        <v>7235</v>
      </c>
      <c r="B5" t="s">
        <v>7236</v>
      </c>
      <c r="C5" t="s">
        <v>7229</v>
      </c>
      <c r="D5" t="s">
        <v>7230</v>
      </c>
      <c r="E5">
        <v>6</v>
      </c>
      <c r="F5">
        <v>4</v>
      </c>
      <c r="G5">
        <v>562</v>
      </c>
      <c r="H5">
        <v>3</v>
      </c>
      <c r="I5">
        <v>2</v>
      </c>
    </row>
    <row r="6" spans="1:9">
      <c r="A6" t="s">
        <v>7237</v>
      </c>
      <c r="B6" t="s">
        <v>7238</v>
      </c>
      <c r="E6">
        <v>0</v>
      </c>
      <c r="F6">
        <v>0</v>
      </c>
      <c r="G6">
        <v>0</v>
      </c>
      <c r="H6">
        <v>0</v>
      </c>
      <c r="I6">
        <v>0</v>
      </c>
    </row>
    <row r="7" spans="1:9">
      <c r="C7" t="s">
        <v>7220</v>
      </c>
      <c r="D7" t="s">
        <v>7239</v>
      </c>
      <c r="E7">
        <v>19</v>
      </c>
      <c r="F7">
        <v>10</v>
      </c>
      <c r="G7">
        <v>2893</v>
      </c>
    </row>
    <row r="8" spans="1:9">
      <c r="B8" t="s">
        <v>7240</v>
      </c>
      <c r="C8" t="s">
        <v>7221</v>
      </c>
      <c r="D8" t="s">
        <v>7222</v>
      </c>
      <c r="E8" t="s">
        <v>7223</v>
      </c>
      <c r="F8" t="s">
        <v>7224</v>
      </c>
      <c r="G8" t="s">
        <v>7225</v>
      </c>
      <c r="H8" t="s">
        <v>7226</v>
      </c>
      <c r="I8" t="s">
        <v>593</v>
      </c>
    </row>
    <row r="9" spans="1:9">
      <c r="A9" t="s">
        <v>7227</v>
      </c>
      <c r="B9" t="s">
        <v>7228</v>
      </c>
      <c r="C9" t="s">
        <v>7241</v>
      </c>
      <c r="D9" t="s">
        <v>7242</v>
      </c>
      <c r="E9">
        <v>4</v>
      </c>
      <c r="F9">
        <v>1</v>
      </c>
      <c r="G9">
        <v>387</v>
      </c>
      <c r="H9">
        <v>5</v>
      </c>
      <c r="I9">
        <v>3</v>
      </c>
    </row>
    <row r="10" spans="1:9">
      <c r="A10" t="s">
        <v>7231</v>
      </c>
      <c r="B10" t="s">
        <v>7232</v>
      </c>
      <c r="C10" t="s">
        <v>7243</v>
      </c>
      <c r="D10" t="s">
        <v>7230</v>
      </c>
      <c r="E10">
        <v>3</v>
      </c>
      <c r="F10">
        <v>2</v>
      </c>
      <c r="G10">
        <v>38</v>
      </c>
      <c r="H10">
        <v>3</v>
      </c>
      <c r="I10">
        <v>2</v>
      </c>
    </row>
    <row r="11" spans="1:9">
      <c r="A11" t="s">
        <v>7233</v>
      </c>
      <c r="B11" t="s">
        <v>7244</v>
      </c>
      <c r="C11" t="s">
        <v>7243</v>
      </c>
      <c r="D11" t="s">
        <v>7230</v>
      </c>
      <c r="E11">
        <v>4</v>
      </c>
      <c r="F11">
        <v>3</v>
      </c>
      <c r="G11">
        <v>372</v>
      </c>
      <c r="H11">
        <v>3</v>
      </c>
      <c r="I11">
        <v>2</v>
      </c>
    </row>
    <row r="12" spans="1:9">
      <c r="A12" t="s">
        <v>7235</v>
      </c>
      <c r="B12" t="s">
        <v>7245</v>
      </c>
      <c r="C12" t="s">
        <v>7246</v>
      </c>
      <c r="D12" t="s">
        <v>7242</v>
      </c>
      <c r="E12">
        <v>14</v>
      </c>
      <c r="F12">
        <v>7</v>
      </c>
      <c r="G12">
        <v>6495</v>
      </c>
      <c r="H12">
        <v>7</v>
      </c>
      <c r="I12">
        <v>7</v>
      </c>
    </row>
    <row r="13" spans="1:9">
      <c r="A13" t="s">
        <v>7237</v>
      </c>
      <c r="B13" t="s">
        <v>7238</v>
      </c>
      <c r="E13">
        <v>0</v>
      </c>
      <c r="F13">
        <v>0</v>
      </c>
      <c r="G13">
        <v>0</v>
      </c>
      <c r="H13">
        <v>0</v>
      </c>
      <c r="I13">
        <v>0</v>
      </c>
    </row>
    <row r="14" spans="1:9">
      <c r="C14" t="s">
        <v>7240</v>
      </c>
      <c r="D14" t="s">
        <v>7239</v>
      </c>
      <c r="E14">
        <v>25</v>
      </c>
      <c r="F14">
        <v>13</v>
      </c>
      <c r="G14">
        <v>7292</v>
      </c>
    </row>
    <row r="15" spans="1:9">
      <c r="B15" t="s">
        <v>7247</v>
      </c>
      <c r="C15" t="s">
        <v>7221</v>
      </c>
      <c r="D15" t="s">
        <v>7222</v>
      </c>
      <c r="E15" t="s">
        <v>7223</v>
      </c>
      <c r="F15" t="s">
        <v>7224</v>
      </c>
      <c r="G15" t="s">
        <v>7225</v>
      </c>
      <c r="H15" t="s">
        <v>7226</v>
      </c>
      <c r="I15" t="s">
        <v>593</v>
      </c>
    </row>
    <row r="16" spans="1:9">
      <c r="A16" t="s">
        <v>7227</v>
      </c>
      <c r="B16" t="s">
        <v>7228</v>
      </c>
      <c r="C16" t="s">
        <v>7243</v>
      </c>
      <c r="D16" t="s">
        <v>7230</v>
      </c>
      <c r="E16">
        <v>2</v>
      </c>
      <c r="F16">
        <v>1</v>
      </c>
      <c r="G16">
        <v>50</v>
      </c>
      <c r="H16">
        <v>3</v>
      </c>
      <c r="I16">
        <v>2</v>
      </c>
    </row>
    <row r="17" spans="1:9">
      <c r="A17" t="s">
        <v>7231</v>
      </c>
      <c r="B17" t="s">
        <v>7232</v>
      </c>
      <c r="C17" t="s">
        <v>7243</v>
      </c>
      <c r="D17" t="s">
        <v>7230</v>
      </c>
      <c r="E17">
        <v>3</v>
      </c>
      <c r="F17">
        <v>2</v>
      </c>
      <c r="G17">
        <v>38</v>
      </c>
      <c r="H17">
        <v>3</v>
      </c>
      <c r="I17">
        <v>2</v>
      </c>
    </row>
    <row r="18" spans="1:9">
      <c r="A18" t="s">
        <v>7233</v>
      </c>
      <c r="B18" t="s">
        <v>7244</v>
      </c>
      <c r="C18" t="s">
        <v>7243</v>
      </c>
      <c r="D18" t="s">
        <v>7230</v>
      </c>
      <c r="E18">
        <v>4</v>
      </c>
      <c r="F18">
        <v>3</v>
      </c>
      <c r="G18">
        <v>372</v>
      </c>
      <c r="H18">
        <v>3</v>
      </c>
      <c r="I18">
        <v>2</v>
      </c>
    </row>
    <row r="19" spans="1:9">
      <c r="A19" t="s">
        <v>7235</v>
      </c>
      <c r="B19" t="s">
        <v>7236</v>
      </c>
      <c r="C19" t="s">
        <v>7243</v>
      </c>
      <c r="D19" t="s">
        <v>7230</v>
      </c>
      <c r="E19">
        <v>5</v>
      </c>
      <c r="F19">
        <v>4</v>
      </c>
      <c r="G19">
        <v>208</v>
      </c>
      <c r="H19">
        <v>3</v>
      </c>
      <c r="I19">
        <v>2</v>
      </c>
    </row>
    <row r="20" spans="1:9">
      <c r="A20" t="s">
        <v>7237</v>
      </c>
      <c r="B20" t="s">
        <v>7238</v>
      </c>
      <c r="E20">
        <v>0</v>
      </c>
      <c r="F20">
        <v>0</v>
      </c>
      <c r="G20">
        <v>0</v>
      </c>
      <c r="H20">
        <v>0</v>
      </c>
      <c r="I20">
        <v>0</v>
      </c>
    </row>
    <row r="21" spans="1:9">
      <c r="C21" t="s">
        <v>7247</v>
      </c>
      <c r="D21" t="s">
        <v>7239</v>
      </c>
      <c r="E21">
        <v>14</v>
      </c>
      <c r="F21">
        <v>10</v>
      </c>
      <c r="G21">
        <v>668</v>
      </c>
    </row>
    <row r="22" spans="1:9">
      <c r="B22" t="s">
        <v>7248</v>
      </c>
      <c r="C22" t="s">
        <v>7221</v>
      </c>
      <c r="D22" t="s">
        <v>7222</v>
      </c>
      <c r="E22" t="s">
        <v>7223</v>
      </c>
      <c r="F22" t="s">
        <v>7224</v>
      </c>
      <c r="G22" t="s">
        <v>7225</v>
      </c>
      <c r="H22" t="s">
        <v>7226</v>
      </c>
      <c r="I22" t="s">
        <v>593</v>
      </c>
    </row>
    <row r="23" spans="1:9">
      <c r="A23" t="s">
        <v>7227</v>
      </c>
      <c r="B23" t="s">
        <v>7228</v>
      </c>
      <c r="C23" t="s">
        <v>7243</v>
      </c>
      <c r="D23" t="s">
        <v>7230</v>
      </c>
      <c r="E23">
        <v>2</v>
      </c>
      <c r="F23">
        <v>1</v>
      </c>
      <c r="G23">
        <v>50</v>
      </c>
      <c r="H23">
        <v>3</v>
      </c>
      <c r="I23">
        <v>2</v>
      </c>
    </row>
    <row r="24" spans="1:9">
      <c r="A24" t="s">
        <v>7231</v>
      </c>
      <c r="B24" t="s">
        <v>7232</v>
      </c>
      <c r="C24" t="s">
        <v>7243</v>
      </c>
      <c r="D24" t="s">
        <v>7230</v>
      </c>
      <c r="E24">
        <v>3</v>
      </c>
      <c r="F24">
        <v>2</v>
      </c>
      <c r="G24">
        <v>38</v>
      </c>
      <c r="H24">
        <v>3</v>
      </c>
      <c r="I24">
        <v>2</v>
      </c>
    </row>
    <row r="25" spans="1:9">
      <c r="A25" t="s">
        <v>7233</v>
      </c>
      <c r="B25" t="s">
        <v>7244</v>
      </c>
      <c r="C25" t="s">
        <v>7243</v>
      </c>
      <c r="D25" t="s">
        <v>7230</v>
      </c>
      <c r="E25">
        <v>4</v>
      </c>
      <c r="F25">
        <v>3</v>
      </c>
      <c r="G25">
        <v>372</v>
      </c>
      <c r="H25">
        <v>3</v>
      </c>
      <c r="I25">
        <v>2</v>
      </c>
    </row>
    <row r="26" spans="1:9">
      <c r="A26" t="s">
        <v>7235</v>
      </c>
      <c r="B26" t="s">
        <v>7236</v>
      </c>
      <c r="C26" t="s">
        <v>7243</v>
      </c>
      <c r="D26" t="s">
        <v>7230</v>
      </c>
      <c r="E26">
        <v>5</v>
      </c>
      <c r="F26">
        <v>4</v>
      </c>
      <c r="G26">
        <v>208</v>
      </c>
      <c r="H26">
        <v>3</v>
      </c>
      <c r="I26">
        <v>2</v>
      </c>
    </row>
    <row r="27" spans="1:9">
      <c r="A27" t="s">
        <v>7237</v>
      </c>
      <c r="B27" t="s">
        <v>7238</v>
      </c>
      <c r="E27">
        <v>0</v>
      </c>
      <c r="F27">
        <v>0</v>
      </c>
      <c r="G27">
        <v>0</v>
      </c>
      <c r="H27">
        <v>0</v>
      </c>
      <c r="I27">
        <v>0</v>
      </c>
    </row>
    <row r="28" spans="1:9">
      <c r="C28" t="s">
        <v>7248</v>
      </c>
      <c r="D28" t="s">
        <v>7239</v>
      </c>
      <c r="E28">
        <v>14</v>
      </c>
      <c r="F28">
        <v>10</v>
      </c>
      <c r="G28">
        <v>668</v>
      </c>
    </row>
    <row r="29" spans="1:9">
      <c r="F29" t="s">
        <v>7224</v>
      </c>
      <c r="G29" t="s">
        <v>7225</v>
      </c>
    </row>
    <row r="30" spans="1:9">
      <c r="C30" t="s">
        <v>7249</v>
      </c>
      <c r="D30" t="s">
        <v>7239</v>
      </c>
      <c r="F30">
        <v>43</v>
      </c>
      <c r="G30">
        <v>11521</v>
      </c>
    </row>
    <row r="31" spans="1:9">
      <c r="A31" t="s">
        <v>7250</v>
      </c>
    </row>
    <row r="32" spans="1:9">
      <c r="A32" t="s">
        <v>7251</v>
      </c>
    </row>
    <row r="33" spans="1:9">
      <c r="A33" t="s">
        <v>7252</v>
      </c>
    </row>
    <row r="34" spans="1:9">
      <c r="A34" t="s">
        <v>7253</v>
      </c>
    </row>
    <row r="35" spans="1:9">
      <c r="A35" t="s">
        <v>7254</v>
      </c>
    </row>
    <row r="36" spans="1:9">
      <c r="A36" t="s">
        <v>7249</v>
      </c>
      <c r="B36" t="s">
        <v>7255</v>
      </c>
      <c r="C36" t="s">
        <v>7223</v>
      </c>
      <c r="D36" t="s">
        <v>7224</v>
      </c>
      <c r="F36" t="s">
        <v>7256</v>
      </c>
      <c r="G36" t="s">
        <v>7257</v>
      </c>
      <c r="H36" t="s">
        <v>7258</v>
      </c>
      <c r="I36" t="s">
        <v>7259</v>
      </c>
    </row>
    <row r="37" spans="1:9">
      <c r="A37" t="s">
        <v>7238</v>
      </c>
    </row>
    <row r="38" spans="1:9">
      <c r="A38" t="s">
        <v>7260</v>
      </c>
      <c r="B38">
        <v>1</v>
      </c>
      <c r="C38">
        <v>1</v>
      </c>
      <c r="D38">
        <v>1</v>
      </c>
      <c r="F38">
        <v>1</v>
      </c>
      <c r="G38">
        <v>1</v>
      </c>
      <c r="H38">
        <v>16</v>
      </c>
      <c r="I38">
        <v>1</v>
      </c>
    </row>
    <row r="39" spans="1:9">
      <c r="A39" t="s">
        <v>7228</v>
      </c>
      <c r="B39">
        <v>1</v>
      </c>
      <c r="C39">
        <v>2</v>
      </c>
      <c r="D39">
        <v>2</v>
      </c>
      <c r="F39">
        <v>1</v>
      </c>
      <c r="G39">
        <v>1</v>
      </c>
      <c r="H39">
        <v>32</v>
      </c>
      <c r="I39">
        <v>1</v>
      </c>
    </row>
    <row r="40" spans="1:9">
      <c r="A40" t="s">
        <v>7261</v>
      </c>
      <c r="B40">
        <v>1</v>
      </c>
      <c r="C40">
        <v>3</v>
      </c>
      <c r="D40">
        <v>3</v>
      </c>
      <c r="F40">
        <v>1</v>
      </c>
      <c r="G40">
        <v>1</v>
      </c>
      <c r="H40">
        <v>48</v>
      </c>
      <c r="I40">
        <v>1</v>
      </c>
    </row>
    <row r="41" spans="1:9">
      <c r="A41" t="s">
        <v>7238</v>
      </c>
      <c r="B41">
        <v>1</v>
      </c>
      <c r="F41">
        <v>1</v>
      </c>
    </row>
    <row r="42" spans="1:9">
      <c r="A42" t="s">
        <v>7232</v>
      </c>
      <c r="B42">
        <v>2</v>
      </c>
      <c r="C42">
        <v>3</v>
      </c>
      <c r="D42">
        <v>3</v>
      </c>
      <c r="F42">
        <v>1</v>
      </c>
      <c r="G42">
        <v>1</v>
      </c>
      <c r="H42">
        <v>14</v>
      </c>
      <c r="I42">
        <v>2</v>
      </c>
    </row>
    <row r="43" spans="1:9">
      <c r="A43" t="s">
        <v>7262</v>
      </c>
      <c r="B43">
        <v>2</v>
      </c>
      <c r="C43">
        <v>4</v>
      </c>
      <c r="D43">
        <v>4</v>
      </c>
      <c r="F43">
        <v>1</v>
      </c>
      <c r="G43">
        <v>1</v>
      </c>
      <c r="H43">
        <v>28</v>
      </c>
      <c r="I43">
        <v>2</v>
      </c>
    </row>
    <row r="44" spans="1:9">
      <c r="A44" t="s">
        <v>7263</v>
      </c>
      <c r="B44">
        <v>2</v>
      </c>
      <c r="C44">
        <v>5</v>
      </c>
      <c r="D44">
        <v>5</v>
      </c>
      <c r="F44">
        <v>1</v>
      </c>
      <c r="G44">
        <v>1</v>
      </c>
      <c r="H44">
        <v>48</v>
      </c>
      <c r="I44">
        <v>2</v>
      </c>
    </row>
    <row r="45" spans="1:9">
      <c r="A45" t="s">
        <v>7238</v>
      </c>
      <c r="B45">
        <v>2</v>
      </c>
      <c r="F45">
        <v>1</v>
      </c>
    </row>
    <row r="46" spans="1:9">
      <c r="A46" t="s">
        <v>7244</v>
      </c>
      <c r="B46">
        <v>3</v>
      </c>
      <c r="C46">
        <v>4</v>
      </c>
      <c r="D46">
        <v>4</v>
      </c>
      <c r="F46">
        <v>1</v>
      </c>
      <c r="G46">
        <v>1</v>
      </c>
      <c r="H46">
        <v>300</v>
      </c>
      <c r="I46">
        <v>10</v>
      </c>
    </row>
    <row r="47" spans="1:9">
      <c r="A47" t="s">
        <v>7234</v>
      </c>
      <c r="B47">
        <v>3</v>
      </c>
      <c r="C47">
        <v>5</v>
      </c>
      <c r="D47">
        <v>4</v>
      </c>
      <c r="F47">
        <v>2</v>
      </c>
      <c r="G47">
        <v>1</v>
      </c>
      <c r="H47">
        <v>1050</v>
      </c>
      <c r="I47">
        <v>10</v>
      </c>
    </row>
    <row r="48" spans="1:9">
      <c r="A48" t="s">
        <v>7264</v>
      </c>
      <c r="B48">
        <v>3</v>
      </c>
      <c r="C48">
        <v>6</v>
      </c>
      <c r="D48">
        <v>5</v>
      </c>
      <c r="F48">
        <v>1</v>
      </c>
      <c r="G48">
        <v>1</v>
      </c>
      <c r="H48">
        <v>480</v>
      </c>
      <c r="I48">
        <v>15</v>
      </c>
    </row>
    <row r="49" spans="1:9">
      <c r="A49" t="s">
        <v>7265</v>
      </c>
      <c r="B49">
        <v>3</v>
      </c>
      <c r="C49">
        <v>7</v>
      </c>
      <c r="D49">
        <v>5</v>
      </c>
      <c r="F49">
        <v>5</v>
      </c>
      <c r="G49">
        <v>3</v>
      </c>
      <c r="H49">
        <v>1500</v>
      </c>
      <c r="I49">
        <v>10</v>
      </c>
    </row>
    <row r="50" spans="1:9">
      <c r="A50" t="s">
        <v>7266</v>
      </c>
      <c r="B50">
        <v>3</v>
      </c>
      <c r="C50">
        <v>8</v>
      </c>
      <c r="D50">
        <v>6</v>
      </c>
      <c r="F50">
        <v>2</v>
      </c>
      <c r="G50">
        <v>1</v>
      </c>
      <c r="H50">
        <v>1680</v>
      </c>
      <c r="I50">
        <v>15</v>
      </c>
    </row>
    <row r="51" spans="1:9">
      <c r="A51" t="s">
        <v>7267</v>
      </c>
      <c r="B51">
        <v>3</v>
      </c>
      <c r="C51">
        <v>9</v>
      </c>
      <c r="D51">
        <v>6</v>
      </c>
      <c r="F51">
        <v>6</v>
      </c>
      <c r="G51">
        <v>4</v>
      </c>
      <c r="H51">
        <v>2400</v>
      </c>
      <c r="I51">
        <v>15</v>
      </c>
    </row>
    <row r="52" spans="1:9">
      <c r="A52" t="s">
        <v>7238</v>
      </c>
      <c r="B52">
        <v>3</v>
      </c>
      <c r="F52">
        <v>1</v>
      </c>
    </row>
    <row r="53" spans="1:9">
      <c r="A53" t="s">
        <v>7268</v>
      </c>
      <c r="B53">
        <v>4</v>
      </c>
      <c r="C53">
        <v>4</v>
      </c>
      <c r="D53">
        <v>4</v>
      </c>
      <c r="F53">
        <v>2</v>
      </c>
      <c r="G53">
        <v>2</v>
      </c>
      <c r="H53">
        <v>130</v>
      </c>
      <c r="I53">
        <v>3</v>
      </c>
    </row>
    <row r="54" spans="1:9">
      <c r="A54" t="s">
        <v>7236</v>
      </c>
      <c r="B54">
        <v>4</v>
      </c>
      <c r="C54">
        <v>5</v>
      </c>
      <c r="D54">
        <v>5</v>
      </c>
      <c r="F54">
        <v>2</v>
      </c>
      <c r="G54">
        <v>2</v>
      </c>
      <c r="H54">
        <v>172</v>
      </c>
      <c r="I54">
        <v>4</v>
      </c>
    </row>
    <row r="55" spans="1:9">
      <c r="A55" t="s">
        <v>7269</v>
      </c>
      <c r="B55">
        <v>4</v>
      </c>
      <c r="C55">
        <v>6</v>
      </c>
      <c r="D55">
        <v>6</v>
      </c>
      <c r="F55">
        <v>1</v>
      </c>
      <c r="G55">
        <v>1</v>
      </c>
      <c r="H55">
        <v>607</v>
      </c>
      <c r="I55">
        <v>7</v>
      </c>
    </row>
    <row r="56" spans="1:9">
      <c r="A56" t="s">
        <v>7270</v>
      </c>
      <c r="B56">
        <v>4</v>
      </c>
      <c r="C56">
        <v>7</v>
      </c>
      <c r="D56">
        <v>7</v>
      </c>
      <c r="F56">
        <v>2</v>
      </c>
      <c r="G56">
        <v>1</v>
      </c>
      <c r="H56">
        <v>2107</v>
      </c>
      <c r="I56">
        <v>7</v>
      </c>
    </row>
    <row r="57" spans="1:9">
      <c r="A57" t="s">
        <v>7271</v>
      </c>
      <c r="B57">
        <v>4</v>
      </c>
      <c r="C57">
        <v>8</v>
      </c>
      <c r="D57">
        <v>8</v>
      </c>
      <c r="F57">
        <v>1</v>
      </c>
      <c r="G57">
        <v>1</v>
      </c>
      <c r="H57">
        <v>907</v>
      </c>
      <c r="I57">
        <v>10</v>
      </c>
    </row>
    <row r="58" spans="1:9">
      <c r="A58" t="s">
        <v>7272</v>
      </c>
      <c r="B58">
        <v>4</v>
      </c>
      <c r="C58">
        <v>9</v>
      </c>
      <c r="D58">
        <v>8</v>
      </c>
      <c r="F58">
        <v>2</v>
      </c>
      <c r="G58">
        <v>1</v>
      </c>
      <c r="H58">
        <v>3157</v>
      </c>
      <c r="I58">
        <v>10</v>
      </c>
    </row>
    <row r="59" spans="1:9">
      <c r="A59" t="s">
        <v>7273</v>
      </c>
      <c r="B59">
        <v>4</v>
      </c>
      <c r="C59">
        <v>10</v>
      </c>
      <c r="D59">
        <v>8</v>
      </c>
      <c r="F59">
        <v>5</v>
      </c>
      <c r="G59">
        <v>3</v>
      </c>
      <c r="H59">
        <v>3007</v>
      </c>
      <c r="I59">
        <v>7</v>
      </c>
    </row>
    <row r="60" spans="1:9">
      <c r="A60" t="s">
        <v>7245</v>
      </c>
      <c r="B60">
        <v>4</v>
      </c>
      <c r="C60">
        <v>12</v>
      </c>
      <c r="D60">
        <v>10</v>
      </c>
      <c r="F60">
        <v>6</v>
      </c>
      <c r="G60">
        <v>4</v>
      </c>
      <c r="H60">
        <v>4507</v>
      </c>
      <c r="I60">
        <v>10</v>
      </c>
    </row>
    <row r="61" spans="1:9">
      <c r="A61" t="s">
        <v>7238</v>
      </c>
      <c r="B61">
        <v>5</v>
      </c>
      <c r="F61">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20"/>
  <sheetViews>
    <sheetView workbookViewId="0"/>
  </sheetViews>
  <sheetFormatPr baseColWidth="10" defaultColWidth="9.140625" defaultRowHeight="15"/>
  <sheetData>
    <row r="1" spans="1:15">
      <c r="A1" t="s">
        <v>7274</v>
      </c>
      <c r="B1" t="s">
        <v>7275</v>
      </c>
      <c r="C1" t="s">
        <v>7276</v>
      </c>
      <c r="D1" t="s">
        <v>7277</v>
      </c>
      <c r="E1" t="s">
        <v>7278</v>
      </c>
      <c r="F1" t="s">
        <v>7279</v>
      </c>
      <c r="G1" t="s">
        <v>7280</v>
      </c>
      <c r="H1" t="s">
        <v>7225</v>
      </c>
      <c r="I1" t="s">
        <v>7281</v>
      </c>
      <c r="J1" t="s">
        <v>7282</v>
      </c>
      <c r="L1" t="s">
        <v>7283</v>
      </c>
      <c r="M1" t="s">
        <v>7284</v>
      </c>
      <c r="N1" t="s">
        <v>7285</v>
      </c>
      <c r="O1" t="s">
        <v>7286</v>
      </c>
    </row>
    <row r="2" spans="1:15">
      <c r="A2" t="s">
        <v>7287</v>
      </c>
      <c r="F2">
        <v>1</v>
      </c>
      <c r="G2">
        <v>1</v>
      </c>
      <c r="H2">
        <v>50</v>
      </c>
      <c r="K2" t="s">
        <v>7288</v>
      </c>
      <c r="M2">
        <v>10</v>
      </c>
      <c r="N2">
        <v>1</v>
      </c>
      <c r="O2">
        <v>1</v>
      </c>
    </row>
    <row r="3" spans="1:15">
      <c r="A3" t="s">
        <v>7289</v>
      </c>
      <c r="B3">
        <v>1</v>
      </c>
      <c r="D3">
        <v>1</v>
      </c>
      <c r="E3">
        <v>-0.5</v>
      </c>
      <c r="F3">
        <v>0.9</v>
      </c>
      <c r="G3">
        <v>0.9</v>
      </c>
      <c r="H3">
        <v>125</v>
      </c>
      <c r="I3">
        <v>1</v>
      </c>
      <c r="J3">
        <v>1</v>
      </c>
      <c r="K3" t="s">
        <v>7290</v>
      </c>
      <c r="M3">
        <v>12</v>
      </c>
      <c r="N3">
        <v>1</v>
      </c>
      <c r="O3">
        <v>2</v>
      </c>
    </row>
    <row r="4" spans="1:15">
      <c r="A4" t="s">
        <v>7291</v>
      </c>
      <c r="B4">
        <v>1</v>
      </c>
      <c r="D4">
        <v>1</v>
      </c>
      <c r="E4">
        <v>-0.5</v>
      </c>
      <c r="F4">
        <v>0.9</v>
      </c>
      <c r="G4">
        <v>0.9</v>
      </c>
      <c r="H4">
        <v>175</v>
      </c>
      <c r="I4">
        <v>2</v>
      </c>
      <c r="J4">
        <v>2</v>
      </c>
      <c r="K4" t="s">
        <v>7292</v>
      </c>
      <c r="M4">
        <v>18</v>
      </c>
      <c r="N4">
        <v>2</v>
      </c>
      <c r="O4">
        <v>4</v>
      </c>
    </row>
    <row r="5" spans="1:15">
      <c r="A5" t="s">
        <v>7293</v>
      </c>
      <c r="B5">
        <v>2</v>
      </c>
      <c r="D5">
        <v>1</v>
      </c>
      <c r="E5">
        <v>-0.5</v>
      </c>
      <c r="F5">
        <v>0.8</v>
      </c>
      <c r="G5">
        <v>0.8</v>
      </c>
      <c r="H5">
        <v>250</v>
      </c>
      <c r="I5">
        <v>3</v>
      </c>
      <c r="J5">
        <v>3</v>
      </c>
      <c r="K5" t="s">
        <v>7292</v>
      </c>
      <c r="M5">
        <v>30</v>
      </c>
      <c r="N5">
        <v>3</v>
      </c>
      <c r="O5">
        <v>5</v>
      </c>
    </row>
    <row r="6" spans="1:15">
      <c r="A6" t="s">
        <v>7294</v>
      </c>
      <c r="B6">
        <v>-1</v>
      </c>
      <c r="D6">
        <v>2</v>
      </c>
      <c r="E6">
        <v>-2</v>
      </c>
      <c r="F6">
        <v>0.5</v>
      </c>
      <c r="G6">
        <v>0.5</v>
      </c>
      <c r="H6">
        <v>1250</v>
      </c>
      <c r="I6">
        <v>0</v>
      </c>
      <c r="J6">
        <v>2</v>
      </c>
      <c r="K6" t="s">
        <v>7295</v>
      </c>
      <c r="M6">
        <v>20</v>
      </c>
      <c r="N6">
        <v>7</v>
      </c>
      <c r="O6">
        <v>7</v>
      </c>
    </row>
    <row r="7" spans="1:15">
      <c r="A7" t="s">
        <v>7296</v>
      </c>
      <c r="B7">
        <v>-1</v>
      </c>
      <c r="C7">
        <v>1</v>
      </c>
      <c r="D7">
        <v>2</v>
      </c>
      <c r="E7">
        <v>-1</v>
      </c>
      <c r="F7">
        <v>0.5</v>
      </c>
      <c r="G7">
        <v>0.5</v>
      </c>
      <c r="H7">
        <v>1500</v>
      </c>
      <c r="I7">
        <v>0</v>
      </c>
      <c r="J7">
        <v>0</v>
      </c>
      <c r="K7" t="s">
        <v>5470</v>
      </c>
      <c r="M7">
        <v>5</v>
      </c>
      <c r="N7">
        <v>5</v>
      </c>
      <c r="O7">
        <v>7</v>
      </c>
    </row>
    <row r="8" spans="1:15">
      <c r="A8" t="s">
        <v>7297</v>
      </c>
      <c r="B8">
        <v>0</v>
      </c>
      <c r="C8">
        <v>-1</v>
      </c>
      <c r="F8">
        <v>1</v>
      </c>
      <c r="G8">
        <v>1</v>
      </c>
      <c r="H8">
        <v>1500</v>
      </c>
      <c r="I8">
        <v>-1</v>
      </c>
      <c r="J8">
        <v>-1</v>
      </c>
      <c r="K8" t="s">
        <v>7298</v>
      </c>
      <c r="M8">
        <v>8</v>
      </c>
      <c r="N8">
        <v>5</v>
      </c>
      <c r="O8">
        <v>6</v>
      </c>
    </row>
    <row r="9" spans="1:15">
      <c r="A9" t="s">
        <v>7299</v>
      </c>
      <c r="B9">
        <v>0</v>
      </c>
      <c r="C9">
        <v>-1</v>
      </c>
      <c r="D9">
        <v>-1</v>
      </c>
      <c r="E9">
        <v>-1</v>
      </c>
      <c r="F9">
        <v>1.2</v>
      </c>
      <c r="G9">
        <v>1.2</v>
      </c>
      <c r="H9">
        <v>1500</v>
      </c>
      <c r="I9">
        <v>-1</v>
      </c>
      <c r="J9">
        <v>-1</v>
      </c>
      <c r="K9" t="s">
        <v>7295</v>
      </c>
      <c r="M9">
        <v>7</v>
      </c>
      <c r="N9">
        <v>7</v>
      </c>
      <c r="O9">
        <v>7</v>
      </c>
    </row>
    <row r="10" spans="1:15">
      <c r="A10" t="s">
        <v>7300</v>
      </c>
      <c r="B10">
        <v>3</v>
      </c>
      <c r="D10">
        <v>1</v>
      </c>
      <c r="E10">
        <v>-0.5</v>
      </c>
      <c r="F10">
        <v>0.8</v>
      </c>
      <c r="G10">
        <v>0.8</v>
      </c>
      <c r="H10">
        <v>88</v>
      </c>
      <c r="I10">
        <v>3</v>
      </c>
      <c r="J10">
        <v>3</v>
      </c>
      <c r="K10" t="s">
        <v>5462</v>
      </c>
      <c r="L10" t="s">
        <v>7301</v>
      </c>
      <c r="M10">
        <v>12</v>
      </c>
      <c r="N10">
        <v>7</v>
      </c>
      <c r="O10">
        <v>7</v>
      </c>
    </row>
    <row r="11" spans="1:15">
      <c r="A11" t="s">
        <v>7302</v>
      </c>
      <c r="B11">
        <v>3</v>
      </c>
      <c r="D11">
        <v>1</v>
      </c>
      <c r="E11">
        <v>-0.5</v>
      </c>
      <c r="F11">
        <v>0.8</v>
      </c>
      <c r="G11">
        <v>0.8</v>
      </c>
      <c r="H11">
        <v>250000</v>
      </c>
      <c r="I11">
        <v>3</v>
      </c>
      <c r="J11">
        <v>6</v>
      </c>
      <c r="K11" t="s">
        <v>7303</v>
      </c>
      <c r="M11">
        <v>120</v>
      </c>
      <c r="N11" t="s">
        <v>3432</v>
      </c>
      <c r="O11" t="s">
        <v>3432</v>
      </c>
    </row>
    <row r="12" spans="1:15">
      <c r="A12" t="s">
        <v>5524</v>
      </c>
      <c r="B12">
        <v>-3</v>
      </c>
      <c r="C12">
        <v>2</v>
      </c>
      <c r="D12">
        <v>2</v>
      </c>
      <c r="E12">
        <v>-1.5</v>
      </c>
      <c r="F12">
        <v>0.5</v>
      </c>
      <c r="G12">
        <v>0.5</v>
      </c>
      <c r="H12">
        <v>0.1</v>
      </c>
      <c r="I12">
        <v>-11</v>
      </c>
      <c r="J12">
        <v>-7</v>
      </c>
      <c r="K12" t="s">
        <v>7304</v>
      </c>
      <c r="M12">
        <v>0</v>
      </c>
      <c r="N12">
        <v>1</v>
      </c>
      <c r="O12">
        <v>1</v>
      </c>
    </row>
    <row r="13" spans="1:15">
      <c r="A13" t="s">
        <v>7305</v>
      </c>
      <c r="B13">
        <v>0</v>
      </c>
      <c r="C13">
        <v>1</v>
      </c>
      <c r="D13">
        <v>2</v>
      </c>
      <c r="E13">
        <v>-1</v>
      </c>
      <c r="F13">
        <v>0.5</v>
      </c>
      <c r="G13">
        <v>0.5</v>
      </c>
      <c r="H13">
        <v>0.1</v>
      </c>
      <c r="I13">
        <v>-4</v>
      </c>
      <c r="J13">
        <v>-5</v>
      </c>
      <c r="K13" t="s">
        <v>7304</v>
      </c>
      <c r="M13">
        <v>2</v>
      </c>
      <c r="N13">
        <v>1</v>
      </c>
      <c r="O13">
        <v>1</v>
      </c>
    </row>
    <row r="14" spans="1:15">
      <c r="A14" t="s">
        <v>5525</v>
      </c>
      <c r="B14">
        <v>0</v>
      </c>
      <c r="C14">
        <v>-3</v>
      </c>
      <c r="D14">
        <v>-2</v>
      </c>
      <c r="E14">
        <v>1</v>
      </c>
      <c r="F14">
        <v>1.3</v>
      </c>
      <c r="G14">
        <v>1.3</v>
      </c>
      <c r="H14">
        <v>0.1</v>
      </c>
      <c r="I14">
        <v>-2</v>
      </c>
      <c r="J14">
        <v>-3</v>
      </c>
      <c r="K14" t="s">
        <v>5466</v>
      </c>
      <c r="M14">
        <v>5</v>
      </c>
      <c r="N14">
        <v>1</v>
      </c>
      <c r="O14">
        <v>1</v>
      </c>
    </row>
    <row r="15" spans="1:15">
      <c r="A15" t="s">
        <v>7306</v>
      </c>
      <c r="B15">
        <v>0</v>
      </c>
      <c r="C15">
        <v>-2</v>
      </c>
      <c r="D15">
        <v>-1</v>
      </c>
      <c r="E15">
        <v>1</v>
      </c>
      <c r="F15">
        <v>1.1000000000000001</v>
      </c>
      <c r="G15">
        <v>1.1000000000000001</v>
      </c>
      <c r="H15">
        <v>0.25</v>
      </c>
      <c r="I15">
        <v>-2</v>
      </c>
      <c r="J15">
        <v>-2</v>
      </c>
      <c r="K15" t="s">
        <v>7307</v>
      </c>
      <c r="M15">
        <v>4</v>
      </c>
      <c r="N15">
        <v>5</v>
      </c>
      <c r="O15">
        <v>1</v>
      </c>
    </row>
    <row r="16" spans="1:15">
      <c r="A16" t="s">
        <v>7308</v>
      </c>
      <c r="B16">
        <v>0</v>
      </c>
      <c r="E16">
        <v>0</v>
      </c>
      <c r="F16">
        <v>1</v>
      </c>
      <c r="G16">
        <v>1</v>
      </c>
      <c r="H16">
        <v>0.3</v>
      </c>
      <c r="K16" t="s">
        <v>7304</v>
      </c>
      <c r="M16">
        <v>5</v>
      </c>
      <c r="N16">
        <v>1</v>
      </c>
      <c r="O16">
        <v>1</v>
      </c>
    </row>
    <row r="17" spans="1:15">
      <c r="A17" t="s">
        <v>7309</v>
      </c>
      <c r="B17">
        <v>-2</v>
      </c>
      <c r="C17">
        <v>1</v>
      </c>
      <c r="D17">
        <v>2</v>
      </c>
      <c r="E17">
        <v>-1</v>
      </c>
      <c r="F17">
        <v>0.7</v>
      </c>
      <c r="G17">
        <v>0.7</v>
      </c>
      <c r="H17">
        <v>3</v>
      </c>
      <c r="I17">
        <v>-7</v>
      </c>
      <c r="J17">
        <v>-5</v>
      </c>
      <c r="K17" t="s">
        <v>7304</v>
      </c>
      <c r="L17" t="s">
        <v>7310</v>
      </c>
      <c r="M17">
        <v>3</v>
      </c>
      <c r="N17">
        <v>2</v>
      </c>
      <c r="O17">
        <v>2</v>
      </c>
    </row>
    <row r="18" spans="1:15">
      <c r="A18" t="s">
        <v>7311</v>
      </c>
      <c r="B18">
        <v>-1</v>
      </c>
      <c r="C18">
        <v>-3</v>
      </c>
      <c r="D18">
        <v>-2</v>
      </c>
      <c r="E18">
        <v>-1</v>
      </c>
      <c r="F18">
        <v>1.1000000000000001</v>
      </c>
      <c r="G18">
        <v>1.1000000000000001</v>
      </c>
      <c r="H18">
        <v>3</v>
      </c>
      <c r="I18">
        <v>-4</v>
      </c>
      <c r="J18">
        <v>-5</v>
      </c>
      <c r="K18" t="s">
        <v>7307</v>
      </c>
      <c r="M18">
        <v>5</v>
      </c>
      <c r="N18">
        <v>7</v>
      </c>
      <c r="O18">
        <v>3</v>
      </c>
    </row>
    <row r="19" spans="1:15">
      <c r="A19" t="s">
        <v>7312</v>
      </c>
      <c r="B19">
        <v>0</v>
      </c>
      <c r="C19">
        <v>-1</v>
      </c>
      <c r="D19">
        <v>2</v>
      </c>
      <c r="E19">
        <v>-1</v>
      </c>
      <c r="F19">
        <v>0.5</v>
      </c>
      <c r="G19">
        <v>0.5</v>
      </c>
      <c r="H19">
        <v>20</v>
      </c>
      <c r="I19">
        <v>-2</v>
      </c>
      <c r="K19" t="s">
        <v>7313</v>
      </c>
      <c r="M19">
        <v>3</v>
      </c>
      <c r="N19">
        <v>5</v>
      </c>
      <c r="O19">
        <v>2</v>
      </c>
    </row>
    <row r="20" spans="1:15">
      <c r="A20" t="s">
        <v>7314</v>
      </c>
      <c r="B20">
        <v>-1</v>
      </c>
      <c r="C20">
        <v>-1</v>
      </c>
      <c r="E20">
        <v>0.5</v>
      </c>
      <c r="F20">
        <v>1.1000000000000001</v>
      </c>
      <c r="G20">
        <v>1.1000000000000001</v>
      </c>
      <c r="H20">
        <v>25</v>
      </c>
      <c r="I20">
        <v>-2</v>
      </c>
      <c r="J20">
        <v>-2</v>
      </c>
      <c r="K20" t="s">
        <v>7315</v>
      </c>
      <c r="M20">
        <v>5</v>
      </c>
      <c r="N20">
        <v>1</v>
      </c>
      <c r="O20">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4"/>
  <sheetViews>
    <sheetView workbookViewId="0"/>
  </sheetViews>
  <sheetFormatPr baseColWidth="10" defaultColWidth="9.140625" defaultRowHeight="15"/>
  <sheetData>
    <row r="1" spans="1:16">
      <c r="A1" t="s">
        <v>7222</v>
      </c>
      <c r="B1" t="s">
        <v>7275</v>
      </c>
      <c r="C1" t="s">
        <v>7276</v>
      </c>
      <c r="D1" t="s">
        <v>7277</v>
      </c>
      <c r="E1" t="s">
        <v>7278</v>
      </c>
      <c r="F1" t="s">
        <v>7316</v>
      </c>
      <c r="G1" t="s">
        <v>7317</v>
      </c>
      <c r="H1" t="s">
        <v>7225</v>
      </c>
      <c r="I1" t="s">
        <v>7318</v>
      </c>
      <c r="J1" t="s">
        <v>7319</v>
      </c>
      <c r="K1" t="s">
        <v>5455</v>
      </c>
      <c r="L1" t="s">
        <v>7283</v>
      </c>
      <c r="N1" t="s">
        <v>7259</v>
      </c>
      <c r="O1" t="s">
        <v>7285</v>
      </c>
      <c r="P1" t="s">
        <v>7286</v>
      </c>
    </row>
    <row r="2" spans="1:16">
      <c r="A2" t="s">
        <v>7320</v>
      </c>
      <c r="H2">
        <v>1</v>
      </c>
      <c r="K2" t="s">
        <v>7321</v>
      </c>
      <c r="M2">
        <v>0</v>
      </c>
      <c r="N2">
        <v>0</v>
      </c>
      <c r="O2">
        <v>1</v>
      </c>
      <c r="P2">
        <v>1</v>
      </c>
    </row>
    <row r="3" spans="1:16">
      <c r="A3" t="s">
        <v>7230</v>
      </c>
      <c r="C3">
        <v>1</v>
      </c>
      <c r="D3">
        <v>1</v>
      </c>
      <c r="G3">
        <v>-2</v>
      </c>
      <c r="H3">
        <v>2</v>
      </c>
      <c r="K3" t="s">
        <v>7304</v>
      </c>
      <c r="M3">
        <v>6</v>
      </c>
      <c r="N3">
        <v>1</v>
      </c>
      <c r="O3">
        <v>2</v>
      </c>
      <c r="P3">
        <v>3</v>
      </c>
    </row>
    <row r="4" spans="1:16">
      <c r="A4" t="s">
        <v>7322</v>
      </c>
      <c r="C4">
        <v>2</v>
      </c>
      <c r="D4">
        <v>2</v>
      </c>
      <c r="G4">
        <v>-4</v>
      </c>
      <c r="H4">
        <v>5</v>
      </c>
      <c r="K4" t="s">
        <v>7304</v>
      </c>
      <c r="M4">
        <v>12</v>
      </c>
      <c r="N4">
        <v>2</v>
      </c>
      <c r="O4">
        <v>3</v>
      </c>
      <c r="P4">
        <v>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6"/>
  <sheetViews>
    <sheetView workbookViewId="0"/>
  </sheetViews>
  <sheetFormatPr baseColWidth="10" defaultColWidth="9.140625" defaultRowHeight="15"/>
  <sheetData>
    <row r="1" spans="1:16">
      <c r="A1" t="s">
        <v>7323</v>
      </c>
      <c r="B1" t="s">
        <v>7275</v>
      </c>
      <c r="C1" t="s">
        <v>7276</v>
      </c>
      <c r="D1" t="s">
        <v>7277</v>
      </c>
      <c r="E1" t="s">
        <v>7278</v>
      </c>
      <c r="F1" t="s">
        <v>7316</v>
      </c>
      <c r="G1" t="s">
        <v>7317</v>
      </c>
      <c r="H1" t="s">
        <v>7324</v>
      </c>
      <c r="I1" t="s">
        <v>7318</v>
      </c>
      <c r="J1" t="s">
        <v>7319</v>
      </c>
      <c r="K1" t="s">
        <v>5455</v>
      </c>
      <c r="L1" t="s">
        <v>7283</v>
      </c>
      <c r="O1" t="s">
        <v>7285</v>
      </c>
      <c r="P1" t="s">
        <v>7286</v>
      </c>
    </row>
    <row r="2" spans="1:16">
      <c r="A2" t="s">
        <v>7321</v>
      </c>
      <c r="K2" t="s">
        <v>7304</v>
      </c>
      <c r="M2">
        <v>0</v>
      </c>
      <c r="O2">
        <v>1</v>
      </c>
      <c r="P2">
        <v>1</v>
      </c>
    </row>
    <row r="3" spans="1:16">
      <c r="A3" t="s">
        <v>7325</v>
      </c>
      <c r="C3">
        <v>-1</v>
      </c>
      <c r="D3">
        <v>-1</v>
      </c>
      <c r="G3">
        <v>2</v>
      </c>
      <c r="H3">
        <v>37.5</v>
      </c>
      <c r="J3">
        <v>2</v>
      </c>
      <c r="K3" t="s">
        <v>7288</v>
      </c>
      <c r="M3">
        <v>10</v>
      </c>
      <c r="N3">
        <v>0.5</v>
      </c>
      <c r="O3">
        <v>1</v>
      </c>
      <c r="P3">
        <v>1</v>
      </c>
    </row>
    <row r="4" spans="1:16">
      <c r="A4" t="s">
        <v>7326</v>
      </c>
      <c r="C4">
        <v>-2</v>
      </c>
      <c r="D4">
        <v>-2</v>
      </c>
      <c r="G4">
        <v>3</v>
      </c>
      <c r="H4">
        <v>275</v>
      </c>
      <c r="J4">
        <v>3</v>
      </c>
      <c r="K4" t="s">
        <v>7288</v>
      </c>
      <c r="M4">
        <v>10</v>
      </c>
      <c r="N4">
        <v>0.5</v>
      </c>
      <c r="O4">
        <v>1</v>
      </c>
      <c r="P4">
        <v>1</v>
      </c>
    </row>
    <row r="5" spans="1:16">
      <c r="A5" t="s">
        <v>7327</v>
      </c>
      <c r="C5">
        <v>-1</v>
      </c>
      <c r="D5">
        <v>-1</v>
      </c>
      <c r="G5">
        <v>2</v>
      </c>
      <c r="H5">
        <v>93.75</v>
      </c>
      <c r="J5">
        <v>3</v>
      </c>
      <c r="K5" t="s">
        <v>7290</v>
      </c>
      <c r="M5">
        <v>12</v>
      </c>
      <c r="N5">
        <v>0.5</v>
      </c>
      <c r="O5">
        <v>1</v>
      </c>
      <c r="P5">
        <v>2</v>
      </c>
    </row>
    <row r="6" spans="1:16">
      <c r="A6" t="s">
        <v>7328</v>
      </c>
      <c r="C6">
        <v>-2</v>
      </c>
      <c r="D6">
        <v>-2</v>
      </c>
      <c r="G6">
        <v>3</v>
      </c>
      <c r="H6">
        <v>687.5</v>
      </c>
      <c r="J6">
        <v>4</v>
      </c>
      <c r="K6" t="s">
        <v>7290</v>
      </c>
      <c r="M6">
        <v>12</v>
      </c>
      <c r="N6">
        <v>0.5</v>
      </c>
      <c r="O6">
        <v>1</v>
      </c>
      <c r="P6">
        <v>2</v>
      </c>
    </row>
    <row r="7" spans="1:16">
      <c r="A7" t="s">
        <v>7291</v>
      </c>
      <c r="C7">
        <v>-1</v>
      </c>
      <c r="D7">
        <v>-1</v>
      </c>
      <c r="G7">
        <v>2</v>
      </c>
      <c r="H7">
        <v>131.25</v>
      </c>
      <c r="J7">
        <v>4</v>
      </c>
      <c r="K7" t="s">
        <v>7292</v>
      </c>
      <c r="M7">
        <v>18</v>
      </c>
      <c r="N7">
        <v>0.5</v>
      </c>
      <c r="O7">
        <v>2</v>
      </c>
      <c r="P7">
        <v>4</v>
      </c>
    </row>
    <row r="8" spans="1:16">
      <c r="A8" t="s">
        <v>7329</v>
      </c>
      <c r="C8">
        <v>-2</v>
      </c>
      <c r="D8">
        <v>-2</v>
      </c>
      <c r="G8">
        <v>3</v>
      </c>
      <c r="H8">
        <v>962.5</v>
      </c>
      <c r="J8">
        <v>5</v>
      </c>
      <c r="K8" t="s">
        <v>7292</v>
      </c>
      <c r="M8">
        <v>18</v>
      </c>
      <c r="N8">
        <v>0.5</v>
      </c>
      <c r="O8">
        <v>2</v>
      </c>
      <c r="P8">
        <v>4</v>
      </c>
    </row>
    <row r="9" spans="1:16">
      <c r="A9" t="s">
        <v>7330</v>
      </c>
      <c r="C9">
        <v>-1</v>
      </c>
      <c r="D9">
        <v>-1</v>
      </c>
      <c r="G9">
        <v>2</v>
      </c>
      <c r="H9">
        <v>187.5</v>
      </c>
      <c r="J9">
        <v>5</v>
      </c>
      <c r="K9" t="s">
        <v>7292</v>
      </c>
      <c r="M9">
        <v>30</v>
      </c>
      <c r="N9">
        <v>0.5</v>
      </c>
      <c r="O9">
        <v>3</v>
      </c>
      <c r="P9">
        <v>5</v>
      </c>
    </row>
    <row r="10" spans="1:16">
      <c r="A10" t="s">
        <v>7331</v>
      </c>
      <c r="C10">
        <v>-2</v>
      </c>
      <c r="D10">
        <v>-2</v>
      </c>
      <c r="G10">
        <v>3</v>
      </c>
      <c r="H10">
        <v>1375</v>
      </c>
      <c r="J10">
        <v>6</v>
      </c>
      <c r="K10" t="s">
        <v>7292</v>
      </c>
      <c r="M10">
        <v>30</v>
      </c>
      <c r="N10">
        <v>0.5</v>
      </c>
      <c r="O10">
        <v>3</v>
      </c>
      <c r="P10">
        <v>5</v>
      </c>
    </row>
    <row r="11" spans="1:16">
      <c r="A11" t="s">
        <v>7332</v>
      </c>
      <c r="C11">
        <v>0</v>
      </c>
      <c r="D11">
        <v>-1</v>
      </c>
      <c r="G11">
        <v>1</v>
      </c>
      <c r="H11">
        <v>1875</v>
      </c>
      <c r="J11">
        <v>2</v>
      </c>
      <c r="K11" t="s">
        <v>7295</v>
      </c>
      <c r="M11">
        <v>20</v>
      </c>
      <c r="N11">
        <v>0.5</v>
      </c>
      <c r="O11">
        <v>7</v>
      </c>
      <c r="P11">
        <v>7</v>
      </c>
    </row>
    <row r="12" spans="1:16">
      <c r="A12" t="s">
        <v>7333</v>
      </c>
      <c r="C12">
        <v>-1</v>
      </c>
      <c r="D12">
        <v>-1</v>
      </c>
      <c r="G12">
        <v>1</v>
      </c>
      <c r="H12">
        <v>13750</v>
      </c>
      <c r="J12">
        <v>3</v>
      </c>
      <c r="K12" t="s">
        <v>7295</v>
      </c>
      <c r="M12">
        <v>20</v>
      </c>
      <c r="N12">
        <v>0.5</v>
      </c>
      <c r="O12">
        <v>7</v>
      </c>
      <c r="P12">
        <v>7</v>
      </c>
    </row>
    <row r="13" spans="1:16">
      <c r="A13" t="s">
        <v>7334</v>
      </c>
      <c r="C13">
        <v>-1</v>
      </c>
      <c r="D13">
        <v>-1</v>
      </c>
      <c r="G13">
        <v>2</v>
      </c>
      <c r="H13">
        <v>187500</v>
      </c>
      <c r="J13">
        <v>6</v>
      </c>
      <c r="K13" t="s">
        <v>7303</v>
      </c>
      <c r="M13">
        <v>120</v>
      </c>
      <c r="N13">
        <v>0.5</v>
      </c>
      <c r="O13" t="s">
        <v>3432</v>
      </c>
      <c r="P13" t="s">
        <v>3432</v>
      </c>
    </row>
    <row r="14" spans="1:16">
      <c r="A14" t="s">
        <v>7335</v>
      </c>
      <c r="C14">
        <v>-2</v>
      </c>
      <c r="D14">
        <v>-2</v>
      </c>
      <c r="G14">
        <v>3</v>
      </c>
      <c r="H14">
        <v>137500</v>
      </c>
      <c r="J14">
        <v>7</v>
      </c>
      <c r="K14" t="s">
        <v>7303</v>
      </c>
      <c r="M14">
        <v>120</v>
      </c>
      <c r="N14">
        <v>0.5</v>
      </c>
      <c r="O14" t="s">
        <v>3432</v>
      </c>
      <c r="P14" t="s">
        <v>3432</v>
      </c>
    </row>
    <row r="15" spans="1:16">
      <c r="A15" t="s">
        <v>7336</v>
      </c>
      <c r="C15">
        <v>-1</v>
      </c>
      <c r="D15">
        <v>-1</v>
      </c>
      <c r="G15">
        <v>2</v>
      </c>
      <c r="H15">
        <v>18.75</v>
      </c>
      <c r="J15">
        <v>1</v>
      </c>
      <c r="K15" t="s">
        <v>7315</v>
      </c>
      <c r="M15">
        <v>5</v>
      </c>
      <c r="N15">
        <v>0.5</v>
      </c>
      <c r="O15">
        <v>1</v>
      </c>
      <c r="P15">
        <v>1</v>
      </c>
    </row>
    <row r="16" spans="1:16">
      <c r="A16" t="s">
        <v>7337</v>
      </c>
      <c r="C16">
        <v>-2</v>
      </c>
      <c r="D16">
        <v>-2</v>
      </c>
      <c r="G16">
        <v>3</v>
      </c>
      <c r="H16">
        <v>137.5</v>
      </c>
      <c r="J16">
        <v>2</v>
      </c>
      <c r="K16" t="s">
        <v>7315</v>
      </c>
      <c r="M16">
        <v>5</v>
      </c>
      <c r="N16">
        <v>0.5</v>
      </c>
      <c r="O16">
        <v>1</v>
      </c>
      <c r="P16">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8"/>
  <sheetViews>
    <sheetView workbookViewId="0"/>
  </sheetViews>
  <sheetFormatPr baseColWidth="10" defaultColWidth="9.140625" defaultRowHeight="15"/>
  <sheetData>
    <row r="1" spans="1:15">
      <c r="A1" t="s">
        <v>7338</v>
      </c>
      <c r="B1" t="s">
        <v>7275</v>
      </c>
      <c r="C1" t="s">
        <v>7276</v>
      </c>
      <c r="D1" t="s">
        <v>7277</v>
      </c>
      <c r="E1" t="s">
        <v>7278</v>
      </c>
      <c r="F1" t="s">
        <v>7316</v>
      </c>
      <c r="G1" t="s">
        <v>7317</v>
      </c>
      <c r="H1" t="s">
        <v>7225</v>
      </c>
      <c r="I1" t="s">
        <v>7318</v>
      </c>
      <c r="J1" t="s">
        <v>7319</v>
      </c>
      <c r="K1" t="s">
        <v>5455</v>
      </c>
      <c r="L1" t="s">
        <v>7283</v>
      </c>
      <c r="N1" t="s">
        <v>7285</v>
      </c>
      <c r="O1" t="s">
        <v>7286</v>
      </c>
    </row>
    <row r="2" spans="1:15">
      <c r="A2" t="s">
        <v>7339</v>
      </c>
      <c r="H2">
        <v>1.5</v>
      </c>
      <c r="I2">
        <v>-3</v>
      </c>
      <c r="J2">
        <v>-6</v>
      </c>
      <c r="K2" t="s">
        <v>7304</v>
      </c>
      <c r="M2">
        <v>-6</v>
      </c>
      <c r="N2">
        <v>1</v>
      </c>
      <c r="O2">
        <v>1</v>
      </c>
    </row>
    <row r="3" spans="1:15">
      <c r="A3" t="s">
        <v>7340</v>
      </c>
      <c r="H3">
        <v>2</v>
      </c>
      <c r="I3">
        <v>-2</v>
      </c>
      <c r="J3">
        <v>-3</v>
      </c>
      <c r="K3" t="s">
        <v>5580</v>
      </c>
      <c r="M3">
        <v>-4</v>
      </c>
      <c r="N3">
        <v>1</v>
      </c>
      <c r="O3">
        <v>1</v>
      </c>
    </row>
    <row r="4" spans="1:15">
      <c r="A4" t="s">
        <v>7341</v>
      </c>
      <c r="H4">
        <v>4</v>
      </c>
      <c r="I4">
        <v>-1</v>
      </c>
      <c r="J4">
        <v>-1</v>
      </c>
      <c r="K4" t="s">
        <v>7304</v>
      </c>
      <c r="M4">
        <v>-3</v>
      </c>
      <c r="N4">
        <v>1</v>
      </c>
      <c r="O4">
        <v>1</v>
      </c>
    </row>
    <row r="5" spans="1:15">
      <c r="A5" t="s">
        <v>7243</v>
      </c>
      <c r="H5">
        <v>6</v>
      </c>
      <c r="K5" t="s">
        <v>7321</v>
      </c>
      <c r="M5">
        <v>0</v>
      </c>
      <c r="N5">
        <v>1</v>
      </c>
      <c r="O5">
        <v>1</v>
      </c>
    </row>
    <row r="6" spans="1:15">
      <c r="A6" t="s">
        <v>7342</v>
      </c>
      <c r="H6">
        <v>65</v>
      </c>
      <c r="I6">
        <v>1</v>
      </c>
      <c r="J6">
        <v>1</v>
      </c>
      <c r="K6" t="s">
        <v>7304</v>
      </c>
      <c r="M6">
        <v>6</v>
      </c>
      <c r="N6">
        <v>2</v>
      </c>
      <c r="O6">
        <v>3</v>
      </c>
    </row>
    <row r="7" spans="1:15">
      <c r="A7" t="s">
        <v>7241</v>
      </c>
      <c r="H7">
        <v>71</v>
      </c>
      <c r="I7">
        <v>2</v>
      </c>
      <c r="J7">
        <v>2</v>
      </c>
      <c r="K7" t="s">
        <v>7304</v>
      </c>
      <c r="M7">
        <v>12</v>
      </c>
      <c r="N7">
        <v>3</v>
      </c>
      <c r="O7">
        <v>5</v>
      </c>
    </row>
    <row r="8" spans="1:15">
      <c r="A8" t="s">
        <v>7343</v>
      </c>
      <c r="H8">
        <v>142</v>
      </c>
      <c r="I8">
        <v>3</v>
      </c>
      <c r="J8">
        <v>3</v>
      </c>
      <c r="K8" t="s">
        <v>7304</v>
      </c>
      <c r="M8">
        <v>24</v>
      </c>
      <c r="N8">
        <v>7</v>
      </c>
      <c r="O8">
        <v>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42"/>
  <sheetViews>
    <sheetView workbookViewId="0"/>
  </sheetViews>
  <sheetFormatPr baseColWidth="10" defaultColWidth="9.140625" defaultRowHeight="15"/>
  <sheetData>
    <row r="1" spans="1:27">
      <c r="A1" t="s">
        <v>7344</v>
      </c>
      <c r="B1" t="s">
        <v>5553</v>
      </c>
      <c r="C1" t="s">
        <v>7274</v>
      </c>
      <c r="D1" t="s">
        <v>1398</v>
      </c>
      <c r="E1" t="s">
        <v>7345</v>
      </c>
      <c r="F1" t="s">
        <v>7346</v>
      </c>
      <c r="G1" t="s">
        <v>7347</v>
      </c>
      <c r="H1" t="s">
        <v>7348</v>
      </c>
      <c r="I1" t="s">
        <v>7349</v>
      </c>
      <c r="J1" t="s">
        <v>7350</v>
      </c>
      <c r="K1" t="s">
        <v>7351</v>
      </c>
      <c r="L1" t="s">
        <v>7352</v>
      </c>
      <c r="M1" t="s">
        <v>7353</v>
      </c>
      <c r="N1" t="s">
        <v>7354</v>
      </c>
      <c r="O1" t="s">
        <v>7355</v>
      </c>
      <c r="P1" t="s">
        <v>7356</v>
      </c>
      <c r="Q1" t="s">
        <v>7357</v>
      </c>
      <c r="R1" t="s">
        <v>7358</v>
      </c>
      <c r="S1" t="s">
        <v>7359</v>
      </c>
      <c r="T1" t="s">
        <v>7360</v>
      </c>
      <c r="U1" t="s">
        <v>7361</v>
      </c>
      <c r="V1" t="s">
        <v>7362</v>
      </c>
      <c r="W1" t="s">
        <v>5455</v>
      </c>
      <c r="X1" t="s">
        <v>7363</v>
      </c>
      <c r="Y1" t="s">
        <v>7364</v>
      </c>
      <c r="Z1" t="s">
        <v>7285</v>
      </c>
      <c r="AA1" t="s">
        <v>7286</v>
      </c>
    </row>
    <row r="2" spans="1:27">
      <c r="A2" t="s">
        <v>1424</v>
      </c>
      <c r="B2" t="s">
        <v>7365</v>
      </c>
      <c r="C2" t="s">
        <v>7365</v>
      </c>
      <c r="D2">
        <v>5</v>
      </c>
      <c r="E2">
        <v>3</v>
      </c>
      <c r="F2" t="s">
        <v>5498</v>
      </c>
      <c r="G2" t="s">
        <v>5496</v>
      </c>
      <c r="H2">
        <v>3</v>
      </c>
      <c r="I2">
        <v>-6</v>
      </c>
      <c r="J2">
        <v>0</v>
      </c>
      <c r="K2">
        <v>-2</v>
      </c>
      <c r="L2">
        <v>-4</v>
      </c>
      <c r="M2">
        <v>8</v>
      </c>
      <c r="O2">
        <v>0.5</v>
      </c>
      <c r="P2">
        <v>0</v>
      </c>
      <c r="Q2" t="s">
        <v>7366</v>
      </c>
      <c r="R2">
        <v>12</v>
      </c>
      <c r="S2">
        <v>14</v>
      </c>
      <c r="T2">
        <v>10</v>
      </c>
      <c r="U2">
        <v>0.7</v>
      </c>
      <c r="V2">
        <v>3</v>
      </c>
      <c r="Z2">
        <v>1</v>
      </c>
      <c r="AA2">
        <v>1</v>
      </c>
    </row>
    <row r="3" spans="1:27">
      <c r="A3" t="s">
        <v>1422</v>
      </c>
      <c r="B3" t="s">
        <v>7367</v>
      </c>
      <c r="C3" t="s">
        <v>7365</v>
      </c>
      <c r="D3">
        <v>5</v>
      </c>
      <c r="E3">
        <v>3</v>
      </c>
      <c r="F3" t="s">
        <v>5498</v>
      </c>
      <c r="G3" t="s">
        <v>5496</v>
      </c>
      <c r="H3">
        <v>3</v>
      </c>
      <c r="I3">
        <v>-6</v>
      </c>
      <c r="J3">
        <v>0</v>
      </c>
      <c r="K3">
        <v>-2</v>
      </c>
      <c r="L3">
        <v>-4</v>
      </c>
      <c r="M3">
        <v>8</v>
      </c>
      <c r="O3">
        <v>0.5</v>
      </c>
      <c r="P3">
        <v>0</v>
      </c>
      <c r="Q3" t="s">
        <v>7366</v>
      </c>
      <c r="R3">
        <v>12</v>
      </c>
      <c r="S3">
        <v>14</v>
      </c>
      <c r="T3">
        <v>10</v>
      </c>
      <c r="U3">
        <v>0.7</v>
      </c>
      <c r="V3">
        <v>3</v>
      </c>
      <c r="Z3">
        <v>1</v>
      </c>
      <c r="AA3">
        <v>1</v>
      </c>
    </row>
    <row r="4" spans="1:27">
      <c r="A4" t="s">
        <v>1424</v>
      </c>
      <c r="B4" t="s">
        <v>7365</v>
      </c>
      <c r="C4" t="s">
        <v>7368</v>
      </c>
      <c r="D4">
        <v>5</v>
      </c>
      <c r="E4">
        <v>2.5</v>
      </c>
      <c r="F4" t="s">
        <v>5499</v>
      </c>
      <c r="G4" t="s">
        <v>5486</v>
      </c>
      <c r="H4">
        <v>3</v>
      </c>
      <c r="I4">
        <v>-6</v>
      </c>
      <c r="J4">
        <v>0</v>
      </c>
      <c r="K4">
        <v>-2</v>
      </c>
      <c r="L4">
        <v>-3</v>
      </c>
      <c r="M4">
        <v>7</v>
      </c>
      <c r="O4">
        <v>0.5</v>
      </c>
      <c r="P4">
        <v>0</v>
      </c>
      <c r="Q4" t="s">
        <v>7366</v>
      </c>
      <c r="R4">
        <v>12</v>
      </c>
      <c r="S4">
        <v>13</v>
      </c>
      <c r="T4">
        <v>12</v>
      </c>
      <c r="U4">
        <v>0.6</v>
      </c>
      <c r="V4">
        <v>4</v>
      </c>
      <c r="W4" t="s">
        <v>5463</v>
      </c>
      <c r="Z4">
        <v>1</v>
      </c>
      <c r="AA4">
        <v>1</v>
      </c>
    </row>
    <row r="5" spans="1:27">
      <c r="A5" t="s">
        <v>1415</v>
      </c>
      <c r="B5" t="s">
        <v>7369</v>
      </c>
      <c r="C5" t="s">
        <v>7370</v>
      </c>
      <c r="D5">
        <v>7</v>
      </c>
      <c r="E5">
        <v>6</v>
      </c>
      <c r="F5" t="s">
        <v>5500</v>
      </c>
      <c r="H5">
        <v>2</v>
      </c>
      <c r="I5">
        <v>-6</v>
      </c>
      <c r="J5">
        <v>0</v>
      </c>
      <c r="K5">
        <v>-4</v>
      </c>
      <c r="L5">
        <v>-5</v>
      </c>
      <c r="M5">
        <v>17</v>
      </c>
      <c r="N5">
        <v>10</v>
      </c>
      <c r="O5">
        <v>0.72</v>
      </c>
      <c r="P5">
        <v>3</v>
      </c>
      <c r="Q5" t="s">
        <v>7371</v>
      </c>
      <c r="R5">
        <v>17</v>
      </c>
      <c r="S5">
        <v>7</v>
      </c>
      <c r="T5">
        <v>8</v>
      </c>
      <c r="U5">
        <v>1.8</v>
      </c>
      <c r="V5">
        <v>1.5</v>
      </c>
      <c r="Z5">
        <v>1</v>
      </c>
      <c r="AA5">
        <v>1</v>
      </c>
    </row>
    <row r="6" spans="1:27">
      <c r="A6" t="s">
        <v>1422</v>
      </c>
      <c r="B6" t="s">
        <v>7367</v>
      </c>
      <c r="C6" t="s">
        <v>7372</v>
      </c>
      <c r="D6">
        <v>6</v>
      </c>
      <c r="E6">
        <v>3</v>
      </c>
      <c r="F6" t="s">
        <v>5499</v>
      </c>
      <c r="G6" t="s">
        <v>5486</v>
      </c>
      <c r="H6">
        <v>5</v>
      </c>
      <c r="I6">
        <v>-3</v>
      </c>
      <c r="J6">
        <v>0</v>
      </c>
      <c r="K6">
        <v>-3</v>
      </c>
      <c r="L6">
        <v>-5</v>
      </c>
      <c r="M6">
        <v>7</v>
      </c>
      <c r="N6">
        <v>5</v>
      </c>
      <c r="O6">
        <v>0.6</v>
      </c>
      <c r="P6">
        <v>4</v>
      </c>
      <c r="R6">
        <v>9</v>
      </c>
      <c r="S6">
        <v>15</v>
      </c>
      <c r="T6">
        <v>5</v>
      </c>
      <c r="U6">
        <v>0.6</v>
      </c>
      <c r="V6">
        <v>1</v>
      </c>
      <c r="Z6">
        <v>1</v>
      </c>
      <c r="AA6">
        <v>1</v>
      </c>
    </row>
    <row r="7" spans="1:27">
      <c r="A7" t="s">
        <v>1420</v>
      </c>
      <c r="B7" t="s">
        <v>7373</v>
      </c>
      <c r="C7" t="s">
        <v>7374</v>
      </c>
      <c r="D7">
        <v>21</v>
      </c>
      <c r="E7">
        <v>3</v>
      </c>
      <c r="F7" t="s">
        <v>5499</v>
      </c>
      <c r="G7" t="s">
        <v>5486</v>
      </c>
      <c r="H7">
        <v>5</v>
      </c>
      <c r="I7">
        <v>-4</v>
      </c>
      <c r="J7">
        <v>0</v>
      </c>
      <c r="K7">
        <v>-5</v>
      </c>
      <c r="L7">
        <v>-5</v>
      </c>
      <c r="M7" t="s">
        <v>7375</v>
      </c>
      <c r="N7" t="s">
        <v>7376</v>
      </c>
      <c r="O7">
        <v>2</v>
      </c>
      <c r="P7">
        <v>4</v>
      </c>
      <c r="R7">
        <v>3</v>
      </c>
      <c r="S7">
        <v>8</v>
      </c>
      <c r="T7">
        <v>5</v>
      </c>
      <c r="U7">
        <v>0.6</v>
      </c>
      <c r="V7">
        <v>1</v>
      </c>
      <c r="Z7">
        <v>1</v>
      </c>
      <c r="AA7">
        <v>1</v>
      </c>
    </row>
    <row r="8" spans="1:27">
      <c r="A8" t="s">
        <v>1415</v>
      </c>
      <c r="B8" t="s">
        <v>7377</v>
      </c>
      <c r="C8" t="s">
        <v>7378</v>
      </c>
      <c r="D8">
        <v>14</v>
      </c>
      <c r="E8">
        <v>8</v>
      </c>
      <c r="F8" t="s">
        <v>5500</v>
      </c>
      <c r="G8" t="s">
        <v>7379</v>
      </c>
      <c r="H8">
        <v>1.5</v>
      </c>
      <c r="I8">
        <v>-16</v>
      </c>
      <c r="J8">
        <v>0</v>
      </c>
      <c r="K8">
        <v>-7</v>
      </c>
      <c r="L8">
        <v>-7</v>
      </c>
      <c r="M8">
        <v>36</v>
      </c>
      <c r="N8">
        <v>20</v>
      </c>
      <c r="O8">
        <v>1.4</v>
      </c>
      <c r="P8" t="s">
        <v>7380</v>
      </c>
      <c r="Q8" t="s">
        <v>7371</v>
      </c>
      <c r="R8">
        <v>23</v>
      </c>
      <c r="S8">
        <v>8</v>
      </c>
      <c r="T8">
        <v>24</v>
      </c>
      <c r="U8">
        <v>3.5</v>
      </c>
      <c r="V8">
        <v>2.5</v>
      </c>
      <c r="Z8">
        <v>1</v>
      </c>
      <c r="AA8">
        <v>1</v>
      </c>
    </row>
    <row r="9" spans="1:27">
      <c r="A9" t="s">
        <v>1418</v>
      </c>
      <c r="B9" t="s">
        <v>7381</v>
      </c>
      <c r="C9" t="s">
        <v>7382</v>
      </c>
      <c r="D9">
        <v>11</v>
      </c>
      <c r="E9">
        <v>6</v>
      </c>
      <c r="F9" t="s">
        <v>5498</v>
      </c>
      <c r="G9" t="s">
        <v>5497</v>
      </c>
      <c r="H9">
        <v>2</v>
      </c>
      <c r="I9">
        <v>-5</v>
      </c>
      <c r="J9">
        <v>0</v>
      </c>
      <c r="K9">
        <v>-5</v>
      </c>
      <c r="L9">
        <v>-5</v>
      </c>
      <c r="M9">
        <v>16</v>
      </c>
      <c r="N9">
        <v>12</v>
      </c>
      <c r="O9">
        <v>1.1000000000000001</v>
      </c>
      <c r="P9" t="s">
        <v>7380</v>
      </c>
      <c r="R9">
        <v>14</v>
      </c>
      <c r="S9">
        <v>15</v>
      </c>
      <c r="T9">
        <v>16</v>
      </c>
      <c r="U9">
        <v>1.5</v>
      </c>
      <c r="V9">
        <v>4</v>
      </c>
      <c r="Z9">
        <v>1</v>
      </c>
      <c r="AA9">
        <v>1</v>
      </c>
    </row>
    <row r="10" spans="1:27">
      <c r="A10" t="s">
        <v>1418</v>
      </c>
      <c r="B10" t="s">
        <v>7383</v>
      </c>
      <c r="C10" t="s">
        <v>7382</v>
      </c>
      <c r="D10">
        <v>11</v>
      </c>
      <c r="E10">
        <v>6</v>
      </c>
      <c r="F10" t="s">
        <v>5498</v>
      </c>
      <c r="G10" t="s">
        <v>5497</v>
      </c>
      <c r="H10">
        <v>2</v>
      </c>
      <c r="I10">
        <v>-5</v>
      </c>
      <c r="J10">
        <v>0</v>
      </c>
      <c r="K10">
        <v>-5</v>
      </c>
      <c r="L10">
        <v>-5</v>
      </c>
      <c r="M10">
        <v>16</v>
      </c>
      <c r="N10">
        <v>12</v>
      </c>
      <c r="O10">
        <v>1.1000000000000001</v>
      </c>
      <c r="P10" t="s">
        <v>7380</v>
      </c>
      <c r="R10">
        <v>14</v>
      </c>
      <c r="S10">
        <v>15</v>
      </c>
      <c r="T10">
        <v>16</v>
      </c>
      <c r="U10">
        <v>1.5</v>
      </c>
      <c r="V10">
        <v>4</v>
      </c>
      <c r="Z10">
        <v>1</v>
      </c>
      <c r="AA10">
        <v>1</v>
      </c>
    </row>
    <row r="11" spans="1:27">
      <c r="A11" t="s">
        <v>1418</v>
      </c>
      <c r="B11" t="s">
        <v>7381</v>
      </c>
      <c r="C11" t="s">
        <v>7384</v>
      </c>
      <c r="D11">
        <v>13</v>
      </c>
      <c r="E11">
        <v>6</v>
      </c>
      <c r="F11" t="s">
        <v>7385</v>
      </c>
      <c r="G11" t="s">
        <v>7386</v>
      </c>
      <c r="H11">
        <v>2</v>
      </c>
      <c r="I11">
        <v>-8</v>
      </c>
      <c r="J11">
        <v>0</v>
      </c>
      <c r="K11">
        <v>-5</v>
      </c>
      <c r="L11">
        <v>-4</v>
      </c>
      <c r="M11">
        <v>20</v>
      </c>
      <c r="N11">
        <v>13</v>
      </c>
      <c r="O11">
        <v>1.3</v>
      </c>
      <c r="P11" t="s">
        <v>7380</v>
      </c>
      <c r="R11">
        <v>14</v>
      </c>
      <c r="S11">
        <v>15</v>
      </c>
      <c r="T11">
        <v>19</v>
      </c>
      <c r="U11">
        <v>2</v>
      </c>
      <c r="V11">
        <v>4</v>
      </c>
      <c r="Z11">
        <v>1</v>
      </c>
      <c r="AA11">
        <v>1</v>
      </c>
    </row>
    <row r="12" spans="1:27">
      <c r="A12" t="s">
        <v>1418</v>
      </c>
      <c r="B12" t="s">
        <v>7383</v>
      </c>
      <c r="C12" t="s">
        <v>7384</v>
      </c>
      <c r="D12">
        <v>13</v>
      </c>
      <c r="E12">
        <v>6</v>
      </c>
      <c r="F12" t="s">
        <v>7385</v>
      </c>
      <c r="G12" t="s">
        <v>7386</v>
      </c>
      <c r="H12">
        <v>2</v>
      </c>
      <c r="I12">
        <v>-8</v>
      </c>
      <c r="J12">
        <v>0</v>
      </c>
      <c r="K12">
        <v>-5</v>
      </c>
      <c r="L12">
        <v>-4</v>
      </c>
      <c r="M12">
        <v>20</v>
      </c>
      <c r="N12">
        <v>13</v>
      </c>
      <c r="O12">
        <v>1.3</v>
      </c>
      <c r="P12" t="s">
        <v>7380</v>
      </c>
      <c r="R12">
        <v>14</v>
      </c>
      <c r="S12">
        <v>15</v>
      </c>
      <c r="T12">
        <v>19</v>
      </c>
      <c r="U12">
        <v>2</v>
      </c>
      <c r="V12">
        <v>4</v>
      </c>
      <c r="Z12">
        <v>1</v>
      </c>
      <c r="AA12">
        <v>1</v>
      </c>
    </row>
    <row r="13" spans="1:27">
      <c r="A13" t="s">
        <v>1418</v>
      </c>
      <c r="B13" t="s">
        <v>7383</v>
      </c>
      <c r="C13" t="s">
        <v>7387</v>
      </c>
      <c r="D13">
        <v>11</v>
      </c>
      <c r="E13">
        <v>5.5</v>
      </c>
      <c r="F13" t="s">
        <v>5498</v>
      </c>
      <c r="G13" t="s">
        <v>5498</v>
      </c>
      <c r="H13">
        <v>2</v>
      </c>
      <c r="I13">
        <v>-8</v>
      </c>
      <c r="J13">
        <v>0</v>
      </c>
      <c r="K13">
        <v>-3</v>
      </c>
      <c r="L13">
        <v>-3</v>
      </c>
      <c r="M13">
        <v>15</v>
      </c>
      <c r="N13">
        <v>9</v>
      </c>
      <c r="O13">
        <v>1.1599999999999999</v>
      </c>
      <c r="P13" t="s">
        <v>7380</v>
      </c>
      <c r="Q13" t="s">
        <v>7366</v>
      </c>
      <c r="R13">
        <v>14</v>
      </c>
      <c r="S13">
        <v>14</v>
      </c>
      <c r="T13">
        <v>24</v>
      </c>
      <c r="U13">
        <v>3</v>
      </c>
      <c r="V13">
        <v>8</v>
      </c>
      <c r="W13" t="s">
        <v>5468</v>
      </c>
      <c r="Z13">
        <v>1</v>
      </c>
      <c r="AA13">
        <v>1</v>
      </c>
    </row>
    <row r="14" spans="1:27">
      <c r="A14" t="s">
        <v>1420</v>
      </c>
      <c r="B14" t="s">
        <v>7388</v>
      </c>
      <c r="C14" t="s">
        <v>7389</v>
      </c>
      <c r="D14">
        <v>10</v>
      </c>
      <c r="E14">
        <v>4</v>
      </c>
      <c r="F14" t="s">
        <v>5499</v>
      </c>
      <c r="G14" t="s">
        <v>5496</v>
      </c>
      <c r="H14">
        <v>2</v>
      </c>
      <c r="I14">
        <v>-8</v>
      </c>
      <c r="J14">
        <v>0</v>
      </c>
      <c r="K14">
        <v>-3</v>
      </c>
      <c r="L14">
        <v>-4</v>
      </c>
      <c r="M14">
        <v>13</v>
      </c>
      <c r="N14">
        <v>8</v>
      </c>
      <c r="O14">
        <v>1</v>
      </c>
      <c r="P14">
        <v>0</v>
      </c>
      <c r="R14">
        <v>14</v>
      </c>
      <c r="S14">
        <v>14</v>
      </c>
      <c r="T14">
        <v>20</v>
      </c>
      <c r="U14">
        <v>2</v>
      </c>
      <c r="V14">
        <v>8</v>
      </c>
      <c r="Z14">
        <v>1</v>
      </c>
      <c r="AA14">
        <v>1</v>
      </c>
    </row>
    <row r="15" spans="1:27">
      <c r="A15" t="s">
        <v>1418</v>
      </c>
      <c r="B15" t="s">
        <v>7383</v>
      </c>
      <c r="C15" t="s">
        <v>7389</v>
      </c>
      <c r="D15">
        <v>10</v>
      </c>
      <c r="E15">
        <v>4</v>
      </c>
      <c r="F15" t="s">
        <v>5499</v>
      </c>
      <c r="G15" t="s">
        <v>5496</v>
      </c>
      <c r="H15">
        <v>2</v>
      </c>
      <c r="I15">
        <v>-8</v>
      </c>
      <c r="J15">
        <v>0</v>
      </c>
      <c r="K15">
        <v>-3</v>
      </c>
      <c r="L15">
        <v>-4</v>
      </c>
      <c r="M15">
        <v>13</v>
      </c>
      <c r="N15">
        <v>8</v>
      </c>
      <c r="O15">
        <v>1</v>
      </c>
      <c r="P15">
        <v>0</v>
      </c>
      <c r="R15">
        <v>14</v>
      </c>
      <c r="S15">
        <v>14</v>
      </c>
      <c r="T15">
        <v>20</v>
      </c>
      <c r="U15">
        <v>2</v>
      </c>
      <c r="V15">
        <v>8</v>
      </c>
      <c r="Z15">
        <v>1</v>
      </c>
      <c r="AA15">
        <v>1</v>
      </c>
    </row>
    <row r="16" spans="1:27">
      <c r="A16" t="s">
        <v>1415</v>
      </c>
      <c r="B16" t="s">
        <v>7369</v>
      </c>
      <c r="C16" t="s">
        <v>6470</v>
      </c>
      <c r="D16">
        <v>4</v>
      </c>
      <c r="E16">
        <v>5</v>
      </c>
      <c r="F16" t="s">
        <v>5500</v>
      </c>
      <c r="H16">
        <v>3</v>
      </c>
      <c r="I16">
        <v>-5</v>
      </c>
      <c r="J16">
        <v>0</v>
      </c>
      <c r="K16">
        <v>-5</v>
      </c>
      <c r="L16">
        <v>-5</v>
      </c>
      <c r="M16">
        <v>12</v>
      </c>
      <c r="N16">
        <v>8</v>
      </c>
      <c r="O16">
        <v>0.4</v>
      </c>
      <c r="P16">
        <v>6</v>
      </c>
      <c r="Q16" t="s">
        <v>7371</v>
      </c>
      <c r="R16">
        <v>16</v>
      </c>
      <c r="S16">
        <v>7</v>
      </c>
      <c r="T16">
        <v>6</v>
      </c>
      <c r="U16">
        <v>0.6</v>
      </c>
      <c r="V16">
        <v>1</v>
      </c>
      <c r="Z16">
        <v>1</v>
      </c>
      <c r="AA16">
        <v>1</v>
      </c>
    </row>
    <row r="17" spans="1:27">
      <c r="A17" t="s">
        <v>1415</v>
      </c>
      <c r="B17" t="s">
        <v>7377</v>
      </c>
      <c r="C17" t="s">
        <v>7390</v>
      </c>
      <c r="D17">
        <v>13</v>
      </c>
      <c r="E17">
        <v>6.5</v>
      </c>
      <c r="F17" t="s">
        <v>5500</v>
      </c>
      <c r="G17" t="s">
        <v>5496</v>
      </c>
      <c r="H17">
        <v>2</v>
      </c>
      <c r="I17">
        <v>-8</v>
      </c>
      <c r="J17">
        <v>0</v>
      </c>
      <c r="K17">
        <v>-6</v>
      </c>
      <c r="L17">
        <v>-5</v>
      </c>
      <c r="M17">
        <v>24</v>
      </c>
      <c r="N17">
        <v>14</v>
      </c>
      <c r="O17">
        <v>1.4</v>
      </c>
      <c r="P17" t="s">
        <v>7380</v>
      </c>
      <c r="Q17" t="s">
        <v>7371</v>
      </c>
      <c r="R17">
        <v>18</v>
      </c>
      <c r="S17">
        <v>7</v>
      </c>
      <c r="T17">
        <v>18</v>
      </c>
      <c r="U17">
        <v>2</v>
      </c>
      <c r="V17">
        <v>2</v>
      </c>
      <c r="Z17">
        <v>1</v>
      </c>
      <c r="AA17">
        <v>1</v>
      </c>
    </row>
    <row r="18" spans="1:27">
      <c r="A18" t="s">
        <v>1420</v>
      </c>
      <c r="B18" t="s">
        <v>7391</v>
      </c>
      <c r="C18" t="s">
        <v>7390</v>
      </c>
      <c r="D18">
        <v>13</v>
      </c>
      <c r="E18">
        <v>6.5</v>
      </c>
      <c r="F18" t="s">
        <v>5500</v>
      </c>
      <c r="G18" t="s">
        <v>5496</v>
      </c>
      <c r="H18">
        <v>2</v>
      </c>
      <c r="I18">
        <v>-8</v>
      </c>
      <c r="J18">
        <v>0</v>
      </c>
      <c r="K18">
        <v>-6</v>
      </c>
      <c r="L18">
        <v>-5</v>
      </c>
      <c r="M18">
        <v>24</v>
      </c>
      <c r="N18">
        <v>14</v>
      </c>
      <c r="O18">
        <v>1.4</v>
      </c>
      <c r="P18" t="s">
        <v>7380</v>
      </c>
      <c r="Q18" t="s">
        <v>7371</v>
      </c>
      <c r="R18">
        <v>18</v>
      </c>
      <c r="S18">
        <v>7</v>
      </c>
      <c r="T18">
        <v>18</v>
      </c>
      <c r="U18">
        <v>2</v>
      </c>
      <c r="V18">
        <v>2</v>
      </c>
      <c r="Z18">
        <v>1</v>
      </c>
      <c r="AA18">
        <v>1</v>
      </c>
    </row>
    <row r="19" spans="1:27">
      <c r="A19" t="s">
        <v>1418</v>
      </c>
      <c r="B19" t="s">
        <v>7381</v>
      </c>
      <c r="C19" t="s">
        <v>7392</v>
      </c>
      <c r="D19">
        <v>9</v>
      </c>
      <c r="E19">
        <v>6</v>
      </c>
      <c r="F19" t="s">
        <v>5498</v>
      </c>
      <c r="G19" t="s">
        <v>5498</v>
      </c>
      <c r="H19">
        <v>3</v>
      </c>
      <c r="I19">
        <v>-4</v>
      </c>
      <c r="J19">
        <v>0</v>
      </c>
      <c r="K19">
        <v>-4</v>
      </c>
      <c r="L19">
        <v>-4</v>
      </c>
      <c r="M19">
        <v>14</v>
      </c>
      <c r="N19">
        <v>10</v>
      </c>
      <c r="O19">
        <v>0.9</v>
      </c>
      <c r="P19">
        <v>2</v>
      </c>
      <c r="R19">
        <v>16</v>
      </c>
      <c r="S19">
        <v>15</v>
      </c>
      <c r="T19">
        <v>14</v>
      </c>
      <c r="U19">
        <v>1</v>
      </c>
      <c r="V19">
        <v>4</v>
      </c>
      <c r="Z19">
        <v>1</v>
      </c>
      <c r="AA19">
        <v>1</v>
      </c>
    </row>
    <row r="20" spans="1:27">
      <c r="A20" t="s">
        <v>1418</v>
      </c>
      <c r="B20" t="s">
        <v>7383</v>
      </c>
      <c r="C20" t="s">
        <v>7393</v>
      </c>
      <c r="D20">
        <v>16</v>
      </c>
      <c r="E20">
        <v>7.5</v>
      </c>
      <c r="F20" t="s">
        <v>7385</v>
      </c>
      <c r="G20" t="s">
        <v>5499</v>
      </c>
      <c r="H20">
        <v>1.5</v>
      </c>
      <c r="I20">
        <v>-11</v>
      </c>
      <c r="J20">
        <v>0</v>
      </c>
      <c r="K20">
        <v>-7</v>
      </c>
      <c r="L20">
        <v>-6</v>
      </c>
      <c r="M20">
        <v>28</v>
      </c>
      <c r="N20">
        <v>16</v>
      </c>
      <c r="O20">
        <v>1.6</v>
      </c>
      <c r="P20" t="s">
        <v>7380</v>
      </c>
      <c r="R20">
        <v>17</v>
      </c>
      <c r="S20">
        <v>13</v>
      </c>
      <c r="T20">
        <v>24</v>
      </c>
      <c r="U20">
        <v>2.5</v>
      </c>
      <c r="V20">
        <v>5</v>
      </c>
      <c r="Z20">
        <v>1</v>
      </c>
      <c r="AA20">
        <v>1</v>
      </c>
    </row>
    <row r="21" spans="1:27">
      <c r="A21" t="s">
        <v>1418</v>
      </c>
      <c r="B21" t="s">
        <v>7383</v>
      </c>
      <c r="C21" t="s">
        <v>7394</v>
      </c>
      <c r="D21">
        <v>14</v>
      </c>
      <c r="E21">
        <v>6.5</v>
      </c>
      <c r="F21" t="s">
        <v>7395</v>
      </c>
      <c r="H21">
        <v>2</v>
      </c>
      <c r="I21">
        <v>-8</v>
      </c>
      <c r="J21">
        <v>0</v>
      </c>
      <c r="K21">
        <v>-4</v>
      </c>
      <c r="L21">
        <v>-4</v>
      </c>
      <c r="M21">
        <v>22</v>
      </c>
      <c r="N21">
        <v>13</v>
      </c>
      <c r="O21">
        <v>1.35</v>
      </c>
      <c r="P21" t="s">
        <v>7380</v>
      </c>
      <c r="R21">
        <v>16</v>
      </c>
      <c r="S21">
        <v>14</v>
      </c>
      <c r="T21">
        <v>25</v>
      </c>
      <c r="U21">
        <v>1.2</v>
      </c>
      <c r="V21">
        <v>5</v>
      </c>
      <c r="Z21">
        <v>1</v>
      </c>
      <c r="AA21">
        <v>1</v>
      </c>
    </row>
    <row r="22" spans="1:27">
      <c r="A22" t="s">
        <v>1422</v>
      </c>
      <c r="B22" t="s">
        <v>7367</v>
      </c>
      <c r="C22" t="s">
        <v>7396</v>
      </c>
      <c r="D22">
        <v>13</v>
      </c>
      <c r="E22">
        <v>3.5</v>
      </c>
      <c r="F22" t="s">
        <v>7385</v>
      </c>
      <c r="H22">
        <v>7</v>
      </c>
      <c r="I22">
        <v>-2</v>
      </c>
      <c r="J22">
        <v>0</v>
      </c>
      <c r="K22">
        <v>-2</v>
      </c>
      <c r="L22">
        <v>0</v>
      </c>
      <c r="M22">
        <v>9</v>
      </c>
      <c r="N22">
        <v>6</v>
      </c>
      <c r="O22">
        <v>1.2</v>
      </c>
      <c r="P22">
        <v>1</v>
      </c>
      <c r="R22">
        <v>7</v>
      </c>
      <c r="S22">
        <v>14</v>
      </c>
      <c r="T22">
        <v>18</v>
      </c>
      <c r="U22">
        <v>0.75</v>
      </c>
      <c r="V22">
        <v>4</v>
      </c>
      <c r="Z22">
        <v>1</v>
      </c>
      <c r="AA22">
        <v>1</v>
      </c>
    </row>
    <row r="23" spans="1:27">
      <c r="A23" t="s">
        <v>1422</v>
      </c>
      <c r="B23" t="s">
        <v>7397</v>
      </c>
      <c r="C23" t="s">
        <v>7398</v>
      </c>
      <c r="D23">
        <v>3</v>
      </c>
      <c r="E23">
        <v>2</v>
      </c>
      <c r="F23" t="s">
        <v>7385</v>
      </c>
      <c r="H23">
        <v>5</v>
      </c>
      <c r="I23">
        <v>-3</v>
      </c>
      <c r="J23">
        <v>0</v>
      </c>
      <c r="K23">
        <v>-1</v>
      </c>
      <c r="L23">
        <v>-6</v>
      </c>
      <c r="M23">
        <v>6</v>
      </c>
      <c r="N23">
        <v>4</v>
      </c>
      <c r="O23">
        <v>0.3</v>
      </c>
      <c r="P23">
        <v>8</v>
      </c>
      <c r="R23">
        <v>12</v>
      </c>
      <c r="S23">
        <v>17</v>
      </c>
      <c r="T23">
        <v>5</v>
      </c>
      <c r="U23">
        <v>0.3</v>
      </c>
      <c r="V23">
        <v>1</v>
      </c>
      <c r="Z23">
        <v>1</v>
      </c>
      <c r="AA23">
        <v>1</v>
      </c>
    </row>
    <row r="24" spans="1:27">
      <c r="A24" t="s">
        <v>1422</v>
      </c>
      <c r="B24" t="s">
        <v>7397</v>
      </c>
      <c r="C24" t="s">
        <v>7399</v>
      </c>
      <c r="D24">
        <v>3</v>
      </c>
      <c r="E24">
        <v>1</v>
      </c>
      <c r="F24" t="s">
        <v>7385</v>
      </c>
      <c r="H24">
        <v>6</v>
      </c>
      <c r="I24">
        <v>-3</v>
      </c>
      <c r="J24">
        <v>0</v>
      </c>
      <c r="K24">
        <v>-1</v>
      </c>
      <c r="L24">
        <v>-6</v>
      </c>
      <c r="M24">
        <v>6</v>
      </c>
      <c r="N24">
        <v>4</v>
      </c>
      <c r="O24">
        <v>0.3</v>
      </c>
      <c r="P24">
        <v>8</v>
      </c>
      <c r="Q24" t="s">
        <v>7400</v>
      </c>
      <c r="R24">
        <v>12</v>
      </c>
      <c r="S24">
        <v>15</v>
      </c>
      <c r="T24">
        <v>7</v>
      </c>
      <c r="U24">
        <v>0.4</v>
      </c>
      <c r="V24">
        <v>2</v>
      </c>
      <c r="W24" t="s">
        <v>5468</v>
      </c>
      <c r="Z24">
        <v>1</v>
      </c>
      <c r="AA24">
        <v>1</v>
      </c>
    </row>
    <row r="25" spans="1:27">
      <c r="A25" t="s">
        <v>1422</v>
      </c>
      <c r="B25" t="s">
        <v>7397</v>
      </c>
      <c r="C25" t="s">
        <v>7401</v>
      </c>
      <c r="D25">
        <v>3</v>
      </c>
      <c r="E25">
        <v>2</v>
      </c>
      <c r="F25" t="s">
        <v>7385</v>
      </c>
      <c r="H25">
        <v>4</v>
      </c>
      <c r="I25">
        <v>-4</v>
      </c>
      <c r="J25">
        <v>0</v>
      </c>
      <c r="K25">
        <v>-2</v>
      </c>
      <c r="L25">
        <v>-5</v>
      </c>
      <c r="M25">
        <v>7</v>
      </c>
      <c r="N25">
        <v>5</v>
      </c>
      <c r="O25">
        <v>0.3</v>
      </c>
      <c r="P25">
        <v>7</v>
      </c>
      <c r="R25">
        <v>12</v>
      </c>
      <c r="S25">
        <v>18</v>
      </c>
      <c r="T25">
        <v>5</v>
      </c>
      <c r="U25">
        <v>0.4</v>
      </c>
      <c r="V25">
        <v>1</v>
      </c>
      <c r="W25" t="s">
        <v>5468</v>
      </c>
      <c r="Z25">
        <v>1</v>
      </c>
      <c r="AA25">
        <v>1</v>
      </c>
    </row>
    <row r="26" spans="1:27">
      <c r="A26" t="s">
        <v>1422</v>
      </c>
      <c r="B26" t="s">
        <v>7397</v>
      </c>
      <c r="C26" t="s">
        <v>7402</v>
      </c>
      <c r="D26">
        <v>3</v>
      </c>
      <c r="E26">
        <v>3</v>
      </c>
      <c r="F26" t="s">
        <v>5500</v>
      </c>
      <c r="H26">
        <v>3</v>
      </c>
      <c r="I26">
        <v>-7</v>
      </c>
      <c r="J26">
        <v>0</v>
      </c>
      <c r="K26">
        <v>-2</v>
      </c>
      <c r="L26">
        <v>-5</v>
      </c>
      <c r="M26">
        <v>10</v>
      </c>
      <c r="N26">
        <v>8</v>
      </c>
      <c r="O26">
        <v>0.35</v>
      </c>
      <c r="P26">
        <v>4</v>
      </c>
      <c r="R26">
        <v>13</v>
      </c>
      <c r="S26">
        <v>18</v>
      </c>
      <c r="T26">
        <v>15</v>
      </c>
      <c r="U26">
        <v>0.5</v>
      </c>
      <c r="V26">
        <v>4</v>
      </c>
      <c r="W26" t="s">
        <v>5468</v>
      </c>
      <c r="Z26">
        <v>1</v>
      </c>
      <c r="AA26">
        <v>1</v>
      </c>
    </row>
    <row r="27" spans="1:27">
      <c r="A27" t="s">
        <v>1415</v>
      </c>
      <c r="B27" t="s">
        <v>7369</v>
      </c>
      <c r="C27" t="s">
        <v>7403</v>
      </c>
      <c r="D27">
        <v>8</v>
      </c>
      <c r="E27">
        <v>6</v>
      </c>
      <c r="F27" t="s">
        <v>5500</v>
      </c>
      <c r="H27">
        <v>3</v>
      </c>
      <c r="I27">
        <v>-4</v>
      </c>
      <c r="J27">
        <v>0</v>
      </c>
      <c r="K27">
        <v>-5</v>
      </c>
      <c r="L27">
        <v>-6</v>
      </c>
      <c r="M27">
        <v>20</v>
      </c>
      <c r="N27">
        <v>14</v>
      </c>
      <c r="O27">
        <v>0.8</v>
      </c>
      <c r="P27">
        <v>0</v>
      </c>
      <c r="Q27" t="s">
        <v>7371</v>
      </c>
      <c r="R27">
        <v>17</v>
      </c>
      <c r="S27">
        <v>8</v>
      </c>
      <c r="T27">
        <v>15</v>
      </c>
      <c r="U27">
        <v>2.2000000000000002</v>
      </c>
      <c r="V27">
        <v>2.5</v>
      </c>
      <c r="Z27">
        <v>1</v>
      </c>
      <c r="AA27">
        <v>1</v>
      </c>
    </row>
    <row r="28" spans="1:27">
      <c r="A28" t="s">
        <v>1415</v>
      </c>
      <c r="B28" t="s">
        <v>7369</v>
      </c>
      <c r="C28" t="s">
        <v>7404</v>
      </c>
      <c r="D28">
        <v>9</v>
      </c>
      <c r="E28">
        <v>7.5</v>
      </c>
      <c r="F28" t="s">
        <v>5500</v>
      </c>
      <c r="G28" t="s">
        <v>7385</v>
      </c>
      <c r="H28">
        <v>2</v>
      </c>
      <c r="I28">
        <v>-12</v>
      </c>
      <c r="J28">
        <v>0</v>
      </c>
      <c r="K28">
        <v>-7</v>
      </c>
      <c r="L28">
        <v>-6</v>
      </c>
      <c r="M28">
        <v>28</v>
      </c>
      <c r="N28">
        <v>16</v>
      </c>
      <c r="O28">
        <v>0.9</v>
      </c>
      <c r="P28" t="s">
        <v>7380</v>
      </c>
      <c r="Q28" t="s">
        <v>7371</v>
      </c>
      <c r="R28">
        <v>22</v>
      </c>
      <c r="S28">
        <v>8</v>
      </c>
      <c r="T28">
        <v>19</v>
      </c>
      <c r="U28">
        <v>2.5</v>
      </c>
      <c r="V28">
        <v>3</v>
      </c>
      <c r="W28" t="s">
        <v>5471</v>
      </c>
      <c r="Z28">
        <v>1</v>
      </c>
      <c r="AA28">
        <v>1</v>
      </c>
    </row>
    <row r="29" spans="1:27">
      <c r="A29" t="s">
        <v>1415</v>
      </c>
      <c r="B29" t="s">
        <v>7369</v>
      </c>
      <c r="C29" t="s">
        <v>7405</v>
      </c>
      <c r="D29">
        <v>5</v>
      </c>
      <c r="E29">
        <v>6</v>
      </c>
      <c r="F29" t="s">
        <v>5500</v>
      </c>
      <c r="G29" t="s">
        <v>7406</v>
      </c>
      <c r="H29">
        <v>3</v>
      </c>
      <c r="I29">
        <v>-11</v>
      </c>
      <c r="J29">
        <v>0</v>
      </c>
      <c r="K29">
        <v>-5</v>
      </c>
      <c r="L29">
        <v>-4</v>
      </c>
      <c r="M29">
        <v>18</v>
      </c>
      <c r="N29">
        <v>12</v>
      </c>
      <c r="O29">
        <v>0.55000000000000004</v>
      </c>
      <c r="P29">
        <v>3</v>
      </c>
      <c r="Q29" t="s">
        <v>7371</v>
      </c>
      <c r="R29">
        <v>18</v>
      </c>
      <c r="S29">
        <v>8</v>
      </c>
      <c r="T29">
        <v>19</v>
      </c>
      <c r="U29">
        <v>1.5</v>
      </c>
      <c r="V29">
        <v>3</v>
      </c>
      <c r="W29" t="s">
        <v>5471</v>
      </c>
      <c r="Z29">
        <v>1</v>
      </c>
      <c r="AA29">
        <v>1</v>
      </c>
    </row>
    <row r="30" spans="1:27">
      <c r="A30" t="s">
        <v>1420</v>
      </c>
      <c r="B30" t="s">
        <v>7391</v>
      </c>
      <c r="C30" t="s">
        <v>7407</v>
      </c>
      <c r="D30">
        <v>18</v>
      </c>
      <c r="E30">
        <v>7</v>
      </c>
      <c r="F30" t="s">
        <v>5500</v>
      </c>
      <c r="G30" t="s">
        <v>5486</v>
      </c>
      <c r="H30">
        <v>2</v>
      </c>
      <c r="I30">
        <v>-9</v>
      </c>
      <c r="J30">
        <v>0</v>
      </c>
      <c r="K30">
        <v>-6</v>
      </c>
      <c r="L30">
        <v>-6</v>
      </c>
      <c r="M30">
        <v>36</v>
      </c>
      <c r="N30">
        <v>16</v>
      </c>
      <c r="O30">
        <v>1.8</v>
      </c>
      <c r="P30" t="s">
        <v>7380</v>
      </c>
      <c r="Q30" t="s">
        <v>7371</v>
      </c>
      <c r="R30">
        <v>17</v>
      </c>
      <c r="S30">
        <v>7</v>
      </c>
      <c r="T30">
        <v>19</v>
      </c>
      <c r="U30">
        <v>3</v>
      </c>
      <c r="V30">
        <v>5</v>
      </c>
      <c r="Z30">
        <v>1</v>
      </c>
      <c r="AA30">
        <v>1</v>
      </c>
    </row>
    <row r="31" spans="1:27">
      <c r="A31" t="s">
        <v>1420</v>
      </c>
      <c r="B31" t="s">
        <v>7388</v>
      </c>
      <c r="C31" t="s">
        <v>7408</v>
      </c>
      <c r="D31">
        <v>10</v>
      </c>
      <c r="E31">
        <v>6</v>
      </c>
      <c r="F31" t="s">
        <v>7385</v>
      </c>
      <c r="G31" t="s">
        <v>5497</v>
      </c>
      <c r="H31">
        <v>3</v>
      </c>
      <c r="I31">
        <v>-7</v>
      </c>
      <c r="J31">
        <v>0</v>
      </c>
      <c r="K31">
        <v>-4</v>
      </c>
      <c r="L31">
        <v>-4</v>
      </c>
      <c r="M31">
        <v>46</v>
      </c>
      <c r="N31">
        <v>18</v>
      </c>
      <c r="O31">
        <v>1.8</v>
      </c>
      <c r="P31" t="s">
        <v>7380</v>
      </c>
      <c r="Q31" t="s">
        <v>7371</v>
      </c>
      <c r="R31">
        <v>16</v>
      </c>
      <c r="S31">
        <v>7</v>
      </c>
      <c r="T31">
        <v>16</v>
      </c>
      <c r="U31">
        <v>3</v>
      </c>
      <c r="V31">
        <v>5</v>
      </c>
      <c r="Z31">
        <v>1</v>
      </c>
      <c r="AA31">
        <v>1</v>
      </c>
    </row>
    <row r="32" spans="1:27">
      <c r="A32" t="s">
        <v>1420</v>
      </c>
      <c r="B32" t="s">
        <v>7391</v>
      </c>
      <c r="C32" t="s">
        <v>7409</v>
      </c>
      <c r="D32">
        <v>10</v>
      </c>
      <c r="E32">
        <v>5</v>
      </c>
      <c r="F32" t="s">
        <v>7385</v>
      </c>
      <c r="G32" t="s">
        <v>5496</v>
      </c>
      <c r="H32">
        <v>4</v>
      </c>
      <c r="I32">
        <v>-6</v>
      </c>
      <c r="J32">
        <v>0</v>
      </c>
      <c r="K32">
        <v>-5</v>
      </c>
      <c r="L32">
        <v>-5</v>
      </c>
      <c r="M32">
        <v>33</v>
      </c>
      <c r="N32">
        <v>11</v>
      </c>
      <c r="O32">
        <v>1.8</v>
      </c>
      <c r="P32" t="s">
        <v>7380</v>
      </c>
      <c r="Q32" t="s">
        <v>7410</v>
      </c>
      <c r="R32">
        <v>12</v>
      </c>
      <c r="S32">
        <v>6</v>
      </c>
      <c r="T32">
        <v>12</v>
      </c>
      <c r="U32">
        <v>1</v>
      </c>
      <c r="V32">
        <v>1</v>
      </c>
      <c r="Z32">
        <v>1</v>
      </c>
      <c r="AA32">
        <v>1</v>
      </c>
    </row>
    <row r="33" spans="1:27">
      <c r="A33" t="s">
        <v>1418</v>
      </c>
      <c r="B33" t="s">
        <v>7383</v>
      </c>
      <c r="C33" t="s">
        <v>7409</v>
      </c>
      <c r="D33">
        <v>10</v>
      </c>
      <c r="E33">
        <v>5</v>
      </c>
      <c r="F33" t="s">
        <v>7385</v>
      </c>
      <c r="G33" t="s">
        <v>5496</v>
      </c>
      <c r="H33">
        <v>4</v>
      </c>
      <c r="I33">
        <v>-6</v>
      </c>
      <c r="J33">
        <v>0</v>
      </c>
      <c r="K33">
        <v>-5</v>
      </c>
      <c r="L33">
        <v>-5</v>
      </c>
      <c r="M33">
        <v>33</v>
      </c>
      <c r="N33">
        <v>11</v>
      </c>
      <c r="O33">
        <v>1.8</v>
      </c>
      <c r="P33" t="s">
        <v>7380</v>
      </c>
      <c r="Q33" t="s">
        <v>7410</v>
      </c>
      <c r="R33">
        <v>12</v>
      </c>
      <c r="S33">
        <v>6</v>
      </c>
      <c r="T33">
        <v>12</v>
      </c>
      <c r="U33">
        <v>1</v>
      </c>
      <c r="V33">
        <v>1</v>
      </c>
      <c r="Z33">
        <v>1</v>
      </c>
      <c r="AA33">
        <v>1</v>
      </c>
    </row>
    <row r="34" spans="1:27">
      <c r="A34" t="s">
        <v>1415</v>
      </c>
      <c r="B34" t="s">
        <v>7377</v>
      </c>
      <c r="C34" t="s">
        <v>7411</v>
      </c>
      <c r="D34">
        <v>16</v>
      </c>
      <c r="E34">
        <v>8</v>
      </c>
      <c r="F34" t="s">
        <v>7385</v>
      </c>
      <c r="G34" t="s">
        <v>5499</v>
      </c>
      <c r="H34">
        <v>1.5</v>
      </c>
      <c r="I34">
        <v>-11</v>
      </c>
      <c r="J34">
        <v>2</v>
      </c>
      <c r="K34">
        <v>-6</v>
      </c>
      <c r="L34">
        <v>-7</v>
      </c>
      <c r="M34">
        <v>35</v>
      </c>
      <c r="N34">
        <v>20</v>
      </c>
      <c r="O34">
        <v>1.8</v>
      </c>
      <c r="P34" t="s">
        <v>7380</v>
      </c>
      <c r="Q34" t="s">
        <v>7371</v>
      </c>
      <c r="R34">
        <v>14</v>
      </c>
      <c r="S34">
        <v>11</v>
      </c>
      <c r="T34">
        <v>1</v>
      </c>
      <c r="U34">
        <v>0.25</v>
      </c>
      <c r="V34">
        <v>1</v>
      </c>
      <c r="W34" t="s">
        <v>5469</v>
      </c>
      <c r="Z34">
        <v>1</v>
      </c>
      <c r="AA34">
        <v>1</v>
      </c>
    </row>
    <row r="35" spans="1:27">
      <c r="A35" t="s">
        <v>1424</v>
      </c>
      <c r="B35" t="s">
        <v>7412</v>
      </c>
      <c r="C35" t="s">
        <v>7413</v>
      </c>
      <c r="D35">
        <v>28</v>
      </c>
      <c r="E35">
        <v>0</v>
      </c>
      <c r="F35" t="s">
        <v>5486</v>
      </c>
      <c r="G35" t="s">
        <v>5486</v>
      </c>
      <c r="H35">
        <v>5</v>
      </c>
      <c r="I35">
        <v>-1</v>
      </c>
      <c r="J35">
        <v>0</v>
      </c>
      <c r="K35">
        <v>-7</v>
      </c>
      <c r="L35">
        <v>-15</v>
      </c>
      <c r="M35">
        <v>10</v>
      </c>
      <c r="N35">
        <v>7</v>
      </c>
      <c r="O35">
        <v>3</v>
      </c>
      <c r="P35">
        <v>6</v>
      </c>
      <c r="R35">
        <v>1</v>
      </c>
      <c r="S35">
        <v>7</v>
      </c>
      <c r="T35">
        <v>7</v>
      </c>
      <c r="U35">
        <v>0.1</v>
      </c>
      <c r="V35">
        <v>0.5</v>
      </c>
      <c r="Z35">
        <v>1</v>
      </c>
      <c r="AA35">
        <v>1</v>
      </c>
    </row>
    <row r="36" spans="1:27">
      <c r="A36" t="s">
        <v>1424</v>
      </c>
      <c r="B36" t="s">
        <v>7414</v>
      </c>
      <c r="C36" t="s">
        <v>7415</v>
      </c>
      <c r="E36">
        <v>11</v>
      </c>
      <c r="F36" t="s">
        <v>7416</v>
      </c>
      <c r="H36">
        <v>3</v>
      </c>
      <c r="I36">
        <v>-5</v>
      </c>
      <c r="J36">
        <v>0</v>
      </c>
      <c r="K36">
        <v>-7</v>
      </c>
      <c r="L36">
        <v>9</v>
      </c>
      <c r="M36">
        <v>19</v>
      </c>
      <c r="P36" t="s">
        <v>7380</v>
      </c>
      <c r="R36">
        <v>15</v>
      </c>
      <c r="S36">
        <v>13</v>
      </c>
      <c r="T36">
        <v>15</v>
      </c>
      <c r="X36">
        <v>17</v>
      </c>
      <c r="Y36">
        <v>600</v>
      </c>
      <c r="Z36">
        <v>1</v>
      </c>
      <c r="AA36">
        <v>1</v>
      </c>
    </row>
    <row r="37" spans="1:27">
      <c r="A37" t="s">
        <v>1424</v>
      </c>
      <c r="B37" t="s">
        <v>7365</v>
      </c>
      <c r="C37" t="s">
        <v>7417</v>
      </c>
      <c r="D37">
        <v>4</v>
      </c>
      <c r="E37">
        <v>3</v>
      </c>
      <c r="F37" t="s">
        <v>5497</v>
      </c>
      <c r="G37" t="s">
        <v>5496</v>
      </c>
      <c r="H37">
        <v>3</v>
      </c>
      <c r="I37">
        <v>-5</v>
      </c>
      <c r="J37">
        <v>0</v>
      </c>
      <c r="K37">
        <v>-3</v>
      </c>
      <c r="L37">
        <v>-6</v>
      </c>
      <c r="M37">
        <v>8</v>
      </c>
      <c r="O37">
        <v>0.4</v>
      </c>
      <c r="P37">
        <v>0</v>
      </c>
      <c r="R37">
        <v>7</v>
      </c>
      <c r="S37">
        <v>11</v>
      </c>
      <c r="T37">
        <v>8</v>
      </c>
      <c r="U37">
        <v>0.4</v>
      </c>
      <c r="V37">
        <v>1</v>
      </c>
      <c r="Z37">
        <v>1</v>
      </c>
      <c r="AA37">
        <v>1</v>
      </c>
    </row>
    <row r="38" spans="1:27">
      <c r="A38" t="s">
        <v>1424</v>
      </c>
      <c r="B38" t="s">
        <v>7414</v>
      </c>
      <c r="C38" t="s">
        <v>7418</v>
      </c>
      <c r="E38">
        <v>8</v>
      </c>
      <c r="F38" t="s">
        <v>5497</v>
      </c>
      <c r="G38" t="s">
        <v>5496</v>
      </c>
      <c r="H38">
        <v>3</v>
      </c>
      <c r="I38">
        <v>-5</v>
      </c>
      <c r="J38">
        <v>0</v>
      </c>
      <c r="K38">
        <v>-6</v>
      </c>
      <c r="L38">
        <v>7</v>
      </c>
      <c r="M38">
        <v>17</v>
      </c>
      <c r="P38" t="s">
        <v>7380</v>
      </c>
      <c r="R38">
        <v>15</v>
      </c>
      <c r="S38">
        <v>15</v>
      </c>
      <c r="T38">
        <v>15</v>
      </c>
      <c r="X38">
        <v>16</v>
      </c>
      <c r="Y38">
        <v>400</v>
      </c>
      <c r="Z38">
        <v>1</v>
      </c>
      <c r="AA38">
        <v>1</v>
      </c>
    </row>
    <row r="39" spans="1:27">
      <c r="A39" t="s">
        <v>1424</v>
      </c>
      <c r="B39" t="s">
        <v>7414</v>
      </c>
      <c r="C39" t="s">
        <v>7419</v>
      </c>
      <c r="E39">
        <v>6</v>
      </c>
      <c r="F39" t="s">
        <v>5497</v>
      </c>
      <c r="G39" t="s">
        <v>5496</v>
      </c>
      <c r="H39">
        <v>3</v>
      </c>
      <c r="I39">
        <v>-5</v>
      </c>
      <c r="J39">
        <v>0</v>
      </c>
      <c r="K39">
        <v>-5</v>
      </c>
      <c r="L39">
        <v>6</v>
      </c>
      <c r="M39">
        <v>15</v>
      </c>
      <c r="P39" t="s">
        <v>7380</v>
      </c>
      <c r="R39">
        <v>15</v>
      </c>
      <c r="S39">
        <v>15</v>
      </c>
      <c r="T39">
        <v>15</v>
      </c>
      <c r="X39">
        <v>15</v>
      </c>
      <c r="Y39">
        <v>300</v>
      </c>
      <c r="Z39">
        <v>1</v>
      </c>
      <c r="AA39">
        <v>1</v>
      </c>
    </row>
    <row r="40" spans="1:27">
      <c r="A40" t="s">
        <v>1420</v>
      </c>
      <c r="B40" t="s">
        <v>7373</v>
      </c>
      <c r="C40" t="s">
        <v>7420</v>
      </c>
      <c r="D40">
        <v>18</v>
      </c>
      <c r="E40">
        <v>5</v>
      </c>
      <c r="F40" t="s">
        <v>5499</v>
      </c>
      <c r="G40" t="s">
        <v>5497</v>
      </c>
      <c r="H40">
        <v>3</v>
      </c>
      <c r="I40">
        <v>-6</v>
      </c>
      <c r="J40">
        <v>0</v>
      </c>
      <c r="K40">
        <v>-5</v>
      </c>
      <c r="L40">
        <v>-3</v>
      </c>
      <c r="M40">
        <v>22</v>
      </c>
      <c r="N40">
        <v>12</v>
      </c>
      <c r="O40">
        <v>1.8</v>
      </c>
      <c r="P40" t="s">
        <v>7380</v>
      </c>
      <c r="Q40" t="s">
        <v>7371</v>
      </c>
      <c r="R40">
        <v>7</v>
      </c>
      <c r="S40">
        <v>7</v>
      </c>
      <c r="T40">
        <v>5</v>
      </c>
      <c r="U40">
        <v>1</v>
      </c>
      <c r="V40">
        <v>1.5</v>
      </c>
      <c r="Z40">
        <v>1</v>
      </c>
      <c r="AA40">
        <v>1</v>
      </c>
    </row>
    <row r="41" spans="1:27">
      <c r="A41" t="s">
        <v>1415</v>
      </c>
      <c r="B41" t="s">
        <v>7421</v>
      </c>
      <c r="C41" t="s">
        <v>7422</v>
      </c>
      <c r="D41">
        <v>16</v>
      </c>
      <c r="E41">
        <v>4.5</v>
      </c>
      <c r="F41" t="s">
        <v>5498</v>
      </c>
      <c r="G41" t="s">
        <v>5496</v>
      </c>
      <c r="H41">
        <v>3</v>
      </c>
      <c r="I41">
        <v>-3</v>
      </c>
      <c r="J41">
        <v>0</v>
      </c>
      <c r="K41">
        <v>-6</v>
      </c>
      <c r="L41">
        <v>-7</v>
      </c>
      <c r="M41">
        <v>30</v>
      </c>
      <c r="N41">
        <v>10</v>
      </c>
      <c r="O41">
        <v>1.6</v>
      </c>
      <c r="P41" t="s">
        <v>7380</v>
      </c>
      <c r="Q41" t="s">
        <v>7371</v>
      </c>
      <c r="R41">
        <v>3</v>
      </c>
      <c r="S41">
        <v>6</v>
      </c>
      <c r="T41">
        <v>4</v>
      </c>
      <c r="U41">
        <v>0.2</v>
      </c>
      <c r="V41">
        <v>1</v>
      </c>
      <c r="Z41">
        <v>1</v>
      </c>
      <c r="AA41">
        <v>1</v>
      </c>
    </row>
    <row r="42" spans="1:27">
      <c r="A42" t="s">
        <v>1418</v>
      </c>
      <c r="B42" t="s">
        <v>7381</v>
      </c>
      <c r="C42" t="s">
        <v>7423</v>
      </c>
      <c r="D42">
        <v>12</v>
      </c>
      <c r="E42">
        <v>6</v>
      </c>
      <c r="F42" t="s">
        <v>5499</v>
      </c>
      <c r="G42" t="s">
        <v>7386</v>
      </c>
      <c r="H42">
        <v>2</v>
      </c>
      <c r="I42">
        <v>-8</v>
      </c>
      <c r="J42">
        <v>0</v>
      </c>
      <c r="K42">
        <v>-5</v>
      </c>
      <c r="L42">
        <v>-3</v>
      </c>
      <c r="M42">
        <v>15</v>
      </c>
      <c r="N42">
        <v>11</v>
      </c>
      <c r="O42">
        <v>1.2</v>
      </c>
      <c r="P42">
        <v>0</v>
      </c>
      <c r="R42">
        <v>15</v>
      </c>
      <c r="S42">
        <v>14</v>
      </c>
      <c r="T42">
        <v>19</v>
      </c>
      <c r="U42">
        <v>1.5</v>
      </c>
      <c r="V42">
        <v>4</v>
      </c>
      <c r="Z42">
        <v>1</v>
      </c>
      <c r="AA42">
        <v>1</v>
      </c>
    </row>
    <row r="43" spans="1:27">
      <c r="A43" t="s">
        <v>1418</v>
      </c>
      <c r="B43" t="s">
        <v>7383</v>
      </c>
      <c r="C43" t="s">
        <v>7423</v>
      </c>
      <c r="D43">
        <v>12</v>
      </c>
      <c r="E43">
        <v>6</v>
      </c>
      <c r="F43" t="s">
        <v>5499</v>
      </c>
      <c r="G43" t="s">
        <v>7386</v>
      </c>
      <c r="H43">
        <v>2</v>
      </c>
      <c r="I43">
        <v>-8</v>
      </c>
      <c r="J43">
        <v>0</v>
      </c>
      <c r="K43">
        <v>-5</v>
      </c>
      <c r="L43">
        <v>-3</v>
      </c>
      <c r="M43">
        <v>15</v>
      </c>
      <c r="N43">
        <v>11</v>
      </c>
      <c r="O43">
        <v>1.2</v>
      </c>
      <c r="P43">
        <v>0</v>
      </c>
      <c r="R43">
        <v>15</v>
      </c>
      <c r="S43">
        <v>14</v>
      </c>
      <c r="T43">
        <v>19</v>
      </c>
      <c r="U43">
        <v>1.5</v>
      </c>
      <c r="V43">
        <v>4</v>
      </c>
      <c r="Z43">
        <v>1</v>
      </c>
      <c r="AA43">
        <v>1</v>
      </c>
    </row>
    <row r="44" spans="1:27">
      <c r="A44" t="s">
        <v>1424</v>
      </c>
      <c r="B44" t="s">
        <v>1424</v>
      </c>
      <c r="C44" t="s">
        <v>7424</v>
      </c>
      <c r="D44">
        <v>0</v>
      </c>
      <c r="E44">
        <v>0</v>
      </c>
      <c r="F44" t="s">
        <v>5496</v>
      </c>
      <c r="G44" t="s">
        <v>5486</v>
      </c>
      <c r="H44">
        <v>3</v>
      </c>
      <c r="I44">
        <v>-5</v>
      </c>
      <c r="J44">
        <v>0</v>
      </c>
      <c r="K44">
        <v>-3</v>
      </c>
      <c r="L44">
        <v>-11</v>
      </c>
      <c r="M44">
        <v>5</v>
      </c>
      <c r="O44">
        <v>0.02</v>
      </c>
      <c r="P44">
        <v>5</v>
      </c>
      <c r="R44">
        <v>5</v>
      </c>
      <c r="S44">
        <v>30</v>
      </c>
      <c r="T44" t="s">
        <v>7425</v>
      </c>
      <c r="U44" t="s">
        <v>7426</v>
      </c>
      <c r="V44" t="s">
        <v>7426</v>
      </c>
      <c r="Z44">
        <v>1</v>
      </c>
      <c r="AA44">
        <v>1</v>
      </c>
    </row>
    <row r="45" spans="1:27">
      <c r="A45" t="s">
        <v>1415</v>
      </c>
      <c r="B45" t="s">
        <v>7421</v>
      </c>
      <c r="C45" t="s">
        <v>7427</v>
      </c>
      <c r="D45">
        <v>14</v>
      </c>
      <c r="E45">
        <v>8</v>
      </c>
      <c r="F45" t="s">
        <v>5499</v>
      </c>
      <c r="G45" t="s">
        <v>5499</v>
      </c>
      <c r="H45">
        <v>1.5</v>
      </c>
      <c r="I45">
        <v>-10</v>
      </c>
      <c r="J45">
        <v>0</v>
      </c>
      <c r="K45">
        <v>-6</v>
      </c>
      <c r="L45">
        <v>-7</v>
      </c>
      <c r="M45">
        <v>32</v>
      </c>
      <c r="N45">
        <v>18</v>
      </c>
      <c r="O45">
        <v>1.5</v>
      </c>
      <c r="P45" t="s">
        <v>7380</v>
      </c>
      <c r="Q45" t="s">
        <v>7371</v>
      </c>
      <c r="R45">
        <v>14</v>
      </c>
      <c r="S45">
        <v>11</v>
      </c>
      <c r="T45">
        <v>4</v>
      </c>
      <c r="U45">
        <v>1</v>
      </c>
      <c r="V45">
        <v>1</v>
      </c>
      <c r="Z45">
        <v>1</v>
      </c>
      <c r="AA45">
        <v>1</v>
      </c>
    </row>
    <row r="46" spans="1:27">
      <c r="A46" t="s">
        <v>1415</v>
      </c>
      <c r="B46" t="s">
        <v>7421</v>
      </c>
      <c r="C46" t="s">
        <v>7428</v>
      </c>
      <c r="D46">
        <v>7</v>
      </c>
      <c r="E46">
        <v>3</v>
      </c>
      <c r="F46" t="s">
        <v>5496</v>
      </c>
      <c r="G46" t="s">
        <v>5496</v>
      </c>
      <c r="H46">
        <v>3</v>
      </c>
      <c r="I46">
        <v>-4</v>
      </c>
      <c r="J46">
        <v>0</v>
      </c>
      <c r="K46">
        <v>-4</v>
      </c>
      <c r="L46">
        <v>-4</v>
      </c>
      <c r="M46">
        <v>9</v>
      </c>
      <c r="N46">
        <v>6</v>
      </c>
      <c r="O46">
        <v>0.7</v>
      </c>
      <c r="P46">
        <v>4</v>
      </c>
      <c r="Q46" t="s">
        <v>7371</v>
      </c>
      <c r="R46">
        <v>7</v>
      </c>
      <c r="S46">
        <v>6</v>
      </c>
      <c r="T46">
        <v>4</v>
      </c>
      <c r="U46">
        <v>1</v>
      </c>
      <c r="V46">
        <v>1</v>
      </c>
      <c r="Z46">
        <v>1</v>
      </c>
      <c r="AA46">
        <v>1</v>
      </c>
    </row>
    <row r="47" spans="1:27">
      <c r="A47" t="s">
        <v>1415</v>
      </c>
      <c r="B47" t="s">
        <v>7421</v>
      </c>
      <c r="C47" t="s">
        <v>7429</v>
      </c>
      <c r="D47">
        <v>14</v>
      </c>
      <c r="E47">
        <v>6</v>
      </c>
      <c r="F47" t="s">
        <v>5498</v>
      </c>
      <c r="G47" t="s">
        <v>5498</v>
      </c>
      <c r="H47">
        <v>2</v>
      </c>
      <c r="I47">
        <v>-7</v>
      </c>
      <c r="J47">
        <v>0</v>
      </c>
      <c r="K47">
        <v>-6</v>
      </c>
      <c r="L47">
        <v>-6</v>
      </c>
      <c r="M47">
        <v>26</v>
      </c>
      <c r="N47">
        <v>16</v>
      </c>
      <c r="O47">
        <v>1.4</v>
      </c>
      <c r="P47" t="s">
        <v>7380</v>
      </c>
      <c r="Q47" t="s">
        <v>7371</v>
      </c>
      <c r="R47">
        <v>12</v>
      </c>
      <c r="S47">
        <v>8</v>
      </c>
      <c r="T47">
        <v>4</v>
      </c>
      <c r="U47">
        <v>1.5</v>
      </c>
      <c r="V47">
        <v>1.5</v>
      </c>
      <c r="Z47">
        <v>1</v>
      </c>
      <c r="AA47">
        <v>1</v>
      </c>
    </row>
    <row r="48" spans="1:27">
      <c r="A48" t="s">
        <v>1415</v>
      </c>
      <c r="B48" t="s">
        <v>7421</v>
      </c>
      <c r="C48" t="s">
        <v>7430</v>
      </c>
      <c r="D48">
        <v>7</v>
      </c>
      <c r="E48">
        <v>4</v>
      </c>
      <c r="F48" t="s">
        <v>5496</v>
      </c>
      <c r="G48" t="s">
        <v>5496</v>
      </c>
      <c r="H48">
        <v>3</v>
      </c>
      <c r="I48">
        <v>-4</v>
      </c>
      <c r="J48">
        <v>0</v>
      </c>
      <c r="K48">
        <v>-4</v>
      </c>
      <c r="L48">
        <v>-4</v>
      </c>
      <c r="M48">
        <v>11</v>
      </c>
      <c r="N48">
        <v>8</v>
      </c>
      <c r="O48">
        <v>0.7</v>
      </c>
      <c r="P48">
        <v>4</v>
      </c>
      <c r="R48">
        <v>7</v>
      </c>
      <c r="S48">
        <v>10</v>
      </c>
      <c r="T48">
        <v>0</v>
      </c>
      <c r="U48">
        <v>0.7</v>
      </c>
      <c r="V48">
        <v>0.1</v>
      </c>
      <c r="Z48">
        <v>1</v>
      </c>
      <c r="AA48">
        <v>1</v>
      </c>
    </row>
    <row r="49" spans="1:27">
      <c r="A49" t="s">
        <v>1415</v>
      </c>
      <c r="B49" t="s">
        <v>7369</v>
      </c>
      <c r="C49" t="s">
        <v>7431</v>
      </c>
      <c r="D49">
        <v>7</v>
      </c>
      <c r="E49">
        <v>4</v>
      </c>
      <c r="F49" t="s">
        <v>7379</v>
      </c>
      <c r="G49" t="s">
        <v>5496</v>
      </c>
      <c r="H49">
        <v>4</v>
      </c>
      <c r="I49">
        <v>-6</v>
      </c>
      <c r="J49">
        <v>0</v>
      </c>
      <c r="K49">
        <v>-4</v>
      </c>
      <c r="L49">
        <v>-4</v>
      </c>
      <c r="M49">
        <v>10</v>
      </c>
      <c r="N49">
        <v>7</v>
      </c>
      <c r="O49">
        <v>0.76</v>
      </c>
      <c r="P49">
        <v>3</v>
      </c>
      <c r="Q49" t="s">
        <v>7371</v>
      </c>
      <c r="R49">
        <v>16</v>
      </c>
      <c r="S49">
        <v>7</v>
      </c>
      <c r="T49">
        <v>7</v>
      </c>
      <c r="U49">
        <v>0.65</v>
      </c>
      <c r="V49">
        <v>1</v>
      </c>
      <c r="Z49">
        <v>1</v>
      </c>
      <c r="AA49">
        <v>1</v>
      </c>
    </row>
    <row r="50" spans="1:27">
      <c r="A50" t="s">
        <v>1415</v>
      </c>
      <c r="B50" t="s">
        <v>7432</v>
      </c>
      <c r="C50" t="s">
        <v>7433</v>
      </c>
      <c r="D50">
        <v>10</v>
      </c>
      <c r="E50">
        <v>5</v>
      </c>
      <c r="F50" t="s">
        <v>5497</v>
      </c>
      <c r="G50" t="s">
        <v>5486</v>
      </c>
      <c r="H50">
        <v>4</v>
      </c>
      <c r="I50">
        <v>-5</v>
      </c>
      <c r="J50">
        <v>0</v>
      </c>
      <c r="K50">
        <v>-8</v>
      </c>
      <c r="L50">
        <v>-15</v>
      </c>
      <c r="M50">
        <v>13</v>
      </c>
      <c r="N50">
        <v>10</v>
      </c>
      <c r="O50">
        <v>1.5</v>
      </c>
      <c r="P50">
        <v>0</v>
      </c>
      <c r="R50">
        <v>2</v>
      </c>
      <c r="S50">
        <v>4</v>
      </c>
      <c r="T50">
        <v>5</v>
      </c>
      <c r="U50">
        <v>2</v>
      </c>
      <c r="V50">
        <v>0.5</v>
      </c>
      <c r="Z50">
        <v>1</v>
      </c>
      <c r="AA50">
        <v>1</v>
      </c>
    </row>
    <row r="51" spans="1:27">
      <c r="A51" t="s">
        <v>1415</v>
      </c>
      <c r="B51" t="s">
        <v>7369</v>
      </c>
      <c r="C51" t="s">
        <v>7434</v>
      </c>
      <c r="D51">
        <v>2</v>
      </c>
      <c r="E51">
        <v>5</v>
      </c>
      <c r="F51" t="s">
        <v>5497</v>
      </c>
      <c r="G51" t="s">
        <v>5486</v>
      </c>
      <c r="H51">
        <v>4</v>
      </c>
      <c r="I51">
        <v>-5</v>
      </c>
      <c r="J51">
        <v>0</v>
      </c>
      <c r="K51">
        <v>-5</v>
      </c>
      <c r="L51">
        <v>-8</v>
      </c>
      <c r="M51">
        <v>11</v>
      </c>
      <c r="N51">
        <v>8</v>
      </c>
      <c r="O51">
        <v>0.2</v>
      </c>
      <c r="P51">
        <v>0</v>
      </c>
      <c r="R51">
        <v>7</v>
      </c>
      <c r="S51">
        <v>10</v>
      </c>
      <c r="T51">
        <v>5</v>
      </c>
      <c r="U51">
        <v>2</v>
      </c>
      <c r="V51">
        <v>0.5</v>
      </c>
      <c r="Z51">
        <v>1</v>
      </c>
      <c r="AA51">
        <v>1</v>
      </c>
    </row>
    <row r="52" spans="1:27">
      <c r="A52" t="s">
        <v>1424</v>
      </c>
      <c r="B52" t="s">
        <v>6488</v>
      </c>
      <c r="C52" t="s">
        <v>7434</v>
      </c>
      <c r="D52">
        <v>2</v>
      </c>
      <c r="E52">
        <v>5</v>
      </c>
      <c r="F52" t="s">
        <v>5497</v>
      </c>
      <c r="G52" t="s">
        <v>5486</v>
      </c>
      <c r="H52">
        <v>4</v>
      </c>
      <c r="I52">
        <v>-5</v>
      </c>
      <c r="J52">
        <v>0</v>
      </c>
      <c r="K52">
        <v>-5</v>
      </c>
      <c r="L52">
        <v>-8</v>
      </c>
      <c r="M52">
        <v>11</v>
      </c>
      <c r="N52">
        <v>8</v>
      </c>
      <c r="O52">
        <v>0.2</v>
      </c>
      <c r="P52">
        <v>0</v>
      </c>
      <c r="R52">
        <v>7</v>
      </c>
      <c r="S52">
        <v>10</v>
      </c>
      <c r="T52">
        <v>5</v>
      </c>
      <c r="U52">
        <v>2</v>
      </c>
      <c r="V52">
        <v>0.5</v>
      </c>
      <c r="Z52">
        <v>1</v>
      </c>
      <c r="AA52">
        <v>1</v>
      </c>
    </row>
    <row r="53" spans="1:27">
      <c r="A53" t="s">
        <v>1418</v>
      </c>
      <c r="B53" t="s">
        <v>7435</v>
      </c>
      <c r="C53" t="s">
        <v>7436</v>
      </c>
      <c r="D53">
        <v>8</v>
      </c>
      <c r="E53">
        <v>4</v>
      </c>
      <c r="F53" t="s">
        <v>5497</v>
      </c>
      <c r="G53" t="s">
        <v>5497</v>
      </c>
      <c r="H53">
        <v>3</v>
      </c>
      <c r="I53">
        <v>-4</v>
      </c>
      <c r="J53">
        <v>0</v>
      </c>
      <c r="K53">
        <v>-2</v>
      </c>
      <c r="L53">
        <v>-3</v>
      </c>
      <c r="M53">
        <v>9</v>
      </c>
      <c r="N53">
        <v>6</v>
      </c>
      <c r="O53">
        <v>0.8</v>
      </c>
      <c r="P53">
        <v>4</v>
      </c>
      <c r="R53">
        <v>14</v>
      </c>
      <c r="S53">
        <v>14</v>
      </c>
      <c r="T53">
        <v>12</v>
      </c>
      <c r="U53">
        <v>0.8</v>
      </c>
      <c r="V53">
        <v>3</v>
      </c>
      <c r="Z53">
        <v>1</v>
      </c>
      <c r="AA53">
        <v>1</v>
      </c>
    </row>
    <row r="54" spans="1:27">
      <c r="A54" t="s">
        <v>1418</v>
      </c>
      <c r="B54" t="s">
        <v>7381</v>
      </c>
      <c r="C54" t="s">
        <v>7436</v>
      </c>
      <c r="D54">
        <v>8</v>
      </c>
      <c r="E54">
        <v>4</v>
      </c>
      <c r="F54" t="s">
        <v>5497</v>
      </c>
      <c r="G54" t="s">
        <v>5497</v>
      </c>
      <c r="H54">
        <v>3</v>
      </c>
      <c r="I54">
        <v>-4</v>
      </c>
      <c r="J54">
        <v>0</v>
      </c>
      <c r="K54">
        <v>-2</v>
      </c>
      <c r="L54">
        <v>-3</v>
      </c>
      <c r="M54">
        <v>9</v>
      </c>
      <c r="N54">
        <v>6</v>
      </c>
      <c r="O54">
        <v>0.8</v>
      </c>
      <c r="P54">
        <v>4</v>
      </c>
      <c r="R54">
        <v>14</v>
      </c>
      <c r="S54">
        <v>14</v>
      </c>
      <c r="T54">
        <v>12</v>
      </c>
      <c r="U54">
        <v>0.8</v>
      </c>
      <c r="V54">
        <v>3</v>
      </c>
      <c r="Z54">
        <v>1</v>
      </c>
      <c r="AA54">
        <v>1</v>
      </c>
    </row>
    <row r="55" spans="1:27">
      <c r="A55" t="s">
        <v>1424</v>
      </c>
      <c r="B55" t="s">
        <v>7414</v>
      </c>
      <c r="C55" t="s">
        <v>7437</v>
      </c>
      <c r="E55">
        <v>4</v>
      </c>
      <c r="F55" t="s">
        <v>5497</v>
      </c>
      <c r="G55" t="s">
        <v>5486</v>
      </c>
      <c r="H55">
        <v>2</v>
      </c>
      <c r="I55">
        <v>-8</v>
      </c>
      <c r="K55">
        <v>-2</v>
      </c>
      <c r="L55">
        <v>2</v>
      </c>
      <c r="M55">
        <v>13</v>
      </c>
      <c r="P55" t="s">
        <v>7380</v>
      </c>
      <c r="Q55" t="s">
        <v>7438</v>
      </c>
      <c r="R55">
        <v>14</v>
      </c>
      <c r="S55">
        <v>16</v>
      </c>
      <c r="T55">
        <v>15</v>
      </c>
      <c r="X55">
        <v>12</v>
      </c>
      <c r="Y55">
        <v>100</v>
      </c>
      <c r="Z55">
        <v>1</v>
      </c>
      <c r="AA55">
        <v>1</v>
      </c>
    </row>
    <row r="56" spans="1:27">
      <c r="A56" t="s">
        <v>1418</v>
      </c>
      <c r="B56" t="s">
        <v>7383</v>
      </c>
      <c r="C56" t="s">
        <v>7439</v>
      </c>
      <c r="D56">
        <v>17</v>
      </c>
      <c r="E56">
        <v>8</v>
      </c>
      <c r="F56" t="s">
        <v>7440</v>
      </c>
      <c r="H56">
        <v>1.5</v>
      </c>
      <c r="I56">
        <v>-12</v>
      </c>
      <c r="J56">
        <v>0</v>
      </c>
      <c r="K56">
        <v>-7</v>
      </c>
      <c r="L56">
        <v>-7</v>
      </c>
      <c r="M56">
        <v>36</v>
      </c>
      <c r="N56">
        <v>18</v>
      </c>
      <c r="O56">
        <v>1.8</v>
      </c>
      <c r="P56" t="s">
        <v>7380</v>
      </c>
      <c r="R56">
        <v>17</v>
      </c>
      <c r="S56">
        <v>13</v>
      </c>
      <c r="T56">
        <v>28</v>
      </c>
      <c r="U56">
        <v>2.5</v>
      </c>
      <c r="V56">
        <v>8</v>
      </c>
      <c r="Z56">
        <v>1</v>
      </c>
      <c r="AA56">
        <v>1</v>
      </c>
    </row>
    <row r="57" spans="1:27">
      <c r="A57" t="s">
        <v>1415</v>
      </c>
      <c r="B57" t="s">
        <v>7369</v>
      </c>
      <c r="C57" t="s">
        <v>7441</v>
      </c>
      <c r="D57">
        <v>4</v>
      </c>
      <c r="E57">
        <v>3.5</v>
      </c>
      <c r="F57" t="s">
        <v>5500</v>
      </c>
      <c r="H57">
        <v>4</v>
      </c>
      <c r="I57">
        <v>-5</v>
      </c>
      <c r="J57">
        <v>0</v>
      </c>
      <c r="K57">
        <v>-6</v>
      </c>
      <c r="L57">
        <v>-6</v>
      </c>
      <c r="M57">
        <v>7</v>
      </c>
      <c r="N57">
        <v>3</v>
      </c>
      <c r="O57">
        <v>0.4</v>
      </c>
      <c r="P57">
        <v>6</v>
      </c>
      <c r="Q57" t="s">
        <v>7371</v>
      </c>
      <c r="R57">
        <v>13</v>
      </c>
      <c r="S57">
        <v>6</v>
      </c>
      <c r="T57">
        <v>5</v>
      </c>
      <c r="U57">
        <v>0.6</v>
      </c>
      <c r="V57">
        <v>0.5</v>
      </c>
      <c r="Z57">
        <v>1</v>
      </c>
      <c r="AA57">
        <v>1</v>
      </c>
    </row>
    <row r="58" spans="1:27">
      <c r="A58" t="s">
        <v>1422</v>
      </c>
      <c r="B58" t="s">
        <v>7367</v>
      </c>
      <c r="C58" t="s">
        <v>7442</v>
      </c>
      <c r="D58">
        <v>13</v>
      </c>
      <c r="E58">
        <v>2</v>
      </c>
      <c r="F58" t="s">
        <v>5497</v>
      </c>
      <c r="G58" t="s">
        <v>5486</v>
      </c>
      <c r="H58">
        <v>20</v>
      </c>
      <c r="I58">
        <v>-1</v>
      </c>
      <c r="J58">
        <v>0</v>
      </c>
      <c r="K58">
        <v>-1</v>
      </c>
      <c r="L58">
        <v>1</v>
      </c>
      <c r="M58">
        <v>6</v>
      </c>
      <c r="O58">
        <v>1.1000000000000001</v>
      </c>
      <c r="P58">
        <v>2</v>
      </c>
      <c r="Q58" t="s">
        <v>7366</v>
      </c>
      <c r="R58">
        <v>0</v>
      </c>
      <c r="S58">
        <v>20</v>
      </c>
      <c r="T58">
        <v>18</v>
      </c>
      <c r="U58">
        <v>0.7</v>
      </c>
      <c r="V58">
        <v>4</v>
      </c>
      <c r="Z58">
        <v>1</v>
      </c>
      <c r="AA58">
        <v>1</v>
      </c>
    </row>
    <row r="59" spans="1:27">
      <c r="A59" t="s">
        <v>1422</v>
      </c>
      <c r="B59" t="s">
        <v>7367</v>
      </c>
      <c r="C59" t="s">
        <v>7443</v>
      </c>
      <c r="D59">
        <v>8</v>
      </c>
      <c r="E59">
        <v>4</v>
      </c>
      <c r="F59" t="s">
        <v>5499</v>
      </c>
      <c r="G59" t="s">
        <v>5486</v>
      </c>
      <c r="H59">
        <v>4</v>
      </c>
      <c r="I59">
        <v>-4</v>
      </c>
      <c r="J59">
        <v>0</v>
      </c>
      <c r="K59">
        <v>-3</v>
      </c>
      <c r="L59">
        <v>-4</v>
      </c>
      <c r="M59">
        <v>8</v>
      </c>
      <c r="N59">
        <v>6</v>
      </c>
      <c r="O59">
        <v>0.75</v>
      </c>
      <c r="P59">
        <v>5</v>
      </c>
      <c r="R59">
        <v>15</v>
      </c>
      <c r="S59">
        <v>15</v>
      </c>
      <c r="T59">
        <v>10</v>
      </c>
      <c r="U59">
        <v>0.75</v>
      </c>
      <c r="V59">
        <v>3</v>
      </c>
      <c r="Z59">
        <v>1</v>
      </c>
      <c r="AA59">
        <v>1</v>
      </c>
    </row>
    <row r="60" spans="1:27">
      <c r="A60" t="s">
        <v>1418</v>
      </c>
      <c r="B60" t="s">
        <v>7435</v>
      </c>
      <c r="C60" t="s">
        <v>7443</v>
      </c>
      <c r="D60">
        <v>8</v>
      </c>
      <c r="E60">
        <v>4</v>
      </c>
      <c r="F60" t="s">
        <v>5499</v>
      </c>
      <c r="G60" t="s">
        <v>5486</v>
      </c>
      <c r="H60">
        <v>4</v>
      </c>
      <c r="I60">
        <v>-4</v>
      </c>
      <c r="J60">
        <v>0</v>
      </c>
      <c r="K60">
        <v>-3</v>
      </c>
      <c r="L60">
        <v>-4</v>
      </c>
      <c r="M60">
        <v>8</v>
      </c>
      <c r="N60">
        <v>6</v>
      </c>
      <c r="O60">
        <v>0.75</v>
      </c>
      <c r="P60">
        <v>5</v>
      </c>
      <c r="R60">
        <v>15</v>
      </c>
      <c r="S60">
        <v>15</v>
      </c>
      <c r="T60">
        <v>10</v>
      </c>
      <c r="U60">
        <v>0.75</v>
      </c>
      <c r="V60">
        <v>3</v>
      </c>
      <c r="Z60">
        <v>1</v>
      </c>
      <c r="AA60">
        <v>1</v>
      </c>
    </row>
    <row r="61" spans="1:27">
      <c r="A61" t="s">
        <v>1422</v>
      </c>
      <c r="B61" t="s">
        <v>7367</v>
      </c>
      <c r="C61" t="s">
        <v>7444</v>
      </c>
      <c r="D61">
        <v>7</v>
      </c>
      <c r="E61">
        <v>4</v>
      </c>
      <c r="F61" t="s">
        <v>5499</v>
      </c>
      <c r="G61" t="s">
        <v>5486</v>
      </c>
      <c r="H61">
        <v>4</v>
      </c>
      <c r="I61">
        <v>-4</v>
      </c>
      <c r="J61">
        <v>0</v>
      </c>
      <c r="K61">
        <v>-3</v>
      </c>
      <c r="L61">
        <v>-3</v>
      </c>
      <c r="M61">
        <v>9</v>
      </c>
      <c r="N61">
        <v>6</v>
      </c>
      <c r="O61">
        <v>0.75</v>
      </c>
      <c r="P61">
        <v>3</v>
      </c>
      <c r="R61">
        <v>15</v>
      </c>
      <c r="S61">
        <v>15</v>
      </c>
      <c r="T61">
        <v>11</v>
      </c>
      <c r="U61">
        <v>0.8</v>
      </c>
      <c r="V61">
        <v>3.5</v>
      </c>
      <c r="Z61">
        <v>1</v>
      </c>
      <c r="AA61">
        <v>1</v>
      </c>
    </row>
    <row r="62" spans="1:27">
      <c r="A62" t="s">
        <v>1418</v>
      </c>
      <c r="B62" t="s">
        <v>7435</v>
      </c>
      <c r="C62" t="s">
        <v>7444</v>
      </c>
      <c r="D62">
        <v>7</v>
      </c>
      <c r="E62">
        <v>4</v>
      </c>
      <c r="F62" t="s">
        <v>5499</v>
      </c>
      <c r="G62" t="s">
        <v>5486</v>
      </c>
      <c r="H62">
        <v>4</v>
      </c>
      <c r="I62">
        <v>-4</v>
      </c>
      <c r="J62">
        <v>0</v>
      </c>
      <c r="K62">
        <v>-3</v>
      </c>
      <c r="L62">
        <v>-3</v>
      </c>
      <c r="M62">
        <v>9</v>
      </c>
      <c r="N62">
        <v>6</v>
      </c>
      <c r="O62">
        <v>0.75</v>
      </c>
      <c r="P62">
        <v>3</v>
      </c>
      <c r="R62">
        <v>15</v>
      </c>
      <c r="S62">
        <v>15</v>
      </c>
      <c r="T62">
        <v>11</v>
      </c>
      <c r="U62">
        <v>0.8</v>
      </c>
      <c r="V62">
        <v>3.5</v>
      </c>
      <c r="Z62">
        <v>1</v>
      </c>
      <c r="AA62">
        <v>1</v>
      </c>
    </row>
    <row r="63" spans="1:27">
      <c r="A63" t="s">
        <v>1422</v>
      </c>
      <c r="B63" t="s">
        <v>7367</v>
      </c>
      <c r="C63" t="s">
        <v>7445</v>
      </c>
      <c r="D63">
        <v>4</v>
      </c>
      <c r="E63">
        <v>3</v>
      </c>
      <c r="F63" t="s">
        <v>5499</v>
      </c>
      <c r="G63" t="s">
        <v>5486</v>
      </c>
      <c r="H63">
        <v>4</v>
      </c>
      <c r="I63">
        <v>-4</v>
      </c>
      <c r="J63">
        <v>0</v>
      </c>
      <c r="K63">
        <v>-2</v>
      </c>
      <c r="L63">
        <v>-5</v>
      </c>
      <c r="M63">
        <v>8</v>
      </c>
      <c r="N63">
        <v>5</v>
      </c>
      <c r="O63">
        <v>0.45</v>
      </c>
      <c r="P63">
        <v>6</v>
      </c>
      <c r="R63">
        <v>13</v>
      </c>
      <c r="S63">
        <v>18</v>
      </c>
      <c r="T63">
        <v>9</v>
      </c>
      <c r="U63">
        <v>0.5</v>
      </c>
      <c r="V63">
        <v>3</v>
      </c>
      <c r="Z63">
        <v>1</v>
      </c>
      <c r="AA63">
        <v>1</v>
      </c>
    </row>
    <row r="64" spans="1:27">
      <c r="A64" t="s">
        <v>1418</v>
      </c>
      <c r="B64" t="s">
        <v>7435</v>
      </c>
      <c r="C64" t="s">
        <v>7445</v>
      </c>
      <c r="D64">
        <v>4</v>
      </c>
      <c r="E64">
        <v>3</v>
      </c>
      <c r="F64" t="s">
        <v>5499</v>
      </c>
      <c r="G64" t="s">
        <v>5486</v>
      </c>
      <c r="H64">
        <v>4</v>
      </c>
      <c r="I64">
        <v>-4</v>
      </c>
      <c r="J64">
        <v>0</v>
      </c>
      <c r="K64">
        <v>-2</v>
      </c>
      <c r="L64">
        <v>-5</v>
      </c>
      <c r="M64">
        <v>8</v>
      </c>
      <c r="N64">
        <v>5</v>
      </c>
      <c r="O64">
        <v>0.45</v>
      </c>
      <c r="P64">
        <v>6</v>
      </c>
      <c r="R64">
        <v>13</v>
      </c>
      <c r="S64">
        <v>18</v>
      </c>
      <c r="T64">
        <v>9</v>
      </c>
      <c r="U64">
        <v>0.5</v>
      </c>
      <c r="V64">
        <v>3</v>
      </c>
      <c r="Z64">
        <v>1</v>
      </c>
      <c r="AA64">
        <v>1</v>
      </c>
    </row>
    <row r="65" spans="1:27">
      <c r="A65" t="s">
        <v>1420</v>
      </c>
      <c r="B65" t="s">
        <v>7373</v>
      </c>
      <c r="C65" t="s">
        <v>7446</v>
      </c>
      <c r="D65">
        <v>29</v>
      </c>
      <c r="E65">
        <v>6</v>
      </c>
      <c r="F65" t="s">
        <v>7385</v>
      </c>
      <c r="G65" t="s">
        <v>7386</v>
      </c>
      <c r="H65">
        <v>3</v>
      </c>
      <c r="I65">
        <v>-7</v>
      </c>
      <c r="J65">
        <v>0</v>
      </c>
      <c r="K65">
        <v>-7</v>
      </c>
      <c r="L65">
        <v>-5</v>
      </c>
      <c r="M65">
        <v>26</v>
      </c>
      <c r="N65">
        <v>14</v>
      </c>
      <c r="O65">
        <v>2.7</v>
      </c>
      <c r="P65" t="s">
        <v>7380</v>
      </c>
      <c r="Q65" t="s">
        <v>7371</v>
      </c>
      <c r="R65">
        <v>16</v>
      </c>
      <c r="S65">
        <v>7</v>
      </c>
      <c r="T65">
        <v>16</v>
      </c>
      <c r="U65">
        <v>1.1000000000000001</v>
      </c>
      <c r="V65">
        <v>3.5</v>
      </c>
      <c r="Z65">
        <v>1</v>
      </c>
      <c r="AA65">
        <v>1</v>
      </c>
    </row>
    <row r="66" spans="1:27">
      <c r="A66" t="s">
        <v>1415</v>
      </c>
      <c r="B66" t="s">
        <v>7369</v>
      </c>
      <c r="C66" t="s">
        <v>7447</v>
      </c>
      <c r="D66">
        <v>14</v>
      </c>
      <c r="E66">
        <v>4.5</v>
      </c>
      <c r="F66" t="s">
        <v>7448</v>
      </c>
      <c r="G66" t="s">
        <v>5486</v>
      </c>
      <c r="H66">
        <v>3</v>
      </c>
      <c r="I66">
        <v>-5</v>
      </c>
      <c r="J66">
        <v>2</v>
      </c>
      <c r="K66">
        <v>-7</v>
      </c>
      <c r="L66">
        <v>-7</v>
      </c>
      <c r="M66">
        <v>14</v>
      </c>
      <c r="N66">
        <v>8</v>
      </c>
      <c r="O66">
        <v>1.4</v>
      </c>
      <c r="P66">
        <v>0</v>
      </c>
      <c r="Q66" t="s">
        <v>7371</v>
      </c>
      <c r="R66">
        <v>10</v>
      </c>
      <c r="S66">
        <v>4</v>
      </c>
      <c r="T66">
        <v>3</v>
      </c>
      <c r="U66">
        <v>0.3</v>
      </c>
      <c r="V66">
        <v>0.25</v>
      </c>
      <c r="Z66">
        <v>1</v>
      </c>
      <c r="AA66">
        <v>1</v>
      </c>
    </row>
    <row r="67" spans="1:27">
      <c r="A67" t="s">
        <v>1420</v>
      </c>
      <c r="B67" t="s">
        <v>7388</v>
      </c>
      <c r="C67" t="s">
        <v>7447</v>
      </c>
      <c r="D67">
        <v>14</v>
      </c>
      <c r="E67">
        <v>4.5</v>
      </c>
      <c r="F67" t="s">
        <v>7448</v>
      </c>
      <c r="G67" t="s">
        <v>5486</v>
      </c>
      <c r="H67">
        <v>3</v>
      </c>
      <c r="I67">
        <v>-5</v>
      </c>
      <c r="J67">
        <v>2</v>
      </c>
      <c r="K67">
        <v>-7</v>
      </c>
      <c r="L67">
        <v>-7</v>
      </c>
      <c r="M67">
        <v>14</v>
      </c>
      <c r="N67">
        <v>8</v>
      </c>
      <c r="O67">
        <v>1.4</v>
      </c>
      <c r="P67">
        <v>0</v>
      </c>
      <c r="Q67" t="s">
        <v>7371</v>
      </c>
      <c r="R67">
        <v>10</v>
      </c>
      <c r="S67">
        <v>4</v>
      </c>
      <c r="T67">
        <v>3</v>
      </c>
      <c r="U67">
        <v>0.3</v>
      </c>
      <c r="V67">
        <v>0.25</v>
      </c>
      <c r="Z67">
        <v>1</v>
      </c>
      <c r="AA67">
        <v>1</v>
      </c>
    </row>
    <row r="68" spans="1:27">
      <c r="A68" t="s">
        <v>1422</v>
      </c>
      <c r="B68" t="s">
        <v>7397</v>
      </c>
      <c r="C68" t="s">
        <v>7449</v>
      </c>
      <c r="D68">
        <v>3</v>
      </c>
      <c r="E68">
        <v>2</v>
      </c>
      <c r="F68" t="s">
        <v>5499</v>
      </c>
      <c r="H68">
        <v>5</v>
      </c>
      <c r="I68">
        <v>-2</v>
      </c>
      <c r="J68">
        <v>0</v>
      </c>
      <c r="K68">
        <v>-1</v>
      </c>
      <c r="L68">
        <v>-6</v>
      </c>
      <c r="M68">
        <v>6</v>
      </c>
      <c r="N68">
        <v>4</v>
      </c>
      <c r="O68">
        <v>0.35</v>
      </c>
      <c r="P68">
        <v>6</v>
      </c>
      <c r="R68">
        <v>12</v>
      </c>
      <c r="S68">
        <v>17</v>
      </c>
      <c r="T68">
        <v>7</v>
      </c>
      <c r="U68">
        <v>0.3</v>
      </c>
      <c r="V68">
        <v>1</v>
      </c>
      <c r="Z68">
        <v>1</v>
      </c>
      <c r="AA68">
        <v>1</v>
      </c>
    </row>
    <row r="69" spans="1:27">
      <c r="A69" t="s">
        <v>1415</v>
      </c>
      <c r="B69" t="s">
        <v>7421</v>
      </c>
      <c r="C69" t="s">
        <v>7450</v>
      </c>
      <c r="D69">
        <v>3</v>
      </c>
      <c r="E69">
        <v>5</v>
      </c>
      <c r="F69" t="s">
        <v>5498</v>
      </c>
      <c r="G69" t="s">
        <v>5496</v>
      </c>
      <c r="H69">
        <v>2</v>
      </c>
      <c r="I69">
        <v>-7</v>
      </c>
      <c r="J69">
        <v>0</v>
      </c>
      <c r="K69">
        <v>-5</v>
      </c>
      <c r="L69">
        <v>-8</v>
      </c>
      <c r="M69">
        <v>10</v>
      </c>
      <c r="N69">
        <v>7</v>
      </c>
      <c r="O69">
        <v>0.3</v>
      </c>
      <c r="P69">
        <v>7</v>
      </c>
      <c r="Q69" t="s">
        <v>7371</v>
      </c>
      <c r="R69">
        <v>9</v>
      </c>
      <c r="S69">
        <v>6</v>
      </c>
      <c r="T69">
        <v>4</v>
      </c>
      <c r="U69">
        <v>0.7</v>
      </c>
      <c r="V69">
        <v>0.25</v>
      </c>
      <c r="Z69">
        <v>1</v>
      </c>
      <c r="AA69">
        <v>1</v>
      </c>
    </row>
    <row r="70" spans="1:27">
      <c r="A70" t="s">
        <v>1415</v>
      </c>
      <c r="B70" t="s">
        <v>7421</v>
      </c>
      <c r="C70" t="s">
        <v>7451</v>
      </c>
      <c r="D70">
        <v>2</v>
      </c>
      <c r="E70">
        <v>2.5</v>
      </c>
      <c r="F70" t="s">
        <v>5497</v>
      </c>
      <c r="G70" t="s">
        <v>5486</v>
      </c>
      <c r="H70">
        <v>3</v>
      </c>
      <c r="I70">
        <v>-5</v>
      </c>
      <c r="J70">
        <v>0</v>
      </c>
      <c r="K70">
        <v>-6</v>
      </c>
      <c r="L70">
        <v>-9</v>
      </c>
      <c r="M70">
        <v>6</v>
      </c>
      <c r="O70">
        <v>0.25</v>
      </c>
      <c r="P70">
        <v>8</v>
      </c>
      <c r="Q70" t="s">
        <v>7371</v>
      </c>
      <c r="R70">
        <v>8</v>
      </c>
      <c r="S70">
        <v>5</v>
      </c>
      <c r="T70">
        <v>3</v>
      </c>
      <c r="U70">
        <v>0.4</v>
      </c>
      <c r="V70">
        <v>0.25</v>
      </c>
      <c r="Z70">
        <v>1</v>
      </c>
      <c r="AA70">
        <v>1</v>
      </c>
    </row>
    <row r="71" spans="1:27">
      <c r="A71" t="s">
        <v>1420</v>
      </c>
      <c r="B71" t="s">
        <v>7391</v>
      </c>
      <c r="C71" t="s">
        <v>7452</v>
      </c>
      <c r="D71">
        <v>13</v>
      </c>
      <c r="E71">
        <v>5</v>
      </c>
      <c r="F71" t="s">
        <v>5500</v>
      </c>
      <c r="G71" t="s">
        <v>5496</v>
      </c>
      <c r="H71">
        <v>3</v>
      </c>
      <c r="I71">
        <v>-8</v>
      </c>
      <c r="J71">
        <v>0</v>
      </c>
      <c r="K71">
        <v>-5</v>
      </c>
      <c r="L71">
        <v>-4</v>
      </c>
      <c r="M71">
        <v>25</v>
      </c>
      <c r="N71">
        <v>11</v>
      </c>
      <c r="O71">
        <v>1.2</v>
      </c>
      <c r="P71" t="s">
        <v>7380</v>
      </c>
      <c r="Q71" t="s">
        <v>7371</v>
      </c>
      <c r="R71">
        <v>17</v>
      </c>
      <c r="S71">
        <v>7</v>
      </c>
      <c r="T71">
        <v>16</v>
      </c>
      <c r="U71">
        <v>1.5</v>
      </c>
      <c r="V71">
        <v>4</v>
      </c>
      <c r="Z71">
        <v>1</v>
      </c>
      <c r="AA71">
        <v>1</v>
      </c>
    </row>
    <row r="72" spans="1:27">
      <c r="A72" t="s">
        <v>1418</v>
      </c>
      <c r="B72" t="s">
        <v>7435</v>
      </c>
      <c r="C72" t="s">
        <v>7453</v>
      </c>
      <c r="D72">
        <v>5</v>
      </c>
      <c r="E72">
        <v>2.5</v>
      </c>
      <c r="F72" t="s">
        <v>5496</v>
      </c>
      <c r="G72" t="s">
        <v>5496</v>
      </c>
      <c r="H72">
        <v>4</v>
      </c>
      <c r="I72">
        <v>-2</v>
      </c>
      <c r="J72">
        <v>0</v>
      </c>
      <c r="K72">
        <v>-1</v>
      </c>
      <c r="L72">
        <v>-5</v>
      </c>
      <c r="M72">
        <v>6</v>
      </c>
      <c r="N72">
        <v>4</v>
      </c>
      <c r="O72">
        <v>0.5</v>
      </c>
      <c r="P72">
        <v>6</v>
      </c>
      <c r="R72">
        <v>14</v>
      </c>
      <c r="S72">
        <v>11</v>
      </c>
      <c r="T72">
        <v>10</v>
      </c>
      <c r="U72">
        <v>0.8</v>
      </c>
      <c r="V72">
        <v>3</v>
      </c>
      <c r="Z72">
        <v>1</v>
      </c>
      <c r="AA72">
        <v>1</v>
      </c>
    </row>
    <row r="73" spans="1:27">
      <c r="A73" t="s">
        <v>1420</v>
      </c>
      <c r="B73" t="s">
        <v>7391</v>
      </c>
      <c r="C73" t="s">
        <v>7454</v>
      </c>
      <c r="D73">
        <v>32</v>
      </c>
      <c r="E73">
        <v>6</v>
      </c>
      <c r="F73" t="s">
        <v>5500</v>
      </c>
      <c r="G73" t="s">
        <v>5499</v>
      </c>
      <c r="H73">
        <v>2</v>
      </c>
      <c r="I73">
        <v>-14</v>
      </c>
      <c r="J73">
        <v>0</v>
      </c>
      <c r="K73">
        <v>-8</v>
      </c>
      <c r="L73">
        <v>-7</v>
      </c>
      <c r="M73">
        <v>32</v>
      </c>
      <c r="N73">
        <v>14</v>
      </c>
      <c r="O73">
        <v>3</v>
      </c>
      <c r="P73" t="s">
        <v>7380</v>
      </c>
      <c r="Q73" t="s">
        <v>7371</v>
      </c>
      <c r="R73">
        <v>17</v>
      </c>
      <c r="S73">
        <v>7</v>
      </c>
      <c r="T73">
        <v>16</v>
      </c>
      <c r="U73">
        <v>1.5</v>
      </c>
      <c r="V73">
        <v>4</v>
      </c>
      <c r="Z73">
        <v>1</v>
      </c>
      <c r="AA73">
        <v>1</v>
      </c>
    </row>
    <row r="74" spans="1:27">
      <c r="A74" t="s">
        <v>1420</v>
      </c>
      <c r="B74" t="s">
        <v>7391</v>
      </c>
      <c r="C74" t="s">
        <v>7455</v>
      </c>
      <c r="D74">
        <v>22</v>
      </c>
      <c r="E74">
        <v>5</v>
      </c>
      <c r="F74" t="s">
        <v>7385</v>
      </c>
      <c r="G74" t="s">
        <v>5497</v>
      </c>
      <c r="H74">
        <v>3</v>
      </c>
      <c r="I74">
        <v>-7</v>
      </c>
      <c r="J74">
        <v>0</v>
      </c>
      <c r="K74">
        <v>-5</v>
      </c>
      <c r="L74">
        <v>-5</v>
      </c>
      <c r="M74">
        <v>26</v>
      </c>
      <c r="N74">
        <v>12</v>
      </c>
      <c r="O74">
        <v>2</v>
      </c>
      <c r="P74" t="s">
        <v>7380</v>
      </c>
      <c r="Q74" t="s">
        <v>7371</v>
      </c>
      <c r="R74">
        <v>17</v>
      </c>
      <c r="S74">
        <v>7</v>
      </c>
      <c r="T74">
        <v>16</v>
      </c>
      <c r="U74">
        <v>1.5</v>
      </c>
      <c r="V74">
        <v>4</v>
      </c>
      <c r="Z74">
        <v>1</v>
      </c>
      <c r="AA74">
        <v>1</v>
      </c>
    </row>
    <row r="75" spans="1:27">
      <c r="A75" t="s">
        <v>1422</v>
      </c>
      <c r="B75" t="s">
        <v>7397</v>
      </c>
      <c r="C75" t="s">
        <v>7456</v>
      </c>
      <c r="D75">
        <v>3</v>
      </c>
      <c r="E75">
        <v>2</v>
      </c>
      <c r="F75" t="s">
        <v>5498</v>
      </c>
      <c r="G75" t="s">
        <v>5486</v>
      </c>
      <c r="H75">
        <v>5</v>
      </c>
      <c r="I75">
        <v>-3</v>
      </c>
      <c r="J75">
        <v>0</v>
      </c>
      <c r="K75">
        <v>-1</v>
      </c>
      <c r="L75">
        <v>-5</v>
      </c>
      <c r="M75">
        <v>6</v>
      </c>
      <c r="N75">
        <v>4</v>
      </c>
      <c r="O75">
        <v>0.35</v>
      </c>
      <c r="P75">
        <v>6</v>
      </c>
      <c r="R75">
        <v>13</v>
      </c>
      <c r="S75">
        <v>18</v>
      </c>
      <c r="T75">
        <v>5</v>
      </c>
      <c r="U75">
        <v>0.4</v>
      </c>
      <c r="V75">
        <v>1</v>
      </c>
      <c r="Z75">
        <v>1</v>
      </c>
      <c r="AA75">
        <v>1</v>
      </c>
    </row>
    <row r="76" spans="1:27">
      <c r="A76" t="s">
        <v>1422</v>
      </c>
      <c r="B76" t="s">
        <v>7397</v>
      </c>
      <c r="C76" t="s">
        <v>7457</v>
      </c>
      <c r="D76">
        <v>3</v>
      </c>
      <c r="E76">
        <v>1</v>
      </c>
      <c r="F76" t="s">
        <v>5498</v>
      </c>
      <c r="G76" t="s">
        <v>5486</v>
      </c>
      <c r="H76">
        <v>5</v>
      </c>
      <c r="I76">
        <v>-4</v>
      </c>
      <c r="J76">
        <v>0</v>
      </c>
      <c r="K76">
        <v>-1</v>
      </c>
      <c r="L76">
        <v>-6</v>
      </c>
      <c r="M76">
        <v>5</v>
      </c>
      <c r="N76">
        <v>3</v>
      </c>
      <c r="O76">
        <v>0.25</v>
      </c>
      <c r="P76">
        <v>9</v>
      </c>
      <c r="R76">
        <v>12</v>
      </c>
      <c r="S76">
        <v>18</v>
      </c>
      <c r="T76">
        <v>5</v>
      </c>
      <c r="U76">
        <v>0.25</v>
      </c>
      <c r="V76">
        <v>1</v>
      </c>
      <c r="Z76">
        <v>1</v>
      </c>
      <c r="AA76">
        <v>1</v>
      </c>
    </row>
    <row r="77" spans="1:27">
      <c r="A77" t="s">
        <v>1424</v>
      </c>
      <c r="B77" t="s">
        <v>6488</v>
      </c>
      <c r="C77" t="s">
        <v>7457</v>
      </c>
      <c r="D77">
        <v>3</v>
      </c>
      <c r="E77">
        <v>1</v>
      </c>
      <c r="F77" t="s">
        <v>5498</v>
      </c>
      <c r="G77" t="s">
        <v>5486</v>
      </c>
      <c r="H77">
        <v>5</v>
      </c>
      <c r="I77">
        <v>-4</v>
      </c>
      <c r="J77">
        <v>0</v>
      </c>
      <c r="K77">
        <v>-1</v>
      </c>
      <c r="L77">
        <v>-6</v>
      </c>
      <c r="M77">
        <v>5</v>
      </c>
      <c r="N77">
        <v>3</v>
      </c>
      <c r="O77">
        <v>0.25</v>
      </c>
      <c r="P77">
        <v>9</v>
      </c>
      <c r="R77">
        <v>12</v>
      </c>
      <c r="S77">
        <v>18</v>
      </c>
      <c r="T77">
        <v>5</v>
      </c>
      <c r="U77">
        <v>0.25</v>
      </c>
      <c r="V77">
        <v>1</v>
      </c>
      <c r="Z77">
        <v>1</v>
      </c>
      <c r="AA77">
        <v>1</v>
      </c>
    </row>
    <row r="78" spans="1:27">
      <c r="A78" t="s">
        <v>1422</v>
      </c>
      <c r="B78" t="s">
        <v>7367</v>
      </c>
      <c r="C78" t="s">
        <v>7458</v>
      </c>
      <c r="D78">
        <v>8</v>
      </c>
      <c r="E78">
        <v>4</v>
      </c>
      <c r="F78" t="s">
        <v>7385</v>
      </c>
      <c r="G78" t="s">
        <v>5486</v>
      </c>
      <c r="H78">
        <v>4</v>
      </c>
      <c r="I78">
        <v>-5</v>
      </c>
      <c r="J78">
        <v>0</v>
      </c>
      <c r="K78">
        <v>-2</v>
      </c>
      <c r="L78">
        <v>-3</v>
      </c>
      <c r="M78">
        <v>8</v>
      </c>
      <c r="N78">
        <v>6</v>
      </c>
      <c r="O78">
        <v>0.7</v>
      </c>
      <c r="P78">
        <v>4</v>
      </c>
      <c r="R78">
        <v>14</v>
      </c>
      <c r="S78">
        <v>16</v>
      </c>
      <c r="T78">
        <v>18</v>
      </c>
      <c r="U78">
        <v>0.8</v>
      </c>
      <c r="V78">
        <v>4</v>
      </c>
      <c r="Z78">
        <v>1</v>
      </c>
      <c r="AA78">
        <v>1</v>
      </c>
    </row>
    <row r="79" spans="1:27">
      <c r="A79" t="s">
        <v>1415</v>
      </c>
      <c r="B79" t="s">
        <v>7369</v>
      </c>
      <c r="C79" t="s">
        <v>7459</v>
      </c>
      <c r="D79">
        <v>8</v>
      </c>
      <c r="E79">
        <v>7</v>
      </c>
      <c r="F79" t="s">
        <v>5500</v>
      </c>
      <c r="G79" t="s">
        <v>5486</v>
      </c>
      <c r="H79">
        <v>1.5</v>
      </c>
      <c r="I79">
        <v>-11</v>
      </c>
      <c r="J79">
        <v>0</v>
      </c>
      <c r="K79">
        <v>-5</v>
      </c>
      <c r="L79">
        <v>-5</v>
      </c>
      <c r="M79">
        <v>28</v>
      </c>
      <c r="N79">
        <v>12</v>
      </c>
      <c r="O79">
        <v>0.8</v>
      </c>
      <c r="P79">
        <v>0</v>
      </c>
      <c r="Q79" t="s">
        <v>7371</v>
      </c>
      <c r="R79">
        <v>17</v>
      </c>
      <c r="S79">
        <v>6</v>
      </c>
      <c r="T79">
        <v>8</v>
      </c>
      <c r="U79">
        <v>2</v>
      </c>
      <c r="V79">
        <v>1.5</v>
      </c>
      <c r="Z79">
        <v>1</v>
      </c>
      <c r="AA79">
        <v>1</v>
      </c>
    </row>
    <row r="80" spans="1:27">
      <c r="A80" t="s">
        <v>1422</v>
      </c>
      <c r="B80" t="s">
        <v>7397</v>
      </c>
      <c r="C80" t="s">
        <v>7460</v>
      </c>
      <c r="D80">
        <v>3</v>
      </c>
      <c r="E80">
        <v>0</v>
      </c>
      <c r="F80" t="s">
        <v>5498</v>
      </c>
      <c r="H80">
        <v>6</v>
      </c>
      <c r="I80">
        <v>-2</v>
      </c>
      <c r="J80">
        <v>0</v>
      </c>
      <c r="K80">
        <v>-1</v>
      </c>
      <c r="L80">
        <v>-8</v>
      </c>
      <c r="M80">
        <v>3</v>
      </c>
      <c r="O80">
        <v>0.3</v>
      </c>
      <c r="P80">
        <v>11</v>
      </c>
      <c r="R80">
        <v>11</v>
      </c>
      <c r="S80">
        <v>16</v>
      </c>
      <c r="T80">
        <v>4</v>
      </c>
      <c r="U80">
        <v>0.3</v>
      </c>
      <c r="V80">
        <v>1</v>
      </c>
      <c r="Z80">
        <v>1</v>
      </c>
      <c r="AA80">
        <v>1</v>
      </c>
    </row>
    <row r="81" spans="1:27">
      <c r="A81" t="s">
        <v>1424</v>
      </c>
      <c r="B81" t="s">
        <v>6488</v>
      </c>
      <c r="C81" t="s">
        <v>7460</v>
      </c>
      <c r="D81">
        <v>3</v>
      </c>
      <c r="E81">
        <v>0</v>
      </c>
      <c r="F81" t="s">
        <v>5498</v>
      </c>
      <c r="H81">
        <v>6</v>
      </c>
      <c r="I81">
        <v>-2</v>
      </c>
      <c r="J81">
        <v>0</v>
      </c>
      <c r="K81">
        <v>-1</v>
      </c>
      <c r="L81">
        <v>-8</v>
      </c>
      <c r="M81">
        <v>3</v>
      </c>
      <c r="O81">
        <v>0.3</v>
      </c>
      <c r="P81">
        <v>11</v>
      </c>
      <c r="R81">
        <v>11</v>
      </c>
      <c r="S81">
        <v>16</v>
      </c>
      <c r="T81">
        <v>4</v>
      </c>
      <c r="U81">
        <v>0.3</v>
      </c>
      <c r="V81">
        <v>1</v>
      </c>
      <c r="Z81">
        <v>1</v>
      </c>
      <c r="AA81">
        <v>1</v>
      </c>
    </row>
    <row r="82" spans="1:27">
      <c r="A82" t="s">
        <v>1415</v>
      </c>
      <c r="B82" t="s">
        <v>7377</v>
      </c>
      <c r="C82" t="s">
        <v>7461</v>
      </c>
      <c r="D82">
        <v>28</v>
      </c>
      <c r="E82">
        <v>15</v>
      </c>
      <c r="F82" t="s">
        <v>5501</v>
      </c>
      <c r="G82" t="s">
        <v>5501</v>
      </c>
      <c r="H82">
        <v>1</v>
      </c>
      <c r="I82">
        <v>-36</v>
      </c>
      <c r="J82">
        <v>0</v>
      </c>
      <c r="K82">
        <v>-9</v>
      </c>
      <c r="L82">
        <v>-9</v>
      </c>
      <c r="M82">
        <v>128</v>
      </c>
      <c r="N82">
        <v>64</v>
      </c>
      <c r="O82">
        <v>3</v>
      </c>
      <c r="P82" t="s">
        <v>7380</v>
      </c>
      <c r="Q82" t="s">
        <v>7371</v>
      </c>
      <c r="R82">
        <v>32</v>
      </c>
      <c r="S82">
        <v>32</v>
      </c>
      <c r="T82">
        <v>10</v>
      </c>
      <c r="U82">
        <v>7000</v>
      </c>
      <c r="V82">
        <v>4</v>
      </c>
      <c r="Z82">
        <v>1</v>
      </c>
      <c r="AA82">
        <v>1</v>
      </c>
    </row>
    <row r="83" spans="1:27">
      <c r="A83" t="s">
        <v>1422</v>
      </c>
      <c r="B83" t="s">
        <v>7397</v>
      </c>
      <c r="C83" t="s">
        <v>7462</v>
      </c>
      <c r="D83">
        <v>3</v>
      </c>
      <c r="E83">
        <v>1</v>
      </c>
      <c r="F83" t="s">
        <v>5499</v>
      </c>
      <c r="H83">
        <v>6</v>
      </c>
      <c r="I83">
        <v>-2</v>
      </c>
      <c r="J83">
        <v>0</v>
      </c>
      <c r="K83">
        <v>-1</v>
      </c>
      <c r="L83">
        <v>-7</v>
      </c>
      <c r="M83">
        <v>4</v>
      </c>
      <c r="O83">
        <v>0.28000000000000003</v>
      </c>
      <c r="P83">
        <v>10</v>
      </c>
      <c r="R83">
        <v>11</v>
      </c>
      <c r="S83">
        <v>17</v>
      </c>
      <c r="T83">
        <v>4</v>
      </c>
      <c r="U83">
        <v>0.4</v>
      </c>
      <c r="V83">
        <v>1</v>
      </c>
      <c r="Z83">
        <v>1</v>
      </c>
      <c r="AA83">
        <v>1</v>
      </c>
    </row>
    <row r="84" spans="1:27">
      <c r="A84" t="s">
        <v>1424</v>
      </c>
      <c r="B84" t="s">
        <v>6488</v>
      </c>
      <c r="C84" t="s">
        <v>7462</v>
      </c>
      <c r="D84">
        <v>3</v>
      </c>
      <c r="E84">
        <v>1</v>
      </c>
      <c r="F84" t="s">
        <v>5499</v>
      </c>
      <c r="H84">
        <v>6</v>
      </c>
      <c r="I84">
        <v>-2</v>
      </c>
      <c r="J84">
        <v>0</v>
      </c>
      <c r="K84">
        <v>-1</v>
      </c>
      <c r="L84">
        <v>-7</v>
      </c>
      <c r="M84">
        <v>4</v>
      </c>
      <c r="O84">
        <v>0.28000000000000003</v>
      </c>
      <c r="P84">
        <v>10</v>
      </c>
      <c r="R84">
        <v>11</v>
      </c>
      <c r="S84">
        <v>17</v>
      </c>
      <c r="T84">
        <v>4</v>
      </c>
      <c r="U84">
        <v>0.4</v>
      </c>
      <c r="V84">
        <v>1</v>
      </c>
      <c r="Z84">
        <v>1</v>
      </c>
      <c r="AA84">
        <v>1</v>
      </c>
    </row>
    <row r="85" spans="1:27">
      <c r="A85" t="s">
        <v>1420</v>
      </c>
      <c r="B85" t="s">
        <v>7388</v>
      </c>
      <c r="C85" t="s">
        <v>7463</v>
      </c>
      <c r="D85">
        <v>11</v>
      </c>
      <c r="E85">
        <v>3.5</v>
      </c>
      <c r="F85" t="s">
        <v>5497</v>
      </c>
      <c r="G85" t="s">
        <v>5486</v>
      </c>
      <c r="H85">
        <v>4</v>
      </c>
      <c r="I85">
        <v>-2</v>
      </c>
      <c r="J85">
        <v>0</v>
      </c>
      <c r="K85">
        <v>-2</v>
      </c>
      <c r="L85">
        <v>-2</v>
      </c>
      <c r="M85">
        <v>18</v>
      </c>
      <c r="N85">
        <v>7</v>
      </c>
      <c r="O85">
        <v>1.8</v>
      </c>
      <c r="P85" t="s">
        <v>7380</v>
      </c>
      <c r="Q85" t="s">
        <v>7410</v>
      </c>
      <c r="R85">
        <v>2</v>
      </c>
      <c r="S85">
        <v>7</v>
      </c>
      <c r="T85">
        <v>3</v>
      </c>
      <c r="U85">
        <v>0.5</v>
      </c>
      <c r="V85">
        <v>0.25</v>
      </c>
      <c r="Z85">
        <v>1</v>
      </c>
      <c r="AA85">
        <v>1</v>
      </c>
    </row>
    <row r="86" spans="1:27">
      <c r="A86" t="s">
        <v>1420</v>
      </c>
      <c r="B86" t="s">
        <v>7388</v>
      </c>
      <c r="C86" t="s">
        <v>7464</v>
      </c>
      <c r="D86">
        <v>11</v>
      </c>
      <c r="E86">
        <v>4</v>
      </c>
      <c r="F86" t="s">
        <v>5497</v>
      </c>
      <c r="G86" t="s">
        <v>5496</v>
      </c>
      <c r="H86">
        <v>4</v>
      </c>
      <c r="I86">
        <v>-2</v>
      </c>
      <c r="J86">
        <v>0</v>
      </c>
      <c r="K86">
        <v>-3</v>
      </c>
      <c r="L86">
        <v>-3</v>
      </c>
      <c r="M86">
        <v>22</v>
      </c>
      <c r="N86">
        <v>11</v>
      </c>
      <c r="O86">
        <v>1.8</v>
      </c>
      <c r="P86" t="s">
        <v>7380</v>
      </c>
      <c r="Q86" t="s">
        <v>7410</v>
      </c>
      <c r="R86">
        <v>3</v>
      </c>
      <c r="S86">
        <v>7</v>
      </c>
      <c r="T86">
        <v>4</v>
      </c>
      <c r="U86">
        <v>1</v>
      </c>
      <c r="V86">
        <v>1</v>
      </c>
      <c r="Z86">
        <v>1</v>
      </c>
      <c r="AA86">
        <v>1</v>
      </c>
    </row>
    <row r="87" spans="1:27">
      <c r="A87" t="s">
        <v>1420</v>
      </c>
      <c r="B87" t="s">
        <v>7388</v>
      </c>
      <c r="C87" t="s">
        <v>7465</v>
      </c>
      <c r="D87">
        <v>11</v>
      </c>
      <c r="E87">
        <v>4</v>
      </c>
      <c r="F87" t="s">
        <v>5498</v>
      </c>
      <c r="G87" t="s">
        <v>5486</v>
      </c>
      <c r="H87">
        <v>5</v>
      </c>
      <c r="I87">
        <v>-2</v>
      </c>
      <c r="J87">
        <v>0</v>
      </c>
      <c r="K87">
        <v>-3</v>
      </c>
      <c r="L87">
        <v>-3</v>
      </c>
      <c r="M87">
        <v>20</v>
      </c>
      <c r="N87">
        <v>9</v>
      </c>
      <c r="O87">
        <v>1.8</v>
      </c>
      <c r="P87" t="s">
        <v>7380</v>
      </c>
      <c r="Q87" t="s">
        <v>7410</v>
      </c>
      <c r="R87">
        <v>3</v>
      </c>
      <c r="S87">
        <v>7</v>
      </c>
      <c r="T87">
        <v>3</v>
      </c>
      <c r="U87">
        <v>0.5</v>
      </c>
      <c r="V87">
        <v>1</v>
      </c>
      <c r="Z87">
        <v>1</v>
      </c>
      <c r="AA87">
        <v>1</v>
      </c>
    </row>
    <row r="88" spans="1:27">
      <c r="A88" t="s">
        <v>1420</v>
      </c>
      <c r="B88" t="s">
        <v>7388</v>
      </c>
      <c r="C88" t="s">
        <v>7466</v>
      </c>
      <c r="D88">
        <v>8</v>
      </c>
      <c r="E88">
        <v>3</v>
      </c>
      <c r="F88" t="s">
        <v>5496</v>
      </c>
      <c r="G88" t="s">
        <v>5496</v>
      </c>
      <c r="H88">
        <v>4</v>
      </c>
      <c r="I88">
        <v>-2</v>
      </c>
      <c r="J88">
        <v>0</v>
      </c>
      <c r="K88">
        <v>-2</v>
      </c>
      <c r="L88">
        <v>-1</v>
      </c>
      <c r="M88">
        <v>10</v>
      </c>
      <c r="N88">
        <v>6</v>
      </c>
      <c r="O88">
        <v>1.4</v>
      </c>
      <c r="P88" t="s">
        <v>7380</v>
      </c>
      <c r="Q88" t="s">
        <v>7410</v>
      </c>
      <c r="R88">
        <v>2</v>
      </c>
      <c r="S88">
        <v>7</v>
      </c>
      <c r="T88">
        <v>2</v>
      </c>
      <c r="U88">
        <v>0.5</v>
      </c>
      <c r="V88">
        <v>0.25</v>
      </c>
      <c r="Z88">
        <v>1</v>
      </c>
      <c r="AA88">
        <v>1</v>
      </c>
    </row>
    <row r="89" spans="1:27">
      <c r="A89" t="s">
        <v>1418</v>
      </c>
      <c r="B89" t="s">
        <v>7381</v>
      </c>
      <c r="C89" t="s">
        <v>7467</v>
      </c>
      <c r="D89">
        <v>11</v>
      </c>
      <c r="E89">
        <v>5</v>
      </c>
      <c r="F89" t="s">
        <v>5499</v>
      </c>
      <c r="G89" t="s">
        <v>5497</v>
      </c>
      <c r="H89">
        <v>3</v>
      </c>
      <c r="I89">
        <v>-6</v>
      </c>
      <c r="J89">
        <v>0</v>
      </c>
      <c r="K89">
        <v>-3</v>
      </c>
      <c r="L89">
        <v>-2</v>
      </c>
      <c r="M89">
        <v>11</v>
      </c>
      <c r="N89">
        <v>8</v>
      </c>
      <c r="O89">
        <v>1</v>
      </c>
      <c r="P89">
        <v>2</v>
      </c>
      <c r="R89">
        <v>15</v>
      </c>
      <c r="S89">
        <v>13</v>
      </c>
      <c r="T89">
        <v>19</v>
      </c>
      <c r="U89">
        <v>1</v>
      </c>
      <c r="V89">
        <v>5</v>
      </c>
      <c r="Z89">
        <v>1</v>
      </c>
      <c r="AA89">
        <v>1</v>
      </c>
    </row>
    <row r="90" spans="1:27">
      <c r="A90" t="s">
        <v>1418</v>
      </c>
      <c r="B90" t="s">
        <v>7383</v>
      </c>
      <c r="C90" t="s">
        <v>7467</v>
      </c>
      <c r="D90">
        <v>11</v>
      </c>
      <c r="E90">
        <v>5</v>
      </c>
      <c r="F90" t="s">
        <v>5499</v>
      </c>
      <c r="G90" t="s">
        <v>5497</v>
      </c>
      <c r="H90">
        <v>3</v>
      </c>
      <c r="I90">
        <v>-6</v>
      </c>
      <c r="J90">
        <v>0</v>
      </c>
      <c r="K90">
        <v>-3</v>
      </c>
      <c r="L90">
        <v>-2</v>
      </c>
      <c r="M90">
        <v>11</v>
      </c>
      <c r="N90">
        <v>8</v>
      </c>
      <c r="O90">
        <v>1</v>
      </c>
      <c r="P90">
        <v>2</v>
      </c>
      <c r="R90">
        <v>15</v>
      </c>
      <c r="S90">
        <v>13</v>
      </c>
      <c r="T90">
        <v>19</v>
      </c>
      <c r="U90">
        <v>1</v>
      </c>
      <c r="V90">
        <v>5</v>
      </c>
      <c r="Z90">
        <v>1</v>
      </c>
      <c r="AA90">
        <v>1</v>
      </c>
    </row>
    <row r="91" spans="1:27">
      <c r="A91" t="s">
        <v>1418</v>
      </c>
      <c r="B91" t="s">
        <v>7381</v>
      </c>
      <c r="C91" t="s">
        <v>7468</v>
      </c>
      <c r="D91">
        <v>10</v>
      </c>
      <c r="E91">
        <v>4</v>
      </c>
      <c r="F91" t="s">
        <v>5498</v>
      </c>
      <c r="G91" t="s">
        <v>5496</v>
      </c>
      <c r="H91">
        <v>4</v>
      </c>
      <c r="I91">
        <v>-3</v>
      </c>
      <c r="J91">
        <v>0</v>
      </c>
      <c r="K91">
        <v>-2</v>
      </c>
      <c r="L91">
        <v>-2</v>
      </c>
      <c r="M91">
        <v>9</v>
      </c>
      <c r="N91">
        <v>6</v>
      </c>
      <c r="O91">
        <v>1</v>
      </c>
      <c r="P91">
        <v>1</v>
      </c>
      <c r="R91">
        <v>13</v>
      </c>
      <c r="S91">
        <v>15</v>
      </c>
      <c r="T91">
        <v>16</v>
      </c>
      <c r="U91">
        <v>1</v>
      </c>
      <c r="V91">
        <v>4</v>
      </c>
      <c r="Z91">
        <v>1</v>
      </c>
      <c r="AA91">
        <v>1</v>
      </c>
    </row>
    <row r="92" spans="1:27">
      <c r="A92" t="s">
        <v>1415</v>
      </c>
      <c r="B92" t="s">
        <v>7432</v>
      </c>
      <c r="C92" t="s">
        <v>7469</v>
      </c>
      <c r="D92">
        <v>7</v>
      </c>
      <c r="E92">
        <v>0</v>
      </c>
      <c r="F92" t="s">
        <v>5486</v>
      </c>
      <c r="G92" t="s">
        <v>5486</v>
      </c>
      <c r="H92">
        <v>3</v>
      </c>
      <c r="I92">
        <v>-4</v>
      </c>
      <c r="J92">
        <v>0</v>
      </c>
      <c r="K92">
        <v>-7</v>
      </c>
      <c r="L92">
        <v>-15</v>
      </c>
      <c r="M92">
        <v>10</v>
      </c>
      <c r="N92">
        <v>6</v>
      </c>
      <c r="O92">
        <v>1</v>
      </c>
      <c r="P92">
        <v>6</v>
      </c>
      <c r="R92">
        <v>1</v>
      </c>
      <c r="S92">
        <v>12</v>
      </c>
      <c r="T92">
        <v>6</v>
      </c>
      <c r="U92">
        <v>2</v>
      </c>
      <c r="V92">
        <v>1</v>
      </c>
      <c r="Z92">
        <v>1</v>
      </c>
      <c r="AA92">
        <v>1</v>
      </c>
    </row>
    <row r="93" spans="1:27">
      <c r="A93" t="s">
        <v>1424</v>
      </c>
      <c r="B93" t="s">
        <v>7412</v>
      </c>
      <c r="C93" t="s">
        <v>7470</v>
      </c>
      <c r="D93">
        <v>14</v>
      </c>
      <c r="E93">
        <v>7</v>
      </c>
      <c r="F93" t="s">
        <v>5498</v>
      </c>
      <c r="G93" t="s">
        <v>5496</v>
      </c>
      <c r="H93">
        <v>2</v>
      </c>
      <c r="I93">
        <v>-4</v>
      </c>
      <c r="J93">
        <v>0</v>
      </c>
      <c r="K93">
        <v>-7</v>
      </c>
      <c r="L93">
        <v>-15</v>
      </c>
      <c r="M93">
        <v>14</v>
      </c>
      <c r="N93">
        <v>11</v>
      </c>
      <c r="O93">
        <v>1.5</v>
      </c>
      <c r="P93">
        <v>3</v>
      </c>
      <c r="R93">
        <v>2</v>
      </c>
      <c r="S93">
        <v>7</v>
      </c>
      <c r="T93">
        <v>6</v>
      </c>
      <c r="U93">
        <v>3</v>
      </c>
      <c r="V93">
        <v>1.5</v>
      </c>
      <c r="Z93">
        <v>1</v>
      </c>
      <c r="AA93">
        <v>1</v>
      </c>
    </row>
    <row r="94" spans="1:27">
      <c r="A94" t="s">
        <v>1415</v>
      </c>
      <c r="B94" t="s">
        <v>7421</v>
      </c>
      <c r="C94" t="s">
        <v>7471</v>
      </c>
      <c r="D94">
        <v>9</v>
      </c>
      <c r="E94">
        <v>4</v>
      </c>
      <c r="F94" t="s">
        <v>5496</v>
      </c>
      <c r="G94" t="s">
        <v>5496</v>
      </c>
      <c r="H94">
        <v>3</v>
      </c>
      <c r="I94">
        <v>-4</v>
      </c>
      <c r="J94">
        <v>0</v>
      </c>
      <c r="K94">
        <v>-4</v>
      </c>
      <c r="L94">
        <v>-5</v>
      </c>
      <c r="M94">
        <v>9</v>
      </c>
      <c r="N94">
        <v>7</v>
      </c>
      <c r="O94">
        <v>1</v>
      </c>
      <c r="P94">
        <v>0</v>
      </c>
      <c r="Q94" t="s">
        <v>7371</v>
      </c>
      <c r="R94">
        <v>12</v>
      </c>
      <c r="S94">
        <v>7</v>
      </c>
      <c r="T94">
        <v>3</v>
      </c>
      <c r="U94">
        <v>0.5</v>
      </c>
      <c r="V94">
        <v>0.25</v>
      </c>
      <c r="Z94">
        <v>1</v>
      </c>
      <c r="AA94">
        <v>1</v>
      </c>
    </row>
    <row r="95" spans="1:27">
      <c r="A95" t="s">
        <v>1415</v>
      </c>
      <c r="B95" t="s">
        <v>7377</v>
      </c>
      <c r="C95" t="s">
        <v>7472</v>
      </c>
      <c r="D95">
        <v>15</v>
      </c>
      <c r="E95">
        <v>8</v>
      </c>
      <c r="F95" t="s">
        <v>7395</v>
      </c>
      <c r="H95">
        <v>1.5</v>
      </c>
      <c r="I95">
        <v>-13</v>
      </c>
      <c r="J95">
        <v>0</v>
      </c>
      <c r="K95">
        <v>-6</v>
      </c>
      <c r="L95">
        <v>-7</v>
      </c>
      <c r="M95">
        <v>34</v>
      </c>
      <c r="N95">
        <v>19</v>
      </c>
      <c r="O95">
        <v>1.7</v>
      </c>
      <c r="P95" t="s">
        <v>7380</v>
      </c>
      <c r="Q95" t="s">
        <v>7371</v>
      </c>
      <c r="R95">
        <v>14</v>
      </c>
      <c r="S95">
        <v>11</v>
      </c>
      <c r="T95">
        <v>10</v>
      </c>
      <c r="U95">
        <v>1</v>
      </c>
      <c r="V95">
        <v>0.25</v>
      </c>
      <c r="W95" t="s">
        <v>5469</v>
      </c>
      <c r="Z95">
        <v>1</v>
      </c>
      <c r="AA95">
        <v>1</v>
      </c>
    </row>
    <row r="96" spans="1:27">
      <c r="A96" t="s">
        <v>1424</v>
      </c>
      <c r="B96" t="s">
        <v>7365</v>
      </c>
      <c r="C96" t="s">
        <v>7473</v>
      </c>
      <c r="D96">
        <v>2</v>
      </c>
      <c r="E96">
        <v>2</v>
      </c>
      <c r="F96" t="s">
        <v>5498</v>
      </c>
      <c r="G96" t="s">
        <v>5496</v>
      </c>
      <c r="H96">
        <v>3</v>
      </c>
      <c r="I96">
        <v>-6</v>
      </c>
      <c r="J96">
        <v>0</v>
      </c>
      <c r="K96">
        <v>-2</v>
      </c>
      <c r="L96">
        <v>-6</v>
      </c>
      <c r="M96">
        <v>6</v>
      </c>
      <c r="O96">
        <v>0.2</v>
      </c>
      <c r="P96">
        <v>3</v>
      </c>
      <c r="R96">
        <v>7</v>
      </c>
      <c r="S96">
        <v>12</v>
      </c>
      <c r="T96">
        <v>6</v>
      </c>
      <c r="U96">
        <v>0.4</v>
      </c>
      <c r="V96">
        <v>1</v>
      </c>
      <c r="Z96">
        <v>1</v>
      </c>
      <c r="AA96">
        <v>1</v>
      </c>
    </row>
    <row r="97" spans="1:27">
      <c r="A97" t="s">
        <v>1415</v>
      </c>
      <c r="B97" t="s">
        <v>7369</v>
      </c>
      <c r="C97" t="s">
        <v>7474</v>
      </c>
      <c r="D97">
        <v>6</v>
      </c>
      <c r="E97">
        <v>4.5</v>
      </c>
      <c r="F97" t="s">
        <v>7379</v>
      </c>
      <c r="G97" t="s">
        <v>5499</v>
      </c>
      <c r="H97">
        <v>3</v>
      </c>
      <c r="I97">
        <v>-10</v>
      </c>
      <c r="J97">
        <v>0</v>
      </c>
      <c r="K97">
        <v>-3</v>
      </c>
      <c r="L97">
        <v>-4</v>
      </c>
      <c r="M97">
        <v>12</v>
      </c>
      <c r="N97">
        <v>7</v>
      </c>
      <c r="O97">
        <v>0.6</v>
      </c>
      <c r="P97">
        <v>4</v>
      </c>
      <c r="Q97" t="s">
        <v>7371</v>
      </c>
      <c r="R97">
        <v>18</v>
      </c>
      <c r="S97">
        <v>7</v>
      </c>
      <c r="T97">
        <v>10</v>
      </c>
      <c r="U97">
        <v>0.7</v>
      </c>
      <c r="V97">
        <v>4</v>
      </c>
      <c r="Z97">
        <v>1</v>
      </c>
      <c r="AA97">
        <v>1</v>
      </c>
    </row>
    <row r="98" spans="1:27">
      <c r="A98" t="s">
        <v>1415</v>
      </c>
      <c r="B98" t="s">
        <v>7369</v>
      </c>
      <c r="C98" t="s">
        <v>7475</v>
      </c>
      <c r="D98">
        <v>9</v>
      </c>
      <c r="E98">
        <v>6</v>
      </c>
      <c r="F98" t="s">
        <v>7476</v>
      </c>
      <c r="G98" t="s">
        <v>5499</v>
      </c>
      <c r="H98">
        <v>3</v>
      </c>
      <c r="I98">
        <v>-10</v>
      </c>
      <c r="J98">
        <v>0</v>
      </c>
      <c r="K98">
        <v>-5</v>
      </c>
      <c r="L98">
        <v>-4</v>
      </c>
      <c r="M98">
        <v>19</v>
      </c>
      <c r="N98">
        <v>12</v>
      </c>
      <c r="O98">
        <v>0.9</v>
      </c>
      <c r="P98">
        <v>0</v>
      </c>
      <c r="Q98" t="s">
        <v>7371</v>
      </c>
      <c r="R98">
        <v>18</v>
      </c>
      <c r="S98">
        <v>7</v>
      </c>
      <c r="T98">
        <v>8</v>
      </c>
      <c r="U98">
        <v>1.2</v>
      </c>
      <c r="V98">
        <v>4</v>
      </c>
      <c r="W98" t="s">
        <v>5468</v>
      </c>
      <c r="Z98">
        <v>1</v>
      </c>
      <c r="AA98">
        <v>1</v>
      </c>
    </row>
    <row r="99" spans="1:27">
      <c r="A99" t="s">
        <v>1415</v>
      </c>
      <c r="B99" t="s">
        <v>7377</v>
      </c>
      <c r="C99" t="s">
        <v>7477</v>
      </c>
      <c r="D99">
        <v>13</v>
      </c>
      <c r="E99">
        <v>7</v>
      </c>
      <c r="F99" t="s">
        <v>5499</v>
      </c>
      <c r="G99" t="s">
        <v>5499</v>
      </c>
      <c r="H99">
        <v>2</v>
      </c>
      <c r="I99">
        <v>-11</v>
      </c>
      <c r="J99">
        <v>0</v>
      </c>
      <c r="K99">
        <v>-7</v>
      </c>
      <c r="L99">
        <v>-7</v>
      </c>
      <c r="M99">
        <v>28</v>
      </c>
      <c r="N99">
        <v>16</v>
      </c>
      <c r="O99">
        <v>1.4</v>
      </c>
      <c r="P99" t="s">
        <v>7380</v>
      </c>
      <c r="Q99" t="s">
        <v>7371</v>
      </c>
      <c r="R99">
        <v>19</v>
      </c>
      <c r="S99">
        <v>9</v>
      </c>
      <c r="T99">
        <v>9</v>
      </c>
      <c r="U99">
        <v>1.4</v>
      </c>
      <c r="V99">
        <v>5</v>
      </c>
      <c r="Z99">
        <v>1</v>
      </c>
      <c r="AA99">
        <v>1</v>
      </c>
    </row>
    <row r="100" spans="1:27">
      <c r="A100" t="s">
        <v>1415</v>
      </c>
      <c r="B100" t="s">
        <v>7377</v>
      </c>
      <c r="C100" t="s">
        <v>7478</v>
      </c>
      <c r="D100">
        <v>13</v>
      </c>
      <c r="E100">
        <v>7</v>
      </c>
      <c r="F100" t="s">
        <v>5501</v>
      </c>
      <c r="H100">
        <v>2</v>
      </c>
      <c r="I100">
        <v>-11</v>
      </c>
      <c r="J100">
        <v>4</v>
      </c>
      <c r="K100">
        <v>-7</v>
      </c>
      <c r="L100">
        <v>-7</v>
      </c>
      <c r="M100">
        <v>28</v>
      </c>
      <c r="N100">
        <v>16</v>
      </c>
      <c r="O100">
        <v>1.4</v>
      </c>
      <c r="P100" t="s">
        <v>7380</v>
      </c>
      <c r="Q100" t="s">
        <v>7371</v>
      </c>
      <c r="R100">
        <v>19</v>
      </c>
      <c r="S100">
        <v>9</v>
      </c>
      <c r="T100">
        <v>9</v>
      </c>
      <c r="U100">
        <v>1.4</v>
      </c>
      <c r="V100">
        <v>5</v>
      </c>
      <c r="Z100">
        <v>1</v>
      </c>
      <c r="AA100">
        <v>1</v>
      </c>
    </row>
    <row r="101" spans="1:27">
      <c r="A101" t="s">
        <v>1420</v>
      </c>
      <c r="B101" t="s">
        <v>7391</v>
      </c>
      <c r="C101" t="s">
        <v>7479</v>
      </c>
      <c r="D101">
        <v>19</v>
      </c>
      <c r="E101">
        <v>6</v>
      </c>
      <c r="F101" t="s">
        <v>5500</v>
      </c>
      <c r="G101" t="s">
        <v>5497</v>
      </c>
      <c r="H101">
        <v>2</v>
      </c>
      <c r="I101">
        <v>-11</v>
      </c>
      <c r="J101">
        <v>0</v>
      </c>
      <c r="K101">
        <v>-7</v>
      </c>
      <c r="L101">
        <v>-7</v>
      </c>
      <c r="M101">
        <v>20</v>
      </c>
      <c r="N101">
        <v>10</v>
      </c>
      <c r="O101">
        <v>2</v>
      </c>
      <c r="P101" t="s">
        <v>7380</v>
      </c>
      <c r="Q101" t="s">
        <v>7371</v>
      </c>
      <c r="R101">
        <v>12</v>
      </c>
      <c r="S101">
        <v>6</v>
      </c>
      <c r="T101">
        <v>14</v>
      </c>
      <c r="U101">
        <v>1.7</v>
      </c>
      <c r="V101">
        <v>1.5</v>
      </c>
      <c r="Z101">
        <v>1</v>
      </c>
      <c r="AA101">
        <v>1</v>
      </c>
    </row>
    <row r="102" spans="1:27">
      <c r="A102" t="s">
        <v>1420</v>
      </c>
      <c r="B102" t="s">
        <v>7388</v>
      </c>
      <c r="C102" t="s">
        <v>7480</v>
      </c>
      <c r="D102">
        <v>14</v>
      </c>
      <c r="E102">
        <v>6</v>
      </c>
      <c r="F102" t="s">
        <v>7385</v>
      </c>
      <c r="G102" t="s">
        <v>5496</v>
      </c>
      <c r="H102">
        <v>2</v>
      </c>
      <c r="I102">
        <v>-11</v>
      </c>
      <c r="J102">
        <v>0</v>
      </c>
      <c r="K102">
        <v>-5</v>
      </c>
      <c r="L102">
        <v>-5</v>
      </c>
      <c r="M102">
        <v>19</v>
      </c>
      <c r="N102">
        <v>9</v>
      </c>
      <c r="O102">
        <v>1.3</v>
      </c>
      <c r="P102" t="s">
        <v>7380</v>
      </c>
      <c r="Q102" t="s">
        <v>7371</v>
      </c>
      <c r="R102">
        <v>11</v>
      </c>
      <c r="S102">
        <v>6</v>
      </c>
      <c r="T102">
        <v>14</v>
      </c>
      <c r="U102">
        <v>1.7</v>
      </c>
      <c r="V102">
        <v>1.5</v>
      </c>
      <c r="Z102">
        <v>1</v>
      </c>
      <c r="AA102">
        <v>1</v>
      </c>
    </row>
    <row r="103" spans="1:27">
      <c r="A103" t="s">
        <v>1415</v>
      </c>
      <c r="B103" t="s">
        <v>7421</v>
      </c>
      <c r="C103" t="s">
        <v>7481</v>
      </c>
      <c r="D103">
        <v>8</v>
      </c>
      <c r="E103">
        <v>5</v>
      </c>
      <c r="F103" t="s">
        <v>7386</v>
      </c>
      <c r="G103" t="s">
        <v>5497</v>
      </c>
      <c r="H103">
        <v>3</v>
      </c>
      <c r="I103">
        <v>-5</v>
      </c>
      <c r="J103">
        <v>4</v>
      </c>
      <c r="K103">
        <v>-4</v>
      </c>
      <c r="L103">
        <v>-4</v>
      </c>
      <c r="M103">
        <v>11</v>
      </c>
      <c r="N103">
        <v>8</v>
      </c>
      <c r="O103">
        <v>0.75</v>
      </c>
      <c r="P103">
        <v>1</v>
      </c>
      <c r="Q103" t="s">
        <v>7371</v>
      </c>
      <c r="R103">
        <v>16</v>
      </c>
      <c r="S103">
        <v>8</v>
      </c>
      <c r="T103">
        <v>15</v>
      </c>
      <c r="U103">
        <v>1.5</v>
      </c>
      <c r="V103">
        <v>3.5</v>
      </c>
      <c r="Z103">
        <v>1</v>
      </c>
      <c r="AA103">
        <v>1</v>
      </c>
    </row>
    <row r="104" spans="1:27">
      <c r="A104" t="s">
        <v>1422</v>
      </c>
      <c r="B104" t="s">
        <v>7397</v>
      </c>
      <c r="C104" t="s">
        <v>7482</v>
      </c>
      <c r="D104">
        <v>5</v>
      </c>
      <c r="E104">
        <v>3.5</v>
      </c>
      <c r="F104" t="s">
        <v>5499</v>
      </c>
      <c r="G104" t="s">
        <v>5496</v>
      </c>
      <c r="H104">
        <v>4</v>
      </c>
      <c r="I104">
        <v>-5</v>
      </c>
      <c r="J104">
        <v>0</v>
      </c>
      <c r="K104">
        <v>-2</v>
      </c>
      <c r="L104">
        <v>-6</v>
      </c>
      <c r="M104">
        <v>7</v>
      </c>
      <c r="N104">
        <v>5</v>
      </c>
      <c r="O104">
        <v>0.5</v>
      </c>
      <c r="P104">
        <v>5</v>
      </c>
      <c r="R104">
        <v>13</v>
      </c>
      <c r="S104">
        <v>18</v>
      </c>
      <c r="T104">
        <v>6</v>
      </c>
      <c r="U104">
        <v>0.4</v>
      </c>
      <c r="V104">
        <v>1</v>
      </c>
      <c r="Z104">
        <v>1</v>
      </c>
      <c r="AA104">
        <v>1</v>
      </c>
    </row>
    <row r="105" spans="1:27">
      <c r="A105" t="s">
        <v>1418</v>
      </c>
      <c r="B105" t="s">
        <v>7435</v>
      </c>
      <c r="C105" t="s">
        <v>7483</v>
      </c>
      <c r="D105">
        <v>6</v>
      </c>
      <c r="E105">
        <v>3.5</v>
      </c>
      <c r="F105" t="s">
        <v>5497</v>
      </c>
      <c r="G105" t="s">
        <v>5497</v>
      </c>
      <c r="H105">
        <v>3</v>
      </c>
      <c r="I105">
        <v>-4</v>
      </c>
      <c r="J105">
        <v>0</v>
      </c>
      <c r="K105">
        <v>-3</v>
      </c>
      <c r="L105">
        <v>-3</v>
      </c>
      <c r="M105">
        <v>9</v>
      </c>
      <c r="N105">
        <v>6</v>
      </c>
      <c r="O105">
        <v>0.6</v>
      </c>
      <c r="P105">
        <v>2</v>
      </c>
      <c r="R105">
        <v>14</v>
      </c>
      <c r="S105">
        <v>15</v>
      </c>
      <c r="T105">
        <v>11</v>
      </c>
      <c r="U105">
        <v>0.6</v>
      </c>
      <c r="V105">
        <v>4</v>
      </c>
      <c r="Z105">
        <v>1</v>
      </c>
      <c r="AA105">
        <v>1</v>
      </c>
    </row>
    <row r="106" spans="1:27">
      <c r="A106" t="s">
        <v>1418</v>
      </c>
      <c r="B106" t="s">
        <v>7381</v>
      </c>
      <c r="C106" t="s">
        <v>7484</v>
      </c>
      <c r="D106">
        <v>8</v>
      </c>
      <c r="E106">
        <v>5</v>
      </c>
      <c r="F106" t="s">
        <v>5498</v>
      </c>
      <c r="G106" t="s">
        <v>5498</v>
      </c>
      <c r="H106">
        <v>2</v>
      </c>
      <c r="I106">
        <v>-6</v>
      </c>
      <c r="J106">
        <v>0</v>
      </c>
      <c r="K106">
        <v>-4</v>
      </c>
      <c r="L106">
        <v>-3</v>
      </c>
      <c r="M106">
        <v>13</v>
      </c>
      <c r="N106">
        <v>9</v>
      </c>
      <c r="O106">
        <v>0.85</v>
      </c>
      <c r="P106">
        <v>0</v>
      </c>
      <c r="R106">
        <v>15</v>
      </c>
      <c r="S106">
        <v>16</v>
      </c>
      <c r="T106">
        <v>13</v>
      </c>
      <c r="U106">
        <v>1</v>
      </c>
      <c r="V106">
        <v>4</v>
      </c>
      <c r="Z106">
        <v>1</v>
      </c>
      <c r="AA106">
        <v>1</v>
      </c>
    </row>
    <row r="107" spans="1:27">
      <c r="A107" t="s">
        <v>1418</v>
      </c>
      <c r="B107" t="s">
        <v>7381</v>
      </c>
      <c r="C107" t="s">
        <v>7485</v>
      </c>
      <c r="D107">
        <v>11</v>
      </c>
      <c r="E107">
        <v>4</v>
      </c>
      <c r="F107" t="s">
        <v>5498</v>
      </c>
      <c r="G107" t="s">
        <v>5496</v>
      </c>
      <c r="H107">
        <v>4</v>
      </c>
      <c r="I107">
        <v>-2</v>
      </c>
      <c r="J107">
        <v>0</v>
      </c>
      <c r="K107">
        <v>-3</v>
      </c>
      <c r="L107">
        <v>-3</v>
      </c>
      <c r="M107">
        <v>10</v>
      </c>
      <c r="N107">
        <v>6</v>
      </c>
      <c r="O107">
        <v>1.05</v>
      </c>
      <c r="P107">
        <v>1</v>
      </c>
      <c r="R107">
        <v>12</v>
      </c>
      <c r="S107">
        <v>14</v>
      </c>
      <c r="T107">
        <v>16</v>
      </c>
      <c r="U107">
        <v>1</v>
      </c>
      <c r="V107">
        <v>4</v>
      </c>
      <c r="Z107">
        <v>1</v>
      </c>
      <c r="AA107">
        <v>1</v>
      </c>
    </row>
    <row r="108" spans="1:27">
      <c r="A108" t="s">
        <v>1424</v>
      </c>
      <c r="B108" t="s">
        <v>7412</v>
      </c>
      <c r="C108" t="s">
        <v>7486</v>
      </c>
      <c r="D108">
        <v>28</v>
      </c>
      <c r="E108">
        <v>4</v>
      </c>
      <c r="F108" t="s">
        <v>5497</v>
      </c>
      <c r="G108" t="s">
        <v>5486</v>
      </c>
      <c r="H108">
        <v>7</v>
      </c>
      <c r="I108">
        <v>-2</v>
      </c>
      <c r="J108">
        <v>0</v>
      </c>
      <c r="K108">
        <v>-6</v>
      </c>
      <c r="L108">
        <v>-15</v>
      </c>
      <c r="M108">
        <v>9</v>
      </c>
      <c r="N108">
        <v>6</v>
      </c>
      <c r="O108">
        <v>3</v>
      </c>
      <c r="P108">
        <v>8</v>
      </c>
      <c r="R108">
        <v>2</v>
      </c>
      <c r="S108">
        <v>7</v>
      </c>
      <c r="T108">
        <v>6</v>
      </c>
      <c r="U108">
        <v>0.2</v>
      </c>
      <c r="V108">
        <v>1</v>
      </c>
      <c r="Z108">
        <v>1</v>
      </c>
      <c r="AA108">
        <v>1</v>
      </c>
    </row>
    <row r="109" spans="1:27">
      <c r="A109" t="s">
        <v>1418</v>
      </c>
      <c r="B109" t="s">
        <v>7435</v>
      </c>
      <c r="C109" t="s">
        <v>7487</v>
      </c>
      <c r="D109">
        <v>7</v>
      </c>
      <c r="E109">
        <v>3.5</v>
      </c>
      <c r="F109" t="s">
        <v>5497</v>
      </c>
      <c r="G109" t="s">
        <v>5496</v>
      </c>
      <c r="H109">
        <v>4</v>
      </c>
      <c r="I109">
        <v>-3</v>
      </c>
      <c r="J109">
        <v>0</v>
      </c>
      <c r="K109">
        <v>-2</v>
      </c>
      <c r="L109">
        <v>-3</v>
      </c>
      <c r="M109">
        <v>7</v>
      </c>
      <c r="N109">
        <v>5</v>
      </c>
      <c r="O109">
        <v>0.65</v>
      </c>
      <c r="P109">
        <v>3</v>
      </c>
      <c r="R109">
        <v>14</v>
      </c>
      <c r="S109">
        <v>15</v>
      </c>
      <c r="T109">
        <v>11</v>
      </c>
      <c r="U109">
        <v>0.6</v>
      </c>
      <c r="V109">
        <v>3</v>
      </c>
      <c r="Z109">
        <v>1</v>
      </c>
      <c r="AA109">
        <v>1</v>
      </c>
    </row>
    <row r="110" spans="1:27">
      <c r="A110" t="s">
        <v>1422</v>
      </c>
      <c r="B110" t="s">
        <v>7367</v>
      </c>
      <c r="C110" t="s">
        <v>7488</v>
      </c>
      <c r="D110">
        <v>7</v>
      </c>
      <c r="E110">
        <v>4.5</v>
      </c>
      <c r="F110" t="s">
        <v>5499</v>
      </c>
      <c r="G110" t="s">
        <v>5496</v>
      </c>
      <c r="H110">
        <v>3</v>
      </c>
      <c r="I110">
        <v>-5</v>
      </c>
      <c r="J110">
        <v>0</v>
      </c>
      <c r="K110">
        <v>-3</v>
      </c>
      <c r="L110">
        <v>-4</v>
      </c>
      <c r="M110">
        <v>9</v>
      </c>
      <c r="N110">
        <v>6</v>
      </c>
      <c r="O110">
        <v>0.75</v>
      </c>
      <c r="P110">
        <v>3</v>
      </c>
      <c r="R110">
        <v>15</v>
      </c>
      <c r="S110">
        <v>15</v>
      </c>
      <c r="T110">
        <v>10</v>
      </c>
      <c r="U110">
        <v>0.75</v>
      </c>
      <c r="V110">
        <v>3</v>
      </c>
      <c r="Z110">
        <v>1</v>
      </c>
      <c r="AA110">
        <v>1</v>
      </c>
    </row>
    <row r="111" spans="1:27">
      <c r="A111" t="s">
        <v>1418</v>
      </c>
      <c r="B111" t="s">
        <v>7435</v>
      </c>
      <c r="C111" t="s">
        <v>7488</v>
      </c>
      <c r="D111">
        <v>7</v>
      </c>
      <c r="E111">
        <v>4.5</v>
      </c>
      <c r="F111" t="s">
        <v>5499</v>
      </c>
      <c r="G111" t="s">
        <v>5496</v>
      </c>
      <c r="H111">
        <v>3</v>
      </c>
      <c r="I111">
        <v>-5</v>
      </c>
      <c r="J111">
        <v>0</v>
      </c>
      <c r="K111">
        <v>-3</v>
      </c>
      <c r="L111">
        <v>-4</v>
      </c>
      <c r="M111">
        <v>9</v>
      </c>
      <c r="N111">
        <v>6</v>
      </c>
      <c r="O111">
        <v>0.75</v>
      </c>
      <c r="P111">
        <v>3</v>
      </c>
      <c r="R111">
        <v>15</v>
      </c>
      <c r="S111">
        <v>15</v>
      </c>
      <c r="T111">
        <v>10</v>
      </c>
      <c r="U111">
        <v>0.75</v>
      </c>
      <c r="V111">
        <v>3</v>
      </c>
      <c r="Z111">
        <v>1</v>
      </c>
      <c r="AA111">
        <v>1</v>
      </c>
    </row>
    <row r="112" spans="1:27">
      <c r="A112" t="s">
        <v>1420</v>
      </c>
      <c r="B112" t="s">
        <v>7373</v>
      </c>
      <c r="C112" t="s">
        <v>7489</v>
      </c>
      <c r="D112">
        <v>13</v>
      </c>
      <c r="E112">
        <v>3</v>
      </c>
      <c r="F112" t="s">
        <v>5499</v>
      </c>
      <c r="G112" t="s">
        <v>5486</v>
      </c>
      <c r="H112">
        <v>4</v>
      </c>
      <c r="I112">
        <v>-4</v>
      </c>
      <c r="J112">
        <v>0</v>
      </c>
      <c r="K112">
        <v>-5</v>
      </c>
      <c r="L112">
        <v>-5</v>
      </c>
      <c r="M112">
        <v>7</v>
      </c>
      <c r="N112">
        <v>4</v>
      </c>
      <c r="O112">
        <v>1.2</v>
      </c>
      <c r="P112">
        <v>0</v>
      </c>
      <c r="Q112" t="s">
        <v>7371</v>
      </c>
      <c r="R112">
        <v>3</v>
      </c>
      <c r="S112">
        <v>7</v>
      </c>
      <c r="T112">
        <v>3</v>
      </c>
      <c r="U112">
        <v>0.5</v>
      </c>
      <c r="V112">
        <v>0.5</v>
      </c>
      <c r="Z112">
        <v>1</v>
      </c>
      <c r="AA112">
        <v>1</v>
      </c>
    </row>
    <row r="113" spans="1:27">
      <c r="A113" t="s">
        <v>1415</v>
      </c>
      <c r="B113" t="s">
        <v>7377</v>
      </c>
      <c r="C113" t="s">
        <v>7490</v>
      </c>
      <c r="D113">
        <v>15</v>
      </c>
      <c r="E113">
        <v>7</v>
      </c>
      <c r="F113" t="s">
        <v>5500</v>
      </c>
      <c r="G113" t="s">
        <v>7386</v>
      </c>
      <c r="H113">
        <v>2</v>
      </c>
      <c r="I113">
        <v>-10</v>
      </c>
      <c r="J113">
        <v>0</v>
      </c>
      <c r="K113">
        <v>-6</v>
      </c>
      <c r="L113">
        <v>-7</v>
      </c>
      <c r="M113">
        <v>26</v>
      </c>
      <c r="N113">
        <v>13</v>
      </c>
      <c r="O113">
        <v>1.65</v>
      </c>
      <c r="P113" t="s">
        <v>7380</v>
      </c>
      <c r="Q113" t="s">
        <v>7371</v>
      </c>
      <c r="R113">
        <v>18</v>
      </c>
      <c r="S113">
        <v>6</v>
      </c>
      <c r="T113">
        <v>8</v>
      </c>
      <c r="U113">
        <v>1.9</v>
      </c>
      <c r="V113">
        <v>1.5</v>
      </c>
      <c r="Z113">
        <v>1</v>
      </c>
      <c r="AA113">
        <v>1</v>
      </c>
    </row>
    <row r="114" spans="1:27">
      <c r="A114" t="s">
        <v>1420</v>
      </c>
      <c r="B114" t="s">
        <v>7391</v>
      </c>
      <c r="C114" t="s">
        <v>7490</v>
      </c>
      <c r="D114">
        <v>15</v>
      </c>
      <c r="E114">
        <v>7</v>
      </c>
      <c r="F114" t="s">
        <v>5500</v>
      </c>
      <c r="G114" t="s">
        <v>7386</v>
      </c>
      <c r="H114">
        <v>2</v>
      </c>
      <c r="I114">
        <v>-10</v>
      </c>
      <c r="J114">
        <v>0</v>
      </c>
      <c r="K114">
        <v>-6</v>
      </c>
      <c r="L114">
        <v>-7</v>
      </c>
      <c r="M114">
        <v>26</v>
      </c>
      <c r="N114">
        <v>13</v>
      </c>
      <c r="O114">
        <v>1.65</v>
      </c>
      <c r="P114" t="s">
        <v>7380</v>
      </c>
      <c r="Q114" t="s">
        <v>7371</v>
      </c>
      <c r="R114">
        <v>18</v>
      </c>
      <c r="S114">
        <v>6</v>
      </c>
      <c r="T114">
        <v>8</v>
      </c>
      <c r="U114">
        <v>1.9</v>
      </c>
      <c r="V114">
        <v>1.5</v>
      </c>
      <c r="Z114">
        <v>1</v>
      </c>
      <c r="AA114">
        <v>1</v>
      </c>
    </row>
    <row r="115" spans="1:27">
      <c r="A115" t="s">
        <v>1415</v>
      </c>
      <c r="B115" t="s">
        <v>7377</v>
      </c>
      <c r="C115" t="s">
        <v>7491</v>
      </c>
      <c r="D115">
        <v>16</v>
      </c>
      <c r="E115">
        <v>7.5</v>
      </c>
      <c r="F115" t="s">
        <v>5500</v>
      </c>
      <c r="G115" t="s">
        <v>7386</v>
      </c>
      <c r="H115">
        <v>2</v>
      </c>
      <c r="I115">
        <v>-10</v>
      </c>
      <c r="J115">
        <v>0</v>
      </c>
      <c r="K115">
        <v>-7</v>
      </c>
      <c r="L115">
        <v>-6</v>
      </c>
      <c r="M115">
        <v>29</v>
      </c>
      <c r="N115">
        <v>16</v>
      </c>
      <c r="O115">
        <v>1.8</v>
      </c>
      <c r="P115" t="s">
        <v>7380</v>
      </c>
      <c r="Q115" t="s">
        <v>7371</v>
      </c>
      <c r="R115">
        <v>19</v>
      </c>
      <c r="S115">
        <v>7</v>
      </c>
      <c r="T115">
        <v>18</v>
      </c>
      <c r="U115">
        <v>2.2000000000000002</v>
      </c>
      <c r="V115">
        <v>2.25</v>
      </c>
      <c r="Z115">
        <v>1</v>
      </c>
      <c r="AA115">
        <v>1</v>
      </c>
    </row>
    <row r="116" spans="1:27">
      <c r="A116" t="s">
        <v>1420</v>
      </c>
      <c r="B116" t="s">
        <v>7391</v>
      </c>
      <c r="C116" t="s">
        <v>7491</v>
      </c>
      <c r="D116">
        <v>16</v>
      </c>
      <c r="E116">
        <v>7.5</v>
      </c>
      <c r="F116" t="s">
        <v>5500</v>
      </c>
      <c r="G116" t="s">
        <v>7386</v>
      </c>
      <c r="H116">
        <v>2</v>
      </c>
      <c r="I116">
        <v>-10</v>
      </c>
      <c r="J116">
        <v>0</v>
      </c>
      <c r="K116">
        <v>-7</v>
      </c>
      <c r="L116">
        <v>-6</v>
      </c>
      <c r="M116">
        <v>29</v>
      </c>
      <c r="N116">
        <v>16</v>
      </c>
      <c r="O116">
        <v>1.8</v>
      </c>
      <c r="P116" t="s">
        <v>7380</v>
      </c>
      <c r="Q116" t="s">
        <v>7371</v>
      </c>
      <c r="R116">
        <v>19</v>
      </c>
      <c r="S116">
        <v>7</v>
      </c>
      <c r="T116">
        <v>18</v>
      </c>
      <c r="U116">
        <v>2.2000000000000002</v>
      </c>
      <c r="V116">
        <v>2.25</v>
      </c>
      <c r="Z116">
        <v>1</v>
      </c>
      <c r="AA116">
        <v>1</v>
      </c>
    </row>
    <row r="117" spans="1:27">
      <c r="A117" t="s">
        <v>1422</v>
      </c>
      <c r="B117" t="s">
        <v>7397</v>
      </c>
      <c r="C117" t="s">
        <v>7492</v>
      </c>
      <c r="D117">
        <v>4</v>
      </c>
      <c r="E117">
        <v>3</v>
      </c>
      <c r="F117" t="s">
        <v>7385</v>
      </c>
      <c r="H117">
        <v>6</v>
      </c>
      <c r="I117">
        <v>-3</v>
      </c>
      <c r="J117">
        <v>0</v>
      </c>
      <c r="K117">
        <v>-1</v>
      </c>
      <c r="L117">
        <v>-5</v>
      </c>
      <c r="M117">
        <v>7</v>
      </c>
      <c r="N117">
        <v>5</v>
      </c>
      <c r="O117">
        <v>0.4</v>
      </c>
      <c r="P117">
        <v>6</v>
      </c>
      <c r="R117">
        <v>14</v>
      </c>
      <c r="S117">
        <v>15</v>
      </c>
      <c r="T117">
        <v>6</v>
      </c>
      <c r="U117">
        <v>0.4</v>
      </c>
      <c r="V117">
        <v>1</v>
      </c>
      <c r="Z117">
        <v>1</v>
      </c>
      <c r="AA117">
        <v>1</v>
      </c>
    </row>
    <row r="118" spans="1:27">
      <c r="A118" t="s">
        <v>1418</v>
      </c>
      <c r="B118" t="s">
        <v>7381</v>
      </c>
      <c r="C118" t="s">
        <v>7493</v>
      </c>
      <c r="D118">
        <v>11</v>
      </c>
      <c r="E118">
        <v>5</v>
      </c>
      <c r="F118" t="s">
        <v>5499</v>
      </c>
      <c r="G118" t="s">
        <v>5497</v>
      </c>
      <c r="H118">
        <v>3</v>
      </c>
      <c r="I118">
        <v>-5</v>
      </c>
      <c r="J118">
        <v>0</v>
      </c>
      <c r="K118">
        <v>-4</v>
      </c>
      <c r="L118">
        <v>-3</v>
      </c>
      <c r="M118">
        <v>12</v>
      </c>
      <c r="N118">
        <v>9</v>
      </c>
      <c r="O118">
        <v>1.1000000000000001</v>
      </c>
      <c r="P118">
        <v>1</v>
      </c>
      <c r="R118">
        <v>15</v>
      </c>
      <c r="S118">
        <v>14</v>
      </c>
      <c r="T118">
        <v>15</v>
      </c>
      <c r="U118">
        <v>1</v>
      </c>
      <c r="V118">
        <v>4</v>
      </c>
      <c r="Z118">
        <v>1</v>
      </c>
      <c r="AA118">
        <v>1</v>
      </c>
    </row>
    <row r="119" spans="1:27">
      <c r="A119" t="s">
        <v>1420</v>
      </c>
      <c r="B119" t="s">
        <v>7494</v>
      </c>
      <c r="C119" t="s">
        <v>7495</v>
      </c>
      <c r="D119">
        <v>27</v>
      </c>
      <c r="E119">
        <v>4</v>
      </c>
      <c r="F119" t="s">
        <v>7385</v>
      </c>
      <c r="G119" t="s">
        <v>5496</v>
      </c>
      <c r="H119">
        <v>4</v>
      </c>
      <c r="I119">
        <v>-6</v>
      </c>
      <c r="J119">
        <v>0</v>
      </c>
      <c r="K119">
        <v>-5</v>
      </c>
      <c r="L119">
        <v>-6</v>
      </c>
      <c r="M119">
        <v>17</v>
      </c>
      <c r="N119">
        <v>11</v>
      </c>
      <c r="O119">
        <v>2.5</v>
      </c>
      <c r="P119" t="s">
        <v>7380</v>
      </c>
      <c r="Q119" t="s">
        <v>7371</v>
      </c>
      <c r="R119">
        <v>5</v>
      </c>
      <c r="S119">
        <v>8</v>
      </c>
      <c r="T119">
        <v>3</v>
      </c>
      <c r="U119">
        <v>1</v>
      </c>
      <c r="V119">
        <v>4</v>
      </c>
      <c r="Z119">
        <v>1</v>
      </c>
      <c r="AA119">
        <v>1</v>
      </c>
    </row>
    <row r="120" spans="1:27">
      <c r="A120" t="s">
        <v>1420</v>
      </c>
      <c r="B120" t="s">
        <v>7494</v>
      </c>
      <c r="C120" t="s">
        <v>7496</v>
      </c>
      <c r="D120">
        <v>32</v>
      </c>
      <c r="E120">
        <v>4</v>
      </c>
      <c r="F120" t="s">
        <v>7385</v>
      </c>
      <c r="G120" t="s">
        <v>5486</v>
      </c>
      <c r="H120">
        <v>4</v>
      </c>
      <c r="I120">
        <v>-6</v>
      </c>
      <c r="J120">
        <v>0</v>
      </c>
      <c r="K120">
        <v>-5</v>
      </c>
      <c r="L120">
        <v>-7</v>
      </c>
      <c r="M120">
        <v>19</v>
      </c>
      <c r="N120">
        <v>12</v>
      </c>
      <c r="O120">
        <v>3</v>
      </c>
      <c r="P120" t="s">
        <v>7380</v>
      </c>
      <c r="Q120" t="s">
        <v>7371</v>
      </c>
      <c r="R120">
        <v>5</v>
      </c>
      <c r="S120">
        <v>9</v>
      </c>
      <c r="T120">
        <v>3</v>
      </c>
      <c r="U120">
        <v>1</v>
      </c>
      <c r="V120">
        <v>4</v>
      </c>
      <c r="Z120">
        <v>1</v>
      </c>
      <c r="AA120">
        <v>1</v>
      </c>
    </row>
    <row r="121" spans="1:27">
      <c r="A121" t="s">
        <v>1415</v>
      </c>
      <c r="B121" t="s">
        <v>7421</v>
      </c>
      <c r="C121" t="s">
        <v>7497</v>
      </c>
      <c r="D121">
        <v>12</v>
      </c>
      <c r="E121">
        <v>4.5</v>
      </c>
      <c r="F121" t="s">
        <v>5497</v>
      </c>
      <c r="G121" t="s">
        <v>5497</v>
      </c>
      <c r="H121">
        <v>4</v>
      </c>
      <c r="I121">
        <v>-5</v>
      </c>
      <c r="J121">
        <v>0</v>
      </c>
      <c r="K121">
        <v>-4</v>
      </c>
      <c r="L121">
        <v>-3</v>
      </c>
      <c r="M121">
        <v>10</v>
      </c>
      <c r="N121">
        <v>8</v>
      </c>
      <c r="O121">
        <v>1.2</v>
      </c>
      <c r="P121">
        <v>1</v>
      </c>
      <c r="Q121" t="s">
        <v>7371</v>
      </c>
      <c r="R121">
        <v>15</v>
      </c>
      <c r="S121">
        <v>7</v>
      </c>
      <c r="T121">
        <v>9</v>
      </c>
      <c r="U121">
        <v>1.4</v>
      </c>
      <c r="V121">
        <v>5</v>
      </c>
      <c r="Z121">
        <v>1</v>
      </c>
      <c r="AA121">
        <v>1</v>
      </c>
    </row>
    <row r="122" spans="1:27">
      <c r="A122" t="s">
        <v>1415</v>
      </c>
      <c r="B122" t="s">
        <v>7421</v>
      </c>
      <c r="C122" t="s">
        <v>7498</v>
      </c>
      <c r="D122">
        <v>12</v>
      </c>
      <c r="E122">
        <v>4.5</v>
      </c>
      <c r="F122" t="s">
        <v>5500</v>
      </c>
      <c r="G122" t="s">
        <v>5497</v>
      </c>
      <c r="H122">
        <v>4</v>
      </c>
      <c r="I122">
        <v>-5</v>
      </c>
      <c r="J122">
        <v>3</v>
      </c>
      <c r="K122">
        <v>-4</v>
      </c>
      <c r="L122">
        <v>-3</v>
      </c>
      <c r="M122">
        <v>10</v>
      </c>
      <c r="N122">
        <v>8</v>
      </c>
      <c r="O122">
        <v>1.2</v>
      </c>
      <c r="P122">
        <v>1</v>
      </c>
      <c r="Q122" t="s">
        <v>7371</v>
      </c>
      <c r="R122">
        <v>15</v>
      </c>
      <c r="S122">
        <v>7</v>
      </c>
      <c r="T122">
        <v>9</v>
      </c>
      <c r="U122">
        <v>1.4</v>
      </c>
      <c r="V122">
        <v>5</v>
      </c>
      <c r="Z122">
        <v>1</v>
      </c>
      <c r="AA122">
        <v>1</v>
      </c>
    </row>
    <row r="123" spans="1:27">
      <c r="A123" t="s">
        <v>1422</v>
      </c>
      <c r="B123" t="s">
        <v>7397</v>
      </c>
      <c r="C123" t="s">
        <v>7499</v>
      </c>
      <c r="D123">
        <v>3</v>
      </c>
      <c r="E123">
        <v>2</v>
      </c>
      <c r="F123" t="s">
        <v>5499</v>
      </c>
      <c r="H123">
        <v>6</v>
      </c>
      <c r="I123">
        <v>-2</v>
      </c>
      <c r="J123">
        <v>0</v>
      </c>
      <c r="K123">
        <v>-2</v>
      </c>
      <c r="L123">
        <v>-4</v>
      </c>
      <c r="M123">
        <v>7</v>
      </c>
      <c r="N123">
        <v>5</v>
      </c>
      <c r="O123">
        <v>0.3</v>
      </c>
      <c r="P123">
        <v>7</v>
      </c>
      <c r="R123">
        <v>12</v>
      </c>
      <c r="S123">
        <v>17</v>
      </c>
      <c r="T123">
        <v>5</v>
      </c>
      <c r="U123">
        <v>0.3</v>
      </c>
      <c r="V123">
        <v>1</v>
      </c>
      <c r="Z123">
        <v>1</v>
      </c>
      <c r="AA123">
        <v>1</v>
      </c>
    </row>
    <row r="124" spans="1:27">
      <c r="A124" t="s">
        <v>1418</v>
      </c>
      <c r="B124" t="s">
        <v>7435</v>
      </c>
      <c r="C124" t="s">
        <v>7500</v>
      </c>
      <c r="D124">
        <v>7</v>
      </c>
      <c r="E124">
        <v>3</v>
      </c>
      <c r="F124" t="s">
        <v>5497</v>
      </c>
      <c r="G124" t="s">
        <v>5496</v>
      </c>
      <c r="H124">
        <v>4</v>
      </c>
      <c r="I124">
        <v>-3</v>
      </c>
      <c r="J124">
        <v>0</v>
      </c>
      <c r="K124">
        <v>-2</v>
      </c>
      <c r="L124">
        <v>-4</v>
      </c>
      <c r="M124">
        <v>8</v>
      </c>
      <c r="N124">
        <v>6</v>
      </c>
      <c r="O124">
        <v>0.65</v>
      </c>
      <c r="P124">
        <v>5</v>
      </c>
      <c r="R124">
        <v>14</v>
      </c>
      <c r="S124">
        <v>12</v>
      </c>
      <c r="T124">
        <v>8</v>
      </c>
      <c r="U124">
        <v>0.8</v>
      </c>
      <c r="V124">
        <v>3</v>
      </c>
      <c r="Z124">
        <v>1</v>
      </c>
      <c r="AA124">
        <v>1</v>
      </c>
    </row>
    <row r="125" spans="1:27">
      <c r="A125" t="s">
        <v>1422</v>
      </c>
      <c r="B125" t="s">
        <v>7367</v>
      </c>
      <c r="C125" t="s">
        <v>7501</v>
      </c>
      <c r="D125">
        <v>10</v>
      </c>
      <c r="E125">
        <v>3</v>
      </c>
      <c r="F125" t="s">
        <v>5499</v>
      </c>
      <c r="G125" t="s">
        <v>5486</v>
      </c>
      <c r="H125">
        <v>6</v>
      </c>
      <c r="I125">
        <v>-4</v>
      </c>
      <c r="J125">
        <v>0</v>
      </c>
      <c r="K125">
        <v>-2</v>
      </c>
      <c r="L125">
        <v>-2</v>
      </c>
      <c r="M125">
        <v>6</v>
      </c>
      <c r="N125">
        <v>4</v>
      </c>
      <c r="O125">
        <v>0.9</v>
      </c>
      <c r="P125">
        <v>3</v>
      </c>
      <c r="R125">
        <v>3</v>
      </c>
      <c r="S125">
        <v>12</v>
      </c>
      <c r="T125">
        <v>17</v>
      </c>
      <c r="U125">
        <v>0.75</v>
      </c>
      <c r="V125">
        <v>4</v>
      </c>
      <c r="Z125">
        <v>1</v>
      </c>
      <c r="AA125">
        <v>1</v>
      </c>
    </row>
    <row r="126" spans="1:27">
      <c r="A126" t="s">
        <v>1422</v>
      </c>
      <c r="B126" t="s">
        <v>7397</v>
      </c>
      <c r="C126" t="s">
        <v>7502</v>
      </c>
      <c r="D126">
        <v>3</v>
      </c>
      <c r="E126">
        <v>0</v>
      </c>
      <c r="F126" t="s">
        <v>5498</v>
      </c>
      <c r="H126">
        <v>7</v>
      </c>
      <c r="I126">
        <v>-2</v>
      </c>
      <c r="J126">
        <v>0</v>
      </c>
      <c r="K126">
        <v>-1</v>
      </c>
      <c r="L126">
        <v>-9</v>
      </c>
      <c r="M126">
        <v>2</v>
      </c>
      <c r="O126">
        <v>0.25</v>
      </c>
      <c r="P126">
        <v>12</v>
      </c>
      <c r="R126">
        <v>10</v>
      </c>
      <c r="S126">
        <v>12</v>
      </c>
      <c r="T126">
        <v>4</v>
      </c>
      <c r="U126">
        <v>0.25</v>
      </c>
      <c r="V126">
        <v>1</v>
      </c>
      <c r="Z126">
        <v>1</v>
      </c>
      <c r="AA126">
        <v>1</v>
      </c>
    </row>
    <row r="127" spans="1:27">
      <c r="A127" t="s">
        <v>1424</v>
      </c>
      <c r="B127" t="s">
        <v>6488</v>
      </c>
      <c r="C127" t="s">
        <v>7502</v>
      </c>
      <c r="D127">
        <v>3</v>
      </c>
      <c r="E127">
        <v>0</v>
      </c>
      <c r="F127" t="s">
        <v>5498</v>
      </c>
      <c r="H127">
        <v>7</v>
      </c>
      <c r="I127">
        <v>-2</v>
      </c>
      <c r="J127">
        <v>0</v>
      </c>
      <c r="K127">
        <v>-1</v>
      </c>
      <c r="L127">
        <v>-9</v>
      </c>
      <c r="M127">
        <v>2</v>
      </c>
      <c r="O127">
        <v>0.25</v>
      </c>
      <c r="P127">
        <v>12</v>
      </c>
      <c r="R127">
        <v>10</v>
      </c>
      <c r="S127">
        <v>12</v>
      </c>
      <c r="T127">
        <v>4</v>
      </c>
      <c r="U127">
        <v>0.25</v>
      </c>
      <c r="V127">
        <v>1</v>
      </c>
      <c r="Z127">
        <v>1</v>
      </c>
      <c r="AA127">
        <v>1</v>
      </c>
    </row>
    <row r="128" spans="1:27">
      <c r="A128" t="s">
        <v>1422</v>
      </c>
      <c r="B128" t="s">
        <v>7397</v>
      </c>
      <c r="C128" t="s">
        <v>7503</v>
      </c>
      <c r="D128">
        <v>2</v>
      </c>
      <c r="E128">
        <v>-1</v>
      </c>
      <c r="F128" t="s">
        <v>5497</v>
      </c>
      <c r="H128">
        <v>8</v>
      </c>
      <c r="I128">
        <v>-2</v>
      </c>
      <c r="J128">
        <v>0</v>
      </c>
      <c r="K128">
        <v>-2</v>
      </c>
      <c r="L128">
        <v>-10</v>
      </c>
      <c r="M128">
        <v>1</v>
      </c>
      <c r="O128">
        <v>0.18</v>
      </c>
      <c r="P128">
        <v>15</v>
      </c>
      <c r="R128">
        <v>9</v>
      </c>
      <c r="S128">
        <v>11</v>
      </c>
      <c r="T128">
        <v>4</v>
      </c>
      <c r="U128">
        <v>0.15</v>
      </c>
      <c r="V128">
        <v>0.5</v>
      </c>
      <c r="Z128">
        <v>1</v>
      </c>
      <c r="AA128">
        <v>1</v>
      </c>
    </row>
    <row r="129" spans="1:27">
      <c r="A129" t="s">
        <v>1424</v>
      </c>
      <c r="B129" t="s">
        <v>6488</v>
      </c>
      <c r="C129" t="s">
        <v>7503</v>
      </c>
      <c r="D129">
        <v>2</v>
      </c>
      <c r="E129">
        <v>-1</v>
      </c>
      <c r="F129" t="s">
        <v>5497</v>
      </c>
      <c r="H129">
        <v>8</v>
      </c>
      <c r="I129">
        <v>-2</v>
      </c>
      <c r="J129">
        <v>0</v>
      </c>
      <c r="K129">
        <v>-2</v>
      </c>
      <c r="L129">
        <v>-10</v>
      </c>
      <c r="M129">
        <v>1</v>
      </c>
      <c r="O129">
        <v>0.18</v>
      </c>
      <c r="P129">
        <v>15</v>
      </c>
      <c r="R129">
        <v>9</v>
      </c>
      <c r="S129">
        <v>11</v>
      </c>
      <c r="T129">
        <v>4</v>
      </c>
      <c r="U129">
        <v>0.15</v>
      </c>
      <c r="V129">
        <v>0.5</v>
      </c>
      <c r="Z129">
        <v>1</v>
      </c>
      <c r="AA129">
        <v>1</v>
      </c>
    </row>
    <row r="130" spans="1:27">
      <c r="A130" t="s">
        <v>1420</v>
      </c>
      <c r="B130" t="s">
        <v>7373</v>
      </c>
      <c r="C130" t="s">
        <v>7504</v>
      </c>
      <c r="D130">
        <v>12</v>
      </c>
      <c r="E130">
        <v>4</v>
      </c>
      <c r="F130" t="s">
        <v>5498</v>
      </c>
      <c r="G130" t="s">
        <v>5496</v>
      </c>
      <c r="H130">
        <v>3</v>
      </c>
      <c r="I130">
        <v>-6</v>
      </c>
      <c r="J130">
        <v>0</v>
      </c>
      <c r="K130">
        <v>-5</v>
      </c>
      <c r="L130">
        <v>-4</v>
      </c>
      <c r="M130">
        <v>16</v>
      </c>
      <c r="N130">
        <v>6</v>
      </c>
      <c r="O130">
        <v>1.28</v>
      </c>
      <c r="P130" t="s">
        <v>7380</v>
      </c>
      <c r="Q130" t="s">
        <v>7371</v>
      </c>
      <c r="R130">
        <v>9</v>
      </c>
      <c r="S130">
        <v>2</v>
      </c>
      <c r="T130">
        <v>5</v>
      </c>
      <c r="U130">
        <v>0.3</v>
      </c>
      <c r="V130">
        <v>0.25</v>
      </c>
      <c r="Z130">
        <v>1</v>
      </c>
      <c r="AA130">
        <v>1</v>
      </c>
    </row>
    <row r="131" spans="1:27">
      <c r="A131" t="s">
        <v>1415</v>
      </c>
      <c r="B131" t="s">
        <v>7421</v>
      </c>
      <c r="C131" t="s">
        <v>7505</v>
      </c>
      <c r="D131">
        <v>9</v>
      </c>
      <c r="E131">
        <v>5</v>
      </c>
      <c r="F131" t="s">
        <v>5497</v>
      </c>
      <c r="G131" t="s">
        <v>5497</v>
      </c>
      <c r="H131">
        <v>2</v>
      </c>
      <c r="I131">
        <v>-5</v>
      </c>
      <c r="J131">
        <v>3</v>
      </c>
      <c r="K131">
        <v>-4</v>
      </c>
      <c r="L131">
        <v>-5</v>
      </c>
      <c r="M131">
        <v>14</v>
      </c>
      <c r="N131">
        <v>10</v>
      </c>
      <c r="O131">
        <v>0.9</v>
      </c>
      <c r="P131">
        <v>0</v>
      </c>
      <c r="Q131" t="s">
        <v>7371</v>
      </c>
      <c r="R131">
        <v>16</v>
      </c>
      <c r="S131">
        <v>8</v>
      </c>
      <c r="T131">
        <v>5</v>
      </c>
      <c r="U131">
        <v>1</v>
      </c>
      <c r="V131">
        <v>3</v>
      </c>
      <c r="Z131">
        <v>1</v>
      </c>
      <c r="AA131">
        <v>1</v>
      </c>
    </row>
    <row r="132" spans="1:27">
      <c r="A132" t="s">
        <v>1415</v>
      </c>
      <c r="B132" t="s">
        <v>7432</v>
      </c>
      <c r="C132" t="s">
        <v>7506</v>
      </c>
      <c r="D132">
        <v>8</v>
      </c>
      <c r="E132">
        <v>5</v>
      </c>
      <c r="F132" t="s">
        <v>7385</v>
      </c>
      <c r="G132" t="s">
        <v>5486</v>
      </c>
      <c r="H132">
        <v>3</v>
      </c>
      <c r="I132">
        <v>-4</v>
      </c>
      <c r="J132">
        <v>0</v>
      </c>
      <c r="K132">
        <v>-6</v>
      </c>
      <c r="L132">
        <v>-7</v>
      </c>
      <c r="M132">
        <v>14</v>
      </c>
      <c r="N132">
        <v>11</v>
      </c>
      <c r="O132">
        <v>1</v>
      </c>
      <c r="P132">
        <v>0</v>
      </c>
      <c r="Q132" t="s">
        <v>7371</v>
      </c>
      <c r="R132">
        <v>10</v>
      </c>
      <c r="S132">
        <v>7</v>
      </c>
      <c r="T132">
        <v>7</v>
      </c>
      <c r="U132">
        <v>1.25</v>
      </c>
      <c r="V132">
        <v>3</v>
      </c>
      <c r="Z132">
        <v>1</v>
      </c>
      <c r="AA132">
        <v>1</v>
      </c>
    </row>
    <row r="133" spans="1:27">
      <c r="A133" t="s">
        <v>1415</v>
      </c>
      <c r="B133" t="s">
        <v>7432</v>
      </c>
      <c r="C133" t="s">
        <v>7507</v>
      </c>
      <c r="D133">
        <v>7</v>
      </c>
      <c r="E133">
        <v>6</v>
      </c>
      <c r="F133" t="s">
        <v>5500</v>
      </c>
      <c r="G133" t="s">
        <v>5486</v>
      </c>
      <c r="H133">
        <v>2</v>
      </c>
      <c r="I133">
        <v>-9</v>
      </c>
      <c r="J133">
        <v>0</v>
      </c>
      <c r="K133">
        <v>-7</v>
      </c>
      <c r="L133">
        <v>-7</v>
      </c>
      <c r="M133">
        <v>17</v>
      </c>
      <c r="N133">
        <v>13</v>
      </c>
      <c r="O133">
        <v>1</v>
      </c>
      <c r="P133">
        <v>0</v>
      </c>
      <c r="Q133" t="s">
        <v>7371</v>
      </c>
      <c r="R133">
        <v>10</v>
      </c>
      <c r="S133">
        <v>7</v>
      </c>
      <c r="T133">
        <v>7</v>
      </c>
      <c r="U133">
        <v>1.25</v>
      </c>
      <c r="V133">
        <v>3</v>
      </c>
      <c r="Z133">
        <v>1</v>
      </c>
      <c r="AA133">
        <v>1</v>
      </c>
    </row>
    <row r="134" spans="1:27">
      <c r="A134" t="s">
        <v>1415</v>
      </c>
      <c r="B134" t="s">
        <v>7421</v>
      </c>
      <c r="C134" t="s">
        <v>7508</v>
      </c>
      <c r="D134">
        <v>10</v>
      </c>
      <c r="E134">
        <v>2</v>
      </c>
      <c r="F134" t="s">
        <v>5497</v>
      </c>
      <c r="G134" t="s">
        <v>5496</v>
      </c>
      <c r="H134">
        <v>6</v>
      </c>
      <c r="I134">
        <v>-4</v>
      </c>
      <c r="J134">
        <v>0</v>
      </c>
      <c r="K134">
        <v>-3</v>
      </c>
      <c r="L134">
        <v>-5</v>
      </c>
      <c r="M134">
        <v>6</v>
      </c>
      <c r="N134">
        <v>4</v>
      </c>
      <c r="O134">
        <v>1</v>
      </c>
      <c r="P134">
        <v>6</v>
      </c>
      <c r="R134">
        <v>5</v>
      </c>
      <c r="S134">
        <v>5</v>
      </c>
      <c r="T134">
        <v>1</v>
      </c>
      <c r="U134">
        <v>0.4</v>
      </c>
      <c r="V134">
        <v>0.25</v>
      </c>
      <c r="Z134">
        <v>1</v>
      </c>
      <c r="AA134">
        <v>1</v>
      </c>
    </row>
    <row r="135" spans="1:27">
      <c r="A135" t="s">
        <v>1420</v>
      </c>
      <c r="B135" t="s">
        <v>7373</v>
      </c>
      <c r="C135" t="s">
        <v>7509</v>
      </c>
      <c r="D135">
        <v>22</v>
      </c>
      <c r="E135">
        <v>4.5</v>
      </c>
      <c r="F135" t="s">
        <v>5499</v>
      </c>
      <c r="G135" t="s">
        <v>5496</v>
      </c>
      <c r="H135">
        <v>3</v>
      </c>
      <c r="I135">
        <v>-5</v>
      </c>
      <c r="J135">
        <v>0</v>
      </c>
      <c r="K135">
        <v>-4</v>
      </c>
      <c r="L135">
        <v>-3</v>
      </c>
      <c r="M135">
        <v>22</v>
      </c>
      <c r="N135">
        <v>11</v>
      </c>
      <c r="O135">
        <v>2.1</v>
      </c>
      <c r="P135" t="s">
        <v>7380</v>
      </c>
      <c r="Q135" t="s">
        <v>7371</v>
      </c>
      <c r="R135">
        <v>15</v>
      </c>
      <c r="S135">
        <v>7</v>
      </c>
      <c r="T135">
        <v>16</v>
      </c>
      <c r="U135">
        <v>1</v>
      </c>
      <c r="V135">
        <v>4</v>
      </c>
      <c r="Z135">
        <v>1</v>
      </c>
      <c r="AA135">
        <v>1</v>
      </c>
    </row>
    <row r="136" spans="1:27">
      <c r="A136" t="s">
        <v>1424</v>
      </c>
      <c r="B136" t="s">
        <v>7412</v>
      </c>
      <c r="C136" t="s">
        <v>7510</v>
      </c>
      <c r="D136">
        <v>13</v>
      </c>
      <c r="E136">
        <v>4</v>
      </c>
      <c r="F136" t="s">
        <v>5486</v>
      </c>
      <c r="G136" t="s">
        <v>5486</v>
      </c>
      <c r="H136">
        <v>4</v>
      </c>
      <c r="I136">
        <v>-4</v>
      </c>
      <c r="J136">
        <v>0</v>
      </c>
      <c r="K136">
        <v>-7</v>
      </c>
      <c r="L136">
        <v>-15</v>
      </c>
      <c r="M136">
        <v>9</v>
      </c>
      <c r="N136">
        <v>6</v>
      </c>
      <c r="O136">
        <v>1.4</v>
      </c>
      <c r="P136">
        <v>6</v>
      </c>
      <c r="R136">
        <v>0</v>
      </c>
      <c r="S136">
        <v>7</v>
      </c>
      <c r="T136">
        <v>6</v>
      </c>
      <c r="U136">
        <v>0.1</v>
      </c>
      <c r="V136">
        <v>2</v>
      </c>
      <c r="Z136">
        <v>1</v>
      </c>
      <c r="AA136">
        <v>1</v>
      </c>
    </row>
    <row r="137" spans="1:27">
      <c r="A137" t="s">
        <v>1424</v>
      </c>
      <c r="B137" t="s">
        <v>7412</v>
      </c>
      <c r="C137" t="s">
        <v>7511</v>
      </c>
      <c r="D137">
        <v>13</v>
      </c>
      <c r="E137">
        <v>4</v>
      </c>
      <c r="F137" t="s">
        <v>5496</v>
      </c>
      <c r="G137" t="s">
        <v>5496</v>
      </c>
      <c r="H137">
        <v>3</v>
      </c>
      <c r="I137">
        <v>-4</v>
      </c>
      <c r="J137">
        <v>0</v>
      </c>
      <c r="K137">
        <v>-8</v>
      </c>
      <c r="L137">
        <v>-15</v>
      </c>
      <c r="M137">
        <v>11</v>
      </c>
      <c r="N137">
        <v>8</v>
      </c>
      <c r="O137">
        <v>1.4</v>
      </c>
      <c r="P137">
        <v>3</v>
      </c>
      <c r="R137">
        <v>2</v>
      </c>
      <c r="S137">
        <v>7</v>
      </c>
      <c r="T137">
        <v>7</v>
      </c>
      <c r="U137">
        <v>0.2</v>
      </c>
      <c r="V137">
        <v>2</v>
      </c>
      <c r="Z137">
        <v>1</v>
      </c>
      <c r="AA137">
        <v>1</v>
      </c>
    </row>
    <row r="138" spans="1:27">
      <c r="A138" t="s">
        <v>1422</v>
      </c>
      <c r="B138" t="s">
        <v>7367</v>
      </c>
      <c r="C138" t="s">
        <v>7512</v>
      </c>
      <c r="D138">
        <v>8</v>
      </c>
      <c r="E138">
        <v>4</v>
      </c>
      <c r="F138" t="s">
        <v>5499</v>
      </c>
      <c r="G138" t="s">
        <v>5486</v>
      </c>
      <c r="H138">
        <v>4</v>
      </c>
      <c r="I138">
        <v>-4</v>
      </c>
      <c r="J138">
        <v>0</v>
      </c>
      <c r="K138">
        <v>-3</v>
      </c>
      <c r="L138">
        <v>-4</v>
      </c>
      <c r="M138">
        <v>10</v>
      </c>
      <c r="N138">
        <v>8</v>
      </c>
      <c r="O138">
        <v>0.75</v>
      </c>
      <c r="P138">
        <v>3</v>
      </c>
      <c r="R138">
        <v>15</v>
      </c>
      <c r="S138">
        <v>13</v>
      </c>
      <c r="T138">
        <v>10</v>
      </c>
      <c r="U138">
        <v>0.75</v>
      </c>
      <c r="V138">
        <v>3.5</v>
      </c>
      <c r="Z138">
        <v>1</v>
      </c>
      <c r="AA138">
        <v>1</v>
      </c>
    </row>
    <row r="139" spans="1:27">
      <c r="A139" t="s">
        <v>1418</v>
      </c>
      <c r="B139" t="s">
        <v>7435</v>
      </c>
      <c r="C139" t="s">
        <v>7512</v>
      </c>
      <c r="D139">
        <v>8</v>
      </c>
      <c r="E139">
        <v>4</v>
      </c>
      <c r="F139" t="s">
        <v>5499</v>
      </c>
      <c r="G139" t="s">
        <v>5486</v>
      </c>
      <c r="H139">
        <v>4</v>
      </c>
      <c r="I139">
        <v>-4</v>
      </c>
      <c r="J139">
        <v>0</v>
      </c>
      <c r="K139">
        <v>-3</v>
      </c>
      <c r="L139">
        <v>-4</v>
      </c>
      <c r="M139">
        <v>10</v>
      </c>
      <c r="N139">
        <v>8</v>
      </c>
      <c r="O139">
        <v>0.75</v>
      </c>
      <c r="P139">
        <v>3</v>
      </c>
      <c r="R139">
        <v>15</v>
      </c>
      <c r="S139">
        <v>13</v>
      </c>
      <c r="T139">
        <v>10</v>
      </c>
      <c r="U139">
        <v>0.75</v>
      </c>
      <c r="V139">
        <v>3.5</v>
      </c>
      <c r="Z139">
        <v>1</v>
      </c>
      <c r="AA139">
        <v>1</v>
      </c>
    </row>
    <row r="140" spans="1:27">
      <c r="A140" t="s">
        <v>1415</v>
      </c>
      <c r="B140" t="s">
        <v>7432</v>
      </c>
      <c r="C140" t="s">
        <v>7513</v>
      </c>
      <c r="D140">
        <v>8</v>
      </c>
      <c r="E140">
        <v>3</v>
      </c>
      <c r="F140" t="s">
        <v>5497</v>
      </c>
      <c r="G140" t="s">
        <v>5486</v>
      </c>
      <c r="H140">
        <v>4</v>
      </c>
      <c r="I140">
        <v>-3</v>
      </c>
      <c r="J140">
        <v>0</v>
      </c>
      <c r="K140">
        <v>-7</v>
      </c>
      <c r="L140">
        <v>-7</v>
      </c>
      <c r="M140">
        <v>7</v>
      </c>
      <c r="N140">
        <v>6</v>
      </c>
      <c r="O140">
        <v>0.75</v>
      </c>
      <c r="P140">
        <v>6</v>
      </c>
      <c r="Q140" t="s">
        <v>7371</v>
      </c>
      <c r="R140">
        <v>10</v>
      </c>
      <c r="S140">
        <v>5</v>
      </c>
      <c r="T140">
        <v>6</v>
      </c>
      <c r="U140">
        <v>0.5</v>
      </c>
      <c r="V140">
        <v>0.25</v>
      </c>
      <c r="Z140">
        <v>1</v>
      </c>
      <c r="AA140">
        <v>1</v>
      </c>
    </row>
    <row r="141" spans="1:27">
      <c r="A141" t="s">
        <v>1415</v>
      </c>
      <c r="B141" t="s">
        <v>7432</v>
      </c>
      <c r="C141" t="s">
        <v>7514</v>
      </c>
      <c r="D141">
        <v>9</v>
      </c>
      <c r="E141">
        <v>4</v>
      </c>
      <c r="F141" t="s">
        <v>5499</v>
      </c>
      <c r="G141" t="s">
        <v>5497</v>
      </c>
      <c r="H141">
        <v>4</v>
      </c>
      <c r="I141">
        <v>-2</v>
      </c>
      <c r="J141">
        <v>0</v>
      </c>
      <c r="K141">
        <v>-8</v>
      </c>
      <c r="L141">
        <v>-7</v>
      </c>
      <c r="M141">
        <v>15</v>
      </c>
      <c r="N141">
        <v>12</v>
      </c>
      <c r="O141">
        <v>1</v>
      </c>
      <c r="P141" t="s">
        <v>7380</v>
      </c>
      <c r="Q141" t="s">
        <v>7371</v>
      </c>
      <c r="R141">
        <v>10</v>
      </c>
      <c r="S141">
        <v>7</v>
      </c>
      <c r="T141">
        <v>9</v>
      </c>
      <c r="U141">
        <v>1.75</v>
      </c>
      <c r="V141">
        <v>4</v>
      </c>
      <c r="Z141">
        <v>1</v>
      </c>
      <c r="AA141">
        <v>1</v>
      </c>
    </row>
    <row r="142" spans="1:27">
      <c r="A142" t="s">
        <v>1415</v>
      </c>
      <c r="B142" t="s">
        <v>7432</v>
      </c>
      <c r="C142" t="s">
        <v>7515</v>
      </c>
      <c r="D142">
        <v>7</v>
      </c>
      <c r="E142">
        <v>6</v>
      </c>
      <c r="F142" t="s">
        <v>7385</v>
      </c>
      <c r="G142" t="s">
        <v>5497</v>
      </c>
      <c r="H142">
        <v>2</v>
      </c>
      <c r="I142">
        <v>-7</v>
      </c>
      <c r="J142">
        <v>0</v>
      </c>
      <c r="K142">
        <v>-8</v>
      </c>
      <c r="L142">
        <v>-8</v>
      </c>
      <c r="M142">
        <v>18</v>
      </c>
      <c r="N142">
        <v>14</v>
      </c>
      <c r="O142">
        <v>1</v>
      </c>
      <c r="P142" t="s">
        <v>7380</v>
      </c>
      <c r="Q142" t="s">
        <v>7371</v>
      </c>
      <c r="R142">
        <v>10</v>
      </c>
      <c r="S142">
        <v>7</v>
      </c>
      <c r="T142">
        <v>9</v>
      </c>
      <c r="U142">
        <v>2</v>
      </c>
      <c r="V142">
        <v>4</v>
      </c>
      <c r="Z142">
        <v>1</v>
      </c>
      <c r="AA142">
        <v>1</v>
      </c>
    </row>
    <row r="143" spans="1:27">
      <c r="A143" t="s">
        <v>1415</v>
      </c>
      <c r="B143" t="s">
        <v>7432</v>
      </c>
      <c r="C143" t="s">
        <v>7516</v>
      </c>
      <c r="D143">
        <v>8</v>
      </c>
      <c r="E143">
        <v>5</v>
      </c>
      <c r="F143" t="s">
        <v>7385</v>
      </c>
      <c r="G143" t="s">
        <v>5496</v>
      </c>
      <c r="H143">
        <v>3</v>
      </c>
      <c r="I143">
        <v>-5</v>
      </c>
      <c r="J143">
        <v>0</v>
      </c>
      <c r="K143">
        <v>-7</v>
      </c>
      <c r="L143">
        <v>-7</v>
      </c>
      <c r="M143">
        <v>14</v>
      </c>
      <c r="N143">
        <v>11</v>
      </c>
      <c r="O143">
        <v>1</v>
      </c>
      <c r="P143" t="s">
        <v>7380</v>
      </c>
      <c r="Q143" t="s">
        <v>7371</v>
      </c>
      <c r="R143">
        <v>10</v>
      </c>
      <c r="S143">
        <v>7</v>
      </c>
      <c r="T143">
        <v>8</v>
      </c>
      <c r="U143">
        <v>1.5</v>
      </c>
      <c r="V143">
        <v>4</v>
      </c>
      <c r="Z143">
        <v>1</v>
      </c>
      <c r="AA143">
        <v>1</v>
      </c>
    </row>
    <row r="144" spans="1:27">
      <c r="A144" t="s">
        <v>1424</v>
      </c>
      <c r="B144" t="s">
        <v>7365</v>
      </c>
      <c r="C144" t="s">
        <v>7517</v>
      </c>
      <c r="D144">
        <v>1</v>
      </c>
      <c r="E144">
        <v>0</v>
      </c>
      <c r="F144" t="s">
        <v>5498</v>
      </c>
      <c r="G144" t="s">
        <v>5486</v>
      </c>
      <c r="H144">
        <v>4</v>
      </c>
      <c r="I144">
        <v>-5</v>
      </c>
      <c r="J144">
        <v>0</v>
      </c>
      <c r="K144">
        <v>-3</v>
      </c>
      <c r="L144">
        <v>-4</v>
      </c>
      <c r="M144">
        <v>8</v>
      </c>
      <c r="O144">
        <v>0.1</v>
      </c>
      <c r="P144">
        <v>0</v>
      </c>
      <c r="R144">
        <v>7</v>
      </c>
      <c r="S144">
        <v>10</v>
      </c>
      <c r="T144">
        <v>18</v>
      </c>
      <c r="U144">
        <v>1</v>
      </c>
      <c r="V144">
        <v>7</v>
      </c>
      <c r="Z144">
        <v>1</v>
      </c>
      <c r="AA144">
        <v>1</v>
      </c>
    </row>
    <row r="145" spans="1:27">
      <c r="A145" t="s">
        <v>1422</v>
      </c>
      <c r="B145" t="s">
        <v>7397</v>
      </c>
      <c r="C145" t="s">
        <v>7517</v>
      </c>
      <c r="D145">
        <v>1</v>
      </c>
      <c r="E145">
        <v>0</v>
      </c>
      <c r="F145" t="s">
        <v>5498</v>
      </c>
      <c r="G145" t="s">
        <v>5486</v>
      </c>
      <c r="H145">
        <v>4</v>
      </c>
      <c r="I145">
        <v>-5</v>
      </c>
      <c r="J145">
        <v>0</v>
      </c>
      <c r="K145">
        <v>-3</v>
      </c>
      <c r="L145">
        <v>-4</v>
      </c>
      <c r="M145">
        <v>8</v>
      </c>
      <c r="O145">
        <v>0.1</v>
      </c>
      <c r="P145">
        <v>0</v>
      </c>
      <c r="R145">
        <v>7</v>
      </c>
      <c r="S145">
        <v>10</v>
      </c>
      <c r="T145">
        <v>18</v>
      </c>
      <c r="U145">
        <v>1</v>
      </c>
      <c r="V145">
        <v>7</v>
      </c>
      <c r="Z145">
        <v>1</v>
      </c>
      <c r="AA145">
        <v>1</v>
      </c>
    </row>
    <row r="146" spans="1:27">
      <c r="A146" t="s">
        <v>1415</v>
      </c>
      <c r="B146" t="s">
        <v>7421</v>
      </c>
      <c r="C146" t="s">
        <v>7518</v>
      </c>
      <c r="D146">
        <v>2</v>
      </c>
      <c r="E146">
        <v>3.5</v>
      </c>
      <c r="F146" t="s">
        <v>5497</v>
      </c>
      <c r="G146" t="s">
        <v>5496</v>
      </c>
      <c r="H146">
        <v>3</v>
      </c>
      <c r="I146">
        <v>-5</v>
      </c>
      <c r="J146">
        <v>0</v>
      </c>
      <c r="K146">
        <v>-6</v>
      </c>
      <c r="L146">
        <v>-8</v>
      </c>
      <c r="M146">
        <v>13</v>
      </c>
      <c r="N146">
        <v>10</v>
      </c>
      <c r="O146">
        <v>0.2</v>
      </c>
      <c r="P146">
        <v>4</v>
      </c>
      <c r="R146">
        <v>5</v>
      </c>
      <c r="S146">
        <v>6</v>
      </c>
      <c r="T146" t="s">
        <v>7425</v>
      </c>
      <c r="U146" t="s">
        <v>7426</v>
      </c>
      <c r="V146" t="s">
        <v>7426</v>
      </c>
      <c r="W146" t="s">
        <v>5468</v>
      </c>
      <c r="Z146">
        <v>1</v>
      </c>
      <c r="AA146">
        <v>1</v>
      </c>
    </row>
    <row r="147" spans="1:27">
      <c r="A147" t="s">
        <v>1415</v>
      </c>
      <c r="B147" t="s">
        <v>7432</v>
      </c>
      <c r="C147" t="s">
        <v>7519</v>
      </c>
      <c r="D147">
        <v>18</v>
      </c>
      <c r="E147">
        <v>6</v>
      </c>
      <c r="F147" t="s">
        <v>5498</v>
      </c>
      <c r="G147" t="s">
        <v>5497</v>
      </c>
      <c r="H147">
        <v>1.5</v>
      </c>
      <c r="I147">
        <v>-9</v>
      </c>
      <c r="J147">
        <v>0</v>
      </c>
      <c r="K147">
        <v>-6</v>
      </c>
      <c r="L147">
        <v>-7</v>
      </c>
      <c r="M147">
        <v>40</v>
      </c>
      <c r="N147">
        <v>15</v>
      </c>
      <c r="O147">
        <v>2</v>
      </c>
      <c r="P147" t="s">
        <v>7380</v>
      </c>
      <c r="Q147" t="s">
        <v>7371</v>
      </c>
      <c r="R147">
        <v>10</v>
      </c>
      <c r="S147">
        <v>7</v>
      </c>
      <c r="T147">
        <v>7</v>
      </c>
      <c r="U147">
        <v>2</v>
      </c>
      <c r="V147">
        <v>1.5</v>
      </c>
      <c r="W147" t="s">
        <v>5468</v>
      </c>
      <c r="Z147">
        <v>1</v>
      </c>
      <c r="AA147">
        <v>1</v>
      </c>
    </row>
    <row r="148" spans="1:27">
      <c r="A148" t="s">
        <v>1424</v>
      </c>
      <c r="B148" t="s">
        <v>1424</v>
      </c>
      <c r="C148" t="s">
        <v>7520</v>
      </c>
      <c r="D148">
        <v>0</v>
      </c>
      <c r="E148">
        <v>1</v>
      </c>
      <c r="F148" t="s">
        <v>5496</v>
      </c>
      <c r="G148" t="s">
        <v>5486</v>
      </c>
      <c r="H148">
        <v>2</v>
      </c>
      <c r="I148">
        <v>-7</v>
      </c>
      <c r="J148">
        <v>0</v>
      </c>
      <c r="K148">
        <v>-1</v>
      </c>
      <c r="L148">
        <v>-2</v>
      </c>
      <c r="M148">
        <v>6</v>
      </c>
      <c r="O148">
        <v>0.06</v>
      </c>
      <c r="P148">
        <v>3</v>
      </c>
      <c r="Q148" t="s">
        <v>7521</v>
      </c>
      <c r="R148">
        <v>5</v>
      </c>
      <c r="S148">
        <v>30</v>
      </c>
      <c r="T148" t="s">
        <v>7425</v>
      </c>
      <c r="U148" t="s">
        <v>7426</v>
      </c>
      <c r="V148" t="s">
        <v>7426</v>
      </c>
      <c r="Z148">
        <v>1</v>
      </c>
      <c r="AA148">
        <v>1</v>
      </c>
    </row>
    <row r="149" spans="1:27">
      <c r="A149" t="s">
        <v>1424</v>
      </c>
      <c r="B149" t="s">
        <v>7365</v>
      </c>
      <c r="C149" t="s">
        <v>7522</v>
      </c>
      <c r="D149">
        <v>5</v>
      </c>
      <c r="E149">
        <v>2</v>
      </c>
      <c r="F149" t="s">
        <v>5497</v>
      </c>
      <c r="G149" t="s">
        <v>5496</v>
      </c>
      <c r="H149">
        <v>3</v>
      </c>
      <c r="I149">
        <v>-5</v>
      </c>
      <c r="J149">
        <v>0</v>
      </c>
      <c r="K149">
        <v>-3</v>
      </c>
      <c r="L149">
        <v>-3</v>
      </c>
      <c r="M149">
        <v>8</v>
      </c>
      <c r="O149">
        <v>0.5</v>
      </c>
      <c r="P149" t="s">
        <v>7380</v>
      </c>
      <c r="R149">
        <v>10</v>
      </c>
      <c r="S149">
        <v>14</v>
      </c>
      <c r="T149">
        <v>10</v>
      </c>
      <c r="U149">
        <v>0.5</v>
      </c>
      <c r="V149">
        <v>3</v>
      </c>
      <c r="Z149">
        <v>1</v>
      </c>
      <c r="AA149">
        <v>1</v>
      </c>
    </row>
    <row r="150" spans="1:27">
      <c r="A150" t="s">
        <v>1422</v>
      </c>
      <c r="B150" t="s">
        <v>7367</v>
      </c>
      <c r="C150" t="s">
        <v>7522</v>
      </c>
      <c r="D150">
        <v>5</v>
      </c>
      <c r="E150">
        <v>2</v>
      </c>
      <c r="F150" t="s">
        <v>5497</v>
      </c>
      <c r="G150" t="s">
        <v>5496</v>
      </c>
      <c r="H150">
        <v>3</v>
      </c>
      <c r="I150">
        <v>-5</v>
      </c>
      <c r="J150">
        <v>0</v>
      </c>
      <c r="K150">
        <v>-3</v>
      </c>
      <c r="L150">
        <v>-3</v>
      </c>
      <c r="M150">
        <v>8</v>
      </c>
      <c r="O150">
        <v>0.5</v>
      </c>
      <c r="P150" t="s">
        <v>7380</v>
      </c>
      <c r="R150">
        <v>10</v>
      </c>
      <c r="S150">
        <v>14</v>
      </c>
      <c r="T150">
        <v>10</v>
      </c>
      <c r="U150">
        <v>0.5</v>
      </c>
      <c r="V150">
        <v>3</v>
      </c>
      <c r="Z150">
        <v>1</v>
      </c>
      <c r="AA150">
        <v>1</v>
      </c>
    </row>
    <row r="151" spans="1:27">
      <c r="A151" t="s">
        <v>1422</v>
      </c>
      <c r="B151" t="s">
        <v>7397</v>
      </c>
      <c r="C151" t="s">
        <v>7523</v>
      </c>
      <c r="D151">
        <v>2</v>
      </c>
      <c r="E151">
        <v>3</v>
      </c>
      <c r="F151" t="s">
        <v>5499</v>
      </c>
      <c r="G151" t="s">
        <v>5486</v>
      </c>
      <c r="H151">
        <v>3</v>
      </c>
      <c r="I151">
        <v>-5</v>
      </c>
      <c r="J151">
        <v>0</v>
      </c>
      <c r="K151">
        <v>-4</v>
      </c>
      <c r="L151">
        <v>-3</v>
      </c>
      <c r="M151">
        <v>8</v>
      </c>
      <c r="O151">
        <v>0.2</v>
      </c>
      <c r="P151" t="s">
        <v>7380</v>
      </c>
      <c r="R151">
        <v>10</v>
      </c>
      <c r="S151">
        <v>12</v>
      </c>
      <c r="T151">
        <v>8</v>
      </c>
      <c r="U151">
        <v>0.1</v>
      </c>
      <c r="V151">
        <v>1</v>
      </c>
      <c r="Z151">
        <v>1</v>
      </c>
      <c r="AA151">
        <v>1</v>
      </c>
    </row>
    <row r="152" spans="1:27">
      <c r="A152" t="s">
        <v>1424</v>
      </c>
      <c r="B152" t="s">
        <v>6488</v>
      </c>
      <c r="C152" t="s">
        <v>7523</v>
      </c>
      <c r="D152">
        <v>2</v>
      </c>
      <c r="E152">
        <v>3</v>
      </c>
      <c r="F152" t="s">
        <v>5499</v>
      </c>
      <c r="G152" t="s">
        <v>5486</v>
      </c>
      <c r="H152">
        <v>3</v>
      </c>
      <c r="I152">
        <v>-5</v>
      </c>
      <c r="J152">
        <v>0</v>
      </c>
      <c r="K152">
        <v>-4</v>
      </c>
      <c r="L152">
        <v>-3</v>
      </c>
      <c r="M152">
        <v>8</v>
      </c>
      <c r="O152">
        <v>0.2</v>
      </c>
      <c r="P152" t="s">
        <v>7380</v>
      </c>
      <c r="R152">
        <v>10</v>
      </c>
      <c r="S152">
        <v>12</v>
      </c>
      <c r="T152">
        <v>8</v>
      </c>
      <c r="U152">
        <v>0.1</v>
      </c>
      <c r="V152">
        <v>1</v>
      </c>
      <c r="Z152">
        <v>1</v>
      </c>
      <c r="AA152">
        <v>1</v>
      </c>
    </row>
    <row r="153" spans="1:27">
      <c r="A153" t="s">
        <v>1422</v>
      </c>
      <c r="B153" t="s">
        <v>7397</v>
      </c>
      <c r="C153" t="s">
        <v>7524</v>
      </c>
      <c r="D153">
        <v>2</v>
      </c>
      <c r="E153">
        <v>1</v>
      </c>
      <c r="F153" t="s">
        <v>5499</v>
      </c>
      <c r="H153">
        <v>4</v>
      </c>
      <c r="I153">
        <v>-2</v>
      </c>
      <c r="J153">
        <v>0</v>
      </c>
      <c r="K153">
        <v>-3</v>
      </c>
      <c r="L153">
        <v>-3</v>
      </c>
      <c r="M153">
        <v>7</v>
      </c>
      <c r="O153">
        <v>0.2</v>
      </c>
      <c r="P153" t="s">
        <v>7380</v>
      </c>
      <c r="R153">
        <v>4</v>
      </c>
      <c r="S153">
        <v>25</v>
      </c>
      <c r="T153">
        <v>3</v>
      </c>
      <c r="U153">
        <v>0.1</v>
      </c>
      <c r="V153">
        <v>1</v>
      </c>
      <c r="Z153">
        <v>1</v>
      </c>
      <c r="AA153">
        <v>1</v>
      </c>
    </row>
    <row r="154" spans="1:27">
      <c r="A154" t="s">
        <v>1424</v>
      </c>
      <c r="B154" t="s">
        <v>6488</v>
      </c>
      <c r="C154" t="s">
        <v>7524</v>
      </c>
      <c r="D154">
        <v>2</v>
      </c>
      <c r="E154">
        <v>1</v>
      </c>
      <c r="F154" t="s">
        <v>5499</v>
      </c>
      <c r="H154">
        <v>4</v>
      </c>
      <c r="I154">
        <v>-2</v>
      </c>
      <c r="J154">
        <v>0</v>
      </c>
      <c r="K154">
        <v>-3</v>
      </c>
      <c r="L154">
        <v>-3</v>
      </c>
      <c r="M154">
        <v>7</v>
      </c>
      <c r="O154">
        <v>0.2</v>
      </c>
      <c r="P154" t="s">
        <v>7380</v>
      </c>
      <c r="R154">
        <v>4</v>
      </c>
      <c r="S154">
        <v>25</v>
      </c>
      <c r="T154">
        <v>3</v>
      </c>
      <c r="U154">
        <v>0.1</v>
      </c>
      <c r="V154">
        <v>1</v>
      </c>
      <c r="Z154">
        <v>1</v>
      </c>
      <c r="AA154">
        <v>1</v>
      </c>
    </row>
    <row r="155" spans="1:27">
      <c r="A155" t="s">
        <v>1424</v>
      </c>
      <c r="B155" t="s">
        <v>1424</v>
      </c>
      <c r="C155" t="s">
        <v>7525</v>
      </c>
      <c r="D155">
        <v>0</v>
      </c>
      <c r="E155">
        <v>1</v>
      </c>
      <c r="F155" t="s">
        <v>5497</v>
      </c>
      <c r="G155" t="s">
        <v>5486</v>
      </c>
      <c r="H155">
        <v>3</v>
      </c>
      <c r="I155">
        <v>-7</v>
      </c>
      <c r="J155">
        <v>0</v>
      </c>
      <c r="K155">
        <v>-1</v>
      </c>
      <c r="L155">
        <v>-1</v>
      </c>
      <c r="M155">
        <v>5</v>
      </c>
      <c r="O155">
        <v>0.05</v>
      </c>
      <c r="P155">
        <v>4</v>
      </c>
      <c r="R155">
        <v>5</v>
      </c>
      <c r="S155">
        <v>30</v>
      </c>
      <c r="T155" t="s">
        <v>7425</v>
      </c>
      <c r="U155" t="s">
        <v>7426</v>
      </c>
      <c r="V155" t="s">
        <v>7426</v>
      </c>
      <c r="Z155">
        <v>1</v>
      </c>
      <c r="AA155">
        <v>1</v>
      </c>
    </row>
    <row r="156" spans="1:27">
      <c r="A156" t="s">
        <v>1424</v>
      </c>
      <c r="B156" t="s">
        <v>1424</v>
      </c>
      <c r="C156" t="s">
        <v>7526</v>
      </c>
      <c r="D156">
        <v>0</v>
      </c>
      <c r="E156">
        <v>1</v>
      </c>
      <c r="F156" t="s">
        <v>5486</v>
      </c>
      <c r="G156" t="s">
        <v>5486</v>
      </c>
      <c r="H156">
        <v>3</v>
      </c>
      <c r="I156">
        <v>-5</v>
      </c>
      <c r="J156">
        <v>0</v>
      </c>
      <c r="K156">
        <v>-3</v>
      </c>
      <c r="L156">
        <v>-2</v>
      </c>
      <c r="M156">
        <v>5</v>
      </c>
      <c r="O156">
        <v>0.05</v>
      </c>
      <c r="P156">
        <v>0</v>
      </c>
      <c r="Q156" t="s">
        <v>7527</v>
      </c>
      <c r="R156">
        <v>5</v>
      </c>
      <c r="S156">
        <v>30</v>
      </c>
      <c r="T156" t="s">
        <v>7425</v>
      </c>
      <c r="U156" t="s">
        <v>7426</v>
      </c>
      <c r="V156" t="s">
        <v>7426</v>
      </c>
      <c r="Z156">
        <v>1</v>
      </c>
      <c r="AA156">
        <v>1</v>
      </c>
    </row>
    <row r="157" spans="1:27">
      <c r="A157" t="s">
        <v>1422</v>
      </c>
      <c r="B157" t="s">
        <v>7397</v>
      </c>
      <c r="C157" t="s">
        <v>7528</v>
      </c>
      <c r="D157">
        <v>4</v>
      </c>
      <c r="E157">
        <v>3</v>
      </c>
      <c r="F157" t="s">
        <v>5498</v>
      </c>
      <c r="H157">
        <v>5</v>
      </c>
      <c r="I157">
        <v>-2</v>
      </c>
      <c r="J157">
        <v>0</v>
      </c>
      <c r="K157">
        <v>-2</v>
      </c>
      <c r="L157">
        <v>-4</v>
      </c>
      <c r="M157">
        <v>8</v>
      </c>
      <c r="N157">
        <v>6</v>
      </c>
      <c r="O157">
        <v>0.4</v>
      </c>
      <c r="P157">
        <v>3</v>
      </c>
      <c r="R157">
        <v>12</v>
      </c>
      <c r="S157">
        <v>18</v>
      </c>
      <c r="T157">
        <v>5</v>
      </c>
      <c r="U157">
        <v>0.3</v>
      </c>
      <c r="V157">
        <v>1</v>
      </c>
      <c r="Z157">
        <v>1</v>
      </c>
      <c r="AA157">
        <v>1</v>
      </c>
    </row>
    <row r="158" spans="1:27">
      <c r="A158" t="s">
        <v>1424</v>
      </c>
      <c r="B158" t="s">
        <v>7414</v>
      </c>
      <c r="C158" t="s">
        <v>7529</v>
      </c>
      <c r="E158">
        <v>13</v>
      </c>
      <c r="F158" t="s">
        <v>7416</v>
      </c>
      <c r="H158">
        <v>3</v>
      </c>
      <c r="I158">
        <v>-5</v>
      </c>
      <c r="K158">
        <v>-16</v>
      </c>
      <c r="L158">
        <v>5</v>
      </c>
      <c r="M158">
        <v>37</v>
      </c>
      <c r="P158" t="s">
        <v>7380</v>
      </c>
      <c r="Q158" t="s">
        <v>7530</v>
      </c>
      <c r="R158">
        <v>15</v>
      </c>
      <c r="S158">
        <v>16</v>
      </c>
      <c r="T158">
        <v>15</v>
      </c>
      <c r="X158">
        <v>26</v>
      </c>
      <c r="Y158">
        <v>1200</v>
      </c>
      <c r="Z158">
        <v>1</v>
      </c>
      <c r="AA158">
        <v>1</v>
      </c>
    </row>
    <row r="159" spans="1:27">
      <c r="A159" t="s">
        <v>1424</v>
      </c>
      <c r="B159" t="s">
        <v>7414</v>
      </c>
      <c r="C159" t="s">
        <v>7531</v>
      </c>
      <c r="E159">
        <v>12</v>
      </c>
      <c r="F159" t="s">
        <v>5497</v>
      </c>
      <c r="G159" t="s">
        <v>5496</v>
      </c>
      <c r="H159">
        <v>3</v>
      </c>
      <c r="I159">
        <v>-5</v>
      </c>
      <c r="K159">
        <v>-8</v>
      </c>
      <c r="L159">
        <v>10</v>
      </c>
      <c r="M159">
        <v>21</v>
      </c>
      <c r="P159" t="s">
        <v>7380</v>
      </c>
      <c r="R159">
        <v>15</v>
      </c>
      <c r="S159">
        <v>15</v>
      </c>
      <c r="T159">
        <v>15</v>
      </c>
      <c r="X159">
        <v>18</v>
      </c>
      <c r="Y159">
        <v>750</v>
      </c>
      <c r="Z159">
        <v>1</v>
      </c>
      <c r="AA159">
        <v>1</v>
      </c>
    </row>
    <row r="160" spans="1:27">
      <c r="A160" t="s">
        <v>1424</v>
      </c>
      <c r="B160" t="s">
        <v>7412</v>
      </c>
      <c r="C160" t="s">
        <v>7532</v>
      </c>
      <c r="D160">
        <v>28</v>
      </c>
      <c r="E160">
        <v>0</v>
      </c>
      <c r="F160" t="s">
        <v>5496</v>
      </c>
      <c r="G160" t="s">
        <v>5496</v>
      </c>
      <c r="H160">
        <v>16</v>
      </c>
      <c r="I160">
        <v>-1</v>
      </c>
      <c r="J160">
        <v>0</v>
      </c>
      <c r="K160">
        <v>-6</v>
      </c>
      <c r="L160">
        <v>-15</v>
      </c>
      <c r="M160">
        <v>7</v>
      </c>
      <c r="N160">
        <v>4</v>
      </c>
      <c r="O160">
        <v>3</v>
      </c>
      <c r="P160">
        <v>9</v>
      </c>
      <c r="R160">
        <v>0</v>
      </c>
      <c r="S160">
        <v>7</v>
      </c>
      <c r="T160">
        <v>5</v>
      </c>
      <c r="U160">
        <v>0.1</v>
      </c>
      <c r="V160">
        <v>0.25</v>
      </c>
      <c r="Z160">
        <v>1</v>
      </c>
      <c r="AA160">
        <v>1</v>
      </c>
    </row>
    <row r="161" spans="1:27">
      <c r="A161" t="s">
        <v>1420</v>
      </c>
      <c r="B161" t="s">
        <v>7494</v>
      </c>
      <c r="C161" t="s">
        <v>7533</v>
      </c>
      <c r="D161">
        <v>34</v>
      </c>
      <c r="E161">
        <v>4</v>
      </c>
      <c r="F161" t="s">
        <v>5499</v>
      </c>
      <c r="G161" t="s">
        <v>5496</v>
      </c>
      <c r="H161">
        <v>2</v>
      </c>
      <c r="I161">
        <v>-9</v>
      </c>
      <c r="J161">
        <v>0</v>
      </c>
      <c r="K161">
        <v>-5</v>
      </c>
      <c r="L161">
        <v>-8</v>
      </c>
      <c r="M161">
        <v>20</v>
      </c>
      <c r="N161">
        <v>13</v>
      </c>
      <c r="O161">
        <v>4.5</v>
      </c>
      <c r="P161" t="s">
        <v>7380</v>
      </c>
      <c r="Q161" t="s">
        <v>7371</v>
      </c>
      <c r="R161">
        <v>5</v>
      </c>
      <c r="S161">
        <v>10</v>
      </c>
      <c r="T161">
        <v>3</v>
      </c>
      <c r="U161">
        <v>1</v>
      </c>
      <c r="V161">
        <v>4</v>
      </c>
      <c r="Z161">
        <v>1</v>
      </c>
      <c r="AA161">
        <v>1</v>
      </c>
    </row>
    <row r="162" spans="1:27">
      <c r="A162" t="s">
        <v>1415</v>
      </c>
      <c r="B162" t="s">
        <v>7421</v>
      </c>
      <c r="C162" t="s">
        <v>7534</v>
      </c>
      <c r="D162">
        <v>3</v>
      </c>
      <c r="E162">
        <v>1</v>
      </c>
      <c r="F162" t="s">
        <v>5497</v>
      </c>
      <c r="G162" t="s">
        <v>5486</v>
      </c>
      <c r="H162">
        <v>6</v>
      </c>
      <c r="I162">
        <v>-4</v>
      </c>
      <c r="J162">
        <v>0</v>
      </c>
      <c r="K162">
        <v>-2</v>
      </c>
      <c r="L162">
        <v>-9</v>
      </c>
      <c r="M162">
        <v>3</v>
      </c>
      <c r="O162">
        <v>0.3</v>
      </c>
      <c r="P162">
        <v>9</v>
      </c>
      <c r="R162">
        <v>3</v>
      </c>
      <c r="S162">
        <v>3</v>
      </c>
      <c r="T162">
        <v>1</v>
      </c>
      <c r="U162">
        <v>0.15</v>
      </c>
      <c r="V162">
        <v>0.25</v>
      </c>
      <c r="Z162">
        <v>1</v>
      </c>
      <c r="AA162">
        <v>1</v>
      </c>
    </row>
    <row r="163" spans="1:27">
      <c r="A163" t="s">
        <v>1424</v>
      </c>
      <c r="B163" t="s">
        <v>7365</v>
      </c>
      <c r="C163" t="s">
        <v>7535</v>
      </c>
      <c r="D163">
        <v>1</v>
      </c>
      <c r="E163">
        <v>3</v>
      </c>
      <c r="F163" t="s">
        <v>5499</v>
      </c>
      <c r="G163" t="s">
        <v>5496</v>
      </c>
      <c r="H163">
        <v>2</v>
      </c>
      <c r="I163">
        <v>-8</v>
      </c>
      <c r="J163">
        <v>0</v>
      </c>
      <c r="K163">
        <v>-3</v>
      </c>
      <c r="L163">
        <v>-6</v>
      </c>
      <c r="M163">
        <v>7</v>
      </c>
      <c r="O163">
        <v>0.1</v>
      </c>
      <c r="P163">
        <v>0</v>
      </c>
      <c r="R163">
        <v>6</v>
      </c>
      <c r="S163">
        <v>13</v>
      </c>
      <c r="T163">
        <v>5</v>
      </c>
      <c r="U163">
        <v>0.2</v>
      </c>
      <c r="V163">
        <v>1</v>
      </c>
      <c r="Z163">
        <v>1</v>
      </c>
      <c r="AA163">
        <v>1</v>
      </c>
    </row>
    <row r="164" spans="1:27">
      <c r="A164" t="s">
        <v>1415</v>
      </c>
      <c r="B164" t="s">
        <v>7421</v>
      </c>
      <c r="C164" t="s">
        <v>7536</v>
      </c>
      <c r="D164">
        <v>11</v>
      </c>
      <c r="E164">
        <v>5</v>
      </c>
      <c r="F164" t="s">
        <v>5497</v>
      </c>
      <c r="G164" t="s">
        <v>5497</v>
      </c>
      <c r="H164">
        <v>3</v>
      </c>
      <c r="I164">
        <v>-5</v>
      </c>
      <c r="J164">
        <v>0</v>
      </c>
      <c r="K164">
        <v>-5</v>
      </c>
      <c r="L164">
        <v>-4</v>
      </c>
      <c r="M164">
        <v>16</v>
      </c>
      <c r="N164">
        <v>11</v>
      </c>
      <c r="O164">
        <v>1.1000000000000001</v>
      </c>
      <c r="P164">
        <v>1</v>
      </c>
      <c r="Q164" t="s">
        <v>7371</v>
      </c>
      <c r="R164">
        <v>16</v>
      </c>
      <c r="S164">
        <v>8</v>
      </c>
      <c r="T164">
        <v>9</v>
      </c>
      <c r="U164">
        <v>1.5</v>
      </c>
      <c r="V164">
        <v>5</v>
      </c>
      <c r="Z164">
        <v>1</v>
      </c>
      <c r="AA164">
        <v>1</v>
      </c>
    </row>
    <row r="165" spans="1:27">
      <c r="A165" t="s">
        <v>1415</v>
      </c>
      <c r="B165" t="s">
        <v>7421</v>
      </c>
      <c r="C165" t="s">
        <v>7537</v>
      </c>
      <c r="D165">
        <v>11</v>
      </c>
      <c r="E165">
        <v>5</v>
      </c>
      <c r="F165" t="s">
        <v>5500</v>
      </c>
      <c r="G165" t="s">
        <v>5497</v>
      </c>
      <c r="H165">
        <v>3</v>
      </c>
      <c r="I165">
        <v>-5</v>
      </c>
      <c r="J165">
        <v>4</v>
      </c>
      <c r="K165">
        <v>-5</v>
      </c>
      <c r="L165">
        <v>-4</v>
      </c>
      <c r="M165">
        <v>16</v>
      </c>
      <c r="N165">
        <v>11</v>
      </c>
      <c r="O165">
        <v>1.1000000000000001</v>
      </c>
      <c r="P165">
        <v>1</v>
      </c>
      <c r="Q165" t="s">
        <v>7371</v>
      </c>
      <c r="R165">
        <v>16</v>
      </c>
      <c r="S165">
        <v>8</v>
      </c>
      <c r="T165">
        <v>9</v>
      </c>
      <c r="U165">
        <v>1.5</v>
      </c>
      <c r="V165">
        <v>5</v>
      </c>
      <c r="Z165">
        <v>1</v>
      </c>
      <c r="AA165">
        <v>1</v>
      </c>
    </row>
    <row r="166" spans="1:27">
      <c r="A166" t="s">
        <v>1422</v>
      </c>
      <c r="B166" t="s">
        <v>7367</v>
      </c>
      <c r="C166" t="s">
        <v>7538</v>
      </c>
      <c r="D166">
        <v>13</v>
      </c>
      <c r="E166">
        <v>4</v>
      </c>
      <c r="F166" t="s">
        <v>5499</v>
      </c>
      <c r="G166" t="s">
        <v>5486</v>
      </c>
      <c r="H166">
        <v>5</v>
      </c>
      <c r="I166">
        <v>-3</v>
      </c>
      <c r="J166">
        <v>0</v>
      </c>
      <c r="K166">
        <v>-3</v>
      </c>
      <c r="L166">
        <v>-1</v>
      </c>
      <c r="M166">
        <v>10</v>
      </c>
      <c r="N166">
        <v>7</v>
      </c>
      <c r="O166">
        <v>1.2</v>
      </c>
      <c r="P166">
        <v>1</v>
      </c>
      <c r="R166">
        <v>9</v>
      </c>
      <c r="S166">
        <v>14</v>
      </c>
      <c r="T166">
        <v>18</v>
      </c>
      <c r="U166">
        <v>0.8</v>
      </c>
      <c r="V166">
        <v>4</v>
      </c>
      <c r="Z166">
        <v>1</v>
      </c>
      <c r="AA166">
        <v>1</v>
      </c>
    </row>
    <row r="167" spans="1:27">
      <c r="A167" t="s">
        <v>1420</v>
      </c>
      <c r="B167" t="s">
        <v>7494</v>
      </c>
      <c r="C167" t="s">
        <v>7539</v>
      </c>
      <c r="D167">
        <v>32</v>
      </c>
      <c r="E167">
        <v>4</v>
      </c>
      <c r="F167" t="s">
        <v>5499</v>
      </c>
      <c r="G167" t="s">
        <v>5486</v>
      </c>
      <c r="H167">
        <v>4</v>
      </c>
      <c r="I167">
        <v>-5</v>
      </c>
      <c r="J167">
        <v>0</v>
      </c>
      <c r="K167">
        <v>-5</v>
      </c>
      <c r="L167">
        <v>-6</v>
      </c>
      <c r="M167">
        <v>20</v>
      </c>
      <c r="N167">
        <v>13</v>
      </c>
      <c r="O167">
        <v>3</v>
      </c>
      <c r="P167" t="s">
        <v>7380</v>
      </c>
      <c r="Q167" t="s">
        <v>7371</v>
      </c>
      <c r="R167">
        <v>5</v>
      </c>
      <c r="S167">
        <v>10</v>
      </c>
      <c r="T167">
        <v>3</v>
      </c>
      <c r="U167">
        <v>1</v>
      </c>
      <c r="V167">
        <v>4</v>
      </c>
      <c r="Z167">
        <v>1</v>
      </c>
      <c r="AA167">
        <v>1</v>
      </c>
    </row>
    <row r="168" spans="1:27">
      <c r="A168" t="s">
        <v>1424</v>
      </c>
      <c r="B168" t="s">
        <v>7414</v>
      </c>
      <c r="C168" t="s">
        <v>7540</v>
      </c>
      <c r="E168">
        <v>8</v>
      </c>
      <c r="F168" t="s">
        <v>5497</v>
      </c>
      <c r="G168" t="s">
        <v>5496</v>
      </c>
      <c r="H168">
        <v>3</v>
      </c>
      <c r="I168">
        <v>-5</v>
      </c>
      <c r="K168">
        <v>-5</v>
      </c>
      <c r="L168">
        <v>6</v>
      </c>
      <c r="M168">
        <v>18</v>
      </c>
      <c r="P168" t="s">
        <v>7380</v>
      </c>
      <c r="R168">
        <v>15</v>
      </c>
      <c r="S168">
        <v>15</v>
      </c>
      <c r="T168">
        <v>15</v>
      </c>
      <c r="X168">
        <v>15</v>
      </c>
      <c r="Y168">
        <v>350</v>
      </c>
      <c r="Z168">
        <v>1</v>
      </c>
      <c r="AA168">
        <v>1</v>
      </c>
    </row>
    <row r="169" spans="1:27">
      <c r="A169" t="s">
        <v>1424</v>
      </c>
      <c r="B169" t="s">
        <v>7414</v>
      </c>
      <c r="C169" t="s">
        <v>7541</v>
      </c>
      <c r="E169">
        <v>10</v>
      </c>
      <c r="F169" t="s">
        <v>5497</v>
      </c>
      <c r="G169" t="s">
        <v>5496</v>
      </c>
      <c r="H169">
        <v>3</v>
      </c>
      <c r="I169">
        <v>-5</v>
      </c>
      <c r="K169">
        <v>-6</v>
      </c>
      <c r="L169">
        <v>8</v>
      </c>
      <c r="M169">
        <v>19</v>
      </c>
      <c r="P169" t="s">
        <v>7380</v>
      </c>
      <c r="R169">
        <v>15</v>
      </c>
      <c r="S169">
        <v>14</v>
      </c>
      <c r="T169">
        <v>15</v>
      </c>
      <c r="X169">
        <v>16</v>
      </c>
      <c r="Y169">
        <v>500</v>
      </c>
      <c r="Z169">
        <v>1</v>
      </c>
      <c r="AA169">
        <v>1</v>
      </c>
    </row>
    <row r="170" spans="1:27">
      <c r="A170" t="s">
        <v>1424</v>
      </c>
      <c r="B170" t="s">
        <v>7414</v>
      </c>
      <c r="C170" t="s">
        <v>7542</v>
      </c>
      <c r="E170">
        <v>6</v>
      </c>
      <c r="F170" t="s">
        <v>5497</v>
      </c>
      <c r="G170" t="s">
        <v>5496</v>
      </c>
      <c r="H170">
        <v>3</v>
      </c>
      <c r="I170">
        <v>-5</v>
      </c>
      <c r="K170">
        <v>-3</v>
      </c>
      <c r="L170">
        <v>4</v>
      </c>
      <c r="M170">
        <v>16</v>
      </c>
      <c r="P170" t="s">
        <v>7380</v>
      </c>
      <c r="R170">
        <v>15</v>
      </c>
      <c r="S170">
        <v>15</v>
      </c>
      <c r="T170">
        <v>15</v>
      </c>
      <c r="X170">
        <v>13</v>
      </c>
      <c r="Y170">
        <v>250</v>
      </c>
      <c r="Z170">
        <v>1</v>
      </c>
      <c r="AA170">
        <v>1</v>
      </c>
    </row>
    <row r="171" spans="1:27">
      <c r="A171" t="s">
        <v>1418</v>
      </c>
      <c r="B171" t="s">
        <v>7383</v>
      </c>
      <c r="C171" t="s">
        <v>7543</v>
      </c>
      <c r="D171">
        <v>14</v>
      </c>
      <c r="E171">
        <v>6.5</v>
      </c>
      <c r="F171" t="s">
        <v>7385</v>
      </c>
      <c r="G171" t="s">
        <v>5499</v>
      </c>
      <c r="H171">
        <v>2</v>
      </c>
      <c r="I171">
        <v>-8</v>
      </c>
      <c r="J171">
        <v>0</v>
      </c>
      <c r="K171">
        <v>-5</v>
      </c>
      <c r="L171">
        <v>-5</v>
      </c>
      <c r="M171">
        <v>23</v>
      </c>
      <c r="N171">
        <v>14</v>
      </c>
      <c r="O171">
        <v>1.4</v>
      </c>
      <c r="P171" t="s">
        <v>7380</v>
      </c>
      <c r="R171">
        <v>16</v>
      </c>
      <c r="S171">
        <v>14</v>
      </c>
      <c r="T171">
        <v>23</v>
      </c>
      <c r="U171">
        <v>1.5</v>
      </c>
      <c r="V171">
        <v>8</v>
      </c>
      <c r="Z171">
        <v>1</v>
      </c>
      <c r="AA171">
        <v>1</v>
      </c>
    </row>
    <row r="172" spans="1:27">
      <c r="A172" t="s">
        <v>1418</v>
      </c>
      <c r="B172" t="s">
        <v>7381</v>
      </c>
      <c r="C172" t="s">
        <v>7544</v>
      </c>
      <c r="D172">
        <v>9</v>
      </c>
      <c r="E172">
        <v>5</v>
      </c>
      <c r="F172" t="s">
        <v>5498</v>
      </c>
      <c r="G172" t="s">
        <v>5497</v>
      </c>
      <c r="H172">
        <v>3</v>
      </c>
      <c r="I172">
        <v>-4</v>
      </c>
      <c r="J172">
        <v>0</v>
      </c>
      <c r="K172">
        <v>-3</v>
      </c>
      <c r="L172">
        <v>-4</v>
      </c>
      <c r="M172">
        <v>11</v>
      </c>
      <c r="N172">
        <v>8</v>
      </c>
      <c r="O172">
        <v>0.95</v>
      </c>
      <c r="P172">
        <v>0</v>
      </c>
      <c r="R172">
        <v>15</v>
      </c>
      <c r="S172">
        <v>15</v>
      </c>
      <c r="T172">
        <v>12</v>
      </c>
      <c r="U172">
        <v>1.2</v>
      </c>
      <c r="V172">
        <v>4</v>
      </c>
      <c r="Z172">
        <v>1</v>
      </c>
      <c r="AA172">
        <v>1</v>
      </c>
    </row>
    <row r="173" spans="1:27">
      <c r="A173" t="s">
        <v>1422</v>
      </c>
      <c r="B173" t="s">
        <v>7397</v>
      </c>
      <c r="C173" t="s">
        <v>7545</v>
      </c>
      <c r="D173">
        <v>4</v>
      </c>
      <c r="E173">
        <v>3.5</v>
      </c>
      <c r="F173" t="s">
        <v>7385</v>
      </c>
      <c r="H173">
        <v>3</v>
      </c>
      <c r="I173">
        <v>-4</v>
      </c>
      <c r="J173">
        <v>0</v>
      </c>
      <c r="K173">
        <v>-2</v>
      </c>
      <c r="L173">
        <v>-5</v>
      </c>
      <c r="M173">
        <v>7</v>
      </c>
      <c r="N173">
        <v>5</v>
      </c>
      <c r="O173">
        <v>0.4</v>
      </c>
      <c r="P173">
        <v>5</v>
      </c>
      <c r="R173">
        <v>14</v>
      </c>
      <c r="S173">
        <v>19</v>
      </c>
      <c r="T173">
        <v>5</v>
      </c>
      <c r="U173">
        <v>0.4</v>
      </c>
      <c r="V173">
        <v>1</v>
      </c>
      <c r="Z173">
        <v>1</v>
      </c>
      <c r="AA173">
        <v>1</v>
      </c>
    </row>
    <row r="174" spans="1:27">
      <c r="A174" t="s">
        <v>1424</v>
      </c>
      <c r="B174" t="s">
        <v>1424</v>
      </c>
      <c r="C174" t="s">
        <v>7546</v>
      </c>
      <c r="D174">
        <v>0</v>
      </c>
      <c r="E174">
        <v>-2</v>
      </c>
      <c r="F174" t="s">
        <v>5496</v>
      </c>
      <c r="G174" t="s">
        <v>5486</v>
      </c>
      <c r="H174">
        <v>3</v>
      </c>
      <c r="I174">
        <v>-5</v>
      </c>
      <c r="J174">
        <v>0</v>
      </c>
      <c r="K174">
        <v>-1</v>
      </c>
      <c r="L174">
        <v>-10</v>
      </c>
      <c r="M174">
        <v>2</v>
      </c>
      <c r="O174">
        <v>0.02</v>
      </c>
      <c r="P174">
        <v>18</v>
      </c>
      <c r="R174">
        <v>9</v>
      </c>
      <c r="S174">
        <v>15</v>
      </c>
      <c r="T174">
        <v>6</v>
      </c>
      <c r="U174">
        <v>0.3</v>
      </c>
      <c r="V174">
        <v>1</v>
      </c>
      <c r="Z174">
        <v>1</v>
      </c>
      <c r="AA174">
        <v>1</v>
      </c>
    </row>
    <row r="175" spans="1:27">
      <c r="A175" t="s">
        <v>1415</v>
      </c>
      <c r="B175" t="s">
        <v>7369</v>
      </c>
      <c r="C175" t="s">
        <v>7547</v>
      </c>
      <c r="D175">
        <v>6</v>
      </c>
      <c r="E175">
        <v>7</v>
      </c>
      <c r="F175" t="s">
        <v>5499</v>
      </c>
      <c r="G175" t="s">
        <v>5497</v>
      </c>
      <c r="H175">
        <v>1.5</v>
      </c>
      <c r="I175">
        <v>-12</v>
      </c>
      <c r="J175">
        <v>0</v>
      </c>
      <c r="K175">
        <v>-4</v>
      </c>
      <c r="L175">
        <v>-8</v>
      </c>
      <c r="M175">
        <v>24</v>
      </c>
      <c r="N175">
        <v>15</v>
      </c>
      <c r="O175">
        <v>0.6</v>
      </c>
      <c r="P175">
        <v>5</v>
      </c>
      <c r="Q175" t="s">
        <v>7371</v>
      </c>
      <c r="R175">
        <v>14</v>
      </c>
      <c r="S175">
        <v>6</v>
      </c>
      <c r="T175">
        <v>4</v>
      </c>
      <c r="U175">
        <v>3</v>
      </c>
      <c r="V175">
        <v>1</v>
      </c>
      <c r="Z175">
        <v>1</v>
      </c>
      <c r="AA175">
        <v>1</v>
      </c>
    </row>
    <row r="176" spans="1:27">
      <c r="A176" t="s">
        <v>1420</v>
      </c>
      <c r="B176" t="s">
        <v>7391</v>
      </c>
      <c r="C176" t="s">
        <v>7548</v>
      </c>
      <c r="D176">
        <v>11</v>
      </c>
      <c r="E176">
        <v>3.5</v>
      </c>
      <c r="F176" t="s">
        <v>5497</v>
      </c>
      <c r="G176" t="s">
        <v>5496</v>
      </c>
      <c r="H176">
        <v>4</v>
      </c>
      <c r="I176">
        <v>-2</v>
      </c>
      <c r="J176">
        <v>0</v>
      </c>
      <c r="K176">
        <v>-4</v>
      </c>
      <c r="L176">
        <v>-5</v>
      </c>
      <c r="M176">
        <v>12</v>
      </c>
      <c r="N176">
        <v>7</v>
      </c>
      <c r="O176">
        <v>1.2</v>
      </c>
      <c r="P176" t="s">
        <v>7380</v>
      </c>
      <c r="Q176" t="s">
        <v>7371</v>
      </c>
      <c r="R176">
        <v>8</v>
      </c>
      <c r="S176">
        <v>6</v>
      </c>
      <c r="T176">
        <v>12</v>
      </c>
      <c r="U176">
        <v>0.7</v>
      </c>
      <c r="V176">
        <v>1</v>
      </c>
      <c r="Z176">
        <v>1</v>
      </c>
      <c r="AA176">
        <v>1</v>
      </c>
    </row>
    <row r="177" spans="1:27">
      <c r="A177" t="s">
        <v>1420</v>
      </c>
      <c r="B177" t="s">
        <v>7391</v>
      </c>
      <c r="C177" t="s">
        <v>7549</v>
      </c>
      <c r="D177">
        <v>10</v>
      </c>
      <c r="E177">
        <v>6</v>
      </c>
      <c r="F177" t="s">
        <v>5499</v>
      </c>
      <c r="G177" t="s">
        <v>7386</v>
      </c>
      <c r="H177">
        <v>4</v>
      </c>
      <c r="I177">
        <v>-4</v>
      </c>
      <c r="J177">
        <v>0</v>
      </c>
      <c r="K177">
        <v>-5</v>
      </c>
      <c r="L177">
        <v>-6</v>
      </c>
      <c r="M177">
        <v>20</v>
      </c>
      <c r="N177">
        <v>10</v>
      </c>
      <c r="O177">
        <v>1.2</v>
      </c>
      <c r="P177" t="s">
        <v>7380</v>
      </c>
      <c r="Q177" t="s">
        <v>7371</v>
      </c>
      <c r="R177">
        <v>9</v>
      </c>
      <c r="S177">
        <v>6</v>
      </c>
      <c r="T177">
        <v>12</v>
      </c>
      <c r="U177">
        <v>1</v>
      </c>
      <c r="V177">
        <v>1</v>
      </c>
      <c r="Z177">
        <v>1</v>
      </c>
      <c r="AA177">
        <v>1</v>
      </c>
    </row>
    <row r="178" spans="1:27">
      <c r="A178" t="s">
        <v>1422</v>
      </c>
      <c r="B178" t="s">
        <v>7397</v>
      </c>
      <c r="C178" t="s">
        <v>7550</v>
      </c>
      <c r="D178">
        <v>3</v>
      </c>
      <c r="E178">
        <v>3</v>
      </c>
      <c r="F178" t="s">
        <v>7385</v>
      </c>
      <c r="H178">
        <v>4</v>
      </c>
      <c r="I178">
        <v>-3</v>
      </c>
      <c r="J178">
        <v>0</v>
      </c>
      <c r="K178">
        <v>-1</v>
      </c>
      <c r="L178">
        <v>-5</v>
      </c>
      <c r="M178">
        <v>7</v>
      </c>
      <c r="N178">
        <v>5</v>
      </c>
      <c r="O178">
        <v>0.35</v>
      </c>
      <c r="P178">
        <v>7</v>
      </c>
      <c r="R178">
        <v>13</v>
      </c>
      <c r="S178">
        <v>17</v>
      </c>
      <c r="T178">
        <v>5</v>
      </c>
      <c r="U178">
        <v>0.4</v>
      </c>
      <c r="V178">
        <v>1</v>
      </c>
      <c r="Z178">
        <v>1</v>
      </c>
      <c r="AA178">
        <v>1</v>
      </c>
    </row>
    <row r="179" spans="1:27">
      <c r="A179" t="s">
        <v>1418</v>
      </c>
      <c r="B179" t="s">
        <v>7383</v>
      </c>
      <c r="C179" t="s">
        <v>6494</v>
      </c>
      <c r="D179">
        <v>16</v>
      </c>
      <c r="E179">
        <v>5</v>
      </c>
      <c r="F179" t="s">
        <v>5500</v>
      </c>
      <c r="G179" t="s">
        <v>5486</v>
      </c>
      <c r="H179">
        <v>3</v>
      </c>
      <c r="I179">
        <v>-9</v>
      </c>
      <c r="J179">
        <v>0</v>
      </c>
      <c r="K179">
        <v>-6</v>
      </c>
      <c r="L179">
        <v>-6</v>
      </c>
      <c r="M179">
        <v>30</v>
      </c>
      <c r="N179">
        <v>8</v>
      </c>
      <c r="O179">
        <v>1.7</v>
      </c>
      <c r="P179" t="s">
        <v>7380</v>
      </c>
      <c r="Q179" t="s">
        <v>7371</v>
      </c>
      <c r="R179">
        <v>10</v>
      </c>
      <c r="S179">
        <v>6</v>
      </c>
      <c r="T179">
        <v>12</v>
      </c>
      <c r="U179">
        <v>0.5</v>
      </c>
      <c r="V179">
        <v>0.5</v>
      </c>
      <c r="Z179">
        <v>1</v>
      </c>
      <c r="AA179">
        <v>1</v>
      </c>
    </row>
    <row r="180" spans="1:27">
      <c r="A180" t="s">
        <v>1422</v>
      </c>
      <c r="B180" t="s">
        <v>7397</v>
      </c>
      <c r="C180" t="s">
        <v>6495</v>
      </c>
      <c r="D180">
        <v>2</v>
      </c>
      <c r="E180">
        <v>2</v>
      </c>
      <c r="F180" t="s">
        <v>5499</v>
      </c>
      <c r="G180" t="s">
        <v>5486</v>
      </c>
      <c r="H180">
        <v>4</v>
      </c>
      <c r="I180">
        <v>-4</v>
      </c>
      <c r="J180">
        <v>0</v>
      </c>
      <c r="K180">
        <v>-4</v>
      </c>
      <c r="L180">
        <v>-7</v>
      </c>
      <c r="M180">
        <v>6</v>
      </c>
      <c r="N180">
        <v>4</v>
      </c>
      <c r="O180">
        <v>0.2</v>
      </c>
      <c r="P180">
        <v>4</v>
      </c>
      <c r="Q180" t="s">
        <v>7551</v>
      </c>
      <c r="R180">
        <v>8</v>
      </c>
      <c r="S180">
        <v>8</v>
      </c>
      <c r="T180">
        <v>8</v>
      </c>
      <c r="U180">
        <v>0.1</v>
      </c>
      <c r="V180">
        <v>1</v>
      </c>
      <c r="Z180">
        <v>1</v>
      </c>
      <c r="AA180">
        <v>1</v>
      </c>
    </row>
    <row r="181" spans="1:27">
      <c r="A181" t="s">
        <v>1424</v>
      </c>
      <c r="B181" t="s">
        <v>6488</v>
      </c>
      <c r="C181" t="s">
        <v>6495</v>
      </c>
      <c r="D181">
        <v>2</v>
      </c>
      <c r="E181">
        <v>2</v>
      </c>
      <c r="F181" t="s">
        <v>5499</v>
      </c>
      <c r="G181" t="s">
        <v>5486</v>
      </c>
      <c r="H181">
        <v>4</v>
      </c>
      <c r="I181">
        <v>-4</v>
      </c>
      <c r="J181">
        <v>0</v>
      </c>
      <c r="K181">
        <v>-4</v>
      </c>
      <c r="L181">
        <v>-7</v>
      </c>
      <c r="M181">
        <v>6</v>
      </c>
      <c r="N181">
        <v>4</v>
      </c>
      <c r="O181">
        <v>0.2</v>
      </c>
      <c r="P181">
        <v>4</v>
      </c>
      <c r="Q181" t="s">
        <v>7551</v>
      </c>
      <c r="R181">
        <v>8</v>
      </c>
      <c r="S181">
        <v>8</v>
      </c>
      <c r="T181">
        <v>8</v>
      </c>
      <c r="U181">
        <v>0.1</v>
      </c>
      <c r="V181">
        <v>1</v>
      </c>
      <c r="Z181">
        <v>1</v>
      </c>
      <c r="AA181">
        <v>1</v>
      </c>
    </row>
    <row r="182" spans="1:27">
      <c r="A182" t="s">
        <v>1415</v>
      </c>
      <c r="B182" t="s">
        <v>7369</v>
      </c>
      <c r="C182" t="s">
        <v>6496</v>
      </c>
      <c r="D182">
        <v>12</v>
      </c>
      <c r="E182">
        <v>5</v>
      </c>
      <c r="F182" t="s">
        <v>5498</v>
      </c>
      <c r="G182" t="s">
        <v>5496</v>
      </c>
      <c r="H182">
        <v>2</v>
      </c>
      <c r="I182">
        <v>-7</v>
      </c>
      <c r="J182">
        <v>0</v>
      </c>
      <c r="K182">
        <v>-7</v>
      </c>
      <c r="L182">
        <v>-7</v>
      </c>
      <c r="M182">
        <v>16</v>
      </c>
      <c r="N182">
        <v>6</v>
      </c>
      <c r="O182">
        <v>1.3</v>
      </c>
      <c r="P182" t="s">
        <v>7380</v>
      </c>
      <c r="Q182" t="s">
        <v>7371</v>
      </c>
      <c r="R182">
        <v>10</v>
      </c>
      <c r="S182">
        <v>2</v>
      </c>
      <c r="T182">
        <v>6</v>
      </c>
      <c r="U182">
        <v>1.5</v>
      </c>
      <c r="V182">
        <v>1</v>
      </c>
      <c r="Z182">
        <v>1</v>
      </c>
      <c r="AA182">
        <v>1</v>
      </c>
    </row>
    <row r="183" spans="1:27">
      <c r="A183" t="s">
        <v>1420</v>
      </c>
      <c r="B183" t="s">
        <v>7373</v>
      </c>
      <c r="C183" t="s">
        <v>7552</v>
      </c>
      <c r="D183">
        <v>20</v>
      </c>
      <c r="E183">
        <v>4</v>
      </c>
      <c r="F183" t="s">
        <v>5499</v>
      </c>
      <c r="G183" t="s">
        <v>7553</v>
      </c>
      <c r="H183">
        <v>4</v>
      </c>
      <c r="I183">
        <v>-5</v>
      </c>
      <c r="J183">
        <v>0</v>
      </c>
      <c r="K183">
        <v>-4</v>
      </c>
      <c r="L183">
        <v>-3</v>
      </c>
      <c r="M183">
        <v>14</v>
      </c>
      <c r="N183">
        <v>9</v>
      </c>
      <c r="O183">
        <v>1.8</v>
      </c>
      <c r="P183" t="s">
        <v>7380</v>
      </c>
      <c r="Q183" t="s">
        <v>7371</v>
      </c>
      <c r="R183">
        <v>3</v>
      </c>
      <c r="S183">
        <v>7</v>
      </c>
      <c r="T183">
        <v>5</v>
      </c>
      <c r="U183">
        <v>0.5</v>
      </c>
      <c r="V183">
        <v>0.5</v>
      </c>
      <c r="Z183">
        <v>1</v>
      </c>
      <c r="AA183">
        <v>1</v>
      </c>
    </row>
    <row r="184" spans="1:27">
      <c r="A184" t="s">
        <v>1420</v>
      </c>
      <c r="B184" t="s">
        <v>7373</v>
      </c>
      <c r="C184" t="s">
        <v>7554</v>
      </c>
      <c r="D184">
        <v>19</v>
      </c>
      <c r="E184">
        <v>4</v>
      </c>
      <c r="F184" t="s">
        <v>5499</v>
      </c>
      <c r="G184" t="s">
        <v>7555</v>
      </c>
      <c r="H184">
        <v>4</v>
      </c>
      <c r="I184">
        <v>-4</v>
      </c>
      <c r="J184">
        <v>0</v>
      </c>
      <c r="K184">
        <v>-5</v>
      </c>
      <c r="L184">
        <v>-3</v>
      </c>
      <c r="M184">
        <v>13</v>
      </c>
      <c r="N184">
        <v>8</v>
      </c>
      <c r="O184">
        <v>1.8</v>
      </c>
      <c r="P184" t="s">
        <v>7380</v>
      </c>
      <c r="Q184" t="s">
        <v>7371</v>
      </c>
      <c r="R184">
        <v>3</v>
      </c>
      <c r="S184">
        <v>7</v>
      </c>
      <c r="T184">
        <v>3</v>
      </c>
      <c r="U184">
        <v>0.5</v>
      </c>
      <c r="V184">
        <v>0.5</v>
      </c>
      <c r="Z184">
        <v>1</v>
      </c>
      <c r="AA184">
        <v>1</v>
      </c>
    </row>
    <row r="185" spans="1:27">
      <c r="A185" t="s">
        <v>1415</v>
      </c>
      <c r="B185" t="s">
        <v>7369</v>
      </c>
      <c r="C185" t="s">
        <v>7556</v>
      </c>
      <c r="D185">
        <v>9</v>
      </c>
      <c r="E185">
        <v>6</v>
      </c>
      <c r="F185" t="s">
        <v>5500</v>
      </c>
      <c r="H185">
        <v>2</v>
      </c>
      <c r="I185">
        <v>-6</v>
      </c>
      <c r="J185">
        <v>0</v>
      </c>
      <c r="K185">
        <v>-7</v>
      </c>
      <c r="L185">
        <v>-7</v>
      </c>
      <c r="M185">
        <v>24</v>
      </c>
      <c r="N185">
        <v>14</v>
      </c>
      <c r="O185">
        <v>0.9</v>
      </c>
      <c r="P185" t="s">
        <v>7380</v>
      </c>
      <c r="Q185" t="s">
        <v>7371</v>
      </c>
      <c r="R185">
        <v>10</v>
      </c>
      <c r="S185">
        <v>4</v>
      </c>
      <c r="T185">
        <v>8</v>
      </c>
      <c r="U185">
        <v>1.5</v>
      </c>
      <c r="V185">
        <v>1</v>
      </c>
      <c r="Z185">
        <v>1</v>
      </c>
      <c r="AA185">
        <v>1</v>
      </c>
    </row>
    <row r="186" spans="1:27">
      <c r="A186" t="s">
        <v>1422</v>
      </c>
      <c r="B186" t="s">
        <v>7397</v>
      </c>
      <c r="C186" t="s">
        <v>7557</v>
      </c>
      <c r="D186">
        <v>2</v>
      </c>
      <c r="E186">
        <v>0</v>
      </c>
      <c r="F186" t="s">
        <v>5499</v>
      </c>
      <c r="H186">
        <v>5</v>
      </c>
      <c r="I186">
        <v>-2</v>
      </c>
      <c r="J186">
        <v>0</v>
      </c>
      <c r="K186">
        <v>-2</v>
      </c>
      <c r="L186">
        <v>-7</v>
      </c>
      <c r="M186">
        <v>5</v>
      </c>
      <c r="O186">
        <v>0.2</v>
      </c>
      <c r="P186">
        <v>14</v>
      </c>
      <c r="R186">
        <v>7</v>
      </c>
      <c r="S186">
        <v>20</v>
      </c>
      <c r="T186">
        <v>3</v>
      </c>
      <c r="U186">
        <v>0.1</v>
      </c>
      <c r="V186">
        <v>1</v>
      </c>
      <c r="Z186">
        <v>1</v>
      </c>
      <c r="AA186">
        <v>1</v>
      </c>
    </row>
    <row r="187" spans="1:27">
      <c r="A187" t="s">
        <v>1424</v>
      </c>
      <c r="B187" t="s">
        <v>6488</v>
      </c>
      <c r="C187" t="s">
        <v>7557</v>
      </c>
      <c r="D187">
        <v>2</v>
      </c>
      <c r="E187">
        <v>0</v>
      </c>
      <c r="F187" t="s">
        <v>5499</v>
      </c>
      <c r="H187">
        <v>5</v>
      </c>
      <c r="I187">
        <v>-2</v>
      </c>
      <c r="J187">
        <v>0</v>
      </c>
      <c r="K187">
        <v>-2</v>
      </c>
      <c r="L187">
        <v>-7</v>
      </c>
      <c r="M187">
        <v>5</v>
      </c>
      <c r="O187">
        <v>0.2</v>
      </c>
      <c r="P187">
        <v>14</v>
      </c>
      <c r="R187">
        <v>7</v>
      </c>
      <c r="S187">
        <v>20</v>
      </c>
      <c r="T187">
        <v>3</v>
      </c>
      <c r="U187">
        <v>0.1</v>
      </c>
      <c r="V187">
        <v>1</v>
      </c>
      <c r="Z187">
        <v>1</v>
      </c>
      <c r="AA187">
        <v>1</v>
      </c>
    </row>
    <row r="188" spans="1:27">
      <c r="A188" t="s">
        <v>1420</v>
      </c>
      <c r="B188" t="s">
        <v>7388</v>
      </c>
      <c r="C188" t="s">
        <v>7558</v>
      </c>
      <c r="D188">
        <v>6</v>
      </c>
      <c r="E188">
        <v>3</v>
      </c>
      <c r="F188" t="s">
        <v>5486</v>
      </c>
      <c r="G188" t="s">
        <v>5486</v>
      </c>
      <c r="H188">
        <v>4</v>
      </c>
      <c r="I188">
        <v>-3</v>
      </c>
      <c r="J188">
        <v>0</v>
      </c>
      <c r="K188">
        <v>-2</v>
      </c>
      <c r="L188">
        <v>-5</v>
      </c>
      <c r="M188">
        <v>8</v>
      </c>
      <c r="N188">
        <v>5</v>
      </c>
      <c r="O188">
        <v>0.6</v>
      </c>
      <c r="P188">
        <v>5</v>
      </c>
      <c r="Q188" t="s">
        <v>7371</v>
      </c>
      <c r="R188">
        <v>3</v>
      </c>
      <c r="S188">
        <v>6</v>
      </c>
      <c r="T188">
        <v>2</v>
      </c>
      <c r="U188">
        <v>0.5</v>
      </c>
      <c r="V188">
        <v>0.25</v>
      </c>
      <c r="Z188">
        <v>1</v>
      </c>
      <c r="AA188">
        <v>1</v>
      </c>
    </row>
    <row r="189" spans="1:27">
      <c r="A189" t="s">
        <v>1415</v>
      </c>
      <c r="B189" t="s">
        <v>7421</v>
      </c>
      <c r="C189" t="s">
        <v>7558</v>
      </c>
      <c r="D189">
        <v>6</v>
      </c>
      <c r="E189">
        <v>3</v>
      </c>
      <c r="F189" t="s">
        <v>5486</v>
      </c>
      <c r="G189" t="s">
        <v>5486</v>
      </c>
      <c r="H189">
        <v>4</v>
      </c>
      <c r="I189">
        <v>-3</v>
      </c>
      <c r="J189">
        <v>0</v>
      </c>
      <c r="K189">
        <v>-2</v>
      </c>
      <c r="L189">
        <v>-5</v>
      </c>
      <c r="M189">
        <v>8</v>
      </c>
      <c r="N189">
        <v>5</v>
      </c>
      <c r="O189">
        <v>0.6</v>
      </c>
      <c r="P189">
        <v>5</v>
      </c>
      <c r="Q189" t="s">
        <v>7371</v>
      </c>
      <c r="R189">
        <v>3</v>
      </c>
      <c r="S189">
        <v>6</v>
      </c>
      <c r="T189">
        <v>3</v>
      </c>
      <c r="U189">
        <v>0.5</v>
      </c>
      <c r="V189">
        <v>0.25</v>
      </c>
      <c r="Z189">
        <v>1</v>
      </c>
      <c r="AA189">
        <v>1</v>
      </c>
    </row>
    <row r="190" spans="1:27">
      <c r="A190" t="s">
        <v>1422</v>
      </c>
      <c r="B190" t="s">
        <v>7397</v>
      </c>
      <c r="C190" t="s">
        <v>7559</v>
      </c>
      <c r="D190">
        <v>3</v>
      </c>
      <c r="E190">
        <v>2</v>
      </c>
      <c r="F190" t="s">
        <v>5499</v>
      </c>
      <c r="H190">
        <v>6</v>
      </c>
      <c r="I190">
        <v>-2</v>
      </c>
      <c r="J190">
        <v>0</v>
      </c>
      <c r="K190">
        <v>-1</v>
      </c>
      <c r="L190">
        <v>-6</v>
      </c>
      <c r="M190">
        <v>5</v>
      </c>
      <c r="N190">
        <v>3</v>
      </c>
      <c r="O190">
        <v>0.3</v>
      </c>
      <c r="P190">
        <v>8</v>
      </c>
      <c r="R190">
        <v>10</v>
      </c>
      <c r="S190">
        <v>14</v>
      </c>
      <c r="T190">
        <v>5</v>
      </c>
      <c r="U190">
        <v>0.3</v>
      </c>
      <c r="V190">
        <v>1</v>
      </c>
      <c r="Z190">
        <v>1</v>
      </c>
      <c r="AA190">
        <v>1</v>
      </c>
    </row>
    <row r="191" spans="1:27">
      <c r="A191" t="s">
        <v>1422</v>
      </c>
      <c r="B191" t="s">
        <v>7397</v>
      </c>
      <c r="C191" t="s">
        <v>7560</v>
      </c>
      <c r="D191">
        <v>1</v>
      </c>
      <c r="E191">
        <v>-1.5</v>
      </c>
      <c r="F191" t="s">
        <v>5497</v>
      </c>
      <c r="H191">
        <v>8</v>
      </c>
      <c r="I191">
        <v>-1</v>
      </c>
      <c r="J191">
        <v>0</v>
      </c>
      <c r="K191">
        <v>-3</v>
      </c>
      <c r="L191">
        <v>-11</v>
      </c>
      <c r="M191">
        <v>1</v>
      </c>
      <c r="O191">
        <v>0.15</v>
      </c>
      <c r="P191">
        <v>16</v>
      </c>
      <c r="R191">
        <v>7</v>
      </c>
      <c r="S191">
        <v>11</v>
      </c>
      <c r="T191">
        <v>4</v>
      </c>
      <c r="U191">
        <v>0.3</v>
      </c>
      <c r="V191">
        <v>1</v>
      </c>
      <c r="Z191">
        <v>1</v>
      </c>
      <c r="AA191">
        <v>1</v>
      </c>
    </row>
    <row r="192" spans="1:27">
      <c r="A192" t="s">
        <v>1420</v>
      </c>
      <c r="B192" t="s">
        <v>7373</v>
      </c>
      <c r="C192" t="s">
        <v>7561</v>
      </c>
      <c r="D192">
        <v>20</v>
      </c>
      <c r="E192">
        <v>5</v>
      </c>
      <c r="F192" t="s">
        <v>5500</v>
      </c>
      <c r="G192" t="s">
        <v>5486</v>
      </c>
      <c r="H192">
        <v>3</v>
      </c>
      <c r="I192">
        <v>-8</v>
      </c>
      <c r="J192">
        <v>0</v>
      </c>
      <c r="K192">
        <v>-5</v>
      </c>
      <c r="L192">
        <v>-4</v>
      </c>
      <c r="M192">
        <v>18</v>
      </c>
      <c r="N192">
        <v>11</v>
      </c>
      <c r="O192">
        <v>1.8</v>
      </c>
      <c r="P192" t="s">
        <v>7380</v>
      </c>
      <c r="Q192" t="s">
        <v>7371</v>
      </c>
      <c r="R192">
        <v>3</v>
      </c>
      <c r="S192">
        <v>7</v>
      </c>
      <c r="T192">
        <v>3</v>
      </c>
      <c r="U192">
        <v>0.5</v>
      </c>
      <c r="V192">
        <v>0.5</v>
      </c>
      <c r="Z192">
        <v>1</v>
      </c>
      <c r="AA192">
        <v>1</v>
      </c>
    </row>
    <row r="193" spans="1:27">
      <c r="A193" t="s">
        <v>1415</v>
      </c>
      <c r="B193" t="s">
        <v>7421</v>
      </c>
      <c r="C193" t="s">
        <v>7562</v>
      </c>
      <c r="D193">
        <v>10</v>
      </c>
      <c r="E193">
        <v>7</v>
      </c>
      <c r="F193" t="s">
        <v>7385</v>
      </c>
      <c r="G193" t="s">
        <v>7386</v>
      </c>
      <c r="H193">
        <v>1.5</v>
      </c>
      <c r="I193">
        <v>-9</v>
      </c>
      <c r="J193">
        <v>0</v>
      </c>
      <c r="K193">
        <v>-6</v>
      </c>
      <c r="L193">
        <v>-7</v>
      </c>
      <c r="M193">
        <v>30</v>
      </c>
      <c r="N193">
        <v>17</v>
      </c>
      <c r="O193">
        <v>1.05</v>
      </c>
      <c r="P193" t="s">
        <v>7380</v>
      </c>
      <c r="Q193" t="s">
        <v>7371</v>
      </c>
      <c r="R193">
        <v>18</v>
      </c>
      <c r="S193">
        <v>8</v>
      </c>
      <c r="T193">
        <v>6</v>
      </c>
      <c r="U193">
        <v>1</v>
      </c>
      <c r="V193">
        <v>3</v>
      </c>
      <c r="Z193">
        <v>1</v>
      </c>
      <c r="AA193">
        <v>1</v>
      </c>
    </row>
    <row r="194" spans="1:27">
      <c r="A194" t="s">
        <v>1415</v>
      </c>
      <c r="B194" t="s">
        <v>7369</v>
      </c>
      <c r="C194" t="s">
        <v>7563</v>
      </c>
      <c r="D194">
        <v>12</v>
      </c>
      <c r="E194">
        <v>5.5</v>
      </c>
      <c r="F194" t="s">
        <v>5500</v>
      </c>
      <c r="H194">
        <v>3</v>
      </c>
      <c r="I194">
        <v>-3</v>
      </c>
      <c r="J194">
        <v>0</v>
      </c>
      <c r="K194">
        <v>-4</v>
      </c>
      <c r="L194">
        <v>-4</v>
      </c>
      <c r="M194">
        <v>17</v>
      </c>
      <c r="N194">
        <v>10</v>
      </c>
      <c r="O194">
        <v>1.2</v>
      </c>
      <c r="P194" t="s">
        <v>7380</v>
      </c>
      <c r="Q194" t="s">
        <v>7371</v>
      </c>
      <c r="R194">
        <v>17</v>
      </c>
      <c r="S194">
        <v>8</v>
      </c>
      <c r="T194">
        <v>12</v>
      </c>
      <c r="U194">
        <v>1</v>
      </c>
      <c r="V194">
        <v>2.5</v>
      </c>
      <c r="W194" t="s">
        <v>5463</v>
      </c>
      <c r="Z194">
        <v>1</v>
      </c>
      <c r="AA194">
        <v>1</v>
      </c>
    </row>
    <row r="195" spans="1:27">
      <c r="A195" t="s">
        <v>1415</v>
      </c>
      <c r="B195" t="s">
        <v>7369</v>
      </c>
      <c r="C195" t="s">
        <v>7564</v>
      </c>
      <c r="D195">
        <v>9</v>
      </c>
      <c r="E195">
        <v>5</v>
      </c>
      <c r="F195" t="s">
        <v>5500</v>
      </c>
      <c r="H195">
        <v>4</v>
      </c>
      <c r="I195">
        <v>-3</v>
      </c>
      <c r="J195">
        <v>0</v>
      </c>
      <c r="K195">
        <v>-3</v>
      </c>
      <c r="L195">
        <v>-4</v>
      </c>
      <c r="M195">
        <v>15</v>
      </c>
      <c r="N195">
        <v>9</v>
      </c>
      <c r="O195">
        <v>0.9</v>
      </c>
      <c r="P195">
        <v>0</v>
      </c>
      <c r="Q195" t="s">
        <v>7371</v>
      </c>
      <c r="R195">
        <v>16</v>
      </c>
      <c r="S195">
        <v>7</v>
      </c>
      <c r="T195">
        <v>7</v>
      </c>
      <c r="U195">
        <v>0.85</v>
      </c>
      <c r="V195">
        <v>1</v>
      </c>
      <c r="W195" t="s">
        <v>5465</v>
      </c>
      <c r="Z195">
        <v>1</v>
      </c>
      <c r="AA195">
        <v>1</v>
      </c>
    </row>
    <row r="196" spans="1:27">
      <c r="A196" t="s">
        <v>1415</v>
      </c>
      <c r="B196" t="s">
        <v>7369</v>
      </c>
      <c r="C196" t="s">
        <v>7565</v>
      </c>
      <c r="D196">
        <v>12</v>
      </c>
      <c r="E196">
        <v>7</v>
      </c>
      <c r="F196" t="s">
        <v>7566</v>
      </c>
      <c r="G196" t="s">
        <v>5499</v>
      </c>
      <c r="H196">
        <v>2</v>
      </c>
      <c r="I196">
        <v>-14</v>
      </c>
      <c r="J196">
        <v>0</v>
      </c>
      <c r="K196">
        <v>-7</v>
      </c>
      <c r="L196">
        <v>-6</v>
      </c>
      <c r="M196">
        <v>21</v>
      </c>
      <c r="N196">
        <v>14</v>
      </c>
      <c r="O196">
        <v>1.22</v>
      </c>
      <c r="P196" t="s">
        <v>7380</v>
      </c>
      <c r="Q196" t="s">
        <v>7371</v>
      </c>
      <c r="R196">
        <v>20</v>
      </c>
      <c r="S196">
        <v>7</v>
      </c>
      <c r="T196">
        <v>9</v>
      </c>
      <c r="U196">
        <v>1.1000000000000001</v>
      </c>
      <c r="V196">
        <v>2</v>
      </c>
      <c r="W196" t="s">
        <v>5468</v>
      </c>
      <c r="Z196">
        <v>1</v>
      </c>
      <c r="AA196">
        <v>1</v>
      </c>
    </row>
    <row r="197" spans="1:27">
      <c r="A197" t="s">
        <v>1415</v>
      </c>
      <c r="B197" t="s">
        <v>7421</v>
      </c>
      <c r="C197" t="s">
        <v>7567</v>
      </c>
      <c r="D197">
        <v>8</v>
      </c>
      <c r="E197">
        <v>5</v>
      </c>
      <c r="F197" t="s">
        <v>7386</v>
      </c>
      <c r="G197" t="s">
        <v>5496</v>
      </c>
      <c r="H197">
        <v>3</v>
      </c>
      <c r="I197">
        <v>-4</v>
      </c>
      <c r="J197">
        <v>4</v>
      </c>
      <c r="K197">
        <v>-4</v>
      </c>
      <c r="L197">
        <v>-4</v>
      </c>
      <c r="M197">
        <v>10</v>
      </c>
      <c r="N197">
        <v>7</v>
      </c>
      <c r="O197">
        <v>0.8</v>
      </c>
      <c r="P197">
        <v>1</v>
      </c>
      <c r="Q197" t="s">
        <v>7371</v>
      </c>
      <c r="R197">
        <v>16</v>
      </c>
      <c r="S197">
        <v>8</v>
      </c>
      <c r="T197">
        <v>12</v>
      </c>
      <c r="U197">
        <v>1.5</v>
      </c>
      <c r="V197">
        <v>3</v>
      </c>
      <c r="Z197">
        <v>1</v>
      </c>
      <c r="AA197">
        <v>1</v>
      </c>
    </row>
    <row r="198" spans="1:27">
      <c r="A198" t="s">
        <v>1415</v>
      </c>
      <c r="B198" t="s">
        <v>7421</v>
      </c>
      <c r="C198" t="s">
        <v>7568</v>
      </c>
      <c r="D198">
        <v>6</v>
      </c>
      <c r="E198">
        <v>4</v>
      </c>
      <c r="F198" t="s">
        <v>7569</v>
      </c>
      <c r="G198" t="s">
        <v>5496</v>
      </c>
      <c r="H198">
        <v>3</v>
      </c>
      <c r="I198">
        <v>-3</v>
      </c>
      <c r="J198">
        <v>3</v>
      </c>
      <c r="K198">
        <v>-3</v>
      </c>
      <c r="L198">
        <v>-4</v>
      </c>
      <c r="M198">
        <v>7</v>
      </c>
      <c r="N198">
        <v>5</v>
      </c>
      <c r="O198">
        <v>0.6</v>
      </c>
      <c r="P198">
        <v>4</v>
      </c>
      <c r="Q198" t="s">
        <v>7371</v>
      </c>
      <c r="R198">
        <v>16</v>
      </c>
      <c r="S198">
        <v>7</v>
      </c>
      <c r="T198">
        <v>12</v>
      </c>
      <c r="U198">
        <v>1.2</v>
      </c>
      <c r="V198">
        <v>3</v>
      </c>
      <c r="Z198">
        <v>1</v>
      </c>
      <c r="AA198">
        <v>1</v>
      </c>
    </row>
    <row r="199" spans="1:27">
      <c r="A199" t="s">
        <v>1415</v>
      </c>
      <c r="B199" t="s">
        <v>7377</v>
      </c>
      <c r="C199" t="s">
        <v>7570</v>
      </c>
      <c r="D199">
        <v>12</v>
      </c>
      <c r="E199">
        <v>6</v>
      </c>
      <c r="F199" t="s">
        <v>7448</v>
      </c>
      <c r="G199" t="s">
        <v>5497</v>
      </c>
      <c r="H199">
        <v>2</v>
      </c>
      <c r="I199">
        <v>-9</v>
      </c>
      <c r="J199">
        <v>2</v>
      </c>
      <c r="K199">
        <v>-6</v>
      </c>
      <c r="L199">
        <v>-6</v>
      </c>
      <c r="M199">
        <v>22</v>
      </c>
      <c r="N199">
        <v>13</v>
      </c>
      <c r="O199">
        <v>1.2</v>
      </c>
      <c r="P199" t="s">
        <v>7380</v>
      </c>
      <c r="Q199" t="s">
        <v>7371</v>
      </c>
      <c r="R199">
        <v>17</v>
      </c>
      <c r="S199">
        <v>8</v>
      </c>
      <c r="T199">
        <v>4</v>
      </c>
      <c r="U199">
        <v>1.5</v>
      </c>
      <c r="V199">
        <v>3</v>
      </c>
      <c r="Z199">
        <v>1</v>
      </c>
      <c r="AA199">
        <v>1</v>
      </c>
    </row>
    <row r="200" spans="1:27">
      <c r="A200" t="s">
        <v>1415</v>
      </c>
      <c r="B200" t="s">
        <v>7421</v>
      </c>
      <c r="C200" t="s">
        <v>7571</v>
      </c>
      <c r="D200">
        <v>8</v>
      </c>
      <c r="E200">
        <v>4</v>
      </c>
      <c r="F200" t="s">
        <v>5497</v>
      </c>
      <c r="G200" t="s">
        <v>5497</v>
      </c>
      <c r="H200">
        <v>3</v>
      </c>
      <c r="I200">
        <v>-4</v>
      </c>
      <c r="J200">
        <v>0</v>
      </c>
      <c r="K200">
        <v>-4</v>
      </c>
      <c r="L200">
        <v>-4</v>
      </c>
      <c r="M200">
        <v>10</v>
      </c>
      <c r="N200">
        <v>7</v>
      </c>
      <c r="O200">
        <v>0.75</v>
      </c>
      <c r="P200">
        <v>2</v>
      </c>
      <c r="Q200" t="s">
        <v>7371</v>
      </c>
      <c r="R200">
        <v>15</v>
      </c>
      <c r="S200">
        <v>7</v>
      </c>
      <c r="T200">
        <v>4</v>
      </c>
      <c r="U200">
        <v>1</v>
      </c>
      <c r="V200">
        <v>1</v>
      </c>
      <c r="Z200">
        <v>1</v>
      </c>
      <c r="AA200">
        <v>1</v>
      </c>
    </row>
    <row r="201" spans="1:27">
      <c r="A201" t="s">
        <v>1424</v>
      </c>
      <c r="B201" t="s">
        <v>7414</v>
      </c>
      <c r="C201" t="s">
        <v>7572</v>
      </c>
      <c r="E201">
        <v>8</v>
      </c>
      <c r="F201" t="s">
        <v>5497</v>
      </c>
      <c r="G201" t="s">
        <v>5496</v>
      </c>
      <c r="H201">
        <v>3</v>
      </c>
      <c r="I201">
        <v>-5</v>
      </c>
      <c r="K201">
        <v>-5</v>
      </c>
      <c r="L201">
        <v>6</v>
      </c>
      <c r="M201">
        <v>15</v>
      </c>
      <c r="R201">
        <v>15</v>
      </c>
      <c r="S201">
        <v>15</v>
      </c>
      <c r="T201">
        <v>15</v>
      </c>
      <c r="X201">
        <v>15</v>
      </c>
      <c r="Y201">
        <v>375</v>
      </c>
      <c r="Z201">
        <v>1</v>
      </c>
      <c r="AA201">
        <v>1</v>
      </c>
    </row>
    <row r="202" spans="1:27">
      <c r="A202" t="s">
        <v>1415</v>
      </c>
      <c r="B202" t="s">
        <v>7369</v>
      </c>
      <c r="C202" t="s">
        <v>7573</v>
      </c>
      <c r="D202">
        <v>6</v>
      </c>
      <c r="E202">
        <v>3</v>
      </c>
      <c r="F202" t="s">
        <v>7379</v>
      </c>
      <c r="G202" t="s">
        <v>5486</v>
      </c>
      <c r="H202">
        <v>4</v>
      </c>
      <c r="I202">
        <v>-6</v>
      </c>
      <c r="J202">
        <v>0</v>
      </c>
      <c r="K202">
        <v>-3</v>
      </c>
      <c r="L202">
        <v>-4</v>
      </c>
      <c r="M202">
        <v>8</v>
      </c>
      <c r="N202">
        <v>6</v>
      </c>
      <c r="O202">
        <v>0.61</v>
      </c>
      <c r="P202">
        <v>5</v>
      </c>
      <c r="Q202" t="s">
        <v>7371</v>
      </c>
      <c r="R202">
        <v>16</v>
      </c>
      <c r="S202">
        <v>7</v>
      </c>
      <c r="T202">
        <v>7</v>
      </c>
      <c r="U202">
        <v>0.6</v>
      </c>
      <c r="V202">
        <v>1</v>
      </c>
      <c r="Z202">
        <v>1</v>
      </c>
      <c r="AA202">
        <v>1</v>
      </c>
    </row>
    <row r="203" spans="1:27">
      <c r="A203" t="s">
        <v>1424</v>
      </c>
      <c r="B203" t="s">
        <v>7365</v>
      </c>
      <c r="C203" t="s">
        <v>7574</v>
      </c>
      <c r="D203">
        <v>5</v>
      </c>
      <c r="E203">
        <v>2</v>
      </c>
      <c r="F203" t="s">
        <v>5496</v>
      </c>
      <c r="G203" t="s">
        <v>5486</v>
      </c>
      <c r="H203">
        <v>4</v>
      </c>
      <c r="I203">
        <v>-3</v>
      </c>
      <c r="J203">
        <v>0</v>
      </c>
      <c r="K203">
        <v>-2</v>
      </c>
      <c r="L203">
        <v>-3</v>
      </c>
      <c r="M203">
        <v>7</v>
      </c>
      <c r="N203">
        <v>4</v>
      </c>
      <c r="O203">
        <v>0.5</v>
      </c>
      <c r="P203">
        <v>5</v>
      </c>
      <c r="R203">
        <v>7</v>
      </c>
      <c r="S203">
        <v>14</v>
      </c>
      <c r="T203">
        <v>4</v>
      </c>
      <c r="U203">
        <v>0.5</v>
      </c>
      <c r="V203">
        <v>0.5</v>
      </c>
      <c r="Z203">
        <v>1</v>
      </c>
      <c r="AA203">
        <v>1</v>
      </c>
    </row>
    <row r="204" spans="1:27">
      <c r="A204" t="s">
        <v>1415</v>
      </c>
      <c r="B204" t="s">
        <v>7421</v>
      </c>
      <c r="C204" t="s">
        <v>7574</v>
      </c>
      <c r="D204">
        <v>5</v>
      </c>
      <c r="E204">
        <v>2</v>
      </c>
      <c r="F204" t="s">
        <v>5496</v>
      </c>
      <c r="G204" t="s">
        <v>5486</v>
      </c>
      <c r="H204">
        <v>4</v>
      </c>
      <c r="I204">
        <v>-3</v>
      </c>
      <c r="J204">
        <v>0</v>
      </c>
      <c r="K204">
        <v>-2</v>
      </c>
      <c r="L204">
        <v>-3</v>
      </c>
      <c r="M204">
        <v>7</v>
      </c>
      <c r="N204">
        <v>4</v>
      </c>
      <c r="O204">
        <v>0.5</v>
      </c>
      <c r="P204">
        <v>5</v>
      </c>
      <c r="R204">
        <v>7</v>
      </c>
      <c r="S204">
        <v>14</v>
      </c>
      <c r="T204">
        <v>4</v>
      </c>
      <c r="U204">
        <v>0.5</v>
      </c>
      <c r="V204">
        <v>0.5</v>
      </c>
      <c r="Z204">
        <v>1</v>
      </c>
      <c r="AA204">
        <v>1</v>
      </c>
    </row>
    <row r="205" spans="1:27">
      <c r="A205" t="s">
        <v>1424</v>
      </c>
      <c r="B205" t="s">
        <v>1424</v>
      </c>
      <c r="C205" t="s">
        <v>7575</v>
      </c>
      <c r="D205">
        <v>0</v>
      </c>
      <c r="E205">
        <v>0</v>
      </c>
      <c r="F205" t="s">
        <v>5497</v>
      </c>
      <c r="H205">
        <v>3</v>
      </c>
      <c r="I205">
        <v>-3</v>
      </c>
      <c r="J205">
        <v>0</v>
      </c>
      <c r="K205">
        <v>-2</v>
      </c>
      <c r="L205">
        <v>-15</v>
      </c>
      <c r="O205">
        <v>0.1</v>
      </c>
      <c r="P205">
        <v>12</v>
      </c>
      <c r="R205">
        <v>8</v>
      </c>
      <c r="S205">
        <v>18</v>
      </c>
      <c r="T205">
        <v>2</v>
      </c>
      <c r="Z205">
        <v>1</v>
      </c>
      <c r="AA205">
        <v>1</v>
      </c>
    </row>
    <row r="206" spans="1:27">
      <c r="A206" t="s">
        <v>1415</v>
      </c>
      <c r="B206" t="s">
        <v>7421</v>
      </c>
      <c r="C206" t="s">
        <v>7575</v>
      </c>
      <c r="D206">
        <v>0</v>
      </c>
      <c r="E206">
        <v>0</v>
      </c>
      <c r="F206" t="s">
        <v>5497</v>
      </c>
      <c r="H206">
        <v>3</v>
      </c>
      <c r="I206">
        <v>-3</v>
      </c>
      <c r="J206">
        <v>0</v>
      </c>
      <c r="K206">
        <v>-2</v>
      </c>
      <c r="L206">
        <v>-15</v>
      </c>
      <c r="O206">
        <v>0.1</v>
      </c>
      <c r="P206">
        <v>12</v>
      </c>
      <c r="R206">
        <v>8</v>
      </c>
      <c r="S206">
        <v>18</v>
      </c>
      <c r="T206">
        <v>2</v>
      </c>
      <c r="U206">
        <v>0.3</v>
      </c>
      <c r="V206">
        <v>0.1</v>
      </c>
      <c r="Z206">
        <v>1</v>
      </c>
      <c r="AA206">
        <v>1</v>
      </c>
    </row>
    <row r="207" spans="1:27">
      <c r="A207" t="s">
        <v>1415</v>
      </c>
      <c r="B207" t="s">
        <v>7377</v>
      </c>
      <c r="C207" t="s">
        <v>7576</v>
      </c>
      <c r="D207">
        <v>16</v>
      </c>
      <c r="E207">
        <v>9</v>
      </c>
      <c r="F207" t="s">
        <v>7566</v>
      </c>
      <c r="G207" t="s">
        <v>5500</v>
      </c>
      <c r="H207">
        <v>1</v>
      </c>
      <c r="I207">
        <v>-28</v>
      </c>
      <c r="J207">
        <v>0</v>
      </c>
      <c r="K207">
        <v>-7</v>
      </c>
      <c r="L207">
        <v>-7</v>
      </c>
      <c r="M207">
        <v>43</v>
      </c>
      <c r="N207">
        <v>25</v>
      </c>
      <c r="O207">
        <v>1.76</v>
      </c>
      <c r="P207" t="s">
        <v>7380</v>
      </c>
      <c r="Q207" t="s">
        <v>7371</v>
      </c>
      <c r="R207">
        <v>25</v>
      </c>
      <c r="S207">
        <v>9</v>
      </c>
      <c r="T207">
        <v>8</v>
      </c>
      <c r="U207">
        <v>3.5</v>
      </c>
      <c r="V207">
        <v>1.5</v>
      </c>
      <c r="W207" t="s">
        <v>5469</v>
      </c>
      <c r="Z207">
        <v>1</v>
      </c>
      <c r="AA207">
        <v>1</v>
      </c>
    </row>
    <row r="208" spans="1:27">
      <c r="A208" t="s">
        <v>1415</v>
      </c>
      <c r="B208" t="s">
        <v>7377</v>
      </c>
      <c r="C208" t="s">
        <v>7577</v>
      </c>
      <c r="D208">
        <v>18</v>
      </c>
      <c r="E208">
        <v>9</v>
      </c>
      <c r="F208" t="s">
        <v>7440</v>
      </c>
      <c r="H208">
        <v>1</v>
      </c>
      <c r="I208">
        <v>-22</v>
      </c>
      <c r="J208">
        <v>0</v>
      </c>
      <c r="K208">
        <v>-7</v>
      </c>
      <c r="L208">
        <v>-7</v>
      </c>
      <c r="M208">
        <v>44</v>
      </c>
      <c r="N208">
        <v>26</v>
      </c>
      <c r="O208">
        <v>2</v>
      </c>
      <c r="P208" t="s">
        <v>7380</v>
      </c>
      <c r="Q208" t="s">
        <v>7371</v>
      </c>
      <c r="R208">
        <v>14</v>
      </c>
      <c r="S208">
        <v>11</v>
      </c>
      <c r="T208">
        <v>4</v>
      </c>
      <c r="U208">
        <v>2</v>
      </c>
      <c r="V208">
        <v>1.5</v>
      </c>
      <c r="W208" t="s">
        <v>5469</v>
      </c>
      <c r="Z208">
        <v>1</v>
      </c>
      <c r="AA208">
        <v>1</v>
      </c>
    </row>
    <row r="209" spans="1:27">
      <c r="A209" t="s">
        <v>1422</v>
      </c>
      <c r="B209" t="s">
        <v>7397</v>
      </c>
      <c r="C209" t="s">
        <v>7578</v>
      </c>
      <c r="D209">
        <v>3</v>
      </c>
      <c r="E209">
        <v>2</v>
      </c>
      <c r="F209" t="s">
        <v>7385</v>
      </c>
      <c r="H209">
        <v>4</v>
      </c>
      <c r="I209">
        <v>-4</v>
      </c>
      <c r="J209">
        <v>0</v>
      </c>
      <c r="K209">
        <v>-2</v>
      </c>
      <c r="L209">
        <v>-6</v>
      </c>
      <c r="M209">
        <v>9</v>
      </c>
      <c r="N209">
        <v>7</v>
      </c>
      <c r="O209">
        <v>0.35</v>
      </c>
      <c r="P209">
        <v>5</v>
      </c>
      <c r="Q209" t="s">
        <v>7579</v>
      </c>
      <c r="R209">
        <v>12</v>
      </c>
      <c r="S209">
        <v>15</v>
      </c>
      <c r="T209">
        <v>7</v>
      </c>
      <c r="U209">
        <v>1</v>
      </c>
      <c r="V209">
        <v>5</v>
      </c>
      <c r="Z209">
        <v>1</v>
      </c>
      <c r="AA209">
        <v>1</v>
      </c>
    </row>
    <row r="210" spans="1:27">
      <c r="A210" t="s">
        <v>1424</v>
      </c>
      <c r="B210" t="s">
        <v>7414</v>
      </c>
      <c r="C210" t="s">
        <v>7580</v>
      </c>
      <c r="E210">
        <v>12</v>
      </c>
      <c r="F210" t="s">
        <v>7416</v>
      </c>
      <c r="H210">
        <v>3</v>
      </c>
      <c r="I210">
        <v>-5</v>
      </c>
      <c r="K210">
        <v>-8</v>
      </c>
      <c r="L210">
        <v>10</v>
      </c>
      <c r="M210">
        <v>21</v>
      </c>
      <c r="R210">
        <v>15</v>
      </c>
      <c r="S210">
        <v>15</v>
      </c>
      <c r="T210">
        <v>15</v>
      </c>
      <c r="X210">
        <v>18</v>
      </c>
      <c r="Y210">
        <v>750</v>
      </c>
      <c r="Z210">
        <v>1</v>
      </c>
      <c r="AA210">
        <v>1</v>
      </c>
    </row>
    <row r="211" spans="1:27">
      <c r="A211" t="s">
        <v>1420</v>
      </c>
      <c r="B211" t="s">
        <v>7494</v>
      </c>
      <c r="C211" t="s">
        <v>7581</v>
      </c>
      <c r="D211">
        <v>32</v>
      </c>
      <c r="E211">
        <v>4</v>
      </c>
      <c r="F211" t="s">
        <v>5497</v>
      </c>
      <c r="G211" t="s">
        <v>5486</v>
      </c>
      <c r="H211">
        <v>3</v>
      </c>
      <c r="I211">
        <v>-6</v>
      </c>
      <c r="J211">
        <v>0</v>
      </c>
      <c r="K211">
        <v>-5</v>
      </c>
      <c r="L211">
        <v>-6</v>
      </c>
      <c r="M211">
        <v>16</v>
      </c>
      <c r="N211">
        <v>10</v>
      </c>
      <c r="O211">
        <v>3</v>
      </c>
      <c r="P211" t="s">
        <v>7380</v>
      </c>
      <c r="Q211" t="s">
        <v>7371</v>
      </c>
      <c r="R211">
        <v>5</v>
      </c>
      <c r="S211">
        <v>3</v>
      </c>
      <c r="T211">
        <v>3</v>
      </c>
      <c r="U211">
        <v>1</v>
      </c>
      <c r="V211">
        <v>4</v>
      </c>
      <c r="Z211">
        <v>1</v>
      </c>
      <c r="AA211">
        <v>1</v>
      </c>
    </row>
    <row r="212" spans="1:27">
      <c r="A212" t="s">
        <v>1424</v>
      </c>
      <c r="B212" t="s">
        <v>7414</v>
      </c>
      <c r="C212" t="s">
        <v>7582</v>
      </c>
      <c r="E212">
        <v>8</v>
      </c>
      <c r="F212" t="s">
        <v>5497</v>
      </c>
      <c r="G212" t="s">
        <v>5496</v>
      </c>
      <c r="H212">
        <v>3</v>
      </c>
      <c r="I212">
        <v>-5</v>
      </c>
      <c r="K212">
        <v>-6</v>
      </c>
      <c r="L212">
        <v>7</v>
      </c>
      <c r="M212">
        <v>17</v>
      </c>
      <c r="Q212" t="s">
        <v>7583</v>
      </c>
      <c r="R212">
        <v>14</v>
      </c>
      <c r="S212">
        <v>14</v>
      </c>
      <c r="T212">
        <v>15</v>
      </c>
      <c r="X212">
        <v>16</v>
      </c>
      <c r="Y212">
        <v>425</v>
      </c>
      <c r="Z212">
        <v>1</v>
      </c>
      <c r="AA212">
        <v>1</v>
      </c>
    </row>
    <row r="213" spans="1:27">
      <c r="A213" t="s">
        <v>1424</v>
      </c>
      <c r="B213" t="s">
        <v>1424</v>
      </c>
      <c r="C213" t="s">
        <v>1424</v>
      </c>
      <c r="D213">
        <v>0</v>
      </c>
      <c r="E213">
        <v>-2</v>
      </c>
      <c r="F213" t="s">
        <v>5497</v>
      </c>
      <c r="H213">
        <v>3</v>
      </c>
      <c r="I213">
        <v>-5</v>
      </c>
      <c r="J213">
        <v>0</v>
      </c>
      <c r="K213">
        <v>0</v>
      </c>
      <c r="L213">
        <v>0</v>
      </c>
      <c r="M213">
        <v>1</v>
      </c>
      <c r="N213">
        <v>1</v>
      </c>
      <c r="O213">
        <v>0</v>
      </c>
      <c r="P213" t="s">
        <v>7380</v>
      </c>
      <c r="Q213" t="s">
        <v>7366</v>
      </c>
      <c r="R213">
        <v>0</v>
      </c>
      <c r="S213">
        <v>0</v>
      </c>
      <c r="W213" t="s">
        <v>7584</v>
      </c>
      <c r="Z213" t="s">
        <v>7585</v>
      </c>
      <c r="AA213" t="s">
        <v>7585</v>
      </c>
    </row>
    <row r="214" spans="1:27">
      <c r="A214" t="s">
        <v>1424</v>
      </c>
      <c r="B214" t="s">
        <v>1424</v>
      </c>
      <c r="C214" t="s">
        <v>7586</v>
      </c>
      <c r="D214">
        <v>0</v>
      </c>
      <c r="E214">
        <v>0</v>
      </c>
      <c r="F214" t="s">
        <v>5497</v>
      </c>
      <c r="G214" t="s">
        <v>5486</v>
      </c>
      <c r="H214">
        <v>3</v>
      </c>
      <c r="I214">
        <v>-5</v>
      </c>
      <c r="J214">
        <v>0</v>
      </c>
      <c r="K214">
        <v>-2</v>
      </c>
      <c r="L214">
        <v>-7</v>
      </c>
      <c r="M214">
        <v>9</v>
      </c>
      <c r="O214">
        <v>0.05</v>
      </c>
      <c r="P214">
        <v>14</v>
      </c>
      <c r="R214">
        <v>4</v>
      </c>
      <c r="S214">
        <v>30</v>
      </c>
      <c r="T214">
        <v>16</v>
      </c>
      <c r="U214">
        <v>1</v>
      </c>
      <c r="V214">
        <v>4</v>
      </c>
      <c r="Z214">
        <v>1</v>
      </c>
      <c r="AA214">
        <v>1</v>
      </c>
    </row>
    <row r="215" spans="1:27">
      <c r="A215" t="s">
        <v>1415</v>
      </c>
      <c r="B215" t="s">
        <v>7377</v>
      </c>
      <c r="C215" t="s">
        <v>7587</v>
      </c>
      <c r="D215">
        <v>9</v>
      </c>
      <c r="E215">
        <v>8</v>
      </c>
      <c r="F215" t="s">
        <v>7395</v>
      </c>
      <c r="H215">
        <v>1.5</v>
      </c>
      <c r="I215">
        <v>-13</v>
      </c>
      <c r="J215">
        <v>0</v>
      </c>
      <c r="K215">
        <v>-6</v>
      </c>
      <c r="L215">
        <v>-7</v>
      </c>
      <c r="M215">
        <v>27</v>
      </c>
      <c r="N215">
        <v>16</v>
      </c>
      <c r="O215">
        <v>0.9</v>
      </c>
      <c r="P215">
        <v>0</v>
      </c>
      <c r="Q215" t="s">
        <v>7371</v>
      </c>
      <c r="R215">
        <v>16</v>
      </c>
      <c r="S215">
        <v>7</v>
      </c>
      <c r="T215">
        <v>6</v>
      </c>
      <c r="U215">
        <v>4</v>
      </c>
      <c r="V215">
        <v>1</v>
      </c>
      <c r="Z215">
        <v>1</v>
      </c>
      <c r="AA215">
        <v>1</v>
      </c>
    </row>
    <row r="216" spans="1:27">
      <c r="A216" t="s">
        <v>1422</v>
      </c>
      <c r="B216" t="s">
        <v>7367</v>
      </c>
      <c r="C216" t="s">
        <v>7588</v>
      </c>
      <c r="D216">
        <v>7</v>
      </c>
      <c r="E216">
        <v>4</v>
      </c>
      <c r="F216" t="s">
        <v>5499</v>
      </c>
      <c r="G216" t="s">
        <v>5486</v>
      </c>
      <c r="H216">
        <v>4</v>
      </c>
      <c r="I216">
        <v>-4</v>
      </c>
      <c r="J216">
        <v>0</v>
      </c>
      <c r="K216">
        <v>-3</v>
      </c>
      <c r="L216">
        <v>-4</v>
      </c>
      <c r="M216">
        <v>8</v>
      </c>
      <c r="N216">
        <v>5</v>
      </c>
      <c r="O216">
        <v>0.65</v>
      </c>
      <c r="P216">
        <v>4</v>
      </c>
      <c r="R216">
        <v>15</v>
      </c>
      <c r="S216">
        <v>14</v>
      </c>
      <c r="T216">
        <v>12</v>
      </c>
      <c r="U216">
        <v>0.7</v>
      </c>
      <c r="V216">
        <v>3.5</v>
      </c>
      <c r="Z216">
        <v>1</v>
      </c>
      <c r="AA216">
        <v>1</v>
      </c>
    </row>
    <row r="217" spans="1:27">
      <c r="A217" t="s">
        <v>1418</v>
      </c>
      <c r="B217" t="s">
        <v>7435</v>
      </c>
      <c r="C217" t="s">
        <v>7588</v>
      </c>
      <c r="D217">
        <v>7</v>
      </c>
      <c r="E217">
        <v>4</v>
      </c>
      <c r="F217" t="s">
        <v>5499</v>
      </c>
      <c r="G217" t="s">
        <v>5486</v>
      </c>
      <c r="H217">
        <v>4</v>
      </c>
      <c r="I217">
        <v>-4</v>
      </c>
      <c r="J217">
        <v>0</v>
      </c>
      <c r="K217">
        <v>-3</v>
      </c>
      <c r="L217">
        <v>-4</v>
      </c>
      <c r="M217">
        <v>8</v>
      </c>
      <c r="N217">
        <v>5</v>
      </c>
      <c r="O217">
        <v>0.65</v>
      </c>
      <c r="P217">
        <v>4</v>
      </c>
      <c r="R217">
        <v>15</v>
      </c>
      <c r="S217">
        <v>14</v>
      </c>
      <c r="T217">
        <v>12</v>
      </c>
      <c r="U217">
        <v>0.7</v>
      </c>
      <c r="V217">
        <v>3.5</v>
      </c>
      <c r="Z217">
        <v>1</v>
      </c>
      <c r="AA217">
        <v>1</v>
      </c>
    </row>
    <row r="218" spans="1:27">
      <c r="A218" t="s">
        <v>1422</v>
      </c>
      <c r="B218" t="s">
        <v>7367</v>
      </c>
      <c r="C218" t="s">
        <v>7589</v>
      </c>
      <c r="D218">
        <v>10</v>
      </c>
      <c r="E218">
        <v>3</v>
      </c>
      <c r="F218" t="s">
        <v>5498</v>
      </c>
      <c r="G218" t="s">
        <v>5496</v>
      </c>
      <c r="H218">
        <v>5</v>
      </c>
      <c r="I218">
        <v>-4</v>
      </c>
      <c r="J218">
        <v>0</v>
      </c>
      <c r="K218">
        <v>-3</v>
      </c>
      <c r="L218">
        <v>0</v>
      </c>
      <c r="M218">
        <v>8</v>
      </c>
      <c r="N218">
        <v>5</v>
      </c>
      <c r="O218">
        <v>1</v>
      </c>
      <c r="P218">
        <v>2</v>
      </c>
      <c r="R218">
        <v>5</v>
      </c>
      <c r="S218">
        <v>14</v>
      </c>
      <c r="T218">
        <v>12</v>
      </c>
      <c r="U218">
        <v>0.9</v>
      </c>
      <c r="V218">
        <v>4</v>
      </c>
      <c r="Z218">
        <v>1</v>
      </c>
      <c r="AA218">
        <v>1</v>
      </c>
    </row>
    <row r="219" spans="1:27">
      <c r="A219" t="s">
        <v>1418</v>
      </c>
      <c r="B219" t="s">
        <v>7381</v>
      </c>
      <c r="C219" t="s">
        <v>7589</v>
      </c>
      <c r="D219">
        <v>10</v>
      </c>
      <c r="E219">
        <v>3</v>
      </c>
      <c r="F219" t="s">
        <v>5498</v>
      </c>
      <c r="G219" t="s">
        <v>5496</v>
      </c>
      <c r="H219">
        <v>5</v>
      </c>
      <c r="I219">
        <v>-4</v>
      </c>
      <c r="J219">
        <v>0</v>
      </c>
      <c r="K219">
        <v>-3</v>
      </c>
      <c r="L219">
        <v>0</v>
      </c>
      <c r="M219">
        <v>8</v>
      </c>
      <c r="N219">
        <v>5</v>
      </c>
      <c r="O219">
        <v>1</v>
      </c>
      <c r="P219">
        <v>2</v>
      </c>
      <c r="R219">
        <v>5</v>
      </c>
      <c r="S219">
        <v>14</v>
      </c>
      <c r="T219">
        <v>12</v>
      </c>
      <c r="U219">
        <v>0.9</v>
      </c>
      <c r="V219">
        <v>4</v>
      </c>
      <c r="Z219">
        <v>1</v>
      </c>
      <c r="AA219">
        <v>1</v>
      </c>
    </row>
    <row r="220" spans="1:27">
      <c r="A220" t="s">
        <v>1420</v>
      </c>
      <c r="B220" t="s">
        <v>7373</v>
      </c>
      <c r="C220" t="s">
        <v>7590</v>
      </c>
      <c r="D220">
        <v>19</v>
      </c>
      <c r="E220">
        <v>4</v>
      </c>
      <c r="F220" t="s">
        <v>5499</v>
      </c>
      <c r="G220" t="s">
        <v>5496</v>
      </c>
      <c r="H220">
        <v>5</v>
      </c>
      <c r="I220">
        <v>-5</v>
      </c>
      <c r="J220">
        <v>0</v>
      </c>
      <c r="K220">
        <v>-5</v>
      </c>
      <c r="L220">
        <v>-4</v>
      </c>
      <c r="M220">
        <v>7</v>
      </c>
      <c r="N220">
        <v>5</v>
      </c>
      <c r="O220">
        <v>1.8</v>
      </c>
      <c r="P220" t="s">
        <v>7380</v>
      </c>
      <c r="Q220" t="s">
        <v>7371</v>
      </c>
      <c r="R220">
        <v>3</v>
      </c>
      <c r="S220">
        <v>7</v>
      </c>
      <c r="T220">
        <v>3</v>
      </c>
      <c r="U220">
        <v>0.5</v>
      </c>
      <c r="V220">
        <v>0.5</v>
      </c>
      <c r="Z220">
        <v>1</v>
      </c>
      <c r="AA220">
        <v>1</v>
      </c>
    </row>
    <row r="221" spans="1:27">
      <c r="A221" t="s">
        <v>1422</v>
      </c>
      <c r="B221" t="s">
        <v>7397</v>
      </c>
      <c r="C221" t="s">
        <v>7591</v>
      </c>
      <c r="D221">
        <v>3</v>
      </c>
      <c r="E221">
        <v>1</v>
      </c>
      <c r="F221" t="s">
        <v>5499</v>
      </c>
      <c r="H221">
        <v>7</v>
      </c>
      <c r="I221">
        <v>-2</v>
      </c>
      <c r="J221">
        <v>0</v>
      </c>
      <c r="K221">
        <v>-2</v>
      </c>
      <c r="L221">
        <v>-7</v>
      </c>
      <c r="M221">
        <v>5</v>
      </c>
      <c r="N221">
        <v>3</v>
      </c>
      <c r="O221">
        <v>0.25</v>
      </c>
      <c r="P221">
        <v>8</v>
      </c>
      <c r="R221">
        <v>11</v>
      </c>
      <c r="S221">
        <v>15</v>
      </c>
      <c r="T221">
        <v>10</v>
      </c>
      <c r="U221">
        <v>0.2</v>
      </c>
      <c r="V221">
        <v>2</v>
      </c>
      <c r="Z221">
        <v>1</v>
      </c>
      <c r="AA221">
        <v>1</v>
      </c>
    </row>
    <row r="222" spans="1:27">
      <c r="A222" t="s">
        <v>1424</v>
      </c>
      <c r="B222" t="s">
        <v>7365</v>
      </c>
      <c r="C222" t="s">
        <v>7592</v>
      </c>
      <c r="D222">
        <v>2</v>
      </c>
      <c r="E222">
        <v>2</v>
      </c>
      <c r="F222" t="s">
        <v>5497</v>
      </c>
      <c r="G222" t="s">
        <v>5496</v>
      </c>
      <c r="H222">
        <v>2</v>
      </c>
      <c r="I222">
        <v>-7</v>
      </c>
      <c r="J222">
        <v>0</v>
      </c>
      <c r="K222">
        <v>-2</v>
      </c>
      <c r="L222">
        <v>-6</v>
      </c>
      <c r="M222">
        <v>7</v>
      </c>
      <c r="O222">
        <v>0.2</v>
      </c>
      <c r="P222">
        <v>0</v>
      </c>
      <c r="R222">
        <v>7</v>
      </c>
      <c r="S222">
        <v>12</v>
      </c>
      <c r="T222">
        <v>6</v>
      </c>
      <c r="U222">
        <v>0.2</v>
      </c>
      <c r="V222">
        <v>1</v>
      </c>
      <c r="Z222">
        <v>1</v>
      </c>
      <c r="AA222">
        <v>1</v>
      </c>
    </row>
    <row r="223" spans="1:27">
      <c r="A223" t="s">
        <v>1418</v>
      </c>
      <c r="B223" t="s">
        <v>7383</v>
      </c>
      <c r="C223" t="s">
        <v>7593</v>
      </c>
      <c r="D223">
        <v>12</v>
      </c>
      <c r="E223">
        <v>7</v>
      </c>
      <c r="F223" t="s">
        <v>7395</v>
      </c>
      <c r="H223">
        <v>1.5</v>
      </c>
      <c r="I223">
        <v>-10</v>
      </c>
      <c r="J223">
        <v>0</v>
      </c>
      <c r="K223">
        <v>-5</v>
      </c>
      <c r="L223">
        <v>-5</v>
      </c>
      <c r="M223">
        <v>35</v>
      </c>
      <c r="N223">
        <v>17</v>
      </c>
      <c r="O223">
        <v>1.1499999999999999</v>
      </c>
      <c r="P223" t="s">
        <v>7380</v>
      </c>
      <c r="R223">
        <v>17</v>
      </c>
      <c r="S223">
        <v>15</v>
      </c>
      <c r="T223">
        <v>25</v>
      </c>
      <c r="U223">
        <v>1.5</v>
      </c>
      <c r="V223">
        <v>4</v>
      </c>
      <c r="Z223">
        <v>1</v>
      </c>
      <c r="AA223">
        <v>1</v>
      </c>
    </row>
    <row r="224" spans="1:27">
      <c r="A224" t="s">
        <v>1418</v>
      </c>
      <c r="B224" t="s">
        <v>7383</v>
      </c>
      <c r="C224" t="s">
        <v>7594</v>
      </c>
      <c r="D224">
        <v>13</v>
      </c>
      <c r="E224">
        <v>6</v>
      </c>
      <c r="F224" t="s">
        <v>5499</v>
      </c>
      <c r="G224" t="s">
        <v>7386</v>
      </c>
      <c r="H224">
        <v>2</v>
      </c>
      <c r="I224">
        <v>-7</v>
      </c>
      <c r="J224">
        <v>0</v>
      </c>
      <c r="K224">
        <v>-4</v>
      </c>
      <c r="L224">
        <v>-4</v>
      </c>
      <c r="M224">
        <v>22</v>
      </c>
      <c r="N224">
        <v>14</v>
      </c>
      <c r="O224">
        <v>1.25</v>
      </c>
      <c r="P224" t="s">
        <v>7380</v>
      </c>
      <c r="R224">
        <v>16</v>
      </c>
      <c r="S224">
        <v>14</v>
      </c>
      <c r="T224">
        <v>24</v>
      </c>
      <c r="U224">
        <v>1.5</v>
      </c>
      <c r="V224">
        <v>4</v>
      </c>
      <c r="Z224">
        <v>1</v>
      </c>
      <c r="AA224">
        <v>1</v>
      </c>
    </row>
    <row r="225" spans="1:27">
      <c r="A225" t="s">
        <v>1418</v>
      </c>
      <c r="B225" t="s">
        <v>7383</v>
      </c>
      <c r="C225" t="s">
        <v>7595</v>
      </c>
      <c r="D225">
        <v>15</v>
      </c>
      <c r="E225">
        <v>7</v>
      </c>
      <c r="F225" t="s">
        <v>7385</v>
      </c>
      <c r="G225" t="s">
        <v>5499</v>
      </c>
      <c r="H225">
        <v>1.5</v>
      </c>
      <c r="I225">
        <v>-12</v>
      </c>
      <c r="J225">
        <v>0</v>
      </c>
      <c r="K225">
        <v>-6</v>
      </c>
      <c r="L225">
        <v>-5</v>
      </c>
      <c r="M225">
        <v>25</v>
      </c>
      <c r="N225">
        <v>15</v>
      </c>
      <c r="O225">
        <v>1.5</v>
      </c>
      <c r="P225" t="s">
        <v>7380</v>
      </c>
      <c r="R225">
        <v>16</v>
      </c>
      <c r="S225">
        <v>14</v>
      </c>
      <c r="T225">
        <v>24</v>
      </c>
      <c r="U225">
        <v>3</v>
      </c>
      <c r="V225">
        <v>5</v>
      </c>
      <c r="Z225">
        <v>1</v>
      </c>
      <c r="AA225">
        <v>1</v>
      </c>
    </row>
    <row r="226" spans="1:27">
      <c r="A226" t="s">
        <v>1420</v>
      </c>
      <c r="B226" t="s">
        <v>7388</v>
      </c>
      <c r="C226" t="s">
        <v>7596</v>
      </c>
      <c r="D226">
        <v>10</v>
      </c>
      <c r="E226">
        <v>4</v>
      </c>
      <c r="F226" t="s">
        <v>5498</v>
      </c>
      <c r="G226" t="s">
        <v>5496</v>
      </c>
      <c r="H226">
        <v>4</v>
      </c>
      <c r="I226">
        <v>-3</v>
      </c>
      <c r="J226">
        <v>0</v>
      </c>
      <c r="K226">
        <v>-2</v>
      </c>
      <c r="L226">
        <v>-3</v>
      </c>
      <c r="M226">
        <v>23</v>
      </c>
      <c r="N226">
        <v>12</v>
      </c>
      <c r="O226">
        <v>1.8</v>
      </c>
      <c r="P226" t="s">
        <v>7380</v>
      </c>
      <c r="Q226" t="s">
        <v>7410</v>
      </c>
      <c r="R226">
        <v>14</v>
      </c>
      <c r="S226">
        <v>7</v>
      </c>
      <c r="T226">
        <v>7</v>
      </c>
      <c r="U226">
        <v>1</v>
      </c>
      <c r="V226">
        <v>3</v>
      </c>
      <c r="Z226">
        <v>1</v>
      </c>
      <c r="AA226">
        <v>1</v>
      </c>
    </row>
    <row r="227" spans="1:27">
      <c r="A227" t="s">
        <v>1424</v>
      </c>
      <c r="B227" t="s">
        <v>1424</v>
      </c>
      <c r="C227" t="s">
        <v>1424</v>
      </c>
      <c r="D227">
        <v>0</v>
      </c>
      <c r="E227">
        <v>-2</v>
      </c>
      <c r="F227" t="s">
        <v>5496</v>
      </c>
      <c r="H227">
        <v>3</v>
      </c>
      <c r="I227">
        <v>-4</v>
      </c>
      <c r="J227">
        <v>0</v>
      </c>
      <c r="K227">
        <v>0</v>
      </c>
      <c r="L227">
        <v>0</v>
      </c>
      <c r="M227">
        <v>1</v>
      </c>
      <c r="N227">
        <v>1</v>
      </c>
      <c r="O227">
        <v>0</v>
      </c>
      <c r="P227" t="s">
        <v>7380</v>
      </c>
      <c r="Q227" t="s">
        <v>7366</v>
      </c>
      <c r="R227">
        <v>0</v>
      </c>
      <c r="S227">
        <v>0</v>
      </c>
      <c r="W227" t="s">
        <v>5606</v>
      </c>
      <c r="Z227" t="s">
        <v>7585</v>
      </c>
      <c r="AA227" t="s">
        <v>7585</v>
      </c>
    </row>
    <row r="228" spans="1:27">
      <c r="A228" t="s">
        <v>1424</v>
      </c>
      <c r="B228" t="s">
        <v>1424</v>
      </c>
      <c r="C228" t="s">
        <v>1424</v>
      </c>
      <c r="D228">
        <v>0</v>
      </c>
      <c r="E228">
        <v>-2</v>
      </c>
      <c r="F228" t="s">
        <v>5498</v>
      </c>
      <c r="H228">
        <v>3</v>
      </c>
      <c r="I228">
        <v>-6</v>
      </c>
      <c r="J228">
        <v>0</v>
      </c>
      <c r="K228">
        <v>0</v>
      </c>
      <c r="L228">
        <v>0</v>
      </c>
      <c r="M228">
        <v>1</v>
      </c>
      <c r="N228">
        <v>1</v>
      </c>
      <c r="O228">
        <v>0</v>
      </c>
      <c r="P228" t="s">
        <v>7380</v>
      </c>
      <c r="Q228" t="s">
        <v>7366</v>
      </c>
      <c r="R228">
        <v>0</v>
      </c>
      <c r="S228">
        <v>0</v>
      </c>
      <c r="W228" t="s">
        <v>5619</v>
      </c>
      <c r="Z228" t="s">
        <v>7585</v>
      </c>
      <c r="AA228" t="s">
        <v>7585</v>
      </c>
    </row>
    <row r="229" spans="1:27">
      <c r="A229" t="s">
        <v>1424</v>
      </c>
      <c r="B229" t="s">
        <v>1424</v>
      </c>
      <c r="C229" t="s">
        <v>1424</v>
      </c>
      <c r="D229">
        <v>0</v>
      </c>
      <c r="E229">
        <v>-2</v>
      </c>
      <c r="F229" t="s">
        <v>5499</v>
      </c>
      <c r="H229">
        <v>3</v>
      </c>
      <c r="I229">
        <v>-7</v>
      </c>
      <c r="J229">
        <v>0</v>
      </c>
      <c r="K229">
        <v>0</v>
      </c>
      <c r="L229">
        <v>0</v>
      </c>
      <c r="M229">
        <v>1</v>
      </c>
      <c r="N229">
        <v>1</v>
      </c>
      <c r="O229">
        <v>0</v>
      </c>
      <c r="P229" t="s">
        <v>7380</v>
      </c>
      <c r="Q229" t="s">
        <v>7366</v>
      </c>
      <c r="R229">
        <v>0</v>
      </c>
      <c r="S229">
        <v>0</v>
      </c>
      <c r="W229" t="s">
        <v>5612</v>
      </c>
      <c r="Z229" t="s">
        <v>7585</v>
      </c>
      <c r="AA229" t="s">
        <v>7585</v>
      </c>
    </row>
    <row r="230" spans="1:27">
      <c r="A230" t="s">
        <v>1424</v>
      </c>
      <c r="B230" t="s">
        <v>1424</v>
      </c>
      <c r="C230" t="s">
        <v>1424</v>
      </c>
      <c r="D230">
        <v>0</v>
      </c>
      <c r="E230">
        <v>-2</v>
      </c>
      <c r="F230" t="s">
        <v>5497</v>
      </c>
      <c r="H230">
        <v>3</v>
      </c>
      <c r="I230">
        <v>-5</v>
      </c>
      <c r="J230">
        <v>0</v>
      </c>
      <c r="K230">
        <v>0</v>
      </c>
      <c r="L230">
        <v>0</v>
      </c>
      <c r="M230">
        <v>1</v>
      </c>
      <c r="N230">
        <v>1</v>
      </c>
      <c r="O230">
        <v>0</v>
      </c>
      <c r="P230" t="s">
        <v>7380</v>
      </c>
      <c r="Q230" t="s">
        <v>7366</v>
      </c>
      <c r="R230">
        <v>0</v>
      </c>
      <c r="S230">
        <v>0</v>
      </c>
      <c r="W230" t="s">
        <v>7597</v>
      </c>
      <c r="Z230" t="s">
        <v>7585</v>
      </c>
      <c r="AA230" t="s">
        <v>7585</v>
      </c>
    </row>
    <row r="231" spans="1:27">
      <c r="A231" t="s">
        <v>1424</v>
      </c>
      <c r="B231" t="s">
        <v>1424</v>
      </c>
      <c r="C231" t="s">
        <v>1424</v>
      </c>
      <c r="D231">
        <v>0</v>
      </c>
      <c r="E231">
        <v>-2</v>
      </c>
      <c r="F231" t="s">
        <v>5498</v>
      </c>
      <c r="H231">
        <v>3</v>
      </c>
      <c r="I231">
        <v>-5</v>
      </c>
      <c r="J231">
        <v>0</v>
      </c>
      <c r="K231">
        <v>0</v>
      </c>
      <c r="L231">
        <v>0</v>
      </c>
      <c r="M231">
        <v>1</v>
      </c>
      <c r="N231">
        <v>1</v>
      </c>
      <c r="O231">
        <v>0</v>
      </c>
      <c r="P231" t="s">
        <v>7380</v>
      </c>
      <c r="Q231" t="s">
        <v>7366</v>
      </c>
      <c r="R231">
        <v>0</v>
      </c>
      <c r="S231">
        <v>0</v>
      </c>
      <c r="W231" t="s">
        <v>7598</v>
      </c>
      <c r="Z231" t="s">
        <v>7585</v>
      </c>
      <c r="AA231" t="s">
        <v>7585</v>
      </c>
    </row>
    <row r="232" spans="1:27">
      <c r="A232" t="s">
        <v>1424</v>
      </c>
      <c r="B232" t="s">
        <v>1424</v>
      </c>
      <c r="C232" t="s">
        <v>7599</v>
      </c>
      <c r="D232">
        <v>0</v>
      </c>
      <c r="E232">
        <v>-2</v>
      </c>
      <c r="F232" t="s">
        <v>7600</v>
      </c>
      <c r="J232">
        <v>0</v>
      </c>
      <c r="K232">
        <v>0</v>
      </c>
      <c r="L232">
        <v>0</v>
      </c>
      <c r="M232">
        <v>1</v>
      </c>
      <c r="N232">
        <v>1</v>
      </c>
      <c r="O232">
        <v>0</v>
      </c>
      <c r="P232" t="s">
        <v>7380</v>
      </c>
      <c r="Q232" t="s">
        <v>7601</v>
      </c>
      <c r="R232">
        <v>0</v>
      </c>
      <c r="S232">
        <v>0</v>
      </c>
      <c r="W232" t="s">
        <v>5619</v>
      </c>
      <c r="Z232" t="s">
        <v>7585</v>
      </c>
      <c r="AA232" t="s">
        <v>7585</v>
      </c>
    </row>
    <row r="233" spans="1:27">
      <c r="A233" t="s">
        <v>1424</v>
      </c>
      <c r="B233" t="s">
        <v>1424</v>
      </c>
      <c r="C233" t="s">
        <v>7599</v>
      </c>
      <c r="D233">
        <v>0</v>
      </c>
      <c r="E233">
        <v>-2</v>
      </c>
      <c r="F233" t="s">
        <v>7602</v>
      </c>
      <c r="H233">
        <v>3</v>
      </c>
      <c r="I233">
        <v>-7</v>
      </c>
      <c r="J233">
        <v>0</v>
      </c>
      <c r="K233">
        <v>0</v>
      </c>
      <c r="L233">
        <v>0</v>
      </c>
      <c r="M233">
        <v>1</v>
      </c>
      <c r="N233">
        <v>1</v>
      </c>
      <c r="O233">
        <v>0</v>
      </c>
      <c r="P233" t="s">
        <v>7380</v>
      </c>
      <c r="Q233" t="s">
        <v>7603</v>
      </c>
      <c r="R233">
        <v>0</v>
      </c>
      <c r="S233">
        <v>0</v>
      </c>
      <c r="W233" t="s">
        <v>5612</v>
      </c>
      <c r="Z233" t="s">
        <v>7585</v>
      </c>
      <c r="AA233" t="s">
        <v>7585</v>
      </c>
    </row>
    <row r="234" spans="1:27">
      <c r="A234" t="s">
        <v>1424</v>
      </c>
      <c r="B234" t="s">
        <v>1424</v>
      </c>
      <c r="C234" t="s">
        <v>7604</v>
      </c>
      <c r="D234">
        <v>0</v>
      </c>
      <c r="E234">
        <v>-2</v>
      </c>
      <c r="F234" t="s">
        <v>7385</v>
      </c>
      <c r="H234">
        <v>3</v>
      </c>
      <c r="I234">
        <v>-5</v>
      </c>
      <c r="J234">
        <v>0</v>
      </c>
      <c r="K234">
        <v>0</v>
      </c>
      <c r="L234">
        <v>0</v>
      </c>
      <c r="M234">
        <v>1</v>
      </c>
      <c r="N234">
        <v>1</v>
      </c>
      <c r="O234">
        <v>0</v>
      </c>
      <c r="P234" t="s">
        <v>7380</v>
      </c>
      <c r="Q234" t="s">
        <v>7605</v>
      </c>
      <c r="R234">
        <v>0</v>
      </c>
      <c r="S234">
        <v>0</v>
      </c>
      <c r="W234" t="s">
        <v>7597</v>
      </c>
      <c r="Z234" t="s">
        <v>7585</v>
      </c>
      <c r="AA234" t="s">
        <v>7585</v>
      </c>
    </row>
    <row r="235" spans="1:27">
      <c r="A235" t="s">
        <v>1424</v>
      </c>
      <c r="B235" t="s">
        <v>1424</v>
      </c>
      <c r="C235" t="s">
        <v>7599</v>
      </c>
      <c r="D235">
        <v>0</v>
      </c>
      <c r="E235">
        <v>-2</v>
      </c>
      <c r="F235" t="s">
        <v>7602</v>
      </c>
      <c r="J235">
        <v>0</v>
      </c>
      <c r="K235">
        <v>0</v>
      </c>
      <c r="L235">
        <v>0</v>
      </c>
      <c r="M235">
        <v>1</v>
      </c>
      <c r="N235">
        <v>1</v>
      </c>
      <c r="O235">
        <v>0</v>
      </c>
      <c r="P235" t="s">
        <v>7380</v>
      </c>
      <c r="Q235" t="s">
        <v>7606</v>
      </c>
      <c r="R235">
        <v>0</v>
      </c>
      <c r="S235">
        <v>0</v>
      </c>
      <c r="W235" t="s">
        <v>7598</v>
      </c>
      <c r="Z235" t="s">
        <v>7585</v>
      </c>
      <c r="AA235" t="s">
        <v>7585</v>
      </c>
    </row>
    <row r="236" spans="1:27">
      <c r="A236" t="s">
        <v>1424</v>
      </c>
      <c r="B236" t="s">
        <v>7607</v>
      </c>
      <c r="C236" t="s">
        <v>7607</v>
      </c>
      <c r="D236">
        <v>0</v>
      </c>
      <c r="F236" t="s">
        <v>7608</v>
      </c>
      <c r="J236">
        <v>0</v>
      </c>
      <c r="K236">
        <v>0</v>
      </c>
      <c r="L236">
        <v>-2</v>
      </c>
      <c r="M236">
        <v>1</v>
      </c>
      <c r="N236">
        <v>1</v>
      </c>
      <c r="O236">
        <v>0</v>
      </c>
      <c r="P236" t="s">
        <v>7380</v>
      </c>
      <c r="Q236" t="s">
        <v>7609</v>
      </c>
      <c r="R236">
        <v>0</v>
      </c>
      <c r="S236">
        <v>0</v>
      </c>
      <c r="W236" t="s">
        <v>7610</v>
      </c>
      <c r="Z236" t="s">
        <v>7585</v>
      </c>
      <c r="AA236" t="s">
        <v>7585</v>
      </c>
    </row>
    <row r="237" spans="1:27">
      <c r="A237" t="s">
        <v>1424</v>
      </c>
      <c r="B237" t="s">
        <v>7611</v>
      </c>
      <c r="C237" t="s">
        <v>7611</v>
      </c>
      <c r="D237">
        <v>0</v>
      </c>
      <c r="F237" t="s">
        <v>7612</v>
      </c>
      <c r="J237">
        <v>0</v>
      </c>
      <c r="K237">
        <v>-2</v>
      </c>
      <c r="L237">
        <v>0</v>
      </c>
      <c r="M237">
        <v>1</v>
      </c>
      <c r="N237">
        <v>1</v>
      </c>
      <c r="O237">
        <v>0</v>
      </c>
      <c r="P237" t="s">
        <v>7380</v>
      </c>
      <c r="Q237" t="s">
        <v>7613</v>
      </c>
      <c r="R237">
        <v>0</v>
      </c>
      <c r="S237">
        <v>0</v>
      </c>
      <c r="W237" t="s">
        <v>5564</v>
      </c>
      <c r="Z237" t="s">
        <v>7585</v>
      </c>
      <c r="AA237" t="s">
        <v>7585</v>
      </c>
    </row>
    <row r="238" spans="1:27">
      <c r="A238" t="s">
        <v>1424</v>
      </c>
      <c r="B238" t="s">
        <v>7614</v>
      </c>
      <c r="C238" t="s">
        <v>7614</v>
      </c>
      <c r="D238">
        <v>0</v>
      </c>
      <c r="F238" t="s">
        <v>5496</v>
      </c>
      <c r="H238">
        <v>3</v>
      </c>
      <c r="I238">
        <v>-4</v>
      </c>
      <c r="J238">
        <v>0</v>
      </c>
      <c r="K238">
        <v>-1</v>
      </c>
      <c r="L238">
        <v>-1</v>
      </c>
      <c r="M238">
        <v>1</v>
      </c>
      <c r="N238">
        <v>1</v>
      </c>
      <c r="O238">
        <v>0</v>
      </c>
      <c r="P238" t="s">
        <v>7380</v>
      </c>
      <c r="Q238" t="s">
        <v>7615</v>
      </c>
      <c r="R238">
        <v>0</v>
      </c>
      <c r="S238">
        <v>0</v>
      </c>
      <c r="W238" t="s">
        <v>5580</v>
      </c>
      <c r="Z238" t="s">
        <v>7585</v>
      </c>
      <c r="AA238" t="s">
        <v>7585</v>
      </c>
    </row>
    <row r="239" spans="1:27">
      <c r="A239" t="s">
        <v>1424</v>
      </c>
      <c r="B239" t="s">
        <v>7616</v>
      </c>
      <c r="C239" t="s">
        <v>7616</v>
      </c>
      <c r="D239">
        <v>0</v>
      </c>
      <c r="F239" t="s">
        <v>5498</v>
      </c>
      <c r="H239">
        <v>3</v>
      </c>
      <c r="I239">
        <v>-7</v>
      </c>
      <c r="J239">
        <v>0</v>
      </c>
      <c r="K239">
        <v>-2</v>
      </c>
      <c r="L239">
        <v>-2</v>
      </c>
      <c r="M239">
        <v>1</v>
      </c>
      <c r="N239">
        <v>1</v>
      </c>
      <c r="O239">
        <v>0</v>
      </c>
      <c r="P239" t="s">
        <v>7380</v>
      </c>
      <c r="Q239" t="s">
        <v>7617</v>
      </c>
      <c r="R239">
        <v>0</v>
      </c>
      <c r="S239">
        <v>0</v>
      </c>
      <c r="W239" t="s">
        <v>7598</v>
      </c>
      <c r="Z239" t="s">
        <v>7585</v>
      </c>
      <c r="AA239" t="s">
        <v>7585</v>
      </c>
    </row>
    <row r="240" spans="1:27">
      <c r="A240" t="s">
        <v>1424</v>
      </c>
      <c r="B240" t="s">
        <v>7618</v>
      </c>
      <c r="C240" t="s">
        <v>7618</v>
      </c>
      <c r="D240">
        <v>0</v>
      </c>
      <c r="F240" t="s">
        <v>7416</v>
      </c>
      <c r="H240">
        <v>2</v>
      </c>
      <c r="I240">
        <v>-9</v>
      </c>
      <c r="J240">
        <v>0</v>
      </c>
      <c r="K240">
        <v>-1</v>
      </c>
      <c r="L240">
        <v>-3</v>
      </c>
      <c r="M240">
        <v>1</v>
      </c>
      <c r="N240">
        <v>1</v>
      </c>
      <c r="O240">
        <v>0</v>
      </c>
      <c r="P240" t="s">
        <v>7380</v>
      </c>
      <c r="Q240" t="s">
        <v>7619</v>
      </c>
      <c r="R240">
        <v>0</v>
      </c>
      <c r="S240">
        <v>0</v>
      </c>
      <c r="W240" t="s">
        <v>5619</v>
      </c>
      <c r="Z240" t="s">
        <v>7585</v>
      </c>
      <c r="AA240" t="s">
        <v>7585</v>
      </c>
    </row>
    <row r="241" spans="1:27">
      <c r="A241" t="s">
        <v>1424</v>
      </c>
      <c r="B241" t="s">
        <v>7620</v>
      </c>
      <c r="C241" t="s">
        <v>7620</v>
      </c>
      <c r="D241">
        <v>0</v>
      </c>
      <c r="F241" t="s">
        <v>7608</v>
      </c>
      <c r="J241">
        <v>0</v>
      </c>
      <c r="M241">
        <v>1</v>
      </c>
      <c r="N241">
        <v>1</v>
      </c>
      <c r="O241">
        <v>0</v>
      </c>
      <c r="P241" t="s">
        <v>7380</v>
      </c>
      <c r="R241">
        <v>0</v>
      </c>
      <c r="S241">
        <v>0</v>
      </c>
      <c r="W241" t="s">
        <v>7621</v>
      </c>
      <c r="Z241" t="s">
        <v>7585</v>
      </c>
      <c r="AA241" t="s">
        <v>7585</v>
      </c>
    </row>
    <row r="242" spans="1:27">
      <c r="A242" t="s">
        <v>1424</v>
      </c>
      <c r="B242" t="s">
        <v>7622</v>
      </c>
      <c r="C242" t="s">
        <v>7622</v>
      </c>
      <c r="D242">
        <v>0</v>
      </c>
      <c r="F242" t="s">
        <v>7623</v>
      </c>
      <c r="H242">
        <v>4</v>
      </c>
      <c r="I242">
        <v>-6</v>
      </c>
      <c r="J242">
        <v>0</v>
      </c>
      <c r="K242">
        <v>0</v>
      </c>
      <c r="L242">
        <v>0</v>
      </c>
      <c r="M242">
        <v>1</v>
      </c>
      <c r="N242">
        <v>1</v>
      </c>
      <c r="O242">
        <v>0</v>
      </c>
      <c r="P242" t="s">
        <v>7380</v>
      </c>
      <c r="Q242" t="s">
        <v>7624</v>
      </c>
      <c r="R242">
        <v>0</v>
      </c>
      <c r="S242">
        <v>0</v>
      </c>
      <c r="W242" t="s">
        <v>1174</v>
      </c>
      <c r="Z242" t="s">
        <v>7585</v>
      </c>
      <c r="AA242" t="s">
        <v>7585</v>
      </c>
    </row>
  </sheetData>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23"/>
  <sheetViews>
    <sheetView workbookViewId="0"/>
  </sheetViews>
  <sheetFormatPr baseColWidth="10" defaultColWidth="9.140625" defaultRowHeight="15"/>
  <cols>
    <col min="1" max="1" width="22" style="48" customWidth="1"/>
    <col min="2" max="2" width="38" style="48" customWidth="1"/>
    <col min="3" max="3" width="100" style="48" customWidth="1"/>
    <col min="4" max="4" width="10" style="48" customWidth="1"/>
    <col min="5" max="5" width="14" style="48" customWidth="1"/>
  </cols>
  <sheetData>
    <row r="1" spans="1:5">
      <c r="A1" t="s">
        <v>7625</v>
      </c>
      <c r="B1" t="s">
        <v>7626</v>
      </c>
      <c r="C1" t="s">
        <v>2</v>
      </c>
      <c r="D1" t="s">
        <v>7627</v>
      </c>
      <c r="E1" t="s">
        <v>7628</v>
      </c>
    </row>
    <row r="2" spans="1:5" ht="150" customHeight="1">
      <c r="A2" s="27" t="s">
        <v>7629</v>
      </c>
      <c r="B2" s="27" t="s">
        <v>7630</v>
      </c>
      <c r="C2" s="27" t="s">
        <v>7631</v>
      </c>
      <c r="D2" s="27" t="s">
        <v>7632</v>
      </c>
      <c r="E2" s="27" t="s">
        <v>7633</v>
      </c>
    </row>
    <row r="3" spans="1:5" ht="60" customHeight="1">
      <c r="A3" s="27" t="s">
        <v>7634</v>
      </c>
      <c r="B3" s="27" t="s">
        <v>7635</v>
      </c>
      <c r="C3" s="27" t="s">
        <v>7636</v>
      </c>
      <c r="D3" s="27" t="s">
        <v>7637</v>
      </c>
      <c r="E3" s="27" t="s">
        <v>7633</v>
      </c>
    </row>
    <row r="4" spans="1:5" ht="135" customHeight="1">
      <c r="A4" s="27" t="s">
        <v>7634</v>
      </c>
      <c r="B4" s="27" t="s">
        <v>7638</v>
      </c>
      <c r="C4" s="27" t="s">
        <v>7639</v>
      </c>
      <c r="D4" s="27" t="s">
        <v>7632</v>
      </c>
      <c r="E4" s="27" t="s">
        <v>7633</v>
      </c>
    </row>
    <row r="5" spans="1:5" ht="45" customHeight="1">
      <c r="A5" s="27" t="s">
        <v>7640</v>
      </c>
      <c r="B5" s="27" t="s">
        <v>7641</v>
      </c>
      <c r="C5" s="27" t="s">
        <v>7642</v>
      </c>
      <c r="D5" s="27" t="s">
        <v>7637</v>
      </c>
      <c r="E5" s="27" t="s">
        <v>7633</v>
      </c>
    </row>
    <row r="6" spans="1:5" ht="60" customHeight="1">
      <c r="A6" s="27" t="s">
        <v>7643</v>
      </c>
      <c r="B6" s="27" t="s">
        <v>7644</v>
      </c>
      <c r="C6" s="27" t="s">
        <v>7645</v>
      </c>
      <c r="D6" s="27" t="s">
        <v>7637</v>
      </c>
      <c r="E6" s="27" t="s">
        <v>7633</v>
      </c>
    </row>
    <row r="7" spans="1:5" ht="90" customHeight="1">
      <c r="A7" s="27" t="s">
        <v>7646</v>
      </c>
      <c r="B7" s="27" t="s">
        <v>7647</v>
      </c>
      <c r="C7" s="27" t="s">
        <v>7648</v>
      </c>
      <c r="D7" s="27" t="s">
        <v>7637</v>
      </c>
      <c r="E7" s="27" t="s">
        <v>7633</v>
      </c>
    </row>
    <row r="8" spans="1:5" ht="60" customHeight="1">
      <c r="A8" s="27" t="s">
        <v>7646</v>
      </c>
      <c r="B8" s="27" t="s">
        <v>7649</v>
      </c>
      <c r="C8" s="27" t="s">
        <v>7650</v>
      </c>
      <c r="D8" s="27" t="s">
        <v>7637</v>
      </c>
      <c r="E8" s="27" t="s">
        <v>7633</v>
      </c>
    </row>
    <row r="9" spans="1:5" ht="45" customHeight="1">
      <c r="A9" s="27" t="s">
        <v>7646</v>
      </c>
      <c r="B9" s="27" t="s">
        <v>7651</v>
      </c>
      <c r="C9" s="27" t="s">
        <v>7652</v>
      </c>
      <c r="D9" s="27" t="s">
        <v>7637</v>
      </c>
      <c r="E9" s="27" t="s">
        <v>7633</v>
      </c>
    </row>
    <row r="10" spans="1:5" ht="60" customHeight="1">
      <c r="A10" s="27" t="s">
        <v>7646</v>
      </c>
      <c r="B10" s="27" t="s">
        <v>7653</v>
      </c>
      <c r="C10" s="27" t="s">
        <v>7654</v>
      </c>
      <c r="D10" s="27" t="s">
        <v>7637</v>
      </c>
      <c r="E10" s="27" t="s">
        <v>7633</v>
      </c>
    </row>
    <row r="11" spans="1:5" ht="30" customHeight="1">
      <c r="A11" s="27" t="s">
        <v>7646</v>
      </c>
      <c r="B11" s="27" t="s">
        <v>7655</v>
      </c>
      <c r="C11" s="27" t="s">
        <v>7656</v>
      </c>
      <c r="D11" s="27" t="s">
        <v>7637</v>
      </c>
      <c r="E11" s="27" t="s">
        <v>7633</v>
      </c>
    </row>
    <row r="12" spans="1:5" ht="60" customHeight="1">
      <c r="A12" s="27" t="s">
        <v>7629</v>
      </c>
      <c r="B12" s="27" t="s">
        <v>7657</v>
      </c>
      <c r="C12" s="27" t="s">
        <v>7658</v>
      </c>
      <c r="D12" s="27" t="s">
        <v>7637</v>
      </c>
      <c r="E12" s="27" t="s">
        <v>7633</v>
      </c>
    </row>
    <row r="13" spans="1:5" ht="60" customHeight="1">
      <c r="A13" s="27" t="s">
        <v>7629</v>
      </c>
      <c r="B13" s="27" t="s">
        <v>7659</v>
      </c>
      <c r="C13" s="27" t="s">
        <v>7660</v>
      </c>
      <c r="D13" s="27" t="s">
        <v>7637</v>
      </c>
      <c r="E13" s="27" t="s">
        <v>7633</v>
      </c>
    </row>
    <row r="14" spans="1:5" ht="30" customHeight="1">
      <c r="A14" s="27" t="s">
        <v>7629</v>
      </c>
      <c r="B14" s="27" t="s">
        <v>7661</v>
      </c>
      <c r="C14" s="27" t="s">
        <v>7662</v>
      </c>
      <c r="D14" s="27" t="s">
        <v>7637</v>
      </c>
      <c r="E14" s="27" t="s">
        <v>7633</v>
      </c>
    </row>
    <row r="15" spans="1:5" ht="60" customHeight="1">
      <c r="A15" s="27" t="s">
        <v>7629</v>
      </c>
      <c r="B15" s="27" t="s">
        <v>7663</v>
      </c>
      <c r="C15" s="27" t="s">
        <v>7664</v>
      </c>
      <c r="D15" s="27" t="s">
        <v>7637</v>
      </c>
      <c r="E15" s="27" t="s">
        <v>7633</v>
      </c>
    </row>
    <row r="16" spans="1:5" ht="120" customHeight="1">
      <c r="A16" s="27" t="s">
        <v>7665</v>
      </c>
      <c r="B16" s="27" t="s">
        <v>7666</v>
      </c>
      <c r="C16" s="27" t="s">
        <v>7667</v>
      </c>
      <c r="D16" s="27" t="s">
        <v>7637</v>
      </c>
      <c r="E16" s="27" t="s">
        <v>7633</v>
      </c>
    </row>
    <row r="17" spans="1:5" ht="105" customHeight="1">
      <c r="A17" s="27" t="s">
        <v>7668</v>
      </c>
      <c r="B17" s="27" t="s">
        <v>7669</v>
      </c>
      <c r="C17" s="27" t="s">
        <v>7670</v>
      </c>
      <c r="D17" s="27" t="s">
        <v>7632</v>
      </c>
      <c r="E17" s="27" t="s">
        <v>7633</v>
      </c>
    </row>
    <row r="18" spans="1:5" ht="105" customHeight="1">
      <c r="A18" s="27" t="s">
        <v>7668</v>
      </c>
      <c r="B18" s="27" t="s">
        <v>7671</v>
      </c>
      <c r="C18" s="27" t="s">
        <v>7672</v>
      </c>
      <c r="D18" s="27" t="s">
        <v>7637</v>
      </c>
      <c r="E18" s="27" t="s">
        <v>7633</v>
      </c>
    </row>
    <row r="19" spans="1:5" ht="75" customHeight="1">
      <c r="A19" s="27" t="s">
        <v>7668</v>
      </c>
      <c r="B19" s="27" t="s">
        <v>7673</v>
      </c>
      <c r="C19" s="27" t="s">
        <v>7674</v>
      </c>
      <c r="D19" s="27" t="s">
        <v>7637</v>
      </c>
      <c r="E19" s="27" t="s">
        <v>7633</v>
      </c>
    </row>
    <row r="20" spans="1:5" ht="120" customHeight="1">
      <c r="A20" s="27" t="s">
        <v>7675</v>
      </c>
      <c r="B20" s="27" t="s">
        <v>7676</v>
      </c>
      <c r="C20" s="27" t="s">
        <v>7677</v>
      </c>
      <c r="D20" s="27" t="s">
        <v>4</v>
      </c>
      <c r="E20" s="27" t="s">
        <v>7633</v>
      </c>
    </row>
    <row r="21" spans="1:5" ht="60" customHeight="1">
      <c r="A21" s="27" t="s">
        <v>7634</v>
      </c>
      <c r="B21" s="27" t="s">
        <v>7678</v>
      </c>
      <c r="C21" s="27" t="s">
        <v>7679</v>
      </c>
      <c r="D21" s="27" t="s">
        <v>7637</v>
      </c>
      <c r="E21" s="27" t="s">
        <v>7633</v>
      </c>
    </row>
    <row r="22" spans="1:5" ht="90" customHeight="1">
      <c r="A22" s="27" t="s">
        <v>7634</v>
      </c>
      <c r="B22" s="27" t="s">
        <v>7680</v>
      </c>
      <c r="C22" s="27" t="s">
        <v>7681</v>
      </c>
      <c r="D22" s="27" t="s">
        <v>7637</v>
      </c>
      <c r="E22" s="27" t="s">
        <v>7633</v>
      </c>
    </row>
    <row r="23" spans="1:5" ht="90" customHeight="1">
      <c r="A23" s="27" t="s">
        <v>7682</v>
      </c>
      <c r="B23" s="27" t="s">
        <v>7683</v>
      </c>
      <c r="C23" s="27" t="s">
        <v>7684</v>
      </c>
      <c r="D23" s="27" t="s">
        <v>7637</v>
      </c>
      <c r="E23" s="27" t="s">
        <v>7633</v>
      </c>
    </row>
    <row r="24" spans="1:5" ht="60" customHeight="1">
      <c r="A24" s="27" t="s">
        <v>7682</v>
      </c>
      <c r="B24" s="27" t="s">
        <v>7685</v>
      </c>
      <c r="C24" s="27" t="s">
        <v>7686</v>
      </c>
      <c r="D24" s="27" t="s">
        <v>7637</v>
      </c>
      <c r="E24" s="27" t="s">
        <v>7633</v>
      </c>
    </row>
    <row r="25" spans="1:5" ht="45" customHeight="1">
      <c r="A25" s="27" t="s">
        <v>7682</v>
      </c>
      <c r="B25" s="27" t="s">
        <v>7687</v>
      </c>
      <c r="C25" s="27" t="s">
        <v>7688</v>
      </c>
      <c r="D25" s="27" t="s">
        <v>7632</v>
      </c>
      <c r="E25" s="27" t="s">
        <v>7633</v>
      </c>
    </row>
    <row r="26" spans="1:5" ht="45" customHeight="1">
      <c r="A26" s="27" t="s">
        <v>7682</v>
      </c>
      <c r="B26" s="27" t="s">
        <v>7689</v>
      </c>
      <c r="C26" s="27" t="s">
        <v>7690</v>
      </c>
      <c r="D26" s="27" t="s">
        <v>7637</v>
      </c>
      <c r="E26" s="27" t="s">
        <v>7633</v>
      </c>
    </row>
    <row r="27" spans="1:5" ht="60" customHeight="1">
      <c r="A27" s="27" t="s">
        <v>7682</v>
      </c>
      <c r="B27" s="27" t="s">
        <v>7691</v>
      </c>
      <c r="C27" s="27" t="s">
        <v>7692</v>
      </c>
      <c r="D27" s="27" t="s">
        <v>7637</v>
      </c>
      <c r="E27" s="27" t="s">
        <v>7633</v>
      </c>
    </row>
    <row r="28" spans="1:5" ht="75" customHeight="1">
      <c r="A28" s="27" t="s">
        <v>7693</v>
      </c>
      <c r="B28" s="27" t="s">
        <v>7694</v>
      </c>
      <c r="C28" s="27" t="s">
        <v>7695</v>
      </c>
      <c r="D28" s="27" t="s">
        <v>7637</v>
      </c>
      <c r="E28" s="27" t="s">
        <v>7633</v>
      </c>
    </row>
    <row r="29" spans="1:5" ht="45" customHeight="1">
      <c r="A29" s="27" t="s">
        <v>7693</v>
      </c>
      <c r="B29" s="27" t="s">
        <v>7696</v>
      </c>
      <c r="C29" s="27" t="s">
        <v>7697</v>
      </c>
      <c r="D29" s="27" t="s">
        <v>7637</v>
      </c>
      <c r="E29" s="27" t="s">
        <v>7633</v>
      </c>
    </row>
    <row r="30" spans="1:5" ht="150" customHeight="1">
      <c r="A30" s="27" t="s">
        <v>7698</v>
      </c>
      <c r="B30" s="27" t="s">
        <v>7699</v>
      </c>
      <c r="C30" s="27" t="s">
        <v>7700</v>
      </c>
      <c r="D30" s="27" t="s">
        <v>7637</v>
      </c>
      <c r="E30" s="27" t="s">
        <v>7633</v>
      </c>
    </row>
    <row r="31" spans="1:5" ht="45" customHeight="1">
      <c r="A31" s="27" t="s">
        <v>7701</v>
      </c>
      <c r="B31" s="27" t="s">
        <v>7702</v>
      </c>
      <c r="C31" s="27" t="s">
        <v>7703</v>
      </c>
      <c r="D31" s="27" t="s">
        <v>7637</v>
      </c>
      <c r="E31" s="27" t="s">
        <v>7633</v>
      </c>
    </row>
    <row r="32" spans="1:5" ht="90" customHeight="1">
      <c r="A32" s="27" t="s">
        <v>7704</v>
      </c>
      <c r="B32" s="27" t="s">
        <v>7705</v>
      </c>
      <c r="C32" s="27" t="s">
        <v>7706</v>
      </c>
      <c r="D32" s="27" t="s">
        <v>7637</v>
      </c>
      <c r="E32" s="27" t="s">
        <v>7633</v>
      </c>
    </row>
    <row r="33" spans="1:5" ht="75" customHeight="1">
      <c r="A33" s="27" t="s">
        <v>7707</v>
      </c>
      <c r="B33" s="27" t="s">
        <v>7708</v>
      </c>
      <c r="C33" s="27" t="s">
        <v>7709</v>
      </c>
      <c r="D33" s="27" t="s">
        <v>7637</v>
      </c>
      <c r="E33" s="27" t="s">
        <v>7633</v>
      </c>
    </row>
    <row r="34" spans="1:5">
      <c r="A34" t="s">
        <v>7629</v>
      </c>
      <c r="B34" t="s">
        <v>7710</v>
      </c>
      <c r="C34" t="s">
        <v>7711</v>
      </c>
      <c r="D34" t="s">
        <v>7637</v>
      </c>
      <c r="E34" t="s">
        <v>7712</v>
      </c>
    </row>
    <row r="35" spans="1:5">
      <c r="A35" t="s">
        <v>7713</v>
      </c>
      <c r="B35" t="s">
        <v>7714</v>
      </c>
      <c r="C35" t="s">
        <v>7715</v>
      </c>
      <c r="D35" t="s">
        <v>7637</v>
      </c>
      <c r="E35" t="s">
        <v>7716</v>
      </c>
    </row>
    <row r="36" spans="1:5">
      <c r="A36" t="s">
        <v>7682</v>
      </c>
      <c r="B36" t="s">
        <v>7717</v>
      </c>
      <c r="C36" t="s">
        <v>7718</v>
      </c>
      <c r="D36" t="s">
        <v>7637</v>
      </c>
      <c r="E36" t="s">
        <v>7716</v>
      </c>
    </row>
    <row r="37" spans="1:5">
      <c r="A37" t="s">
        <v>7719</v>
      </c>
      <c r="B37" t="s">
        <v>7720</v>
      </c>
      <c r="C37" t="s">
        <v>7721</v>
      </c>
      <c r="D37" t="s">
        <v>7722</v>
      </c>
      <c r="E37" t="s">
        <v>7716</v>
      </c>
    </row>
    <row r="38" spans="1:5">
      <c r="A38" t="s">
        <v>7723</v>
      </c>
      <c r="B38" t="s">
        <v>7724</v>
      </c>
      <c r="C38" t="s">
        <v>7725</v>
      </c>
      <c r="D38" t="s">
        <v>7637</v>
      </c>
      <c r="E38" t="s">
        <v>7726</v>
      </c>
    </row>
    <row r="39" spans="1:5">
      <c r="A39" t="s">
        <v>7727</v>
      </c>
      <c r="B39" t="s">
        <v>7728</v>
      </c>
      <c r="C39" t="s">
        <v>7729</v>
      </c>
      <c r="D39" t="s">
        <v>7637</v>
      </c>
      <c r="E39" t="s">
        <v>7726</v>
      </c>
    </row>
    <row r="40" spans="1:5">
      <c r="A40" t="s">
        <v>7727</v>
      </c>
      <c r="B40" t="s">
        <v>7730</v>
      </c>
      <c r="C40" t="s">
        <v>7731</v>
      </c>
      <c r="D40" t="s">
        <v>7637</v>
      </c>
      <c r="E40" t="s">
        <v>7726</v>
      </c>
    </row>
    <row r="41" spans="1:5">
      <c r="A41" t="s">
        <v>7732</v>
      </c>
      <c r="B41" t="s">
        <v>7733</v>
      </c>
      <c r="C41" t="s">
        <v>7734</v>
      </c>
      <c r="D41" t="s">
        <v>7637</v>
      </c>
      <c r="E41" t="s">
        <v>7735</v>
      </c>
    </row>
    <row r="42" spans="1:5">
      <c r="A42" t="s">
        <v>7736</v>
      </c>
      <c r="B42" t="s">
        <v>7737</v>
      </c>
      <c r="C42" t="s">
        <v>7738</v>
      </c>
      <c r="D42" t="s">
        <v>7739</v>
      </c>
      <c r="E42" t="s">
        <v>7740</v>
      </c>
    </row>
    <row r="43" spans="1:5">
      <c r="A43" t="s">
        <v>7736</v>
      </c>
      <c r="B43" t="s">
        <v>7741</v>
      </c>
      <c r="C43" t="s">
        <v>7742</v>
      </c>
      <c r="D43" t="s">
        <v>7637</v>
      </c>
      <c r="E43" t="s">
        <v>7740</v>
      </c>
    </row>
    <row r="44" spans="1:5">
      <c r="A44" t="s">
        <v>7743</v>
      </c>
      <c r="B44" t="s">
        <v>7744</v>
      </c>
      <c r="C44" t="s">
        <v>7745</v>
      </c>
      <c r="D44" t="s">
        <v>7637</v>
      </c>
      <c r="E44" t="s">
        <v>7746</v>
      </c>
    </row>
    <row r="45" spans="1:5" ht="36" customHeight="1">
      <c r="A45" s="76" t="s">
        <v>7747</v>
      </c>
      <c r="B45" s="76" t="s">
        <v>7748</v>
      </c>
      <c r="C45" s="76" t="s">
        <v>7749</v>
      </c>
      <c r="D45" s="76" t="s">
        <v>7750</v>
      </c>
      <c r="E45" s="76" t="s">
        <v>7751</v>
      </c>
    </row>
    <row r="46" spans="1:5" ht="36" customHeight="1">
      <c r="A46" s="76" t="s">
        <v>7747</v>
      </c>
      <c r="B46" s="76" t="s">
        <v>7752</v>
      </c>
      <c r="C46" s="76" t="s">
        <v>7753</v>
      </c>
      <c r="D46" s="76" t="s">
        <v>7750</v>
      </c>
      <c r="E46" s="76" t="s">
        <v>7751</v>
      </c>
    </row>
    <row r="47" spans="1:5" ht="36" customHeight="1">
      <c r="A47" s="76" t="s">
        <v>7754</v>
      </c>
      <c r="B47" s="76" t="s">
        <v>7755</v>
      </c>
      <c r="C47" s="76" t="s">
        <v>7756</v>
      </c>
      <c r="D47" s="76" t="s">
        <v>7750</v>
      </c>
      <c r="E47" s="76" t="s">
        <v>7751</v>
      </c>
    </row>
    <row r="48" spans="1:5" ht="48" customHeight="1">
      <c r="A48" s="76" t="s">
        <v>7754</v>
      </c>
      <c r="B48" s="76" t="s">
        <v>7757</v>
      </c>
      <c r="C48" s="76" t="s">
        <v>7758</v>
      </c>
      <c r="D48" s="76" t="s">
        <v>7750</v>
      </c>
      <c r="E48" s="76" t="s">
        <v>7751</v>
      </c>
    </row>
    <row r="49" spans="1:5" ht="32.1" customHeight="1">
      <c r="A49" s="76" t="s">
        <v>7754</v>
      </c>
      <c r="B49" s="76" t="s">
        <v>7759</v>
      </c>
      <c r="C49" s="78">
        <f>SUM(Preisliste!F896,Preisliste!F891,Preisliste!F796,Preisliste!F784,Preisliste!F553,Preisliste!F821,Preisliste!F767)</f>
        <v>5.1950000000000003</v>
      </c>
      <c r="D49" s="76" t="s">
        <v>7750</v>
      </c>
      <c r="E49" s="76" t="s">
        <v>7751</v>
      </c>
    </row>
    <row r="50" spans="1:5" ht="32.1" customHeight="1">
      <c r="A50" s="76" t="s">
        <v>7754</v>
      </c>
      <c r="B50" s="76" t="s">
        <v>7760</v>
      </c>
      <c r="C50" s="78">
        <f>ROUNDUP(C49,2)</f>
        <v>5.2</v>
      </c>
      <c r="D50" s="76" t="s">
        <v>7750</v>
      </c>
      <c r="E50" s="76" t="s">
        <v>7751</v>
      </c>
    </row>
    <row r="51" spans="1:5" ht="32.1" customHeight="1">
      <c r="A51" s="76" t="s">
        <v>7754</v>
      </c>
      <c r="B51" s="76" t="s">
        <v>7761</v>
      </c>
      <c r="C51" s="78">
        <f>SUM(Preisliste!E896,Preisliste!E891,Preisliste!E796,Preisliste!E784,Preisliste!E553,Preisliste!E821,Preisliste!E767)</f>
        <v>4.55</v>
      </c>
      <c r="D51" s="76" t="s">
        <v>7750</v>
      </c>
      <c r="E51" s="76" t="s">
        <v>7751</v>
      </c>
    </row>
    <row r="52" spans="1:5" ht="48" customHeight="1">
      <c r="A52" s="76" t="s">
        <v>7754</v>
      </c>
      <c r="B52" s="76" t="s">
        <v>7762</v>
      </c>
      <c r="C52" s="76" t="s">
        <v>7763</v>
      </c>
      <c r="D52" s="76" t="s">
        <v>7750</v>
      </c>
      <c r="E52" s="76" t="s">
        <v>7751</v>
      </c>
    </row>
    <row r="53" spans="1:5" ht="48" customHeight="1">
      <c r="A53" s="76" t="s">
        <v>7754</v>
      </c>
      <c r="B53" s="76" t="s">
        <v>7764</v>
      </c>
      <c r="C53" s="76" t="s">
        <v>7765</v>
      </c>
      <c r="D53" s="76" t="s">
        <v>7750</v>
      </c>
      <c r="E53" s="76" t="s">
        <v>7751</v>
      </c>
    </row>
    <row r="54" spans="1:5" ht="48" customHeight="1">
      <c r="A54" s="76" t="s">
        <v>7747</v>
      </c>
      <c r="B54" s="76" t="s">
        <v>7766</v>
      </c>
      <c r="C54" s="76" t="s">
        <v>7767</v>
      </c>
      <c r="D54" s="76" t="s">
        <v>7750</v>
      </c>
      <c r="E54" s="76" t="s">
        <v>7751</v>
      </c>
    </row>
    <row r="55" spans="1:5" ht="36" customHeight="1">
      <c r="A55" s="76" t="s">
        <v>7747</v>
      </c>
      <c r="B55" s="76" t="s">
        <v>7768</v>
      </c>
      <c r="C55" s="76" t="s">
        <v>7769</v>
      </c>
      <c r="D55" s="76" t="s">
        <v>7750</v>
      </c>
      <c r="E55" s="76" t="s">
        <v>7751</v>
      </c>
    </row>
    <row r="56" spans="1:5" ht="36" customHeight="1">
      <c r="A56" s="76" t="s">
        <v>7747</v>
      </c>
      <c r="B56" s="76" t="s">
        <v>7770</v>
      </c>
      <c r="C56" s="76" t="s">
        <v>7771</v>
      </c>
      <c r="D56" s="76" t="s">
        <v>7637</v>
      </c>
      <c r="E56" s="76" t="s">
        <v>7751</v>
      </c>
    </row>
    <row r="57" spans="1:5" ht="36" customHeight="1">
      <c r="A57" s="76" t="s">
        <v>7772</v>
      </c>
      <c r="B57" s="76" t="s">
        <v>7773</v>
      </c>
      <c r="C57" s="76" t="s">
        <v>7774</v>
      </c>
      <c r="D57" s="76" t="s">
        <v>7750</v>
      </c>
      <c r="E57" s="76" t="s">
        <v>7751</v>
      </c>
    </row>
    <row r="58" spans="1:5" ht="36" customHeight="1">
      <c r="A58" s="76" t="s">
        <v>7772</v>
      </c>
      <c r="B58" s="76" t="s">
        <v>7775</v>
      </c>
      <c r="C58" s="76" t="s">
        <v>7776</v>
      </c>
      <c r="D58" s="76" t="s">
        <v>7750</v>
      </c>
      <c r="E58" s="76" t="s">
        <v>7751</v>
      </c>
    </row>
    <row r="59" spans="1:5" ht="36" customHeight="1">
      <c r="A59" s="76" t="s">
        <v>7772</v>
      </c>
      <c r="B59" s="76" t="s">
        <v>7777</v>
      </c>
      <c r="C59" s="76" t="s">
        <v>7778</v>
      </c>
      <c r="D59" s="76" t="s">
        <v>7750</v>
      </c>
      <c r="E59" s="76" t="s">
        <v>7751</v>
      </c>
    </row>
    <row r="60" spans="1:5" ht="36" customHeight="1">
      <c r="A60" s="76" t="s">
        <v>7772</v>
      </c>
      <c r="B60" s="76" t="s">
        <v>7779</v>
      </c>
      <c r="C60" s="76" t="s">
        <v>7780</v>
      </c>
      <c r="D60" s="76" t="s">
        <v>7750</v>
      </c>
      <c r="E60" s="76" t="s">
        <v>7751</v>
      </c>
    </row>
    <row r="61" spans="1:5" ht="36" customHeight="1">
      <c r="A61" s="76" t="s">
        <v>7772</v>
      </c>
      <c r="B61" s="76" t="s">
        <v>7781</v>
      </c>
      <c r="C61" s="76" t="s">
        <v>7782</v>
      </c>
      <c r="D61" s="76" t="s">
        <v>7750</v>
      </c>
      <c r="E61" s="76" t="s">
        <v>7751</v>
      </c>
    </row>
    <row r="62" spans="1:5" ht="36" customHeight="1">
      <c r="A62" s="76" t="s">
        <v>7772</v>
      </c>
      <c r="B62" s="76" t="s">
        <v>7783</v>
      </c>
      <c r="C62" s="76" t="s">
        <v>7784</v>
      </c>
      <c r="D62" s="76" t="s">
        <v>7750</v>
      </c>
      <c r="E62" s="76" t="s">
        <v>7751</v>
      </c>
    </row>
    <row r="63" spans="1:5" ht="36" customHeight="1">
      <c r="A63" s="76" t="s">
        <v>7772</v>
      </c>
      <c r="B63" s="76" t="s">
        <v>7785</v>
      </c>
      <c r="C63" s="76" t="s">
        <v>7786</v>
      </c>
      <c r="D63" s="76" t="s">
        <v>7750</v>
      </c>
      <c r="E63" s="76" t="s">
        <v>7751</v>
      </c>
    </row>
    <row r="64" spans="1:5" ht="36" customHeight="1">
      <c r="A64" s="76" t="s">
        <v>7772</v>
      </c>
      <c r="B64" s="76" t="s">
        <v>7787</v>
      </c>
      <c r="C64" s="76" t="s">
        <v>7788</v>
      </c>
      <c r="D64" s="76" t="s">
        <v>7750</v>
      </c>
      <c r="E64" s="76" t="s">
        <v>7751</v>
      </c>
    </row>
    <row r="65" spans="1:5" ht="24" customHeight="1">
      <c r="A65" s="76" t="s">
        <v>7772</v>
      </c>
      <c r="B65" s="76" t="s">
        <v>7789</v>
      </c>
      <c r="C65" s="76" t="s">
        <v>7790</v>
      </c>
      <c r="D65" s="76" t="s">
        <v>7750</v>
      </c>
      <c r="E65" s="76" t="s">
        <v>7751</v>
      </c>
    </row>
    <row r="66" spans="1:5" ht="36" customHeight="1">
      <c r="A66" s="76" t="s">
        <v>7772</v>
      </c>
      <c r="B66" s="76" t="s">
        <v>7791</v>
      </c>
      <c r="C66" s="76" t="s">
        <v>7792</v>
      </c>
      <c r="D66" s="76" t="s">
        <v>7750</v>
      </c>
      <c r="E66" s="76" t="s">
        <v>7751</v>
      </c>
    </row>
    <row r="67" spans="1:5" ht="24" customHeight="1">
      <c r="A67" s="76" t="s">
        <v>7772</v>
      </c>
      <c r="B67" s="76" t="s">
        <v>7793</v>
      </c>
      <c r="C67" s="76" t="s">
        <v>7794</v>
      </c>
      <c r="D67" s="76" t="s">
        <v>7750</v>
      </c>
      <c r="E67" s="76" t="s">
        <v>7751</v>
      </c>
    </row>
    <row r="68" spans="1:5" ht="36" customHeight="1">
      <c r="A68" s="76" t="s">
        <v>7772</v>
      </c>
      <c r="B68" s="76" t="s">
        <v>7795</v>
      </c>
      <c r="C68" s="76" t="s">
        <v>7796</v>
      </c>
      <c r="D68" s="76" t="s">
        <v>7750</v>
      </c>
      <c r="E68" s="76" t="s">
        <v>7751</v>
      </c>
    </row>
    <row r="69" spans="1:5" ht="36" customHeight="1">
      <c r="A69" s="76" t="s">
        <v>7772</v>
      </c>
      <c r="B69" s="76" t="s">
        <v>7797</v>
      </c>
      <c r="C69" s="76" t="s">
        <v>7798</v>
      </c>
      <c r="D69" s="76" t="s">
        <v>7750</v>
      </c>
      <c r="E69" s="76" t="s">
        <v>7751</v>
      </c>
    </row>
    <row r="70" spans="1:5" ht="36" customHeight="1">
      <c r="A70" s="76" t="s">
        <v>7772</v>
      </c>
      <c r="B70" s="76" t="s">
        <v>7799</v>
      </c>
      <c r="C70" s="76" t="s">
        <v>7800</v>
      </c>
      <c r="D70" s="76" t="s">
        <v>7750</v>
      </c>
      <c r="E70" s="76" t="s">
        <v>7751</v>
      </c>
    </row>
    <row r="71" spans="1:5" ht="36" customHeight="1">
      <c r="A71" s="76" t="s">
        <v>7772</v>
      </c>
      <c r="B71" s="76" t="s">
        <v>7801</v>
      </c>
      <c r="C71" s="76" t="s">
        <v>7802</v>
      </c>
      <c r="D71" s="76" t="s">
        <v>7750</v>
      </c>
      <c r="E71" s="76" t="s">
        <v>7751</v>
      </c>
    </row>
    <row r="72" spans="1:5" ht="36" customHeight="1">
      <c r="A72" s="76" t="s">
        <v>7772</v>
      </c>
      <c r="B72" s="76" t="s">
        <v>7803</v>
      </c>
      <c r="C72" s="76" t="s">
        <v>7804</v>
      </c>
      <c r="D72" s="76" t="s">
        <v>7750</v>
      </c>
      <c r="E72" s="76" t="s">
        <v>7751</v>
      </c>
    </row>
    <row r="73" spans="1:5" ht="36" customHeight="1">
      <c r="A73" s="76" t="s">
        <v>7772</v>
      </c>
      <c r="B73" s="76" t="s">
        <v>7805</v>
      </c>
      <c r="C73" s="76" t="s">
        <v>7806</v>
      </c>
      <c r="D73" s="76" t="s">
        <v>7750</v>
      </c>
      <c r="E73" s="76" t="s">
        <v>7751</v>
      </c>
    </row>
    <row r="74" spans="1:5" ht="36" customHeight="1">
      <c r="A74" s="76" t="s">
        <v>7772</v>
      </c>
      <c r="B74" s="76" t="s">
        <v>7807</v>
      </c>
      <c r="C74" s="76" t="s">
        <v>7808</v>
      </c>
      <c r="D74" s="76" t="s">
        <v>7750</v>
      </c>
      <c r="E74" s="76" t="s">
        <v>7751</v>
      </c>
    </row>
    <row r="75" spans="1:5" ht="36" customHeight="1">
      <c r="A75" s="76" t="s">
        <v>7772</v>
      </c>
      <c r="B75" s="76" t="s">
        <v>7809</v>
      </c>
      <c r="C75" s="76" t="s">
        <v>7810</v>
      </c>
      <c r="D75" s="76" t="s">
        <v>7750</v>
      </c>
      <c r="E75" s="76" t="s">
        <v>7751</v>
      </c>
    </row>
    <row r="76" spans="1:5" ht="36" customHeight="1">
      <c r="A76" s="76" t="s">
        <v>7772</v>
      </c>
      <c r="B76" s="76" t="s">
        <v>7811</v>
      </c>
      <c r="C76" s="76" t="s">
        <v>7812</v>
      </c>
      <c r="D76" s="76" t="s">
        <v>7750</v>
      </c>
      <c r="E76" s="76" t="s">
        <v>7751</v>
      </c>
    </row>
    <row r="77" spans="1:5" ht="36" customHeight="1">
      <c r="A77" s="76" t="s">
        <v>7772</v>
      </c>
      <c r="B77" s="76" t="s">
        <v>7813</v>
      </c>
      <c r="C77" s="76" t="s">
        <v>7814</v>
      </c>
      <c r="D77" s="76" t="s">
        <v>7750</v>
      </c>
      <c r="E77" s="76" t="s">
        <v>7751</v>
      </c>
    </row>
    <row r="78" spans="1:5" ht="36" customHeight="1">
      <c r="A78" s="76" t="s">
        <v>7772</v>
      </c>
      <c r="B78" s="76" t="s">
        <v>7815</v>
      </c>
      <c r="C78" s="76" t="s">
        <v>7816</v>
      </c>
      <c r="D78" s="76" t="s">
        <v>7750</v>
      </c>
      <c r="E78" s="76" t="s">
        <v>7751</v>
      </c>
    </row>
    <row r="79" spans="1:5" ht="36" customHeight="1">
      <c r="A79" s="76" t="s">
        <v>7772</v>
      </c>
      <c r="B79" s="76" t="s">
        <v>7817</v>
      </c>
      <c r="C79" s="76" t="s">
        <v>7818</v>
      </c>
      <c r="D79" s="76" t="s">
        <v>7750</v>
      </c>
      <c r="E79" s="76" t="s">
        <v>7751</v>
      </c>
    </row>
    <row r="80" spans="1:5" ht="36" customHeight="1">
      <c r="A80" s="76" t="s">
        <v>7772</v>
      </c>
      <c r="B80" s="76" t="s">
        <v>7819</v>
      </c>
      <c r="C80" s="76" t="s">
        <v>7820</v>
      </c>
      <c r="D80" s="76" t="s">
        <v>7750</v>
      </c>
      <c r="E80" s="76" t="s">
        <v>7751</v>
      </c>
    </row>
    <row r="81" spans="1:5" ht="24" customHeight="1">
      <c r="A81" s="76" t="s">
        <v>7772</v>
      </c>
      <c r="B81" s="76" t="s">
        <v>7821</v>
      </c>
      <c r="C81" s="76" t="s">
        <v>7822</v>
      </c>
      <c r="D81" s="76" t="s">
        <v>7750</v>
      </c>
      <c r="E81" s="76" t="s">
        <v>7751</v>
      </c>
    </row>
    <row r="82" spans="1:5" ht="24" customHeight="1">
      <c r="A82" s="76" t="s">
        <v>7772</v>
      </c>
      <c r="B82" s="76" t="s">
        <v>7823</v>
      </c>
      <c r="C82" s="76" t="s">
        <v>7824</v>
      </c>
      <c r="D82" s="76" t="s">
        <v>7750</v>
      </c>
      <c r="E82" s="76" t="s">
        <v>7751</v>
      </c>
    </row>
    <row r="83" spans="1:5" ht="36" customHeight="1">
      <c r="A83" s="76" t="s">
        <v>7772</v>
      </c>
      <c r="B83" s="76" t="s">
        <v>7825</v>
      </c>
      <c r="C83" s="76" t="s">
        <v>7826</v>
      </c>
      <c r="D83" s="76" t="s">
        <v>7750</v>
      </c>
      <c r="E83" s="76" t="s">
        <v>7751</v>
      </c>
    </row>
    <row r="84" spans="1:5" ht="36" customHeight="1">
      <c r="A84" s="76" t="s">
        <v>7772</v>
      </c>
      <c r="B84" s="76" t="s">
        <v>7827</v>
      </c>
      <c r="C84" s="76" t="s">
        <v>7828</v>
      </c>
      <c r="D84" s="76" t="s">
        <v>7750</v>
      </c>
      <c r="E84" s="76" t="s">
        <v>7751</v>
      </c>
    </row>
    <row r="85" spans="1:5" ht="24" customHeight="1">
      <c r="A85" s="76" t="s">
        <v>7772</v>
      </c>
      <c r="B85" s="76" t="s">
        <v>7829</v>
      </c>
      <c r="C85" s="76" t="s">
        <v>7830</v>
      </c>
      <c r="D85" s="76" t="s">
        <v>7750</v>
      </c>
      <c r="E85" s="76" t="s">
        <v>7751</v>
      </c>
    </row>
    <row r="86" spans="1:5" ht="36" customHeight="1">
      <c r="A86" s="76" t="s">
        <v>7772</v>
      </c>
      <c r="B86" s="76" t="s">
        <v>7831</v>
      </c>
      <c r="C86" s="76" t="s">
        <v>7832</v>
      </c>
      <c r="D86" s="76" t="s">
        <v>7750</v>
      </c>
      <c r="E86" s="76" t="s">
        <v>7751</v>
      </c>
    </row>
    <row r="87" spans="1:5" ht="36" customHeight="1">
      <c r="A87" s="76" t="s">
        <v>7772</v>
      </c>
      <c r="B87" s="76" t="s">
        <v>7833</v>
      </c>
      <c r="C87" s="76" t="s">
        <v>7834</v>
      </c>
      <c r="D87" s="76" t="s">
        <v>7750</v>
      </c>
      <c r="E87" s="76" t="s">
        <v>7751</v>
      </c>
    </row>
    <row r="88" spans="1:5" ht="36" customHeight="1">
      <c r="A88" s="76" t="s">
        <v>7772</v>
      </c>
      <c r="B88" s="76" t="s">
        <v>7835</v>
      </c>
      <c r="C88" s="76" t="s">
        <v>7836</v>
      </c>
      <c r="D88" s="76" t="s">
        <v>7750</v>
      </c>
      <c r="E88" s="76" t="s">
        <v>7751</v>
      </c>
    </row>
    <row r="89" spans="1:5" ht="36" customHeight="1">
      <c r="A89" s="76" t="s">
        <v>7772</v>
      </c>
      <c r="B89" s="76" t="s">
        <v>7837</v>
      </c>
      <c r="C89" s="76" t="s">
        <v>7838</v>
      </c>
      <c r="D89" s="76" t="s">
        <v>7750</v>
      </c>
      <c r="E89" s="76" t="s">
        <v>7751</v>
      </c>
    </row>
    <row r="90" spans="1:5" ht="36" customHeight="1">
      <c r="A90" s="76" t="s">
        <v>7772</v>
      </c>
      <c r="B90" s="76" t="s">
        <v>7839</v>
      </c>
      <c r="C90" s="76" t="s">
        <v>7840</v>
      </c>
      <c r="D90" s="76" t="s">
        <v>7750</v>
      </c>
      <c r="E90" s="76" t="s">
        <v>7751</v>
      </c>
    </row>
    <row r="91" spans="1:5" ht="24" customHeight="1">
      <c r="A91" s="76" t="s">
        <v>7772</v>
      </c>
      <c r="B91" s="76" t="s">
        <v>7841</v>
      </c>
      <c r="C91" s="76" t="s">
        <v>7842</v>
      </c>
      <c r="D91" s="76" t="s">
        <v>7750</v>
      </c>
      <c r="E91" s="76" t="s">
        <v>7751</v>
      </c>
    </row>
    <row r="92" spans="1:5" ht="24" customHeight="1">
      <c r="A92" s="76" t="s">
        <v>7772</v>
      </c>
      <c r="B92" s="76" t="s">
        <v>7843</v>
      </c>
      <c r="C92" s="76" t="s">
        <v>7844</v>
      </c>
      <c r="D92" s="76" t="s">
        <v>7750</v>
      </c>
      <c r="E92" s="76" t="s">
        <v>7751</v>
      </c>
    </row>
    <row r="93" spans="1:5" ht="24" customHeight="1">
      <c r="A93" s="76" t="s">
        <v>7772</v>
      </c>
      <c r="B93" s="76" t="s">
        <v>7845</v>
      </c>
      <c r="C93" s="76" t="s">
        <v>7846</v>
      </c>
      <c r="D93" s="76" t="s">
        <v>7750</v>
      </c>
      <c r="E93" s="76" t="s">
        <v>7751</v>
      </c>
    </row>
    <row r="94" spans="1:5" ht="24" customHeight="1">
      <c r="A94" s="76" t="s">
        <v>7772</v>
      </c>
      <c r="B94" s="76" t="s">
        <v>7847</v>
      </c>
      <c r="C94" s="76" t="s">
        <v>7848</v>
      </c>
      <c r="D94" s="76" t="s">
        <v>7750</v>
      </c>
      <c r="E94" s="76" t="s">
        <v>7751</v>
      </c>
    </row>
    <row r="95" spans="1:5" ht="36" customHeight="1">
      <c r="A95" s="76" t="s">
        <v>7772</v>
      </c>
      <c r="B95" s="76" t="s">
        <v>7849</v>
      </c>
      <c r="C95" s="76" t="s">
        <v>7850</v>
      </c>
      <c r="D95" s="76" t="s">
        <v>7750</v>
      </c>
      <c r="E95" s="76" t="s">
        <v>7751</v>
      </c>
    </row>
    <row r="96" spans="1:5" ht="36" customHeight="1">
      <c r="A96" s="76" t="s">
        <v>7772</v>
      </c>
      <c r="B96" s="76" t="s">
        <v>7851</v>
      </c>
      <c r="C96" s="76" t="s">
        <v>7852</v>
      </c>
      <c r="D96" s="76" t="s">
        <v>7750</v>
      </c>
      <c r="E96" s="76" t="s">
        <v>7751</v>
      </c>
    </row>
    <row r="97" spans="1:5" ht="36" customHeight="1">
      <c r="A97" s="76" t="s">
        <v>7772</v>
      </c>
      <c r="B97" s="76" t="s">
        <v>7853</v>
      </c>
      <c r="C97" s="76" t="s">
        <v>7854</v>
      </c>
      <c r="D97" s="76" t="s">
        <v>7750</v>
      </c>
      <c r="E97" s="76" t="s">
        <v>7751</v>
      </c>
    </row>
    <row r="98" spans="1:5" ht="36" customHeight="1">
      <c r="A98" s="76" t="s">
        <v>7772</v>
      </c>
      <c r="B98" s="76" t="s">
        <v>7855</v>
      </c>
      <c r="C98" s="76" t="s">
        <v>7856</v>
      </c>
      <c r="D98" s="76" t="s">
        <v>7750</v>
      </c>
      <c r="E98" s="76" t="s">
        <v>7751</v>
      </c>
    </row>
    <row r="99" spans="1:5" ht="36" customHeight="1">
      <c r="A99" s="76" t="s">
        <v>7772</v>
      </c>
      <c r="B99" s="76" t="s">
        <v>7857</v>
      </c>
      <c r="C99" s="76" t="s">
        <v>7858</v>
      </c>
      <c r="D99" s="76" t="s">
        <v>7750</v>
      </c>
      <c r="E99" s="76" t="s">
        <v>7751</v>
      </c>
    </row>
    <row r="100" spans="1:5" ht="24" customHeight="1">
      <c r="A100" s="76" t="s">
        <v>7772</v>
      </c>
      <c r="B100" s="76" t="s">
        <v>7859</v>
      </c>
      <c r="C100" s="76" t="s">
        <v>7860</v>
      </c>
      <c r="D100" s="76" t="s">
        <v>7750</v>
      </c>
      <c r="E100" s="76" t="s">
        <v>7751</v>
      </c>
    </row>
    <row r="101" spans="1:5" ht="36" customHeight="1">
      <c r="A101" s="76" t="s">
        <v>7772</v>
      </c>
      <c r="B101" s="76" t="s">
        <v>7861</v>
      </c>
      <c r="C101" s="76" t="s">
        <v>7862</v>
      </c>
      <c r="D101" s="76" t="s">
        <v>7750</v>
      </c>
      <c r="E101" s="76" t="s">
        <v>7751</v>
      </c>
    </row>
    <row r="102" spans="1:5" ht="36" customHeight="1">
      <c r="A102" s="76" t="s">
        <v>7772</v>
      </c>
      <c r="B102" s="76" t="s">
        <v>7863</v>
      </c>
      <c r="C102" s="76" t="s">
        <v>7864</v>
      </c>
      <c r="D102" s="76" t="s">
        <v>7750</v>
      </c>
      <c r="E102" s="76" t="s">
        <v>7751</v>
      </c>
    </row>
    <row r="103" spans="1:5" ht="36" customHeight="1">
      <c r="A103" s="76" t="s">
        <v>7772</v>
      </c>
      <c r="B103" s="76" t="s">
        <v>7865</v>
      </c>
      <c r="C103" s="76" t="s">
        <v>7866</v>
      </c>
      <c r="D103" s="76" t="s">
        <v>7750</v>
      </c>
      <c r="E103" s="76" t="s">
        <v>7751</v>
      </c>
    </row>
    <row r="104" spans="1:5" ht="36" customHeight="1">
      <c r="A104" s="76" t="s">
        <v>7772</v>
      </c>
      <c r="B104" s="76" t="s">
        <v>7867</v>
      </c>
      <c r="C104" s="76" t="s">
        <v>7868</v>
      </c>
      <c r="D104" s="76" t="s">
        <v>7750</v>
      </c>
      <c r="E104" s="76" t="s">
        <v>7751</v>
      </c>
    </row>
    <row r="105" spans="1:5" ht="36" customHeight="1">
      <c r="A105" s="76" t="s">
        <v>7772</v>
      </c>
      <c r="B105" s="76" t="s">
        <v>7869</v>
      </c>
      <c r="C105" s="76" t="s">
        <v>7870</v>
      </c>
      <c r="D105" s="76" t="s">
        <v>7750</v>
      </c>
      <c r="E105" s="76" t="s">
        <v>7751</v>
      </c>
    </row>
    <row r="106" spans="1:5" ht="24" customHeight="1">
      <c r="A106" s="76" t="s">
        <v>7772</v>
      </c>
      <c r="B106" s="76" t="s">
        <v>7871</v>
      </c>
      <c r="C106" s="76" t="s">
        <v>7872</v>
      </c>
      <c r="D106" s="76" t="s">
        <v>7750</v>
      </c>
      <c r="E106" s="76" t="s">
        <v>7751</v>
      </c>
    </row>
    <row r="107" spans="1:5" ht="36" customHeight="1">
      <c r="A107" s="76" t="s">
        <v>7772</v>
      </c>
      <c r="B107" s="76" t="s">
        <v>7873</v>
      </c>
      <c r="C107" s="76" t="s">
        <v>7874</v>
      </c>
      <c r="D107" s="76" t="s">
        <v>7750</v>
      </c>
      <c r="E107" s="76" t="s">
        <v>7751</v>
      </c>
    </row>
    <row r="108" spans="1:5" ht="36" customHeight="1">
      <c r="A108" s="76" t="s">
        <v>7772</v>
      </c>
      <c r="B108" s="76" t="s">
        <v>7875</v>
      </c>
      <c r="C108" s="76" t="s">
        <v>7876</v>
      </c>
      <c r="D108" s="76" t="s">
        <v>7750</v>
      </c>
      <c r="E108" s="76" t="s">
        <v>7751</v>
      </c>
    </row>
    <row r="109" spans="1:5" ht="24" customHeight="1">
      <c r="A109" s="76" t="s">
        <v>7772</v>
      </c>
      <c r="B109" s="76" t="s">
        <v>7877</v>
      </c>
      <c r="C109" s="76" t="s">
        <v>7878</v>
      </c>
      <c r="D109" s="76" t="s">
        <v>7750</v>
      </c>
      <c r="E109" s="76" t="s">
        <v>7751</v>
      </c>
    </row>
    <row r="110" spans="1:5" ht="36" customHeight="1">
      <c r="A110" s="76" t="s">
        <v>7772</v>
      </c>
      <c r="B110" s="76" t="s">
        <v>7879</v>
      </c>
      <c r="C110" s="76" t="s">
        <v>7880</v>
      </c>
      <c r="D110" s="76" t="s">
        <v>7750</v>
      </c>
      <c r="E110" s="76" t="s">
        <v>7751</v>
      </c>
    </row>
    <row r="111" spans="1:5" ht="36" customHeight="1">
      <c r="A111" s="76" t="s">
        <v>7772</v>
      </c>
      <c r="B111" s="76" t="s">
        <v>7881</v>
      </c>
      <c r="C111" s="76" t="s">
        <v>7882</v>
      </c>
      <c r="D111" s="76" t="s">
        <v>7750</v>
      </c>
      <c r="E111" s="76" t="s">
        <v>7751</v>
      </c>
    </row>
    <row r="112" spans="1:5" ht="36" customHeight="1">
      <c r="A112" s="76" t="s">
        <v>7772</v>
      </c>
      <c r="B112" s="76" t="s">
        <v>7883</v>
      </c>
      <c r="C112" s="76" t="s">
        <v>7884</v>
      </c>
      <c r="D112" s="76" t="s">
        <v>7750</v>
      </c>
      <c r="E112" s="76" t="s">
        <v>7751</v>
      </c>
    </row>
    <row r="113" spans="1:5" ht="36" customHeight="1">
      <c r="A113" s="76" t="s">
        <v>7772</v>
      </c>
      <c r="B113" s="76" t="s">
        <v>7885</v>
      </c>
      <c r="C113" s="76" t="s">
        <v>7886</v>
      </c>
      <c r="D113" s="76" t="s">
        <v>7750</v>
      </c>
      <c r="E113" s="76" t="s">
        <v>7751</v>
      </c>
    </row>
    <row r="114" spans="1:5" ht="36" customHeight="1">
      <c r="A114" s="76" t="s">
        <v>7772</v>
      </c>
      <c r="B114" s="76" t="s">
        <v>7887</v>
      </c>
      <c r="C114" s="76" t="s">
        <v>7888</v>
      </c>
      <c r="D114" s="76" t="s">
        <v>7750</v>
      </c>
      <c r="E114" s="76" t="s">
        <v>7751</v>
      </c>
    </row>
    <row r="115" spans="1:5" ht="36" customHeight="1">
      <c r="A115" s="76" t="s">
        <v>7772</v>
      </c>
      <c r="B115" s="76" t="s">
        <v>7889</v>
      </c>
      <c r="C115" s="76" t="s">
        <v>7890</v>
      </c>
      <c r="D115" s="76" t="s">
        <v>7750</v>
      </c>
      <c r="E115" s="76" t="s">
        <v>7751</v>
      </c>
    </row>
    <row r="116" spans="1:5" ht="36" customHeight="1">
      <c r="A116" s="76" t="s">
        <v>7772</v>
      </c>
      <c r="B116" s="76" t="s">
        <v>7891</v>
      </c>
      <c r="C116" s="76" t="s">
        <v>7892</v>
      </c>
      <c r="D116" s="76" t="s">
        <v>7750</v>
      </c>
      <c r="E116" s="76" t="s">
        <v>7751</v>
      </c>
    </row>
    <row r="117" spans="1:5" ht="36" customHeight="1">
      <c r="A117" s="76" t="s">
        <v>7772</v>
      </c>
      <c r="B117" s="76" t="s">
        <v>7893</v>
      </c>
      <c r="C117" s="76" t="s">
        <v>7894</v>
      </c>
      <c r="D117" s="76" t="s">
        <v>7750</v>
      </c>
      <c r="E117" s="76" t="s">
        <v>7751</v>
      </c>
    </row>
    <row r="118" spans="1:5" ht="36" customHeight="1">
      <c r="A118" s="76" t="s">
        <v>7772</v>
      </c>
      <c r="B118" s="76" t="s">
        <v>7895</v>
      </c>
      <c r="C118" s="76" t="s">
        <v>7896</v>
      </c>
      <c r="D118" s="76" t="s">
        <v>7750</v>
      </c>
      <c r="E118" s="76" t="s">
        <v>7751</v>
      </c>
    </row>
    <row r="119" spans="1:5" ht="24" customHeight="1">
      <c r="A119" s="76" t="s">
        <v>7772</v>
      </c>
      <c r="B119" s="76" t="s">
        <v>7897</v>
      </c>
      <c r="C119" s="76" t="s">
        <v>7898</v>
      </c>
      <c r="D119" s="76" t="s">
        <v>7750</v>
      </c>
      <c r="E119" s="76" t="s">
        <v>7751</v>
      </c>
    </row>
    <row r="120" spans="1:5" ht="24" customHeight="1">
      <c r="A120" s="76" t="s">
        <v>7772</v>
      </c>
      <c r="B120" s="76" t="s">
        <v>7899</v>
      </c>
      <c r="C120" s="76" t="s">
        <v>7900</v>
      </c>
      <c r="D120" s="76" t="s">
        <v>7750</v>
      </c>
      <c r="E120" s="76" t="s">
        <v>7751</v>
      </c>
    </row>
    <row r="121" spans="1:5" ht="36" customHeight="1">
      <c r="A121" s="76" t="s">
        <v>7772</v>
      </c>
      <c r="B121" s="76" t="s">
        <v>7901</v>
      </c>
      <c r="C121" s="76" t="s">
        <v>7902</v>
      </c>
      <c r="D121" s="76" t="s">
        <v>7750</v>
      </c>
      <c r="E121" s="76" t="s">
        <v>7751</v>
      </c>
    </row>
    <row r="122" spans="1:5" ht="36" customHeight="1">
      <c r="A122" s="76" t="s">
        <v>7772</v>
      </c>
      <c r="B122" s="76" t="s">
        <v>7903</v>
      </c>
      <c r="C122" s="76" t="s">
        <v>7904</v>
      </c>
      <c r="D122" s="76" t="s">
        <v>7750</v>
      </c>
      <c r="E122" s="76" t="s">
        <v>7751</v>
      </c>
    </row>
    <row r="123" spans="1:5" ht="36" customHeight="1">
      <c r="A123" s="76" t="s">
        <v>7772</v>
      </c>
      <c r="B123" s="76" t="s">
        <v>7905</v>
      </c>
      <c r="C123" s="76" t="s">
        <v>7906</v>
      </c>
      <c r="D123" s="76" t="s">
        <v>7750</v>
      </c>
      <c r="E123" s="76" t="s">
        <v>7751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23"/>
  <sheetViews>
    <sheetView workbookViewId="0"/>
  </sheetViews>
  <sheetFormatPr baseColWidth="10" defaultColWidth="9.140625" defaultRowHeight="15"/>
  <sheetData>
    <row r="1" spans="1:14">
      <c r="A1" t="s">
        <v>7907</v>
      </c>
      <c r="B1" t="s">
        <v>7908</v>
      </c>
      <c r="C1" t="s">
        <v>7909</v>
      </c>
      <c r="D1" t="s">
        <v>7910</v>
      </c>
      <c r="E1" t="s">
        <v>7911</v>
      </c>
      <c r="F1" t="s">
        <v>7912</v>
      </c>
      <c r="G1" t="s">
        <v>7913</v>
      </c>
      <c r="H1" t="s">
        <v>7914</v>
      </c>
      <c r="I1" t="s">
        <v>7915</v>
      </c>
      <c r="J1" t="s">
        <v>7916</v>
      </c>
      <c r="K1" t="s">
        <v>7357</v>
      </c>
      <c r="L1" t="s">
        <v>7285</v>
      </c>
      <c r="M1" t="s">
        <v>7286</v>
      </c>
      <c r="N1" t="s">
        <v>5455</v>
      </c>
    </row>
    <row r="2" spans="1:14">
      <c r="A2" t="s">
        <v>5524</v>
      </c>
      <c r="B2">
        <v>-3</v>
      </c>
      <c r="C2">
        <v>2</v>
      </c>
      <c r="D2">
        <v>2</v>
      </c>
      <c r="E2">
        <v>-1.5</v>
      </c>
      <c r="F2">
        <v>-11</v>
      </c>
      <c r="G2">
        <v>-10</v>
      </c>
      <c r="H2">
        <v>-5</v>
      </c>
      <c r="I2">
        <v>0.5</v>
      </c>
      <c r="J2">
        <v>0.2</v>
      </c>
      <c r="L2">
        <v>1</v>
      </c>
      <c r="M2">
        <v>1</v>
      </c>
    </row>
    <row r="3" spans="1:14">
      <c r="A3" t="s">
        <v>7917</v>
      </c>
      <c r="B3">
        <v>-2</v>
      </c>
      <c r="C3">
        <v>1</v>
      </c>
      <c r="D3">
        <v>2</v>
      </c>
      <c r="E3">
        <v>-1</v>
      </c>
      <c r="F3">
        <v>-4</v>
      </c>
      <c r="G3">
        <v>-5</v>
      </c>
      <c r="H3">
        <v>-3</v>
      </c>
      <c r="I3">
        <v>0.7</v>
      </c>
      <c r="J3">
        <v>0.3</v>
      </c>
      <c r="L3">
        <v>2</v>
      </c>
      <c r="M3">
        <v>2</v>
      </c>
    </row>
    <row r="4" spans="1:14">
      <c r="A4" t="s">
        <v>7308</v>
      </c>
      <c r="B4">
        <v>0</v>
      </c>
      <c r="C4">
        <v>3</v>
      </c>
      <c r="D4">
        <v>3</v>
      </c>
      <c r="E4">
        <v>0</v>
      </c>
      <c r="F4">
        <v>-20</v>
      </c>
      <c r="G4">
        <v>-15</v>
      </c>
      <c r="H4">
        <v>-7</v>
      </c>
      <c r="I4">
        <v>0.45</v>
      </c>
      <c r="J4">
        <v>0.1</v>
      </c>
      <c r="L4">
        <v>1</v>
      </c>
      <c r="M4">
        <v>1</v>
      </c>
    </row>
    <row r="5" spans="1:14">
      <c r="A5" t="s">
        <v>7918</v>
      </c>
      <c r="B5">
        <v>-6</v>
      </c>
      <c r="C5">
        <v>3</v>
      </c>
      <c r="D5">
        <v>4</v>
      </c>
      <c r="E5">
        <v>-2</v>
      </c>
      <c r="F5">
        <v>-11</v>
      </c>
      <c r="G5">
        <v>-5</v>
      </c>
      <c r="H5">
        <v>3</v>
      </c>
      <c r="I5">
        <v>0.4</v>
      </c>
      <c r="J5">
        <v>6</v>
      </c>
      <c r="K5" t="s">
        <v>7919</v>
      </c>
      <c r="L5">
        <v>4</v>
      </c>
      <c r="M5">
        <v>4</v>
      </c>
      <c r="N5" t="s">
        <v>5462</v>
      </c>
    </row>
    <row r="6" spans="1:14">
      <c r="A6" t="s">
        <v>7312</v>
      </c>
      <c r="B6">
        <v>0</v>
      </c>
      <c r="C6">
        <v>1</v>
      </c>
      <c r="D6">
        <v>2</v>
      </c>
      <c r="E6">
        <v>-1</v>
      </c>
      <c r="F6">
        <v>-2</v>
      </c>
      <c r="G6">
        <v>0</v>
      </c>
      <c r="H6">
        <v>-4</v>
      </c>
      <c r="I6">
        <v>0.5</v>
      </c>
      <c r="J6">
        <v>3</v>
      </c>
      <c r="L6">
        <v>5</v>
      </c>
      <c r="M6">
        <v>2</v>
      </c>
      <c r="N6" t="s">
        <v>7313</v>
      </c>
    </row>
    <row r="7" spans="1:14">
      <c r="A7" t="s">
        <v>7920</v>
      </c>
      <c r="B7">
        <v>0</v>
      </c>
      <c r="C7">
        <v>1</v>
      </c>
      <c r="D7">
        <v>2</v>
      </c>
      <c r="E7">
        <v>-1</v>
      </c>
      <c r="F7">
        <v>-2</v>
      </c>
      <c r="G7">
        <v>0</v>
      </c>
      <c r="H7">
        <v>-3</v>
      </c>
      <c r="I7">
        <v>0.5</v>
      </c>
      <c r="J7" t="s">
        <v>7921</v>
      </c>
      <c r="L7" t="s">
        <v>3432</v>
      </c>
      <c r="M7" t="s">
        <v>3432</v>
      </c>
    </row>
    <row r="8" spans="1:14">
      <c r="A8" t="s">
        <v>5525</v>
      </c>
      <c r="B8">
        <v>0</v>
      </c>
      <c r="C8">
        <v>-3</v>
      </c>
      <c r="D8">
        <v>-2</v>
      </c>
      <c r="E8">
        <v>1</v>
      </c>
      <c r="F8">
        <v>-2</v>
      </c>
      <c r="G8">
        <v>-3</v>
      </c>
      <c r="H8">
        <v>-3</v>
      </c>
      <c r="I8">
        <v>1.3</v>
      </c>
      <c r="J8">
        <v>0.25</v>
      </c>
      <c r="L8">
        <v>1</v>
      </c>
      <c r="M8">
        <v>1</v>
      </c>
      <c r="N8" t="s">
        <v>5466</v>
      </c>
    </row>
    <row r="9" spans="1:14">
      <c r="A9" t="s">
        <v>7306</v>
      </c>
      <c r="B9">
        <v>0</v>
      </c>
      <c r="C9">
        <v>-2</v>
      </c>
      <c r="D9">
        <v>-1</v>
      </c>
      <c r="E9">
        <v>1</v>
      </c>
      <c r="F9">
        <v>-2</v>
      </c>
      <c r="G9">
        <v>-2</v>
      </c>
      <c r="H9">
        <v>-1</v>
      </c>
      <c r="I9">
        <v>1.1000000000000001</v>
      </c>
      <c r="J9">
        <v>0.5</v>
      </c>
      <c r="L9">
        <v>5</v>
      </c>
      <c r="M9">
        <v>1</v>
      </c>
      <c r="N9" t="s">
        <v>7307</v>
      </c>
    </row>
    <row r="10" spans="1:14">
      <c r="A10" t="s">
        <v>7300</v>
      </c>
      <c r="B10">
        <v>3</v>
      </c>
      <c r="C10">
        <v>0</v>
      </c>
      <c r="D10">
        <v>1</v>
      </c>
      <c r="E10">
        <v>-0.5</v>
      </c>
      <c r="F10">
        <v>3</v>
      </c>
      <c r="G10">
        <v>3</v>
      </c>
      <c r="H10">
        <v>6</v>
      </c>
      <c r="I10">
        <v>0.8</v>
      </c>
      <c r="J10">
        <v>1.75</v>
      </c>
      <c r="K10" t="s">
        <v>7922</v>
      </c>
      <c r="L10">
        <v>7</v>
      </c>
      <c r="M10">
        <v>7</v>
      </c>
      <c r="N10" t="s">
        <v>5462</v>
      </c>
    </row>
    <row r="11" spans="1:14">
      <c r="A11" t="s">
        <v>7314</v>
      </c>
      <c r="B11">
        <v>-1</v>
      </c>
      <c r="C11">
        <v>-1</v>
      </c>
      <c r="D11">
        <v>0</v>
      </c>
      <c r="E11">
        <v>0.5</v>
      </c>
      <c r="F11">
        <v>-2</v>
      </c>
      <c r="G11">
        <v>-2</v>
      </c>
      <c r="H11">
        <v>-2</v>
      </c>
      <c r="I11">
        <v>1.1000000000000001</v>
      </c>
      <c r="J11">
        <v>0.5</v>
      </c>
      <c r="L11">
        <v>1</v>
      </c>
      <c r="M11">
        <v>1</v>
      </c>
      <c r="N11" t="s">
        <v>7315</v>
      </c>
    </row>
    <row r="12" spans="1:14">
      <c r="A12" t="s">
        <v>7287</v>
      </c>
      <c r="B12">
        <v>0</v>
      </c>
      <c r="C12">
        <v>-1</v>
      </c>
      <c r="D12">
        <v>0</v>
      </c>
      <c r="E12">
        <v>0</v>
      </c>
      <c r="F12">
        <v>-1</v>
      </c>
      <c r="G12">
        <v>-1</v>
      </c>
      <c r="H12">
        <v>-1</v>
      </c>
      <c r="I12">
        <v>1.1000000000000001</v>
      </c>
      <c r="J12">
        <v>0.75</v>
      </c>
      <c r="L12">
        <v>1</v>
      </c>
      <c r="M12">
        <v>1</v>
      </c>
      <c r="N12" t="s">
        <v>7288</v>
      </c>
    </row>
    <row r="13" spans="1:14">
      <c r="A13" t="s">
        <v>7923</v>
      </c>
      <c r="B13">
        <v>0</v>
      </c>
      <c r="C13">
        <v>0</v>
      </c>
      <c r="D13">
        <v>0</v>
      </c>
      <c r="E13">
        <v>0</v>
      </c>
      <c r="F13">
        <v>0</v>
      </c>
      <c r="G13">
        <v>0</v>
      </c>
      <c r="H13">
        <v>0</v>
      </c>
      <c r="I13">
        <v>1</v>
      </c>
      <c r="J13">
        <v>1</v>
      </c>
      <c r="K13" t="s">
        <v>7924</v>
      </c>
      <c r="L13">
        <v>1</v>
      </c>
      <c r="M13">
        <v>1</v>
      </c>
      <c r="N13" t="s">
        <v>7288</v>
      </c>
    </row>
    <row r="14" spans="1:14">
      <c r="A14" t="s">
        <v>7289</v>
      </c>
      <c r="B14">
        <v>1</v>
      </c>
      <c r="C14">
        <v>0</v>
      </c>
      <c r="D14">
        <v>1</v>
      </c>
      <c r="E14">
        <v>-0.5</v>
      </c>
      <c r="F14">
        <v>1</v>
      </c>
      <c r="G14">
        <v>1</v>
      </c>
      <c r="H14">
        <v>2</v>
      </c>
      <c r="I14">
        <v>0.9</v>
      </c>
      <c r="J14">
        <v>2.5</v>
      </c>
      <c r="L14">
        <v>1</v>
      </c>
      <c r="M14">
        <v>2</v>
      </c>
      <c r="N14" t="s">
        <v>7290</v>
      </c>
    </row>
    <row r="15" spans="1:14">
      <c r="A15" t="s">
        <v>7925</v>
      </c>
      <c r="B15">
        <v>1</v>
      </c>
      <c r="C15">
        <v>0</v>
      </c>
      <c r="D15">
        <v>1</v>
      </c>
      <c r="E15">
        <v>-0.5</v>
      </c>
      <c r="F15">
        <v>2</v>
      </c>
      <c r="G15">
        <v>2</v>
      </c>
      <c r="H15">
        <v>3</v>
      </c>
      <c r="I15">
        <v>0.9</v>
      </c>
      <c r="J15">
        <v>3.5</v>
      </c>
      <c r="L15">
        <v>2</v>
      </c>
      <c r="M15">
        <v>4</v>
      </c>
      <c r="N15" t="s">
        <v>7292</v>
      </c>
    </row>
    <row r="16" spans="1:14">
      <c r="A16" t="s">
        <v>7293</v>
      </c>
      <c r="B16">
        <v>2</v>
      </c>
      <c r="C16">
        <v>0</v>
      </c>
      <c r="D16">
        <v>1</v>
      </c>
      <c r="E16">
        <v>-0.5</v>
      </c>
      <c r="F16">
        <v>3</v>
      </c>
      <c r="G16">
        <v>3</v>
      </c>
      <c r="H16">
        <v>5</v>
      </c>
      <c r="I16">
        <v>0.8</v>
      </c>
      <c r="J16">
        <v>5</v>
      </c>
      <c r="K16" t="s">
        <v>7922</v>
      </c>
      <c r="L16">
        <v>3</v>
      </c>
      <c r="M16">
        <v>5</v>
      </c>
      <c r="N16" t="s">
        <v>7292</v>
      </c>
    </row>
    <row r="17" spans="1:14">
      <c r="A17" t="s">
        <v>7294</v>
      </c>
      <c r="B17">
        <v>-1</v>
      </c>
      <c r="C17">
        <v>1</v>
      </c>
      <c r="D17">
        <v>2</v>
      </c>
      <c r="E17">
        <v>-2</v>
      </c>
      <c r="F17">
        <v>0</v>
      </c>
      <c r="G17">
        <v>2</v>
      </c>
      <c r="H17">
        <v>2</v>
      </c>
      <c r="I17">
        <v>0.5</v>
      </c>
      <c r="J17">
        <v>25</v>
      </c>
      <c r="L17">
        <v>7</v>
      </c>
      <c r="M17">
        <v>7</v>
      </c>
      <c r="N17" t="s">
        <v>7295</v>
      </c>
    </row>
    <row r="18" spans="1:14">
      <c r="A18" t="s">
        <v>7302</v>
      </c>
      <c r="B18">
        <v>3</v>
      </c>
      <c r="C18">
        <v>0</v>
      </c>
      <c r="D18">
        <v>1</v>
      </c>
      <c r="E18">
        <v>-0.5</v>
      </c>
      <c r="F18">
        <v>3</v>
      </c>
      <c r="G18" t="s">
        <v>7926</v>
      </c>
      <c r="H18">
        <v>7</v>
      </c>
      <c r="I18">
        <v>0.8</v>
      </c>
      <c r="J18">
        <v>5000</v>
      </c>
      <c r="K18" t="s">
        <v>7927</v>
      </c>
      <c r="L18" t="s">
        <v>3432</v>
      </c>
      <c r="M18" t="s">
        <v>3432</v>
      </c>
      <c r="N18" t="s">
        <v>7303</v>
      </c>
    </row>
    <row r="19" spans="1:14">
      <c r="A19" t="s">
        <v>7297</v>
      </c>
      <c r="B19">
        <v>0</v>
      </c>
      <c r="C19">
        <v>-1</v>
      </c>
      <c r="D19">
        <v>0</v>
      </c>
      <c r="E19">
        <v>0</v>
      </c>
      <c r="F19">
        <v>-1</v>
      </c>
      <c r="G19">
        <v>-1</v>
      </c>
      <c r="H19">
        <v>-1</v>
      </c>
      <c r="I19">
        <v>1</v>
      </c>
      <c r="J19">
        <v>3.5</v>
      </c>
      <c r="L19">
        <v>5</v>
      </c>
      <c r="M19">
        <v>6</v>
      </c>
      <c r="N19" t="s">
        <v>7298</v>
      </c>
    </row>
    <row r="20" spans="1:14">
      <c r="A20" t="s">
        <v>7311</v>
      </c>
      <c r="B20">
        <v>-1</v>
      </c>
      <c r="C20">
        <v>-3</v>
      </c>
      <c r="D20">
        <v>-2</v>
      </c>
      <c r="E20">
        <v>-1</v>
      </c>
      <c r="F20">
        <v>-4</v>
      </c>
      <c r="G20">
        <v>-5</v>
      </c>
      <c r="H20">
        <v>-1</v>
      </c>
      <c r="I20">
        <v>1.1000000000000001</v>
      </c>
      <c r="J20">
        <v>3.5</v>
      </c>
      <c r="L20">
        <v>7</v>
      </c>
      <c r="M20">
        <v>3</v>
      </c>
      <c r="N20" t="s">
        <v>7307</v>
      </c>
    </row>
    <row r="21" spans="1:14">
      <c r="A21" t="s">
        <v>7299</v>
      </c>
      <c r="B21">
        <v>0</v>
      </c>
      <c r="C21">
        <v>-1</v>
      </c>
      <c r="D21">
        <v>-1</v>
      </c>
      <c r="E21">
        <v>-1</v>
      </c>
      <c r="F21">
        <v>-1</v>
      </c>
      <c r="G21">
        <v>-1</v>
      </c>
      <c r="H21">
        <v>-1</v>
      </c>
      <c r="I21">
        <v>1.2</v>
      </c>
      <c r="J21">
        <v>30</v>
      </c>
      <c r="L21">
        <v>7</v>
      </c>
      <c r="M21">
        <v>7</v>
      </c>
      <c r="N21" t="s">
        <v>7295</v>
      </c>
    </row>
    <row r="22" spans="1:14">
      <c r="A22" t="s">
        <v>7305</v>
      </c>
      <c r="B22">
        <v>0</v>
      </c>
      <c r="C22">
        <v>1</v>
      </c>
      <c r="D22">
        <v>2</v>
      </c>
      <c r="E22">
        <v>-1</v>
      </c>
      <c r="F22">
        <v>-4</v>
      </c>
      <c r="G22">
        <v>-5</v>
      </c>
      <c r="H22">
        <v>-4</v>
      </c>
      <c r="I22">
        <v>0.5</v>
      </c>
      <c r="J22">
        <v>0.1</v>
      </c>
      <c r="L22">
        <v>1</v>
      </c>
      <c r="M22">
        <v>1</v>
      </c>
    </row>
    <row r="23" spans="1:14">
      <c r="A23" t="s">
        <v>7296</v>
      </c>
      <c r="B23">
        <v>-1</v>
      </c>
      <c r="C23">
        <v>1</v>
      </c>
      <c r="D23">
        <v>2</v>
      </c>
      <c r="E23">
        <v>-1</v>
      </c>
      <c r="F23">
        <v>0</v>
      </c>
      <c r="G23">
        <v>0</v>
      </c>
      <c r="H23">
        <v>-1</v>
      </c>
      <c r="I23">
        <v>0.5</v>
      </c>
      <c r="J23">
        <v>1</v>
      </c>
      <c r="K23" t="s">
        <v>7928</v>
      </c>
      <c r="L23">
        <v>5</v>
      </c>
      <c r="M23">
        <v>7</v>
      </c>
      <c r="N23" t="s">
        <v>5470</v>
      </c>
    </row>
  </sheetData>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8"/>
  <sheetViews>
    <sheetView workbookViewId="0"/>
  </sheetViews>
  <sheetFormatPr baseColWidth="10" defaultColWidth="9.140625" defaultRowHeight="15"/>
  <sheetData>
    <row r="1" spans="1:7">
      <c r="A1" t="s">
        <v>7338</v>
      </c>
      <c r="B1" t="s">
        <v>7912</v>
      </c>
      <c r="C1" t="s">
        <v>7913</v>
      </c>
      <c r="D1" t="s">
        <v>7916</v>
      </c>
      <c r="E1" t="s">
        <v>7285</v>
      </c>
      <c r="F1" t="s">
        <v>7286</v>
      </c>
      <c r="G1" t="s">
        <v>5455</v>
      </c>
    </row>
    <row r="2" spans="1:7">
      <c r="A2" t="s">
        <v>7929</v>
      </c>
      <c r="B2">
        <v>-3</v>
      </c>
      <c r="C2">
        <v>-6</v>
      </c>
      <c r="D2">
        <v>0.3</v>
      </c>
      <c r="E2">
        <v>1</v>
      </c>
      <c r="F2">
        <v>1</v>
      </c>
    </row>
    <row r="3" spans="1:7">
      <c r="A3" t="s">
        <v>7340</v>
      </c>
      <c r="B3">
        <v>-2</v>
      </c>
      <c r="C3">
        <v>-3</v>
      </c>
      <c r="D3">
        <v>0.5</v>
      </c>
      <c r="E3">
        <v>1</v>
      </c>
      <c r="F3">
        <v>1</v>
      </c>
      <c r="G3" t="s">
        <v>5465</v>
      </c>
    </row>
    <row r="4" spans="1:7">
      <c r="A4" t="s">
        <v>7341</v>
      </c>
      <c r="B4">
        <v>-1</v>
      </c>
      <c r="C4">
        <v>-1</v>
      </c>
      <c r="D4">
        <v>0.75</v>
      </c>
      <c r="E4">
        <v>1</v>
      </c>
      <c r="F4">
        <v>1</v>
      </c>
    </row>
    <row r="5" spans="1:7">
      <c r="A5" t="s">
        <v>7243</v>
      </c>
      <c r="B5">
        <v>0</v>
      </c>
      <c r="C5">
        <v>0</v>
      </c>
      <c r="D5">
        <v>1</v>
      </c>
      <c r="E5">
        <v>1</v>
      </c>
      <c r="F5">
        <v>1</v>
      </c>
    </row>
    <row r="6" spans="1:7">
      <c r="A6" t="s">
        <v>7229</v>
      </c>
      <c r="B6">
        <v>1</v>
      </c>
      <c r="C6">
        <v>1</v>
      </c>
      <c r="D6">
        <v>2</v>
      </c>
      <c r="E6">
        <v>2</v>
      </c>
      <c r="F6">
        <v>3</v>
      </c>
    </row>
    <row r="7" spans="1:7">
      <c r="A7" t="s">
        <v>7241</v>
      </c>
      <c r="B7">
        <v>2</v>
      </c>
      <c r="C7">
        <v>2</v>
      </c>
      <c r="D7">
        <v>5</v>
      </c>
      <c r="E7">
        <v>3</v>
      </c>
      <c r="F7">
        <v>5</v>
      </c>
    </row>
    <row r="8" spans="1:7">
      <c r="A8" t="s">
        <v>7246</v>
      </c>
      <c r="B8">
        <v>3</v>
      </c>
      <c r="C8">
        <v>3</v>
      </c>
      <c r="D8">
        <v>10</v>
      </c>
      <c r="E8">
        <v>7</v>
      </c>
      <c r="F8">
        <v>7</v>
      </c>
    </row>
  </sheetData>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6"/>
  <sheetViews>
    <sheetView workbookViewId="0"/>
  </sheetViews>
  <sheetFormatPr baseColWidth="10" defaultColWidth="9.140625" defaultRowHeight="15"/>
  <sheetData>
    <row r="1" spans="1:10">
      <c r="A1" t="s">
        <v>7930</v>
      </c>
      <c r="B1" t="s">
        <v>7912</v>
      </c>
      <c r="C1" t="s">
        <v>7913</v>
      </c>
      <c r="D1" t="s">
        <v>7914</v>
      </c>
      <c r="E1" t="s">
        <v>7915</v>
      </c>
      <c r="F1" t="s">
        <v>7225</v>
      </c>
      <c r="G1" t="s">
        <v>7357</v>
      </c>
      <c r="H1" t="s">
        <v>7285</v>
      </c>
      <c r="I1" t="s">
        <v>7286</v>
      </c>
      <c r="J1" t="s">
        <v>5455</v>
      </c>
    </row>
    <row r="2" spans="1:10">
      <c r="A2" t="s">
        <v>7931</v>
      </c>
      <c r="B2">
        <v>0</v>
      </c>
      <c r="C2">
        <v>0</v>
      </c>
      <c r="F2">
        <v>20</v>
      </c>
      <c r="H2">
        <v>1</v>
      </c>
      <c r="I2">
        <v>1</v>
      </c>
    </row>
    <row r="3" spans="1:10">
      <c r="A3" t="s">
        <v>7918</v>
      </c>
      <c r="B3">
        <v>0</v>
      </c>
      <c r="C3">
        <v>1</v>
      </c>
      <c r="D3">
        <v>3</v>
      </c>
      <c r="E3">
        <v>1.05</v>
      </c>
      <c r="F3">
        <v>600</v>
      </c>
      <c r="G3" t="s">
        <v>7932</v>
      </c>
      <c r="H3">
        <v>4</v>
      </c>
      <c r="I3">
        <v>4</v>
      </c>
      <c r="J3" t="s">
        <v>5462</v>
      </c>
    </row>
    <row r="4" spans="1:10">
      <c r="A4" t="s">
        <v>7308</v>
      </c>
      <c r="B4">
        <v>0</v>
      </c>
      <c r="C4">
        <v>2</v>
      </c>
      <c r="D4">
        <v>1</v>
      </c>
      <c r="E4">
        <v>1.1000000000000001</v>
      </c>
      <c r="F4">
        <v>25</v>
      </c>
      <c r="H4">
        <v>1</v>
      </c>
      <c r="I4">
        <v>1</v>
      </c>
    </row>
    <row r="5" spans="1:10">
      <c r="A5" t="s">
        <v>7933</v>
      </c>
      <c r="B5">
        <v>1</v>
      </c>
      <c r="C5">
        <v>2</v>
      </c>
      <c r="D5">
        <v>4</v>
      </c>
      <c r="E5">
        <v>1.2</v>
      </c>
      <c r="F5" t="s">
        <v>7921</v>
      </c>
      <c r="G5" t="s">
        <v>7934</v>
      </c>
      <c r="H5" t="s">
        <v>3432</v>
      </c>
      <c r="I5" t="s">
        <v>3432</v>
      </c>
    </row>
    <row r="6" spans="1:10">
      <c r="A6" t="s">
        <v>7935</v>
      </c>
      <c r="B6">
        <v>2</v>
      </c>
      <c r="C6">
        <v>3</v>
      </c>
      <c r="D6">
        <v>5</v>
      </c>
      <c r="E6">
        <v>1.4</v>
      </c>
      <c r="F6">
        <v>10</v>
      </c>
      <c r="G6" t="s">
        <v>7936</v>
      </c>
      <c r="H6">
        <v>4</v>
      </c>
      <c r="I6">
        <v>4</v>
      </c>
      <c r="J6" t="s">
        <v>5470</v>
      </c>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4"/>
  <sheetViews>
    <sheetView workbookViewId="0"/>
  </sheetViews>
  <sheetFormatPr baseColWidth="10" defaultColWidth="9.140625" defaultRowHeight="15"/>
  <sheetData>
    <row r="1" spans="1:7">
      <c r="A1" t="s">
        <v>7907</v>
      </c>
      <c r="B1" t="s">
        <v>7912</v>
      </c>
      <c r="C1" t="s">
        <v>7913</v>
      </c>
      <c r="D1" t="s">
        <v>7914</v>
      </c>
      <c r="E1" t="s">
        <v>7915</v>
      </c>
      <c r="F1" t="s">
        <v>7916</v>
      </c>
      <c r="G1" t="s">
        <v>9</v>
      </c>
    </row>
    <row r="2" spans="1:7">
      <c r="A2" t="s">
        <v>7937</v>
      </c>
      <c r="G2" t="s">
        <v>7938</v>
      </c>
    </row>
    <row r="3" spans="1:7">
      <c r="A3" t="s">
        <v>7939</v>
      </c>
      <c r="G3" t="s">
        <v>7938</v>
      </c>
    </row>
    <row r="4" spans="1:7">
      <c r="A4" t="s">
        <v>7314</v>
      </c>
      <c r="G4" t="s">
        <v>7938</v>
      </c>
    </row>
    <row r="5" spans="1:7">
      <c r="A5" t="s">
        <v>7287</v>
      </c>
      <c r="G5" t="s">
        <v>7938</v>
      </c>
    </row>
    <row r="6" spans="1:7">
      <c r="A6" t="s">
        <v>7923</v>
      </c>
      <c r="G6" t="s">
        <v>7938</v>
      </c>
    </row>
    <row r="7" spans="1:7">
      <c r="A7" t="s">
        <v>7289</v>
      </c>
      <c r="G7" t="s">
        <v>7938</v>
      </c>
    </row>
    <row r="8" spans="1:7">
      <c r="A8" t="s">
        <v>7925</v>
      </c>
      <c r="G8" t="s">
        <v>7938</v>
      </c>
    </row>
    <row r="9" spans="1:7">
      <c r="A9" t="s">
        <v>7293</v>
      </c>
      <c r="G9" t="s">
        <v>7938</v>
      </c>
    </row>
    <row r="10" spans="1:7">
      <c r="A10" t="s">
        <v>7294</v>
      </c>
      <c r="G10" t="s">
        <v>7938</v>
      </c>
    </row>
    <row r="11" spans="1:7">
      <c r="A11" t="s">
        <v>7302</v>
      </c>
      <c r="G11" t="s">
        <v>7938</v>
      </c>
    </row>
    <row r="12" spans="1:7">
      <c r="A12" t="s">
        <v>7940</v>
      </c>
      <c r="G12" t="s">
        <v>7938</v>
      </c>
    </row>
    <row r="13" spans="1:7">
      <c r="A13" t="s">
        <v>7311</v>
      </c>
      <c r="G13" t="s">
        <v>7938</v>
      </c>
    </row>
    <row r="14" spans="1:7">
      <c r="A14" t="s">
        <v>7299</v>
      </c>
      <c r="G14" t="s">
        <v>7938</v>
      </c>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2"/>
  <sheetViews>
    <sheetView workbookViewId="0"/>
  </sheetViews>
  <sheetFormatPr baseColWidth="10" defaultColWidth="9.140625" defaultRowHeight="15"/>
  <sheetData>
    <row r="1" spans="1:7">
      <c r="A1" t="s">
        <v>7941</v>
      </c>
      <c r="B1" t="s">
        <v>5474</v>
      </c>
      <c r="C1" t="s">
        <v>7942</v>
      </c>
      <c r="D1" t="s">
        <v>7943</v>
      </c>
      <c r="E1" t="s">
        <v>7944</v>
      </c>
      <c r="F1" t="s">
        <v>7945</v>
      </c>
      <c r="G1" t="s">
        <v>12</v>
      </c>
    </row>
    <row r="2" spans="1:7">
      <c r="A2">
        <v>1</v>
      </c>
      <c r="B2" t="s">
        <v>7946</v>
      </c>
      <c r="C2">
        <v>2</v>
      </c>
      <c r="D2">
        <v>11</v>
      </c>
      <c r="E2">
        <v>0.5</v>
      </c>
      <c r="F2">
        <v>5</v>
      </c>
      <c r="G2">
        <v>1</v>
      </c>
    </row>
    <row r="3" spans="1:7">
      <c r="A3">
        <v>2</v>
      </c>
      <c r="B3" t="s">
        <v>7946</v>
      </c>
      <c r="C3">
        <v>2</v>
      </c>
      <c r="D3">
        <v>22</v>
      </c>
      <c r="E3">
        <v>1</v>
      </c>
      <c r="F3">
        <v>10</v>
      </c>
      <c r="G3">
        <v>2</v>
      </c>
    </row>
    <row r="4" spans="1:7">
      <c r="A4">
        <v>3</v>
      </c>
      <c r="B4" t="s">
        <v>7947</v>
      </c>
      <c r="C4">
        <v>2</v>
      </c>
      <c r="D4">
        <v>44</v>
      </c>
      <c r="E4">
        <v>2</v>
      </c>
      <c r="F4">
        <v>20</v>
      </c>
      <c r="G4">
        <v>3</v>
      </c>
    </row>
    <row r="5" spans="1:7">
      <c r="A5">
        <v>4</v>
      </c>
      <c r="B5" t="s">
        <v>7948</v>
      </c>
      <c r="C5">
        <v>3</v>
      </c>
      <c r="D5">
        <v>60</v>
      </c>
      <c r="E5">
        <v>6</v>
      </c>
      <c r="F5">
        <v>25</v>
      </c>
      <c r="G5">
        <v>4</v>
      </c>
    </row>
    <row r="6" spans="1:7">
      <c r="A6">
        <v>5</v>
      </c>
      <c r="B6" t="s">
        <v>7949</v>
      </c>
      <c r="C6">
        <v>4</v>
      </c>
      <c r="D6">
        <v>90</v>
      </c>
      <c r="E6">
        <v>18</v>
      </c>
      <c r="F6">
        <v>30</v>
      </c>
      <c r="G6">
        <v>5</v>
      </c>
    </row>
    <row r="7" spans="1:7">
      <c r="A7">
        <v>6</v>
      </c>
      <c r="B7" t="s">
        <v>7950</v>
      </c>
      <c r="C7">
        <v>5</v>
      </c>
      <c r="D7">
        <v>150</v>
      </c>
      <c r="E7">
        <v>54</v>
      </c>
      <c r="F7">
        <v>35</v>
      </c>
      <c r="G7">
        <v>6</v>
      </c>
    </row>
    <row r="8" spans="1:7">
      <c r="A8">
        <v>7</v>
      </c>
      <c r="B8" t="s">
        <v>7951</v>
      </c>
      <c r="C8">
        <v>6</v>
      </c>
      <c r="D8">
        <v>600</v>
      </c>
      <c r="E8">
        <v>162</v>
      </c>
      <c r="F8">
        <v>40</v>
      </c>
      <c r="G8">
        <v>7</v>
      </c>
    </row>
    <row r="9" spans="1:7">
      <c r="A9">
        <v>8</v>
      </c>
      <c r="B9" t="s">
        <v>7952</v>
      </c>
      <c r="C9">
        <v>7</v>
      </c>
      <c r="D9">
        <v>1500</v>
      </c>
      <c r="E9">
        <v>486</v>
      </c>
      <c r="F9">
        <v>45</v>
      </c>
      <c r="G9">
        <v>8</v>
      </c>
    </row>
    <row r="10" spans="1:7">
      <c r="A10">
        <v>9</v>
      </c>
      <c r="B10" t="s">
        <v>7953</v>
      </c>
      <c r="C10">
        <v>8</v>
      </c>
      <c r="D10">
        <v>5000</v>
      </c>
      <c r="E10">
        <v>1458</v>
      </c>
      <c r="F10">
        <v>50</v>
      </c>
      <c r="G10">
        <v>9</v>
      </c>
    </row>
    <row r="11" spans="1:7">
      <c r="A11">
        <v>10</v>
      </c>
      <c r="B11" t="s">
        <v>7954</v>
      </c>
      <c r="C11">
        <v>9</v>
      </c>
      <c r="D11">
        <v>15000</v>
      </c>
      <c r="E11">
        <v>4374</v>
      </c>
      <c r="F11">
        <v>55</v>
      </c>
      <c r="G11">
        <v>10</v>
      </c>
    </row>
    <row r="12" spans="1:7">
      <c r="A12">
        <v>11</v>
      </c>
      <c r="B12" t="s">
        <v>7955</v>
      </c>
      <c r="C12">
        <v>10</v>
      </c>
      <c r="D12">
        <v>45000</v>
      </c>
      <c r="E12">
        <v>13122</v>
      </c>
      <c r="F12">
        <v>60</v>
      </c>
      <c r="G12">
        <v>11</v>
      </c>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1"/>
  <sheetViews>
    <sheetView workbookViewId="0"/>
  </sheetViews>
  <sheetFormatPr baseColWidth="10" defaultColWidth="9.140625" defaultRowHeight="15"/>
  <sheetData>
    <row r="1" spans="1:3">
      <c r="A1" t="s">
        <v>7956</v>
      </c>
      <c r="B1" t="s">
        <v>7957</v>
      </c>
      <c r="C1" t="s">
        <v>7944</v>
      </c>
    </row>
    <row r="2" spans="1:3">
      <c r="A2">
        <v>1</v>
      </c>
      <c r="B2">
        <v>0.6</v>
      </c>
      <c r="C2">
        <v>5</v>
      </c>
    </row>
    <row r="3" spans="1:3">
      <c r="A3">
        <v>2</v>
      </c>
      <c r="B3">
        <v>0.5</v>
      </c>
      <c r="C3">
        <v>10</v>
      </c>
    </row>
    <row r="4" spans="1:3">
      <c r="A4">
        <v>3</v>
      </c>
      <c r="B4">
        <v>0.4</v>
      </c>
      <c r="C4">
        <v>17</v>
      </c>
    </row>
    <row r="5" spans="1:3">
      <c r="A5">
        <v>4</v>
      </c>
      <c r="B5">
        <v>0.3</v>
      </c>
      <c r="C5">
        <v>26</v>
      </c>
    </row>
    <row r="6" spans="1:3">
      <c r="A6">
        <v>5</v>
      </c>
      <c r="B6">
        <v>0.2</v>
      </c>
      <c r="C6">
        <v>37</v>
      </c>
    </row>
    <row r="7" spans="1:3">
      <c r="A7">
        <v>6</v>
      </c>
      <c r="B7">
        <v>0.1</v>
      </c>
      <c r="C7">
        <v>50</v>
      </c>
    </row>
    <row r="8" spans="1:3">
      <c r="A8">
        <v>7</v>
      </c>
      <c r="B8">
        <v>0.05</v>
      </c>
      <c r="C8">
        <v>65</v>
      </c>
    </row>
    <row r="9" spans="1:3">
      <c r="A9">
        <v>8</v>
      </c>
      <c r="B9">
        <v>0.05</v>
      </c>
      <c r="C9">
        <v>82</v>
      </c>
    </row>
    <row r="10" spans="1:3">
      <c r="A10">
        <v>9</v>
      </c>
      <c r="B10">
        <v>0.05</v>
      </c>
      <c r="C10">
        <v>101</v>
      </c>
    </row>
    <row r="11" spans="1:3">
      <c r="A11">
        <v>10</v>
      </c>
      <c r="B11">
        <v>0.05</v>
      </c>
      <c r="C11">
        <v>123</v>
      </c>
    </row>
  </sheetData>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11"/>
  <sheetViews>
    <sheetView workbookViewId="0"/>
  </sheetViews>
  <sheetFormatPr baseColWidth="10" defaultColWidth="9.140625" defaultRowHeight="15"/>
  <sheetData>
    <row r="1" spans="1:2">
      <c r="A1" t="s">
        <v>7958</v>
      </c>
      <c r="B1" t="s">
        <v>7959</v>
      </c>
    </row>
    <row r="2" spans="1:2">
      <c r="A2">
        <v>1</v>
      </c>
      <c r="B2">
        <v>0.66666666666666663</v>
      </c>
    </row>
    <row r="3" spans="1:2">
      <c r="A3">
        <v>2</v>
      </c>
      <c r="B3">
        <v>0.44444444444444442</v>
      </c>
    </row>
    <row r="4" spans="1:2">
      <c r="A4">
        <v>3</v>
      </c>
      <c r="B4">
        <v>0.29629629629629622</v>
      </c>
    </row>
    <row r="5" spans="1:2">
      <c r="A5">
        <v>4</v>
      </c>
      <c r="B5">
        <v>0.1975308641975308</v>
      </c>
    </row>
    <row r="6" spans="1:2">
      <c r="A6">
        <v>5</v>
      </c>
      <c r="B6">
        <v>0.13168724279835389</v>
      </c>
    </row>
    <row r="7" spans="1:2">
      <c r="A7">
        <v>6</v>
      </c>
      <c r="B7">
        <v>8.7791495198902572E-2</v>
      </c>
    </row>
    <row r="8" spans="1:2">
      <c r="A8">
        <v>7</v>
      </c>
      <c r="B8">
        <v>5.8527663465935048E-2</v>
      </c>
    </row>
    <row r="9" spans="1:2">
      <c r="A9">
        <v>8</v>
      </c>
      <c r="B9">
        <v>3.9018442310623361E-2</v>
      </c>
    </row>
    <row r="10" spans="1:2">
      <c r="A10">
        <v>9</v>
      </c>
      <c r="B10">
        <v>2.6012294873748908E-2</v>
      </c>
    </row>
    <row r="11" spans="1:2">
      <c r="A11">
        <v>10</v>
      </c>
      <c r="B11">
        <v>1.7341529915832609E-2</v>
      </c>
    </row>
  </sheetData>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72"/>
  <sheetViews>
    <sheetView workbookViewId="0"/>
  </sheetViews>
  <sheetFormatPr baseColWidth="10" defaultColWidth="9.140625" defaultRowHeight="15"/>
  <cols>
    <col min="13" max="13" width="6.7109375" style="48" customWidth="1"/>
    <col min="14" max="14" width="21" style="48" customWidth="1"/>
    <col min="15" max="15" width="11.42578125" style="48" customWidth="1"/>
    <col min="16" max="16" width="13.7109375" style="48" customWidth="1"/>
    <col min="17" max="17" width="11.7109375" style="48" customWidth="1"/>
  </cols>
  <sheetData>
    <row r="1" spans="1:17">
      <c r="A1" t="s">
        <v>0</v>
      </c>
      <c r="B1" t="s">
        <v>5474</v>
      </c>
      <c r="C1" t="s">
        <v>2</v>
      </c>
      <c r="D1" t="s">
        <v>7960</v>
      </c>
      <c r="E1" t="s">
        <v>7961</v>
      </c>
      <c r="F1" t="s">
        <v>7962</v>
      </c>
      <c r="G1" t="s">
        <v>7963</v>
      </c>
      <c r="H1" t="s">
        <v>7964</v>
      </c>
      <c r="I1" t="s">
        <v>7965</v>
      </c>
      <c r="J1" t="s">
        <v>7966</v>
      </c>
      <c r="K1" t="s">
        <v>7967</v>
      </c>
      <c r="L1" t="s">
        <v>692</v>
      </c>
      <c r="M1" t="s">
        <v>7968</v>
      </c>
      <c r="N1" t="s">
        <v>7969</v>
      </c>
      <c r="O1" t="s">
        <v>7970</v>
      </c>
      <c r="P1" t="s">
        <v>7971</v>
      </c>
      <c r="Q1" t="s">
        <v>7972</v>
      </c>
    </row>
    <row r="2" spans="1:17">
      <c r="A2" t="s">
        <v>7973</v>
      </c>
      <c r="B2" t="s">
        <v>1988</v>
      </c>
      <c r="C2" t="s">
        <v>7974</v>
      </c>
      <c r="D2">
        <v>1</v>
      </c>
      <c r="E2">
        <v>10</v>
      </c>
      <c r="F2">
        <v>1</v>
      </c>
      <c r="G2" t="s">
        <v>5492</v>
      </c>
      <c r="H2">
        <v>5</v>
      </c>
      <c r="I2" t="s">
        <v>7975</v>
      </c>
      <c r="J2">
        <v>40</v>
      </c>
      <c r="K2" t="s">
        <v>7976</v>
      </c>
    </row>
    <row r="3" spans="1:17">
      <c r="A3" t="s">
        <v>7977</v>
      </c>
      <c r="B3" t="s">
        <v>2118</v>
      </c>
      <c r="C3" t="s">
        <v>7978</v>
      </c>
      <c r="D3">
        <v>1</v>
      </c>
      <c r="E3">
        <v>20</v>
      </c>
      <c r="F3">
        <v>1</v>
      </c>
      <c r="G3">
        <v>30</v>
      </c>
      <c r="H3" t="s">
        <v>5493</v>
      </c>
      <c r="J3">
        <v>40</v>
      </c>
      <c r="K3" t="s">
        <v>7979</v>
      </c>
    </row>
    <row r="4" spans="1:17">
      <c r="A4" t="s">
        <v>7980</v>
      </c>
      <c r="B4" t="s">
        <v>2114</v>
      </c>
      <c r="C4" t="s">
        <v>7981</v>
      </c>
      <c r="D4">
        <v>1</v>
      </c>
      <c r="E4">
        <v>42</v>
      </c>
      <c r="F4">
        <v>1</v>
      </c>
      <c r="G4">
        <v>60</v>
      </c>
      <c r="H4" t="s">
        <v>5493</v>
      </c>
      <c r="J4">
        <v>700</v>
      </c>
      <c r="K4" t="s">
        <v>7982</v>
      </c>
    </row>
    <row r="5" spans="1:17">
      <c r="A5" t="s">
        <v>7983</v>
      </c>
      <c r="B5" t="s">
        <v>7984</v>
      </c>
      <c r="C5" t="s">
        <v>7985</v>
      </c>
      <c r="D5">
        <v>1</v>
      </c>
      <c r="E5">
        <v>15</v>
      </c>
      <c r="F5">
        <v>1</v>
      </c>
      <c r="G5" t="s">
        <v>5492</v>
      </c>
      <c r="H5">
        <v>7</v>
      </c>
      <c r="I5" t="s">
        <v>7986</v>
      </c>
      <c r="J5">
        <v>14</v>
      </c>
      <c r="K5" t="s">
        <v>7987</v>
      </c>
    </row>
    <row r="6" spans="1:17">
      <c r="A6" t="s">
        <v>7988</v>
      </c>
      <c r="B6" t="s">
        <v>2121</v>
      </c>
      <c r="C6" t="s">
        <v>7989</v>
      </c>
      <c r="D6">
        <v>1</v>
      </c>
      <c r="E6">
        <v>28</v>
      </c>
      <c r="F6">
        <v>1</v>
      </c>
      <c r="G6" t="s">
        <v>5492</v>
      </c>
      <c r="H6">
        <v>7</v>
      </c>
      <c r="I6" t="s">
        <v>7975</v>
      </c>
    </row>
    <row r="7" spans="1:17">
      <c r="A7" t="s">
        <v>7990</v>
      </c>
      <c r="B7" t="s">
        <v>2196</v>
      </c>
      <c r="C7" t="s">
        <v>7991</v>
      </c>
      <c r="D7">
        <v>1</v>
      </c>
      <c r="E7">
        <v>15</v>
      </c>
      <c r="F7">
        <v>1</v>
      </c>
      <c r="G7" t="s">
        <v>5492</v>
      </c>
      <c r="H7">
        <v>40</v>
      </c>
      <c r="I7" t="s">
        <v>7975</v>
      </c>
      <c r="J7">
        <v>13</v>
      </c>
      <c r="K7" t="s">
        <v>7987</v>
      </c>
    </row>
    <row r="8" spans="1:17">
      <c r="A8" t="s">
        <v>7992</v>
      </c>
      <c r="B8" t="s">
        <v>2193</v>
      </c>
      <c r="C8" t="s">
        <v>7993</v>
      </c>
      <c r="D8">
        <v>1</v>
      </c>
      <c r="E8">
        <v>12</v>
      </c>
      <c r="F8">
        <v>1</v>
      </c>
      <c r="G8" t="s">
        <v>5492</v>
      </c>
      <c r="H8">
        <v>40</v>
      </c>
      <c r="I8" t="s">
        <v>7975</v>
      </c>
      <c r="J8" t="s">
        <v>7994</v>
      </c>
      <c r="K8">
        <v>13</v>
      </c>
      <c r="L8" t="s">
        <v>713</v>
      </c>
    </row>
    <row r="9" spans="1:17">
      <c r="A9" t="s">
        <v>7995</v>
      </c>
      <c r="B9" t="s">
        <v>7996</v>
      </c>
      <c r="C9" t="s">
        <v>7997</v>
      </c>
      <c r="D9">
        <v>2</v>
      </c>
      <c r="E9">
        <v>15</v>
      </c>
      <c r="F9">
        <v>2</v>
      </c>
      <c r="G9">
        <v>2</v>
      </c>
      <c r="H9">
        <v>5</v>
      </c>
      <c r="I9" t="s">
        <v>7975</v>
      </c>
    </row>
    <row r="10" spans="1:17">
      <c r="A10" t="s">
        <v>7998</v>
      </c>
      <c r="B10" t="s">
        <v>7999</v>
      </c>
      <c r="C10" t="s">
        <v>8000</v>
      </c>
      <c r="D10">
        <v>2</v>
      </c>
      <c r="E10">
        <v>18</v>
      </c>
      <c r="F10">
        <v>2</v>
      </c>
      <c r="G10" t="s">
        <v>5492</v>
      </c>
      <c r="H10">
        <v>40</v>
      </c>
      <c r="I10" t="s">
        <v>7975</v>
      </c>
      <c r="J10" t="s">
        <v>8001</v>
      </c>
      <c r="K10">
        <v>13</v>
      </c>
      <c r="L10" t="s">
        <v>709</v>
      </c>
    </row>
    <row r="11" spans="1:17">
      <c r="A11" t="s">
        <v>8002</v>
      </c>
      <c r="B11" t="s">
        <v>8003</v>
      </c>
      <c r="C11" t="s">
        <v>8004</v>
      </c>
      <c r="D11">
        <v>2</v>
      </c>
      <c r="E11">
        <v>18</v>
      </c>
      <c r="F11">
        <v>2</v>
      </c>
      <c r="G11" t="s">
        <v>5492</v>
      </c>
      <c r="H11">
        <v>40</v>
      </c>
      <c r="I11" t="s">
        <v>7975</v>
      </c>
      <c r="J11" t="s">
        <v>8001</v>
      </c>
      <c r="K11">
        <v>13</v>
      </c>
      <c r="L11" t="s">
        <v>717</v>
      </c>
    </row>
    <row r="12" spans="1:17">
      <c r="A12" t="s">
        <v>8005</v>
      </c>
      <c r="B12" t="s">
        <v>8006</v>
      </c>
      <c r="C12" t="s">
        <v>8007</v>
      </c>
      <c r="D12">
        <v>2</v>
      </c>
      <c r="E12">
        <v>18</v>
      </c>
      <c r="F12">
        <v>2</v>
      </c>
      <c r="G12" t="s">
        <v>5492</v>
      </c>
      <c r="H12">
        <v>40</v>
      </c>
      <c r="I12" t="s">
        <v>7975</v>
      </c>
      <c r="J12" t="s">
        <v>8001</v>
      </c>
      <c r="K12">
        <v>13</v>
      </c>
      <c r="L12" t="s">
        <v>721</v>
      </c>
    </row>
    <row r="13" spans="1:17">
      <c r="A13" t="s">
        <v>8008</v>
      </c>
      <c r="B13" t="s">
        <v>8009</v>
      </c>
      <c r="C13" t="s">
        <v>8010</v>
      </c>
      <c r="D13">
        <v>2</v>
      </c>
      <c r="E13">
        <v>18</v>
      </c>
      <c r="F13">
        <v>2</v>
      </c>
      <c r="G13" t="s">
        <v>5492</v>
      </c>
      <c r="H13">
        <v>40</v>
      </c>
      <c r="I13" t="s">
        <v>7975</v>
      </c>
      <c r="J13" t="s">
        <v>8001</v>
      </c>
      <c r="K13">
        <v>13</v>
      </c>
      <c r="L13" t="s">
        <v>725</v>
      </c>
    </row>
    <row r="14" spans="1:17">
      <c r="A14" t="s">
        <v>8011</v>
      </c>
      <c r="B14" t="s">
        <v>8012</v>
      </c>
      <c r="C14" t="s">
        <v>8013</v>
      </c>
      <c r="D14">
        <v>2</v>
      </c>
      <c r="E14">
        <v>18</v>
      </c>
      <c r="F14">
        <v>2</v>
      </c>
      <c r="G14" t="s">
        <v>5492</v>
      </c>
      <c r="H14">
        <v>40</v>
      </c>
      <c r="I14" t="s">
        <v>7975</v>
      </c>
      <c r="J14" t="s">
        <v>8001</v>
      </c>
      <c r="K14">
        <v>13</v>
      </c>
      <c r="L14" t="s">
        <v>5461</v>
      </c>
    </row>
    <row r="15" spans="1:17">
      <c r="A15" t="s">
        <v>8014</v>
      </c>
      <c r="B15" t="s">
        <v>2211</v>
      </c>
      <c r="C15" t="s">
        <v>8015</v>
      </c>
      <c r="D15">
        <v>2</v>
      </c>
      <c r="E15">
        <v>18</v>
      </c>
      <c r="F15">
        <v>2</v>
      </c>
      <c r="G15">
        <v>15</v>
      </c>
      <c r="H15">
        <v>120</v>
      </c>
      <c r="I15" t="s">
        <v>7975</v>
      </c>
    </row>
    <row r="16" spans="1:17">
      <c r="A16" t="s">
        <v>8016</v>
      </c>
      <c r="B16" t="s">
        <v>8017</v>
      </c>
      <c r="C16" t="s">
        <v>8018</v>
      </c>
      <c r="D16">
        <v>2</v>
      </c>
      <c r="E16">
        <v>9</v>
      </c>
      <c r="F16">
        <v>2</v>
      </c>
      <c r="G16">
        <v>5</v>
      </c>
      <c r="H16">
        <v>7</v>
      </c>
      <c r="I16" t="s">
        <v>7975</v>
      </c>
    </row>
    <row r="17" spans="1:17">
      <c r="A17" t="s">
        <v>8019</v>
      </c>
      <c r="B17" t="s">
        <v>8020</v>
      </c>
      <c r="C17" t="s">
        <v>8021</v>
      </c>
      <c r="D17">
        <v>3</v>
      </c>
      <c r="E17">
        <v>4</v>
      </c>
      <c r="F17">
        <v>3</v>
      </c>
      <c r="G17" t="s">
        <v>5492</v>
      </c>
      <c r="H17">
        <v>40</v>
      </c>
      <c r="I17" t="s">
        <v>8022</v>
      </c>
      <c r="J17" t="s">
        <v>5501</v>
      </c>
    </row>
    <row r="18" spans="1:17">
      <c r="A18" t="s">
        <v>8023</v>
      </c>
      <c r="B18" t="s">
        <v>8024</v>
      </c>
      <c r="C18" t="s">
        <v>8025</v>
      </c>
      <c r="D18">
        <v>3</v>
      </c>
      <c r="E18">
        <v>4</v>
      </c>
      <c r="F18">
        <v>3</v>
      </c>
      <c r="G18" t="s">
        <v>5492</v>
      </c>
      <c r="H18">
        <v>40</v>
      </c>
      <c r="I18" t="s">
        <v>8022</v>
      </c>
      <c r="J18" t="s">
        <v>5500</v>
      </c>
    </row>
    <row r="19" spans="1:17">
      <c r="A19" t="s">
        <v>8026</v>
      </c>
      <c r="B19" t="s">
        <v>8027</v>
      </c>
      <c r="C19" t="s">
        <v>8028</v>
      </c>
      <c r="D19">
        <v>3</v>
      </c>
      <c r="E19">
        <v>4</v>
      </c>
      <c r="F19">
        <v>3</v>
      </c>
      <c r="G19" t="s">
        <v>5492</v>
      </c>
      <c r="H19">
        <v>40</v>
      </c>
      <c r="I19" t="s">
        <v>8022</v>
      </c>
      <c r="J19" t="s">
        <v>5500</v>
      </c>
    </row>
    <row r="20" spans="1:17">
      <c r="A20" t="s">
        <v>8029</v>
      </c>
      <c r="B20" t="s">
        <v>8030</v>
      </c>
      <c r="C20" t="s">
        <v>8031</v>
      </c>
      <c r="D20">
        <v>3</v>
      </c>
      <c r="E20">
        <v>4</v>
      </c>
      <c r="F20">
        <v>3</v>
      </c>
      <c r="G20" t="s">
        <v>5492</v>
      </c>
      <c r="H20">
        <v>40</v>
      </c>
      <c r="I20" t="s">
        <v>8022</v>
      </c>
      <c r="J20" t="s">
        <v>5500</v>
      </c>
      <c r="K20" t="s">
        <v>8032</v>
      </c>
    </row>
    <row r="21" spans="1:17">
      <c r="A21" t="s">
        <v>8033</v>
      </c>
      <c r="B21" t="s">
        <v>8034</v>
      </c>
      <c r="C21" t="s">
        <v>8035</v>
      </c>
      <c r="D21">
        <v>3</v>
      </c>
      <c r="E21">
        <v>4</v>
      </c>
      <c r="F21">
        <v>3</v>
      </c>
      <c r="G21" t="s">
        <v>5492</v>
      </c>
      <c r="H21">
        <v>40</v>
      </c>
      <c r="I21" t="s">
        <v>8022</v>
      </c>
      <c r="J21" t="s">
        <v>5500</v>
      </c>
      <c r="K21" t="s">
        <v>8036</v>
      </c>
    </row>
    <row r="22" spans="1:17">
      <c r="A22" t="s">
        <v>8037</v>
      </c>
      <c r="B22" t="s">
        <v>8038</v>
      </c>
      <c r="C22" t="s">
        <v>8039</v>
      </c>
      <c r="D22">
        <v>3</v>
      </c>
      <c r="E22">
        <v>26</v>
      </c>
      <c r="F22">
        <v>3</v>
      </c>
      <c r="G22" t="s">
        <v>5492</v>
      </c>
      <c r="H22">
        <v>40</v>
      </c>
      <c r="I22" t="s">
        <v>7975</v>
      </c>
      <c r="J22" t="s">
        <v>5501</v>
      </c>
      <c r="M22" t="s">
        <v>8040</v>
      </c>
      <c r="N22">
        <v>1</v>
      </c>
      <c r="P22" t="s">
        <v>8040</v>
      </c>
      <c r="Q22" t="s">
        <v>8041</v>
      </c>
    </row>
    <row r="23" spans="1:17">
      <c r="A23" t="s">
        <v>8042</v>
      </c>
      <c r="B23" t="s">
        <v>8043</v>
      </c>
      <c r="C23" t="s">
        <v>8044</v>
      </c>
      <c r="D23">
        <v>3</v>
      </c>
      <c r="E23">
        <v>26</v>
      </c>
      <c r="F23">
        <v>3</v>
      </c>
      <c r="G23" t="s">
        <v>5492</v>
      </c>
      <c r="H23">
        <v>40</v>
      </c>
      <c r="I23" t="s">
        <v>7975</v>
      </c>
      <c r="J23" t="s">
        <v>5500</v>
      </c>
      <c r="M23" t="s">
        <v>8045</v>
      </c>
      <c r="N23">
        <v>0</v>
      </c>
      <c r="P23" t="s">
        <v>8045</v>
      </c>
      <c r="Q23" t="s">
        <v>8045</v>
      </c>
    </row>
    <row r="24" spans="1:17">
      <c r="A24" t="s">
        <v>8046</v>
      </c>
      <c r="B24" t="s">
        <v>8047</v>
      </c>
      <c r="C24" t="s">
        <v>8048</v>
      </c>
      <c r="D24">
        <v>3</v>
      </c>
      <c r="E24">
        <v>26</v>
      </c>
      <c r="F24">
        <v>3</v>
      </c>
      <c r="G24" t="s">
        <v>5492</v>
      </c>
      <c r="H24">
        <v>40</v>
      </c>
      <c r="I24" t="s">
        <v>7975</v>
      </c>
      <c r="J24" t="s">
        <v>5500</v>
      </c>
      <c r="M24" t="s">
        <v>8049</v>
      </c>
      <c r="N24">
        <v>0</v>
      </c>
      <c r="P24" t="s">
        <v>8049</v>
      </c>
      <c r="Q24" t="s">
        <v>8049</v>
      </c>
    </row>
    <row r="25" spans="1:17">
      <c r="A25" t="s">
        <v>8050</v>
      </c>
      <c r="B25" t="s">
        <v>8051</v>
      </c>
      <c r="C25" t="s">
        <v>8052</v>
      </c>
      <c r="D25">
        <v>3</v>
      </c>
      <c r="E25">
        <v>26</v>
      </c>
      <c r="F25">
        <v>3</v>
      </c>
      <c r="G25" t="s">
        <v>5492</v>
      </c>
      <c r="H25">
        <v>40</v>
      </c>
      <c r="I25" t="s">
        <v>7975</v>
      </c>
      <c r="J25" t="s">
        <v>5500</v>
      </c>
      <c r="K25" t="s">
        <v>8032</v>
      </c>
      <c r="M25" t="s">
        <v>8053</v>
      </c>
      <c r="N25">
        <v>0</v>
      </c>
      <c r="O25" t="s">
        <v>7350</v>
      </c>
      <c r="P25" t="s">
        <v>8054</v>
      </c>
      <c r="Q25" t="s">
        <v>8053</v>
      </c>
    </row>
    <row r="26" spans="1:17">
      <c r="A26" t="s">
        <v>8055</v>
      </c>
      <c r="B26" t="s">
        <v>8056</v>
      </c>
      <c r="C26" t="s">
        <v>8057</v>
      </c>
      <c r="D26">
        <v>3</v>
      </c>
      <c r="E26">
        <v>26</v>
      </c>
      <c r="F26">
        <v>3</v>
      </c>
      <c r="G26" t="s">
        <v>5492</v>
      </c>
      <c r="H26">
        <v>40</v>
      </c>
      <c r="I26" t="s">
        <v>7975</v>
      </c>
      <c r="J26" t="s">
        <v>5500</v>
      </c>
      <c r="K26" t="s">
        <v>8036</v>
      </c>
      <c r="M26" t="s">
        <v>8058</v>
      </c>
      <c r="N26">
        <v>0</v>
      </c>
      <c r="O26" t="s">
        <v>359</v>
      </c>
      <c r="P26" t="s">
        <v>8058</v>
      </c>
      <c r="Q26" t="s">
        <v>8058</v>
      </c>
    </row>
    <row r="27" spans="1:17">
      <c r="A27" t="s">
        <v>8059</v>
      </c>
      <c r="B27" t="s">
        <v>2145</v>
      </c>
      <c r="C27" t="s">
        <v>8060</v>
      </c>
      <c r="D27">
        <v>3</v>
      </c>
      <c r="E27">
        <v>80</v>
      </c>
      <c r="F27">
        <v>3</v>
      </c>
      <c r="G27" t="s">
        <v>5492</v>
      </c>
      <c r="H27">
        <v>40</v>
      </c>
      <c r="I27" t="s">
        <v>7975</v>
      </c>
      <c r="J27">
        <v>8</v>
      </c>
      <c r="K27" t="s">
        <v>8061</v>
      </c>
    </row>
    <row r="28" spans="1:17">
      <c r="A28" t="s">
        <v>8062</v>
      </c>
      <c r="B28" t="s">
        <v>8063</v>
      </c>
      <c r="C28" t="s">
        <v>8064</v>
      </c>
      <c r="D28">
        <v>3</v>
      </c>
      <c r="E28">
        <v>18</v>
      </c>
      <c r="F28">
        <v>3</v>
      </c>
      <c r="G28" t="s">
        <v>5492</v>
      </c>
      <c r="H28">
        <v>40</v>
      </c>
      <c r="I28" t="s">
        <v>7975</v>
      </c>
      <c r="J28" t="s">
        <v>8065</v>
      </c>
      <c r="K28">
        <v>13</v>
      </c>
      <c r="L28" t="s">
        <v>693</v>
      </c>
    </row>
    <row r="29" spans="1:17">
      <c r="A29" t="s">
        <v>8066</v>
      </c>
      <c r="B29" t="s">
        <v>8067</v>
      </c>
      <c r="C29" t="s">
        <v>8068</v>
      </c>
      <c r="D29">
        <v>3</v>
      </c>
      <c r="E29">
        <v>18</v>
      </c>
      <c r="F29">
        <v>3</v>
      </c>
      <c r="G29" t="s">
        <v>5492</v>
      </c>
      <c r="H29">
        <v>40</v>
      </c>
      <c r="I29" t="s">
        <v>7975</v>
      </c>
      <c r="J29" t="s">
        <v>8065</v>
      </c>
      <c r="K29">
        <v>13</v>
      </c>
      <c r="L29" t="s">
        <v>698</v>
      </c>
    </row>
    <row r="30" spans="1:17">
      <c r="A30" t="s">
        <v>8069</v>
      </c>
      <c r="B30" t="s">
        <v>8070</v>
      </c>
      <c r="C30" t="s">
        <v>8071</v>
      </c>
      <c r="D30">
        <v>3</v>
      </c>
      <c r="E30">
        <v>18</v>
      </c>
      <c r="F30">
        <v>3</v>
      </c>
      <c r="G30" t="s">
        <v>5492</v>
      </c>
      <c r="H30">
        <v>40</v>
      </c>
      <c r="I30" t="s">
        <v>7975</v>
      </c>
      <c r="J30" t="s">
        <v>8065</v>
      </c>
      <c r="K30">
        <v>13</v>
      </c>
      <c r="L30" t="s">
        <v>5460</v>
      </c>
    </row>
    <row r="31" spans="1:17">
      <c r="A31" t="s">
        <v>8072</v>
      </c>
      <c r="B31" t="s">
        <v>8073</v>
      </c>
      <c r="C31" t="s">
        <v>8074</v>
      </c>
      <c r="D31">
        <v>3</v>
      </c>
      <c r="E31">
        <v>18</v>
      </c>
      <c r="F31">
        <v>3</v>
      </c>
      <c r="G31" t="s">
        <v>5492</v>
      </c>
      <c r="H31">
        <v>40</v>
      </c>
      <c r="I31" t="s">
        <v>7975</v>
      </c>
      <c r="J31" t="s">
        <v>8065</v>
      </c>
      <c r="K31">
        <v>13</v>
      </c>
      <c r="L31" t="s">
        <v>705</v>
      </c>
    </row>
    <row r="32" spans="1:17">
      <c r="A32" t="s">
        <v>8075</v>
      </c>
      <c r="B32" t="s">
        <v>2237</v>
      </c>
      <c r="C32" t="s">
        <v>8076</v>
      </c>
      <c r="D32">
        <v>3</v>
      </c>
      <c r="E32">
        <v>92</v>
      </c>
      <c r="F32">
        <v>3</v>
      </c>
      <c r="G32" t="s">
        <v>5492</v>
      </c>
      <c r="H32">
        <v>20</v>
      </c>
      <c r="I32" t="s">
        <v>7975</v>
      </c>
      <c r="J32" t="s">
        <v>8077</v>
      </c>
      <c r="K32">
        <v>20</v>
      </c>
    </row>
    <row r="33" spans="1:11">
      <c r="A33" t="s">
        <v>8078</v>
      </c>
      <c r="B33" t="s">
        <v>2139</v>
      </c>
      <c r="C33" t="s">
        <v>8079</v>
      </c>
      <c r="D33">
        <v>3</v>
      </c>
      <c r="E33">
        <v>1800</v>
      </c>
      <c r="F33">
        <v>3</v>
      </c>
      <c r="G33">
        <v>180</v>
      </c>
      <c r="H33">
        <v>40</v>
      </c>
      <c r="I33" t="s">
        <v>7986</v>
      </c>
      <c r="J33">
        <v>400</v>
      </c>
      <c r="K33">
        <v>7</v>
      </c>
    </row>
    <row r="34" spans="1:11">
      <c r="A34" t="s">
        <v>8080</v>
      </c>
      <c r="B34" t="s">
        <v>8081</v>
      </c>
      <c r="C34" t="s">
        <v>2259</v>
      </c>
      <c r="D34">
        <v>4</v>
      </c>
      <c r="E34">
        <v>130</v>
      </c>
      <c r="F34">
        <v>4</v>
      </c>
      <c r="G34" t="s">
        <v>5492</v>
      </c>
      <c r="H34">
        <v>20</v>
      </c>
      <c r="I34" t="s">
        <v>8022</v>
      </c>
    </row>
    <row r="35" spans="1:11">
      <c r="A35" t="s">
        <v>8082</v>
      </c>
      <c r="B35" t="s">
        <v>2255</v>
      </c>
      <c r="C35" t="s">
        <v>8083</v>
      </c>
      <c r="D35">
        <v>4</v>
      </c>
      <c r="E35">
        <v>1400</v>
      </c>
      <c r="F35">
        <v>4</v>
      </c>
      <c r="G35">
        <v>60</v>
      </c>
      <c r="H35">
        <v>40</v>
      </c>
      <c r="I35" t="s">
        <v>7975</v>
      </c>
    </row>
    <row r="36" spans="1:11">
      <c r="A36" t="s">
        <v>8084</v>
      </c>
      <c r="B36" t="s">
        <v>2264</v>
      </c>
      <c r="C36" t="s">
        <v>8085</v>
      </c>
      <c r="D36">
        <v>5</v>
      </c>
      <c r="E36">
        <v>88</v>
      </c>
      <c r="F36">
        <v>5</v>
      </c>
      <c r="G36" t="s">
        <v>5492</v>
      </c>
      <c r="H36">
        <v>40</v>
      </c>
      <c r="I36" t="s">
        <v>7975</v>
      </c>
      <c r="J36">
        <v>20</v>
      </c>
      <c r="K36" t="s">
        <v>509</v>
      </c>
    </row>
    <row r="37" spans="1:11">
      <c r="A37" t="s">
        <v>8086</v>
      </c>
      <c r="B37" t="s">
        <v>2036</v>
      </c>
      <c r="C37" t="s">
        <v>8087</v>
      </c>
      <c r="D37">
        <v>5</v>
      </c>
      <c r="E37">
        <v>336</v>
      </c>
      <c r="F37">
        <v>5</v>
      </c>
      <c r="G37">
        <v>3</v>
      </c>
      <c r="H37">
        <v>20</v>
      </c>
      <c r="I37" t="s">
        <v>7975</v>
      </c>
      <c r="J37">
        <v>21</v>
      </c>
      <c r="K37" t="s">
        <v>702</v>
      </c>
    </row>
    <row r="38" spans="1:11">
      <c r="A38" t="s">
        <v>8088</v>
      </c>
      <c r="B38" t="s">
        <v>2285</v>
      </c>
      <c r="C38" t="s">
        <v>8089</v>
      </c>
      <c r="D38">
        <v>5</v>
      </c>
      <c r="E38">
        <v>22</v>
      </c>
      <c r="F38">
        <v>5</v>
      </c>
      <c r="G38">
        <v>1</v>
      </c>
      <c r="H38">
        <v>1</v>
      </c>
      <c r="I38" t="s">
        <v>8022</v>
      </c>
      <c r="J38">
        <v>200</v>
      </c>
      <c r="K38" t="s">
        <v>8090</v>
      </c>
    </row>
    <row r="39" spans="1:11">
      <c r="A39" t="s">
        <v>8091</v>
      </c>
      <c r="B39" t="s">
        <v>2282</v>
      </c>
      <c r="C39" t="s">
        <v>8092</v>
      </c>
      <c r="D39">
        <v>5</v>
      </c>
      <c r="E39">
        <v>960</v>
      </c>
      <c r="F39">
        <v>5</v>
      </c>
      <c r="G39">
        <v>180</v>
      </c>
      <c r="H39">
        <v>240</v>
      </c>
      <c r="I39" t="s">
        <v>7975</v>
      </c>
    </row>
    <row r="40" spans="1:11">
      <c r="A40" t="s">
        <v>8093</v>
      </c>
      <c r="B40" t="s">
        <v>2294</v>
      </c>
      <c r="C40" t="s">
        <v>8094</v>
      </c>
      <c r="D40">
        <v>6</v>
      </c>
      <c r="E40">
        <v>600</v>
      </c>
      <c r="F40">
        <v>6</v>
      </c>
      <c r="G40">
        <v>180</v>
      </c>
      <c r="H40">
        <v>200</v>
      </c>
      <c r="I40" t="s">
        <v>7975</v>
      </c>
    </row>
    <row r="41" spans="1:11">
      <c r="A41" t="s">
        <v>8095</v>
      </c>
      <c r="B41" t="s">
        <v>2045</v>
      </c>
      <c r="C41" t="s">
        <v>8096</v>
      </c>
      <c r="D41">
        <v>6</v>
      </c>
      <c r="E41">
        <v>258</v>
      </c>
      <c r="F41">
        <v>6</v>
      </c>
      <c r="G41" t="s">
        <v>5492</v>
      </c>
      <c r="H41">
        <v>40</v>
      </c>
      <c r="I41" t="s">
        <v>7975</v>
      </c>
      <c r="J41">
        <v>21</v>
      </c>
      <c r="K41">
        <v>14</v>
      </c>
    </row>
    <row r="42" spans="1:11">
      <c r="A42" t="s">
        <v>8097</v>
      </c>
      <c r="B42" t="s">
        <v>2048</v>
      </c>
      <c r="C42" t="s">
        <v>8098</v>
      </c>
      <c r="D42">
        <v>6</v>
      </c>
      <c r="E42">
        <v>320</v>
      </c>
      <c r="F42">
        <v>6</v>
      </c>
      <c r="G42" t="s">
        <v>5492</v>
      </c>
      <c r="H42">
        <v>20</v>
      </c>
      <c r="I42" t="s">
        <v>7975</v>
      </c>
    </row>
    <row r="43" spans="1:11">
      <c r="A43" t="s">
        <v>8099</v>
      </c>
      <c r="B43" t="s">
        <v>2312</v>
      </c>
      <c r="C43" t="s">
        <v>8100</v>
      </c>
      <c r="D43">
        <v>7</v>
      </c>
      <c r="E43">
        <v>800</v>
      </c>
      <c r="F43">
        <v>7</v>
      </c>
      <c r="G43">
        <v>180</v>
      </c>
      <c r="H43">
        <v>200</v>
      </c>
      <c r="I43" t="s">
        <v>7975</v>
      </c>
      <c r="J43">
        <v>35</v>
      </c>
      <c r="K43" t="s">
        <v>8101</v>
      </c>
    </row>
    <row r="44" spans="1:11">
      <c r="A44" t="s">
        <v>8102</v>
      </c>
      <c r="B44" t="s">
        <v>1579</v>
      </c>
      <c r="C44" t="s">
        <v>8103</v>
      </c>
      <c r="D44">
        <v>1</v>
      </c>
      <c r="E44">
        <v>17</v>
      </c>
      <c r="F44">
        <v>1</v>
      </c>
      <c r="G44">
        <v>21</v>
      </c>
      <c r="H44" t="s">
        <v>5493</v>
      </c>
      <c r="J44">
        <v>7</v>
      </c>
      <c r="K44">
        <v>35</v>
      </c>
    </row>
    <row r="45" spans="1:11">
      <c r="A45" t="s">
        <v>8104</v>
      </c>
      <c r="B45" t="s">
        <v>8105</v>
      </c>
      <c r="C45" t="s">
        <v>8106</v>
      </c>
      <c r="D45">
        <v>1</v>
      </c>
      <c r="E45">
        <v>120</v>
      </c>
      <c r="F45">
        <v>1</v>
      </c>
      <c r="G45" t="s">
        <v>5492</v>
      </c>
      <c r="H45">
        <v>120</v>
      </c>
      <c r="I45" t="s">
        <v>7975</v>
      </c>
    </row>
    <row r="46" spans="1:11">
      <c r="A46" t="s">
        <v>8107</v>
      </c>
      <c r="B46" t="s">
        <v>8108</v>
      </c>
      <c r="C46" t="s">
        <v>1960</v>
      </c>
      <c r="D46">
        <v>2</v>
      </c>
      <c r="E46">
        <v>40</v>
      </c>
      <c r="F46">
        <v>2</v>
      </c>
      <c r="G46" t="s">
        <v>5492</v>
      </c>
      <c r="H46">
        <v>20</v>
      </c>
      <c r="I46" t="s">
        <v>7975</v>
      </c>
    </row>
    <row r="47" spans="1:11">
      <c r="A47" t="s">
        <v>8109</v>
      </c>
      <c r="B47" t="s">
        <v>1595</v>
      </c>
      <c r="C47" t="s">
        <v>8110</v>
      </c>
      <c r="D47">
        <v>2</v>
      </c>
      <c r="E47">
        <v>6</v>
      </c>
      <c r="F47">
        <v>2</v>
      </c>
      <c r="G47" t="s">
        <v>5492</v>
      </c>
      <c r="H47">
        <v>2</v>
      </c>
      <c r="I47" t="s">
        <v>8022</v>
      </c>
      <c r="J47" t="s">
        <v>10</v>
      </c>
      <c r="K47">
        <v>7</v>
      </c>
    </row>
    <row r="48" spans="1:11">
      <c r="A48" t="s">
        <v>8111</v>
      </c>
      <c r="B48" t="s">
        <v>8112</v>
      </c>
      <c r="C48" t="s">
        <v>8112</v>
      </c>
      <c r="D48">
        <v>3</v>
      </c>
      <c r="E48">
        <v>160</v>
      </c>
      <c r="F48">
        <v>3</v>
      </c>
      <c r="G48" t="s">
        <v>5492</v>
      </c>
      <c r="H48">
        <v>80</v>
      </c>
      <c r="I48" t="s">
        <v>7975</v>
      </c>
    </row>
    <row r="49" spans="1:12">
      <c r="A49" t="s">
        <v>8113</v>
      </c>
      <c r="B49" t="s">
        <v>1601</v>
      </c>
      <c r="C49" t="s">
        <v>8114</v>
      </c>
      <c r="D49">
        <v>3</v>
      </c>
      <c r="E49">
        <v>40</v>
      </c>
      <c r="F49">
        <v>3</v>
      </c>
      <c r="G49" t="s">
        <v>5492</v>
      </c>
      <c r="H49">
        <v>40</v>
      </c>
      <c r="I49" t="s">
        <v>7975</v>
      </c>
      <c r="J49">
        <v>20</v>
      </c>
      <c r="K49">
        <v>40</v>
      </c>
    </row>
    <row r="50" spans="1:12">
      <c r="A50" t="s">
        <v>8115</v>
      </c>
      <c r="B50" t="s">
        <v>1638</v>
      </c>
      <c r="C50" t="s">
        <v>8116</v>
      </c>
      <c r="D50">
        <v>5</v>
      </c>
      <c r="E50">
        <v>72</v>
      </c>
      <c r="F50">
        <v>5</v>
      </c>
      <c r="G50" t="s">
        <v>5492</v>
      </c>
      <c r="H50">
        <v>40</v>
      </c>
      <c r="I50" t="s">
        <v>7975</v>
      </c>
    </row>
    <row r="51" spans="1:12">
      <c r="A51" t="s">
        <v>8117</v>
      </c>
      <c r="B51" t="s">
        <v>1978</v>
      </c>
      <c r="C51" t="s">
        <v>8118</v>
      </c>
      <c r="D51">
        <v>6</v>
      </c>
      <c r="E51">
        <v>400</v>
      </c>
      <c r="F51">
        <v>6</v>
      </c>
      <c r="G51" t="s">
        <v>5492</v>
      </c>
      <c r="H51">
        <v>40</v>
      </c>
      <c r="I51" t="s">
        <v>8022</v>
      </c>
      <c r="J51" t="s">
        <v>8119</v>
      </c>
      <c r="K51">
        <v>7</v>
      </c>
    </row>
    <row r="52" spans="1:12">
      <c r="A52" t="s">
        <v>8120</v>
      </c>
      <c r="B52" t="s">
        <v>8121</v>
      </c>
      <c r="C52" t="s">
        <v>8122</v>
      </c>
      <c r="D52">
        <v>4</v>
      </c>
      <c r="E52">
        <v>24</v>
      </c>
      <c r="F52">
        <v>4</v>
      </c>
      <c r="G52" t="s">
        <v>5492</v>
      </c>
      <c r="H52">
        <v>24</v>
      </c>
      <c r="I52" t="s">
        <v>7986</v>
      </c>
      <c r="J52" t="s">
        <v>8123</v>
      </c>
      <c r="L52" t="s">
        <v>660</v>
      </c>
    </row>
    <row r="53" spans="1:12">
      <c r="A53" t="s">
        <v>8124</v>
      </c>
      <c r="B53" t="s">
        <v>8125</v>
      </c>
      <c r="C53" t="s">
        <v>8126</v>
      </c>
      <c r="D53">
        <v>4</v>
      </c>
      <c r="E53">
        <v>24</v>
      </c>
      <c r="F53">
        <v>4</v>
      </c>
      <c r="G53" t="s">
        <v>5492</v>
      </c>
      <c r="H53">
        <v>24</v>
      </c>
      <c r="I53" t="s">
        <v>7986</v>
      </c>
      <c r="J53" t="s">
        <v>8123</v>
      </c>
      <c r="L53" t="s">
        <v>8127</v>
      </c>
    </row>
    <row r="54" spans="1:12">
      <c r="A54" t="s">
        <v>8128</v>
      </c>
      <c r="B54" t="s">
        <v>8129</v>
      </c>
      <c r="C54" t="s">
        <v>8130</v>
      </c>
      <c r="D54">
        <v>4</v>
      </c>
      <c r="E54">
        <v>24</v>
      </c>
      <c r="F54">
        <v>4</v>
      </c>
      <c r="G54" t="s">
        <v>5492</v>
      </c>
      <c r="H54">
        <v>24</v>
      </c>
      <c r="I54" t="s">
        <v>7986</v>
      </c>
      <c r="J54" t="s">
        <v>8123</v>
      </c>
      <c r="L54" t="s">
        <v>670</v>
      </c>
    </row>
    <row r="55" spans="1:12">
      <c r="A55" t="s">
        <v>8131</v>
      </c>
      <c r="B55" t="s">
        <v>8132</v>
      </c>
      <c r="C55" t="s">
        <v>8133</v>
      </c>
      <c r="D55">
        <v>4</v>
      </c>
      <c r="E55">
        <v>24</v>
      </c>
      <c r="F55">
        <v>4</v>
      </c>
      <c r="G55" t="s">
        <v>5492</v>
      </c>
      <c r="H55">
        <v>24</v>
      </c>
      <c r="I55" t="s">
        <v>7986</v>
      </c>
      <c r="J55" t="s">
        <v>8123</v>
      </c>
      <c r="L55" t="s">
        <v>674</v>
      </c>
    </row>
    <row r="56" spans="1:12">
      <c r="A56" t="s">
        <v>8134</v>
      </c>
      <c r="B56" t="s">
        <v>8135</v>
      </c>
      <c r="C56" t="s">
        <v>8136</v>
      </c>
      <c r="D56">
        <v>4</v>
      </c>
      <c r="E56">
        <v>24</v>
      </c>
      <c r="F56">
        <v>4</v>
      </c>
      <c r="G56" t="s">
        <v>5492</v>
      </c>
      <c r="H56">
        <v>24</v>
      </c>
      <c r="I56" t="s">
        <v>7986</v>
      </c>
      <c r="J56" t="s">
        <v>8123</v>
      </c>
      <c r="L56" t="s">
        <v>678</v>
      </c>
    </row>
    <row r="57" spans="1:12">
      <c r="A57" t="s">
        <v>8137</v>
      </c>
      <c r="B57" t="s">
        <v>8138</v>
      </c>
      <c r="C57" t="s">
        <v>8139</v>
      </c>
      <c r="D57">
        <v>4</v>
      </c>
      <c r="E57">
        <v>24</v>
      </c>
      <c r="F57">
        <v>4</v>
      </c>
      <c r="G57" t="s">
        <v>5492</v>
      </c>
      <c r="H57">
        <v>24</v>
      </c>
      <c r="I57" t="s">
        <v>7986</v>
      </c>
      <c r="J57" t="s">
        <v>8123</v>
      </c>
      <c r="L57" t="s">
        <v>682</v>
      </c>
    </row>
    <row r="58" spans="1:12">
      <c r="A58" t="s">
        <v>8140</v>
      </c>
      <c r="B58" t="s">
        <v>8141</v>
      </c>
      <c r="C58" t="s">
        <v>8142</v>
      </c>
      <c r="D58">
        <v>4</v>
      </c>
      <c r="E58">
        <v>24</v>
      </c>
      <c r="F58">
        <v>4</v>
      </c>
      <c r="G58" t="s">
        <v>5492</v>
      </c>
      <c r="H58">
        <v>24</v>
      </c>
      <c r="I58" t="s">
        <v>7986</v>
      </c>
      <c r="J58" t="s">
        <v>8123</v>
      </c>
      <c r="L58" t="s">
        <v>686</v>
      </c>
    </row>
    <row r="59" spans="1:12">
      <c r="A59" t="s">
        <v>8143</v>
      </c>
      <c r="B59" t="s">
        <v>8144</v>
      </c>
      <c r="C59" t="s">
        <v>8145</v>
      </c>
      <c r="D59">
        <v>4</v>
      </c>
      <c r="E59">
        <v>24</v>
      </c>
      <c r="F59">
        <v>4</v>
      </c>
      <c r="G59" t="s">
        <v>5492</v>
      </c>
      <c r="H59">
        <v>24</v>
      </c>
      <c r="I59" t="s">
        <v>7986</v>
      </c>
      <c r="J59" t="s">
        <v>8065</v>
      </c>
      <c r="L59" t="s">
        <v>709</v>
      </c>
    </row>
    <row r="60" spans="1:12">
      <c r="A60" t="s">
        <v>8146</v>
      </c>
      <c r="B60" t="s">
        <v>8147</v>
      </c>
      <c r="C60" t="s">
        <v>8148</v>
      </c>
      <c r="D60">
        <v>4</v>
      </c>
      <c r="E60">
        <v>24</v>
      </c>
      <c r="F60">
        <v>4</v>
      </c>
      <c r="G60" t="s">
        <v>5492</v>
      </c>
      <c r="H60">
        <v>24</v>
      </c>
      <c r="I60" t="s">
        <v>7986</v>
      </c>
      <c r="J60" t="s">
        <v>8065</v>
      </c>
      <c r="L60" t="s">
        <v>713</v>
      </c>
    </row>
    <row r="61" spans="1:12">
      <c r="A61" t="s">
        <v>8149</v>
      </c>
      <c r="B61" t="s">
        <v>8150</v>
      </c>
      <c r="C61" t="s">
        <v>8151</v>
      </c>
      <c r="D61">
        <v>4</v>
      </c>
      <c r="E61">
        <v>24</v>
      </c>
      <c r="F61">
        <v>4</v>
      </c>
      <c r="G61" t="s">
        <v>5492</v>
      </c>
      <c r="H61">
        <v>24</v>
      </c>
      <c r="I61" t="s">
        <v>7986</v>
      </c>
      <c r="J61" t="s">
        <v>8065</v>
      </c>
      <c r="L61" t="s">
        <v>717</v>
      </c>
    </row>
    <row r="62" spans="1:12">
      <c r="A62" t="s">
        <v>8152</v>
      </c>
      <c r="B62" t="s">
        <v>8153</v>
      </c>
      <c r="C62" t="s">
        <v>8154</v>
      </c>
      <c r="D62">
        <v>4</v>
      </c>
      <c r="E62">
        <v>24</v>
      </c>
      <c r="F62">
        <v>4</v>
      </c>
      <c r="G62" t="s">
        <v>5492</v>
      </c>
      <c r="H62">
        <v>24</v>
      </c>
      <c r="I62" t="s">
        <v>7986</v>
      </c>
      <c r="J62" t="s">
        <v>8065</v>
      </c>
      <c r="L62" t="s">
        <v>693</v>
      </c>
    </row>
    <row r="63" spans="1:12">
      <c r="A63" t="s">
        <v>8155</v>
      </c>
      <c r="B63" t="s">
        <v>8156</v>
      </c>
      <c r="C63" t="s">
        <v>8157</v>
      </c>
      <c r="D63">
        <v>4</v>
      </c>
      <c r="E63">
        <v>24</v>
      </c>
      <c r="F63">
        <v>4</v>
      </c>
      <c r="G63" t="s">
        <v>5492</v>
      </c>
      <c r="H63">
        <v>24</v>
      </c>
      <c r="I63" t="s">
        <v>7986</v>
      </c>
      <c r="J63" t="s">
        <v>8065</v>
      </c>
      <c r="L63" t="s">
        <v>721</v>
      </c>
    </row>
    <row r="64" spans="1:12">
      <c r="A64" t="s">
        <v>8158</v>
      </c>
      <c r="B64" t="s">
        <v>8159</v>
      </c>
      <c r="C64" t="s">
        <v>8160</v>
      </c>
      <c r="D64">
        <v>4</v>
      </c>
      <c r="E64">
        <v>24</v>
      </c>
      <c r="F64">
        <v>4</v>
      </c>
      <c r="G64" t="s">
        <v>5492</v>
      </c>
      <c r="H64">
        <v>24</v>
      </c>
      <c r="I64" t="s">
        <v>7986</v>
      </c>
      <c r="J64" t="s">
        <v>8065</v>
      </c>
      <c r="L64" t="s">
        <v>698</v>
      </c>
    </row>
    <row r="65" spans="1:12">
      <c r="A65" t="s">
        <v>8161</v>
      </c>
      <c r="B65" t="s">
        <v>8162</v>
      </c>
      <c r="C65" t="s">
        <v>8163</v>
      </c>
      <c r="D65">
        <v>4</v>
      </c>
      <c r="E65">
        <v>24</v>
      </c>
      <c r="F65">
        <v>4</v>
      </c>
      <c r="G65" t="s">
        <v>5492</v>
      </c>
      <c r="H65">
        <v>24</v>
      </c>
      <c r="I65" t="s">
        <v>7986</v>
      </c>
      <c r="J65" t="s">
        <v>8065</v>
      </c>
      <c r="L65" t="s">
        <v>725</v>
      </c>
    </row>
    <row r="66" spans="1:12">
      <c r="A66" t="s">
        <v>8164</v>
      </c>
      <c r="B66" t="s">
        <v>8165</v>
      </c>
      <c r="C66" t="s">
        <v>8166</v>
      </c>
      <c r="D66">
        <v>4</v>
      </c>
      <c r="E66">
        <v>24</v>
      </c>
      <c r="F66">
        <v>4</v>
      </c>
      <c r="G66" t="s">
        <v>5492</v>
      </c>
      <c r="H66">
        <v>24</v>
      </c>
      <c r="I66" t="s">
        <v>7986</v>
      </c>
      <c r="J66" t="s">
        <v>8065</v>
      </c>
      <c r="L66" t="s">
        <v>5460</v>
      </c>
    </row>
    <row r="67" spans="1:12">
      <c r="A67" t="s">
        <v>8167</v>
      </c>
      <c r="B67" t="s">
        <v>8168</v>
      </c>
      <c r="C67" t="s">
        <v>8169</v>
      </c>
      <c r="D67">
        <v>4</v>
      </c>
      <c r="E67">
        <v>24</v>
      </c>
      <c r="F67">
        <v>4</v>
      </c>
      <c r="G67" t="s">
        <v>5492</v>
      </c>
      <c r="H67">
        <v>24</v>
      </c>
      <c r="I67" t="s">
        <v>7986</v>
      </c>
      <c r="J67" t="s">
        <v>8065</v>
      </c>
      <c r="L67" t="s">
        <v>5461</v>
      </c>
    </row>
    <row r="68" spans="1:12">
      <c r="A68" t="s">
        <v>8170</v>
      </c>
      <c r="B68" t="s">
        <v>8171</v>
      </c>
      <c r="C68" t="s">
        <v>8172</v>
      </c>
      <c r="D68">
        <v>4</v>
      </c>
      <c r="E68">
        <v>24</v>
      </c>
      <c r="F68">
        <v>4</v>
      </c>
      <c r="G68" t="s">
        <v>5492</v>
      </c>
      <c r="H68">
        <v>24</v>
      </c>
      <c r="I68" t="s">
        <v>7986</v>
      </c>
      <c r="J68" t="s">
        <v>8065</v>
      </c>
      <c r="L68" t="s">
        <v>705</v>
      </c>
    </row>
    <row r="69" spans="1:12">
      <c r="A69" t="s">
        <v>8173</v>
      </c>
      <c r="B69" t="s">
        <v>8174</v>
      </c>
      <c r="C69" t="s">
        <v>8175</v>
      </c>
      <c r="D69">
        <v>4</v>
      </c>
      <c r="E69">
        <v>20</v>
      </c>
      <c r="F69">
        <v>7</v>
      </c>
      <c r="G69" t="s">
        <v>5492</v>
      </c>
      <c r="H69">
        <v>20</v>
      </c>
      <c r="I69" t="s">
        <v>8022</v>
      </c>
      <c r="J69">
        <v>4</v>
      </c>
      <c r="K69" t="s">
        <v>8176</v>
      </c>
    </row>
    <row r="70" spans="1:12">
      <c r="A70" t="s">
        <v>8177</v>
      </c>
      <c r="B70" t="s">
        <v>1994</v>
      </c>
      <c r="C70" t="s">
        <v>8178</v>
      </c>
      <c r="D70">
        <v>1</v>
      </c>
      <c r="E70">
        <v>10</v>
      </c>
      <c r="F70">
        <v>7</v>
      </c>
      <c r="G70">
        <v>30</v>
      </c>
      <c r="H70">
        <v>40</v>
      </c>
      <c r="I70" t="s">
        <v>7975</v>
      </c>
    </row>
    <row r="71" spans="1:12">
      <c r="A71" t="s">
        <v>8179</v>
      </c>
      <c r="B71" t="s">
        <v>2202</v>
      </c>
      <c r="C71" t="s">
        <v>8180</v>
      </c>
      <c r="D71">
        <v>1</v>
      </c>
      <c r="E71">
        <v>14</v>
      </c>
      <c r="F71">
        <v>7</v>
      </c>
      <c r="G71">
        <v>5</v>
      </c>
      <c r="H71" t="s">
        <v>5493</v>
      </c>
      <c r="J71">
        <v>40</v>
      </c>
      <c r="K71" t="s">
        <v>386</v>
      </c>
    </row>
    <row r="72" spans="1:12">
      <c r="A72" t="s">
        <v>8181</v>
      </c>
      <c r="B72" t="s">
        <v>2015</v>
      </c>
      <c r="C72" t="s">
        <v>8182</v>
      </c>
      <c r="D72">
        <v>3</v>
      </c>
      <c r="E72">
        <v>89</v>
      </c>
      <c r="F72">
        <v>7</v>
      </c>
      <c r="G72" t="s">
        <v>5492</v>
      </c>
      <c r="H72">
        <v>20</v>
      </c>
      <c r="I72" t="s">
        <v>7986</v>
      </c>
      <c r="J72">
        <v>20</v>
      </c>
      <c r="K72" t="s">
        <v>8183</v>
      </c>
    </row>
  </sheetData>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498"/>
  <sheetViews>
    <sheetView workbookViewId="0"/>
  </sheetViews>
  <sheetFormatPr baseColWidth="10" defaultColWidth="9.140625" defaultRowHeight="15"/>
  <sheetData>
    <row r="1" spans="1:7">
      <c r="A1" t="s">
        <v>0</v>
      </c>
      <c r="B1" t="s">
        <v>5474</v>
      </c>
      <c r="C1" t="s">
        <v>8184</v>
      </c>
      <c r="D1" t="s">
        <v>8185</v>
      </c>
      <c r="E1" t="s">
        <v>8186</v>
      </c>
      <c r="F1" t="s">
        <v>8187</v>
      </c>
      <c r="G1" t="s">
        <v>8188</v>
      </c>
    </row>
    <row r="2" spans="1:7">
      <c r="A2" t="s">
        <v>7973</v>
      </c>
      <c r="B2" t="s">
        <v>1988</v>
      </c>
      <c r="C2">
        <v>1</v>
      </c>
      <c r="D2">
        <v>76</v>
      </c>
      <c r="E2">
        <v>3</v>
      </c>
      <c r="F2">
        <v>525</v>
      </c>
      <c r="G2">
        <v>5</v>
      </c>
    </row>
    <row r="3" spans="1:7">
      <c r="A3" t="s">
        <v>7973</v>
      </c>
      <c r="B3" t="s">
        <v>1988</v>
      </c>
      <c r="C3">
        <v>2</v>
      </c>
      <c r="D3">
        <v>218</v>
      </c>
      <c r="E3">
        <v>3</v>
      </c>
      <c r="F3">
        <v>975</v>
      </c>
      <c r="G3">
        <v>5</v>
      </c>
    </row>
    <row r="4" spans="1:7">
      <c r="A4" t="s">
        <v>7973</v>
      </c>
      <c r="B4" t="s">
        <v>1988</v>
      </c>
      <c r="C4">
        <v>3</v>
      </c>
      <c r="D4">
        <v>552</v>
      </c>
      <c r="E4">
        <v>3</v>
      </c>
      <c r="F4">
        <v>1730</v>
      </c>
      <c r="G4">
        <v>5</v>
      </c>
    </row>
    <row r="5" spans="1:7">
      <c r="A5" t="s">
        <v>7973</v>
      </c>
      <c r="B5" t="s">
        <v>1988</v>
      </c>
      <c r="C5">
        <v>4</v>
      </c>
      <c r="D5">
        <v>920</v>
      </c>
      <c r="E5">
        <v>4</v>
      </c>
      <c r="F5">
        <v>2368</v>
      </c>
      <c r="G5">
        <v>5</v>
      </c>
    </row>
    <row r="6" spans="1:7">
      <c r="A6" t="s">
        <v>7973</v>
      </c>
      <c r="B6" t="s">
        <v>1988</v>
      </c>
      <c r="C6">
        <v>5</v>
      </c>
      <c r="D6">
        <v>1590</v>
      </c>
      <c r="E6">
        <v>5</v>
      </c>
      <c r="F6">
        <v>3450</v>
      </c>
      <c r="G6">
        <v>5</v>
      </c>
    </row>
    <row r="7" spans="1:7">
      <c r="A7" t="s">
        <v>7973</v>
      </c>
      <c r="B7" t="s">
        <v>1988</v>
      </c>
      <c r="C7">
        <v>6</v>
      </c>
      <c r="D7">
        <v>3020</v>
      </c>
      <c r="E7">
        <v>6</v>
      </c>
      <c r="F7">
        <v>5860</v>
      </c>
      <c r="G7">
        <v>6</v>
      </c>
    </row>
    <row r="8" spans="1:7">
      <c r="A8" t="s">
        <v>7973</v>
      </c>
      <c r="B8" t="s">
        <v>1988</v>
      </c>
      <c r="C8">
        <v>7</v>
      </c>
      <c r="D8">
        <v>8780</v>
      </c>
      <c r="E8">
        <v>7</v>
      </c>
      <c r="F8">
        <v>14080</v>
      </c>
      <c r="G8">
        <v>7</v>
      </c>
    </row>
    <row r="9" spans="1:7">
      <c r="A9" t="s">
        <v>7977</v>
      </c>
      <c r="B9" t="s">
        <v>2118</v>
      </c>
      <c r="C9">
        <v>1</v>
      </c>
      <c r="D9">
        <v>120</v>
      </c>
      <c r="E9">
        <v>3</v>
      </c>
      <c r="F9">
        <v>645</v>
      </c>
      <c r="G9">
        <v>5</v>
      </c>
    </row>
    <row r="10" spans="1:7">
      <c r="A10" t="s">
        <v>7977</v>
      </c>
      <c r="B10" t="s">
        <v>2118</v>
      </c>
      <c r="C10">
        <v>2</v>
      </c>
      <c r="D10">
        <v>372</v>
      </c>
      <c r="E10">
        <v>3</v>
      </c>
      <c r="F10">
        <v>1275</v>
      </c>
      <c r="G10">
        <v>5</v>
      </c>
    </row>
    <row r="11" spans="1:7">
      <c r="A11" t="s">
        <v>7977</v>
      </c>
      <c r="B11" t="s">
        <v>2118</v>
      </c>
      <c r="C11">
        <v>3</v>
      </c>
      <c r="D11">
        <v>932</v>
      </c>
      <c r="E11">
        <v>3</v>
      </c>
      <c r="F11">
        <v>2322</v>
      </c>
      <c r="G11">
        <v>5</v>
      </c>
    </row>
    <row r="12" spans="1:7">
      <c r="A12" t="s">
        <v>7977</v>
      </c>
      <c r="B12" t="s">
        <v>2118</v>
      </c>
      <c r="C12">
        <v>4</v>
      </c>
      <c r="D12">
        <v>1480</v>
      </c>
      <c r="E12">
        <v>4</v>
      </c>
      <c r="F12">
        <v>3656</v>
      </c>
      <c r="G12">
        <v>5</v>
      </c>
    </row>
    <row r="13" spans="1:7">
      <c r="A13" t="s">
        <v>7977</v>
      </c>
      <c r="B13" t="s">
        <v>2118</v>
      </c>
      <c r="C13">
        <v>5</v>
      </c>
      <c r="D13">
        <v>2370</v>
      </c>
      <c r="E13">
        <v>5</v>
      </c>
      <c r="F13">
        <v>5730</v>
      </c>
      <c r="G13">
        <v>5</v>
      </c>
    </row>
    <row r="14" spans="1:7">
      <c r="A14" t="s">
        <v>7977</v>
      </c>
      <c r="B14" t="s">
        <v>2118</v>
      </c>
      <c r="C14">
        <v>6</v>
      </c>
      <c r="D14">
        <v>4060</v>
      </c>
      <c r="E14">
        <v>6</v>
      </c>
      <c r="F14">
        <v>8660</v>
      </c>
      <c r="G14">
        <v>6</v>
      </c>
    </row>
    <row r="15" spans="1:7">
      <c r="A15" t="s">
        <v>7977</v>
      </c>
      <c r="B15" t="s">
        <v>2118</v>
      </c>
      <c r="C15">
        <v>7</v>
      </c>
      <c r="D15">
        <v>10120</v>
      </c>
      <c r="E15">
        <v>7</v>
      </c>
      <c r="F15">
        <v>17480</v>
      </c>
      <c r="G15">
        <v>7</v>
      </c>
    </row>
    <row r="16" spans="1:7">
      <c r="A16" t="s">
        <v>7980</v>
      </c>
      <c r="B16" t="s">
        <v>2114</v>
      </c>
      <c r="C16">
        <v>1</v>
      </c>
      <c r="D16">
        <v>230</v>
      </c>
      <c r="E16">
        <v>3</v>
      </c>
      <c r="F16">
        <v>945</v>
      </c>
      <c r="G16">
        <v>5</v>
      </c>
    </row>
    <row r="17" spans="1:7">
      <c r="A17" t="s">
        <v>7980</v>
      </c>
      <c r="B17" t="s">
        <v>2114</v>
      </c>
      <c r="C17">
        <v>2</v>
      </c>
      <c r="D17">
        <v>680</v>
      </c>
      <c r="E17">
        <v>3</v>
      </c>
      <c r="F17">
        <v>1975</v>
      </c>
      <c r="G17">
        <v>5</v>
      </c>
    </row>
    <row r="18" spans="1:7">
      <c r="A18" t="s">
        <v>7980</v>
      </c>
      <c r="B18" t="s">
        <v>2114</v>
      </c>
      <c r="C18">
        <v>3</v>
      </c>
      <c r="D18">
        <v>1768</v>
      </c>
      <c r="E18">
        <v>3</v>
      </c>
      <c r="F18">
        <v>3802</v>
      </c>
      <c r="G18">
        <v>5</v>
      </c>
    </row>
    <row r="19" spans="1:7">
      <c r="A19" t="s">
        <v>7980</v>
      </c>
      <c r="B19" t="s">
        <v>2114</v>
      </c>
      <c r="C19">
        <v>4</v>
      </c>
      <c r="D19">
        <v>2712</v>
      </c>
      <c r="E19">
        <v>4</v>
      </c>
      <c r="F19">
        <v>6232</v>
      </c>
      <c r="G19">
        <v>5</v>
      </c>
    </row>
    <row r="20" spans="1:7">
      <c r="A20" t="s">
        <v>7980</v>
      </c>
      <c r="B20" t="s">
        <v>2114</v>
      </c>
      <c r="C20">
        <v>5</v>
      </c>
      <c r="D20">
        <v>4086</v>
      </c>
      <c r="E20">
        <v>5</v>
      </c>
      <c r="F20">
        <v>10746</v>
      </c>
      <c r="G20">
        <v>5</v>
      </c>
    </row>
    <row r="21" spans="1:7">
      <c r="A21" t="s">
        <v>7980</v>
      </c>
      <c r="B21" t="s">
        <v>2114</v>
      </c>
      <c r="C21">
        <v>6</v>
      </c>
      <c r="D21">
        <v>6348</v>
      </c>
      <c r="E21">
        <v>6</v>
      </c>
      <c r="F21">
        <v>14820</v>
      </c>
      <c r="G21">
        <v>6</v>
      </c>
    </row>
    <row r="22" spans="1:7">
      <c r="A22" t="s">
        <v>7980</v>
      </c>
      <c r="B22" t="s">
        <v>2114</v>
      </c>
      <c r="C22">
        <v>7</v>
      </c>
      <c r="D22">
        <v>13068</v>
      </c>
      <c r="E22">
        <v>7</v>
      </c>
      <c r="F22">
        <v>24960</v>
      </c>
      <c r="G22">
        <v>7</v>
      </c>
    </row>
    <row r="23" spans="1:7">
      <c r="A23" t="s">
        <v>7983</v>
      </c>
      <c r="B23" t="s">
        <v>7984</v>
      </c>
      <c r="C23">
        <v>1</v>
      </c>
      <c r="D23">
        <v>98</v>
      </c>
      <c r="E23">
        <v>3</v>
      </c>
      <c r="F23">
        <v>585</v>
      </c>
      <c r="G23">
        <v>5</v>
      </c>
    </row>
    <row r="24" spans="1:7">
      <c r="A24" t="s">
        <v>7983</v>
      </c>
      <c r="B24" t="s">
        <v>7984</v>
      </c>
      <c r="C24">
        <v>2</v>
      </c>
      <c r="D24">
        <v>284</v>
      </c>
      <c r="E24">
        <v>3</v>
      </c>
      <c r="F24">
        <v>1175</v>
      </c>
      <c r="G24">
        <v>5</v>
      </c>
    </row>
    <row r="25" spans="1:7">
      <c r="A25" t="s">
        <v>7983</v>
      </c>
      <c r="B25" t="s">
        <v>7984</v>
      </c>
      <c r="C25">
        <v>3</v>
      </c>
      <c r="D25">
        <v>742</v>
      </c>
      <c r="E25">
        <v>3</v>
      </c>
      <c r="F25">
        <v>2026</v>
      </c>
      <c r="G25">
        <v>5</v>
      </c>
    </row>
    <row r="26" spans="1:7">
      <c r="A26" t="s">
        <v>7983</v>
      </c>
      <c r="B26" t="s">
        <v>7984</v>
      </c>
      <c r="C26">
        <v>4</v>
      </c>
      <c r="D26">
        <v>1200</v>
      </c>
      <c r="E26">
        <v>4</v>
      </c>
      <c r="F26">
        <v>2920</v>
      </c>
      <c r="G26">
        <v>5</v>
      </c>
    </row>
    <row r="27" spans="1:7">
      <c r="A27" t="s">
        <v>7983</v>
      </c>
      <c r="B27" t="s">
        <v>7984</v>
      </c>
      <c r="C27">
        <v>5</v>
      </c>
      <c r="D27">
        <v>1980</v>
      </c>
      <c r="E27">
        <v>5</v>
      </c>
      <c r="F27">
        <v>4590</v>
      </c>
      <c r="G27">
        <v>5</v>
      </c>
    </row>
    <row r="28" spans="1:7">
      <c r="A28" t="s">
        <v>7983</v>
      </c>
      <c r="B28" t="s">
        <v>7984</v>
      </c>
      <c r="C28">
        <v>6</v>
      </c>
      <c r="D28">
        <v>3540</v>
      </c>
      <c r="E28">
        <v>6</v>
      </c>
      <c r="F28">
        <v>7260</v>
      </c>
      <c r="G28">
        <v>6</v>
      </c>
    </row>
    <row r="29" spans="1:7">
      <c r="A29" t="s">
        <v>7983</v>
      </c>
      <c r="B29" t="s">
        <v>7984</v>
      </c>
      <c r="C29">
        <v>7</v>
      </c>
      <c r="D29">
        <v>9450</v>
      </c>
      <c r="E29">
        <v>7</v>
      </c>
      <c r="F29">
        <v>15780</v>
      </c>
      <c r="G29">
        <v>7</v>
      </c>
    </row>
    <row r="30" spans="1:7">
      <c r="A30" t="s">
        <v>7988</v>
      </c>
      <c r="B30" t="s">
        <v>2121</v>
      </c>
      <c r="C30">
        <v>1</v>
      </c>
      <c r="D30">
        <v>164</v>
      </c>
      <c r="E30">
        <v>3</v>
      </c>
      <c r="F30">
        <v>765</v>
      </c>
      <c r="G30">
        <v>5</v>
      </c>
    </row>
    <row r="31" spans="1:7">
      <c r="A31" t="s">
        <v>7988</v>
      </c>
      <c r="B31" t="s">
        <v>2121</v>
      </c>
      <c r="C31">
        <v>2</v>
      </c>
      <c r="D31">
        <v>482</v>
      </c>
      <c r="E31">
        <v>3</v>
      </c>
      <c r="F31">
        <v>1575</v>
      </c>
      <c r="G31">
        <v>5</v>
      </c>
    </row>
    <row r="32" spans="1:7">
      <c r="A32" t="s">
        <v>7988</v>
      </c>
      <c r="B32" t="s">
        <v>2121</v>
      </c>
      <c r="C32">
        <v>3</v>
      </c>
      <c r="D32">
        <v>1236</v>
      </c>
      <c r="E32">
        <v>3</v>
      </c>
      <c r="F32">
        <v>2914</v>
      </c>
      <c r="G32">
        <v>5</v>
      </c>
    </row>
    <row r="33" spans="1:7">
      <c r="A33" t="s">
        <v>7988</v>
      </c>
      <c r="B33" t="s">
        <v>2121</v>
      </c>
      <c r="C33">
        <v>4</v>
      </c>
      <c r="D33">
        <v>1928</v>
      </c>
      <c r="E33">
        <v>4</v>
      </c>
      <c r="F33">
        <v>4576</v>
      </c>
      <c r="G33">
        <v>5</v>
      </c>
    </row>
    <row r="34" spans="1:7">
      <c r="A34" t="s">
        <v>7988</v>
      </c>
      <c r="B34" t="s">
        <v>2121</v>
      </c>
      <c r="C34">
        <v>5</v>
      </c>
      <c r="D34">
        <v>2994</v>
      </c>
      <c r="E34">
        <v>5</v>
      </c>
      <c r="F34">
        <v>7554</v>
      </c>
      <c r="G34">
        <v>5</v>
      </c>
    </row>
    <row r="35" spans="1:7">
      <c r="A35" t="s">
        <v>7988</v>
      </c>
      <c r="B35" t="s">
        <v>2121</v>
      </c>
      <c r="C35">
        <v>6</v>
      </c>
      <c r="D35">
        <v>4892</v>
      </c>
      <c r="E35">
        <v>6</v>
      </c>
      <c r="F35">
        <v>10900</v>
      </c>
      <c r="G35">
        <v>6</v>
      </c>
    </row>
    <row r="36" spans="1:7">
      <c r="A36" t="s">
        <v>7988</v>
      </c>
      <c r="B36" t="s">
        <v>2121</v>
      </c>
      <c r="C36">
        <v>7</v>
      </c>
      <c r="D36">
        <v>11192</v>
      </c>
      <c r="E36">
        <v>7</v>
      </c>
      <c r="F36">
        <v>20200</v>
      </c>
      <c r="G36">
        <v>7</v>
      </c>
    </row>
    <row r="37" spans="1:7">
      <c r="A37" t="s">
        <v>7990</v>
      </c>
      <c r="B37" t="s">
        <v>2196</v>
      </c>
      <c r="C37">
        <v>1</v>
      </c>
      <c r="D37">
        <v>98</v>
      </c>
      <c r="E37">
        <v>3</v>
      </c>
      <c r="F37">
        <v>585</v>
      </c>
      <c r="G37">
        <v>5</v>
      </c>
    </row>
    <row r="38" spans="1:7">
      <c r="A38" t="s">
        <v>7990</v>
      </c>
      <c r="B38" t="s">
        <v>2196</v>
      </c>
      <c r="C38">
        <v>2</v>
      </c>
      <c r="D38">
        <v>284</v>
      </c>
      <c r="E38">
        <v>3</v>
      </c>
      <c r="F38">
        <v>1175</v>
      </c>
      <c r="G38">
        <v>5</v>
      </c>
    </row>
    <row r="39" spans="1:7">
      <c r="A39" t="s">
        <v>7990</v>
      </c>
      <c r="B39" t="s">
        <v>2196</v>
      </c>
      <c r="C39">
        <v>3</v>
      </c>
      <c r="D39">
        <v>742</v>
      </c>
      <c r="E39">
        <v>3</v>
      </c>
      <c r="F39">
        <v>2026</v>
      </c>
      <c r="G39">
        <v>5</v>
      </c>
    </row>
    <row r="40" spans="1:7">
      <c r="A40" t="s">
        <v>7990</v>
      </c>
      <c r="B40" t="s">
        <v>2196</v>
      </c>
      <c r="C40">
        <v>4</v>
      </c>
      <c r="D40">
        <v>1200</v>
      </c>
      <c r="E40">
        <v>4</v>
      </c>
      <c r="F40">
        <v>2920</v>
      </c>
      <c r="G40">
        <v>5</v>
      </c>
    </row>
    <row r="41" spans="1:7">
      <c r="A41" t="s">
        <v>7990</v>
      </c>
      <c r="B41" t="s">
        <v>2196</v>
      </c>
      <c r="C41">
        <v>5</v>
      </c>
      <c r="D41">
        <v>1980</v>
      </c>
      <c r="E41">
        <v>5</v>
      </c>
      <c r="F41">
        <v>4590</v>
      </c>
      <c r="G41">
        <v>5</v>
      </c>
    </row>
    <row r="42" spans="1:7">
      <c r="A42" t="s">
        <v>7990</v>
      </c>
      <c r="B42" t="s">
        <v>2196</v>
      </c>
      <c r="C42">
        <v>6</v>
      </c>
      <c r="D42">
        <v>3540</v>
      </c>
      <c r="E42">
        <v>6</v>
      </c>
      <c r="F42">
        <v>7260</v>
      </c>
      <c r="G42">
        <v>6</v>
      </c>
    </row>
    <row r="43" spans="1:7">
      <c r="A43" t="s">
        <v>7990</v>
      </c>
      <c r="B43" t="s">
        <v>2196</v>
      </c>
      <c r="C43">
        <v>7</v>
      </c>
      <c r="D43">
        <v>9450</v>
      </c>
      <c r="E43">
        <v>7</v>
      </c>
      <c r="F43">
        <v>15780</v>
      </c>
      <c r="G43">
        <v>7</v>
      </c>
    </row>
    <row r="44" spans="1:7">
      <c r="A44" t="s">
        <v>7992</v>
      </c>
      <c r="B44" t="s">
        <v>2193</v>
      </c>
      <c r="C44">
        <v>1</v>
      </c>
      <c r="D44">
        <v>87</v>
      </c>
      <c r="E44">
        <v>3</v>
      </c>
      <c r="F44">
        <v>585</v>
      </c>
      <c r="G44">
        <v>5</v>
      </c>
    </row>
    <row r="45" spans="1:7">
      <c r="A45" t="s">
        <v>7992</v>
      </c>
      <c r="B45" t="s">
        <v>2193</v>
      </c>
      <c r="C45">
        <v>2</v>
      </c>
      <c r="D45">
        <v>240</v>
      </c>
      <c r="E45">
        <v>3</v>
      </c>
      <c r="F45">
        <v>1075</v>
      </c>
      <c r="G45">
        <v>5</v>
      </c>
    </row>
    <row r="46" spans="1:7">
      <c r="A46" t="s">
        <v>7992</v>
      </c>
      <c r="B46" t="s">
        <v>2193</v>
      </c>
      <c r="C46">
        <v>3</v>
      </c>
      <c r="D46">
        <v>628</v>
      </c>
      <c r="E46">
        <v>3</v>
      </c>
      <c r="F46">
        <v>1878</v>
      </c>
      <c r="G46">
        <v>5</v>
      </c>
    </row>
    <row r="47" spans="1:7">
      <c r="A47" t="s">
        <v>7992</v>
      </c>
      <c r="B47" t="s">
        <v>2193</v>
      </c>
      <c r="C47">
        <v>4</v>
      </c>
      <c r="D47">
        <v>1032</v>
      </c>
      <c r="E47">
        <v>4</v>
      </c>
      <c r="F47">
        <v>2552</v>
      </c>
      <c r="G47">
        <v>5</v>
      </c>
    </row>
    <row r="48" spans="1:7">
      <c r="A48" t="s">
        <v>7992</v>
      </c>
      <c r="B48" t="s">
        <v>2193</v>
      </c>
      <c r="C48">
        <v>5</v>
      </c>
      <c r="D48">
        <v>1746</v>
      </c>
      <c r="E48">
        <v>5</v>
      </c>
      <c r="F48">
        <v>3906</v>
      </c>
      <c r="G48">
        <v>5</v>
      </c>
    </row>
    <row r="49" spans="1:7">
      <c r="A49" t="s">
        <v>7992</v>
      </c>
      <c r="B49" t="s">
        <v>2193</v>
      </c>
      <c r="C49">
        <v>6</v>
      </c>
      <c r="D49">
        <v>3228</v>
      </c>
      <c r="E49">
        <v>6</v>
      </c>
      <c r="F49">
        <v>6420</v>
      </c>
      <c r="G49">
        <v>6</v>
      </c>
    </row>
    <row r="50" spans="1:7">
      <c r="A50" t="s">
        <v>7992</v>
      </c>
      <c r="B50" t="s">
        <v>2193</v>
      </c>
      <c r="C50">
        <v>7</v>
      </c>
      <c r="D50">
        <v>9048</v>
      </c>
      <c r="E50">
        <v>7</v>
      </c>
      <c r="F50">
        <v>14760</v>
      </c>
      <c r="G50">
        <v>7</v>
      </c>
    </row>
    <row r="51" spans="1:7">
      <c r="A51" t="s">
        <v>7995</v>
      </c>
      <c r="B51" t="s">
        <v>7996</v>
      </c>
      <c r="C51">
        <v>1</v>
      </c>
      <c r="D51">
        <v>98</v>
      </c>
      <c r="E51">
        <v>3</v>
      </c>
      <c r="F51">
        <v>585</v>
      </c>
      <c r="G51">
        <v>5</v>
      </c>
    </row>
    <row r="52" spans="1:7">
      <c r="A52" t="s">
        <v>7995</v>
      </c>
      <c r="B52" t="s">
        <v>7996</v>
      </c>
      <c r="C52">
        <v>2</v>
      </c>
      <c r="D52">
        <v>284</v>
      </c>
      <c r="E52">
        <v>3</v>
      </c>
      <c r="F52">
        <v>1175</v>
      </c>
      <c r="G52">
        <v>5</v>
      </c>
    </row>
    <row r="53" spans="1:7">
      <c r="A53" t="s">
        <v>7995</v>
      </c>
      <c r="B53" t="s">
        <v>7996</v>
      </c>
      <c r="C53">
        <v>3</v>
      </c>
      <c r="D53">
        <v>742</v>
      </c>
      <c r="E53">
        <v>3</v>
      </c>
      <c r="F53">
        <v>2026</v>
      </c>
      <c r="G53">
        <v>5</v>
      </c>
    </row>
    <row r="54" spans="1:7">
      <c r="A54" t="s">
        <v>7995</v>
      </c>
      <c r="B54" t="s">
        <v>7996</v>
      </c>
      <c r="C54">
        <v>4</v>
      </c>
      <c r="D54">
        <v>1200</v>
      </c>
      <c r="E54">
        <v>4</v>
      </c>
      <c r="F54">
        <v>2920</v>
      </c>
      <c r="G54">
        <v>5</v>
      </c>
    </row>
    <row r="55" spans="1:7">
      <c r="A55" t="s">
        <v>7995</v>
      </c>
      <c r="B55" t="s">
        <v>7996</v>
      </c>
      <c r="C55">
        <v>5</v>
      </c>
      <c r="D55">
        <v>1980</v>
      </c>
      <c r="E55">
        <v>5</v>
      </c>
      <c r="F55">
        <v>4590</v>
      </c>
      <c r="G55">
        <v>5</v>
      </c>
    </row>
    <row r="56" spans="1:7">
      <c r="A56" t="s">
        <v>7995</v>
      </c>
      <c r="B56" t="s">
        <v>7996</v>
      </c>
      <c r="C56">
        <v>6</v>
      </c>
      <c r="D56">
        <v>3540</v>
      </c>
      <c r="E56">
        <v>6</v>
      </c>
      <c r="F56">
        <v>7260</v>
      </c>
      <c r="G56">
        <v>6</v>
      </c>
    </row>
    <row r="57" spans="1:7">
      <c r="A57" t="s">
        <v>7995</v>
      </c>
      <c r="B57" t="s">
        <v>7996</v>
      </c>
      <c r="C57">
        <v>7</v>
      </c>
      <c r="D57">
        <v>9450</v>
      </c>
      <c r="E57">
        <v>7</v>
      </c>
      <c r="F57">
        <v>15780</v>
      </c>
      <c r="G57">
        <v>7</v>
      </c>
    </row>
    <row r="58" spans="1:7">
      <c r="A58" t="s">
        <v>7998</v>
      </c>
      <c r="B58" t="s">
        <v>7999</v>
      </c>
      <c r="C58">
        <v>1</v>
      </c>
      <c r="D58">
        <v>109</v>
      </c>
      <c r="E58">
        <v>3</v>
      </c>
      <c r="F58">
        <v>645</v>
      </c>
      <c r="G58">
        <v>5</v>
      </c>
    </row>
    <row r="59" spans="1:7">
      <c r="A59" t="s">
        <v>7998</v>
      </c>
      <c r="B59" t="s">
        <v>7999</v>
      </c>
      <c r="C59">
        <v>2</v>
      </c>
      <c r="D59">
        <v>328</v>
      </c>
      <c r="E59">
        <v>3</v>
      </c>
      <c r="F59">
        <v>1275</v>
      </c>
      <c r="G59">
        <v>5</v>
      </c>
    </row>
    <row r="60" spans="1:7">
      <c r="A60" t="s">
        <v>7998</v>
      </c>
      <c r="B60" t="s">
        <v>7999</v>
      </c>
      <c r="C60">
        <v>3</v>
      </c>
      <c r="D60">
        <v>856</v>
      </c>
      <c r="E60">
        <v>3</v>
      </c>
      <c r="F60">
        <v>2174</v>
      </c>
      <c r="G60">
        <v>5</v>
      </c>
    </row>
    <row r="61" spans="1:7">
      <c r="A61" t="s">
        <v>7998</v>
      </c>
      <c r="B61" t="s">
        <v>7999</v>
      </c>
      <c r="C61">
        <v>4</v>
      </c>
      <c r="D61">
        <v>1368</v>
      </c>
      <c r="E61">
        <v>4</v>
      </c>
      <c r="F61">
        <v>3288</v>
      </c>
      <c r="G61">
        <v>5</v>
      </c>
    </row>
    <row r="62" spans="1:7">
      <c r="A62" t="s">
        <v>7998</v>
      </c>
      <c r="B62" t="s">
        <v>7999</v>
      </c>
      <c r="C62">
        <v>5</v>
      </c>
      <c r="D62">
        <v>2214</v>
      </c>
      <c r="E62">
        <v>5</v>
      </c>
      <c r="F62">
        <v>5274</v>
      </c>
      <c r="G62">
        <v>5</v>
      </c>
    </row>
    <row r="63" spans="1:7">
      <c r="A63" t="s">
        <v>7998</v>
      </c>
      <c r="B63" t="s">
        <v>7999</v>
      </c>
      <c r="C63">
        <v>6</v>
      </c>
      <c r="D63">
        <v>3852</v>
      </c>
      <c r="E63">
        <v>6</v>
      </c>
      <c r="F63">
        <v>8100</v>
      </c>
      <c r="G63">
        <v>6</v>
      </c>
    </row>
    <row r="64" spans="1:7">
      <c r="A64" t="s">
        <v>7998</v>
      </c>
      <c r="B64" t="s">
        <v>7999</v>
      </c>
      <c r="C64">
        <v>7</v>
      </c>
      <c r="D64">
        <v>9852</v>
      </c>
      <c r="E64">
        <v>7</v>
      </c>
      <c r="F64">
        <v>16800</v>
      </c>
      <c r="G64">
        <v>7</v>
      </c>
    </row>
    <row r="65" spans="1:7">
      <c r="A65" t="s">
        <v>8002</v>
      </c>
      <c r="B65" t="s">
        <v>8003</v>
      </c>
      <c r="C65">
        <v>1</v>
      </c>
      <c r="D65">
        <v>109</v>
      </c>
      <c r="E65">
        <v>3</v>
      </c>
      <c r="F65">
        <v>645</v>
      </c>
      <c r="G65">
        <v>5</v>
      </c>
    </row>
    <row r="66" spans="1:7">
      <c r="A66" t="s">
        <v>8002</v>
      </c>
      <c r="B66" t="s">
        <v>8003</v>
      </c>
      <c r="C66">
        <v>2</v>
      </c>
      <c r="D66">
        <v>328</v>
      </c>
      <c r="E66">
        <v>3</v>
      </c>
      <c r="F66">
        <v>1275</v>
      </c>
      <c r="G66">
        <v>5</v>
      </c>
    </row>
    <row r="67" spans="1:7">
      <c r="A67" t="s">
        <v>8002</v>
      </c>
      <c r="B67" t="s">
        <v>8003</v>
      </c>
      <c r="C67">
        <v>3</v>
      </c>
      <c r="D67">
        <v>856</v>
      </c>
      <c r="E67">
        <v>3</v>
      </c>
      <c r="F67">
        <v>2174</v>
      </c>
      <c r="G67">
        <v>5</v>
      </c>
    </row>
    <row r="68" spans="1:7">
      <c r="A68" t="s">
        <v>8002</v>
      </c>
      <c r="B68" t="s">
        <v>8003</v>
      </c>
      <c r="C68">
        <v>4</v>
      </c>
      <c r="D68">
        <v>1368</v>
      </c>
      <c r="E68">
        <v>4</v>
      </c>
      <c r="F68">
        <v>3288</v>
      </c>
      <c r="G68">
        <v>5</v>
      </c>
    </row>
    <row r="69" spans="1:7">
      <c r="A69" t="s">
        <v>8002</v>
      </c>
      <c r="B69" t="s">
        <v>8003</v>
      </c>
      <c r="C69">
        <v>5</v>
      </c>
      <c r="D69">
        <v>2214</v>
      </c>
      <c r="E69">
        <v>5</v>
      </c>
      <c r="F69">
        <v>5274</v>
      </c>
      <c r="G69">
        <v>5</v>
      </c>
    </row>
    <row r="70" spans="1:7">
      <c r="A70" t="s">
        <v>8002</v>
      </c>
      <c r="B70" t="s">
        <v>8003</v>
      </c>
      <c r="C70">
        <v>6</v>
      </c>
      <c r="D70">
        <v>3852</v>
      </c>
      <c r="E70">
        <v>6</v>
      </c>
      <c r="F70">
        <v>8100</v>
      </c>
      <c r="G70">
        <v>6</v>
      </c>
    </row>
    <row r="71" spans="1:7">
      <c r="A71" t="s">
        <v>8002</v>
      </c>
      <c r="B71" t="s">
        <v>8003</v>
      </c>
      <c r="C71">
        <v>7</v>
      </c>
      <c r="D71">
        <v>9852</v>
      </c>
      <c r="E71">
        <v>7</v>
      </c>
      <c r="F71">
        <v>16800</v>
      </c>
      <c r="G71">
        <v>7</v>
      </c>
    </row>
    <row r="72" spans="1:7">
      <c r="A72" t="s">
        <v>8005</v>
      </c>
      <c r="B72" t="s">
        <v>8006</v>
      </c>
      <c r="C72">
        <v>1</v>
      </c>
      <c r="D72">
        <v>109</v>
      </c>
      <c r="E72">
        <v>3</v>
      </c>
      <c r="F72">
        <v>645</v>
      </c>
      <c r="G72">
        <v>5</v>
      </c>
    </row>
    <row r="73" spans="1:7">
      <c r="A73" t="s">
        <v>8005</v>
      </c>
      <c r="B73" t="s">
        <v>8006</v>
      </c>
      <c r="C73">
        <v>2</v>
      </c>
      <c r="D73">
        <v>328</v>
      </c>
      <c r="E73">
        <v>3</v>
      </c>
      <c r="F73">
        <v>1275</v>
      </c>
      <c r="G73">
        <v>5</v>
      </c>
    </row>
    <row r="74" spans="1:7">
      <c r="A74" t="s">
        <v>8005</v>
      </c>
      <c r="B74" t="s">
        <v>8006</v>
      </c>
      <c r="C74">
        <v>3</v>
      </c>
      <c r="D74">
        <v>856</v>
      </c>
      <c r="E74">
        <v>3</v>
      </c>
      <c r="F74">
        <v>2174</v>
      </c>
      <c r="G74">
        <v>5</v>
      </c>
    </row>
    <row r="75" spans="1:7">
      <c r="A75" t="s">
        <v>8005</v>
      </c>
      <c r="B75" t="s">
        <v>8006</v>
      </c>
      <c r="C75">
        <v>4</v>
      </c>
      <c r="D75">
        <v>1368</v>
      </c>
      <c r="E75">
        <v>4</v>
      </c>
      <c r="F75">
        <v>3288</v>
      </c>
      <c r="G75">
        <v>5</v>
      </c>
    </row>
    <row r="76" spans="1:7">
      <c r="A76" t="s">
        <v>8005</v>
      </c>
      <c r="B76" t="s">
        <v>8006</v>
      </c>
      <c r="C76">
        <v>5</v>
      </c>
      <c r="D76">
        <v>2214</v>
      </c>
      <c r="E76">
        <v>5</v>
      </c>
      <c r="F76">
        <v>5274</v>
      </c>
      <c r="G76">
        <v>5</v>
      </c>
    </row>
    <row r="77" spans="1:7">
      <c r="A77" t="s">
        <v>8005</v>
      </c>
      <c r="B77" t="s">
        <v>8006</v>
      </c>
      <c r="C77">
        <v>6</v>
      </c>
      <c r="D77">
        <v>3852</v>
      </c>
      <c r="E77">
        <v>6</v>
      </c>
      <c r="F77">
        <v>8100</v>
      </c>
      <c r="G77">
        <v>6</v>
      </c>
    </row>
    <row r="78" spans="1:7">
      <c r="A78" t="s">
        <v>8005</v>
      </c>
      <c r="B78" t="s">
        <v>8006</v>
      </c>
      <c r="C78">
        <v>7</v>
      </c>
      <c r="D78">
        <v>9852</v>
      </c>
      <c r="E78">
        <v>7</v>
      </c>
      <c r="F78">
        <v>16800</v>
      </c>
      <c r="G78">
        <v>7</v>
      </c>
    </row>
    <row r="79" spans="1:7">
      <c r="A79" t="s">
        <v>8008</v>
      </c>
      <c r="B79" t="s">
        <v>8009</v>
      </c>
      <c r="C79">
        <v>1</v>
      </c>
      <c r="D79">
        <v>109</v>
      </c>
      <c r="E79">
        <v>3</v>
      </c>
      <c r="F79">
        <v>645</v>
      </c>
      <c r="G79">
        <v>5</v>
      </c>
    </row>
    <row r="80" spans="1:7">
      <c r="A80" t="s">
        <v>8008</v>
      </c>
      <c r="B80" t="s">
        <v>8009</v>
      </c>
      <c r="C80">
        <v>2</v>
      </c>
      <c r="D80">
        <v>328</v>
      </c>
      <c r="E80">
        <v>3</v>
      </c>
      <c r="F80">
        <v>1275</v>
      </c>
      <c r="G80">
        <v>5</v>
      </c>
    </row>
    <row r="81" spans="1:7">
      <c r="A81" t="s">
        <v>8008</v>
      </c>
      <c r="B81" t="s">
        <v>8009</v>
      </c>
      <c r="C81">
        <v>3</v>
      </c>
      <c r="D81">
        <v>856</v>
      </c>
      <c r="E81">
        <v>3</v>
      </c>
      <c r="F81">
        <v>2174</v>
      </c>
      <c r="G81">
        <v>5</v>
      </c>
    </row>
    <row r="82" spans="1:7">
      <c r="A82" t="s">
        <v>8008</v>
      </c>
      <c r="B82" t="s">
        <v>8009</v>
      </c>
      <c r="C82">
        <v>4</v>
      </c>
      <c r="D82">
        <v>1368</v>
      </c>
      <c r="E82">
        <v>4</v>
      </c>
      <c r="F82">
        <v>3288</v>
      </c>
      <c r="G82">
        <v>5</v>
      </c>
    </row>
    <row r="83" spans="1:7">
      <c r="A83" t="s">
        <v>8008</v>
      </c>
      <c r="B83" t="s">
        <v>8009</v>
      </c>
      <c r="C83">
        <v>5</v>
      </c>
      <c r="D83">
        <v>2214</v>
      </c>
      <c r="E83">
        <v>5</v>
      </c>
      <c r="F83">
        <v>5274</v>
      </c>
      <c r="G83">
        <v>5</v>
      </c>
    </row>
    <row r="84" spans="1:7">
      <c r="A84" t="s">
        <v>8008</v>
      </c>
      <c r="B84" t="s">
        <v>8009</v>
      </c>
      <c r="C84">
        <v>6</v>
      </c>
      <c r="D84">
        <v>3852</v>
      </c>
      <c r="E84">
        <v>6</v>
      </c>
      <c r="F84">
        <v>8100</v>
      </c>
      <c r="G84">
        <v>6</v>
      </c>
    </row>
    <row r="85" spans="1:7">
      <c r="A85" t="s">
        <v>8008</v>
      </c>
      <c r="B85" t="s">
        <v>8009</v>
      </c>
      <c r="C85">
        <v>7</v>
      </c>
      <c r="D85">
        <v>9852</v>
      </c>
      <c r="E85">
        <v>7</v>
      </c>
      <c r="F85">
        <v>16800</v>
      </c>
      <c r="G85">
        <v>7</v>
      </c>
    </row>
    <row r="86" spans="1:7">
      <c r="A86" t="s">
        <v>8011</v>
      </c>
      <c r="B86" t="s">
        <v>8012</v>
      </c>
      <c r="C86">
        <v>1</v>
      </c>
      <c r="D86">
        <v>109</v>
      </c>
      <c r="E86">
        <v>3</v>
      </c>
      <c r="F86">
        <v>645</v>
      </c>
      <c r="G86">
        <v>5</v>
      </c>
    </row>
    <row r="87" spans="1:7">
      <c r="A87" t="s">
        <v>8011</v>
      </c>
      <c r="B87" t="s">
        <v>8012</v>
      </c>
      <c r="C87">
        <v>2</v>
      </c>
      <c r="D87">
        <v>328</v>
      </c>
      <c r="E87">
        <v>3</v>
      </c>
      <c r="F87">
        <v>1275</v>
      </c>
      <c r="G87">
        <v>5</v>
      </c>
    </row>
    <row r="88" spans="1:7">
      <c r="A88" t="s">
        <v>8011</v>
      </c>
      <c r="B88" t="s">
        <v>8012</v>
      </c>
      <c r="C88">
        <v>3</v>
      </c>
      <c r="D88">
        <v>856</v>
      </c>
      <c r="E88">
        <v>3</v>
      </c>
      <c r="F88">
        <v>2174</v>
      </c>
      <c r="G88">
        <v>5</v>
      </c>
    </row>
    <row r="89" spans="1:7">
      <c r="A89" t="s">
        <v>8011</v>
      </c>
      <c r="B89" t="s">
        <v>8012</v>
      </c>
      <c r="C89">
        <v>4</v>
      </c>
      <c r="D89">
        <v>1368</v>
      </c>
      <c r="E89">
        <v>4</v>
      </c>
      <c r="F89">
        <v>3288</v>
      </c>
      <c r="G89">
        <v>5</v>
      </c>
    </row>
    <row r="90" spans="1:7">
      <c r="A90" t="s">
        <v>8011</v>
      </c>
      <c r="B90" t="s">
        <v>8012</v>
      </c>
      <c r="C90">
        <v>5</v>
      </c>
      <c r="D90">
        <v>2214</v>
      </c>
      <c r="E90">
        <v>5</v>
      </c>
      <c r="F90">
        <v>5274</v>
      </c>
      <c r="G90">
        <v>5</v>
      </c>
    </row>
    <row r="91" spans="1:7">
      <c r="A91" t="s">
        <v>8011</v>
      </c>
      <c r="B91" t="s">
        <v>8012</v>
      </c>
      <c r="C91">
        <v>6</v>
      </c>
      <c r="D91">
        <v>3852</v>
      </c>
      <c r="E91">
        <v>6</v>
      </c>
      <c r="F91">
        <v>8100</v>
      </c>
      <c r="G91">
        <v>6</v>
      </c>
    </row>
    <row r="92" spans="1:7">
      <c r="A92" t="s">
        <v>8011</v>
      </c>
      <c r="B92" t="s">
        <v>8012</v>
      </c>
      <c r="C92">
        <v>7</v>
      </c>
      <c r="D92">
        <v>9852</v>
      </c>
      <c r="E92">
        <v>7</v>
      </c>
      <c r="F92">
        <v>16800</v>
      </c>
      <c r="G92">
        <v>7</v>
      </c>
    </row>
    <row r="93" spans="1:7">
      <c r="A93" t="s">
        <v>8014</v>
      </c>
      <c r="B93" t="s">
        <v>2211</v>
      </c>
      <c r="C93">
        <v>1</v>
      </c>
      <c r="D93">
        <v>109</v>
      </c>
      <c r="E93">
        <v>3</v>
      </c>
      <c r="F93">
        <v>645</v>
      </c>
      <c r="G93">
        <v>5</v>
      </c>
    </row>
    <row r="94" spans="1:7">
      <c r="A94" t="s">
        <v>8014</v>
      </c>
      <c r="B94" t="s">
        <v>2211</v>
      </c>
      <c r="C94">
        <v>2</v>
      </c>
      <c r="D94">
        <v>328</v>
      </c>
      <c r="E94">
        <v>3</v>
      </c>
      <c r="F94">
        <v>1275</v>
      </c>
      <c r="G94">
        <v>5</v>
      </c>
    </row>
    <row r="95" spans="1:7">
      <c r="A95" t="s">
        <v>8014</v>
      </c>
      <c r="B95" t="s">
        <v>2211</v>
      </c>
      <c r="C95">
        <v>3</v>
      </c>
      <c r="D95">
        <v>856</v>
      </c>
      <c r="E95">
        <v>3</v>
      </c>
      <c r="F95">
        <v>2174</v>
      </c>
      <c r="G95">
        <v>5</v>
      </c>
    </row>
    <row r="96" spans="1:7">
      <c r="A96" t="s">
        <v>8014</v>
      </c>
      <c r="B96" t="s">
        <v>2211</v>
      </c>
      <c r="C96">
        <v>4</v>
      </c>
      <c r="D96">
        <v>1368</v>
      </c>
      <c r="E96">
        <v>4</v>
      </c>
      <c r="F96">
        <v>3288</v>
      </c>
      <c r="G96">
        <v>5</v>
      </c>
    </row>
    <row r="97" spans="1:7">
      <c r="A97" t="s">
        <v>8014</v>
      </c>
      <c r="B97" t="s">
        <v>2211</v>
      </c>
      <c r="C97">
        <v>5</v>
      </c>
      <c r="D97">
        <v>2214</v>
      </c>
      <c r="E97">
        <v>5</v>
      </c>
      <c r="F97">
        <v>5274</v>
      </c>
      <c r="G97">
        <v>5</v>
      </c>
    </row>
    <row r="98" spans="1:7">
      <c r="A98" t="s">
        <v>8014</v>
      </c>
      <c r="B98" t="s">
        <v>2211</v>
      </c>
      <c r="C98">
        <v>6</v>
      </c>
      <c r="D98">
        <v>3852</v>
      </c>
      <c r="E98">
        <v>6</v>
      </c>
      <c r="F98">
        <v>8100</v>
      </c>
      <c r="G98">
        <v>6</v>
      </c>
    </row>
    <row r="99" spans="1:7">
      <c r="A99" t="s">
        <v>8014</v>
      </c>
      <c r="B99" t="s">
        <v>2211</v>
      </c>
      <c r="C99">
        <v>7</v>
      </c>
      <c r="D99">
        <v>9852</v>
      </c>
      <c r="E99">
        <v>7</v>
      </c>
      <c r="F99">
        <v>16800</v>
      </c>
      <c r="G99">
        <v>7</v>
      </c>
    </row>
    <row r="100" spans="1:7">
      <c r="A100" t="s">
        <v>8016</v>
      </c>
      <c r="B100" t="s">
        <v>8017</v>
      </c>
      <c r="C100">
        <v>1</v>
      </c>
      <c r="D100">
        <v>65</v>
      </c>
      <c r="E100">
        <v>3</v>
      </c>
      <c r="F100">
        <v>525</v>
      </c>
      <c r="G100">
        <v>5</v>
      </c>
    </row>
    <row r="101" spans="1:7">
      <c r="A101" t="s">
        <v>8016</v>
      </c>
      <c r="B101" t="s">
        <v>8017</v>
      </c>
      <c r="C101">
        <v>2</v>
      </c>
      <c r="D101">
        <v>196</v>
      </c>
      <c r="E101">
        <v>3</v>
      </c>
      <c r="F101">
        <v>975</v>
      </c>
      <c r="G101">
        <v>5</v>
      </c>
    </row>
    <row r="102" spans="1:7">
      <c r="A102" t="s">
        <v>8016</v>
      </c>
      <c r="B102" t="s">
        <v>8017</v>
      </c>
      <c r="C102">
        <v>3</v>
      </c>
      <c r="D102">
        <v>514</v>
      </c>
      <c r="E102">
        <v>3</v>
      </c>
      <c r="F102">
        <v>1582</v>
      </c>
      <c r="G102">
        <v>5</v>
      </c>
    </row>
    <row r="103" spans="1:7">
      <c r="A103" t="s">
        <v>8016</v>
      </c>
      <c r="B103" t="s">
        <v>8017</v>
      </c>
      <c r="C103">
        <v>4</v>
      </c>
      <c r="D103">
        <v>864</v>
      </c>
      <c r="E103">
        <v>4</v>
      </c>
      <c r="F103">
        <v>2184</v>
      </c>
      <c r="G103">
        <v>5</v>
      </c>
    </row>
    <row r="104" spans="1:7">
      <c r="A104" t="s">
        <v>8016</v>
      </c>
      <c r="B104" t="s">
        <v>8017</v>
      </c>
      <c r="C104">
        <v>5</v>
      </c>
      <c r="D104">
        <v>1512</v>
      </c>
      <c r="E104">
        <v>5</v>
      </c>
      <c r="F104">
        <v>3222</v>
      </c>
      <c r="G104">
        <v>5</v>
      </c>
    </row>
    <row r="105" spans="1:7">
      <c r="A105" t="s">
        <v>8016</v>
      </c>
      <c r="B105" t="s">
        <v>8017</v>
      </c>
      <c r="C105">
        <v>6</v>
      </c>
      <c r="D105">
        <v>2916</v>
      </c>
      <c r="E105">
        <v>6</v>
      </c>
      <c r="F105">
        <v>5580</v>
      </c>
      <c r="G105">
        <v>6</v>
      </c>
    </row>
    <row r="106" spans="1:7">
      <c r="A106" t="s">
        <v>8016</v>
      </c>
      <c r="B106" t="s">
        <v>8017</v>
      </c>
      <c r="C106">
        <v>7</v>
      </c>
      <c r="D106">
        <v>8646</v>
      </c>
      <c r="E106">
        <v>7</v>
      </c>
      <c r="F106">
        <v>13740</v>
      </c>
      <c r="G106">
        <v>7</v>
      </c>
    </row>
    <row r="107" spans="1:7">
      <c r="A107" t="s">
        <v>8019</v>
      </c>
      <c r="B107" t="s">
        <v>8020</v>
      </c>
      <c r="C107">
        <v>1</v>
      </c>
      <c r="D107">
        <v>43</v>
      </c>
      <c r="E107">
        <v>3</v>
      </c>
      <c r="F107">
        <v>465</v>
      </c>
      <c r="G107">
        <v>5</v>
      </c>
    </row>
    <row r="108" spans="1:7">
      <c r="A108" t="s">
        <v>8019</v>
      </c>
      <c r="B108" t="s">
        <v>8020</v>
      </c>
      <c r="C108">
        <v>2</v>
      </c>
      <c r="D108">
        <v>130</v>
      </c>
      <c r="E108">
        <v>3</v>
      </c>
      <c r="F108">
        <v>875</v>
      </c>
      <c r="G108">
        <v>5</v>
      </c>
    </row>
    <row r="109" spans="1:7">
      <c r="A109" t="s">
        <v>8019</v>
      </c>
      <c r="B109" t="s">
        <v>8020</v>
      </c>
      <c r="C109">
        <v>3</v>
      </c>
      <c r="D109">
        <v>324</v>
      </c>
      <c r="E109">
        <v>3</v>
      </c>
      <c r="F109">
        <v>1286</v>
      </c>
      <c r="G109">
        <v>5</v>
      </c>
    </row>
    <row r="110" spans="1:7">
      <c r="A110" t="s">
        <v>8019</v>
      </c>
      <c r="B110" t="s">
        <v>8020</v>
      </c>
      <c r="C110">
        <v>4</v>
      </c>
      <c r="D110">
        <v>584</v>
      </c>
      <c r="E110">
        <v>4</v>
      </c>
      <c r="F110">
        <v>1632</v>
      </c>
      <c r="G110">
        <v>5</v>
      </c>
    </row>
    <row r="111" spans="1:7">
      <c r="A111" t="s">
        <v>8019</v>
      </c>
      <c r="B111" t="s">
        <v>8020</v>
      </c>
      <c r="C111">
        <v>5</v>
      </c>
      <c r="D111">
        <v>1122</v>
      </c>
      <c r="E111">
        <v>5</v>
      </c>
      <c r="F111">
        <v>2082</v>
      </c>
      <c r="G111">
        <v>5</v>
      </c>
    </row>
    <row r="112" spans="1:7">
      <c r="A112" t="s">
        <v>8019</v>
      </c>
      <c r="B112" t="s">
        <v>8020</v>
      </c>
      <c r="C112">
        <v>6</v>
      </c>
      <c r="D112">
        <v>2396</v>
      </c>
      <c r="E112">
        <v>6</v>
      </c>
      <c r="F112">
        <v>4180</v>
      </c>
      <c r="G112">
        <v>6</v>
      </c>
    </row>
    <row r="113" spans="1:7">
      <c r="A113" t="s">
        <v>8019</v>
      </c>
      <c r="B113" t="s">
        <v>8020</v>
      </c>
      <c r="C113">
        <v>7</v>
      </c>
      <c r="D113">
        <v>7976</v>
      </c>
      <c r="E113">
        <v>7</v>
      </c>
      <c r="F113">
        <v>12040</v>
      </c>
      <c r="G113">
        <v>7</v>
      </c>
    </row>
    <row r="114" spans="1:7">
      <c r="A114" t="s">
        <v>8023</v>
      </c>
      <c r="B114" t="s">
        <v>8024</v>
      </c>
      <c r="C114">
        <v>1</v>
      </c>
      <c r="D114">
        <v>43</v>
      </c>
      <c r="E114">
        <v>3</v>
      </c>
      <c r="F114">
        <v>465</v>
      </c>
      <c r="G114">
        <v>5</v>
      </c>
    </row>
    <row r="115" spans="1:7">
      <c r="A115" t="s">
        <v>8023</v>
      </c>
      <c r="B115" t="s">
        <v>8024</v>
      </c>
      <c r="C115">
        <v>2</v>
      </c>
      <c r="D115">
        <v>130</v>
      </c>
      <c r="E115">
        <v>3</v>
      </c>
      <c r="F115">
        <v>875</v>
      </c>
      <c r="G115">
        <v>5</v>
      </c>
    </row>
    <row r="116" spans="1:7">
      <c r="A116" t="s">
        <v>8023</v>
      </c>
      <c r="B116" t="s">
        <v>8024</v>
      </c>
      <c r="C116">
        <v>3</v>
      </c>
      <c r="D116">
        <v>324</v>
      </c>
      <c r="E116">
        <v>3</v>
      </c>
      <c r="F116">
        <v>1286</v>
      </c>
      <c r="G116">
        <v>5</v>
      </c>
    </row>
    <row r="117" spans="1:7">
      <c r="A117" t="s">
        <v>8023</v>
      </c>
      <c r="B117" t="s">
        <v>8024</v>
      </c>
      <c r="C117">
        <v>4</v>
      </c>
      <c r="D117">
        <v>584</v>
      </c>
      <c r="E117">
        <v>4</v>
      </c>
      <c r="F117">
        <v>1632</v>
      </c>
      <c r="G117">
        <v>5</v>
      </c>
    </row>
    <row r="118" spans="1:7">
      <c r="A118" t="s">
        <v>8023</v>
      </c>
      <c r="B118" t="s">
        <v>8024</v>
      </c>
      <c r="C118">
        <v>5</v>
      </c>
      <c r="D118">
        <v>1122</v>
      </c>
      <c r="E118">
        <v>5</v>
      </c>
      <c r="F118">
        <v>2082</v>
      </c>
      <c r="G118">
        <v>5</v>
      </c>
    </row>
    <row r="119" spans="1:7">
      <c r="A119" t="s">
        <v>8023</v>
      </c>
      <c r="B119" t="s">
        <v>8024</v>
      </c>
      <c r="C119">
        <v>6</v>
      </c>
      <c r="D119">
        <v>2396</v>
      </c>
      <c r="E119">
        <v>6</v>
      </c>
      <c r="F119">
        <v>4180</v>
      </c>
      <c r="G119">
        <v>6</v>
      </c>
    </row>
    <row r="120" spans="1:7">
      <c r="A120" t="s">
        <v>8023</v>
      </c>
      <c r="B120" t="s">
        <v>8024</v>
      </c>
      <c r="C120">
        <v>7</v>
      </c>
      <c r="D120">
        <v>7976</v>
      </c>
      <c r="E120">
        <v>7</v>
      </c>
      <c r="F120">
        <v>12040</v>
      </c>
      <c r="G120">
        <v>7</v>
      </c>
    </row>
    <row r="121" spans="1:7">
      <c r="A121" t="s">
        <v>8026</v>
      </c>
      <c r="B121" t="s">
        <v>8027</v>
      </c>
      <c r="C121">
        <v>1</v>
      </c>
      <c r="D121">
        <v>43</v>
      </c>
      <c r="E121">
        <v>3</v>
      </c>
      <c r="F121">
        <v>465</v>
      </c>
      <c r="G121">
        <v>5</v>
      </c>
    </row>
    <row r="122" spans="1:7">
      <c r="A122" t="s">
        <v>8026</v>
      </c>
      <c r="B122" t="s">
        <v>8027</v>
      </c>
      <c r="C122">
        <v>2</v>
      </c>
      <c r="D122">
        <v>130</v>
      </c>
      <c r="E122">
        <v>3</v>
      </c>
      <c r="F122">
        <v>875</v>
      </c>
      <c r="G122">
        <v>5</v>
      </c>
    </row>
    <row r="123" spans="1:7">
      <c r="A123" t="s">
        <v>8026</v>
      </c>
      <c r="B123" t="s">
        <v>8027</v>
      </c>
      <c r="C123">
        <v>3</v>
      </c>
      <c r="D123">
        <v>324</v>
      </c>
      <c r="E123">
        <v>3</v>
      </c>
      <c r="F123">
        <v>1286</v>
      </c>
      <c r="G123">
        <v>5</v>
      </c>
    </row>
    <row r="124" spans="1:7">
      <c r="A124" t="s">
        <v>8026</v>
      </c>
      <c r="B124" t="s">
        <v>8027</v>
      </c>
      <c r="C124">
        <v>4</v>
      </c>
      <c r="D124">
        <v>584</v>
      </c>
      <c r="E124">
        <v>4</v>
      </c>
      <c r="F124">
        <v>1632</v>
      </c>
      <c r="G124">
        <v>5</v>
      </c>
    </row>
    <row r="125" spans="1:7">
      <c r="A125" t="s">
        <v>8026</v>
      </c>
      <c r="B125" t="s">
        <v>8027</v>
      </c>
      <c r="C125">
        <v>5</v>
      </c>
      <c r="D125">
        <v>1122</v>
      </c>
      <c r="E125">
        <v>5</v>
      </c>
      <c r="F125">
        <v>2082</v>
      </c>
      <c r="G125">
        <v>5</v>
      </c>
    </row>
    <row r="126" spans="1:7">
      <c r="A126" t="s">
        <v>8026</v>
      </c>
      <c r="B126" t="s">
        <v>8027</v>
      </c>
      <c r="C126">
        <v>6</v>
      </c>
      <c r="D126">
        <v>2396</v>
      </c>
      <c r="E126">
        <v>6</v>
      </c>
      <c r="F126">
        <v>4180</v>
      </c>
      <c r="G126">
        <v>6</v>
      </c>
    </row>
    <row r="127" spans="1:7">
      <c r="A127" t="s">
        <v>8026</v>
      </c>
      <c r="B127" t="s">
        <v>8027</v>
      </c>
      <c r="C127">
        <v>7</v>
      </c>
      <c r="D127">
        <v>7976</v>
      </c>
      <c r="E127">
        <v>7</v>
      </c>
      <c r="F127">
        <v>12040</v>
      </c>
      <c r="G127">
        <v>7</v>
      </c>
    </row>
    <row r="128" spans="1:7">
      <c r="A128" t="s">
        <v>8029</v>
      </c>
      <c r="B128" t="s">
        <v>8030</v>
      </c>
      <c r="C128">
        <v>1</v>
      </c>
      <c r="D128">
        <v>43</v>
      </c>
      <c r="E128">
        <v>3</v>
      </c>
      <c r="F128">
        <v>465</v>
      </c>
      <c r="G128">
        <v>5</v>
      </c>
    </row>
    <row r="129" spans="1:7">
      <c r="A129" t="s">
        <v>8029</v>
      </c>
      <c r="B129" t="s">
        <v>8030</v>
      </c>
      <c r="C129">
        <v>2</v>
      </c>
      <c r="D129">
        <v>130</v>
      </c>
      <c r="E129">
        <v>3</v>
      </c>
      <c r="F129">
        <v>875</v>
      </c>
      <c r="G129">
        <v>5</v>
      </c>
    </row>
    <row r="130" spans="1:7">
      <c r="A130" t="s">
        <v>8029</v>
      </c>
      <c r="B130" t="s">
        <v>8030</v>
      </c>
      <c r="C130">
        <v>3</v>
      </c>
      <c r="D130">
        <v>324</v>
      </c>
      <c r="E130">
        <v>3</v>
      </c>
      <c r="F130">
        <v>1286</v>
      </c>
      <c r="G130">
        <v>5</v>
      </c>
    </row>
    <row r="131" spans="1:7">
      <c r="A131" t="s">
        <v>8029</v>
      </c>
      <c r="B131" t="s">
        <v>8030</v>
      </c>
      <c r="C131">
        <v>4</v>
      </c>
      <c r="D131">
        <v>584</v>
      </c>
      <c r="E131">
        <v>4</v>
      </c>
      <c r="F131">
        <v>1632</v>
      </c>
      <c r="G131">
        <v>5</v>
      </c>
    </row>
    <row r="132" spans="1:7">
      <c r="A132" t="s">
        <v>8029</v>
      </c>
      <c r="B132" t="s">
        <v>8030</v>
      </c>
      <c r="C132">
        <v>5</v>
      </c>
      <c r="D132">
        <v>1122</v>
      </c>
      <c r="E132">
        <v>5</v>
      </c>
      <c r="F132">
        <v>2082</v>
      </c>
      <c r="G132">
        <v>5</v>
      </c>
    </row>
    <row r="133" spans="1:7">
      <c r="A133" t="s">
        <v>8029</v>
      </c>
      <c r="B133" t="s">
        <v>8030</v>
      </c>
      <c r="C133">
        <v>6</v>
      </c>
      <c r="D133">
        <v>2396</v>
      </c>
      <c r="E133">
        <v>6</v>
      </c>
      <c r="F133">
        <v>4180</v>
      </c>
      <c r="G133">
        <v>6</v>
      </c>
    </row>
    <row r="134" spans="1:7">
      <c r="A134" t="s">
        <v>8029</v>
      </c>
      <c r="B134" t="s">
        <v>8030</v>
      </c>
      <c r="C134">
        <v>7</v>
      </c>
      <c r="D134">
        <v>7976</v>
      </c>
      <c r="E134">
        <v>7</v>
      </c>
      <c r="F134">
        <v>12040</v>
      </c>
      <c r="G134">
        <v>7</v>
      </c>
    </row>
    <row r="135" spans="1:7">
      <c r="A135" t="s">
        <v>8033</v>
      </c>
      <c r="B135" t="s">
        <v>8034</v>
      </c>
      <c r="C135">
        <v>1</v>
      </c>
      <c r="D135">
        <v>43</v>
      </c>
      <c r="E135">
        <v>3</v>
      </c>
      <c r="F135">
        <v>465</v>
      </c>
      <c r="G135">
        <v>5</v>
      </c>
    </row>
    <row r="136" spans="1:7">
      <c r="A136" t="s">
        <v>8033</v>
      </c>
      <c r="B136" t="s">
        <v>8034</v>
      </c>
      <c r="C136">
        <v>2</v>
      </c>
      <c r="D136">
        <v>130</v>
      </c>
      <c r="E136">
        <v>3</v>
      </c>
      <c r="F136">
        <v>875</v>
      </c>
      <c r="G136">
        <v>5</v>
      </c>
    </row>
    <row r="137" spans="1:7">
      <c r="A137" t="s">
        <v>8033</v>
      </c>
      <c r="B137" t="s">
        <v>8034</v>
      </c>
      <c r="C137">
        <v>3</v>
      </c>
      <c r="D137">
        <v>324</v>
      </c>
      <c r="E137">
        <v>3</v>
      </c>
      <c r="F137">
        <v>1286</v>
      </c>
      <c r="G137">
        <v>5</v>
      </c>
    </row>
    <row r="138" spans="1:7">
      <c r="A138" t="s">
        <v>8033</v>
      </c>
      <c r="B138" t="s">
        <v>8034</v>
      </c>
      <c r="C138">
        <v>4</v>
      </c>
      <c r="D138">
        <v>584</v>
      </c>
      <c r="E138">
        <v>4</v>
      </c>
      <c r="F138">
        <v>1632</v>
      </c>
      <c r="G138">
        <v>5</v>
      </c>
    </row>
    <row r="139" spans="1:7">
      <c r="A139" t="s">
        <v>8033</v>
      </c>
      <c r="B139" t="s">
        <v>8034</v>
      </c>
      <c r="C139">
        <v>5</v>
      </c>
      <c r="D139">
        <v>1122</v>
      </c>
      <c r="E139">
        <v>5</v>
      </c>
      <c r="F139">
        <v>2082</v>
      </c>
      <c r="G139">
        <v>5</v>
      </c>
    </row>
    <row r="140" spans="1:7">
      <c r="A140" t="s">
        <v>8033</v>
      </c>
      <c r="B140" t="s">
        <v>8034</v>
      </c>
      <c r="C140">
        <v>6</v>
      </c>
      <c r="D140">
        <v>2396</v>
      </c>
      <c r="E140">
        <v>6</v>
      </c>
      <c r="F140">
        <v>4180</v>
      </c>
      <c r="G140">
        <v>6</v>
      </c>
    </row>
    <row r="141" spans="1:7">
      <c r="A141" t="s">
        <v>8033</v>
      </c>
      <c r="B141" t="s">
        <v>8034</v>
      </c>
      <c r="C141">
        <v>7</v>
      </c>
      <c r="D141">
        <v>7976</v>
      </c>
      <c r="E141">
        <v>7</v>
      </c>
      <c r="F141">
        <v>12040</v>
      </c>
      <c r="G141">
        <v>7</v>
      </c>
    </row>
    <row r="142" spans="1:7">
      <c r="A142" t="s">
        <v>8037</v>
      </c>
      <c r="B142" t="s">
        <v>8038</v>
      </c>
      <c r="C142">
        <v>1</v>
      </c>
      <c r="D142">
        <v>153</v>
      </c>
      <c r="E142">
        <v>3</v>
      </c>
      <c r="F142">
        <v>765</v>
      </c>
      <c r="G142">
        <v>5</v>
      </c>
    </row>
    <row r="143" spans="1:7">
      <c r="A143" t="s">
        <v>8037</v>
      </c>
      <c r="B143" t="s">
        <v>8038</v>
      </c>
      <c r="C143">
        <v>2</v>
      </c>
      <c r="D143">
        <v>460</v>
      </c>
      <c r="E143">
        <v>3</v>
      </c>
      <c r="F143">
        <v>1475</v>
      </c>
      <c r="G143">
        <v>5</v>
      </c>
    </row>
    <row r="144" spans="1:7">
      <c r="A144" t="s">
        <v>8037</v>
      </c>
      <c r="B144" t="s">
        <v>8038</v>
      </c>
      <c r="C144">
        <v>3</v>
      </c>
      <c r="D144">
        <v>1160</v>
      </c>
      <c r="E144">
        <v>3</v>
      </c>
      <c r="F144">
        <v>2766</v>
      </c>
      <c r="G144">
        <v>5</v>
      </c>
    </row>
    <row r="145" spans="1:7">
      <c r="A145" t="s">
        <v>8037</v>
      </c>
      <c r="B145" t="s">
        <v>8038</v>
      </c>
      <c r="C145">
        <v>4</v>
      </c>
      <c r="D145">
        <v>1816</v>
      </c>
      <c r="E145">
        <v>4</v>
      </c>
      <c r="F145">
        <v>4392</v>
      </c>
      <c r="G145">
        <v>5</v>
      </c>
    </row>
    <row r="146" spans="1:7">
      <c r="A146" t="s">
        <v>8037</v>
      </c>
      <c r="B146" t="s">
        <v>8038</v>
      </c>
      <c r="C146">
        <v>5</v>
      </c>
      <c r="D146">
        <v>2838</v>
      </c>
      <c r="E146">
        <v>5</v>
      </c>
      <c r="F146">
        <v>7098</v>
      </c>
      <c r="G146">
        <v>5</v>
      </c>
    </row>
    <row r="147" spans="1:7">
      <c r="A147" t="s">
        <v>8037</v>
      </c>
      <c r="B147" t="s">
        <v>8038</v>
      </c>
      <c r="C147">
        <v>6</v>
      </c>
      <c r="D147">
        <v>4684</v>
      </c>
      <c r="E147">
        <v>6</v>
      </c>
      <c r="F147">
        <v>10340</v>
      </c>
      <c r="G147">
        <v>6</v>
      </c>
    </row>
    <row r="148" spans="1:7">
      <c r="A148" t="s">
        <v>8037</v>
      </c>
      <c r="B148" t="s">
        <v>8038</v>
      </c>
      <c r="C148">
        <v>7</v>
      </c>
      <c r="D148">
        <v>10924</v>
      </c>
      <c r="E148">
        <v>7</v>
      </c>
      <c r="F148">
        <v>19520</v>
      </c>
      <c r="G148">
        <v>7</v>
      </c>
    </row>
    <row r="149" spans="1:7">
      <c r="A149" t="s">
        <v>8042</v>
      </c>
      <c r="B149" t="s">
        <v>8043</v>
      </c>
      <c r="C149">
        <v>1</v>
      </c>
      <c r="D149">
        <v>153</v>
      </c>
      <c r="E149">
        <v>3</v>
      </c>
      <c r="F149">
        <v>765</v>
      </c>
      <c r="G149">
        <v>5</v>
      </c>
    </row>
    <row r="150" spans="1:7">
      <c r="A150" t="s">
        <v>8042</v>
      </c>
      <c r="B150" t="s">
        <v>8043</v>
      </c>
      <c r="C150">
        <v>2</v>
      </c>
      <c r="D150">
        <v>460</v>
      </c>
      <c r="E150">
        <v>3</v>
      </c>
      <c r="F150">
        <v>1475</v>
      </c>
      <c r="G150">
        <v>5</v>
      </c>
    </row>
    <row r="151" spans="1:7">
      <c r="A151" t="s">
        <v>8042</v>
      </c>
      <c r="B151" t="s">
        <v>8043</v>
      </c>
      <c r="C151">
        <v>3</v>
      </c>
      <c r="D151">
        <v>1160</v>
      </c>
      <c r="E151">
        <v>3</v>
      </c>
      <c r="F151">
        <v>2766</v>
      </c>
      <c r="G151">
        <v>5</v>
      </c>
    </row>
    <row r="152" spans="1:7">
      <c r="A152" t="s">
        <v>8042</v>
      </c>
      <c r="B152" t="s">
        <v>8043</v>
      </c>
      <c r="C152">
        <v>4</v>
      </c>
      <c r="D152">
        <v>1816</v>
      </c>
      <c r="E152">
        <v>4</v>
      </c>
      <c r="F152">
        <v>4392</v>
      </c>
      <c r="G152">
        <v>5</v>
      </c>
    </row>
    <row r="153" spans="1:7">
      <c r="A153" t="s">
        <v>8042</v>
      </c>
      <c r="B153" t="s">
        <v>8043</v>
      </c>
      <c r="C153">
        <v>5</v>
      </c>
      <c r="D153">
        <v>2838</v>
      </c>
      <c r="E153">
        <v>5</v>
      </c>
      <c r="F153">
        <v>7098</v>
      </c>
      <c r="G153">
        <v>5</v>
      </c>
    </row>
    <row r="154" spans="1:7">
      <c r="A154" t="s">
        <v>8042</v>
      </c>
      <c r="B154" t="s">
        <v>8043</v>
      </c>
      <c r="C154">
        <v>6</v>
      </c>
      <c r="D154">
        <v>4684</v>
      </c>
      <c r="E154">
        <v>6</v>
      </c>
      <c r="F154">
        <v>10340</v>
      </c>
      <c r="G154">
        <v>6</v>
      </c>
    </row>
    <row r="155" spans="1:7">
      <c r="A155" t="s">
        <v>8042</v>
      </c>
      <c r="B155" t="s">
        <v>8043</v>
      </c>
      <c r="C155">
        <v>7</v>
      </c>
      <c r="D155">
        <v>10924</v>
      </c>
      <c r="E155">
        <v>7</v>
      </c>
      <c r="F155">
        <v>19520</v>
      </c>
      <c r="G155">
        <v>7</v>
      </c>
    </row>
    <row r="156" spans="1:7">
      <c r="A156" t="s">
        <v>8046</v>
      </c>
      <c r="B156" t="s">
        <v>8047</v>
      </c>
      <c r="C156">
        <v>1</v>
      </c>
      <c r="D156">
        <v>153</v>
      </c>
      <c r="E156">
        <v>3</v>
      </c>
      <c r="F156">
        <v>765</v>
      </c>
      <c r="G156">
        <v>5</v>
      </c>
    </row>
    <row r="157" spans="1:7">
      <c r="A157" t="s">
        <v>8046</v>
      </c>
      <c r="B157" t="s">
        <v>8047</v>
      </c>
      <c r="C157">
        <v>2</v>
      </c>
      <c r="D157">
        <v>460</v>
      </c>
      <c r="E157">
        <v>3</v>
      </c>
      <c r="F157">
        <v>1475</v>
      </c>
      <c r="G157">
        <v>5</v>
      </c>
    </row>
    <row r="158" spans="1:7">
      <c r="A158" t="s">
        <v>8046</v>
      </c>
      <c r="B158" t="s">
        <v>8047</v>
      </c>
      <c r="C158">
        <v>3</v>
      </c>
      <c r="D158">
        <v>1160</v>
      </c>
      <c r="E158">
        <v>3</v>
      </c>
      <c r="F158">
        <v>2766</v>
      </c>
      <c r="G158">
        <v>5</v>
      </c>
    </row>
    <row r="159" spans="1:7">
      <c r="A159" t="s">
        <v>8046</v>
      </c>
      <c r="B159" t="s">
        <v>8047</v>
      </c>
      <c r="C159">
        <v>4</v>
      </c>
      <c r="D159">
        <v>1816</v>
      </c>
      <c r="E159">
        <v>4</v>
      </c>
      <c r="F159">
        <v>4392</v>
      </c>
      <c r="G159">
        <v>5</v>
      </c>
    </row>
    <row r="160" spans="1:7">
      <c r="A160" t="s">
        <v>8046</v>
      </c>
      <c r="B160" t="s">
        <v>8047</v>
      </c>
      <c r="C160">
        <v>5</v>
      </c>
      <c r="D160">
        <v>2838</v>
      </c>
      <c r="E160">
        <v>5</v>
      </c>
      <c r="F160">
        <v>7098</v>
      </c>
      <c r="G160">
        <v>5</v>
      </c>
    </row>
    <row r="161" spans="1:7">
      <c r="A161" t="s">
        <v>8046</v>
      </c>
      <c r="B161" t="s">
        <v>8047</v>
      </c>
      <c r="C161">
        <v>6</v>
      </c>
      <c r="D161">
        <v>4684</v>
      </c>
      <c r="E161">
        <v>6</v>
      </c>
      <c r="F161">
        <v>10340</v>
      </c>
      <c r="G161">
        <v>6</v>
      </c>
    </row>
    <row r="162" spans="1:7">
      <c r="A162" t="s">
        <v>8046</v>
      </c>
      <c r="B162" t="s">
        <v>8047</v>
      </c>
      <c r="C162">
        <v>7</v>
      </c>
      <c r="D162">
        <v>10924</v>
      </c>
      <c r="E162">
        <v>7</v>
      </c>
      <c r="F162">
        <v>19520</v>
      </c>
      <c r="G162">
        <v>7</v>
      </c>
    </row>
    <row r="163" spans="1:7">
      <c r="A163" t="s">
        <v>8050</v>
      </c>
      <c r="B163" t="s">
        <v>8051</v>
      </c>
      <c r="C163">
        <v>1</v>
      </c>
      <c r="D163">
        <v>153</v>
      </c>
      <c r="E163">
        <v>3</v>
      </c>
      <c r="F163">
        <v>765</v>
      </c>
      <c r="G163">
        <v>5</v>
      </c>
    </row>
    <row r="164" spans="1:7">
      <c r="A164" t="s">
        <v>8050</v>
      </c>
      <c r="B164" t="s">
        <v>8051</v>
      </c>
      <c r="C164">
        <v>2</v>
      </c>
      <c r="D164">
        <v>460</v>
      </c>
      <c r="E164">
        <v>3</v>
      </c>
      <c r="F164">
        <v>1475</v>
      </c>
      <c r="G164">
        <v>5</v>
      </c>
    </row>
    <row r="165" spans="1:7">
      <c r="A165" t="s">
        <v>8050</v>
      </c>
      <c r="B165" t="s">
        <v>8051</v>
      </c>
      <c r="C165">
        <v>3</v>
      </c>
      <c r="D165">
        <v>1160</v>
      </c>
      <c r="E165">
        <v>3</v>
      </c>
      <c r="F165">
        <v>2766</v>
      </c>
      <c r="G165">
        <v>5</v>
      </c>
    </row>
    <row r="166" spans="1:7">
      <c r="A166" t="s">
        <v>8050</v>
      </c>
      <c r="B166" t="s">
        <v>8051</v>
      </c>
      <c r="C166">
        <v>4</v>
      </c>
      <c r="D166">
        <v>1816</v>
      </c>
      <c r="E166">
        <v>4</v>
      </c>
      <c r="F166">
        <v>4392</v>
      </c>
      <c r="G166">
        <v>5</v>
      </c>
    </row>
    <row r="167" spans="1:7">
      <c r="A167" t="s">
        <v>8050</v>
      </c>
      <c r="B167" t="s">
        <v>8051</v>
      </c>
      <c r="C167">
        <v>5</v>
      </c>
      <c r="D167">
        <v>2838</v>
      </c>
      <c r="E167">
        <v>5</v>
      </c>
      <c r="F167">
        <v>7098</v>
      </c>
      <c r="G167">
        <v>5</v>
      </c>
    </row>
    <row r="168" spans="1:7">
      <c r="A168" t="s">
        <v>8050</v>
      </c>
      <c r="B168" t="s">
        <v>8051</v>
      </c>
      <c r="C168">
        <v>6</v>
      </c>
      <c r="D168">
        <v>4684</v>
      </c>
      <c r="E168">
        <v>6</v>
      </c>
      <c r="F168">
        <v>10340</v>
      </c>
      <c r="G168">
        <v>6</v>
      </c>
    </row>
    <row r="169" spans="1:7">
      <c r="A169" t="s">
        <v>8050</v>
      </c>
      <c r="B169" t="s">
        <v>8051</v>
      </c>
      <c r="C169">
        <v>7</v>
      </c>
      <c r="D169">
        <v>10924</v>
      </c>
      <c r="E169">
        <v>7</v>
      </c>
      <c r="F169">
        <v>19520</v>
      </c>
      <c r="G169">
        <v>7</v>
      </c>
    </row>
    <row r="170" spans="1:7">
      <c r="A170" t="s">
        <v>8055</v>
      </c>
      <c r="B170" t="s">
        <v>8056</v>
      </c>
      <c r="C170">
        <v>1</v>
      </c>
      <c r="D170">
        <v>153</v>
      </c>
      <c r="E170">
        <v>3</v>
      </c>
      <c r="F170">
        <v>765</v>
      </c>
      <c r="G170">
        <v>5</v>
      </c>
    </row>
    <row r="171" spans="1:7">
      <c r="A171" t="s">
        <v>8055</v>
      </c>
      <c r="B171" t="s">
        <v>8056</v>
      </c>
      <c r="C171">
        <v>2</v>
      </c>
      <c r="D171">
        <v>460</v>
      </c>
      <c r="E171">
        <v>3</v>
      </c>
      <c r="F171">
        <v>1475</v>
      </c>
      <c r="G171">
        <v>5</v>
      </c>
    </row>
    <row r="172" spans="1:7">
      <c r="A172" t="s">
        <v>8055</v>
      </c>
      <c r="B172" t="s">
        <v>8056</v>
      </c>
      <c r="C172">
        <v>3</v>
      </c>
      <c r="D172">
        <v>1160</v>
      </c>
      <c r="E172">
        <v>3</v>
      </c>
      <c r="F172">
        <v>2766</v>
      </c>
      <c r="G172">
        <v>5</v>
      </c>
    </row>
    <row r="173" spans="1:7">
      <c r="A173" t="s">
        <v>8055</v>
      </c>
      <c r="B173" t="s">
        <v>8056</v>
      </c>
      <c r="C173">
        <v>4</v>
      </c>
      <c r="D173">
        <v>1816</v>
      </c>
      <c r="E173">
        <v>4</v>
      </c>
      <c r="F173">
        <v>4392</v>
      </c>
      <c r="G173">
        <v>5</v>
      </c>
    </row>
    <row r="174" spans="1:7">
      <c r="A174" t="s">
        <v>8055</v>
      </c>
      <c r="B174" t="s">
        <v>8056</v>
      </c>
      <c r="C174">
        <v>5</v>
      </c>
      <c r="D174">
        <v>2838</v>
      </c>
      <c r="E174">
        <v>5</v>
      </c>
      <c r="F174">
        <v>7098</v>
      </c>
      <c r="G174">
        <v>5</v>
      </c>
    </row>
    <row r="175" spans="1:7">
      <c r="A175" t="s">
        <v>8055</v>
      </c>
      <c r="B175" t="s">
        <v>8056</v>
      </c>
      <c r="C175">
        <v>6</v>
      </c>
      <c r="D175">
        <v>4684</v>
      </c>
      <c r="E175">
        <v>6</v>
      </c>
      <c r="F175">
        <v>10340</v>
      </c>
      <c r="G175">
        <v>6</v>
      </c>
    </row>
    <row r="176" spans="1:7">
      <c r="A176" t="s">
        <v>8055</v>
      </c>
      <c r="B176" t="s">
        <v>8056</v>
      </c>
      <c r="C176">
        <v>7</v>
      </c>
      <c r="D176">
        <v>10924</v>
      </c>
      <c r="E176">
        <v>7</v>
      </c>
      <c r="F176">
        <v>19520</v>
      </c>
      <c r="G176">
        <v>7</v>
      </c>
    </row>
    <row r="177" spans="1:7">
      <c r="A177" t="s">
        <v>8059</v>
      </c>
      <c r="B177" t="s">
        <v>2145</v>
      </c>
      <c r="C177">
        <v>1</v>
      </c>
      <c r="D177">
        <v>417</v>
      </c>
      <c r="E177">
        <v>3</v>
      </c>
      <c r="F177">
        <v>1365</v>
      </c>
      <c r="G177">
        <v>5</v>
      </c>
    </row>
    <row r="178" spans="1:7">
      <c r="A178" t="s">
        <v>8059</v>
      </c>
      <c r="B178" t="s">
        <v>2145</v>
      </c>
      <c r="C178">
        <v>2</v>
      </c>
      <c r="D178">
        <v>1252</v>
      </c>
      <c r="E178">
        <v>3</v>
      </c>
      <c r="F178">
        <v>3075</v>
      </c>
      <c r="G178">
        <v>5</v>
      </c>
    </row>
    <row r="179" spans="1:7">
      <c r="A179" t="s">
        <v>8059</v>
      </c>
      <c r="B179" t="s">
        <v>2145</v>
      </c>
      <c r="C179">
        <v>3</v>
      </c>
      <c r="D179">
        <v>3212</v>
      </c>
      <c r="E179">
        <v>3</v>
      </c>
      <c r="F179">
        <v>6318</v>
      </c>
      <c r="G179">
        <v>5</v>
      </c>
    </row>
    <row r="180" spans="1:7">
      <c r="A180" t="s">
        <v>8059</v>
      </c>
      <c r="B180" t="s">
        <v>2145</v>
      </c>
      <c r="C180">
        <v>4</v>
      </c>
      <c r="D180">
        <v>4840</v>
      </c>
      <c r="E180">
        <v>4</v>
      </c>
      <c r="F180">
        <v>11016</v>
      </c>
      <c r="G180">
        <v>5</v>
      </c>
    </row>
    <row r="181" spans="1:7">
      <c r="A181" t="s">
        <v>8059</v>
      </c>
      <c r="B181" t="s">
        <v>2145</v>
      </c>
      <c r="C181">
        <v>5</v>
      </c>
      <c r="D181">
        <v>7050</v>
      </c>
      <c r="E181">
        <v>5</v>
      </c>
      <c r="F181">
        <v>19410</v>
      </c>
      <c r="G181">
        <v>5</v>
      </c>
    </row>
    <row r="182" spans="1:7">
      <c r="A182" t="s">
        <v>8059</v>
      </c>
      <c r="B182" t="s">
        <v>2145</v>
      </c>
      <c r="C182">
        <v>6</v>
      </c>
      <c r="D182">
        <v>10300</v>
      </c>
      <c r="E182">
        <v>6</v>
      </c>
      <c r="F182">
        <v>25460</v>
      </c>
      <c r="G182">
        <v>6</v>
      </c>
    </row>
    <row r="183" spans="1:7">
      <c r="A183" t="s">
        <v>8059</v>
      </c>
      <c r="B183" t="s">
        <v>2145</v>
      </c>
      <c r="C183">
        <v>7</v>
      </c>
      <c r="D183">
        <v>18160</v>
      </c>
      <c r="E183">
        <v>7</v>
      </c>
      <c r="F183">
        <v>37880</v>
      </c>
      <c r="G183">
        <v>7</v>
      </c>
    </row>
    <row r="184" spans="1:7">
      <c r="A184" t="s">
        <v>8062</v>
      </c>
      <c r="B184" t="s">
        <v>8063</v>
      </c>
      <c r="C184">
        <v>1</v>
      </c>
      <c r="D184">
        <v>109</v>
      </c>
      <c r="E184">
        <v>3</v>
      </c>
      <c r="F184">
        <v>645</v>
      </c>
      <c r="G184">
        <v>5</v>
      </c>
    </row>
    <row r="185" spans="1:7">
      <c r="A185" t="s">
        <v>8062</v>
      </c>
      <c r="B185" t="s">
        <v>8063</v>
      </c>
      <c r="C185">
        <v>2</v>
      </c>
      <c r="D185">
        <v>328</v>
      </c>
      <c r="E185">
        <v>3</v>
      </c>
      <c r="F185">
        <v>1275</v>
      </c>
      <c r="G185">
        <v>5</v>
      </c>
    </row>
    <row r="186" spans="1:7">
      <c r="A186" t="s">
        <v>8062</v>
      </c>
      <c r="B186" t="s">
        <v>8063</v>
      </c>
      <c r="C186">
        <v>3</v>
      </c>
      <c r="D186">
        <v>856</v>
      </c>
      <c r="E186">
        <v>3</v>
      </c>
      <c r="F186">
        <v>2174</v>
      </c>
      <c r="G186">
        <v>5</v>
      </c>
    </row>
    <row r="187" spans="1:7">
      <c r="A187" t="s">
        <v>8062</v>
      </c>
      <c r="B187" t="s">
        <v>8063</v>
      </c>
      <c r="C187">
        <v>4</v>
      </c>
      <c r="D187">
        <v>1368</v>
      </c>
      <c r="E187">
        <v>4</v>
      </c>
      <c r="F187">
        <v>3288</v>
      </c>
      <c r="G187">
        <v>5</v>
      </c>
    </row>
    <row r="188" spans="1:7">
      <c r="A188" t="s">
        <v>8062</v>
      </c>
      <c r="B188" t="s">
        <v>8063</v>
      </c>
      <c r="C188">
        <v>5</v>
      </c>
      <c r="D188">
        <v>2214</v>
      </c>
      <c r="E188">
        <v>5</v>
      </c>
      <c r="F188">
        <v>5274</v>
      </c>
      <c r="G188">
        <v>5</v>
      </c>
    </row>
    <row r="189" spans="1:7">
      <c r="A189" t="s">
        <v>8062</v>
      </c>
      <c r="B189" t="s">
        <v>8063</v>
      </c>
      <c r="C189">
        <v>6</v>
      </c>
      <c r="D189">
        <v>3852</v>
      </c>
      <c r="E189">
        <v>6</v>
      </c>
      <c r="F189">
        <v>8100</v>
      </c>
      <c r="G189">
        <v>6</v>
      </c>
    </row>
    <row r="190" spans="1:7">
      <c r="A190" t="s">
        <v>8062</v>
      </c>
      <c r="B190" t="s">
        <v>8063</v>
      </c>
      <c r="C190">
        <v>7</v>
      </c>
      <c r="D190">
        <v>9852</v>
      </c>
      <c r="E190">
        <v>7</v>
      </c>
      <c r="F190">
        <v>16800</v>
      </c>
      <c r="G190">
        <v>7</v>
      </c>
    </row>
    <row r="191" spans="1:7">
      <c r="A191" t="s">
        <v>8066</v>
      </c>
      <c r="B191" t="s">
        <v>8067</v>
      </c>
      <c r="C191">
        <v>1</v>
      </c>
      <c r="D191">
        <v>109</v>
      </c>
      <c r="E191">
        <v>3</v>
      </c>
      <c r="F191">
        <v>645</v>
      </c>
      <c r="G191">
        <v>5</v>
      </c>
    </row>
    <row r="192" spans="1:7">
      <c r="A192" t="s">
        <v>8066</v>
      </c>
      <c r="B192" t="s">
        <v>8067</v>
      </c>
      <c r="C192">
        <v>2</v>
      </c>
      <c r="D192">
        <v>328</v>
      </c>
      <c r="E192">
        <v>3</v>
      </c>
      <c r="F192">
        <v>1275</v>
      </c>
      <c r="G192">
        <v>5</v>
      </c>
    </row>
    <row r="193" spans="1:7">
      <c r="A193" t="s">
        <v>8066</v>
      </c>
      <c r="B193" t="s">
        <v>8067</v>
      </c>
      <c r="C193">
        <v>3</v>
      </c>
      <c r="D193">
        <v>856</v>
      </c>
      <c r="E193">
        <v>3</v>
      </c>
      <c r="F193">
        <v>2174</v>
      </c>
      <c r="G193">
        <v>5</v>
      </c>
    </row>
    <row r="194" spans="1:7">
      <c r="A194" t="s">
        <v>8066</v>
      </c>
      <c r="B194" t="s">
        <v>8067</v>
      </c>
      <c r="C194">
        <v>4</v>
      </c>
      <c r="D194">
        <v>1368</v>
      </c>
      <c r="E194">
        <v>4</v>
      </c>
      <c r="F194">
        <v>3288</v>
      </c>
      <c r="G194">
        <v>5</v>
      </c>
    </row>
    <row r="195" spans="1:7">
      <c r="A195" t="s">
        <v>8066</v>
      </c>
      <c r="B195" t="s">
        <v>8067</v>
      </c>
      <c r="C195">
        <v>5</v>
      </c>
      <c r="D195">
        <v>2214</v>
      </c>
      <c r="E195">
        <v>5</v>
      </c>
      <c r="F195">
        <v>5274</v>
      </c>
      <c r="G195">
        <v>5</v>
      </c>
    </row>
    <row r="196" spans="1:7">
      <c r="A196" t="s">
        <v>8066</v>
      </c>
      <c r="B196" t="s">
        <v>8067</v>
      </c>
      <c r="C196">
        <v>6</v>
      </c>
      <c r="D196">
        <v>3852</v>
      </c>
      <c r="E196">
        <v>6</v>
      </c>
      <c r="F196">
        <v>8100</v>
      </c>
      <c r="G196">
        <v>6</v>
      </c>
    </row>
    <row r="197" spans="1:7">
      <c r="A197" t="s">
        <v>8066</v>
      </c>
      <c r="B197" t="s">
        <v>8067</v>
      </c>
      <c r="C197">
        <v>7</v>
      </c>
      <c r="D197">
        <v>9852</v>
      </c>
      <c r="E197">
        <v>7</v>
      </c>
      <c r="F197">
        <v>16800</v>
      </c>
      <c r="G197">
        <v>7</v>
      </c>
    </row>
    <row r="198" spans="1:7">
      <c r="A198" t="s">
        <v>8069</v>
      </c>
      <c r="B198" t="s">
        <v>8070</v>
      </c>
      <c r="C198">
        <v>1</v>
      </c>
      <c r="D198">
        <v>109</v>
      </c>
      <c r="E198">
        <v>3</v>
      </c>
      <c r="F198">
        <v>645</v>
      </c>
      <c r="G198">
        <v>5</v>
      </c>
    </row>
    <row r="199" spans="1:7">
      <c r="A199" t="s">
        <v>8069</v>
      </c>
      <c r="B199" t="s">
        <v>8070</v>
      </c>
      <c r="C199">
        <v>2</v>
      </c>
      <c r="D199">
        <v>328</v>
      </c>
      <c r="E199">
        <v>3</v>
      </c>
      <c r="F199">
        <v>1275</v>
      </c>
      <c r="G199">
        <v>5</v>
      </c>
    </row>
    <row r="200" spans="1:7">
      <c r="A200" t="s">
        <v>8069</v>
      </c>
      <c r="B200" t="s">
        <v>8070</v>
      </c>
      <c r="C200">
        <v>3</v>
      </c>
      <c r="D200">
        <v>856</v>
      </c>
      <c r="E200">
        <v>3</v>
      </c>
      <c r="F200">
        <v>2174</v>
      </c>
      <c r="G200">
        <v>5</v>
      </c>
    </row>
    <row r="201" spans="1:7">
      <c r="A201" t="s">
        <v>8069</v>
      </c>
      <c r="B201" t="s">
        <v>8070</v>
      </c>
      <c r="C201">
        <v>4</v>
      </c>
      <c r="D201">
        <v>1368</v>
      </c>
      <c r="E201">
        <v>4</v>
      </c>
      <c r="F201">
        <v>3288</v>
      </c>
      <c r="G201">
        <v>5</v>
      </c>
    </row>
    <row r="202" spans="1:7">
      <c r="A202" t="s">
        <v>8069</v>
      </c>
      <c r="B202" t="s">
        <v>8070</v>
      </c>
      <c r="C202">
        <v>5</v>
      </c>
      <c r="D202">
        <v>2214</v>
      </c>
      <c r="E202">
        <v>5</v>
      </c>
      <c r="F202">
        <v>5274</v>
      </c>
      <c r="G202">
        <v>5</v>
      </c>
    </row>
    <row r="203" spans="1:7">
      <c r="A203" t="s">
        <v>8069</v>
      </c>
      <c r="B203" t="s">
        <v>8070</v>
      </c>
      <c r="C203">
        <v>6</v>
      </c>
      <c r="D203">
        <v>3852</v>
      </c>
      <c r="E203">
        <v>6</v>
      </c>
      <c r="F203">
        <v>8100</v>
      </c>
      <c r="G203">
        <v>6</v>
      </c>
    </row>
    <row r="204" spans="1:7">
      <c r="A204" t="s">
        <v>8069</v>
      </c>
      <c r="B204" t="s">
        <v>8070</v>
      </c>
      <c r="C204">
        <v>7</v>
      </c>
      <c r="D204">
        <v>9852</v>
      </c>
      <c r="E204">
        <v>7</v>
      </c>
      <c r="F204">
        <v>16800</v>
      </c>
      <c r="G204">
        <v>7</v>
      </c>
    </row>
    <row r="205" spans="1:7">
      <c r="A205" t="s">
        <v>8072</v>
      </c>
      <c r="B205" t="s">
        <v>8073</v>
      </c>
      <c r="C205">
        <v>1</v>
      </c>
      <c r="D205">
        <v>109</v>
      </c>
      <c r="E205">
        <v>3</v>
      </c>
      <c r="F205">
        <v>645</v>
      </c>
      <c r="G205">
        <v>5</v>
      </c>
    </row>
    <row r="206" spans="1:7">
      <c r="A206" t="s">
        <v>8072</v>
      </c>
      <c r="B206" t="s">
        <v>8073</v>
      </c>
      <c r="C206">
        <v>2</v>
      </c>
      <c r="D206">
        <v>328</v>
      </c>
      <c r="E206">
        <v>3</v>
      </c>
      <c r="F206">
        <v>1275</v>
      </c>
      <c r="G206">
        <v>5</v>
      </c>
    </row>
    <row r="207" spans="1:7">
      <c r="A207" t="s">
        <v>8072</v>
      </c>
      <c r="B207" t="s">
        <v>8073</v>
      </c>
      <c r="C207">
        <v>3</v>
      </c>
      <c r="D207">
        <v>856</v>
      </c>
      <c r="E207">
        <v>3</v>
      </c>
      <c r="F207">
        <v>2174</v>
      </c>
      <c r="G207">
        <v>5</v>
      </c>
    </row>
    <row r="208" spans="1:7">
      <c r="A208" t="s">
        <v>8072</v>
      </c>
      <c r="B208" t="s">
        <v>8073</v>
      </c>
      <c r="C208">
        <v>4</v>
      </c>
      <c r="D208">
        <v>1368</v>
      </c>
      <c r="E208">
        <v>4</v>
      </c>
      <c r="F208">
        <v>3288</v>
      </c>
      <c r="G208">
        <v>5</v>
      </c>
    </row>
    <row r="209" spans="1:7">
      <c r="A209" t="s">
        <v>8072</v>
      </c>
      <c r="B209" t="s">
        <v>8073</v>
      </c>
      <c r="C209">
        <v>5</v>
      </c>
      <c r="D209">
        <v>2214</v>
      </c>
      <c r="E209">
        <v>5</v>
      </c>
      <c r="F209">
        <v>5274</v>
      </c>
      <c r="G209">
        <v>5</v>
      </c>
    </row>
    <row r="210" spans="1:7">
      <c r="A210" t="s">
        <v>8072</v>
      </c>
      <c r="B210" t="s">
        <v>8073</v>
      </c>
      <c r="C210">
        <v>6</v>
      </c>
      <c r="D210">
        <v>3852</v>
      </c>
      <c r="E210">
        <v>6</v>
      </c>
      <c r="F210">
        <v>8100</v>
      </c>
      <c r="G210">
        <v>6</v>
      </c>
    </row>
    <row r="211" spans="1:7">
      <c r="A211" t="s">
        <v>8072</v>
      </c>
      <c r="B211" t="s">
        <v>8073</v>
      </c>
      <c r="C211">
        <v>7</v>
      </c>
      <c r="D211">
        <v>9852</v>
      </c>
      <c r="E211">
        <v>7</v>
      </c>
      <c r="F211">
        <v>16800</v>
      </c>
      <c r="G211">
        <v>7</v>
      </c>
    </row>
    <row r="212" spans="1:7">
      <c r="A212" t="s">
        <v>8075</v>
      </c>
      <c r="B212" t="s">
        <v>2237</v>
      </c>
      <c r="C212">
        <v>1</v>
      </c>
      <c r="D212">
        <v>472</v>
      </c>
      <c r="E212">
        <v>3</v>
      </c>
      <c r="F212">
        <v>1545</v>
      </c>
      <c r="G212">
        <v>5</v>
      </c>
    </row>
    <row r="213" spans="1:7">
      <c r="A213" t="s">
        <v>8075</v>
      </c>
      <c r="B213" t="s">
        <v>2237</v>
      </c>
      <c r="C213">
        <v>2</v>
      </c>
      <c r="D213">
        <v>1428</v>
      </c>
      <c r="E213">
        <v>3</v>
      </c>
      <c r="F213">
        <v>3475</v>
      </c>
      <c r="G213">
        <v>5</v>
      </c>
    </row>
    <row r="214" spans="1:7">
      <c r="A214" t="s">
        <v>8075</v>
      </c>
      <c r="B214" t="s">
        <v>2237</v>
      </c>
      <c r="C214">
        <v>3</v>
      </c>
      <c r="D214">
        <v>3668</v>
      </c>
      <c r="E214">
        <v>3</v>
      </c>
      <c r="F214">
        <v>7058</v>
      </c>
      <c r="G214">
        <v>5</v>
      </c>
    </row>
    <row r="215" spans="1:7">
      <c r="A215" t="s">
        <v>8075</v>
      </c>
      <c r="B215" t="s">
        <v>2237</v>
      </c>
      <c r="C215">
        <v>4</v>
      </c>
      <c r="D215">
        <v>5512</v>
      </c>
      <c r="E215">
        <v>4</v>
      </c>
      <c r="F215">
        <v>12488</v>
      </c>
      <c r="G215">
        <v>5</v>
      </c>
    </row>
    <row r="216" spans="1:7">
      <c r="A216" t="s">
        <v>8075</v>
      </c>
      <c r="B216" t="s">
        <v>2237</v>
      </c>
      <c r="C216">
        <v>5</v>
      </c>
      <c r="D216">
        <v>7986</v>
      </c>
      <c r="E216">
        <v>5</v>
      </c>
      <c r="F216">
        <v>22146</v>
      </c>
      <c r="G216">
        <v>5</v>
      </c>
    </row>
    <row r="217" spans="1:7">
      <c r="A217" t="s">
        <v>8075</v>
      </c>
      <c r="B217" t="s">
        <v>2237</v>
      </c>
      <c r="C217">
        <v>6</v>
      </c>
      <c r="D217">
        <v>11548</v>
      </c>
      <c r="E217">
        <v>6</v>
      </c>
      <c r="F217">
        <v>28820</v>
      </c>
      <c r="G217">
        <v>6</v>
      </c>
    </row>
    <row r="218" spans="1:7">
      <c r="A218" t="s">
        <v>8075</v>
      </c>
      <c r="B218" t="s">
        <v>2237</v>
      </c>
      <c r="C218">
        <v>7</v>
      </c>
      <c r="D218">
        <v>19768</v>
      </c>
      <c r="E218">
        <v>7</v>
      </c>
      <c r="F218">
        <v>41960</v>
      </c>
      <c r="G218">
        <v>7</v>
      </c>
    </row>
    <row r="219" spans="1:7">
      <c r="A219" t="s">
        <v>8078</v>
      </c>
      <c r="B219" t="s">
        <v>2139</v>
      </c>
      <c r="C219">
        <v>1</v>
      </c>
      <c r="D219">
        <v>8821</v>
      </c>
      <c r="E219">
        <v>3</v>
      </c>
      <c r="F219">
        <v>21765</v>
      </c>
      <c r="G219">
        <v>5</v>
      </c>
    </row>
    <row r="220" spans="1:7">
      <c r="A220" t="s">
        <v>8078</v>
      </c>
      <c r="B220" t="s">
        <v>2139</v>
      </c>
      <c r="C220">
        <v>2</v>
      </c>
      <c r="D220">
        <v>26464</v>
      </c>
      <c r="E220">
        <v>3</v>
      </c>
      <c r="F220">
        <v>54075</v>
      </c>
      <c r="G220">
        <v>5</v>
      </c>
    </row>
    <row r="221" spans="1:7">
      <c r="A221" t="s">
        <v>8078</v>
      </c>
      <c r="B221" t="s">
        <v>2139</v>
      </c>
      <c r="C221">
        <v>3</v>
      </c>
      <c r="D221">
        <v>68572</v>
      </c>
      <c r="E221">
        <v>3</v>
      </c>
      <c r="F221">
        <v>119390</v>
      </c>
      <c r="G221">
        <v>5</v>
      </c>
    </row>
    <row r="222" spans="1:7">
      <c r="A222" t="s">
        <v>8078</v>
      </c>
      <c r="B222" t="s">
        <v>2139</v>
      </c>
      <c r="C222">
        <v>4</v>
      </c>
      <c r="D222">
        <v>101160</v>
      </c>
      <c r="E222">
        <v>4</v>
      </c>
      <c r="F222">
        <v>221880</v>
      </c>
      <c r="G222">
        <v>5</v>
      </c>
    </row>
    <row r="223" spans="1:7">
      <c r="A223" t="s">
        <v>8078</v>
      </c>
      <c r="B223" t="s">
        <v>2139</v>
      </c>
      <c r="C223">
        <v>5</v>
      </c>
      <c r="D223">
        <v>141210</v>
      </c>
      <c r="E223">
        <v>5</v>
      </c>
      <c r="F223">
        <v>411570</v>
      </c>
      <c r="G223">
        <v>5</v>
      </c>
    </row>
    <row r="224" spans="1:7">
      <c r="A224" t="s">
        <v>8078</v>
      </c>
      <c r="B224" t="s">
        <v>2139</v>
      </c>
      <c r="C224">
        <v>6</v>
      </c>
      <c r="D224">
        <v>189180</v>
      </c>
      <c r="E224">
        <v>6</v>
      </c>
      <c r="F224">
        <v>507060</v>
      </c>
      <c r="G224">
        <v>6</v>
      </c>
    </row>
    <row r="225" spans="1:7">
      <c r="A225" t="s">
        <v>8078</v>
      </c>
      <c r="B225" t="s">
        <v>2139</v>
      </c>
      <c r="C225">
        <v>7</v>
      </c>
      <c r="D225">
        <v>248640</v>
      </c>
      <c r="E225">
        <v>7</v>
      </c>
      <c r="F225">
        <v>622680</v>
      </c>
      <c r="G225">
        <v>7</v>
      </c>
    </row>
    <row r="226" spans="1:7">
      <c r="A226" t="s">
        <v>8080</v>
      </c>
      <c r="B226" t="s">
        <v>8081</v>
      </c>
      <c r="C226">
        <v>1</v>
      </c>
      <c r="D226">
        <v>659</v>
      </c>
      <c r="E226">
        <v>3</v>
      </c>
      <c r="F226">
        <v>1965</v>
      </c>
      <c r="G226">
        <v>5</v>
      </c>
    </row>
    <row r="227" spans="1:7">
      <c r="A227" t="s">
        <v>8080</v>
      </c>
      <c r="B227" t="s">
        <v>8081</v>
      </c>
      <c r="C227">
        <v>2</v>
      </c>
      <c r="D227">
        <v>1978</v>
      </c>
      <c r="E227">
        <v>3</v>
      </c>
      <c r="F227">
        <v>4575</v>
      </c>
      <c r="G227">
        <v>5</v>
      </c>
    </row>
    <row r="228" spans="1:7">
      <c r="A228" t="s">
        <v>8080</v>
      </c>
      <c r="B228" t="s">
        <v>8081</v>
      </c>
      <c r="C228">
        <v>3</v>
      </c>
      <c r="D228">
        <v>5112</v>
      </c>
      <c r="E228">
        <v>3</v>
      </c>
      <c r="F228">
        <v>9574</v>
      </c>
      <c r="G228">
        <v>5</v>
      </c>
    </row>
    <row r="229" spans="1:7">
      <c r="A229" t="s">
        <v>8080</v>
      </c>
      <c r="B229" t="s">
        <v>8081</v>
      </c>
      <c r="C229">
        <v>4</v>
      </c>
      <c r="D229">
        <v>7640</v>
      </c>
      <c r="E229">
        <v>4</v>
      </c>
      <c r="F229">
        <v>17088</v>
      </c>
      <c r="G229">
        <v>5</v>
      </c>
    </row>
    <row r="230" spans="1:7">
      <c r="A230" t="s">
        <v>8080</v>
      </c>
      <c r="B230" t="s">
        <v>8081</v>
      </c>
      <c r="C230">
        <v>5</v>
      </c>
      <c r="D230">
        <v>10950</v>
      </c>
      <c r="E230">
        <v>5</v>
      </c>
      <c r="F230">
        <v>30810</v>
      </c>
      <c r="G230">
        <v>5</v>
      </c>
    </row>
    <row r="231" spans="1:7">
      <c r="A231" t="s">
        <v>8080</v>
      </c>
      <c r="B231" t="s">
        <v>8081</v>
      </c>
      <c r="C231">
        <v>6</v>
      </c>
      <c r="D231">
        <v>15500</v>
      </c>
      <c r="E231">
        <v>6</v>
      </c>
      <c r="F231">
        <v>39460</v>
      </c>
      <c r="G231">
        <v>6</v>
      </c>
    </row>
    <row r="232" spans="1:7">
      <c r="A232" t="s">
        <v>8080</v>
      </c>
      <c r="B232" t="s">
        <v>8081</v>
      </c>
      <c r="C232">
        <v>7</v>
      </c>
      <c r="D232">
        <v>24860</v>
      </c>
      <c r="E232">
        <v>7</v>
      </c>
      <c r="F232">
        <v>54880</v>
      </c>
      <c r="G232">
        <v>7</v>
      </c>
    </row>
    <row r="233" spans="1:7">
      <c r="A233" t="s">
        <v>8082</v>
      </c>
      <c r="B233" t="s">
        <v>2255</v>
      </c>
      <c r="C233">
        <v>1</v>
      </c>
      <c r="D233">
        <v>6874</v>
      </c>
      <c r="E233">
        <v>3</v>
      </c>
      <c r="F233">
        <v>17025</v>
      </c>
      <c r="G233">
        <v>5</v>
      </c>
    </row>
    <row r="234" spans="1:7">
      <c r="A234" t="s">
        <v>8082</v>
      </c>
      <c r="B234" t="s">
        <v>2255</v>
      </c>
      <c r="C234">
        <v>2</v>
      </c>
      <c r="D234">
        <v>20612</v>
      </c>
      <c r="E234">
        <v>3</v>
      </c>
      <c r="F234">
        <v>42175</v>
      </c>
      <c r="G234">
        <v>5</v>
      </c>
    </row>
    <row r="235" spans="1:7">
      <c r="A235" t="s">
        <v>8082</v>
      </c>
      <c r="B235" t="s">
        <v>2255</v>
      </c>
      <c r="C235">
        <v>3</v>
      </c>
      <c r="D235">
        <v>53372</v>
      </c>
      <c r="E235">
        <v>3</v>
      </c>
      <c r="F235">
        <v>93194</v>
      </c>
      <c r="G235">
        <v>5</v>
      </c>
    </row>
    <row r="236" spans="1:7">
      <c r="A236" t="s">
        <v>8082</v>
      </c>
      <c r="B236" t="s">
        <v>2255</v>
      </c>
      <c r="C236">
        <v>4</v>
      </c>
      <c r="D236">
        <v>78760</v>
      </c>
      <c r="E236">
        <v>4</v>
      </c>
      <c r="F236">
        <v>172936</v>
      </c>
      <c r="G236">
        <v>5</v>
      </c>
    </row>
    <row r="237" spans="1:7">
      <c r="A237" t="s">
        <v>8082</v>
      </c>
      <c r="B237" t="s">
        <v>2255</v>
      </c>
      <c r="C237">
        <v>5</v>
      </c>
      <c r="D237">
        <v>110010</v>
      </c>
      <c r="E237">
        <v>5</v>
      </c>
      <c r="F237">
        <v>320370</v>
      </c>
      <c r="G237">
        <v>5</v>
      </c>
    </row>
    <row r="238" spans="1:7">
      <c r="A238" t="s">
        <v>8082</v>
      </c>
      <c r="B238" t="s">
        <v>2255</v>
      </c>
      <c r="C238">
        <v>6</v>
      </c>
      <c r="D238">
        <v>147580</v>
      </c>
      <c r="E238">
        <v>6</v>
      </c>
      <c r="F238">
        <v>395060</v>
      </c>
      <c r="G238">
        <v>6</v>
      </c>
    </row>
    <row r="239" spans="1:7">
      <c r="A239" t="s">
        <v>8082</v>
      </c>
      <c r="B239" t="s">
        <v>2255</v>
      </c>
      <c r="C239">
        <v>7</v>
      </c>
      <c r="D239">
        <v>195040</v>
      </c>
      <c r="E239">
        <v>7</v>
      </c>
      <c r="F239">
        <v>486680</v>
      </c>
      <c r="G239">
        <v>7</v>
      </c>
    </row>
    <row r="240" spans="1:7">
      <c r="A240" t="s">
        <v>8084</v>
      </c>
      <c r="B240" t="s">
        <v>2264</v>
      </c>
      <c r="C240">
        <v>1</v>
      </c>
      <c r="D240">
        <v>461</v>
      </c>
      <c r="E240">
        <v>3</v>
      </c>
      <c r="F240">
        <v>1485</v>
      </c>
      <c r="G240">
        <v>5</v>
      </c>
    </row>
    <row r="241" spans="1:7">
      <c r="A241" t="s">
        <v>8084</v>
      </c>
      <c r="B241" t="s">
        <v>2264</v>
      </c>
      <c r="C241">
        <v>2</v>
      </c>
      <c r="D241">
        <v>1362</v>
      </c>
      <c r="E241">
        <v>3</v>
      </c>
      <c r="F241">
        <v>3375</v>
      </c>
      <c r="G241">
        <v>5</v>
      </c>
    </row>
    <row r="242" spans="1:7">
      <c r="A242" t="s">
        <v>8084</v>
      </c>
      <c r="B242" t="s">
        <v>2264</v>
      </c>
      <c r="C242">
        <v>3</v>
      </c>
      <c r="D242">
        <v>3516</v>
      </c>
      <c r="E242">
        <v>3</v>
      </c>
      <c r="F242">
        <v>6910</v>
      </c>
      <c r="G242">
        <v>5</v>
      </c>
    </row>
    <row r="243" spans="1:7">
      <c r="A243" t="s">
        <v>8084</v>
      </c>
      <c r="B243" t="s">
        <v>2264</v>
      </c>
      <c r="C243">
        <v>4</v>
      </c>
      <c r="D243">
        <v>5288</v>
      </c>
      <c r="E243">
        <v>4</v>
      </c>
      <c r="F243">
        <v>11936</v>
      </c>
      <c r="G243">
        <v>5</v>
      </c>
    </row>
    <row r="244" spans="1:7">
      <c r="A244" t="s">
        <v>8084</v>
      </c>
      <c r="B244" t="s">
        <v>2264</v>
      </c>
      <c r="C244">
        <v>5</v>
      </c>
      <c r="D244">
        <v>7674</v>
      </c>
      <c r="E244">
        <v>5</v>
      </c>
      <c r="F244">
        <v>21234</v>
      </c>
      <c r="G244">
        <v>5</v>
      </c>
    </row>
    <row r="245" spans="1:7">
      <c r="A245" t="s">
        <v>8084</v>
      </c>
      <c r="B245" t="s">
        <v>2264</v>
      </c>
      <c r="C245">
        <v>6</v>
      </c>
      <c r="D245">
        <v>11132</v>
      </c>
      <c r="E245">
        <v>6</v>
      </c>
      <c r="F245">
        <v>27700</v>
      </c>
      <c r="G245">
        <v>6</v>
      </c>
    </row>
    <row r="246" spans="1:7">
      <c r="A246" t="s">
        <v>8084</v>
      </c>
      <c r="B246" t="s">
        <v>2264</v>
      </c>
      <c r="C246">
        <v>7</v>
      </c>
      <c r="D246">
        <v>19232</v>
      </c>
      <c r="E246">
        <v>7</v>
      </c>
      <c r="F246">
        <v>40600</v>
      </c>
      <c r="G246">
        <v>7</v>
      </c>
    </row>
    <row r="247" spans="1:7">
      <c r="A247" t="s">
        <v>8086</v>
      </c>
      <c r="B247" t="s">
        <v>2036</v>
      </c>
      <c r="C247">
        <v>1</v>
      </c>
      <c r="D247">
        <v>1671</v>
      </c>
      <c r="E247">
        <v>3</v>
      </c>
      <c r="F247">
        <v>4425</v>
      </c>
      <c r="G247">
        <v>5</v>
      </c>
    </row>
    <row r="248" spans="1:7">
      <c r="A248" t="s">
        <v>8086</v>
      </c>
      <c r="B248" t="s">
        <v>2036</v>
      </c>
      <c r="C248">
        <v>2</v>
      </c>
      <c r="D248">
        <v>4992</v>
      </c>
      <c r="E248">
        <v>3</v>
      </c>
      <c r="F248">
        <v>10675</v>
      </c>
      <c r="G248">
        <v>5</v>
      </c>
    </row>
    <row r="249" spans="1:7">
      <c r="A249" t="s">
        <v>8086</v>
      </c>
      <c r="B249" t="s">
        <v>2036</v>
      </c>
      <c r="C249">
        <v>3</v>
      </c>
      <c r="D249">
        <v>12940</v>
      </c>
      <c r="E249">
        <v>3</v>
      </c>
      <c r="F249">
        <v>23190</v>
      </c>
      <c r="G249">
        <v>5</v>
      </c>
    </row>
    <row r="250" spans="1:7">
      <c r="A250" t="s">
        <v>8086</v>
      </c>
      <c r="B250" t="s">
        <v>2036</v>
      </c>
      <c r="C250">
        <v>4</v>
      </c>
      <c r="D250">
        <v>19176</v>
      </c>
      <c r="E250">
        <v>4</v>
      </c>
      <c r="F250">
        <v>42296</v>
      </c>
      <c r="G250">
        <v>5</v>
      </c>
    </row>
    <row r="251" spans="1:7">
      <c r="A251" t="s">
        <v>8086</v>
      </c>
      <c r="B251" t="s">
        <v>2036</v>
      </c>
      <c r="C251">
        <v>5</v>
      </c>
      <c r="D251">
        <v>27018</v>
      </c>
      <c r="E251">
        <v>5</v>
      </c>
      <c r="F251">
        <v>77778</v>
      </c>
      <c r="G251">
        <v>5</v>
      </c>
    </row>
    <row r="252" spans="1:7">
      <c r="A252" t="s">
        <v>8086</v>
      </c>
      <c r="B252" t="s">
        <v>2036</v>
      </c>
      <c r="C252">
        <v>6</v>
      </c>
      <c r="D252">
        <v>36924</v>
      </c>
      <c r="E252">
        <v>6</v>
      </c>
      <c r="F252">
        <v>97140</v>
      </c>
      <c r="G252">
        <v>6</v>
      </c>
    </row>
    <row r="253" spans="1:7">
      <c r="A253" t="s">
        <v>8086</v>
      </c>
      <c r="B253" t="s">
        <v>2036</v>
      </c>
      <c r="C253">
        <v>7</v>
      </c>
      <c r="D253">
        <v>52464</v>
      </c>
      <c r="E253">
        <v>7</v>
      </c>
      <c r="F253">
        <v>124920</v>
      </c>
      <c r="G253">
        <v>7</v>
      </c>
    </row>
    <row r="254" spans="1:7">
      <c r="A254" t="s">
        <v>8088</v>
      </c>
      <c r="B254" t="s">
        <v>2285</v>
      </c>
      <c r="C254">
        <v>1</v>
      </c>
      <c r="D254">
        <v>131</v>
      </c>
      <c r="E254">
        <v>3</v>
      </c>
      <c r="F254">
        <v>705</v>
      </c>
      <c r="G254">
        <v>5</v>
      </c>
    </row>
    <row r="255" spans="1:7">
      <c r="A255" t="s">
        <v>8088</v>
      </c>
      <c r="B255" t="s">
        <v>2285</v>
      </c>
      <c r="C255">
        <v>2</v>
      </c>
      <c r="D255">
        <v>394</v>
      </c>
      <c r="E255">
        <v>3</v>
      </c>
      <c r="F255">
        <v>1375</v>
      </c>
      <c r="G255">
        <v>5</v>
      </c>
    </row>
    <row r="256" spans="1:7">
      <c r="A256" t="s">
        <v>8088</v>
      </c>
      <c r="B256" t="s">
        <v>2285</v>
      </c>
      <c r="C256">
        <v>3</v>
      </c>
      <c r="D256">
        <v>1008</v>
      </c>
      <c r="E256">
        <v>3</v>
      </c>
      <c r="F256">
        <v>2470</v>
      </c>
      <c r="G256">
        <v>5</v>
      </c>
    </row>
    <row r="257" spans="1:7">
      <c r="A257" t="s">
        <v>8088</v>
      </c>
      <c r="B257" t="s">
        <v>2285</v>
      </c>
      <c r="C257">
        <v>4</v>
      </c>
      <c r="D257">
        <v>1592</v>
      </c>
      <c r="E257">
        <v>4</v>
      </c>
      <c r="F257">
        <v>3840</v>
      </c>
      <c r="G257">
        <v>5</v>
      </c>
    </row>
    <row r="258" spans="1:7">
      <c r="A258" t="s">
        <v>8088</v>
      </c>
      <c r="B258" t="s">
        <v>2285</v>
      </c>
      <c r="C258">
        <v>5</v>
      </c>
      <c r="D258">
        <v>2526</v>
      </c>
      <c r="E258">
        <v>5</v>
      </c>
      <c r="F258">
        <v>6186</v>
      </c>
      <c r="G258">
        <v>5</v>
      </c>
    </row>
    <row r="259" spans="1:7">
      <c r="A259" t="s">
        <v>8088</v>
      </c>
      <c r="B259" t="s">
        <v>2285</v>
      </c>
      <c r="C259">
        <v>6</v>
      </c>
      <c r="D259">
        <v>4268</v>
      </c>
      <c r="E259">
        <v>6</v>
      </c>
      <c r="F259">
        <v>9220</v>
      </c>
      <c r="G259">
        <v>6</v>
      </c>
    </row>
    <row r="260" spans="1:7">
      <c r="A260" t="s">
        <v>8088</v>
      </c>
      <c r="B260" t="s">
        <v>2285</v>
      </c>
      <c r="C260">
        <v>7</v>
      </c>
      <c r="D260">
        <v>10388</v>
      </c>
      <c r="E260">
        <v>7</v>
      </c>
      <c r="F260">
        <v>18160</v>
      </c>
      <c r="G260">
        <v>7</v>
      </c>
    </row>
    <row r="261" spans="1:7">
      <c r="A261" t="s">
        <v>8091</v>
      </c>
      <c r="B261" t="s">
        <v>2282</v>
      </c>
      <c r="C261">
        <v>1</v>
      </c>
      <c r="D261">
        <v>4718</v>
      </c>
      <c r="E261">
        <v>3</v>
      </c>
      <c r="F261">
        <v>11805</v>
      </c>
      <c r="G261">
        <v>5</v>
      </c>
    </row>
    <row r="262" spans="1:7">
      <c r="A262" t="s">
        <v>8091</v>
      </c>
      <c r="B262" t="s">
        <v>2282</v>
      </c>
      <c r="C262">
        <v>2</v>
      </c>
      <c r="D262">
        <v>14144</v>
      </c>
      <c r="E262">
        <v>3</v>
      </c>
      <c r="F262">
        <v>29175</v>
      </c>
      <c r="G262">
        <v>5</v>
      </c>
    </row>
    <row r="263" spans="1:7">
      <c r="A263" t="s">
        <v>8091</v>
      </c>
      <c r="B263" t="s">
        <v>2282</v>
      </c>
      <c r="C263">
        <v>3</v>
      </c>
      <c r="D263">
        <v>36652</v>
      </c>
      <c r="E263">
        <v>3</v>
      </c>
      <c r="F263">
        <v>64186</v>
      </c>
      <c r="G263">
        <v>5</v>
      </c>
    </row>
    <row r="264" spans="1:7">
      <c r="A264" t="s">
        <v>8091</v>
      </c>
      <c r="B264" t="s">
        <v>2282</v>
      </c>
      <c r="C264">
        <v>4</v>
      </c>
      <c r="D264">
        <v>54120</v>
      </c>
      <c r="E264">
        <v>4</v>
      </c>
      <c r="F264">
        <v>118840</v>
      </c>
      <c r="G264">
        <v>5</v>
      </c>
    </row>
    <row r="265" spans="1:7">
      <c r="A265" t="s">
        <v>8091</v>
      </c>
      <c r="B265" t="s">
        <v>2282</v>
      </c>
      <c r="C265">
        <v>5</v>
      </c>
      <c r="D265">
        <v>75690</v>
      </c>
      <c r="E265">
        <v>5</v>
      </c>
      <c r="F265">
        <v>220050</v>
      </c>
      <c r="G265">
        <v>5</v>
      </c>
    </row>
    <row r="266" spans="1:7">
      <c r="A266" t="s">
        <v>8091</v>
      </c>
      <c r="B266" t="s">
        <v>2282</v>
      </c>
      <c r="C266">
        <v>6</v>
      </c>
      <c r="D266">
        <v>101820</v>
      </c>
      <c r="E266">
        <v>6</v>
      </c>
      <c r="F266">
        <v>271860</v>
      </c>
      <c r="G266">
        <v>6</v>
      </c>
    </row>
    <row r="267" spans="1:7">
      <c r="A267" t="s">
        <v>8091</v>
      </c>
      <c r="B267" t="s">
        <v>2282</v>
      </c>
      <c r="C267">
        <v>7</v>
      </c>
      <c r="D267">
        <v>136080</v>
      </c>
      <c r="E267">
        <v>7</v>
      </c>
      <c r="F267">
        <v>337080</v>
      </c>
      <c r="G267">
        <v>7</v>
      </c>
    </row>
    <row r="268" spans="1:7">
      <c r="A268" t="s">
        <v>8093</v>
      </c>
      <c r="B268" t="s">
        <v>2294</v>
      </c>
      <c r="C268">
        <v>1</v>
      </c>
      <c r="D268">
        <v>2958</v>
      </c>
      <c r="E268">
        <v>3</v>
      </c>
      <c r="F268">
        <v>7545</v>
      </c>
      <c r="G268">
        <v>5</v>
      </c>
    </row>
    <row r="269" spans="1:7">
      <c r="A269" t="s">
        <v>8093</v>
      </c>
      <c r="B269" t="s">
        <v>2294</v>
      </c>
      <c r="C269">
        <v>2</v>
      </c>
      <c r="D269">
        <v>8864</v>
      </c>
      <c r="E269">
        <v>3</v>
      </c>
      <c r="F269">
        <v>18475</v>
      </c>
      <c r="G269">
        <v>5</v>
      </c>
    </row>
    <row r="270" spans="1:7">
      <c r="A270" t="s">
        <v>8093</v>
      </c>
      <c r="B270" t="s">
        <v>2294</v>
      </c>
      <c r="C270">
        <v>3</v>
      </c>
      <c r="D270">
        <v>22972</v>
      </c>
      <c r="E270">
        <v>3</v>
      </c>
      <c r="F270">
        <v>40506</v>
      </c>
      <c r="G270">
        <v>5</v>
      </c>
    </row>
    <row r="271" spans="1:7">
      <c r="A271" t="s">
        <v>8093</v>
      </c>
      <c r="B271" t="s">
        <v>2294</v>
      </c>
      <c r="C271">
        <v>4</v>
      </c>
      <c r="D271">
        <v>33960</v>
      </c>
      <c r="E271">
        <v>4</v>
      </c>
      <c r="F271">
        <v>74680</v>
      </c>
      <c r="G271">
        <v>5</v>
      </c>
    </row>
    <row r="272" spans="1:7">
      <c r="A272" t="s">
        <v>8093</v>
      </c>
      <c r="B272" t="s">
        <v>2294</v>
      </c>
      <c r="C272">
        <v>5</v>
      </c>
      <c r="D272">
        <v>47610</v>
      </c>
      <c r="E272">
        <v>5</v>
      </c>
      <c r="F272">
        <v>137970</v>
      </c>
      <c r="G272">
        <v>5</v>
      </c>
    </row>
    <row r="273" spans="1:7">
      <c r="A273" t="s">
        <v>8093</v>
      </c>
      <c r="B273" t="s">
        <v>2294</v>
      </c>
      <c r="C273">
        <v>6</v>
      </c>
      <c r="D273">
        <v>64380</v>
      </c>
      <c r="E273">
        <v>6</v>
      </c>
      <c r="F273">
        <v>171060</v>
      </c>
      <c r="G273">
        <v>6</v>
      </c>
    </row>
    <row r="274" spans="1:7">
      <c r="A274" t="s">
        <v>8093</v>
      </c>
      <c r="B274" t="s">
        <v>2294</v>
      </c>
      <c r="C274">
        <v>7</v>
      </c>
      <c r="D274">
        <v>87840</v>
      </c>
      <c r="E274">
        <v>7</v>
      </c>
      <c r="F274">
        <v>214680</v>
      </c>
      <c r="G274">
        <v>7</v>
      </c>
    </row>
    <row r="275" spans="1:7">
      <c r="A275" t="s">
        <v>8095</v>
      </c>
      <c r="B275" t="s">
        <v>2045</v>
      </c>
      <c r="C275">
        <v>1</v>
      </c>
      <c r="D275">
        <v>1286</v>
      </c>
      <c r="E275">
        <v>3</v>
      </c>
      <c r="F275">
        <v>3465</v>
      </c>
      <c r="G275">
        <v>5</v>
      </c>
    </row>
    <row r="276" spans="1:7">
      <c r="A276" t="s">
        <v>8095</v>
      </c>
      <c r="B276" t="s">
        <v>2045</v>
      </c>
      <c r="C276">
        <v>2</v>
      </c>
      <c r="D276">
        <v>3848</v>
      </c>
      <c r="E276">
        <v>3</v>
      </c>
      <c r="F276">
        <v>8375</v>
      </c>
      <c r="G276">
        <v>5</v>
      </c>
    </row>
    <row r="277" spans="1:7">
      <c r="A277" t="s">
        <v>8095</v>
      </c>
      <c r="B277" t="s">
        <v>2045</v>
      </c>
      <c r="C277">
        <v>3</v>
      </c>
      <c r="D277">
        <v>9976</v>
      </c>
      <c r="E277">
        <v>3</v>
      </c>
      <c r="F277">
        <v>18010</v>
      </c>
      <c r="G277">
        <v>5</v>
      </c>
    </row>
    <row r="278" spans="1:7">
      <c r="A278" t="s">
        <v>8095</v>
      </c>
      <c r="B278" t="s">
        <v>2045</v>
      </c>
      <c r="C278">
        <v>4</v>
      </c>
      <c r="D278">
        <v>14808</v>
      </c>
      <c r="E278">
        <v>4</v>
      </c>
      <c r="F278">
        <v>32728</v>
      </c>
      <c r="G278">
        <v>5</v>
      </c>
    </row>
    <row r="279" spans="1:7">
      <c r="A279" t="s">
        <v>8095</v>
      </c>
      <c r="B279" t="s">
        <v>2045</v>
      </c>
      <c r="C279">
        <v>5</v>
      </c>
      <c r="D279">
        <v>20934</v>
      </c>
      <c r="E279">
        <v>5</v>
      </c>
      <c r="F279">
        <v>59994</v>
      </c>
      <c r="G279">
        <v>5</v>
      </c>
    </row>
    <row r="280" spans="1:7">
      <c r="A280" t="s">
        <v>8095</v>
      </c>
      <c r="B280" t="s">
        <v>2045</v>
      </c>
      <c r="C280">
        <v>6</v>
      </c>
      <c r="D280">
        <v>28812</v>
      </c>
      <c r="E280">
        <v>6</v>
      </c>
      <c r="F280">
        <v>75300</v>
      </c>
      <c r="G280">
        <v>6</v>
      </c>
    </row>
    <row r="281" spans="1:7">
      <c r="A281" t="s">
        <v>8095</v>
      </c>
      <c r="B281" t="s">
        <v>2045</v>
      </c>
      <c r="C281">
        <v>7</v>
      </c>
      <c r="D281">
        <v>42012</v>
      </c>
      <c r="E281">
        <v>7</v>
      </c>
      <c r="F281">
        <v>98400</v>
      </c>
      <c r="G281">
        <v>7</v>
      </c>
    </row>
    <row r="282" spans="1:7">
      <c r="A282" t="s">
        <v>8097</v>
      </c>
      <c r="B282" t="s">
        <v>2048</v>
      </c>
      <c r="C282">
        <v>1</v>
      </c>
      <c r="D282">
        <v>1594</v>
      </c>
      <c r="E282">
        <v>3</v>
      </c>
      <c r="F282">
        <v>4245</v>
      </c>
      <c r="G282">
        <v>5</v>
      </c>
    </row>
    <row r="283" spans="1:7">
      <c r="A283" t="s">
        <v>8097</v>
      </c>
      <c r="B283" t="s">
        <v>2048</v>
      </c>
      <c r="C283">
        <v>2</v>
      </c>
      <c r="D283">
        <v>4772</v>
      </c>
      <c r="E283">
        <v>3</v>
      </c>
      <c r="F283">
        <v>10175</v>
      </c>
      <c r="G283">
        <v>5</v>
      </c>
    </row>
    <row r="284" spans="1:7">
      <c r="A284" t="s">
        <v>8097</v>
      </c>
      <c r="B284" t="s">
        <v>2048</v>
      </c>
      <c r="C284">
        <v>3</v>
      </c>
      <c r="D284">
        <v>12332</v>
      </c>
      <c r="E284">
        <v>3</v>
      </c>
      <c r="F284">
        <v>22154</v>
      </c>
      <c r="G284">
        <v>5</v>
      </c>
    </row>
    <row r="285" spans="1:7">
      <c r="A285" t="s">
        <v>8097</v>
      </c>
      <c r="B285" t="s">
        <v>2048</v>
      </c>
      <c r="C285">
        <v>4</v>
      </c>
      <c r="D285">
        <v>18280</v>
      </c>
      <c r="E285">
        <v>4</v>
      </c>
      <c r="F285">
        <v>40456</v>
      </c>
      <c r="G285">
        <v>5</v>
      </c>
    </row>
    <row r="286" spans="1:7">
      <c r="A286" t="s">
        <v>8097</v>
      </c>
      <c r="B286" t="s">
        <v>2048</v>
      </c>
      <c r="C286">
        <v>5</v>
      </c>
      <c r="D286">
        <v>25770</v>
      </c>
      <c r="E286">
        <v>5</v>
      </c>
      <c r="F286">
        <v>74130</v>
      </c>
      <c r="G286">
        <v>5</v>
      </c>
    </row>
    <row r="287" spans="1:7">
      <c r="A287" t="s">
        <v>8097</v>
      </c>
      <c r="B287" t="s">
        <v>2048</v>
      </c>
      <c r="C287">
        <v>6</v>
      </c>
      <c r="D287">
        <v>35260</v>
      </c>
      <c r="E287">
        <v>6</v>
      </c>
      <c r="F287">
        <v>92660</v>
      </c>
      <c r="G287">
        <v>6</v>
      </c>
    </row>
    <row r="288" spans="1:7">
      <c r="A288" t="s">
        <v>8097</v>
      </c>
      <c r="B288" t="s">
        <v>2048</v>
      </c>
      <c r="C288">
        <v>7</v>
      </c>
      <c r="D288">
        <v>50320</v>
      </c>
      <c r="E288">
        <v>7</v>
      </c>
      <c r="F288">
        <v>119480</v>
      </c>
      <c r="G288">
        <v>7</v>
      </c>
    </row>
    <row r="289" spans="1:7">
      <c r="A289" t="s">
        <v>8099</v>
      </c>
      <c r="B289" t="s">
        <v>2312</v>
      </c>
      <c r="C289">
        <v>1</v>
      </c>
      <c r="D289">
        <v>3937</v>
      </c>
      <c r="E289">
        <v>3</v>
      </c>
      <c r="F289">
        <v>9945</v>
      </c>
      <c r="G289">
        <v>5</v>
      </c>
    </row>
    <row r="290" spans="1:7">
      <c r="A290" t="s">
        <v>8099</v>
      </c>
      <c r="B290" t="s">
        <v>2312</v>
      </c>
      <c r="C290">
        <v>2</v>
      </c>
      <c r="D290">
        <v>11812</v>
      </c>
      <c r="E290">
        <v>3</v>
      </c>
      <c r="F290">
        <v>24475</v>
      </c>
      <c r="G290">
        <v>5</v>
      </c>
    </row>
    <row r="291" spans="1:7">
      <c r="A291" t="s">
        <v>8099</v>
      </c>
      <c r="B291" t="s">
        <v>2312</v>
      </c>
      <c r="C291">
        <v>3</v>
      </c>
      <c r="D291">
        <v>30572</v>
      </c>
      <c r="E291">
        <v>3</v>
      </c>
      <c r="F291">
        <v>53678</v>
      </c>
      <c r="G291">
        <v>5</v>
      </c>
    </row>
    <row r="292" spans="1:7">
      <c r="A292" t="s">
        <v>8099</v>
      </c>
      <c r="B292" t="s">
        <v>2312</v>
      </c>
      <c r="C292">
        <v>4</v>
      </c>
      <c r="D292">
        <v>45160</v>
      </c>
      <c r="E292">
        <v>4</v>
      </c>
      <c r="F292">
        <v>99336</v>
      </c>
      <c r="G292">
        <v>5</v>
      </c>
    </row>
    <row r="293" spans="1:7">
      <c r="A293" t="s">
        <v>8099</v>
      </c>
      <c r="B293" t="s">
        <v>2312</v>
      </c>
      <c r="C293">
        <v>5</v>
      </c>
      <c r="D293">
        <v>63210</v>
      </c>
      <c r="E293">
        <v>5</v>
      </c>
      <c r="F293">
        <v>183570</v>
      </c>
      <c r="G293">
        <v>5</v>
      </c>
    </row>
    <row r="294" spans="1:7">
      <c r="A294" t="s">
        <v>8099</v>
      </c>
      <c r="B294" t="s">
        <v>2312</v>
      </c>
      <c r="C294">
        <v>6</v>
      </c>
      <c r="D294">
        <v>85180</v>
      </c>
      <c r="E294">
        <v>6</v>
      </c>
      <c r="F294">
        <v>227060</v>
      </c>
      <c r="G294">
        <v>6</v>
      </c>
    </row>
    <row r="295" spans="1:7">
      <c r="A295" t="s">
        <v>8099</v>
      </c>
      <c r="B295" t="s">
        <v>2312</v>
      </c>
      <c r="C295">
        <v>7</v>
      </c>
      <c r="D295">
        <v>114640</v>
      </c>
      <c r="E295">
        <v>7</v>
      </c>
      <c r="F295">
        <v>282680</v>
      </c>
      <c r="G295">
        <v>7</v>
      </c>
    </row>
    <row r="296" spans="1:7">
      <c r="A296" t="s">
        <v>8102</v>
      </c>
      <c r="B296" t="s">
        <v>1579</v>
      </c>
      <c r="C296">
        <v>1</v>
      </c>
      <c r="D296">
        <v>109</v>
      </c>
      <c r="E296">
        <v>3</v>
      </c>
      <c r="F296">
        <v>645</v>
      </c>
      <c r="G296">
        <v>5</v>
      </c>
    </row>
    <row r="297" spans="1:7">
      <c r="A297" t="s">
        <v>8102</v>
      </c>
      <c r="B297" t="s">
        <v>1579</v>
      </c>
      <c r="C297">
        <v>2</v>
      </c>
      <c r="D297">
        <v>328</v>
      </c>
      <c r="E297">
        <v>3</v>
      </c>
      <c r="F297">
        <v>1275</v>
      </c>
      <c r="G297">
        <v>5</v>
      </c>
    </row>
    <row r="298" spans="1:7">
      <c r="A298" t="s">
        <v>8102</v>
      </c>
      <c r="B298" t="s">
        <v>1579</v>
      </c>
      <c r="C298">
        <v>3</v>
      </c>
      <c r="D298">
        <v>818</v>
      </c>
      <c r="E298">
        <v>3</v>
      </c>
      <c r="F298">
        <v>2174</v>
      </c>
      <c r="G298">
        <v>5</v>
      </c>
    </row>
    <row r="299" spans="1:7">
      <c r="A299" t="s">
        <v>8102</v>
      </c>
      <c r="B299" t="s">
        <v>1579</v>
      </c>
      <c r="C299">
        <v>4</v>
      </c>
      <c r="D299">
        <v>1312</v>
      </c>
      <c r="E299">
        <v>4</v>
      </c>
      <c r="F299">
        <v>3288</v>
      </c>
      <c r="G299">
        <v>5</v>
      </c>
    </row>
    <row r="300" spans="1:7">
      <c r="A300" t="s">
        <v>8102</v>
      </c>
      <c r="B300" t="s">
        <v>1579</v>
      </c>
      <c r="C300">
        <v>5</v>
      </c>
      <c r="D300">
        <v>2136</v>
      </c>
      <c r="E300">
        <v>5</v>
      </c>
      <c r="F300">
        <v>5046</v>
      </c>
      <c r="G300">
        <v>5</v>
      </c>
    </row>
    <row r="301" spans="1:7">
      <c r="A301" t="s">
        <v>8102</v>
      </c>
      <c r="B301" t="s">
        <v>1579</v>
      </c>
      <c r="C301">
        <v>6</v>
      </c>
      <c r="D301">
        <v>3748</v>
      </c>
      <c r="E301">
        <v>6</v>
      </c>
      <c r="F301">
        <v>7820</v>
      </c>
      <c r="G301">
        <v>6</v>
      </c>
    </row>
    <row r="302" spans="1:7">
      <c r="A302" t="s">
        <v>8102</v>
      </c>
      <c r="B302" t="s">
        <v>1579</v>
      </c>
      <c r="C302">
        <v>7</v>
      </c>
      <c r="D302">
        <v>9718</v>
      </c>
      <c r="E302">
        <v>7</v>
      </c>
      <c r="F302">
        <v>16460</v>
      </c>
      <c r="G302">
        <v>7</v>
      </c>
    </row>
    <row r="303" spans="1:7">
      <c r="A303" t="s">
        <v>8104</v>
      </c>
      <c r="B303" t="s">
        <v>8105</v>
      </c>
      <c r="C303">
        <v>1</v>
      </c>
      <c r="D303">
        <v>615</v>
      </c>
      <c r="E303">
        <v>3</v>
      </c>
      <c r="F303">
        <v>1845</v>
      </c>
      <c r="G303">
        <v>5</v>
      </c>
    </row>
    <row r="304" spans="1:7">
      <c r="A304" t="s">
        <v>8104</v>
      </c>
      <c r="B304" t="s">
        <v>8105</v>
      </c>
      <c r="C304">
        <v>2</v>
      </c>
      <c r="D304">
        <v>1824</v>
      </c>
      <c r="E304">
        <v>3</v>
      </c>
      <c r="F304">
        <v>4275</v>
      </c>
      <c r="G304">
        <v>5</v>
      </c>
    </row>
    <row r="305" spans="1:7">
      <c r="A305" t="s">
        <v>8104</v>
      </c>
      <c r="B305" t="s">
        <v>8105</v>
      </c>
      <c r="C305">
        <v>3</v>
      </c>
      <c r="D305">
        <v>4732</v>
      </c>
      <c r="E305">
        <v>3</v>
      </c>
      <c r="F305">
        <v>8982</v>
      </c>
      <c r="G305">
        <v>5</v>
      </c>
    </row>
    <row r="306" spans="1:7">
      <c r="A306" t="s">
        <v>8104</v>
      </c>
      <c r="B306" t="s">
        <v>8105</v>
      </c>
      <c r="C306">
        <v>4</v>
      </c>
      <c r="D306">
        <v>7080</v>
      </c>
      <c r="E306">
        <v>4</v>
      </c>
      <c r="F306">
        <v>15800</v>
      </c>
      <c r="G306">
        <v>5</v>
      </c>
    </row>
    <row r="307" spans="1:7">
      <c r="A307" t="s">
        <v>8104</v>
      </c>
      <c r="B307" t="s">
        <v>8105</v>
      </c>
      <c r="C307">
        <v>5</v>
      </c>
      <c r="D307">
        <v>10170</v>
      </c>
      <c r="E307">
        <v>5</v>
      </c>
      <c r="F307">
        <v>28530</v>
      </c>
      <c r="G307">
        <v>5</v>
      </c>
    </row>
    <row r="308" spans="1:7">
      <c r="A308" t="s">
        <v>8104</v>
      </c>
      <c r="B308" t="s">
        <v>8105</v>
      </c>
      <c r="C308">
        <v>6</v>
      </c>
      <c r="D308">
        <v>14460</v>
      </c>
      <c r="E308">
        <v>6</v>
      </c>
      <c r="F308">
        <v>36660</v>
      </c>
      <c r="G308">
        <v>6</v>
      </c>
    </row>
    <row r="309" spans="1:7">
      <c r="A309" t="s">
        <v>8104</v>
      </c>
      <c r="B309" t="s">
        <v>8105</v>
      </c>
      <c r="C309">
        <v>7</v>
      </c>
      <c r="D309">
        <v>23520</v>
      </c>
      <c r="E309">
        <v>7</v>
      </c>
      <c r="F309">
        <v>51480</v>
      </c>
      <c r="G309">
        <v>7</v>
      </c>
    </row>
    <row r="310" spans="1:7">
      <c r="A310" t="s">
        <v>8107</v>
      </c>
      <c r="B310" t="s">
        <v>8108</v>
      </c>
      <c r="C310">
        <v>1</v>
      </c>
      <c r="D310">
        <v>219</v>
      </c>
      <c r="E310">
        <v>3</v>
      </c>
      <c r="F310">
        <v>885</v>
      </c>
      <c r="G310">
        <v>5</v>
      </c>
    </row>
    <row r="311" spans="1:7">
      <c r="A311" t="s">
        <v>8107</v>
      </c>
      <c r="B311" t="s">
        <v>8108</v>
      </c>
      <c r="C311">
        <v>2</v>
      </c>
      <c r="D311">
        <v>658</v>
      </c>
      <c r="E311">
        <v>3</v>
      </c>
      <c r="F311">
        <v>1875</v>
      </c>
      <c r="G311">
        <v>5</v>
      </c>
    </row>
    <row r="312" spans="1:7">
      <c r="A312" t="s">
        <v>8107</v>
      </c>
      <c r="B312" t="s">
        <v>8108</v>
      </c>
      <c r="C312">
        <v>3</v>
      </c>
      <c r="D312">
        <v>1692</v>
      </c>
      <c r="E312">
        <v>3</v>
      </c>
      <c r="F312">
        <v>3654</v>
      </c>
      <c r="G312">
        <v>5</v>
      </c>
    </row>
    <row r="313" spans="1:7">
      <c r="A313" t="s">
        <v>8107</v>
      </c>
      <c r="B313" t="s">
        <v>8108</v>
      </c>
      <c r="C313">
        <v>4</v>
      </c>
      <c r="D313">
        <v>2600</v>
      </c>
      <c r="E313">
        <v>4</v>
      </c>
      <c r="F313">
        <v>6048</v>
      </c>
      <c r="G313">
        <v>5</v>
      </c>
    </row>
    <row r="314" spans="1:7">
      <c r="A314" t="s">
        <v>8107</v>
      </c>
      <c r="B314" t="s">
        <v>8108</v>
      </c>
      <c r="C314">
        <v>5</v>
      </c>
      <c r="D314">
        <v>3930</v>
      </c>
      <c r="E314">
        <v>5</v>
      </c>
      <c r="F314">
        <v>10290</v>
      </c>
      <c r="G314">
        <v>5</v>
      </c>
    </row>
    <row r="315" spans="1:7">
      <c r="A315" t="s">
        <v>8107</v>
      </c>
      <c r="B315" t="s">
        <v>8108</v>
      </c>
      <c r="C315">
        <v>6</v>
      </c>
      <c r="D315">
        <v>6140</v>
      </c>
      <c r="E315">
        <v>6</v>
      </c>
      <c r="F315">
        <v>14260</v>
      </c>
      <c r="G315">
        <v>6</v>
      </c>
    </row>
    <row r="316" spans="1:7">
      <c r="A316" t="s">
        <v>8107</v>
      </c>
      <c r="B316" t="s">
        <v>8108</v>
      </c>
      <c r="C316">
        <v>7</v>
      </c>
      <c r="D316">
        <v>12800</v>
      </c>
      <c r="E316">
        <v>7</v>
      </c>
      <c r="F316">
        <v>24280</v>
      </c>
      <c r="G316">
        <v>7</v>
      </c>
    </row>
    <row r="317" spans="1:7">
      <c r="A317" t="s">
        <v>8109</v>
      </c>
      <c r="B317" t="s">
        <v>1595</v>
      </c>
      <c r="C317">
        <v>1</v>
      </c>
      <c r="D317">
        <v>54</v>
      </c>
      <c r="E317">
        <v>3</v>
      </c>
      <c r="F317">
        <v>525</v>
      </c>
      <c r="G317">
        <v>5</v>
      </c>
    </row>
    <row r="318" spans="1:7">
      <c r="A318" t="s">
        <v>8109</v>
      </c>
      <c r="B318" t="s">
        <v>1595</v>
      </c>
      <c r="C318">
        <v>2</v>
      </c>
      <c r="D318">
        <v>152</v>
      </c>
      <c r="E318">
        <v>3</v>
      </c>
      <c r="F318">
        <v>875</v>
      </c>
      <c r="G318">
        <v>5</v>
      </c>
    </row>
    <row r="319" spans="1:7">
      <c r="A319" t="s">
        <v>8109</v>
      </c>
      <c r="B319" t="s">
        <v>1595</v>
      </c>
      <c r="C319">
        <v>3</v>
      </c>
      <c r="D319">
        <v>400</v>
      </c>
      <c r="E319">
        <v>3</v>
      </c>
      <c r="F319">
        <v>1434</v>
      </c>
      <c r="G319">
        <v>5</v>
      </c>
    </row>
    <row r="320" spans="1:7">
      <c r="A320" t="s">
        <v>8109</v>
      </c>
      <c r="B320" t="s">
        <v>1595</v>
      </c>
      <c r="C320">
        <v>4</v>
      </c>
      <c r="D320">
        <v>696</v>
      </c>
      <c r="E320">
        <v>4</v>
      </c>
      <c r="F320">
        <v>1816</v>
      </c>
      <c r="G320">
        <v>5</v>
      </c>
    </row>
    <row r="321" spans="1:7">
      <c r="A321" t="s">
        <v>8109</v>
      </c>
      <c r="B321" t="s">
        <v>1595</v>
      </c>
      <c r="C321">
        <v>5</v>
      </c>
      <c r="D321">
        <v>1278</v>
      </c>
      <c r="E321">
        <v>5</v>
      </c>
      <c r="F321">
        <v>2538</v>
      </c>
      <c r="G321">
        <v>5</v>
      </c>
    </row>
    <row r="322" spans="1:7">
      <c r="A322" t="s">
        <v>8109</v>
      </c>
      <c r="B322" t="s">
        <v>1595</v>
      </c>
      <c r="C322">
        <v>6</v>
      </c>
      <c r="D322">
        <v>2604</v>
      </c>
      <c r="E322">
        <v>6</v>
      </c>
      <c r="F322">
        <v>4740</v>
      </c>
      <c r="G322">
        <v>6</v>
      </c>
    </row>
    <row r="323" spans="1:7">
      <c r="A323" t="s">
        <v>8109</v>
      </c>
      <c r="B323" t="s">
        <v>1595</v>
      </c>
      <c r="C323">
        <v>7</v>
      </c>
      <c r="D323">
        <v>8244</v>
      </c>
      <c r="E323">
        <v>7</v>
      </c>
      <c r="F323">
        <v>12720</v>
      </c>
      <c r="G323">
        <v>7</v>
      </c>
    </row>
    <row r="324" spans="1:7">
      <c r="A324" t="s">
        <v>8111</v>
      </c>
      <c r="B324" t="s">
        <v>8112</v>
      </c>
      <c r="C324">
        <v>1</v>
      </c>
      <c r="D324">
        <v>813</v>
      </c>
      <c r="E324">
        <v>3</v>
      </c>
      <c r="F324">
        <v>2325</v>
      </c>
      <c r="G324">
        <v>5</v>
      </c>
    </row>
    <row r="325" spans="1:7">
      <c r="A325" t="s">
        <v>8111</v>
      </c>
      <c r="B325" t="s">
        <v>8112</v>
      </c>
      <c r="C325">
        <v>2</v>
      </c>
      <c r="D325">
        <v>2418</v>
      </c>
      <c r="E325">
        <v>3</v>
      </c>
      <c r="F325">
        <v>5475</v>
      </c>
      <c r="G325">
        <v>5</v>
      </c>
    </row>
    <row r="326" spans="1:7">
      <c r="A326" t="s">
        <v>8111</v>
      </c>
      <c r="B326" t="s">
        <v>8112</v>
      </c>
      <c r="C326">
        <v>3</v>
      </c>
      <c r="D326">
        <v>6252</v>
      </c>
      <c r="E326">
        <v>3</v>
      </c>
      <c r="F326">
        <v>11646</v>
      </c>
      <c r="G326">
        <v>5</v>
      </c>
    </row>
    <row r="327" spans="1:7">
      <c r="A327" t="s">
        <v>8111</v>
      </c>
      <c r="B327" t="s">
        <v>8112</v>
      </c>
      <c r="C327">
        <v>4</v>
      </c>
      <c r="D327">
        <v>9320</v>
      </c>
      <c r="E327">
        <v>4</v>
      </c>
      <c r="F327">
        <v>20768</v>
      </c>
      <c r="G327">
        <v>5</v>
      </c>
    </row>
    <row r="328" spans="1:7">
      <c r="A328" t="s">
        <v>8111</v>
      </c>
      <c r="B328" t="s">
        <v>8112</v>
      </c>
      <c r="C328">
        <v>5</v>
      </c>
      <c r="D328">
        <v>13290</v>
      </c>
      <c r="E328">
        <v>5</v>
      </c>
      <c r="F328">
        <v>37650</v>
      </c>
      <c r="G328">
        <v>5</v>
      </c>
    </row>
    <row r="329" spans="1:7">
      <c r="A329" t="s">
        <v>8111</v>
      </c>
      <c r="B329" t="s">
        <v>8112</v>
      </c>
      <c r="C329">
        <v>6</v>
      </c>
      <c r="D329">
        <v>18620</v>
      </c>
      <c r="E329">
        <v>6</v>
      </c>
      <c r="F329">
        <v>47860</v>
      </c>
      <c r="G329">
        <v>6</v>
      </c>
    </row>
    <row r="330" spans="1:7">
      <c r="A330" t="s">
        <v>8111</v>
      </c>
      <c r="B330" t="s">
        <v>8112</v>
      </c>
      <c r="C330">
        <v>7</v>
      </c>
      <c r="D330">
        <v>28880</v>
      </c>
      <c r="E330">
        <v>7</v>
      </c>
      <c r="F330">
        <v>65080</v>
      </c>
      <c r="G330">
        <v>7</v>
      </c>
    </row>
    <row r="331" spans="1:7">
      <c r="A331" t="s">
        <v>8113</v>
      </c>
      <c r="B331" t="s">
        <v>1601</v>
      </c>
      <c r="C331">
        <v>1</v>
      </c>
      <c r="D331">
        <v>219</v>
      </c>
      <c r="E331">
        <v>3</v>
      </c>
      <c r="F331">
        <v>885</v>
      </c>
      <c r="G331">
        <v>5</v>
      </c>
    </row>
    <row r="332" spans="1:7">
      <c r="A332" t="s">
        <v>8113</v>
      </c>
      <c r="B332" t="s">
        <v>1601</v>
      </c>
      <c r="C332">
        <v>2</v>
      </c>
      <c r="D332">
        <v>658</v>
      </c>
      <c r="E332">
        <v>3</v>
      </c>
      <c r="F332">
        <v>1875</v>
      </c>
      <c r="G332">
        <v>5</v>
      </c>
    </row>
    <row r="333" spans="1:7">
      <c r="A333" t="s">
        <v>8113</v>
      </c>
      <c r="B333" t="s">
        <v>1601</v>
      </c>
      <c r="C333">
        <v>3</v>
      </c>
      <c r="D333">
        <v>1692</v>
      </c>
      <c r="E333">
        <v>3</v>
      </c>
      <c r="F333">
        <v>3654</v>
      </c>
      <c r="G333">
        <v>5</v>
      </c>
    </row>
    <row r="334" spans="1:7">
      <c r="A334" t="s">
        <v>8113</v>
      </c>
      <c r="B334" t="s">
        <v>1601</v>
      </c>
      <c r="C334">
        <v>4</v>
      </c>
      <c r="D334">
        <v>2600</v>
      </c>
      <c r="E334">
        <v>4</v>
      </c>
      <c r="F334">
        <v>6048</v>
      </c>
      <c r="G334">
        <v>5</v>
      </c>
    </row>
    <row r="335" spans="1:7">
      <c r="A335" t="s">
        <v>8113</v>
      </c>
      <c r="B335" t="s">
        <v>1601</v>
      </c>
      <c r="C335">
        <v>5</v>
      </c>
      <c r="D335">
        <v>3930</v>
      </c>
      <c r="E335">
        <v>5</v>
      </c>
      <c r="F335">
        <v>10290</v>
      </c>
      <c r="G335">
        <v>5</v>
      </c>
    </row>
    <row r="336" spans="1:7">
      <c r="A336" t="s">
        <v>8113</v>
      </c>
      <c r="B336" t="s">
        <v>1601</v>
      </c>
      <c r="C336">
        <v>6</v>
      </c>
      <c r="D336">
        <v>6140</v>
      </c>
      <c r="E336">
        <v>6</v>
      </c>
      <c r="F336">
        <v>14260</v>
      </c>
      <c r="G336">
        <v>6</v>
      </c>
    </row>
    <row r="337" spans="1:7">
      <c r="A337" t="s">
        <v>8113</v>
      </c>
      <c r="B337" t="s">
        <v>1601</v>
      </c>
      <c r="C337">
        <v>7</v>
      </c>
      <c r="D337">
        <v>12800</v>
      </c>
      <c r="E337">
        <v>7</v>
      </c>
      <c r="F337">
        <v>24280</v>
      </c>
      <c r="G337">
        <v>7</v>
      </c>
    </row>
    <row r="338" spans="1:7">
      <c r="A338" t="s">
        <v>8115</v>
      </c>
      <c r="B338" t="s">
        <v>1638</v>
      </c>
      <c r="C338">
        <v>1</v>
      </c>
      <c r="D338">
        <v>373</v>
      </c>
      <c r="E338">
        <v>3</v>
      </c>
      <c r="F338">
        <v>1305</v>
      </c>
      <c r="G338">
        <v>5</v>
      </c>
    </row>
    <row r="339" spans="1:7">
      <c r="A339" t="s">
        <v>8115</v>
      </c>
      <c r="B339" t="s">
        <v>1638</v>
      </c>
      <c r="C339">
        <v>2</v>
      </c>
      <c r="D339">
        <v>1120</v>
      </c>
      <c r="E339">
        <v>3</v>
      </c>
      <c r="F339">
        <v>2875</v>
      </c>
      <c r="G339">
        <v>5</v>
      </c>
    </row>
    <row r="340" spans="1:7">
      <c r="A340" t="s">
        <v>8115</v>
      </c>
      <c r="B340" t="s">
        <v>1638</v>
      </c>
      <c r="C340">
        <v>3</v>
      </c>
      <c r="D340">
        <v>2908</v>
      </c>
      <c r="E340">
        <v>3</v>
      </c>
      <c r="F340">
        <v>5726</v>
      </c>
      <c r="G340">
        <v>5</v>
      </c>
    </row>
    <row r="341" spans="1:7">
      <c r="A341" t="s">
        <v>8115</v>
      </c>
      <c r="B341" t="s">
        <v>1638</v>
      </c>
      <c r="C341">
        <v>4</v>
      </c>
      <c r="D341">
        <v>4392</v>
      </c>
      <c r="E341">
        <v>4</v>
      </c>
      <c r="F341">
        <v>9912</v>
      </c>
      <c r="G341">
        <v>5</v>
      </c>
    </row>
    <row r="342" spans="1:7">
      <c r="A342" t="s">
        <v>8115</v>
      </c>
      <c r="B342" t="s">
        <v>1638</v>
      </c>
      <c r="C342">
        <v>5</v>
      </c>
      <c r="D342">
        <v>6426</v>
      </c>
      <c r="E342">
        <v>5</v>
      </c>
      <c r="F342">
        <v>17586</v>
      </c>
      <c r="G342">
        <v>5</v>
      </c>
    </row>
    <row r="343" spans="1:7">
      <c r="A343" t="s">
        <v>8115</v>
      </c>
      <c r="B343" t="s">
        <v>1638</v>
      </c>
      <c r="C343">
        <v>6</v>
      </c>
      <c r="D343">
        <v>9468</v>
      </c>
      <c r="E343">
        <v>6</v>
      </c>
      <c r="F343">
        <v>23220</v>
      </c>
      <c r="G343">
        <v>6</v>
      </c>
    </row>
    <row r="344" spans="1:7">
      <c r="A344" t="s">
        <v>8115</v>
      </c>
      <c r="B344" t="s">
        <v>1638</v>
      </c>
      <c r="C344">
        <v>7</v>
      </c>
      <c r="D344">
        <v>17088</v>
      </c>
      <c r="E344">
        <v>7</v>
      </c>
      <c r="F344">
        <v>35160</v>
      </c>
      <c r="G344">
        <v>7</v>
      </c>
    </row>
    <row r="345" spans="1:7">
      <c r="A345" t="s">
        <v>8117</v>
      </c>
      <c r="B345" t="s">
        <v>1978</v>
      </c>
      <c r="C345">
        <v>1</v>
      </c>
      <c r="D345">
        <v>1979</v>
      </c>
      <c r="E345">
        <v>3</v>
      </c>
      <c r="F345">
        <v>5205</v>
      </c>
      <c r="G345">
        <v>5</v>
      </c>
    </row>
    <row r="346" spans="1:7">
      <c r="A346" t="s">
        <v>8117</v>
      </c>
      <c r="B346" t="s">
        <v>1978</v>
      </c>
      <c r="C346">
        <v>2</v>
      </c>
      <c r="D346">
        <v>5938</v>
      </c>
      <c r="E346">
        <v>3</v>
      </c>
      <c r="F346">
        <v>12575</v>
      </c>
      <c r="G346">
        <v>5</v>
      </c>
    </row>
    <row r="347" spans="1:7">
      <c r="A347" t="s">
        <v>8117</v>
      </c>
      <c r="B347" t="s">
        <v>1978</v>
      </c>
      <c r="C347">
        <v>3</v>
      </c>
      <c r="D347">
        <v>15372</v>
      </c>
      <c r="E347">
        <v>3</v>
      </c>
      <c r="F347">
        <v>27334</v>
      </c>
      <c r="G347">
        <v>5</v>
      </c>
    </row>
    <row r="348" spans="1:7">
      <c r="A348" t="s">
        <v>8117</v>
      </c>
      <c r="B348" t="s">
        <v>1978</v>
      </c>
      <c r="C348">
        <v>4</v>
      </c>
      <c r="D348">
        <v>22760</v>
      </c>
      <c r="E348">
        <v>4</v>
      </c>
      <c r="F348">
        <v>50208</v>
      </c>
      <c r="G348">
        <v>5</v>
      </c>
    </row>
    <row r="349" spans="1:7">
      <c r="A349" t="s">
        <v>8117</v>
      </c>
      <c r="B349" t="s">
        <v>1978</v>
      </c>
      <c r="C349">
        <v>5</v>
      </c>
      <c r="D349">
        <v>32010</v>
      </c>
      <c r="E349">
        <v>5</v>
      </c>
      <c r="F349">
        <v>92370</v>
      </c>
      <c r="G349">
        <v>5</v>
      </c>
    </row>
    <row r="350" spans="1:7">
      <c r="A350" t="s">
        <v>8117</v>
      </c>
      <c r="B350" t="s">
        <v>1978</v>
      </c>
      <c r="C350">
        <v>6</v>
      </c>
      <c r="D350">
        <v>43580</v>
      </c>
      <c r="E350">
        <v>6</v>
      </c>
      <c r="F350">
        <v>115060</v>
      </c>
      <c r="G350">
        <v>6</v>
      </c>
    </row>
    <row r="351" spans="1:7">
      <c r="A351" t="s">
        <v>8117</v>
      </c>
      <c r="B351" t="s">
        <v>1978</v>
      </c>
      <c r="C351">
        <v>7</v>
      </c>
      <c r="D351">
        <v>61040</v>
      </c>
      <c r="E351">
        <v>7</v>
      </c>
      <c r="F351">
        <v>146680</v>
      </c>
      <c r="G351">
        <v>7</v>
      </c>
    </row>
    <row r="352" spans="1:7">
      <c r="A352" t="s">
        <v>8120</v>
      </c>
      <c r="B352" t="s">
        <v>8121</v>
      </c>
      <c r="C352">
        <v>1</v>
      </c>
      <c r="F352">
        <v>705</v>
      </c>
      <c r="G352" t="s">
        <v>8189</v>
      </c>
    </row>
    <row r="353" spans="1:7">
      <c r="A353" t="s">
        <v>8120</v>
      </c>
      <c r="B353" t="s">
        <v>8121</v>
      </c>
      <c r="C353">
        <v>2</v>
      </c>
      <c r="F353">
        <v>1475</v>
      </c>
      <c r="G353" t="s">
        <v>8189</v>
      </c>
    </row>
    <row r="354" spans="1:7">
      <c r="A354" t="s">
        <v>8120</v>
      </c>
      <c r="B354" t="s">
        <v>8121</v>
      </c>
      <c r="C354">
        <v>3</v>
      </c>
      <c r="F354">
        <v>2618</v>
      </c>
      <c r="G354" t="s">
        <v>8189</v>
      </c>
    </row>
    <row r="355" spans="1:7">
      <c r="A355" t="s">
        <v>8120</v>
      </c>
      <c r="B355" t="s">
        <v>8121</v>
      </c>
      <c r="C355">
        <v>4</v>
      </c>
      <c r="F355">
        <v>4024</v>
      </c>
      <c r="G355" t="s">
        <v>8189</v>
      </c>
    </row>
    <row r="356" spans="1:7">
      <c r="A356" t="s">
        <v>8120</v>
      </c>
      <c r="B356" t="s">
        <v>8121</v>
      </c>
      <c r="C356">
        <v>5</v>
      </c>
      <c r="F356">
        <v>6642</v>
      </c>
      <c r="G356" t="s">
        <v>8189</v>
      </c>
    </row>
    <row r="357" spans="1:7">
      <c r="A357" t="s">
        <v>8120</v>
      </c>
      <c r="B357" t="s">
        <v>8121</v>
      </c>
      <c r="C357">
        <v>6</v>
      </c>
      <c r="F357">
        <v>9780</v>
      </c>
      <c r="G357" t="s">
        <v>8189</v>
      </c>
    </row>
    <row r="358" spans="1:7">
      <c r="A358" t="s">
        <v>8120</v>
      </c>
      <c r="B358" t="s">
        <v>8121</v>
      </c>
      <c r="C358">
        <v>7</v>
      </c>
      <c r="F358">
        <v>18840</v>
      </c>
      <c r="G358" t="s">
        <v>8189</v>
      </c>
    </row>
    <row r="359" spans="1:7">
      <c r="A359" t="s">
        <v>8124</v>
      </c>
      <c r="B359" t="s">
        <v>8125</v>
      </c>
      <c r="C359">
        <v>1</v>
      </c>
      <c r="F359">
        <v>705</v>
      </c>
      <c r="G359" t="s">
        <v>8189</v>
      </c>
    </row>
    <row r="360" spans="1:7">
      <c r="A360" t="s">
        <v>8124</v>
      </c>
      <c r="B360" t="s">
        <v>8125</v>
      </c>
      <c r="C360">
        <v>2</v>
      </c>
      <c r="F360">
        <v>1475</v>
      </c>
      <c r="G360" t="s">
        <v>8189</v>
      </c>
    </row>
    <row r="361" spans="1:7">
      <c r="A361" t="s">
        <v>8124</v>
      </c>
      <c r="B361" t="s">
        <v>8125</v>
      </c>
      <c r="C361">
        <v>3</v>
      </c>
      <c r="F361">
        <v>2618</v>
      </c>
      <c r="G361" t="s">
        <v>8189</v>
      </c>
    </row>
    <row r="362" spans="1:7">
      <c r="A362" t="s">
        <v>8124</v>
      </c>
      <c r="B362" t="s">
        <v>8125</v>
      </c>
      <c r="C362">
        <v>4</v>
      </c>
      <c r="F362">
        <v>4024</v>
      </c>
      <c r="G362" t="s">
        <v>8189</v>
      </c>
    </row>
    <row r="363" spans="1:7">
      <c r="A363" t="s">
        <v>8124</v>
      </c>
      <c r="B363" t="s">
        <v>8125</v>
      </c>
      <c r="C363">
        <v>5</v>
      </c>
      <c r="F363">
        <v>6642</v>
      </c>
      <c r="G363" t="s">
        <v>8189</v>
      </c>
    </row>
    <row r="364" spans="1:7">
      <c r="A364" t="s">
        <v>8124</v>
      </c>
      <c r="B364" t="s">
        <v>8125</v>
      </c>
      <c r="C364">
        <v>6</v>
      </c>
      <c r="F364">
        <v>9780</v>
      </c>
      <c r="G364" t="s">
        <v>8189</v>
      </c>
    </row>
    <row r="365" spans="1:7">
      <c r="A365" t="s">
        <v>8124</v>
      </c>
      <c r="B365" t="s">
        <v>8125</v>
      </c>
      <c r="C365">
        <v>7</v>
      </c>
      <c r="F365">
        <v>18840</v>
      </c>
      <c r="G365" t="s">
        <v>8189</v>
      </c>
    </row>
    <row r="366" spans="1:7">
      <c r="A366" t="s">
        <v>8128</v>
      </c>
      <c r="B366" t="s">
        <v>8129</v>
      </c>
      <c r="C366">
        <v>1</v>
      </c>
      <c r="F366">
        <v>705</v>
      </c>
      <c r="G366" t="s">
        <v>8189</v>
      </c>
    </row>
    <row r="367" spans="1:7">
      <c r="A367" t="s">
        <v>8128</v>
      </c>
      <c r="B367" t="s">
        <v>8129</v>
      </c>
      <c r="C367">
        <v>2</v>
      </c>
      <c r="F367">
        <v>1475</v>
      </c>
      <c r="G367" t="s">
        <v>8189</v>
      </c>
    </row>
    <row r="368" spans="1:7">
      <c r="A368" t="s">
        <v>8128</v>
      </c>
      <c r="B368" t="s">
        <v>8129</v>
      </c>
      <c r="C368">
        <v>3</v>
      </c>
      <c r="F368">
        <v>2618</v>
      </c>
      <c r="G368" t="s">
        <v>8189</v>
      </c>
    </row>
    <row r="369" spans="1:7">
      <c r="A369" t="s">
        <v>8128</v>
      </c>
      <c r="B369" t="s">
        <v>8129</v>
      </c>
      <c r="C369">
        <v>4</v>
      </c>
      <c r="F369">
        <v>4024</v>
      </c>
      <c r="G369" t="s">
        <v>8189</v>
      </c>
    </row>
    <row r="370" spans="1:7">
      <c r="A370" t="s">
        <v>8128</v>
      </c>
      <c r="B370" t="s">
        <v>8129</v>
      </c>
      <c r="C370">
        <v>5</v>
      </c>
      <c r="F370">
        <v>6642</v>
      </c>
      <c r="G370" t="s">
        <v>8189</v>
      </c>
    </row>
    <row r="371" spans="1:7">
      <c r="A371" t="s">
        <v>8128</v>
      </c>
      <c r="B371" t="s">
        <v>8129</v>
      </c>
      <c r="C371">
        <v>6</v>
      </c>
      <c r="F371">
        <v>9780</v>
      </c>
      <c r="G371" t="s">
        <v>8189</v>
      </c>
    </row>
    <row r="372" spans="1:7">
      <c r="A372" t="s">
        <v>8128</v>
      </c>
      <c r="B372" t="s">
        <v>8129</v>
      </c>
      <c r="C372">
        <v>7</v>
      </c>
      <c r="F372">
        <v>18840</v>
      </c>
      <c r="G372" t="s">
        <v>8189</v>
      </c>
    </row>
    <row r="373" spans="1:7">
      <c r="A373" t="s">
        <v>8131</v>
      </c>
      <c r="B373" t="s">
        <v>8132</v>
      </c>
      <c r="C373">
        <v>1</v>
      </c>
      <c r="F373">
        <v>705</v>
      </c>
      <c r="G373" t="s">
        <v>8189</v>
      </c>
    </row>
    <row r="374" spans="1:7">
      <c r="A374" t="s">
        <v>8131</v>
      </c>
      <c r="B374" t="s">
        <v>8132</v>
      </c>
      <c r="C374">
        <v>2</v>
      </c>
      <c r="F374">
        <v>1475</v>
      </c>
      <c r="G374" t="s">
        <v>8189</v>
      </c>
    </row>
    <row r="375" spans="1:7">
      <c r="A375" t="s">
        <v>8131</v>
      </c>
      <c r="B375" t="s">
        <v>8132</v>
      </c>
      <c r="C375">
        <v>3</v>
      </c>
      <c r="F375">
        <v>2618</v>
      </c>
      <c r="G375" t="s">
        <v>8189</v>
      </c>
    </row>
    <row r="376" spans="1:7">
      <c r="A376" t="s">
        <v>8131</v>
      </c>
      <c r="B376" t="s">
        <v>8132</v>
      </c>
      <c r="C376">
        <v>4</v>
      </c>
      <c r="F376">
        <v>4024</v>
      </c>
      <c r="G376" t="s">
        <v>8189</v>
      </c>
    </row>
    <row r="377" spans="1:7">
      <c r="A377" t="s">
        <v>8131</v>
      </c>
      <c r="B377" t="s">
        <v>8132</v>
      </c>
      <c r="C377">
        <v>5</v>
      </c>
      <c r="F377">
        <v>6642</v>
      </c>
      <c r="G377" t="s">
        <v>8189</v>
      </c>
    </row>
    <row r="378" spans="1:7">
      <c r="A378" t="s">
        <v>8131</v>
      </c>
      <c r="B378" t="s">
        <v>8132</v>
      </c>
      <c r="C378">
        <v>6</v>
      </c>
      <c r="F378">
        <v>9780</v>
      </c>
      <c r="G378" t="s">
        <v>8189</v>
      </c>
    </row>
    <row r="379" spans="1:7">
      <c r="A379" t="s">
        <v>8131</v>
      </c>
      <c r="B379" t="s">
        <v>8132</v>
      </c>
      <c r="C379">
        <v>7</v>
      </c>
      <c r="F379">
        <v>18840</v>
      </c>
      <c r="G379" t="s">
        <v>8189</v>
      </c>
    </row>
    <row r="380" spans="1:7">
      <c r="A380" t="s">
        <v>8134</v>
      </c>
      <c r="B380" t="s">
        <v>8135</v>
      </c>
      <c r="C380">
        <v>1</v>
      </c>
      <c r="F380">
        <v>705</v>
      </c>
      <c r="G380" t="s">
        <v>8189</v>
      </c>
    </row>
    <row r="381" spans="1:7">
      <c r="A381" t="s">
        <v>8134</v>
      </c>
      <c r="B381" t="s">
        <v>8135</v>
      </c>
      <c r="C381">
        <v>2</v>
      </c>
      <c r="F381">
        <v>1475</v>
      </c>
      <c r="G381" t="s">
        <v>8189</v>
      </c>
    </row>
    <row r="382" spans="1:7">
      <c r="A382" t="s">
        <v>8134</v>
      </c>
      <c r="B382" t="s">
        <v>8135</v>
      </c>
      <c r="C382">
        <v>3</v>
      </c>
      <c r="F382">
        <v>2618</v>
      </c>
      <c r="G382" t="s">
        <v>8189</v>
      </c>
    </row>
    <row r="383" spans="1:7">
      <c r="A383" t="s">
        <v>8134</v>
      </c>
      <c r="B383" t="s">
        <v>8135</v>
      </c>
      <c r="C383">
        <v>4</v>
      </c>
      <c r="F383">
        <v>4024</v>
      </c>
      <c r="G383" t="s">
        <v>8189</v>
      </c>
    </row>
    <row r="384" spans="1:7">
      <c r="A384" t="s">
        <v>8134</v>
      </c>
      <c r="B384" t="s">
        <v>8135</v>
      </c>
      <c r="C384">
        <v>5</v>
      </c>
      <c r="F384">
        <v>6642</v>
      </c>
      <c r="G384" t="s">
        <v>8189</v>
      </c>
    </row>
    <row r="385" spans="1:7">
      <c r="A385" t="s">
        <v>8134</v>
      </c>
      <c r="B385" t="s">
        <v>8135</v>
      </c>
      <c r="C385">
        <v>6</v>
      </c>
      <c r="F385">
        <v>9780</v>
      </c>
      <c r="G385" t="s">
        <v>8189</v>
      </c>
    </row>
    <row r="386" spans="1:7">
      <c r="A386" t="s">
        <v>8134</v>
      </c>
      <c r="B386" t="s">
        <v>8135</v>
      </c>
      <c r="C386">
        <v>7</v>
      </c>
      <c r="F386">
        <v>18840</v>
      </c>
      <c r="G386" t="s">
        <v>8189</v>
      </c>
    </row>
    <row r="387" spans="1:7">
      <c r="A387" t="s">
        <v>8137</v>
      </c>
      <c r="B387" t="s">
        <v>8138</v>
      </c>
      <c r="C387">
        <v>1</v>
      </c>
      <c r="F387">
        <v>705</v>
      </c>
      <c r="G387" t="s">
        <v>8189</v>
      </c>
    </row>
    <row r="388" spans="1:7">
      <c r="A388" t="s">
        <v>8137</v>
      </c>
      <c r="B388" t="s">
        <v>8138</v>
      </c>
      <c r="C388">
        <v>2</v>
      </c>
      <c r="F388">
        <v>1475</v>
      </c>
      <c r="G388" t="s">
        <v>8189</v>
      </c>
    </row>
    <row r="389" spans="1:7">
      <c r="A389" t="s">
        <v>8137</v>
      </c>
      <c r="B389" t="s">
        <v>8138</v>
      </c>
      <c r="C389">
        <v>3</v>
      </c>
      <c r="F389">
        <v>2618</v>
      </c>
      <c r="G389" t="s">
        <v>8189</v>
      </c>
    </row>
    <row r="390" spans="1:7">
      <c r="A390" t="s">
        <v>8137</v>
      </c>
      <c r="B390" t="s">
        <v>8138</v>
      </c>
      <c r="C390">
        <v>4</v>
      </c>
      <c r="F390">
        <v>4024</v>
      </c>
      <c r="G390" t="s">
        <v>8189</v>
      </c>
    </row>
    <row r="391" spans="1:7">
      <c r="A391" t="s">
        <v>8137</v>
      </c>
      <c r="B391" t="s">
        <v>8138</v>
      </c>
      <c r="C391">
        <v>5</v>
      </c>
      <c r="F391">
        <v>6642</v>
      </c>
      <c r="G391" t="s">
        <v>8189</v>
      </c>
    </row>
    <row r="392" spans="1:7">
      <c r="A392" t="s">
        <v>8137</v>
      </c>
      <c r="B392" t="s">
        <v>8138</v>
      </c>
      <c r="C392">
        <v>6</v>
      </c>
      <c r="F392">
        <v>9780</v>
      </c>
      <c r="G392" t="s">
        <v>8189</v>
      </c>
    </row>
    <row r="393" spans="1:7">
      <c r="A393" t="s">
        <v>8137</v>
      </c>
      <c r="B393" t="s">
        <v>8138</v>
      </c>
      <c r="C393">
        <v>7</v>
      </c>
      <c r="F393">
        <v>18840</v>
      </c>
      <c r="G393" t="s">
        <v>8189</v>
      </c>
    </row>
    <row r="394" spans="1:7">
      <c r="A394" t="s">
        <v>8140</v>
      </c>
      <c r="B394" t="s">
        <v>8141</v>
      </c>
      <c r="C394">
        <v>1</v>
      </c>
      <c r="F394">
        <v>705</v>
      </c>
      <c r="G394" t="s">
        <v>8189</v>
      </c>
    </row>
    <row r="395" spans="1:7">
      <c r="A395" t="s">
        <v>8140</v>
      </c>
      <c r="B395" t="s">
        <v>8141</v>
      </c>
      <c r="C395">
        <v>2</v>
      </c>
      <c r="F395">
        <v>1475</v>
      </c>
      <c r="G395" t="s">
        <v>8189</v>
      </c>
    </row>
    <row r="396" spans="1:7">
      <c r="A396" t="s">
        <v>8140</v>
      </c>
      <c r="B396" t="s">
        <v>8141</v>
      </c>
      <c r="C396">
        <v>3</v>
      </c>
      <c r="F396">
        <v>2618</v>
      </c>
      <c r="G396" t="s">
        <v>8189</v>
      </c>
    </row>
    <row r="397" spans="1:7">
      <c r="A397" t="s">
        <v>8140</v>
      </c>
      <c r="B397" t="s">
        <v>8141</v>
      </c>
      <c r="C397">
        <v>4</v>
      </c>
      <c r="F397">
        <v>4024</v>
      </c>
      <c r="G397" t="s">
        <v>8189</v>
      </c>
    </row>
    <row r="398" spans="1:7">
      <c r="A398" t="s">
        <v>8140</v>
      </c>
      <c r="B398" t="s">
        <v>8141</v>
      </c>
      <c r="C398">
        <v>5</v>
      </c>
      <c r="F398">
        <v>6642</v>
      </c>
      <c r="G398" t="s">
        <v>8189</v>
      </c>
    </row>
    <row r="399" spans="1:7">
      <c r="A399" t="s">
        <v>8140</v>
      </c>
      <c r="B399" t="s">
        <v>8141</v>
      </c>
      <c r="C399">
        <v>6</v>
      </c>
      <c r="F399">
        <v>9780</v>
      </c>
      <c r="G399" t="s">
        <v>8189</v>
      </c>
    </row>
    <row r="400" spans="1:7">
      <c r="A400" t="s">
        <v>8140</v>
      </c>
      <c r="B400" t="s">
        <v>8141</v>
      </c>
      <c r="C400">
        <v>7</v>
      </c>
      <c r="F400">
        <v>18840</v>
      </c>
      <c r="G400" t="s">
        <v>8189</v>
      </c>
    </row>
    <row r="401" spans="1:7">
      <c r="A401" t="s">
        <v>8143</v>
      </c>
      <c r="B401" t="s">
        <v>8144</v>
      </c>
      <c r="C401">
        <v>1</v>
      </c>
      <c r="F401">
        <v>705</v>
      </c>
      <c r="G401">
        <v>5</v>
      </c>
    </row>
    <row r="402" spans="1:7">
      <c r="A402" t="s">
        <v>8143</v>
      </c>
      <c r="B402" t="s">
        <v>8144</v>
      </c>
      <c r="C402">
        <v>2</v>
      </c>
      <c r="F402">
        <v>1408</v>
      </c>
      <c r="G402">
        <v>5</v>
      </c>
    </row>
    <row r="403" spans="1:7">
      <c r="A403" t="s">
        <v>8143</v>
      </c>
      <c r="B403" t="s">
        <v>8144</v>
      </c>
      <c r="C403">
        <v>3</v>
      </c>
      <c r="F403">
        <v>2438</v>
      </c>
      <c r="G403">
        <v>5</v>
      </c>
    </row>
    <row r="404" spans="1:7">
      <c r="A404" t="s">
        <v>8143</v>
      </c>
      <c r="B404" t="s">
        <v>8144</v>
      </c>
      <c r="C404">
        <v>4</v>
      </c>
      <c r="F404">
        <v>3754</v>
      </c>
      <c r="G404">
        <v>5</v>
      </c>
    </row>
    <row r="405" spans="1:7">
      <c r="A405" t="s">
        <v>8143</v>
      </c>
      <c r="B405" t="s">
        <v>8144</v>
      </c>
      <c r="C405">
        <v>5</v>
      </c>
      <c r="F405">
        <v>6282</v>
      </c>
      <c r="G405">
        <v>5</v>
      </c>
    </row>
    <row r="406" spans="1:7">
      <c r="A406" t="s">
        <v>8143</v>
      </c>
      <c r="B406" t="s">
        <v>8144</v>
      </c>
      <c r="C406">
        <v>6</v>
      </c>
      <c r="F406">
        <v>9030</v>
      </c>
      <c r="G406">
        <v>6</v>
      </c>
    </row>
    <row r="407" spans="1:7">
      <c r="A407" t="s">
        <v>8143</v>
      </c>
      <c r="B407" t="s">
        <v>8144</v>
      </c>
      <c r="C407">
        <v>7</v>
      </c>
      <c r="F407">
        <v>15240</v>
      </c>
      <c r="G407">
        <v>7</v>
      </c>
    </row>
    <row r="408" spans="1:7">
      <c r="A408" t="s">
        <v>8146</v>
      </c>
      <c r="B408" t="s">
        <v>8147</v>
      </c>
      <c r="C408">
        <v>1</v>
      </c>
      <c r="F408">
        <v>705</v>
      </c>
      <c r="G408">
        <v>5</v>
      </c>
    </row>
    <row r="409" spans="1:7">
      <c r="A409" t="s">
        <v>8146</v>
      </c>
      <c r="B409" t="s">
        <v>8147</v>
      </c>
      <c r="C409">
        <v>2</v>
      </c>
      <c r="F409">
        <v>1408</v>
      </c>
      <c r="G409">
        <v>5</v>
      </c>
    </row>
    <row r="410" spans="1:7">
      <c r="A410" t="s">
        <v>8146</v>
      </c>
      <c r="B410" t="s">
        <v>8147</v>
      </c>
      <c r="C410">
        <v>3</v>
      </c>
      <c r="F410">
        <v>2438</v>
      </c>
      <c r="G410">
        <v>5</v>
      </c>
    </row>
    <row r="411" spans="1:7">
      <c r="A411" t="s">
        <v>8146</v>
      </c>
      <c r="B411" t="s">
        <v>8147</v>
      </c>
      <c r="C411">
        <v>4</v>
      </c>
      <c r="F411">
        <v>3754</v>
      </c>
      <c r="G411">
        <v>5</v>
      </c>
    </row>
    <row r="412" spans="1:7">
      <c r="A412" t="s">
        <v>8146</v>
      </c>
      <c r="B412" t="s">
        <v>8147</v>
      </c>
      <c r="C412">
        <v>5</v>
      </c>
      <c r="F412">
        <v>6282</v>
      </c>
      <c r="G412">
        <v>5</v>
      </c>
    </row>
    <row r="413" spans="1:7">
      <c r="A413" t="s">
        <v>8146</v>
      </c>
      <c r="B413" t="s">
        <v>8147</v>
      </c>
      <c r="C413">
        <v>6</v>
      </c>
      <c r="F413">
        <v>9030</v>
      </c>
      <c r="G413">
        <v>6</v>
      </c>
    </row>
    <row r="414" spans="1:7">
      <c r="A414" t="s">
        <v>8146</v>
      </c>
      <c r="B414" t="s">
        <v>8147</v>
      </c>
      <c r="C414">
        <v>7</v>
      </c>
      <c r="F414">
        <v>15240</v>
      </c>
      <c r="G414">
        <v>7</v>
      </c>
    </row>
    <row r="415" spans="1:7">
      <c r="A415" t="s">
        <v>8149</v>
      </c>
      <c r="B415" t="s">
        <v>8150</v>
      </c>
      <c r="C415">
        <v>1</v>
      </c>
      <c r="F415">
        <v>705</v>
      </c>
      <c r="G415">
        <v>5</v>
      </c>
    </row>
    <row r="416" spans="1:7">
      <c r="A416" t="s">
        <v>8149</v>
      </c>
      <c r="B416" t="s">
        <v>8150</v>
      </c>
      <c r="C416">
        <v>2</v>
      </c>
      <c r="F416">
        <v>1408</v>
      </c>
      <c r="G416">
        <v>5</v>
      </c>
    </row>
    <row r="417" spans="1:7">
      <c r="A417" t="s">
        <v>8149</v>
      </c>
      <c r="B417" t="s">
        <v>8150</v>
      </c>
      <c r="C417">
        <v>3</v>
      </c>
      <c r="F417">
        <v>2438</v>
      </c>
      <c r="G417">
        <v>5</v>
      </c>
    </row>
    <row r="418" spans="1:7">
      <c r="A418" t="s">
        <v>8149</v>
      </c>
      <c r="B418" t="s">
        <v>8150</v>
      </c>
      <c r="C418">
        <v>4</v>
      </c>
      <c r="F418">
        <v>3754</v>
      </c>
      <c r="G418">
        <v>5</v>
      </c>
    </row>
    <row r="419" spans="1:7">
      <c r="A419" t="s">
        <v>8149</v>
      </c>
      <c r="B419" t="s">
        <v>8150</v>
      </c>
      <c r="C419">
        <v>5</v>
      </c>
      <c r="F419">
        <v>6282</v>
      </c>
      <c r="G419">
        <v>5</v>
      </c>
    </row>
    <row r="420" spans="1:7">
      <c r="A420" t="s">
        <v>8149</v>
      </c>
      <c r="B420" t="s">
        <v>8150</v>
      </c>
      <c r="C420">
        <v>6</v>
      </c>
      <c r="F420">
        <v>9030</v>
      </c>
      <c r="G420">
        <v>6</v>
      </c>
    </row>
    <row r="421" spans="1:7">
      <c r="A421" t="s">
        <v>8149</v>
      </c>
      <c r="B421" t="s">
        <v>8150</v>
      </c>
      <c r="C421">
        <v>7</v>
      </c>
      <c r="F421">
        <v>15240</v>
      </c>
      <c r="G421">
        <v>7</v>
      </c>
    </row>
    <row r="422" spans="1:7">
      <c r="A422" t="s">
        <v>8152</v>
      </c>
      <c r="B422" t="s">
        <v>8153</v>
      </c>
      <c r="C422">
        <v>1</v>
      </c>
      <c r="F422">
        <v>705</v>
      </c>
      <c r="G422">
        <v>5</v>
      </c>
    </row>
    <row r="423" spans="1:7">
      <c r="A423" t="s">
        <v>8152</v>
      </c>
      <c r="B423" t="s">
        <v>8153</v>
      </c>
      <c r="C423">
        <v>2</v>
      </c>
      <c r="F423">
        <v>1408</v>
      </c>
      <c r="G423">
        <v>5</v>
      </c>
    </row>
    <row r="424" spans="1:7">
      <c r="A424" t="s">
        <v>8152</v>
      </c>
      <c r="B424" t="s">
        <v>8153</v>
      </c>
      <c r="C424">
        <v>3</v>
      </c>
      <c r="F424">
        <v>2438</v>
      </c>
      <c r="G424">
        <v>5</v>
      </c>
    </row>
    <row r="425" spans="1:7">
      <c r="A425" t="s">
        <v>8152</v>
      </c>
      <c r="B425" t="s">
        <v>8153</v>
      </c>
      <c r="C425">
        <v>4</v>
      </c>
      <c r="F425">
        <v>3754</v>
      </c>
      <c r="G425">
        <v>5</v>
      </c>
    </row>
    <row r="426" spans="1:7">
      <c r="A426" t="s">
        <v>8152</v>
      </c>
      <c r="B426" t="s">
        <v>8153</v>
      </c>
      <c r="C426">
        <v>5</v>
      </c>
      <c r="F426">
        <v>6282</v>
      </c>
      <c r="G426">
        <v>5</v>
      </c>
    </row>
    <row r="427" spans="1:7">
      <c r="A427" t="s">
        <v>8152</v>
      </c>
      <c r="B427" t="s">
        <v>8153</v>
      </c>
      <c r="C427">
        <v>6</v>
      </c>
      <c r="F427">
        <v>9030</v>
      </c>
      <c r="G427">
        <v>6</v>
      </c>
    </row>
    <row r="428" spans="1:7">
      <c r="A428" t="s">
        <v>8152</v>
      </c>
      <c r="B428" t="s">
        <v>8153</v>
      </c>
      <c r="C428">
        <v>7</v>
      </c>
      <c r="F428">
        <v>15240</v>
      </c>
      <c r="G428">
        <v>7</v>
      </c>
    </row>
    <row r="429" spans="1:7">
      <c r="A429" t="s">
        <v>8155</v>
      </c>
      <c r="B429" t="s">
        <v>8156</v>
      </c>
      <c r="C429">
        <v>1</v>
      </c>
      <c r="F429">
        <v>705</v>
      </c>
      <c r="G429">
        <v>5</v>
      </c>
    </row>
    <row r="430" spans="1:7">
      <c r="A430" t="s">
        <v>8155</v>
      </c>
      <c r="B430" t="s">
        <v>8156</v>
      </c>
      <c r="C430">
        <v>2</v>
      </c>
      <c r="F430">
        <v>1408</v>
      </c>
      <c r="G430">
        <v>5</v>
      </c>
    </row>
    <row r="431" spans="1:7">
      <c r="A431" t="s">
        <v>8155</v>
      </c>
      <c r="B431" t="s">
        <v>8156</v>
      </c>
      <c r="C431">
        <v>3</v>
      </c>
      <c r="F431">
        <v>2438</v>
      </c>
      <c r="G431">
        <v>5</v>
      </c>
    </row>
    <row r="432" spans="1:7">
      <c r="A432" t="s">
        <v>8155</v>
      </c>
      <c r="B432" t="s">
        <v>8156</v>
      </c>
      <c r="C432">
        <v>4</v>
      </c>
      <c r="F432">
        <v>3754</v>
      </c>
      <c r="G432">
        <v>5</v>
      </c>
    </row>
    <row r="433" spans="1:7">
      <c r="A433" t="s">
        <v>8155</v>
      </c>
      <c r="B433" t="s">
        <v>8156</v>
      </c>
      <c r="C433">
        <v>5</v>
      </c>
      <c r="F433">
        <v>6282</v>
      </c>
      <c r="G433">
        <v>5</v>
      </c>
    </row>
    <row r="434" spans="1:7">
      <c r="A434" t="s">
        <v>8155</v>
      </c>
      <c r="B434" t="s">
        <v>8156</v>
      </c>
      <c r="C434">
        <v>6</v>
      </c>
      <c r="F434">
        <v>9030</v>
      </c>
      <c r="G434">
        <v>6</v>
      </c>
    </row>
    <row r="435" spans="1:7">
      <c r="A435" t="s">
        <v>8155</v>
      </c>
      <c r="B435" t="s">
        <v>8156</v>
      </c>
      <c r="C435">
        <v>7</v>
      </c>
      <c r="F435">
        <v>15240</v>
      </c>
      <c r="G435">
        <v>7</v>
      </c>
    </row>
    <row r="436" spans="1:7">
      <c r="A436" t="s">
        <v>8158</v>
      </c>
      <c r="B436" t="s">
        <v>8159</v>
      </c>
      <c r="C436">
        <v>1</v>
      </c>
      <c r="F436">
        <v>705</v>
      </c>
      <c r="G436">
        <v>5</v>
      </c>
    </row>
    <row r="437" spans="1:7">
      <c r="A437" t="s">
        <v>8158</v>
      </c>
      <c r="B437" t="s">
        <v>8159</v>
      </c>
      <c r="C437">
        <v>2</v>
      </c>
      <c r="F437">
        <v>1408</v>
      </c>
      <c r="G437">
        <v>5</v>
      </c>
    </row>
    <row r="438" spans="1:7">
      <c r="A438" t="s">
        <v>8158</v>
      </c>
      <c r="B438" t="s">
        <v>8159</v>
      </c>
      <c r="C438">
        <v>3</v>
      </c>
      <c r="F438">
        <v>2438</v>
      </c>
      <c r="G438">
        <v>5</v>
      </c>
    </row>
    <row r="439" spans="1:7">
      <c r="A439" t="s">
        <v>8158</v>
      </c>
      <c r="B439" t="s">
        <v>8159</v>
      </c>
      <c r="C439">
        <v>4</v>
      </c>
      <c r="F439">
        <v>3754</v>
      </c>
      <c r="G439">
        <v>5</v>
      </c>
    </row>
    <row r="440" spans="1:7">
      <c r="A440" t="s">
        <v>8158</v>
      </c>
      <c r="B440" t="s">
        <v>8159</v>
      </c>
      <c r="C440">
        <v>5</v>
      </c>
      <c r="F440">
        <v>6282</v>
      </c>
      <c r="G440">
        <v>5</v>
      </c>
    </row>
    <row r="441" spans="1:7">
      <c r="A441" t="s">
        <v>8158</v>
      </c>
      <c r="B441" t="s">
        <v>8159</v>
      </c>
      <c r="C441">
        <v>6</v>
      </c>
      <c r="F441">
        <v>9030</v>
      </c>
      <c r="G441">
        <v>6</v>
      </c>
    </row>
    <row r="442" spans="1:7">
      <c r="A442" t="s">
        <v>8158</v>
      </c>
      <c r="B442" t="s">
        <v>8159</v>
      </c>
      <c r="C442">
        <v>7</v>
      </c>
      <c r="F442">
        <v>15240</v>
      </c>
      <c r="G442">
        <v>7</v>
      </c>
    </row>
    <row r="443" spans="1:7">
      <c r="A443" t="s">
        <v>8161</v>
      </c>
      <c r="B443" t="s">
        <v>8162</v>
      </c>
      <c r="C443">
        <v>1</v>
      </c>
      <c r="F443">
        <v>705</v>
      </c>
      <c r="G443">
        <v>5</v>
      </c>
    </row>
    <row r="444" spans="1:7">
      <c r="A444" t="s">
        <v>8161</v>
      </c>
      <c r="B444" t="s">
        <v>8162</v>
      </c>
      <c r="C444">
        <v>2</v>
      </c>
      <c r="F444">
        <v>1408</v>
      </c>
      <c r="G444">
        <v>5</v>
      </c>
    </row>
    <row r="445" spans="1:7">
      <c r="A445" t="s">
        <v>8161</v>
      </c>
      <c r="B445" t="s">
        <v>8162</v>
      </c>
      <c r="C445">
        <v>3</v>
      </c>
      <c r="F445">
        <v>2438</v>
      </c>
      <c r="G445">
        <v>5</v>
      </c>
    </row>
    <row r="446" spans="1:7">
      <c r="A446" t="s">
        <v>8161</v>
      </c>
      <c r="B446" t="s">
        <v>8162</v>
      </c>
      <c r="C446">
        <v>4</v>
      </c>
      <c r="F446">
        <v>3754</v>
      </c>
      <c r="G446">
        <v>5</v>
      </c>
    </row>
    <row r="447" spans="1:7">
      <c r="A447" t="s">
        <v>8161</v>
      </c>
      <c r="B447" t="s">
        <v>8162</v>
      </c>
      <c r="C447">
        <v>5</v>
      </c>
      <c r="F447">
        <v>6282</v>
      </c>
      <c r="G447">
        <v>5</v>
      </c>
    </row>
    <row r="448" spans="1:7">
      <c r="A448" t="s">
        <v>8161</v>
      </c>
      <c r="B448" t="s">
        <v>8162</v>
      </c>
      <c r="C448">
        <v>6</v>
      </c>
      <c r="F448">
        <v>9030</v>
      </c>
      <c r="G448">
        <v>6</v>
      </c>
    </row>
    <row r="449" spans="1:7">
      <c r="A449" t="s">
        <v>8161</v>
      </c>
      <c r="B449" t="s">
        <v>8162</v>
      </c>
      <c r="C449">
        <v>7</v>
      </c>
      <c r="F449">
        <v>15240</v>
      </c>
      <c r="G449">
        <v>7</v>
      </c>
    </row>
    <row r="450" spans="1:7">
      <c r="A450" t="s">
        <v>8164</v>
      </c>
      <c r="B450" t="s">
        <v>8165</v>
      </c>
      <c r="C450">
        <v>1</v>
      </c>
      <c r="F450">
        <v>705</v>
      </c>
      <c r="G450">
        <v>5</v>
      </c>
    </row>
    <row r="451" spans="1:7">
      <c r="A451" t="s">
        <v>8164</v>
      </c>
      <c r="B451" t="s">
        <v>8165</v>
      </c>
      <c r="C451">
        <v>2</v>
      </c>
      <c r="F451">
        <v>1408</v>
      </c>
      <c r="G451">
        <v>5</v>
      </c>
    </row>
    <row r="452" spans="1:7">
      <c r="A452" t="s">
        <v>8164</v>
      </c>
      <c r="B452" t="s">
        <v>8165</v>
      </c>
      <c r="C452">
        <v>3</v>
      </c>
      <c r="F452">
        <v>2438</v>
      </c>
      <c r="G452">
        <v>5</v>
      </c>
    </row>
    <row r="453" spans="1:7">
      <c r="A453" t="s">
        <v>8164</v>
      </c>
      <c r="B453" t="s">
        <v>8165</v>
      </c>
      <c r="C453">
        <v>4</v>
      </c>
      <c r="F453">
        <v>3754</v>
      </c>
      <c r="G453">
        <v>5</v>
      </c>
    </row>
    <row r="454" spans="1:7">
      <c r="A454" t="s">
        <v>8164</v>
      </c>
      <c r="B454" t="s">
        <v>8165</v>
      </c>
      <c r="C454">
        <v>5</v>
      </c>
      <c r="F454">
        <v>6282</v>
      </c>
      <c r="G454">
        <v>5</v>
      </c>
    </row>
    <row r="455" spans="1:7">
      <c r="A455" t="s">
        <v>8164</v>
      </c>
      <c r="B455" t="s">
        <v>8165</v>
      </c>
      <c r="C455">
        <v>6</v>
      </c>
      <c r="F455">
        <v>9030</v>
      </c>
      <c r="G455">
        <v>6</v>
      </c>
    </row>
    <row r="456" spans="1:7">
      <c r="A456" t="s">
        <v>8164</v>
      </c>
      <c r="B456" t="s">
        <v>8165</v>
      </c>
      <c r="C456">
        <v>7</v>
      </c>
      <c r="F456">
        <v>15240</v>
      </c>
      <c r="G456">
        <v>7</v>
      </c>
    </row>
    <row r="457" spans="1:7">
      <c r="A457" t="s">
        <v>8167</v>
      </c>
      <c r="B457" t="s">
        <v>8168</v>
      </c>
      <c r="C457">
        <v>1</v>
      </c>
      <c r="F457">
        <v>705</v>
      </c>
      <c r="G457">
        <v>5</v>
      </c>
    </row>
    <row r="458" spans="1:7">
      <c r="A458" t="s">
        <v>8167</v>
      </c>
      <c r="B458" t="s">
        <v>8168</v>
      </c>
      <c r="C458">
        <v>2</v>
      </c>
      <c r="F458">
        <v>1408</v>
      </c>
      <c r="G458">
        <v>5</v>
      </c>
    </row>
    <row r="459" spans="1:7">
      <c r="A459" t="s">
        <v>8167</v>
      </c>
      <c r="B459" t="s">
        <v>8168</v>
      </c>
      <c r="C459">
        <v>3</v>
      </c>
      <c r="F459">
        <v>2438</v>
      </c>
      <c r="G459">
        <v>5</v>
      </c>
    </row>
    <row r="460" spans="1:7">
      <c r="A460" t="s">
        <v>8167</v>
      </c>
      <c r="B460" t="s">
        <v>8168</v>
      </c>
      <c r="C460">
        <v>4</v>
      </c>
      <c r="F460">
        <v>3754</v>
      </c>
      <c r="G460">
        <v>5</v>
      </c>
    </row>
    <row r="461" spans="1:7">
      <c r="A461" t="s">
        <v>8167</v>
      </c>
      <c r="B461" t="s">
        <v>8168</v>
      </c>
      <c r="C461">
        <v>5</v>
      </c>
      <c r="F461">
        <v>6282</v>
      </c>
      <c r="G461">
        <v>5</v>
      </c>
    </row>
    <row r="462" spans="1:7">
      <c r="A462" t="s">
        <v>8167</v>
      </c>
      <c r="B462" t="s">
        <v>8168</v>
      </c>
      <c r="C462">
        <v>6</v>
      </c>
      <c r="F462">
        <v>9030</v>
      </c>
      <c r="G462">
        <v>6</v>
      </c>
    </row>
    <row r="463" spans="1:7">
      <c r="A463" t="s">
        <v>8167</v>
      </c>
      <c r="B463" t="s">
        <v>8168</v>
      </c>
      <c r="C463">
        <v>7</v>
      </c>
      <c r="F463">
        <v>15240</v>
      </c>
      <c r="G463">
        <v>7</v>
      </c>
    </row>
    <row r="464" spans="1:7">
      <c r="A464" t="s">
        <v>8170</v>
      </c>
      <c r="B464" t="s">
        <v>8171</v>
      </c>
      <c r="C464">
        <v>1</v>
      </c>
      <c r="F464">
        <v>705</v>
      </c>
      <c r="G464">
        <v>5</v>
      </c>
    </row>
    <row r="465" spans="1:7">
      <c r="A465" t="s">
        <v>8170</v>
      </c>
      <c r="B465" t="s">
        <v>8171</v>
      </c>
      <c r="C465">
        <v>2</v>
      </c>
      <c r="F465">
        <v>1408</v>
      </c>
      <c r="G465">
        <v>5</v>
      </c>
    </row>
    <row r="466" spans="1:7">
      <c r="A466" t="s">
        <v>8170</v>
      </c>
      <c r="B466" t="s">
        <v>8171</v>
      </c>
      <c r="C466">
        <v>3</v>
      </c>
      <c r="F466">
        <v>2438</v>
      </c>
      <c r="G466">
        <v>5</v>
      </c>
    </row>
    <row r="467" spans="1:7">
      <c r="A467" t="s">
        <v>8170</v>
      </c>
      <c r="B467" t="s">
        <v>8171</v>
      </c>
      <c r="C467">
        <v>4</v>
      </c>
      <c r="F467">
        <v>3754</v>
      </c>
      <c r="G467">
        <v>5</v>
      </c>
    </row>
    <row r="468" spans="1:7">
      <c r="A468" t="s">
        <v>8170</v>
      </c>
      <c r="B468" t="s">
        <v>8171</v>
      </c>
      <c r="C468">
        <v>5</v>
      </c>
      <c r="F468">
        <v>6282</v>
      </c>
      <c r="G468">
        <v>5</v>
      </c>
    </row>
    <row r="469" spans="1:7">
      <c r="A469" t="s">
        <v>8170</v>
      </c>
      <c r="B469" t="s">
        <v>8171</v>
      </c>
      <c r="C469">
        <v>6</v>
      </c>
      <c r="F469">
        <v>9030</v>
      </c>
      <c r="G469">
        <v>6</v>
      </c>
    </row>
    <row r="470" spans="1:7">
      <c r="A470" t="s">
        <v>8170</v>
      </c>
      <c r="B470" t="s">
        <v>8171</v>
      </c>
      <c r="C470">
        <v>7</v>
      </c>
      <c r="F470">
        <v>15240</v>
      </c>
      <c r="G470">
        <v>7</v>
      </c>
    </row>
    <row r="471" spans="1:7">
      <c r="A471" t="s">
        <v>8173</v>
      </c>
      <c r="B471" t="s">
        <v>8174</v>
      </c>
      <c r="C471">
        <v>1</v>
      </c>
      <c r="D471">
        <v>120</v>
      </c>
      <c r="E471">
        <v>3</v>
      </c>
      <c r="F471">
        <v>501</v>
      </c>
      <c r="G471">
        <v>5</v>
      </c>
    </row>
    <row r="472" spans="1:7">
      <c r="A472" t="s">
        <v>8173</v>
      </c>
      <c r="B472" t="s">
        <v>8174</v>
      </c>
      <c r="C472">
        <v>2</v>
      </c>
      <c r="D472">
        <v>372</v>
      </c>
      <c r="E472">
        <v>3</v>
      </c>
      <c r="F472">
        <v>951</v>
      </c>
      <c r="G472">
        <v>5</v>
      </c>
    </row>
    <row r="473" spans="1:7">
      <c r="A473" t="s">
        <v>8173</v>
      </c>
      <c r="B473" t="s">
        <v>8174</v>
      </c>
      <c r="C473">
        <v>3</v>
      </c>
      <c r="D473">
        <v>932</v>
      </c>
      <c r="E473">
        <v>3</v>
      </c>
      <c r="F473">
        <v>1674</v>
      </c>
      <c r="G473">
        <v>5</v>
      </c>
    </row>
    <row r="474" spans="1:7">
      <c r="A474" t="s">
        <v>8173</v>
      </c>
      <c r="B474" t="s">
        <v>8174</v>
      </c>
      <c r="C474">
        <v>4</v>
      </c>
      <c r="D474">
        <v>1480</v>
      </c>
      <c r="E474">
        <v>4</v>
      </c>
      <c r="F474">
        <v>2648</v>
      </c>
      <c r="G474">
        <v>5</v>
      </c>
    </row>
    <row r="475" spans="1:7">
      <c r="A475" t="s">
        <v>8173</v>
      </c>
      <c r="B475" t="s">
        <v>8174</v>
      </c>
      <c r="C475">
        <v>5</v>
      </c>
      <c r="D475">
        <v>2370</v>
      </c>
      <c r="E475">
        <v>5</v>
      </c>
      <c r="F475">
        <v>4290</v>
      </c>
      <c r="G475">
        <v>5</v>
      </c>
    </row>
    <row r="476" spans="1:7">
      <c r="A476" t="s">
        <v>8173</v>
      </c>
      <c r="B476" t="s">
        <v>8174</v>
      </c>
      <c r="C476">
        <v>6</v>
      </c>
      <c r="D476">
        <v>4060</v>
      </c>
      <c r="E476">
        <v>6</v>
      </c>
      <c r="F476">
        <v>7220</v>
      </c>
      <c r="G476">
        <v>6</v>
      </c>
    </row>
    <row r="477" spans="1:7">
      <c r="A477" t="s">
        <v>8173</v>
      </c>
      <c r="B477" t="s">
        <v>8174</v>
      </c>
      <c r="C477">
        <v>7</v>
      </c>
      <c r="D477">
        <v>10120</v>
      </c>
      <c r="E477">
        <v>7</v>
      </c>
      <c r="F477">
        <v>16040</v>
      </c>
      <c r="G477">
        <v>7</v>
      </c>
    </row>
    <row r="478" spans="1:7">
      <c r="A478" t="s">
        <v>8177</v>
      </c>
      <c r="B478" t="s">
        <v>1994</v>
      </c>
      <c r="C478">
        <v>1</v>
      </c>
      <c r="D478">
        <v>76</v>
      </c>
      <c r="E478">
        <v>3</v>
      </c>
      <c r="F478">
        <v>525</v>
      </c>
      <c r="G478">
        <v>5</v>
      </c>
    </row>
    <row r="479" spans="1:7">
      <c r="A479" t="s">
        <v>8177</v>
      </c>
      <c r="B479" t="s">
        <v>1994</v>
      </c>
      <c r="C479">
        <v>2</v>
      </c>
      <c r="D479">
        <v>218</v>
      </c>
      <c r="E479">
        <v>3</v>
      </c>
      <c r="F479">
        <v>975</v>
      </c>
      <c r="G479">
        <v>5</v>
      </c>
    </row>
    <row r="480" spans="1:7">
      <c r="A480" t="s">
        <v>8177</v>
      </c>
      <c r="B480" t="s">
        <v>1994</v>
      </c>
      <c r="C480">
        <v>3</v>
      </c>
      <c r="D480">
        <v>552</v>
      </c>
      <c r="E480">
        <v>3</v>
      </c>
      <c r="F480">
        <v>1730</v>
      </c>
      <c r="G480">
        <v>5</v>
      </c>
    </row>
    <row r="481" spans="1:7">
      <c r="A481" t="s">
        <v>8177</v>
      </c>
      <c r="B481" t="s">
        <v>1994</v>
      </c>
      <c r="C481">
        <v>4</v>
      </c>
      <c r="D481">
        <v>920</v>
      </c>
      <c r="E481">
        <v>4</v>
      </c>
      <c r="F481">
        <v>2368</v>
      </c>
      <c r="G481">
        <v>5</v>
      </c>
    </row>
    <row r="482" spans="1:7">
      <c r="A482" t="s">
        <v>8177</v>
      </c>
      <c r="B482" t="s">
        <v>1994</v>
      </c>
      <c r="C482">
        <v>5</v>
      </c>
      <c r="D482">
        <v>1590</v>
      </c>
      <c r="E482">
        <v>5</v>
      </c>
      <c r="F482">
        <v>3450</v>
      </c>
      <c r="G482">
        <v>5</v>
      </c>
    </row>
    <row r="483" spans="1:7">
      <c r="A483" t="s">
        <v>8177</v>
      </c>
      <c r="B483" t="s">
        <v>1994</v>
      </c>
      <c r="C483">
        <v>6</v>
      </c>
      <c r="D483">
        <v>3020</v>
      </c>
      <c r="E483">
        <v>6</v>
      </c>
      <c r="F483">
        <v>5860</v>
      </c>
      <c r="G483">
        <v>6</v>
      </c>
    </row>
    <row r="484" spans="1:7">
      <c r="A484" t="s">
        <v>8177</v>
      </c>
      <c r="B484" t="s">
        <v>1994</v>
      </c>
      <c r="C484">
        <v>7</v>
      </c>
      <c r="D484">
        <v>8780</v>
      </c>
      <c r="E484">
        <v>7</v>
      </c>
      <c r="F484">
        <v>14080</v>
      </c>
      <c r="G484">
        <v>7</v>
      </c>
    </row>
    <row r="485" spans="1:7">
      <c r="A485" t="s">
        <v>8179</v>
      </c>
      <c r="B485" t="s">
        <v>2202</v>
      </c>
      <c r="C485">
        <v>1</v>
      </c>
      <c r="D485">
        <v>98</v>
      </c>
      <c r="E485">
        <v>3</v>
      </c>
      <c r="F485">
        <v>477</v>
      </c>
      <c r="G485">
        <v>5</v>
      </c>
    </row>
    <row r="486" spans="1:7">
      <c r="A486" t="s">
        <v>8179</v>
      </c>
      <c r="B486" t="s">
        <v>2202</v>
      </c>
      <c r="C486">
        <v>2</v>
      </c>
      <c r="D486">
        <v>284</v>
      </c>
      <c r="E486">
        <v>3</v>
      </c>
      <c r="F486">
        <v>905</v>
      </c>
      <c r="G486">
        <v>5</v>
      </c>
    </row>
    <row r="487" spans="1:7">
      <c r="A487" t="s">
        <v>8179</v>
      </c>
      <c r="B487" t="s">
        <v>2202</v>
      </c>
      <c r="C487">
        <v>3</v>
      </c>
      <c r="D487">
        <v>704</v>
      </c>
      <c r="E487">
        <v>3</v>
      </c>
      <c r="F487">
        <v>1522</v>
      </c>
      <c r="G487">
        <v>5</v>
      </c>
    </row>
    <row r="488" spans="1:7">
      <c r="A488" t="s">
        <v>8179</v>
      </c>
      <c r="B488" t="s">
        <v>2202</v>
      </c>
      <c r="C488">
        <v>4</v>
      </c>
      <c r="D488">
        <v>1144</v>
      </c>
      <c r="E488">
        <v>4</v>
      </c>
      <c r="F488">
        <v>2200</v>
      </c>
      <c r="G488">
        <v>5</v>
      </c>
    </row>
    <row r="489" spans="1:7">
      <c r="A489" t="s">
        <v>8179</v>
      </c>
      <c r="B489" t="s">
        <v>2202</v>
      </c>
      <c r="C489">
        <v>5</v>
      </c>
      <c r="D489">
        <v>1902</v>
      </c>
      <c r="E489">
        <v>5</v>
      </c>
      <c r="F489">
        <v>3354</v>
      </c>
      <c r="G489">
        <v>5</v>
      </c>
    </row>
    <row r="490" spans="1:7">
      <c r="A490" t="s">
        <v>8179</v>
      </c>
      <c r="B490" t="s">
        <v>2202</v>
      </c>
      <c r="C490">
        <v>6</v>
      </c>
      <c r="D490">
        <v>3436</v>
      </c>
      <c r="E490">
        <v>6</v>
      </c>
      <c r="F490">
        <v>5972</v>
      </c>
      <c r="G490">
        <v>6</v>
      </c>
    </row>
    <row r="491" spans="1:7">
      <c r="A491" t="s">
        <v>8179</v>
      </c>
      <c r="B491" t="s">
        <v>2202</v>
      </c>
      <c r="C491">
        <v>7</v>
      </c>
      <c r="D491">
        <v>9316</v>
      </c>
      <c r="E491">
        <v>7</v>
      </c>
      <c r="F491">
        <v>14432</v>
      </c>
      <c r="G491">
        <v>7</v>
      </c>
    </row>
    <row r="492" spans="1:7">
      <c r="A492" t="s">
        <v>8181</v>
      </c>
      <c r="B492" t="s">
        <v>2015</v>
      </c>
      <c r="C492">
        <v>1</v>
      </c>
      <c r="D492">
        <v>461</v>
      </c>
      <c r="E492">
        <v>3</v>
      </c>
      <c r="F492">
        <v>837</v>
      </c>
      <c r="G492">
        <v>5</v>
      </c>
    </row>
    <row r="493" spans="1:7">
      <c r="A493" t="s">
        <v>8181</v>
      </c>
      <c r="B493" t="s">
        <v>2015</v>
      </c>
      <c r="C493">
        <v>2</v>
      </c>
      <c r="D493">
        <v>1384</v>
      </c>
      <c r="E493">
        <v>3</v>
      </c>
      <c r="F493">
        <v>1917</v>
      </c>
      <c r="G493">
        <v>5</v>
      </c>
    </row>
    <row r="494" spans="1:7">
      <c r="A494" t="s">
        <v>8181</v>
      </c>
      <c r="B494" t="s">
        <v>2015</v>
      </c>
      <c r="C494">
        <v>3</v>
      </c>
      <c r="D494">
        <v>3554</v>
      </c>
      <c r="E494">
        <v>3</v>
      </c>
      <c r="F494">
        <v>4030</v>
      </c>
      <c r="G494">
        <v>5</v>
      </c>
    </row>
    <row r="495" spans="1:7">
      <c r="A495" t="s">
        <v>8181</v>
      </c>
      <c r="B495" t="s">
        <v>2015</v>
      </c>
      <c r="C495">
        <v>4</v>
      </c>
      <c r="D495">
        <v>5344</v>
      </c>
      <c r="E495">
        <v>4</v>
      </c>
      <c r="F495">
        <v>7800</v>
      </c>
      <c r="G495">
        <v>5</v>
      </c>
    </row>
    <row r="496" spans="1:7">
      <c r="A496" t="s">
        <v>8181</v>
      </c>
      <c r="B496" t="s">
        <v>2015</v>
      </c>
      <c r="C496">
        <v>5</v>
      </c>
      <c r="D496">
        <v>7752</v>
      </c>
      <c r="E496">
        <v>5</v>
      </c>
      <c r="F496">
        <v>15054</v>
      </c>
      <c r="G496">
        <v>5</v>
      </c>
    </row>
    <row r="497" spans="1:7">
      <c r="A497" t="s">
        <v>8181</v>
      </c>
      <c r="B497" t="s">
        <v>2015</v>
      </c>
      <c r="C497">
        <v>6</v>
      </c>
      <c r="D497">
        <v>11236</v>
      </c>
      <c r="E497">
        <v>6</v>
      </c>
      <c r="F497">
        <v>21572</v>
      </c>
      <c r="G497">
        <v>6</v>
      </c>
    </row>
    <row r="498" spans="1:7">
      <c r="A498" t="s">
        <v>8181</v>
      </c>
      <c r="B498" t="s">
        <v>2015</v>
      </c>
      <c r="C498">
        <v>7</v>
      </c>
      <c r="D498">
        <v>19366</v>
      </c>
      <c r="E498">
        <v>7</v>
      </c>
      <c r="F498">
        <v>34532</v>
      </c>
      <c r="G498">
        <v>7</v>
      </c>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36"/>
  <sheetViews>
    <sheetView workbookViewId="0"/>
  </sheetViews>
  <sheetFormatPr baseColWidth="10" defaultColWidth="9.140625" defaultRowHeight="15"/>
  <sheetData>
    <row r="1" spans="1:3">
      <c r="A1" t="s">
        <v>1</v>
      </c>
      <c r="B1" t="s">
        <v>8190</v>
      </c>
      <c r="C1" t="s">
        <v>8191</v>
      </c>
    </row>
    <row r="2" spans="1:3">
      <c r="A2" t="s">
        <v>8192</v>
      </c>
      <c r="B2" t="s">
        <v>8193</v>
      </c>
      <c r="C2">
        <v>0.5</v>
      </c>
    </row>
    <row r="3" spans="1:3">
      <c r="A3" t="s">
        <v>8192</v>
      </c>
      <c r="B3" t="s">
        <v>8194</v>
      </c>
      <c r="C3">
        <v>0.75</v>
      </c>
    </row>
    <row r="4" spans="1:3">
      <c r="A4" t="s">
        <v>8192</v>
      </c>
      <c r="B4" t="s">
        <v>8195</v>
      </c>
      <c r="C4">
        <v>1</v>
      </c>
    </row>
    <row r="5" spans="1:3">
      <c r="A5" t="s">
        <v>8192</v>
      </c>
      <c r="B5" t="s">
        <v>8196</v>
      </c>
      <c r="C5">
        <v>1.5</v>
      </c>
    </row>
    <row r="6" spans="1:3">
      <c r="A6" t="s">
        <v>8192</v>
      </c>
      <c r="B6" t="s">
        <v>8197</v>
      </c>
      <c r="C6">
        <v>2</v>
      </c>
    </row>
    <row r="7" spans="1:3">
      <c r="A7" t="s">
        <v>8198</v>
      </c>
      <c r="B7" t="s">
        <v>8199</v>
      </c>
      <c r="C7">
        <v>0</v>
      </c>
    </row>
    <row r="8" spans="1:3">
      <c r="A8" t="s">
        <v>8198</v>
      </c>
      <c r="B8" t="s">
        <v>8200</v>
      </c>
      <c r="C8">
        <v>0.4</v>
      </c>
    </row>
    <row r="9" spans="1:3">
      <c r="A9" t="s">
        <v>8198</v>
      </c>
      <c r="B9" t="s">
        <v>8201</v>
      </c>
      <c r="C9">
        <v>0.7</v>
      </c>
    </row>
    <row r="10" spans="1:3">
      <c r="A10" t="s">
        <v>8198</v>
      </c>
      <c r="B10" t="s">
        <v>8202</v>
      </c>
      <c r="C10">
        <v>1</v>
      </c>
    </row>
    <row r="11" spans="1:3">
      <c r="A11" t="s">
        <v>8198</v>
      </c>
      <c r="B11" t="s">
        <v>8203</v>
      </c>
      <c r="C11">
        <v>1.1000000000000001</v>
      </c>
    </row>
    <row r="12" spans="1:3">
      <c r="A12" t="s">
        <v>8198</v>
      </c>
      <c r="B12" t="s">
        <v>8204</v>
      </c>
      <c r="C12">
        <v>1.25</v>
      </c>
    </row>
    <row r="13" spans="1:3">
      <c r="A13" t="s">
        <v>8198</v>
      </c>
      <c r="B13" t="s">
        <v>8205</v>
      </c>
      <c r="C13">
        <v>1.4</v>
      </c>
    </row>
    <row r="14" spans="1:3">
      <c r="A14" t="s">
        <v>8206</v>
      </c>
      <c r="B14" t="s">
        <v>8207</v>
      </c>
      <c r="C14">
        <v>0.5</v>
      </c>
    </row>
    <row r="15" spans="1:3">
      <c r="A15" t="s">
        <v>8206</v>
      </c>
      <c r="B15" t="s">
        <v>8208</v>
      </c>
      <c r="C15">
        <v>0.8</v>
      </c>
    </row>
    <row r="16" spans="1:3">
      <c r="A16" t="s">
        <v>8206</v>
      </c>
      <c r="B16" t="s">
        <v>8209</v>
      </c>
      <c r="C16">
        <v>1</v>
      </c>
    </row>
    <row r="17" spans="1:3">
      <c r="A17" t="s">
        <v>8206</v>
      </c>
      <c r="B17" t="s">
        <v>8210</v>
      </c>
      <c r="C17">
        <v>1.2</v>
      </c>
    </row>
    <row r="18" spans="1:3">
      <c r="A18" t="s">
        <v>8206</v>
      </c>
      <c r="B18" t="s">
        <v>8211</v>
      </c>
      <c r="C18">
        <v>1.3</v>
      </c>
    </row>
    <row r="19" spans="1:3">
      <c r="A19" t="s">
        <v>8212</v>
      </c>
      <c r="B19" t="s">
        <v>8213</v>
      </c>
      <c r="C19">
        <v>0.05</v>
      </c>
    </row>
    <row r="20" spans="1:3">
      <c r="A20" t="s">
        <v>8212</v>
      </c>
      <c r="B20" t="s">
        <v>8214</v>
      </c>
      <c r="C20">
        <v>0.5</v>
      </c>
    </row>
    <row r="21" spans="1:3">
      <c r="A21" t="s">
        <v>8212</v>
      </c>
      <c r="B21" t="s">
        <v>8215</v>
      </c>
      <c r="C21">
        <v>0.8</v>
      </c>
    </row>
    <row r="22" spans="1:3">
      <c r="A22" t="s">
        <v>8212</v>
      </c>
      <c r="B22" t="s">
        <v>8216</v>
      </c>
      <c r="C22">
        <v>0.5</v>
      </c>
    </row>
    <row r="23" spans="1:3">
      <c r="A23" t="s">
        <v>8212</v>
      </c>
      <c r="B23" t="s">
        <v>8217</v>
      </c>
      <c r="C23">
        <v>0.75</v>
      </c>
    </row>
    <row r="24" spans="1:3">
      <c r="A24" t="s">
        <v>8212</v>
      </c>
      <c r="B24" t="s">
        <v>8218</v>
      </c>
      <c r="C24">
        <v>1</v>
      </c>
    </row>
    <row r="25" spans="1:3">
      <c r="A25" t="s">
        <v>8212</v>
      </c>
      <c r="B25" t="s">
        <v>8219</v>
      </c>
      <c r="C25">
        <v>1.25</v>
      </c>
    </row>
    <row r="26" spans="1:3">
      <c r="A26" t="s">
        <v>8212</v>
      </c>
      <c r="B26" t="s">
        <v>8220</v>
      </c>
      <c r="C26">
        <v>1.5</v>
      </c>
    </row>
    <row r="28" spans="1:3">
      <c r="A28" t="s">
        <v>8221</v>
      </c>
      <c r="B28" t="s">
        <v>8221</v>
      </c>
      <c r="C28" t="s">
        <v>8221</v>
      </c>
    </row>
    <row r="29" spans="1:3">
      <c r="A29" t="s">
        <v>20</v>
      </c>
      <c r="B29" t="s">
        <v>8222</v>
      </c>
      <c r="C29" t="s">
        <v>8223</v>
      </c>
    </row>
    <row r="30" spans="1:3">
      <c r="A30">
        <v>1</v>
      </c>
      <c r="B30" t="s">
        <v>8224</v>
      </c>
      <c r="C30" t="s">
        <v>8225</v>
      </c>
    </row>
    <row r="31" spans="1:3">
      <c r="A31">
        <v>2</v>
      </c>
      <c r="B31" t="s">
        <v>8226</v>
      </c>
      <c r="C31" t="s">
        <v>8227</v>
      </c>
    </row>
    <row r="32" spans="1:3">
      <c r="A32">
        <v>3</v>
      </c>
      <c r="B32" t="s">
        <v>8228</v>
      </c>
      <c r="C32" t="s">
        <v>8229</v>
      </c>
    </row>
    <row r="33" spans="1:3">
      <c r="A33">
        <v>4</v>
      </c>
      <c r="B33" t="s">
        <v>5559</v>
      </c>
      <c r="C33" t="s">
        <v>8230</v>
      </c>
    </row>
    <row r="34" spans="1:3">
      <c r="A34">
        <v>5</v>
      </c>
      <c r="B34" t="s">
        <v>8231</v>
      </c>
      <c r="C34" t="s">
        <v>8232</v>
      </c>
    </row>
    <row r="35" spans="1:3">
      <c r="A35">
        <v>6</v>
      </c>
      <c r="B35" t="s">
        <v>8233</v>
      </c>
      <c r="C35" t="s">
        <v>8234</v>
      </c>
    </row>
    <row r="36" spans="1:3">
      <c r="A36">
        <v>7</v>
      </c>
      <c r="B36" t="s">
        <v>8235</v>
      </c>
      <c r="C36" t="s">
        <v>8236</v>
      </c>
    </row>
  </sheetData>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21"/>
  <sheetViews>
    <sheetView workbookViewId="0"/>
  </sheetViews>
  <sheetFormatPr baseColWidth="10" defaultColWidth="9.140625" defaultRowHeight="15"/>
  <sheetData>
    <row r="1" spans="1:9">
      <c r="A1" t="s">
        <v>8237</v>
      </c>
      <c r="B1" t="s">
        <v>7255</v>
      </c>
      <c r="C1" t="s">
        <v>7363</v>
      </c>
      <c r="D1" t="s">
        <v>8238</v>
      </c>
      <c r="E1" t="s">
        <v>7286</v>
      </c>
      <c r="F1" t="s">
        <v>7285</v>
      </c>
      <c r="G1" t="s">
        <v>7258</v>
      </c>
      <c r="H1" t="s">
        <v>7362</v>
      </c>
      <c r="I1" t="s">
        <v>5455</v>
      </c>
    </row>
    <row r="2" spans="1:9">
      <c r="A2" t="s">
        <v>7260</v>
      </c>
      <c r="B2">
        <v>1</v>
      </c>
      <c r="C2">
        <v>1</v>
      </c>
      <c r="D2">
        <v>1</v>
      </c>
      <c r="E2">
        <v>1</v>
      </c>
      <c r="F2">
        <v>1</v>
      </c>
      <c r="G2">
        <v>16</v>
      </c>
      <c r="H2">
        <v>1</v>
      </c>
    </row>
    <row r="3" spans="1:9">
      <c r="A3" t="s">
        <v>7228</v>
      </c>
      <c r="B3">
        <v>1</v>
      </c>
      <c r="C3">
        <v>2</v>
      </c>
      <c r="D3">
        <v>2</v>
      </c>
      <c r="E3">
        <v>1</v>
      </c>
      <c r="F3">
        <v>1</v>
      </c>
      <c r="G3">
        <v>32</v>
      </c>
      <c r="H3">
        <v>1</v>
      </c>
    </row>
    <row r="4" spans="1:9">
      <c r="A4" t="s">
        <v>7261</v>
      </c>
      <c r="B4">
        <v>1</v>
      </c>
      <c r="C4">
        <v>3</v>
      </c>
      <c r="D4">
        <v>3</v>
      </c>
      <c r="E4">
        <v>1</v>
      </c>
      <c r="F4">
        <v>1</v>
      </c>
      <c r="G4">
        <v>48</v>
      </c>
      <c r="H4">
        <v>1</v>
      </c>
    </row>
    <row r="5" spans="1:9">
      <c r="A5" t="s">
        <v>7232</v>
      </c>
      <c r="B5">
        <v>2</v>
      </c>
      <c r="C5">
        <v>3</v>
      </c>
      <c r="D5">
        <v>3</v>
      </c>
      <c r="E5">
        <v>1</v>
      </c>
      <c r="F5">
        <v>1</v>
      </c>
      <c r="G5">
        <v>14</v>
      </c>
      <c r="H5">
        <v>2</v>
      </c>
    </row>
    <row r="6" spans="1:9">
      <c r="A6" t="s">
        <v>7262</v>
      </c>
      <c r="B6">
        <v>2</v>
      </c>
      <c r="C6">
        <v>4</v>
      </c>
      <c r="D6">
        <v>4</v>
      </c>
      <c r="E6">
        <v>1</v>
      </c>
      <c r="F6">
        <v>1</v>
      </c>
      <c r="G6">
        <v>28</v>
      </c>
      <c r="H6">
        <v>2</v>
      </c>
    </row>
    <row r="7" spans="1:9">
      <c r="A7" t="s">
        <v>7263</v>
      </c>
      <c r="B7">
        <v>2</v>
      </c>
      <c r="C7">
        <v>5</v>
      </c>
      <c r="D7">
        <v>5</v>
      </c>
      <c r="E7">
        <v>1</v>
      </c>
      <c r="F7">
        <v>1</v>
      </c>
      <c r="G7">
        <v>48</v>
      </c>
      <c r="H7">
        <v>2</v>
      </c>
    </row>
    <row r="8" spans="1:9">
      <c r="A8" t="s">
        <v>7244</v>
      </c>
      <c r="B8">
        <v>3</v>
      </c>
      <c r="C8">
        <v>4</v>
      </c>
      <c r="D8">
        <v>4</v>
      </c>
      <c r="E8">
        <v>1</v>
      </c>
      <c r="F8">
        <v>1</v>
      </c>
      <c r="G8">
        <v>300</v>
      </c>
      <c r="H8">
        <v>10</v>
      </c>
      <c r="I8" t="s">
        <v>7292</v>
      </c>
    </row>
    <row r="9" spans="1:9">
      <c r="A9" t="s">
        <v>7234</v>
      </c>
      <c r="B9">
        <v>3</v>
      </c>
      <c r="C9">
        <v>5</v>
      </c>
      <c r="D9">
        <v>4</v>
      </c>
      <c r="E9">
        <v>2</v>
      </c>
      <c r="F9">
        <v>1</v>
      </c>
      <c r="G9">
        <v>1050</v>
      </c>
      <c r="H9">
        <v>10</v>
      </c>
      <c r="I9" t="s">
        <v>7292</v>
      </c>
    </row>
    <row r="10" spans="1:9">
      <c r="A10" t="s">
        <v>7264</v>
      </c>
      <c r="B10">
        <v>3</v>
      </c>
      <c r="C10">
        <v>6</v>
      </c>
      <c r="D10">
        <v>5</v>
      </c>
      <c r="E10">
        <v>1</v>
      </c>
      <c r="F10">
        <v>1</v>
      </c>
      <c r="G10">
        <v>480</v>
      </c>
      <c r="H10">
        <v>15</v>
      </c>
      <c r="I10" t="s">
        <v>7292</v>
      </c>
    </row>
    <row r="11" spans="1:9">
      <c r="A11" t="s">
        <v>7265</v>
      </c>
      <c r="B11">
        <v>3</v>
      </c>
      <c r="C11">
        <v>7</v>
      </c>
      <c r="D11">
        <v>5</v>
      </c>
      <c r="E11">
        <v>5</v>
      </c>
      <c r="F11">
        <v>3</v>
      </c>
      <c r="G11">
        <v>1500</v>
      </c>
      <c r="H11">
        <v>10</v>
      </c>
      <c r="I11" t="s">
        <v>7292</v>
      </c>
    </row>
    <row r="12" spans="1:9">
      <c r="A12" t="s">
        <v>7266</v>
      </c>
      <c r="B12">
        <v>3</v>
      </c>
      <c r="C12">
        <v>8</v>
      </c>
      <c r="D12">
        <v>6</v>
      </c>
      <c r="E12">
        <v>2</v>
      </c>
      <c r="F12">
        <v>1</v>
      </c>
      <c r="G12">
        <v>1680</v>
      </c>
      <c r="H12">
        <v>15</v>
      </c>
      <c r="I12" t="s">
        <v>7292</v>
      </c>
    </row>
    <row r="13" spans="1:9">
      <c r="A13" t="s">
        <v>7267</v>
      </c>
      <c r="B13">
        <v>3</v>
      </c>
      <c r="C13">
        <v>9</v>
      </c>
      <c r="D13">
        <v>6</v>
      </c>
      <c r="E13">
        <v>6</v>
      </c>
      <c r="F13">
        <v>4</v>
      </c>
      <c r="G13">
        <v>2400</v>
      </c>
      <c r="H13">
        <v>15</v>
      </c>
      <c r="I13" t="s">
        <v>7292</v>
      </c>
    </row>
    <row r="14" spans="1:9">
      <c r="A14" t="s">
        <v>7268</v>
      </c>
      <c r="B14">
        <v>4</v>
      </c>
      <c r="C14">
        <v>4</v>
      </c>
      <c r="D14">
        <v>4</v>
      </c>
      <c r="E14">
        <v>2</v>
      </c>
      <c r="F14">
        <v>2</v>
      </c>
      <c r="G14">
        <v>130</v>
      </c>
      <c r="H14">
        <v>3</v>
      </c>
    </row>
    <row r="15" spans="1:9">
      <c r="A15" t="s">
        <v>7236</v>
      </c>
      <c r="B15">
        <v>4</v>
      </c>
      <c r="C15">
        <v>5</v>
      </c>
      <c r="D15">
        <v>5</v>
      </c>
      <c r="E15">
        <v>2</v>
      </c>
      <c r="F15">
        <v>2</v>
      </c>
      <c r="G15">
        <v>172</v>
      </c>
      <c r="H15">
        <v>4</v>
      </c>
    </row>
    <row r="16" spans="1:9">
      <c r="A16" t="s">
        <v>7269</v>
      </c>
      <c r="B16">
        <v>4</v>
      </c>
      <c r="C16">
        <v>6</v>
      </c>
      <c r="D16">
        <v>6</v>
      </c>
      <c r="E16">
        <v>1</v>
      </c>
      <c r="F16">
        <v>1</v>
      </c>
      <c r="G16">
        <v>607</v>
      </c>
      <c r="H16">
        <v>7</v>
      </c>
      <c r="I16" t="s">
        <v>7290</v>
      </c>
    </row>
    <row r="17" spans="1:9">
      <c r="A17" t="s">
        <v>7270</v>
      </c>
      <c r="B17">
        <v>4</v>
      </c>
      <c r="C17">
        <v>7</v>
      </c>
      <c r="D17">
        <v>7</v>
      </c>
      <c r="E17">
        <v>2</v>
      </c>
      <c r="F17">
        <v>1</v>
      </c>
      <c r="G17">
        <v>2107</v>
      </c>
      <c r="H17">
        <v>7</v>
      </c>
      <c r="I17" t="s">
        <v>7290</v>
      </c>
    </row>
    <row r="18" spans="1:9">
      <c r="A18" t="s">
        <v>7271</v>
      </c>
      <c r="B18">
        <v>4</v>
      </c>
      <c r="C18">
        <v>8</v>
      </c>
      <c r="D18">
        <v>8</v>
      </c>
      <c r="E18">
        <v>1</v>
      </c>
      <c r="F18">
        <v>1</v>
      </c>
      <c r="G18">
        <v>907</v>
      </c>
      <c r="H18">
        <v>10</v>
      </c>
      <c r="I18" t="s">
        <v>7290</v>
      </c>
    </row>
    <row r="19" spans="1:9">
      <c r="A19" t="s">
        <v>7272</v>
      </c>
      <c r="B19">
        <v>4</v>
      </c>
      <c r="C19">
        <v>9</v>
      </c>
      <c r="D19">
        <v>8</v>
      </c>
      <c r="E19">
        <v>2</v>
      </c>
      <c r="F19">
        <v>1</v>
      </c>
      <c r="G19">
        <v>3157</v>
      </c>
      <c r="H19">
        <v>10</v>
      </c>
      <c r="I19" t="s">
        <v>7290</v>
      </c>
    </row>
    <row r="20" spans="1:9">
      <c r="A20" t="s">
        <v>7273</v>
      </c>
      <c r="B20">
        <v>4</v>
      </c>
      <c r="C20">
        <v>10</v>
      </c>
      <c r="D20">
        <v>8</v>
      </c>
      <c r="E20">
        <v>5</v>
      </c>
      <c r="F20">
        <v>3</v>
      </c>
      <c r="G20">
        <v>3007</v>
      </c>
      <c r="H20">
        <v>7</v>
      </c>
      <c r="I20" t="s">
        <v>7290</v>
      </c>
    </row>
    <row r="21" spans="1:9">
      <c r="A21" t="s">
        <v>7245</v>
      </c>
      <c r="B21">
        <v>4</v>
      </c>
      <c r="C21">
        <v>12</v>
      </c>
      <c r="D21">
        <v>10</v>
      </c>
      <c r="E21">
        <v>6</v>
      </c>
      <c r="F21">
        <v>4</v>
      </c>
      <c r="G21">
        <v>4507</v>
      </c>
      <c r="H21">
        <v>10</v>
      </c>
      <c r="I21" t="s">
        <v>7290</v>
      </c>
    </row>
  </sheetData>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5"/>
  <sheetViews>
    <sheetView workbookViewId="0"/>
  </sheetViews>
  <sheetFormatPr baseColWidth="10" defaultColWidth="9.140625" defaultRowHeight="15"/>
  <sheetData>
    <row r="1" spans="1:6">
      <c r="A1" t="s">
        <v>8239</v>
      </c>
      <c r="B1" t="s">
        <v>7255</v>
      </c>
      <c r="C1" t="s">
        <v>7223</v>
      </c>
      <c r="D1" t="s">
        <v>7224</v>
      </c>
      <c r="E1" t="s">
        <v>7286</v>
      </c>
      <c r="F1" t="s">
        <v>7285</v>
      </c>
    </row>
    <row r="2" spans="1:6">
      <c r="A2" t="s">
        <v>8240</v>
      </c>
      <c r="B2">
        <v>5</v>
      </c>
      <c r="C2">
        <v>3</v>
      </c>
      <c r="D2">
        <v>2</v>
      </c>
      <c r="E2">
        <v>6</v>
      </c>
      <c r="F2">
        <v>6</v>
      </c>
    </row>
    <row r="3" spans="1:6">
      <c r="A3" t="s">
        <v>8241</v>
      </c>
      <c r="B3">
        <v>5</v>
      </c>
      <c r="C3">
        <v>5</v>
      </c>
      <c r="D3">
        <v>4</v>
      </c>
      <c r="E3">
        <v>6</v>
      </c>
      <c r="F3">
        <v>6</v>
      </c>
    </row>
    <row r="4" spans="1:6">
      <c r="A4" t="s">
        <v>8242</v>
      </c>
      <c r="B4">
        <v>5</v>
      </c>
      <c r="C4">
        <v>7</v>
      </c>
      <c r="D4">
        <v>6</v>
      </c>
      <c r="E4">
        <v>6</v>
      </c>
      <c r="F4">
        <v>6</v>
      </c>
    </row>
    <row r="5" spans="1:6">
      <c r="A5" t="s">
        <v>8243</v>
      </c>
      <c r="B5">
        <v>5</v>
      </c>
      <c r="C5">
        <v>0</v>
      </c>
      <c r="D5">
        <v>0</v>
      </c>
      <c r="E5">
        <v>7</v>
      </c>
      <c r="F5">
        <v>7</v>
      </c>
    </row>
  </sheetData>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5"/>
  <sheetViews>
    <sheetView workbookViewId="0"/>
  </sheetViews>
  <sheetFormatPr baseColWidth="10" defaultColWidth="9.140625" defaultRowHeight="15"/>
  <sheetData>
    <row r="1" spans="1:6">
      <c r="A1" t="s">
        <v>7221</v>
      </c>
      <c r="B1" t="s">
        <v>7914</v>
      </c>
      <c r="C1" t="s">
        <v>8244</v>
      </c>
      <c r="D1" t="s">
        <v>7286</v>
      </c>
      <c r="E1" t="s">
        <v>7285</v>
      </c>
      <c r="F1" t="s">
        <v>8245</v>
      </c>
    </row>
    <row r="2" spans="1:6">
      <c r="A2" t="s">
        <v>7243</v>
      </c>
      <c r="D2">
        <v>1</v>
      </c>
      <c r="E2">
        <v>1</v>
      </c>
      <c r="F2">
        <v>6</v>
      </c>
    </row>
    <row r="3" spans="1:6">
      <c r="A3" t="s">
        <v>7229</v>
      </c>
      <c r="B3">
        <v>1</v>
      </c>
      <c r="D3">
        <v>3</v>
      </c>
      <c r="E3">
        <v>2</v>
      </c>
      <c r="F3">
        <v>65</v>
      </c>
    </row>
    <row r="4" spans="1:6">
      <c r="A4" t="s">
        <v>7241</v>
      </c>
      <c r="B4">
        <v>2</v>
      </c>
      <c r="D4">
        <v>5</v>
      </c>
      <c r="E4">
        <v>3</v>
      </c>
      <c r="F4">
        <v>71</v>
      </c>
    </row>
    <row r="5" spans="1:6">
      <c r="A5" t="s">
        <v>7246</v>
      </c>
      <c r="B5">
        <v>2</v>
      </c>
      <c r="C5">
        <v>-1</v>
      </c>
      <c r="D5">
        <v>7</v>
      </c>
      <c r="E5">
        <v>7</v>
      </c>
      <c r="F5">
        <v>142</v>
      </c>
    </row>
  </sheetData>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5"/>
  <sheetViews>
    <sheetView workbookViewId="0"/>
  </sheetViews>
  <sheetFormatPr baseColWidth="10" defaultColWidth="9.140625" defaultRowHeight="15"/>
  <sheetData>
    <row r="1" spans="1:6">
      <c r="A1" t="s">
        <v>7222</v>
      </c>
      <c r="B1" t="s">
        <v>7914</v>
      </c>
      <c r="C1" t="s">
        <v>8244</v>
      </c>
      <c r="D1" t="s">
        <v>7286</v>
      </c>
      <c r="E1" t="s">
        <v>7285</v>
      </c>
      <c r="F1" t="s">
        <v>8246</v>
      </c>
    </row>
    <row r="2" spans="1:6">
      <c r="A2" t="s">
        <v>8247</v>
      </c>
      <c r="C2">
        <v>2</v>
      </c>
      <c r="D2">
        <v>1</v>
      </c>
      <c r="E2">
        <v>1</v>
      </c>
      <c r="F2">
        <v>0</v>
      </c>
    </row>
    <row r="3" spans="1:6">
      <c r="A3" t="s">
        <v>8248</v>
      </c>
      <c r="C3">
        <v>0</v>
      </c>
      <c r="D3">
        <v>1</v>
      </c>
      <c r="E3">
        <v>1</v>
      </c>
      <c r="F3">
        <v>0</v>
      </c>
    </row>
    <row r="4" spans="1:6">
      <c r="A4" t="s">
        <v>7230</v>
      </c>
      <c r="C4">
        <v>-1</v>
      </c>
      <c r="D4">
        <v>3</v>
      </c>
      <c r="E4">
        <v>2</v>
      </c>
      <c r="F4">
        <v>2</v>
      </c>
    </row>
    <row r="5" spans="1:6">
      <c r="A5" t="s">
        <v>7242</v>
      </c>
      <c r="C5">
        <v>-2</v>
      </c>
      <c r="D5">
        <v>5</v>
      </c>
      <c r="E5">
        <v>3</v>
      </c>
      <c r="F5">
        <v>4</v>
      </c>
    </row>
  </sheetData>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39"/>
  <sheetViews>
    <sheetView workbookViewId="0"/>
  </sheetViews>
  <sheetFormatPr baseColWidth="10" defaultColWidth="9.140625" defaultRowHeight="15"/>
  <sheetData>
    <row r="1" spans="1:10">
      <c r="A1" t="s">
        <v>8249</v>
      </c>
      <c r="B1" t="s">
        <v>6</v>
      </c>
      <c r="C1" t="s">
        <v>8250</v>
      </c>
      <c r="D1" t="s">
        <v>8251</v>
      </c>
      <c r="E1" t="s">
        <v>8252</v>
      </c>
      <c r="F1" t="s">
        <v>8253</v>
      </c>
      <c r="G1" t="s">
        <v>8254</v>
      </c>
      <c r="H1" t="s">
        <v>8255</v>
      </c>
      <c r="I1" t="s">
        <v>8256</v>
      </c>
      <c r="J1" t="s">
        <v>8257</v>
      </c>
    </row>
    <row r="2" spans="1:10">
      <c r="A2" t="s">
        <v>8258</v>
      </c>
      <c r="B2" t="s">
        <v>8259</v>
      </c>
      <c r="C2">
        <v>12</v>
      </c>
      <c r="D2">
        <v>0.36691200000000002</v>
      </c>
      <c r="E2">
        <v>3.6690999999999998</v>
      </c>
      <c r="F2">
        <v>18.345600000000001</v>
      </c>
      <c r="G2">
        <v>36.691200000000002</v>
      </c>
      <c r="H2">
        <v>183.45599999999999</v>
      </c>
      <c r="I2">
        <v>366.91199999999998</v>
      </c>
    </row>
    <row r="3" spans="1:10">
      <c r="A3" t="s">
        <v>8258</v>
      </c>
      <c r="B3" t="s">
        <v>8259</v>
      </c>
      <c r="C3">
        <v>13</v>
      </c>
      <c r="D3">
        <v>0.37455600000000011</v>
      </c>
      <c r="E3">
        <v>3.7456</v>
      </c>
      <c r="F3">
        <v>18.727799999999998</v>
      </c>
      <c r="G3">
        <v>37.455599999999997</v>
      </c>
      <c r="H3">
        <v>187.27799999999999</v>
      </c>
      <c r="I3">
        <v>374.55599999999998</v>
      </c>
    </row>
    <row r="4" spans="1:10">
      <c r="A4" t="s">
        <v>8258</v>
      </c>
      <c r="B4" t="s">
        <v>8259</v>
      </c>
      <c r="C4">
        <v>14</v>
      </c>
      <c r="D4">
        <v>0.38219999999999998</v>
      </c>
      <c r="E4">
        <v>3.8220000000000001</v>
      </c>
      <c r="F4">
        <v>19.11</v>
      </c>
      <c r="G4">
        <v>38.22</v>
      </c>
      <c r="H4">
        <v>191.1</v>
      </c>
      <c r="I4">
        <v>382.2</v>
      </c>
    </row>
    <row r="5" spans="1:10">
      <c r="A5" t="s">
        <v>8258</v>
      </c>
      <c r="B5" t="s">
        <v>8259</v>
      </c>
      <c r="C5">
        <v>15</v>
      </c>
      <c r="D5">
        <v>0.38984400000000002</v>
      </c>
      <c r="E5">
        <v>3.8984000000000001</v>
      </c>
      <c r="F5">
        <v>19.4922</v>
      </c>
      <c r="G5">
        <v>38.984400000000001</v>
      </c>
      <c r="H5">
        <v>194.922</v>
      </c>
      <c r="I5">
        <v>389.84399999999999</v>
      </c>
    </row>
    <row r="6" spans="1:10">
      <c r="A6" t="s">
        <v>8258</v>
      </c>
      <c r="B6" t="s">
        <v>8259</v>
      </c>
      <c r="C6">
        <v>16</v>
      </c>
      <c r="D6">
        <v>0.39748800000000012</v>
      </c>
      <c r="E6">
        <v>3.9748999999999999</v>
      </c>
      <c r="F6">
        <v>19.874400000000001</v>
      </c>
      <c r="G6">
        <v>39.748800000000003</v>
      </c>
      <c r="H6">
        <v>198.744</v>
      </c>
      <c r="I6">
        <v>397.488</v>
      </c>
    </row>
    <row r="7" spans="1:10">
      <c r="A7" t="s">
        <v>8258</v>
      </c>
      <c r="B7" t="s">
        <v>8259</v>
      </c>
      <c r="C7">
        <v>17</v>
      </c>
      <c r="D7">
        <v>0.40513199999999999</v>
      </c>
      <c r="E7">
        <v>4.0513000000000003</v>
      </c>
      <c r="F7">
        <v>20.256599999999999</v>
      </c>
      <c r="G7">
        <v>40.513199999999998</v>
      </c>
      <c r="H7">
        <v>202.566</v>
      </c>
      <c r="I7">
        <v>405.13200000000001</v>
      </c>
    </row>
    <row r="8" spans="1:10">
      <c r="A8" t="s">
        <v>8258</v>
      </c>
      <c r="B8" t="s">
        <v>8259</v>
      </c>
      <c r="C8">
        <v>18</v>
      </c>
      <c r="D8">
        <v>0.41277600000000009</v>
      </c>
      <c r="E8">
        <v>4.1277999999999997</v>
      </c>
      <c r="F8">
        <v>20.6388</v>
      </c>
      <c r="G8">
        <v>41.2776</v>
      </c>
      <c r="H8">
        <v>206.38800000000001</v>
      </c>
      <c r="I8">
        <v>412.77600000000001</v>
      </c>
    </row>
    <row r="9" spans="1:10">
      <c r="A9" t="s">
        <v>8258</v>
      </c>
      <c r="B9" t="s">
        <v>8259</v>
      </c>
      <c r="C9">
        <v>19</v>
      </c>
      <c r="D9">
        <v>0.42042000000000013</v>
      </c>
      <c r="E9">
        <v>4.2042000000000002</v>
      </c>
      <c r="F9">
        <v>21.021000000000001</v>
      </c>
      <c r="G9">
        <v>42.042000000000002</v>
      </c>
      <c r="H9">
        <v>210.21</v>
      </c>
      <c r="I9">
        <v>420.42</v>
      </c>
    </row>
    <row r="10" spans="1:10">
      <c r="A10" t="s">
        <v>8258</v>
      </c>
      <c r="B10" t="s">
        <v>8259</v>
      </c>
      <c r="C10">
        <v>20</v>
      </c>
      <c r="D10">
        <v>0.42806400000000011</v>
      </c>
      <c r="E10">
        <v>4.2805999999999997</v>
      </c>
      <c r="F10">
        <v>21.403199999999998</v>
      </c>
      <c r="G10">
        <v>42.806399999999996</v>
      </c>
      <c r="H10">
        <v>214.03200000000001</v>
      </c>
      <c r="I10">
        <v>428.06400000000002</v>
      </c>
    </row>
    <row r="11" spans="1:10">
      <c r="A11" t="s">
        <v>8258</v>
      </c>
      <c r="B11" t="s">
        <v>8259</v>
      </c>
      <c r="C11">
        <v>21</v>
      </c>
      <c r="D11">
        <v>0.43570799999999998</v>
      </c>
      <c r="E11">
        <v>4.3571</v>
      </c>
      <c r="F11">
        <v>21.785399999999999</v>
      </c>
      <c r="G11">
        <v>43.570799999999998</v>
      </c>
      <c r="H11">
        <v>217.85400000000001</v>
      </c>
      <c r="I11">
        <v>435.70800000000003</v>
      </c>
    </row>
    <row r="12" spans="1:10">
      <c r="A12" t="s">
        <v>8258</v>
      </c>
      <c r="B12" t="s">
        <v>8259</v>
      </c>
      <c r="C12">
        <v>22</v>
      </c>
      <c r="D12">
        <v>0.44335200000000002</v>
      </c>
      <c r="E12">
        <v>4.4335000000000004</v>
      </c>
      <c r="F12">
        <v>22.1676</v>
      </c>
      <c r="G12">
        <v>44.3352</v>
      </c>
      <c r="H12">
        <v>221.67599999999999</v>
      </c>
      <c r="I12">
        <v>443.35199999999998</v>
      </c>
    </row>
    <row r="13" spans="1:10">
      <c r="A13" t="s">
        <v>8258</v>
      </c>
      <c r="B13" t="s">
        <v>8259</v>
      </c>
      <c r="C13">
        <v>23</v>
      </c>
      <c r="D13">
        <v>0.45099600000000001</v>
      </c>
      <c r="E13">
        <v>4.51</v>
      </c>
      <c r="F13">
        <v>22.549800000000001</v>
      </c>
      <c r="G13">
        <v>45.099600000000002</v>
      </c>
      <c r="H13">
        <v>225.49799999999999</v>
      </c>
      <c r="I13">
        <v>450.99599999999998</v>
      </c>
    </row>
    <row r="14" spans="1:10">
      <c r="A14" t="s">
        <v>8258</v>
      </c>
      <c r="B14" t="s">
        <v>8260</v>
      </c>
      <c r="C14">
        <v>12</v>
      </c>
      <c r="D14">
        <v>0.40885500000000002</v>
      </c>
      <c r="E14">
        <v>4.0885999999999996</v>
      </c>
      <c r="F14">
        <v>20.442799999999998</v>
      </c>
      <c r="G14">
        <v>40.8855</v>
      </c>
      <c r="H14">
        <v>204.42750000000001</v>
      </c>
      <c r="I14">
        <v>408.85500000000002</v>
      </c>
      <c r="J14" t="s">
        <v>8261</v>
      </c>
    </row>
    <row r="15" spans="1:10">
      <c r="A15" t="s">
        <v>8258</v>
      </c>
      <c r="B15" t="s">
        <v>8260</v>
      </c>
      <c r="C15">
        <v>13</v>
      </c>
      <c r="D15">
        <v>0.41517749999999998</v>
      </c>
      <c r="E15">
        <v>4.1517999999999997</v>
      </c>
      <c r="F15">
        <v>20.758900000000001</v>
      </c>
      <c r="G15">
        <v>41.517800000000001</v>
      </c>
      <c r="H15">
        <v>207.58879999999999</v>
      </c>
      <c r="I15">
        <v>415.17750000000001</v>
      </c>
      <c r="J15" t="s">
        <v>8261</v>
      </c>
    </row>
    <row r="16" spans="1:10">
      <c r="A16" t="s">
        <v>8258</v>
      </c>
      <c r="B16" t="s">
        <v>8260</v>
      </c>
      <c r="C16">
        <v>14</v>
      </c>
      <c r="D16">
        <v>0.42149999999999999</v>
      </c>
      <c r="E16">
        <v>4.2149999999999999</v>
      </c>
      <c r="F16">
        <v>21.074999999999999</v>
      </c>
      <c r="G16">
        <v>42.15</v>
      </c>
      <c r="H16">
        <v>210.75</v>
      </c>
      <c r="I16">
        <v>421.5</v>
      </c>
      <c r="J16" t="s">
        <v>8261</v>
      </c>
    </row>
    <row r="17" spans="1:10">
      <c r="A17" t="s">
        <v>8258</v>
      </c>
      <c r="B17" t="s">
        <v>8260</v>
      </c>
      <c r="C17">
        <v>15</v>
      </c>
      <c r="D17">
        <v>0.42782249999999999</v>
      </c>
      <c r="E17">
        <v>4.2782</v>
      </c>
      <c r="F17">
        <v>21.391100000000002</v>
      </c>
      <c r="G17">
        <v>42.782200000000003</v>
      </c>
      <c r="H17">
        <v>213.91120000000001</v>
      </c>
      <c r="I17">
        <v>427.82249999999999</v>
      </c>
      <c r="J17" t="s">
        <v>8261</v>
      </c>
    </row>
    <row r="18" spans="1:10">
      <c r="A18" t="s">
        <v>8258</v>
      </c>
      <c r="B18" t="s">
        <v>8260</v>
      </c>
      <c r="C18">
        <v>16</v>
      </c>
      <c r="D18">
        <v>0.43414500000000011</v>
      </c>
      <c r="E18">
        <v>4.3414999999999999</v>
      </c>
      <c r="F18">
        <v>21.7073</v>
      </c>
      <c r="G18">
        <v>43.414499999999997</v>
      </c>
      <c r="H18">
        <v>217.07249999999999</v>
      </c>
      <c r="I18">
        <v>434.14499999999998</v>
      </c>
      <c r="J18" t="s">
        <v>8261</v>
      </c>
    </row>
    <row r="19" spans="1:10">
      <c r="A19" t="s">
        <v>8258</v>
      </c>
      <c r="B19" t="s">
        <v>8260</v>
      </c>
      <c r="C19">
        <v>17</v>
      </c>
      <c r="D19">
        <v>0.44046750000000001</v>
      </c>
      <c r="E19">
        <v>4.4047000000000001</v>
      </c>
      <c r="F19">
        <v>22.023399999999999</v>
      </c>
      <c r="G19">
        <v>44.046799999999998</v>
      </c>
      <c r="H19">
        <v>220.2338</v>
      </c>
      <c r="I19">
        <v>440.46749999999997</v>
      </c>
      <c r="J19" t="s">
        <v>8261</v>
      </c>
    </row>
    <row r="20" spans="1:10">
      <c r="A20" t="s">
        <v>8258</v>
      </c>
      <c r="B20" t="s">
        <v>8260</v>
      </c>
      <c r="C20">
        <v>18</v>
      </c>
      <c r="D20">
        <v>0.44679000000000008</v>
      </c>
      <c r="E20">
        <v>4.4679000000000002</v>
      </c>
      <c r="F20">
        <v>22.339500000000001</v>
      </c>
      <c r="G20">
        <v>44.679000000000002</v>
      </c>
      <c r="H20">
        <v>223.39500000000001</v>
      </c>
      <c r="I20">
        <v>446.79</v>
      </c>
      <c r="J20" t="s">
        <v>8261</v>
      </c>
    </row>
    <row r="21" spans="1:10">
      <c r="A21" t="s">
        <v>8258</v>
      </c>
      <c r="B21" t="s">
        <v>8260</v>
      </c>
      <c r="C21">
        <v>19</v>
      </c>
      <c r="D21">
        <v>0.45311249999999997</v>
      </c>
      <c r="E21">
        <v>4.5311000000000003</v>
      </c>
      <c r="F21">
        <v>22.6556</v>
      </c>
      <c r="G21">
        <v>45.311300000000003</v>
      </c>
      <c r="H21">
        <v>226.55629999999999</v>
      </c>
      <c r="I21">
        <v>453.11250000000001</v>
      </c>
      <c r="J21" t="s">
        <v>8261</v>
      </c>
    </row>
    <row r="22" spans="1:10">
      <c r="A22" t="s">
        <v>8258</v>
      </c>
      <c r="B22" t="s">
        <v>8260</v>
      </c>
      <c r="C22">
        <v>20</v>
      </c>
      <c r="D22">
        <v>0.45943500000000009</v>
      </c>
      <c r="E22">
        <v>4.5944000000000003</v>
      </c>
      <c r="F22">
        <v>22.971800000000002</v>
      </c>
      <c r="G22">
        <v>45.9435</v>
      </c>
      <c r="H22">
        <v>229.7175</v>
      </c>
      <c r="I22">
        <v>459.435</v>
      </c>
      <c r="J22" t="s">
        <v>8261</v>
      </c>
    </row>
    <row r="23" spans="1:10">
      <c r="A23" t="s">
        <v>8258</v>
      </c>
      <c r="B23" t="s">
        <v>8260</v>
      </c>
      <c r="C23">
        <v>21</v>
      </c>
      <c r="D23">
        <v>0.46575749999999999</v>
      </c>
      <c r="E23">
        <v>4.6576000000000004</v>
      </c>
      <c r="F23">
        <v>23.2879</v>
      </c>
      <c r="G23">
        <v>46.575800000000001</v>
      </c>
      <c r="H23">
        <v>232.87880000000001</v>
      </c>
      <c r="I23">
        <v>465.75749999999999</v>
      </c>
      <c r="J23" t="s">
        <v>8261</v>
      </c>
    </row>
    <row r="24" spans="1:10">
      <c r="A24" t="s">
        <v>8258</v>
      </c>
      <c r="B24" t="s">
        <v>8260</v>
      </c>
      <c r="C24">
        <v>22</v>
      </c>
      <c r="D24">
        <v>0.47208000000000011</v>
      </c>
      <c r="E24">
        <v>4.7207999999999997</v>
      </c>
      <c r="F24">
        <v>23.603999999999999</v>
      </c>
      <c r="G24">
        <v>47.207999999999998</v>
      </c>
      <c r="H24">
        <v>236.04</v>
      </c>
      <c r="I24">
        <v>472.08</v>
      </c>
      <c r="J24" t="s">
        <v>8261</v>
      </c>
    </row>
    <row r="25" spans="1:10">
      <c r="A25" t="s">
        <v>8258</v>
      </c>
      <c r="B25" t="s">
        <v>8260</v>
      </c>
      <c r="C25">
        <v>23</v>
      </c>
      <c r="D25">
        <v>0.47840250000000012</v>
      </c>
      <c r="E25">
        <v>4.7839999999999998</v>
      </c>
      <c r="F25">
        <v>23.920100000000001</v>
      </c>
      <c r="G25">
        <v>47.840299999999999</v>
      </c>
      <c r="H25">
        <v>239.2013</v>
      </c>
      <c r="I25">
        <v>478.40249999999997</v>
      </c>
      <c r="J25" t="s">
        <v>8261</v>
      </c>
    </row>
    <row r="26" spans="1:10">
      <c r="A26" t="s">
        <v>8262</v>
      </c>
      <c r="B26" t="s">
        <v>8263</v>
      </c>
      <c r="C26">
        <v>16</v>
      </c>
      <c r="D26">
        <v>0.68066666666666675</v>
      </c>
      <c r="E26">
        <v>6.8067000000000002</v>
      </c>
      <c r="F26">
        <v>34.033299999999997</v>
      </c>
      <c r="G26">
        <v>68.066699999999997</v>
      </c>
      <c r="H26">
        <v>340.33330000000001</v>
      </c>
      <c r="I26">
        <v>680.66669999999999</v>
      </c>
    </row>
    <row r="27" spans="1:10">
      <c r="A27" t="s">
        <v>8262</v>
      </c>
      <c r="B27" t="s">
        <v>8263</v>
      </c>
      <c r="C27">
        <v>17</v>
      </c>
      <c r="D27">
        <v>0.70108666666666675</v>
      </c>
      <c r="E27">
        <v>7.0109000000000004</v>
      </c>
      <c r="F27">
        <v>35.054299999999998</v>
      </c>
      <c r="G27">
        <v>70.108699999999999</v>
      </c>
      <c r="H27">
        <v>350.54329999999999</v>
      </c>
      <c r="I27">
        <v>701.08669999999995</v>
      </c>
    </row>
    <row r="28" spans="1:10">
      <c r="A28" t="s">
        <v>8262</v>
      </c>
      <c r="B28" t="s">
        <v>8263</v>
      </c>
      <c r="C28">
        <v>18</v>
      </c>
      <c r="D28">
        <v>0.72150666666666674</v>
      </c>
      <c r="E28">
        <v>7.2150999999999996</v>
      </c>
      <c r="F28">
        <v>36.075299999999999</v>
      </c>
      <c r="G28">
        <v>72.150700000000001</v>
      </c>
      <c r="H28">
        <v>360.75330000000002</v>
      </c>
      <c r="I28">
        <v>721.50670000000002</v>
      </c>
    </row>
    <row r="29" spans="1:10">
      <c r="A29" t="s">
        <v>8262</v>
      </c>
      <c r="B29" t="s">
        <v>8263</v>
      </c>
      <c r="C29">
        <v>19</v>
      </c>
      <c r="D29">
        <v>0.74192666666666685</v>
      </c>
      <c r="E29">
        <v>7.4192999999999998</v>
      </c>
      <c r="F29">
        <v>37.096299999999999</v>
      </c>
      <c r="G29">
        <v>74.192700000000002</v>
      </c>
      <c r="H29">
        <v>370.9633</v>
      </c>
      <c r="I29">
        <v>741.92669999999998</v>
      </c>
    </row>
    <row r="30" spans="1:10">
      <c r="A30" t="s">
        <v>8264</v>
      </c>
      <c r="B30" t="s">
        <v>8265</v>
      </c>
      <c r="C30">
        <v>5</v>
      </c>
      <c r="D30">
        <v>0.40360320000000011</v>
      </c>
      <c r="E30">
        <v>7.8140000000000001</v>
      </c>
      <c r="F30">
        <v>39.07</v>
      </c>
      <c r="G30">
        <v>78.14</v>
      </c>
      <c r="H30">
        <v>390.7</v>
      </c>
      <c r="I30">
        <v>781.4</v>
      </c>
    </row>
    <row r="31" spans="1:10">
      <c r="A31" t="s">
        <v>8264</v>
      </c>
      <c r="B31" t="s">
        <v>8265</v>
      </c>
      <c r="C31">
        <v>6</v>
      </c>
      <c r="D31">
        <v>0.44510400000000011</v>
      </c>
      <c r="E31">
        <v>8.2515999999999998</v>
      </c>
      <c r="F31">
        <v>41.257899999999999</v>
      </c>
      <c r="G31">
        <v>82.515799999999999</v>
      </c>
      <c r="H31">
        <v>412.57920000000001</v>
      </c>
      <c r="I31">
        <v>825.15840000000003</v>
      </c>
    </row>
    <row r="32" spans="1:10">
      <c r="A32" t="s">
        <v>8264</v>
      </c>
      <c r="B32" t="s">
        <v>8265</v>
      </c>
      <c r="C32">
        <v>7</v>
      </c>
      <c r="D32">
        <v>0.71878400000000009</v>
      </c>
      <c r="E32">
        <v>8.6891999999999996</v>
      </c>
      <c r="F32">
        <v>43.445799999999998</v>
      </c>
      <c r="G32">
        <v>86.8917</v>
      </c>
      <c r="H32">
        <v>434.45839999999998</v>
      </c>
      <c r="I32">
        <v>868.91679999999997</v>
      </c>
    </row>
    <row r="33" spans="1:9">
      <c r="A33" t="s">
        <v>8264</v>
      </c>
      <c r="B33" t="s">
        <v>8265</v>
      </c>
      <c r="C33">
        <v>8</v>
      </c>
      <c r="D33">
        <v>0.82515840000000007</v>
      </c>
      <c r="E33">
        <v>9.1267999999999994</v>
      </c>
      <c r="F33">
        <v>45.633800000000001</v>
      </c>
      <c r="G33">
        <v>91.267499999999998</v>
      </c>
      <c r="H33">
        <v>456.33760000000001</v>
      </c>
      <c r="I33">
        <v>912.67520000000002</v>
      </c>
    </row>
    <row r="34" spans="1:9">
      <c r="A34" t="s">
        <v>8264</v>
      </c>
      <c r="B34" t="s">
        <v>8265</v>
      </c>
      <c r="C34">
        <v>9</v>
      </c>
      <c r="D34">
        <v>0.86891680000000004</v>
      </c>
      <c r="E34">
        <v>9.5642999999999994</v>
      </c>
      <c r="F34">
        <v>47.8217</v>
      </c>
      <c r="G34">
        <v>95.6434</v>
      </c>
      <c r="H34">
        <v>478.21679999999998</v>
      </c>
      <c r="I34">
        <v>956.43359999999996</v>
      </c>
    </row>
    <row r="35" spans="1:9">
      <c r="A35" t="s">
        <v>8264</v>
      </c>
      <c r="B35" t="s">
        <v>8265</v>
      </c>
      <c r="C35">
        <v>10</v>
      </c>
      <c r="D35">
        <v>0.91267519999999991</v>
      </c>
      <c r="E35">
        <v>10.001899999999999</v>
      </c>
      <c r="F35">
        <v>50.009599999999999</v>
      </c>
      <c r="G35">
        <v>100.0192</v>
      </c>
      <c r="H35">
        <v>500.096</v>
      </c>
      <c r="I35">
        <v>1000.192</v>
      </c>
    </row>
    <row r="36" spans="1:9">
      <c r="A36" t="s">
        <v>8264</v>
      </c>
      <c r="B36" t="s">
        <v>8265</v>
      </c>
      <c r="C36">
        <v>11</v>
      </c>
      <c r="D36">
        <v>0.95643359999999999</v>
      </c>
    </row>
    <row r="37" spans="1:9">
      <c r="A37" t="s">
        <v>8264</v>
      </c>
      <c r="B37" t="s">
        <v>8265</v>
      </c>
      <c r="C37">
        <v>12</v>
      </c>
      <c r="D37">
        <v>1.000192</v>
      </c>
    </row>
    <row r="38" spans="1:9">
      <c r="A38" t="s">
        <v>8266</v>
      </c>
      <c r="B38" t="s">
        <v>8267</v>
      </c>
      <c r="C38">
        <v>16</v>
      </c>
      <c r="D38">
        <v>6.8838400000000002</v>
      </c>
    </row>
    <row r="39" spans="1:9">
      <c r="A39" t="s">
        <v>8266</v>
      </c>
      <c r="B39" t="s">
        <v>8267</v>
      </c>
      <c r="C39">
        <v>17</v>
      </c>
      <c r="D39">
        <v>6.8838400000000002</v>
      </c>
    </row>
  </sheetData>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17"/>
  <sheetViews>
    <sheetView workbookViewId="0"/>
  </sheetViews>
  <sheetFormatPr baseColWidth="10" defaultColWidth="9.140625" defaultRowHeight="15"/>
  <sheetData>
    <row r="1" spans="1:10">
      <c r="A1" t="s">
        <v>7907</v>
      </c>
      <c r="B1" t="s">
        <v>8268</v>
      </c>
      <c r="C1" t="s">
        <v>8269</v>
      </c>
    </row>
    <row r="2" spans="1:10">
      <c r="A2" t="s">
        <v>8270</v>
      </c>
      <c r="B2">
        <v>32</v>
      </c>
      <c r="C2">
        <v>25.6</v>
      </c>
    </row>
    <row r="3" spans="1:10">
      <c r="A3" t="s">
        <v>8271</v>
      </c>
      <c r="B3">
        <v>12</v>
      </c>
      <c r="C3">
        <v>9.6</v>
      </c>
    </row>
    <row r="4" spans="1:10">
      <c r="A4" t="s">
        <v>8272</v>
      </c>
      <c r="B4">
        <v>85</v>
      </c>
      <c r="C4">
        <v>68</v>
      </c>
    </row>
    <row r="5" spans="1:10">
      <c r="A5" t="s">
        <v>8273</v>
      </c>
      <c r="B5">
        <v>15</v>
      </c>
      <c r="C5">
        <v>12</v>
      </c>
    </row>
    <row r="7" spans="1:10">
      <c r="A7" t="s">
        <v>8274</v>
      </c>
      <c r="B7" t="s">
        <v>8275</v>
      </c>
      <c r="C7" t="s">
        <v>8276</v>
      </c>
    </row>
    <row r="8" spans="1:10">
      <c r="A8" t="s">
        <v>8277</v>
      </c>
      <c r="B8">
        <v>1</v>
      </c>
    </row>
    <row r="9" spans="1:10">
      <c r="A9" t="s">
        <v>8278</v>
      </c>
      <c r="B9">
        <v>1.5</v>
      </c>
    </row>
    <row r="10" spans="1:10">
      <c r="A10" t="s">
        <v>8279</v>
      </c>
      <c r="B10">
        <v>20</v>
      </c>
      <c r="C10" t="s">
        <v>8280</v>
      </c>
    </row>
    <row r="11" spans="1:10">
      <c r="A11" t="s">
        <v>8281</v>
      </c>
      <c r="B11">
        <v>38</v>
      </c>
      <c r="C11" t="s">
        <v>8282</v>
      </c>
    </row>
    <row r="13" spans="1:10">
      <c r="A13" t="s">
        <v>8283</v>
      </c>
      <c r="B13" t="s">
        <v>8284</v>
      </c>
      <c r="C13" t="s">
        <v>8285</v>
      </c>
      <c r="D13" t="s">
        <v>8286</v>
      </c>
      <c r="E13" t="s">
        <v>8287</v>
      </c>
      <c r="F13" t="s">
        <v>8288</v>
      </c>
      <c r="G13" t="s">
        <v>8289</v>
      </c>
      <c r="H13" t="s">
        <v>8290</v>
      </c>
      <c r="I13" t="s">
        <v>8291</v>
      </c>
      <c r="J13" t="s">
        <v>8292</v>
      </c>
    </row>
    <row r="14" spans="1:10">
      <c r="A14" t="s">
        <v>8293</v>
      </c>
      <c r="B14">
        <v>5.0000000000000001E-3</v>
      </c>
      <c r="C14">
        <v>4.0000000000000001E-3</v>
      </c>
      <c r="F14">
        <v>8.9999999999999993E-3</v>
      </c>
      <c r="G14">
        <v>10000</v>
      </c>
      <c r="H14">
        <v>3.8E-3</v>
      </c>
      <c r="I14">
        <v>0.37840000000000001</v>
      </c>
      <c r="J14">
        <v>0.38219999999999998</v>
      </c>
    </row>
    <row r="15" spans="1:10">
      <c r="A15" t="s">
        <v>8260</v>
      </c>
      <c r="B15">
        <v>5.0000000000000001E-3</v>
      </c>
      <c r="C15">
        <v>4.0000000000000001E-3</v>
      </c>
      <c r="D15">
        <v>2E-3</v>
      </c>
      <c r="F15">
        <v>1.0999999999999999E-2</v>
      </c>
      <c r="G15">
        <v>4000</v>
      </c>
      <c r="H15">
        <v>9.4999999999999998E-3</v>
      </c>
      <c r="I15">
        <v>0.41199999999999998</v>
      </c>
      <c r="J15">
        <v>0.42149999999999999</v>
      </c>
    </row>
    <row r="16" spans="1:10">
      <c r="A16" t="s">
        <v>8263</v>
      </c>
      <c r="B16">
        <v>5.0000000000000001E-3</v>
      </c>
      <c r="C16">
        <v>5.0000000000000001E-3</v>
      </c>
      <c r="D16">
        <v>2E-3</v>
      </c>
      <c r="E16">
        <v>0.01</v>
      </c>
      <c r="F16">
        <v>2.1999999999999999E-2</v>
      </c>
      <c r="G16">
        <v>3000</v>
      </c>
      <c r="H16">
        <v>1.2666999999999999E-2</v>
      </c>
      <c r="I16">
        <v>0.66800000000000004</v>
      </c>
      <c r="J16">
        <v>0.68066700000000002</v>
      </c>
    </row>
    <row r="17" spans="1:10">
      <c r="A17" t="s">
        <v>8265</v>
      </c>
      <c r="B17">
        <v>5.0000000000000001E-3</v>
      </c>
      <c r="C17">
        <v>4.0000000000000001E-3</v>
      </c>
      <c r="E17">
        <v>1.4999999999999999E-2</v>
      </c>
      <c r="F17">
        <v>2.4E-2</v>
      </c>
      <c r="G17">
        <v>2000</v>
      </c>
      <c r="H17">
        <v>1.9E-2</v>
      </c>
      <c r="I17">
        <v>0.76239999999999997</v>
      </c>
      <c r="J17">
        <v>0.78139999999999998</v>
      </c>
    </row>
  </sheetData>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42"/>
  <sheetViews>
    <sheetView workbookViewId="0"/>
  </sheetViews>
  <sheetFormatPr baseColWidth="10" defaultColWidth="9.140625" defaultRowHeight="15"/>
  <sheetData>
    <row r="1" spans="1:14">
      <c r="A1" t="s">
        <v>5474</v>
      </c>
      <c r="B1" t="s">
        <v>5455</v>
      </c>
      <c r="C1" t="s">
        <v>7907</v>
      </c>
      <c r="D1" t="s">
        <v>8294</v>
      </c>
      <c r="E1" t="s">
        <v>8295</v>
      </c>
      <c r="F1" t="s">
        <v>7350</v>
      </c>
      <c r="G1" t="s">
        <v>8296</v>
      </c>
      <c r="H1" t="s">
        <v>8297</v>
      </c>
      <c r="I1" t="s">
        <v>8298</v>
      </c>
      <c r="J1" t="s">
        <v>8299</v>
      </c>
      <c r="K1" t="s">
        <v>7225</v>
      </c>
      <c r="L1" t="s">
        <v>7286</v>
      </c>
      <c r="M1" t="s">
        <v>7285</v>
      </c>
      <c r="N1" t="s">
        <v>8300</v>
      </c>
    </row>
    <row r="2" spans="1:14">
      <c r="A2" t="s">
        <v>8301</v>
      </c>
      <c r="B2" t="s">
        <v>8302</v>
      </c>
      <c r="C2" t="s">
        <v>5524</v>
      </c>
      <c r="D2">
        <v>7</v>
      </c>
      <c r="E2" t="s">
        <v>8303</v>
      </c>
      <c r="F2">
        <v>0</v>
      </c>
      <c r="G2" t="s">
        <v>8304</v>
      </c>
      <c r="H2" t="s">
        <v>8305</v>
      </c>
      <c r="I2">
        <v>6</v>
      </c>
      <c r="J2">
        <v>9</v>
      </c>
      <c r="K2">
        <v>1E-3</v>
      </c>
      <c r="L2">
        <v>1</v>
      </c>
      <c r="M2">
        <v>1</v>
      </c>
      <c r="N2">
        <v>1</v>
      </c>
    </row>
    <row r="3" spans="1:14">
      <c r="A3" t="s">
        <v>8306</v>
      </c>
      <c r="B3" t="s">
        <v>5580</v>
      </c>
      <c r="C3" t="s">
        <v>5524</v>
      </c>
      <c r="D3">
        <v>5</v>
      </c>
      <c r="E3" t="s">
        <v>8307</v>
      </c>
      <c r="F3">
        <v>1</v>
      </c>
      <c r="G3" t="s">
        <v>8308</v>
      </c>
      <c r="H3" t="s">
        <v>8305</v>
      </c>
      <c r="I3">
        <v>6</v>
      </c>
      <c r="J3">
        <v>9</v>
      </c>
      <c r="K3">
        <v>50</v>
      </c>
      <c r="L3">
        <v>3</v>
      </c>
      <c r="M3">
        <v>4</v>
      </c>
      <c r="N3">
        <v>1</v>
      </c>
    </row>
    <row r="4" spans="1:14">
      <c r="A4" t="s">
        <v>8309</v>
      </c>
      <c r="B4" t="s">
        <v>5580</v>
      </c>
      <c r="C4" t="s">
        <v>5524</v>
      </c>
      <c r="D4">
        <v>7</v>
      </c>
      <c r="E4" t="s">
        <v>8310</v>
      </c>
      <c r="F4">
        <v>2</v>
      </c>
      <c r="G4" t="s">
        <v>8311</v>
      </c>
      <c r="H4" t="s">
        <v>8312</v>
      </c>
      <c r="I4">
        <v>6</v>
      </c>
      <c r="J4">
        <v>9</v>
      </c>
      <c r="K4">
        <v>60</v>
      </c>
      <c r="L4">
        <v>3</v>
      </c>
      <c r="M4">
        <v>4</v>
      </c>
      <c r="N4">
        <v>1</v>
      </c>
    </row>
    <row r="5" spans="1:14">
      <c r="A5" t="s">
        <v>8313</v>
      </c>
      <c r="B5" t="s">
        <v>5580</v>
      </c>
      <c r="C5" t="s">
        <v>5524</v>
      </c>
      <c r="D5">
        <v>10</v>
      </c>
      <c r="E5" t="s">
        <v>8310</v>
      </c>
      <c r="F5">
        <v>3</v>
      </c>
      <c r="G5" t="s">
        <v>8314</v>
      </c>
      <c r="H5" t="s">
        <v>8315</v>
      </c>
      <c r="I5">
        <v>7</v>
      </c>
      <c r="J5">
        <v>9</v>
      </c>
      <c r="K5">
        <v>100</v>
      </c>
      <c r="L5">
        <v>3</v>
      </c>
      <c r="M5">
        <v>4</v>
      </c>
      <c r="N5">
        <v>1</v>
      </c>
    </row>
    <row r="6" spans="1:14">
      <c r="A6" t="s">
        <v>8316</v>
      </c>
      <c r="B6" t="s">
        <v>5580</v>
      </c>
      <c r="C6" t="s">
        <v>5524</v>
      </c>
      <c r="D6">
        <v>7</v>
      </c>
      <c r="E6" t="s">
        <v>8317</v>
      </c>
      <c r="F6">
        <v>1</v>
      </c>
      <c r="G6" t="s">
        <v>8311</v>
      </c>
      <c r="H6" t="s">
        <v>8318</v>
      </c>
      <c r="I6">
        <v>7</v>
      </c>
      <c r="J6">
        <v>9</v>
      </c>
      <c r="K6">
        <v>55</v>
      </c>
      <c r="L6">
        <v>2</v>
      </c>
      <c r="M6">
        <v>3</v>
      </c>
      <c r="N6">
        <v>1</v>
      </c>
    </row>
    <row r="7" spans="1:14">
      <c r="A7" t="s">
        <v>8319</v>
      </c>
      <c r="B7" t="s">
        <v>5466</v>
      </c>
      <c r="C7" t="s">
        <v>5524</v>
      </c>
      <c r="D7">
        <v>9</v>
      </c>
      <c r="E7" t="s">
        <v>8310</v>
      </c>
      <c r="F7">
        <v>2</v>
      </c>
      <c r="G7" t="s">
        <v>8320</v>
      </c>
      <c r="H7" t="s">
        <v>8318</v>
      </c>
      <c r="I7">
        <v>6</v>
      </c>
      <c r="J7">
        <v>9</v>
      </c>
      <c r="K7">
        <v>1</v>
      </c>
      <c r="L7">
        <v>5</v>
      </c>
      <c r="M7">
        <v>6</v>
      </c>
      <c r="N7">
        <v>1</v>
      </c>
    </row>
    <row r="8" spans="1:14">
      <c r="A8" t="s">
        <v>8313</v>
      </c>
      <c r="B8" t="s">
        <v>5466</v>
      </c>
      <c r="C8" t="s">
        <v>5524</v>
      </c>
      <c r="D8">
        <v>12</v>
      </c>
      <c r="E8" t="s">
        <v>8310</v>
      </c>
      <c r="F8">
        <v>3</v>
      </c>
      <c r="G8" t="s">
        <v>8321</v>
      </c>
      <c r="H8" t="s">
        <v>8322</v>
      </c>
      <c r="I8">
        <v>7</v>
      </c>
      <c r="J8">
        <v>9</v>
      </c>
      <c r="K8">
        <v>2</v>
      </c>
      <c r="L8">
        <v>6</v>
      </c>
      <c r="M8">
        <v>6</v>
      </c>
      <c r="N8">
        <v>4</v>
      </c>
    </row>
    <row r="9" spans="1:14">
      <c r="A9" t="s">
        <v>8323</v>
      </c>
      <c r="B9" t="s">
        <v>5466</v>
      </c>
      <c r="C9" t="s">
        <v>8324</v>
      </c>
      <c r="D9">
        <v>15</v>
      </c>
      <c r="E9" t="s">
        <v>8325</v>
      </c>
      <c r="F9">
        <v>3</v>
      </c>
      <c r="G9" t="s">
        <v>8326</v>
      </c>
      <c r="H9" t="s">
        <v>8327</v>
      </c>
      <c r="I9">
        <v>9</v>
      </c>
      <c r="J9">
        <v>9</v>
      </c>
      <c r="K9">
        <v>1500</v>
      </c>
      <c r="L9">
        <v>6</v>
      </c>
      <c r="M9">
        <v>6</v>
      </c>
      <c r="N9">
        <v>6</v>
      </c>
    </row>
    <row r="10" spans="1:14">
      <c r="A10" t="s">
        <v>8306</v>
      </c>
      <c r="B10" t="s">
        <v>8328</v>
      </c>
      <c r="C10" t="s">
        <v>5524</v>
      </c>
      <c r="D10">
        <v>9</v>
      </c>
      <c r="E10" t="s">
        <v>8307</v>
      </c>
      <c r="F10">
        <v>2</v>
      </c>
      <c r="G10" t="s">
        <v>8329</v>
      </c>
      <c r="H10" t="s">
        <v>8312</v>
      </c>
      <c r="I10">
        <v>6</v>
      </c>
      <c r="J10">
        <v>9</v>
      </c>
      <c r="K10">
        <v>60</v>
      </c>
      <c r="L10">
        <v>6</v>
      </c>
      <c r="M10">
        <v>6</v>
      </c>
      <c r="N10">
        <v>1</v>
      </c>
    </row>
    <row r="11" spans="1:14">
      <c r="A11" t="s">
        <v>8309</v>
      </c>
      <c r="B11" t="s">
        <v>8328</v>
      </c>
      <c r="C11" t="s">
        <v>5524</v>
      </c>
      <c r="D11">
        <v>11</v>
      </c>
      <c r="E11" t="s">
        <v>8310</v>
      </c>
      <c r="F11">
        <v>2</v>
      </c>
      <c r="G11" t="s">
        <v>8330</v>
      </c>
      <c r="H11" t="s">
        <v>8331</v>
      </c>
      <c r="I11">
        <v>6</v>
      </c>
      <c r="J11">
        <v>9</v>
      </c>
      <c r="K11">
        <v>80</v>
      </c>
      <c r="L11">
        <v>6</v>
      </c>
      <c r="M11">
        <v>6</v>
      </c>
      <c r="N11">
        <v>1</v>
      </c>
    </row>
    <row r="12" spans="1:14">
      <c r="A12" t="s">
        <v>8313</v>
      </c>
      <c r="B12" t="s">
        <v>8328</v>
      </c>
      <c r="C12" t="s">
        <v>5524</v>
      </c>
      <c r="D12">
        <v>12</v>
      </c>
      <c r="E12" t="s">
        <v>8310</v>
      </c>
      <c r="F12">
        <v>3</v>
      </c>
      <c r="G12" t="s">
        <v>8314</v>
      </c>
      <c r="H12" t="s">
        <v>8332</v>
      </c>
      <c r="I12">
        <v>7</v>
      </c>
      <c r="J12">
        <v>9</v>
      </c>
      <c r="K12">
        <v>125</v>
      </c>
      <c r="L12">
        <v>6</v>
      </c>
      <c r="M12">
        <v>6</v>
      </c>
      <c r="N12">
        <v>2</v>
      </c>
    </row>
    <row r="13" spans="1:14">
      <c r="A13" t="s">
        <v>8333</v>
      </c>
      <c r="B13" t="s">
        <v>8328</v>
      </c>
      <c r="C13" t="s">
        <v>5524</v>
      </c>
      <c r="D13">
        <v>13</v>
      </c>
      <c r="E13" t="s">
        <v>8310</v>
      </c>
      <c r="F13">
        <v>3</v>
      </c>
      <c r="G13" t="s">
        <v>8334</v>
      </c>
      <c r="H13" t="s">
        <v>8322</v>
      </c>
      <c r="I13">
        <v>6</v>
      </c>
      <c r="J13">
        <v>9</v>
      </c>
      <c r="K13">
        <v>1000</v>
      </c>
      <c r="L13">
        <v>6</v>
      </c>
      <c r="M13">
        <v>6</v>
      </c>
      <c r="N13">
        <v>6</v>
      </c>
    </row>
    <row r="14" spans="1:14">
      <c r="A14" t="s">
        <v>8306</v>
      </c>
      <c r="B14" t="s">
        <v>5564</v>
      </c>
      <c r="C14" t="s">
        <v>5524</v>
      </c>
      <c r="D14">
        <v>9</v>
      </c>
      <c r="E14" t="s">
        <v>8307</v>
      </c>
      <c r="F14">
        <v>2</v>
      </c>
      <c r="G14" t="s">
        <v>8335</v>
      </c>
      <c r="H14" t="s">
        <v>8318</v>
      </c>
      <c r="I14">
        <v>6</v>
      </c>
      <c r="J14">
        <v>9</v>
      </c>
      <c r="K14">
        <v>85</v>
      </c>
      <c r="L14">
        <v>5</v>
      </c>
      <c r="M14">
        <v>3</v>
      </c>
      <c r="N14">
        <v>1</v>
      </c>
    </row>
    <row r="15" spans="1:14">
      <c r="A15" t="s">
        <v>8309</v>
      </c>
      <c r="B15" t="s">
        <v>5564</v>
      </c>
      <c r="C15" t="s">
        <v>5524</v>
      </c>
      <c r="D15">
        <v>11</v>
      </c>
      <c r="E15" t="s">
        <v>8310</v>
      </c>
      <c r="F15">
        <v>2</v>
      </c>
      <c r="G15" t="s">
        <v>8336</v>
      </c>
      <c r="H15" t="s">
        <v>8337</v>
      </c>
      <c r="I15">
        <v>6</v>
      </c>
      <c r="J15">
        <v>9</v>
      </c>
      <c r="K15">
        <v>130</v>
      </c>
      <c r="L15">
        <v>5</v>
      </c>
      <c r="M15">
        <v>3</v>
      </c>
      <c r="N15">
        <v>1</v>
      </c>
    </row>
    <row r="16" spans="1:14">
      <c r="A16" t="s">
        <v>8313</v>
      </c>
      <c r="B16" t="s">
        <v>5564</v>
      </c>
      <c r="C16" t="s">
        <v>5524</v>
      </c>
      <c r="D16">
        <v>12</v>
      </c>
      <c r="E16" t="s">
        <v>8310</v>
      </c>
      <c r="F16">
        <v>2</v>
      </c>
      <c r="G16" t="s">
        <v>8338</v>
      </c>
      <c r="H16" t="s">
        <v>8339</v>
      </c>
      <c r="I16">
        <v>6</v>
      </c>
      <c r="J16">
        <v>9</v>
      </c>
      <c r="K16">
        <v>180</v>
      </c>
      <c r="L16">
        <v>5</v>
      </c>
      <c r="M16">
        <v>3</v>
      </c>
      <c r="N16">
        <v>1</v>
      </c>
    </row>
    <row r="17" spans="1:14">
      <c r="A17" t="s">
        <v>8340</v>
      </c>
      <c r="B17" t="s">
        <v>5564</v>
      </c>
      <c r="C17" t="s">
        <v>8341</v>
      </c>
      <c r="D17">
        <v>12</v>
      </c>
      <c r="E17" t="s">
        <v>8310</v>
      </c>
      <c r="F17">
        <v>2</v>
      </c>
      <c r="G17" t="s">
        <v>8342</v>
      </c>
      <c r="H17" t="s">
        <v>8343</v>
      </c>
      <c r="I17">
        <v>6</v>
      </c>
      <c r="J17">
        <v>9</v>
      </c>
      <c r="K17">
        <v>200</v>
      </c>
      <c r="L17">
        <v>7</v>
      </c>
      <c r="M17">
        <v>5</v>
      </c>
      <c r="N17">
        <v>3</v>
      </c>
    </row>
    <row r="18" spans="1:14">
      <c r="A18" t="s">
        <v>8344</v>
      </c>
      <c r="B18" t="s">
        <v>5564</v>
      </c>
      <c r="C18" t="s">
        <v>8341</v>
      </c>
      <c r="D18">
        <v>13</v>
      </c>
      <c r="E18" t="s">
        <v>8325</v>
      </c>
      <c r="F18">
        <v>2</v>
      </c>
      <c r="G18" t="s">
        <v>8345</v>
      </c>
      <c r="H18" t="s">
        <v>8346</v>
      </c>
      <c r="I18">
        <v>6</v>
      </c>
      <c r="J18">
        <v>9</v>
      </c>
      <c r="K18">
        <v>250</v>
      </c>
      <c r="L18">
        <v>7</v>
      </c>
      <c r="M18">
        <v>5</v>
      </c>
      <c r="N18">
        <v>3</v>
      </c>
    </row>
    <row r="19" spans="1:14">
      <c r="A19" t="s">
        <v>8347</v>
      </c>
      <c r="B19" t="s">
        <v>5564</v>
      </c>
      <c r="C19" t="s">
        <v>8348</v>
      </c>
      <c r="D19">
        <v>12</v>
      </c>
      <c r="E19" t="s">
        <v>8325</v>
      </c>
      <c r="F19">
        <v>3</v>
      </c>
      <c r="G19" t="s">
        <v>8349</v>
      </c>
      <c r="H19" t="s">
        <v>8332</v>
      </c>
      <c r="I19">
        <v>7</v>
      </c>
      <c r="J19">
        <v>9</v>
      </c>
      <c r="K19">
        <v>1500</v>
      </c>
      <c r="L19">
        <v>7</v>
      </c>
      <c r="M19">
        <v>7</v>
      </c>
      <c r="N19">
        <v>6</v>
      </c>
    </row>
    <row r="20" spans="1:14">
      <c r="A20" t="s">
        <v>8306</v>
      </c>
      <c r="B20" t="s">
        <v>5619</v>
      </c>
      <c r="C20" t="s">
        <v>5524</v>
      </c>
      <c r="D20">
        <v>12</v>
      </c>
      <c r="E20" t="s">
        <v>8310</v>
      </c>
      <c r="F20">
        <v>2</v>
      </c>
      <c r="G20" t="s">
        <v>8350</v>
      </c>
      <c r="H20" t="s">
        <v>8305</v>
      </c>
      <c r="I20">
        <v>7</v>
      </c>
      <c r="J20">
        <v>9</v>
      </c>
      <c r="K20">
        <v>60</v>
      </c>
      <c r="L20">
        <v>5</v>
      </c>
      <c r="M20">
        <v>5</v>
      </c>
      <c r="N20">
        <v>4</v>
      </c>
    </row>
    <row r="21" spans="1:14">
      <c r="A21" t="s">
        <v>8309</v>
      </c>
      <c r="B21" t="s">
        <v>5619</v>
      </c>
      <c r="C21" t="s">
        <v>5524</v>
      </c>
      <c r="D21">
        <v>14</v>
      </c>
      <c r="E21" t="s">
        <v>8351</v>
      </c>
      <c r="F21">
        <v>2</v>
      </c>
      <c r="G21" t="s">
        <v>8352</v>
      </c>
      <c r="H21" t="s">
        <v>8343</v>
      </c>
      <c r="I21">
        <v>7</v>
      </c>
      <c r="J21">
        <v>9</v>
      </c>
      <c r="K21">
        <v>80</v>
      </c>
      <c r="L21">
        <v>5</v>
      </c>
      <c r="M21">
        <v>5</v>
      </c>
      <c r="N21">
        <v>4</v>
      </c>
    </row>
    <row r="22" spans="1:14">
      <c r="A22" t="s">
        <v>8313</v>
      </c>
      <c r="B22" t="s">
        <v>5619</v>
      </c>
      <c r="C22" t="s">
        <v>5524</v>
      </c>
      <c r="D22">
        <v>16</v>
      </c>
      <c r="E22" t="s">
        <v>8351</v>
      </c>
      <c r="F22">
        <v>3</v>
      </c>
      <c r="G22" t="s">
        <v>8353</v>
      </c>
      <c r="H22" t="s">
        <v>8315</v>
      </c>
      <c r="I22">
        <v>8</v>
      </c>
      <c r="J22">
        <v>9</v>
      </c>
      <c r="K22">
        <v>125</v>
      </c>
      <c r="L22">
        <v>5</v>
      </c>
      <c r="M22">
        <v>5</v>
      </c>
      <c r="N22">
        <v>4</v>
      </c>
    </row>
    <row r="23" spans="1:14">
      <c r="A23" t="s">
        <v>8354</v>
      </c>
      <c r="B23" t="s">
        <v>5619</v>
      </c>
      <c r="C23" t="s">
        <v>8355</v>
      </c>
      <c r="D23">
        <v>20</v>
      </c>
      <c r="E23" t="s">
        <v>8356</v>
      </c>
      <c r="F23">
        <v>3</v>
      </c>
      <c r="G23" t="s">
        <v>8357</v>
      </c>
      <c r="H23" t="s">
        <v>8312</v>
      </c>
      <c r="I23">
        <v>9</v>
      </c>
      <c r="J23">
        <v>9</v>
      </c>
      <c r="K23">
        <v>250</v>
      </c>
      <c r="L23">
        <v>7</v>
      </c>
      <c r="M23">
        <v>7</v>
      </c>
      <c r="N23">
        <v>5</v>
      </c>
    </row>
    <row r="24" spans="1:14">
      <c r="A24" t="s">
        <v>8340</v>
      </c>
      <c r="B24" t="s">
        <v>5587</v>
      </c>
      <c r="C24" t="s">
        <v>8341</v>
      </c>
      <c r="D24">
        <v>12</v>
      </c>
      <c r="E24" t="s">
        <v>8310</v>
      </c>
      <c r="F24">
        <v>3</v>
      </c>
      <c r="G24" t="s">
        <v>8342</v>
      </c>
      <c r="H24" t="s">
        <v>8343</v>
      </c>
      <c r="I24">
        <v>6</v>
      </c>
      <c r="J24">
        <v>9</v>
      </c>
      <c r="K24">
        <v>200</v>
      </c>
      <c r="L24">
        <v>5</v>
      </c>
      <c r="M24">
        <v>4</v>
      </c>
      <c r="N24">
        <v>3</v>
      </c>
    </row>
    <row r="25" spans="1:14">
      <c r="A25" t="s">
        <v>8344</v>
      </c>
      <c r="B25" t="s">
        <v>5587</v>
      </c>
      <c r="C25" t="s">
        <v>8341</v>
      </c>
      <c r="D25">
        <v>13</v>
      </c>
      <c r="E25" t="s">
        <v>8325</v>
      </c>
      <c r="F25">
        <v>4</v>
      </c>
      <c r="G25" t="s">
        <v>8345</v>
      </c>
      <c r="H25" t="s">
        <v>8346</v>
      </c>
      <c r="I25">
        <v>6</v>
      </c>
      <c r="J25">
        <v>9</v>
      </c>
      <c r="K25">
        <v>250</v>
      </c>
      <c r="L25">
        <v>5</v>
      </c>
      <c r="M25">
        <v>4</v>
      </c>
      <c r="N25">
        <v>3</v>
      </c>
    </row>
    <row r="26" spans="1:14">
      <c r="A26" t="s">
        <v>8358</v>
      </c>
      <c r="B26" t="s">
        <v>5587</v>
      </c>
      <c r="C26" t="s">
        <v>8359</v>
      </c>
      <c r="D26">
        <v>13</v>
      </c>
      <c r="E26" t="s">
        <v>8325</v>
      </c>
      <c r="F26">
        <v>5</v>
      </c>
      <c r="G26" t="s">
        <v>8360</v>
      </c>
      <c r="H26" t="s">
        <v>8322</v>
      </c>
      <c r="I26">
        <v>5</v>
      </c>
      <c r="J26">
        <v>10</v>
      </c>
      <c r="K26">
        <v>10000</v>
      </c>
      <c r="L26">
        <v>7</v>
      </c>
      <c r="M26">
        <v>7</v>
      </c>
      <c r="N26">
        <v>5</v>
      </c>
    </row>
    <row r="27" spans="1:14">
      <c r="A27" t="s">
        <v>8306</v>
      </c>
      <c r="B27" t="s">
        <v>7598</v>
      </c>
      <c r="C27" t="s">
        <v>5524</v>
      </c>
      <c r="D27">
        <v>11</v>
      </c>
      <c r="E27" t="s">
        <v>8307</v>
      </c>
      <c r="F27">
        <v>2</v>
      </c>
      <c r="G27" t="s">
        <v>8329</v>
      </c>
      <c r="H27" t="s">
        <v>8318</v>
      </c>
      <c r="I27">
        <v>6</v>
      </c>
      <c r="J27">
        <v>9</v>
      </c>
      <c r="K27">
        <v>70</v>
      </c>
      <c r="L27">
        <v>7</v>
      </c>
      <c r="M27">
        <v>6</v>
      </c>
      <c r="N27">
        <v>1</v>
      </c>
    </row>
    <row r="28" spans="1:14">
      <c r="A28" t="s">
        <v>8309</v>
      </c>
      <c r="B28" t="s">
        <v>7598</v>
      </c>
      <c r="C28" t="s">
        <v>5524</v>
      </c>
      <c r="D28">
        <v>13</v>
      </c>
      <c r="E28" t="s">
        <v>8310</v>
      </c>
      <c r="F28">
        <v>2</v>
      </c>
      <c r="G28" t="s">
        <v>8330</v>
      </c>
      <c r="H28" t="s">
        <v>8361</v>
      </c>
      <c r="I28">
        <v>6</v>
      </c>
      <c r="J28">
        <v>9</v>
      </c>
      <c r="K28">
        <v>90</v>
      </c>
      <c r="L28">
        <v>7</v>
      </c>
      <c r="M28">
        <v>6</v>
      </c>
      <c r="N28">
        <v>1</v>
      </c>
    </row>
    <row r="29" spans="1:14">
      <c r="A29" t="s">
        <v>8313</v>
      </c>
      <c r="B29" t="s">
        <v>7598</v>
      </c>
      <c r="C29" t="s">
        <v>5524</v>
      </c>
      <c r="D29">
        <v>15</v>
      </c>
      <c r="E29" t="s">
        <v>8310</v>
      </c>
      <c r="F29">
        <v>3</v>
      </c>
      <c r="G29" t="s">
        <v>8314</v>
      </c>
      <c r="H29" t="s">
        <v>8362</v>
      </c>
      <c r="I29">
        <v>7</v>
      </c>
      <c r="J29">
        <v>9</v>
      </c>
      <c r="K29">
        <v>135</v>
      </c>
      <c r="L29">
        <v>7</v>
      </c>
      <c r="M29">
        <v>6</v>
      </c>
      <c r="N29">
        <v>2</v>
      </c>
    </row>
    <row r="30" spans="1:14">
      <c r="A30" t="s">
        <v>8306</v>
      </c>
      <c r="B30" t="s">
        <v>7597</v>
      </c>
      <c r="C30" t="s">
        <v>5524</v>
      </c>
      <c r="D30">
        <v>10</v>
      </c>
      <c r="E30" t="s">
        <v>8363</v>
      </c>
      <c r="F30">
        <v>2</v>
      </c>
      <c r="G30" t="s">
        <v>8364</v>
      </c>
      <c r="H30" t="s">
        <v>8312</v>
      </c>
      <c r="I30">
        <v>6</v>
      </c>
      <c r="J30">
        <v>9</v>
      </c>
      <c r="K30">
        <v>60</v>
      </c>
      <c r="L30">
        <v>6</v>
      </c>
      <c r="M30">
        <v>6</v>
      </c>
      <c r="N30">
        <v>1</v>
      </c>
    </row>
    <row r="31" spans="1:14">
      <c r="A31" t="s">
        <v>8340</v>
      </c>
      <c r="B31" t="s">
        <v>7597</v>
      </c>
      <c r="C31" t="s">
        <v>8341</v>
      </c>
      <c r="D31">
        <v>12</v>
      </c>
      <c r="E31" t="s">
        <v>8310</v>
      </c>
      <c r="F31">
        <v>3</v>
      </c>
      <c r="G31" t="s">
        <v>8342</v>
      </c>
      <c r="H31" t="s">
        <v>8343</v>
      </c>
      <c r="I31">
        <v>6</v>
      </c>
      <c r="J31">
        <v>9</v>
      </c>
      <c r="K31">
        <v>200</v>
      </c>
      <c r="L31">
        <v>6</v>
      </c>
      <c r="M31">
        <v>6</v>
      </c>
      <c r="N31">
        <v>3</v>
      </c>
    </row>
    <row r="32" spans="1:14">
      <c r="A32" t="s">
        <v>8365</v>
      </c>
      <c r="B32" t="s">
        <v>5612</v>
      </c>
      <c r="C32" t="s">
        <v>8366</v>
      </c>
      <c r="D32">
        <v>33</v>
      </c>
      <c r="E32" t="s">
        <v>8367</v>
      </c>
      <c r="F32">
        <v>0</v>
      </c>
      <c r="G32" t="s">
        <v>8368</v>
      </c>
      <c r="H32" t="s">
        <v>8369</v>
      </c>
      <c r="I32">
        <v>15</v>
      </c>
      <c r="J32">
        <v>10</v>
      </c>
      <c r="K32">
        <v>1E-3</v>
      </c>
      <c r="L32">
        <v>1</v>
      </c>
      <c r="M32">
        <v>1</v>
      </c>
      <c r="N32">
        <v>1</v>
      </c>
    </row>
    <row r="33" spans="1:14">
      <c r="A33" t="s">
        <v>8370</v>
      </c>
      <c r="B33" t="s">
        <v>5612</v>
      </c>
      <c r="C33" t="s">
        <v>8366</v>
      </c>
      <c r="D33">
        <v>28</v>
      </c>
      <c r="E33" t="s">
        <v>8371</v>
      </c>
      <c r="F33">
        <v>0</v>
      </c>
      <c r="G33" t="s">
        <v>8304</v>
      </c>
      <c r="H33" t="s">
        <v>8318</v>
      </c>
      <c r="I33">
        <v>13</v>
      </c>
      <c r="J33">
        <v>10</v>
      </c>
      <c r="K33">
        <v>100</v>
      </c>
      <c r="L33">
        <v>6</v>
      </c>
      <c r="M33">
        <v>7</v>
      </c>
      <c r="N33">
        <v>5</v>
      </c>
    </row>
    <row r="34" spans="1:14">
      <c r="A34" t="s">
        <v>8306</v>
      </c>
      <c r="B34" t="s">
        <v>1174</v>
      </c>
      <c r="C34" t="s">
        <v>8372</v>
      </c>
      <c r="D34">
        <v>10</v>
      </c>
      <c r="E34" t="s">
        <v>8363</v>
      </c>
      <c r="F34">
        <v>2</v>
      </c>
      <c r="G34" t="s">
        <v>8373</v>
      </c>
      <c r="H34" t="s">
        <v>8305</v>
      </c>
      <c r="I34">
        <v>6</v>
      </c>
      <c r="J34">
        <v>9</v>
      </c>
      <c r="K34">
        <v>60</v>
      </c>
      <c r="L34">
        <v>6</v>
      </c>
      <c r="M34">
        <v>6</v>
      </c>
      <c r="N34">
        <v>1</v>
      </c>
    </row>
    <row r="35" spans="1:14">
      <c r="A35" t="s">
        <v>8309</v>
      </c>
      <c r="B35" t="s">
        <v>1174</v>
      </c>
      <c r="C35" t="s">
        <v>8372</v>
      </c>
      <c r="D35">
        <v>12</v>
      </c>
      <c r="E35" t="s">
        <v>8351</v>
      </c>
      <c r="F35">
        <v>2</v>
      </c>
      <c r="G35" t="s">
        <v>8374</v>
      </c>
      <c r="H35" t="s">
        <v>8343</v>
      </c>
      <c r="I35">
        <v>6</v>
      </c>
      <c r="J35">
        <v>9</v>
      </c>
      <c r="K35">
        <v>80</v>
      </c>
      <c r="L35">
        <v>6</v>
      </c>
      <c r="M35">
        <v>6</v>
      </c>
      <c r="N35">
        <v>4</v>
      </c>
    </row>
    <row r="36" spans="1:14">
      <c r="A36" t="s">
        <v>8313</v>
      </c>
      <c r="B36" t="s">
        <v>1174</v>
      </c>
      <c r="C36" t="s">
        <v>8372</v>
      </c>
      <c r="D36">
        <v>13</v>
      </c>
      <c r="E36" t="s">
        <v>8351</v>
      </c>
      <c r="F36">
        <v>3</v>
      </c>
      <c r="G36" t="s">
        <v>8314</v>
      </c>
      <c r="H36" t="s">
        <v>8315</v>
      </c>
      <c r="I36">
        <v>7</v>
      </c>
      <c r="J36">
        <v>9</v>
      </c>
      <c r="K36">
        <v>125</v>
      </c>
      <c r="L36">
        <v>6</v>
      </c>
      <c r="M36">
        <v>6</v>
      </c>
      <c r="N36">
        <v>5</v>
      </c>
    </row>
    <row r="37" spans="1:14">
      <c r="A37" t="s">
        <v>8375</v>
      </c>
      <c r="B37" t="s">
        <v>1174</v>
      </c>
      <c r="C37" t="s">
        <v>8376</v>
      </c>
      <c r="D37">
        <v>13</v>
      </c>
      <c r="E37" t="s">
        <v>8325</v>
      </c>
      <c r="F37">
        <v>4</v>
      </c>
      <c r="G37" t="s">
        <v>8345</v>
      </c>
      <c r="H37" t="s">
        <v>8346</v>
      </c>
      <c r="I37">
        <v>6</v>
      </c>
      <c r="J37">
        <v>9</v>
      </c>
      <c r="K37">
        <v>250</v>
      </c>
      <c r="L37">
        <v>6</v>
      </c>
      <c r="M37">
        <v>6</v>
      </c>
      <c r="N37">
        <v>5</v>
      </c>
    </row>
    <row r="38" spans="1:14">
      <c r="A38" t="s">
        <v>8306</v>
      </c>
      <c r="B38" t="s">
        <v>5606</v>
      </c>
      <c r="C38" t="s">
        <v>5524</v>
      </c>
      <c r="D38">
        <v>4</v>
      </c>
      <c r="E38" t="s">
        <v>8377</v>
      </c>
      <c r="F38">
        <v>2</v>
      </c>
      <c r="G38" t="s">
        <v>8329</v>
      </c>
      <c r="H38" t="s">
        <v>8369</v>
      </c>
      <c r="I38">
        <v>5</v>
      </c>
      <c r="J38">
        <v>9</v>
      </c>
      <c r="K38">
        <v>60</v>
      </c>
      <c r="L38">
        <v>7</v>
      </c>
      <c r="M38">
        <v>7</v>
      </c>
      <c r="N38">
        <v>1</v>
      </c>
    </row>
    <row r="39" spans="1:14">
      <c r="A39" t="s">
        <v>8309</v>
      </c>
      <c r="B39" t="s">
        <v>5606</v>
      </c>
      <c r="C39" t="s">
        <v>5524</v>
      </c>
      <c r="D39">
        <v>6</v>
      </c>
      <c r="E39" t="s">
        <v>8307</v>
      </c>
      <c r="F39">
        <v>2</v>
      </c>
      <c r="G39" t="s">
        <v>8330</v>
      </c>
      <c r="H39" t="s">
        <v>8378</v>
      </c>
      <c r="I39">
        <v>5</v>
      </c>
      <c r="J39">
        <v>9</v>
      </c>
      <c r="K39">
        <v>80</v>
      </c>
      <c r="L39">
        <v>7</v>
      </c>
      <c r="M39">
        <v>7</v>
      </c>
      <c r="N39">
        <v>1</v>
      </c>
    </row>
    <row r="40" spans="1:14">
      <c r="A40" t="s">
        <v>8313</v>
      </c>
      <c r="B40" t="s">
        <v>5606</v>
      </c>
      <c r="C40" t="s">
        <v>5524</v>
      </c>
      <c r="D40">
        <v>7</v>
      </c>
      <c r="E40" t="s">
        <v>8307</v>
      </c>
      <c r="F40">
        <v>3</v>
      </c>
      <c r="G40" t="s">
        <v>8314</v>
      </c>
      <c r="H40" t="s">
        <v>8379</v>
      </c>
      <c r="I40">
        <v>6</v>
      </c>
      <c r="J40">
        <v>9</v>
      </c>
      <c r="K40">
        <v>125</v>
      </c>
      <c r="L40">
        <v>7</v>
      </c>
      <c r="M40">
        <v>7</v>
      </c>
      <c r="N40">
        <v>1</v>
      </c>
    </row>
    <row r="41" spans="1:14">
      <c r="A41" t="s">
        <v>8358</v>
      </c>
      <c r="B41" t="s">
        <v>5606</v>
      </c>
      <c r="C41" t="s">
        <v>8380</v>
      </c>
      <c r="D41">
        <v>10</v>
      </c>
      <c r="E41" t="s">
        <v>8310</v>
      </c>
      <c r="F41">
        <v>5</v>
      </c>
      <c r="G41" t="s">
        <v>8360</v>
      </c>
      <c r="H41" t="s">
        <v>8318</v>
      </c>
      <c r="I41">
        <v>4</v>
      </c>
      <c r="J41">
        <v>10</v>
      </c>
      <c r="K41">
        <v>10000</v>
      </c>
      <c r="L41">
        <v>7</v>
      </c>
      <c r="M41">
        <v>7</v>
      </c>
      <c r="N41">
        <v>5</v>
      </c>
    </row>
    <row r="42" spans="1:14">
      <c r="A42" t="s">
        <v>8381</v>
      </c>
      <c r="B42" t="s">
        <v>8382</v>
      </c>
      <c r="C42" t="s">
        <v>8383</v>
      </c>
      <c r="D42">
        <v>21</v>
      </c>
      <c r="E42" t="s">
        <v>8384</v>
      </c>
      <c r="F42">
        <v>3</v>
      </c>
      <c r="G42" t="s">
        <v>8385</v>
      </c>
      <c r="H42" t="s">
        <v>8318</v>
      </c>
      <c r="I42">
        <v>8</v>
      </c>
      <c r="J42">
        <v>9</v>
      </c>
      <c r="K42">
        <v>1000000</v>
      </c>
      <c r="L42">
        <v>7</v>
      </c>
      <c r="M42">
        <v>7</v>
      </c>
      <c r="N42">
        <v>7</v>
      </c>
    </row>
  </sheetData>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27"/>
  <sheetViews>
    <sheetView workbookViewId="0"/>
  </sheetViews>
  <sheetFormatPr baseColWidth="10" defaultColWidth="9.140625" defaultRowHeight="15"/>
  <sheetData>
    <row r="1" spans="1:11">
      <c r="A1" t="s">
        <v>5474</v>
      </c>
      <c r="B1" t="s">
        <v>8386</v>
      </c>
      <c r="C1" t="s">
        <v>8387</v>
      </c>
      <c r="D1" t="s">
        <v>8388</v>
      </c>
      <c r="E1" t="s">
        <v>8389</v>
      </c>
      <c r="F1" t="s">
        <v>7225</v>
      </c>
      <c r="G1" t="s">
        <v>7286</v>
      </c>
      <c r="H1" t="s">
        <v>7285</v>
      </c>
      <c r="I1" t="s">
        <v>8300</v>
      </c>
      <c r="J1" t="s">
        <v>7224</v>
      </c>
      <c r="K1" t="s">
        <v>8390</v>
      </c>
    </row>
    <row r="2" spans="1:11">
      <c r="A2" t="s">
        <v>8391</v>
      </c>
      <c r="B2" t="s">
        <v>8392</v>
      </c>
      <c r="C2" t="s">
        <v>8393</v>
      </c>
      <c r="D2" t="s">
        <v>8394</v>
      </c>
      <c r="E2" t="s">
        <v>8394</v>
      </c>
      <c r="F2" t="s">
        <v>8395</v>
      </c>
      <c r="J2" t="s">
        <v>3868</v>
      </c>
    </row>
    <row r="3" spans="1:11">
      <c r="A3" t="s">
        <v>8396</v>
      </c>
      <c r="B3" t="s">
        <v>8397</v>
      </c>
      <c r="C3" t="s">
        <v>8393</v>
      </c>
      <c r="D3" t="s">
        <v>8398</v>
      </c>
      <c r="E3" t="s">
        <v>8398</v>
      </c>
      <c r="F3" t="s">
        <v>8399</v>
      </c>
      <c r="G3">
        <v>1</v>
      </c>
      <c r="H3">
        <v>5</v>
      </c>
      <c r="J3" t="s">
        <v>3868</v>
      </c>
    </row>
    <row r="4" spans="1:11">
      <c r="A4" t="s">
        <v>8400</v>
      </c>
      <c r="B4" t="s">
        <v>8397</v>
      </c>
      <c r="C4" t="s">
        <v>8393</v>
      </c>
      <c r="D4" t="s">
        <v>8393</v>
      </c>
      <c r="E4" t="s">
        <v>8393</v>
      </c>
      <c r="F4" t="s">
        <v>8401</v>
      </c>
      <c r="G4">
        <v>4</v>
      </c>
      <c r="H4">
        <v>4</v>
      </c>
      <c r="J4" t="s">
        <v>3868</v>
      </c>
    </row>
    <row r="5" spans="1:11">
      <c r="A5" t="s">
        <v>8402</v>
      </c>
      <c r="B5" t="s">
        <v>8403</v>
      </c>
      <c r="C5" t="s">
        <v>8393</v>
      </c>
      <c r="D5" t="s">
        <v>8393</v>
      </c>
      <c r="E5" t="s">
        <v>8393</v>
      </c>
      <c r="F5" t="s">
        <v>8404</v>
      </c>
      <c r="G5">
        <v>1</v>
      </c>
      <c r="H5">
        <v>4</v>
      </c>
      <c r="J5" t="s">
        <v>3868</v>
      </c>
    </row>
    <row r="6" spans="1:11">
      <c r="A6" t="s">
        <v>8405</v>
      </c>
      <c r="B6" t="s">
        <v>8403</v>
      </c>
      <c r="C6" t="s">
        <v>8406</v>
      </c>
      <c r="D6" t="s">
        <v>8393</v>
      </c>
      <c r="E6" t="s">
        <v>8393</v>
      </c>
      <c r="F6" t="s">
        <v>8407</v>
      </c>
      <c r="G6">
        <v>7</v>
      </c>
      <c r="H6">
        <v>7</v>
      </c>
      <c r="I6">
        <v>2</v>
      </c>
      <c r="J6" t="s">
        <v>3868</v>
      </c>
      <c r="K6" t="s">
        <v>8408</v>
      </c>
    </row>
    <row r="7" spans="1:11">
      <c r="A7" t="s">
        <v>8409</v>
      </c>
      <c r="B7" t="s">
        <v>8403</v>
      </c>
      <c r="C7" t="s">
        <v>8410</v>
      </c>
      <c r="D7" t="s">
        <v>8393</v>
      </c>
      <c r="E7" t="s">
        <v>8393</v>
      </c>
      <c r="F7" t="s">
        <v>8411</v>
      </c>
      <c r="G7">
        <v>4</v>
      </c>
      <c r="H7">
        <v>3</v>
      </c>
      <c r="J7" t="s">
        <v>3868</v>
      </c>
    </row>
    <row r="8" spans="1:11">
      <c r="A8" t="s">
        <v>8412</v>
      </c>
      <c r="B8" t="s">
        <v>8403</v>
      </c>
      <c r="C8" t="s">
        <v>8413</v>
      </c>
      <c r="D8" t="s">
        <v>8393</v>
      </c>
      <c r="E8" t="s">
        <v>8393</v>
      </c>
      <c r="F8" t="s">
        <v>8414</v>
      </c>
      <c r="G8">
        <v>3</v>
      </c>
      <c r="H8">
        <v>1</v>
      </c>
      <c r="J8" t="s">
        <v>3868</v>
      </c>
    </row>
    <row r="9" spans="1:11">
      <c r="A9" t="s">
        <v>8415</v>
      </c>
      <c r="B9" t="s">
        <v>8403</v>
      </c>
      <c r="C9" t="s">
        <v>8416</v>
      </c>
      <c r="D9" t="s">
        <v>8393</v>
      </c>
      <c r="E9" t="s">
        <v>8393</v>
      </c>
      <c r="F9" t="s">
        <v>8417</v>
      </c>
      <c r="G9">
        <v>4</v>
      </c>
      <c r="H9">
        <v>3</v>
      </c>
      <c r="J9" t="s">
        <v>3868</v>
      </c>
    </row>
    <row r="10" spans="1:11">
      <c r="A10" t="s">
        <v>8418</v>
      </c>
      <c r="B10" t="s">
        <v>8403</v>
      </c>
      <c r="C10" t="s">
        <v>8419</v>
      </c>
      <c r="D10" t="s">
        <v>8393</v>
      </c>
      <c r="E10" t="s">
        <v>8393</v>
      </c>
      <c r="F10" t="s">
        <v>8420</v>
      </c>
      <c r="G10">
        <v>5</v>
      </c>
      <c r="H10">
        <v>4</v>
      </c>
      <c r="J10" t="s">
        <v>3868</v>
      </c>
    </row>
    <row r="11" spans="1:11">
      <c r="A11" t="s">
        <v>8421</v>
      </c>
      <c r="B11" t="s">
        <v>8403</v>
      </c>
      <c r="C11" t="s">
        <v>8422</v>
      </c>
      <c r="D11" t="s">
        <v>8393</v>
      </c>
      <c r="E11" t="s">
        <v>8393</v>
      </c>
      <c r="F11" t="s">
        <v>8423</v>
      </c>
      <c r="G11">
        <v>5</v>
      </c>
      <c r="H11">
        <v>4</v>
      </c>
      <c r="J11" t="s">
        <v>3868</v>
      </c>
    </row>
    <row r="12" spans="1:11">
      <c r="A12" t="s">
        <v>8424</v>
      </c>
      <c r="B12" t="s">
        <v>8403</v>
      </c>
      <c r="C12" t="s">
        <v>8413</v>
      </c>
      <c r="D12" t="s">
        <v>8393</v>
      </c>
      <c r="E12" t="s">
        <v>8393</v>
      </c>
      <c r="F12" t="s">
        <v>8425</v>
      </c>
      <c r="G12">
        <v>6</v>
      </c>
      <c r="H12">
        <v>5</v>
      </c>
      <c r="J12" t="s">
        <v>3868</v>
      </c>
      <c r="K12" t="s">
        <v>8426</v>
      </c>
    </row>
    <row r="13" spans="1:11">
      <c r="A13" t="s">
        <v>8427</v>
      </c>
      <c r="B13" t="s">
        <v>8403</v>
      </c>
      <c r="C13" t="s">
        <v>8428</v>
      </c>
      <c r="D13" t="s">
        <v>8393</v>
      </c>
      <c r="E13" t="s">
        <v>8393</v>
      </c>
      <c r="F13" t="s">
        <v>8429</v>
      </c>
      <c r="G13">
        <v>7</v>
      </c>
      <c r="H13">
        <v>6</v>
      </c>
      <c r="J13" t="s">
        <v>3868</v>
      </c>
    </row>
    <row r="14" spans="1:11">
      <c r="A14" t="s">
        <v>8430</v>
      </c>
      <c r="B14" t="s">
        <v>8403</v>
      </c>
      <c r="C14" t="s">
        <v>8422</v>
      </c>
      <c r="D14" t="s">
        <v>8393</v>
      </c>
      <c r="E14" t="s">
        <v>8393</v>
      </c>
      <c r="F14" t="s">
        <v>8425</v>
      </c>
      <c r="G14">
        <v>5</v>
      </c>
      <c r="H14">
        <v>5</v>
      </c>
      <c r="J14" t="s">
        <v>3868</v>
      </c>
    </row>
    <row r="15" spans="1:11">
      <c r="A15" t="s">
        <v>8431</v>
      </c>
      <c r="B15" t="s">
        <v>8397</v>
      </c>
      <c r="C15" t="s">
        <v>8432</v>
      </c>
      <c r="D15" t="s">
        <v>8393</v>
      </c>
      <c r="E15" t="s">
        <v>8393</v>
      </c>
      <c r="F15" t="s">
        <v>8420</v>
      </c>
      <c r="G15">
        <v>5</v>
      </c>
      <c r="H15">
        <v>5</v>
      </c>
      <c r="J15" t="s">
        <v>3868</v>
      </c>
      <c r="K15" t="s">
        <v>8433</v>
      </c>
    </row>
    <row r="16" spans="1:11">
      <c r="A16" t="s">
        <v>8434</v>
      </c>
      <c r="B16" t="s">
        <v>8403</v>
      </c>
      <c r="C16" t="s">
        <v>8432</v>
      </c>
      <c r="D16" t="s">
        <v>8393</v>
      </c>
      <c r="E16" t="s">
        <v>8393</v>
      </c>
      <c r="F16" t="s">
        <v>8435</v>
      </c>
      <c r="G16">
        <v>5</v>
      </c>
      <c r="H16">
        <v>5</v>
      </c>
      <c r="J16" t="s">
        <v>3874</v>
      </c>
      <c r="K16" t="s">
        <v>8436</v>
      </c>
    </row>
    <row r="17" spans="1:11">
      <c r="A17" t="s">
        <v>8437</v>
      </c>
      <c r="B17" t="s">
        <v>8416</v>
      </c>
      <c r="C17" t="s">
        <v>8438</v>
      </c>
      <c r="D17" t="s">
        <v>8438</v>
      </c>
      <c r="E17" t="s">
        <v>8439</v>
      </c>
      <c r="F17" t="s">
        <v>8440</v>
      </c>
      <c r="G17">
        <v>4</v>
      </c>
      <c r="H17">
        <v>3</v>
      </c>
      <c r="J17" t="s">
        <v>3874</v>
      </c>
    </row>
    <row r="18" spans="1:11">
      <c r="A18" t="s">
        <v>8441</v>
      </c>
      <c r="B18" t="s">
        <v>8413</v>
      </c>
      <c r="C18" t="s">
        <v>8416</v>
      </c>
      <c r="D18" t="s">
        <v>8416</v>
      </c>
      <c r="E18" t="s">
        <v>8442</v>
      </c>
      <c r="F18" t="s">
        <v>8443</v>
      </c>
      <c r="G18">
        <v>4</v>
      </c>
      <c r="H18">
        <v>4</v>
      </c>
      <c r="J18" t="s">
        <v>3868</v>
      </c>
      <c r="K18" t="s">
        <v>8444</v>
      </c>
    </row>
    <row r="19" spans="1:11">
      <c r="A19" t="s">
        <v>8445</v>
      </c>
      <c r="B19" t="s">
        <v>8393</v>
      </c>
      <c r="C19" t="s">
        <v>8410</v>
      </c>
      <c r="D19" t="s">
        <v>8410</v>
      </c>
      <c r="E19" t="s">
        <v>8446</v>
      </c>
      <c r="F19" t="s">
        <v>8440</v>
      </c>
      <c r="G19">
        <v>4</v>
      </c>
      <c r="H19">
        <v>3</v>
      </c>
      <c r="J19" t="s">
        <v>3868</v>
      </c>
      <c r="K19" t="s">
        <v>8447</v>
      </c>
    </row>
    <row r="20" spans="1:11">
      <c r="A20" t="s">
        <v>8448</v>
      </c>
      <c r="B20" t="s">
        <v>8432</v>
      </c>
      <c r="C20" t="s">
        <v>8410</v>
      </c>
      <c r="D20" t="s">
        <v>8410</v>
      </c>
      <c r="E20" t="s">
        <v>8446</v>
      </c>
      <c r="F20" t="s">
        <v>8449</v>
      </c>
      <c r="G20">
        <v>5</v>
      </c>
      <c r="H20">
        <v>4</v>
      </c>
      <c r="J20" t="s">
        <v>3868</v>
      </c>
      <c r="K20" t="s">
        <v>8450</v>
      </c>
    </row>
    <row r="21" spans="1:11">
      <c r="A21" t="s">
        <v>8451</v>
      </c>
      <c r="B21" t="s">
        <v>8413</v>
      </c>
      <c r="C21" t="s">
        <v>8452</v>
      </c>
      <c r="D21" t="s">
        <v>8452</v>
      </c>
      <c r="E21" t="s">
        <v>8393</v>
      </c>
      <c r="F21" t="s">
        <v>8440</v>
      </c>
      <c r="G21">
        <v>3</v>
      </c>
      <c r="H21">
        <v>2</v>
      </c>
      <c r="J21" t="s">
        <v>3874</v>
      </c>
      <c r="K21" t="s">
        <v>8453</v>
      </c>
    </row>
    <row r="22" spans="1:11">
      <c r="A22" t="s">
        <v>8454</v>
      </c>
      <c r="B22" t="s">
        <v>8432</v>
      </c>
      <c r="C22" t="s">
        <v>8428</v>
      </c>
      <c r="D22" t="s">
        <v>8428</v>
      </c>
      <c r="E22" t="s">
        <v>8393</v>
      </c>
      <c r="F22" t="s">
        <v>8455</v>
      </c>
      <c r="G22">
        <v>3</v>
      </c>
      <c r="H22">
        <v>3</v>
      </c>
      <c r="J22" t="s">
        <v>3868</v>
      </c>
    </row>
    <row r="23" spans="1:11">
      <c r="A23" t="s">
        <v>8456</v>
      </c>
      <c r="B23" t="s">
        <v>8393</v>
      </c>
      <c r="C23" t="s">
        <v>8432</v>
      </c>
      <c r="D23" t="s">
        <v>8432</v>
      </c>
      <c r="E23" t="s">
        <v>8457</v>
      </c>
      <c r="F23" t="s">
        <v>8458</v>
      </c>
      <c r="G23">
        <v>6</v>
      </c>
      <c r="H23">
        <v>5</v>
      </c>
      <c r="J23" t="s">
        <v>3868</v>
      </c>
      <c r="K23" t="s">
        <v>8459</v>
      </c>
    </row>
    <row r="24" spans="1:11">
      <c r="A24" t="s">
        <v>8460</v>
      </c>
      <c r="B24" t="s">
        <v>8461</v>
      </c>
      <c r="C24" t="s">
        <v>8393</v>
      </c>
      <c r="D24" t="s">
        <v>8393</v>
      </c>
      <c r="E24" t="s">
        <v>8393</v>
      </c>
      <c r="F24" t="s">
        <v>8423</v>
      </c>
      <c r="G24">
        <v>7</v>
      </c>
      <c r="H24">
        <v>7</v>
      </c>
      <c r="I24">
        <v>6</v>
      </c>
      <c r="J24" t="s">
        <v>8462</v>
      </c>
      <c r="K24" t="s">
        <v>8463</v>
      </c>
    </row>
    <row r="25" spans="1:11">
      <c r="A25" t="s">
        <v>8464</v>
      </c>
      <c r="B25" t="s">
        <v>8465</v>
      </c>
      <c r="C25" t="s">
        <v>8410</v>
      </c>
      <c r="D25" t="s">
        <v>8393</v>
      </c>
      <c r="E25" t="s">
        <v>8393</v>
      </c>
      <c r="F25" t="s">
        <v>8466</v>
      </c>
      <c r="G25">
        <v>7</v>
      </c>
      <c r="H25">
        <v>7</v>
      </c>
      <c r="I25">
        <v>4</v>
      </c>
      <c r="J25" t="s">
        <v>3868</v>
      </c>
      <c r="K25" t="s">
        <v>8467</v>
      </c>
    </row>
    <row r="26" spans="1:11">
      <c r="A26" t="s">
        <v>8468</v>
      </c>
      <c r="B26" t="s">
        <v>8465</v>
      </c>
      <c r="C26" t="s">
        <v>8419</v>
      </c>
      <c r="D26" t="s">
        <v>8457</v>
      </c>
      <c r="E26" t="s">
        <v>8457</v>
      </c>
      <c r="F26" t="s">
        <v>8469</v>
      </c>
      <c r="G26">
        <v>6</v>
      </c>
      <c r="H26">
        <v>7</v>
      </c>
      <c r="I26">
        <v>5</v>
      </c>
      <c r="J26" t="s">
        <v>3868</v>
      </c>
      <c r="K26" t="s">
        <v>8470</v>
      </c>
    </row>
    <row r="27" spans="1:11">
      <c r="A27" t="s">
        <v>8471</v>
      </c>
      <c r="B27" t="s">
        <v>8472</v>
      </c>
      <c r="C27" t="s">
        <v>8413</v>
      </c>
      <c r="D27" t="s">
        <v>8393</v>
      </c>
      <c r="E27" t="s">
        <v>8393</v>
      </c>
      <c r="F27" t="s">
        <v>8414</v>
      </c>
      <c r="G27">
        <v>7</v>
      </c>
      <c r="H27">
        <v>7</v>
      </c>
      <c r="I27">
        <v>1</v>
      </c>
      <c r="J27" t="s">
        <v>3868</v>
      </c>
      <c r="K27" t="s">
        <v>8473</v>
      </c>
    </row>
  </sheetData>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L39"/>
  <sheetViews>
    <sheetView workbookViewId="0"/>
  </sheetViews>
  <sheetFormatPr baseColWidth="10" defaultColWidth="9.140625" defaultRowHeight="15"/>
  <cols>
    <col min="1" max="1" width="31" style="48" customWidth="1"/>
  </cols>
  <sheetData>
    <row r="1" spans="1:12">
      <c r="A1" t="s">
        <v>5474</v>
      </c>
      <c r="B1" t="s">
        <v>5455</v>
      </c>
      <c r="C1" t="s">
        <v>8474</v>
      </c>
      <c r="D1" t="s">
        <v>8295</v>
      </c>
      <c r="E1" t="s">
        <v>7350</v>
      </c>
      <c r="F1" t="s">
        <v>8296</v>
      </c>
      <c r="G1" t="s">
        <v>8297</v>
      </c>
      <c r="H1" t="s">
        <v>7225</v>
      </c>
      <c r="I1" t="s">
        <v>7286</v>
      </c>
      <c r="J1" t="s">
        <v>7285</v>
      </c>
      <c r="K1" t="s">
        <v>8300</v>
      </c>
      <c r="L1" t="s">
        <v>8475</v>
      </c>
    </row>
    <row r="2" spans="1:12">
      <c r="A2" t="s">
        <v>8476</v>
      </c>
      <c r="B2" t="s">
        <v>8302</v>
      </c>
      <c r="C2" t="s">
        <v>8477</v>
      </c>
      <c r="D2" t="s">
        <v>8317</v>
      </c>
      <c r="E2">
        <v>2</v>
      </c>
      <c r="F2" t="s">
        <v>8478</v>
      </c>
      <c r="G2" t="s">
        <v>8479</v>
      </c>
      <c r="H2">
        <v>1E-3</v>
      </c>
      <c r="I2">
        <v>1</v>
      </c>
      <c r="J2">
        <v>1</v>
      </c>
      <c r="K2">
        <v>1</v>
      </c>
    </row>
    <row r="3" spans="1:12">
      <c r="A3" t="s">
        <v>8480</v>
      </c>
      <c r="B3" t="s">
        <v>8328</v>
      </c>
      <c r="C3" t="s">
        <v>8481</v>
      </c>
      <c r="D3" t="s">
        <v>8317</v>
      </c>
      <c r="E3">
        <v>3</v>
      </c>
      <c r="F3" t="s">
        <v>8482</v>
      </c>
      <c r="G3" t="s">
        <v>8479</v>
      </c>
      <c r="H3">
        <v>100</v>
      </c>
      <c r="I3">
        <v>6</v>
      </c>
      <c r="J3">
        <v>7</v>
      </c>
      <c r="K3">
        <v>4</v>
      </c>
    </row>
    <row r="4" spans="1:12">
      <c r="A4" t="s">
        <v>8483</v>
      </c>
      <c r="B4" t="s">
        <v>8328</v>
      </c>
      <c r="C4" t="s">
        <v>8484</v>
      </c>
      <c r="D4" t="s">
        <v>8485</v>
      </c>
      <c r="E4">
        <v>4</v>
      </c>
      <c r="F4" t="s">
        <v>8486</v>
      </c>
      <c r="G4" t="s">
        <v>8369</v>
      </c>
      <c r="H4">
        <v>120</v>
      </c>
      <c r="I4">
        <v>6</v>
      </c>
      <c r="J4">
        <v>7</v>
      </c>
      <c r="K4">
        <v>2</v>
      </c>
    </row>
    <row r="5" spans="1:12">
      <c r="A5" t="s">
        <v>8487</v>
      </c>
      <c r="B5" t="s">
        <v>8328</v>
      </c>
      <c r="C5" t="s">
        <v>8488</v>
      </c>
      <c r="D5" t="s">
        <v>8489</v>
      </c>
      <c r="E5">
        <v>5</v>
      </c>
      <c r="F5" t="s">
        <v>8490</v>
      </c>
      <c r="G5" t="s">
        <v>8305</v>
      </c>
      <c r="H5">
        <v>200</v>
      </c>
      <c r="I5">
        <v>6</v>
      </c>
      <c r="J5">
        <v>7</v>
      </c>
      <c r="K5">
        <v>3</v>
      </c>
    </row>
    <row r="6" spans="1:12">
      <c r="A6" t="s">
        <v>8491</v>
      </c>
      <c r="B6" t="s">
        <v>8328</v>
      </c>
      <c r="C6" t="s">
        <v>8492</v>
      </c>
      <c r="D6" t="s">
        <v>8493</v>
      </c>
      <c r="E6">
        <v>6</v>
      </c>
      <c r="F6" t="s">
        <v>8494</v>
      </c>
      <c r="G6" t="s">
        <v>8312</v>
      </c>
      <c r="H6">
        <v>800</v>
      </c>
      <c r="I6">
        <v>6</v>
      </c>
      <c r="J6">
        <v>7</v>
      </c>
      <c r="K6">
        <v>4</v>
      </c>
    </row>
    <row r="7" spans="1:12">
      <c r="A7" t="s">
        <v>8495</v>
      </c>
      <c r="B7" t="s">
        <v>8328</v>
      </c>
      <c r="C7" t="s">
        <v>8496</v>
      </c>
      <c r="D7" t="s">
        <v>8303</v>
      </c>
      <c r="E7">
        <v>4</v>
      </c>
      <c r="F7" t="s">
        <v>8497</v>
      </c>
      <c r="G7" t="s">
        <v>8479</v>
      </c>
      <c r="H7">
        <v>900</v>
      </c>
      <c r="I7">
        <v>6</v>
      </c>
      <c r="J7">
        <v>7</v>
      </c>
      <c r="K7">
        <v>6</v>
      </c>
      <c r="L7" t="s">
        <v>8498</v>
      </c>
    </row>
    <row r="8" spans="1:12">
      <c r="A8" t="s">
        <v>8480</v>
      </c>
      <c r="B8" t="s">
        <v>5580</v>
      </c>
      <c r="C8" t="s">
        <v>8499</v>
      </c>
      <c r="D8" t="s">
        <v>8317</v>
      </c>
      <c r="E8">
        <v>2</v>
      </c>
      <c r="F8" t="s">
        <v>8500</v>
      </c>
      <c r="G8" t="s">
        <v>8479</v>
      </c>
      <c r="H8">
        <v>75</v>
      </c>
      <c r="I8">
        <v>5</v>
      </c>
      <c r="J8">
        <v>5</v>
      </c>
      <c r="K8">
        <v>3</v>
      </c>
    </row>
    <row r="9" spans="1:12">
      <c r="A9" t="s">
        <v>8483</v>
      </c>
      <c r="B9" t="s">
        <v>5580</v>
      </c>
      <c r="C9" t="s">
        <v>8501</v>
      </c>
      <c r="D9" t="s">
        <v>8485</v>
      </c>
      <c r="E9">
        <v>2</v>
      </c>
      <c r="F9" t="s">
        <v>8502</v>
      </c>
      <c r="G9" t="s">
        <v>8369</v>
      </c>
      <c r="H9">
        <v>90</v>
      </c>
      <c r="I9">
        <v>4</v>
      </c>
      <c r="J9">
        <v>4</v>
      </c>
      <c r="K9">
        <v>1</v>
      </c>
    </row>
    <row r="10" spans="1:12">
      <c r="A10" t="s">
        <v>8487</v>
      </c>
      <c r="B10" t="s">
        <v>5580</v>
      </c>
      <c r="C10" t="s">
        <v>8503</v>
      </c>
      <c r="D10" t="s">
        <v>8489</v>
      </c>
      <c r="E10">
        <v>4</v>
      </c>
      <c r="F10" t="s">
        <v>8504</v>
      </c>
      <c r="G10" t="s">
        <v>8305</v>
      </c>
      <c r="H10">
        <v>150</v>
      </c>
      <c r="I10">
        <v>4</v>
      </c>
      <c r="J10">
        <v>4</v>
      </c>
      <c r="K10">
        <v>2</v>
      </c>
    </row>
    <row r="11" spans="1:12">
      <c r="A11" t="s">
        <v>8491</v>
      </c>
      <c r="B11" t="s">
        <v>5580</v>
      </c>
      <c r="C11" t="s">
        <v>8505</v>
      </c>
      <c r="D11" t="s">
        <v>8493</v>
      </c>
      <c r="E11">
        <v>5</v>
      </c>
      <c r="F11" t="s">
        <v>8506</v>
      </c>
      <c r="G11" t="s">
        <v>8312</v>
      </c>
      <c r="H11">
        <v>600</v>
      </c>
      <c r="I11">
        <v>4</v>
      </c>
      <c r="J11">
        <v>4</v>
      </c>
      <c r="K11">
        <v>3</v>
      </c>
    </row>
    <row r="12" spans="1:12">
      <c r="A12" t="s">
        <v>8495</v>
      </c>
      <c r="B12" t="s">
        <v>5580</v>
      </c>
      <c r="C12" t="s">
        <v>8507</v>
      </c>
      <c r="D12" t="s">
        <v>8303</v>
      </c>
      <c r="E12">
        <v>3</v>
      </c>
      <c r="F12" t="s">
        <v>8508</v>
      </c>
      <c r="G12" t="s">
        <v>8479</v>
      </c>
      <c r="H12">
        <v>675</v>
      </c>
      <c r="I12">
        <v>4</v>
      </c>
      <c r="J12">
        <v>4</v>
      </c>
      <c r="K12">
        <v>5</v>
      </c>
      <c r="L12" t="s">
        <v>8498</v>
      </c>
    </row>
    <row r="13" spans="1:12">
      <c r="A13" t="s">
        <v>8480</v>
      </c>
      <c r="B13" t="s">
        <v>5619</v>
      </c>
      <c r="C13" t="s">
        <v>8509</v>
      </c>
      <c r="D13" t="s">
        <v>8317</v>
      </c>
      <c r="E13">
        <v>4</v>
      </c>
      <c r="F13" t="s">
        <v>8482</v>
      </c>
      <c r="G13" t="s">
        <v>8479</v>
      </c>
      <c r="H13">
        <v>100</v>
      </c>
      <c r="I13">
        <v>6</v>
      </c>
      <c r="J13">
        <v>6</v>
      </c>
      <c r="K13">
        <v>4</v>
      </c>
    </row>
    <row r="14" spans="1:12">
      <c r="A14" t="s">
        <v>8483</v>
      </c>
      <c r="B14" t="s">
        <v>5619</v>
      </c>
      <c r="C14" t="s">
        <v>8510</v>
      </c>
      <c r="D14" t="s">
        <v>8485</v>
      </c>
      <c r="E14">
        <v>5</v>
      </c>
      <c r="F14" t="s">
        <v>8486</v>
      </c>
      <c r="G14" t="s">
        <v>8369</v>
      </c>
      <c r="H14">
        <v>120</v>
      </c>
      <c r="I14">
        <v>5</v>
      </c>
      <c r="J14">
        <v>5</v>
      </c>
      <c r="K14">
        <v>2</v>
      </c>
    </row>
    <row r="15" spans="1:12">
      <c r="A15" t="s">
        <v>8487</v>
      </c>
      <c r="B15" t="s">
        <v>5619</v>
      </c>
      <c r="C15" t="s">
        <v>8511</v>
      </c>
      <c r="D15" t="s">
        <v>8489</v>
      </c>
      <c r="E15">
        <v>6</v>
      </c>
      <c r="F15" t="s">
        <v>8490</v>
      </c>
      <c r="G15" t="s">
        <v>8305</v>
      </c>
      <c r="H15">
        <v>200</v>
      </c>
      <c r="I15">
        <v>5</v>
      </c>
      <c r="J15">
        <v>5</v>
      </c>
      <c r="K15">
        <v>3</v>
      </c>
    </row>
    <row r="16" spans="1:12">
      <c r="A16" t="s">
        <v>8491</v>
      </c>
      <c r="B16" t="s">
        <v>5619</v>
      </c>
      <c r="C16" t="s">
        <v>8512</v>
      </c>
      <c r="D16" t="s">
        <v>8493</v>
      </c>
      <c r="E16">
        <v>7</v>
      </c>
      <c r="F16" t="s">
        <v>8494</v>
      </c>
      <c r="G16" t="s">
        <v>8312</v>
      </c>
      <c r="H16">
        <v>800</v>
      </c>
      <c r="I16">
        <v>5</v>
      </c>
      <c r="J16">
        <v>5</v>
      </c>
      <c r="K16">
        <v>4</v>
      </c>
    </row>
    <row r="17" spans="1:12">
      <c r="A17" t="s">
        <v>8513</v>
      </c>
      <c r="B17" t="s">
        <v>5619</v>
      </c>
      <c r="C17" t="s">
        <v>8514</v>
      </c>
      <c r="D17" t="s">
        <v>8515</v>
      </c>
      <c r="E17">
        <v>7</v>
      </c>
      <c r="F17" t="s">
        <v>8494</v>
      </c>
      <c r="G17" t="s">
        <v>8318</v>
      </c>
      <c r="H17">
        <v>1500</v>
      </c>
      <c r="I17">
        <v>5</v>
      </c>
      <c r="J17">
        <v>5</v>
      </c>
      <c r="K17">
        <v>5</v>
      </c>
    </row>
    <row r="18" spans="1:12">
      <c r="A18" t="s">
        <v>8495</v>
      </c>
      <c r="B18" t="s">
        <v>5619</v>
      </c>
      <c r="C18" t="s">
        <v>8516</v>
      </c>
      <c r="D18" t="s">
        <v>8303</v>
      </c>
      <c r="E18">
        <v>5</v>
      </c>
      <c r="F18" t="s">
        <v>8497</v>
      </c>
      <c r="G18" t="s">
        <v>8479</v>
      </c>
      <c r="H18">
        <v>900</v>
      </c>
      <c r="I18">
        <v>7</v>
      </c>
      <c r="J18">
        <v>7</v>
      </c>
      <c r="K18">
        <v>7</v>
      </c>
      <c r="L18" t="s">
        <v>8498</v>
      </c>
    </row>
    <row r="19" spans="1:12">
      <c r="A19" t="s">
        <v>8480</v>
      </c>
      <c r="B19" t="s">
        <v>5564</v>
      </c>
      <c r="C19" t="s">
        <v>8481</v>
      </c>
      <c r="D19" t="s">
        <v>8317</v>
      </c>
      <c r="E19">
        <v>2</v>
      </c>
      <c r="F19" t="s">
        <v>8517</v>
      </c>
      <c r="G19" t="s">
        <v>8479</v>
      </c>
      <c r="H19">
        <v>125</v>
      </c>
      <c r="I19">
        <v>6</v>
      </c>
      <c r="J19">
        <v>6</v>
      </c>
      <c r="K19">
        <v>4</v>
      </c>
    </row>
    <row r="20" spans="1:12">
      <c r="A20" t="s">
        <v>8483</v>
      </c>
      <c r="B20" t="s">
        <v>5564</v>
      </c>
      <c r="C20" t="s">
        <v>8484</v>
      </c>
      <c r="D20" t="s">
        <v>8485</v>
      </c>
      <c r="E20">
        <v>3</v>
      </c>
      <c r="F20" t="s">
        <v>8518</v>
      </c>
      <c r="G20" t="s">
        <v>8369</v>
      </c>
      <c r="H20">
        <v>150</v>
      </c>
      <c r="I20">
        <v>6</v>
      </c>
      <c r="J20">
        <v>6</v>
      </c>
      <c r="K20">
        <v>2</v>
      </c>
    </row>
    <row r="21" spans="1:12">
      <c r="A21" t="s">
        <v>8487</v>
      </c>
      <c r="B21" t="s">
        <v>5564</v>
      </c>
      <c r="C21" t="s">
        <v>8488</v>
      </c>
      <c r="D21" t="s">
        <v>8489</v>
      </c>
      <c r="E21">
        <v>4</v>
      </c>
      <c r="F21" t="s">
        <v>8519</v>
      </c>
      <c r="G21" t="s">
        <v>8305</v>
      </c>
      <c r="H21">
        <v>250</v>
      </c>
      <c r="I21">
        <v>6</v>
      </c>
      <c r="J21">
        <v>6</v>
      </c>
      <c r="K21">
        <v>3</v>
      </c>
    </row>
    <row r="22" spans="1:12">
      <c r="A22" t="s">
        <v>8491</v>
      </c>
      <c r="B22" t="s">
        <v>5564</v>
      </c>
      <c r="C22" t="s">
        <v>8492</v>
      </c>
      <c r="D22" t="s">
        <v>8493</v>
      </c>
      <c r="E22">
        <v>5</v>
      </c>
      <c r="F22" t="s">
        <v>8520</v>
      </c>
      <c r="G22" t="s">
        <v>8312</v>
      </c>
      <c r="H22">
        <v>1000</v>
      </c>
      <c r="I22">
        <v>6</v>
      </c>
      <c r="J22">
        <v>6</v>
      </c>
      <c r="K22">
        <v>4</v>
      </c>
    </row>
    <row r="23" spans="1:12">
      <c r="A23" t="s">
        <v>8495</v>
      </c>
      <c r="B23" t="s">
        <v>5564</v>
      </c>
      <c r="C23" t="s">
        <v>8496</v>
      </c>
      <c r="D23" t="s">
        <v>8303</v>
      </c>
      <c r="E23">
        <v>3</v>
      </c>
      <c r="F23" t="s">
        <v>8521</v>
      </c>
      <c r="G23" t="s">
        <v>8479</v>
      </c>
      <c r="H23">
        <v>1125</v>
      </c>
      <c r="I23">
        <v>6</v>
      </c>
      <c r="J23">
        <v>6</v>
      </c>
      <c r="K23">
        <v>6</v>
      </c>
      <c r="L23" t="s">
        <v>8498</v>
      </c>
    </row>
    <row r="24" spans="1:12">
      <c r="A24" t="s">
        <v>8480</v>
      </c>
      <c r="B24" t="s">
        <v>1174</v>
      </c>
      <c r="C24" t="s">
        <v>8481</v>
      </c>
      <c r="D24" t="s">
        <v>8310</v>
      </c>
      <c r="E24">
        <v>3</v>
      </c>
      <c r="F24" t="s">
        <v>8500</v>
      </c>
      <c r="G24" t="s">
        <v>8479</v>
      </c>
      <c r="H24">
        <v>120</v>
      </c>
      <c r="I24">
        <v>7</v>
      </c>
      <c r="J24">
        <v>7</v>
      </c>
      <c r="K24">
        <v>4</v>
      </c>
    </row>
    <row r="25" spans="1:12">
      <c r="A25" t="s">
        <v>8483</v>
      </c>
      <c r="B25" t="s">
        <v>1174</v>
      </c>
      <c r="C25" t="s">
        <v>8484</v>
      </c>
      <c r="D25" t="s">
        <v>8325</v>
      </c>
      <c r="E25">
        <v>4</v>
      </c>
      <c r="F25" t="s">
        <v>8522</v>
      </c>
      <c r="G25" t="s">
        <v>8369</v>
      </c>
      <c r="H25">
        <v>145</v>
      </c>
      <c r="I25">
        <v>7</v>
      </c>
      <c r="J25">
        <v>7</v>
      </c>
      <c r="K25">
        <v>2</v>
      </c>
    </row>
    <row r="26" spans="1:12">
      <c r="A26" t="s">
        <v>8487</v>
      </c>
      <c r="B26" t="s">
        <v>1174</v>
      </c>
      <c r="C26" t="s">
        <v>8488</v>
      </c>
      <c r="D26" t="s">
        <v>8356</v>
      </c>
      <c r="E26">
        <v>5</v>
      </c>
      <c r="F26" t="s">
        <v>8504</v>
      </c>
      <c r="G26" t="s">
        <v>8305</v>
      </c>
      <c r="H26">
        <v>245</v>
      </c>
      <c r="I26">
        <v>7</v>
      </c>
      <c r="J26">
        <v>7</v>
      </c>
      <c r="K26">
        <v>3</v>
      </c>
    </row>
    <row r="27" spans="1:12">
      <c r="A27" t="s">
        <v>8491</v>
      </c>
      <c r="B27" t="s">
        <v>1174</v>
      </c>
      <c r="C27" t="s">
        <v>8492</v>
      </c>
      <c r="D27" t="s">
        <v>8384</v>
      </c>
      <c r="E27">
        <v>6</v>
      </c>
      <c r="F27" t="s">
        <v>8506</v>
      </c>
      <c r="G27" t="s">
        <v>8312</v>
      </c>
      <c r="H27">
        <v>995</v>
      </c>
      <c r="I27">
        <v>7</v>
      </c>
      <c r="J27">
        <v>7</v>
      </c>
      <c r="K27">
        <v>4</v>
      </c>
    </row>
    <row r="28" spans="1:12">
      <c r="A28" t="s">
        <v>8495</v>
      </c>
      <c r="B28" t="s">
        <v>1174</v>
      </c>
      <c r="C28" t="s">
        <v>8496</v>
      </c>
      <c r="D28" t="s">
        <v>8307</v>
      </c>
      <c r="E28">
        <v>4</v>
      </c>
      <c r="F28" t="s">
        <v>8508</v>
      </c>
      <c r="G28" t="s">
        <v>8479</v>
      </c>
      <c r="H28">
        <v>1120</v>
      </c>
      <c r="I28">
        <v>7</v>
      </c>
      <c r="J28">
        <v>7</v>
      </c>
      <c r="K28">
        <v>6</v>
      </c>
      <c r="L28" t="s">
        <v>8498</v>
      </c>
    </row>
    <row r="29" spans="1:12">
      <c r="A29" t="s">
        <v>8480</v>
      </c>
      <c r="B29" t="s">
        <v>5606</v>
      </c>
      <c r="C29" t="s">
        <v>8523</v>
      </c>
      <c r="D29" t="s">
        <v>8524</v>
      </c>
      <c r="E29">
        <v>2</v>
      </c>
      <c r="F29" t="s">
        <v>8482</v>
      </c>
      <c r="G29" t="s">
        <v>8479</v>
      </c>
      <c r="H29">
        <v>125</v>
      </c>
      <c r="I29">
        <v>7</v>
      </c>
      <c r="J29">
        <v>7</v>
      </c>
      <c r="K29">
        <v>4</v>
      </c>
    </row>
    <row r="30" spans="1:12">
      <c r="A30" t="s">
        <v>8483</v>
      </c>
      <c r="B30" t="s">
        <v>5606</v>
      </c>
      <c r="C30" t="s">
        <v>8525</v>
      </c>
      <c r="D30" t="s">
        <v>8303</v>
      </c>
      <c r="E30">
        <v>2</v>
      </c>
      <c r="F30" t="s">
        <v>8486</v>
      </c>
      <c r="G30" t="s">
        <v>8369</v>
      </c>
      <c r="H30">
        <v>150</v>
      </c>
      <c r="I30">
        <v>7</v>
      </c>
      <c r="J30">
        <v>7</v>
      </c>
      <c r="K30">
        <v>2</v>
      </c>
    </row>
    <row r="31" spans="1:12">
      <c r="A31" t="s">
        <v>8487</v>
      </c>
      <c r="B31" t="s">
        <v>5606</v>
      </c>
      <c r="C31" t="s">
        <v>8526</v>
      </c>
      <c r="D31" t="s">
        <v>8317</v>
      </c>
      <c r="E31">
        <v>3</v>
      </c>
      <c r="F31" t="s">
        <v>8490</v>
      </c>
      <c r="G31" t="s">
        <v>8305</v>
      </c>
      <c r="H31">
        <v>250</v>
      </c>
      <c r="I31">
        <v>7</v>
      </c>
      <c r="J31">
        <v>7</v>
      </c>
      <c r="K31">
        <v>3</v>
      </c>
    </row>
    <row r="32" spans="1:12">
      <c r="A32" t="s">
        <v>8491</v>
      </c>
      <c r="B32" t="s">
        <v>5606</v>
      </c>
      <c r="C32" t="s">
        <v>8527</v>
      </c>
      <c r="D32" t="s">
        <v>8485</v>
      </c>
      <c r="E32">
        <v>4</v>
      </c>
      <c r="F32" t="s">
        <v>8494</v>
      </c>
      <c r="G32" t="s">
        <v>8312</v>
      </c>
      <c r="H32">
        <v>1000</v>
      </c>
      <c r="I32">
        <v>7</v>
      </c>
      <c r="J32">
        <v>7</v>
      </c>
      <c r="K32">
        <v>4</v>
      </c>
    </row>
    <row r="33" spans="1:12">
      <c r="A33" t="s">
        <v>8495</v>
      </c>
      <c r="B33" t="s">
        <v>5606</v>
      </c>
      <c r="C33" t="s">
        <v>8528</v>
      </c>
      <c r="D33" t="s">
        <v>8524</v>
      </c>
      <c r="E33">
        <v>2</v>
      </c>
      <c r="F33" t="s">
        <v>8497</v>
      </c>
      <c r="G33" t="s">
        <v>8479</v>
      </c>
      <c r="H33">
        <v>1125</v>
      </c>
      <c r="I33">
        <v>7</v>
      </c>
      <c r="J33">
        <v>7</v>
      </c>
      <c r="K33">
        <v>6</v>
      </c>
      <c r="L33" t="s">
        <v>8498</v>
      </c>
    </row>
    <row r="34" spans="1:12">
      <c r="A34" t="s">
        <v>8480</v>
      </c>
      <c r="B34" t="s">
        <v>5587</v>
      </c>
      <c r="C34" t="s">
        <v>8529</v>
      </c>
      <c r="D34" t="s">
        <v>8317</v>
      </c>
      <c r="E34">
        <v>3</v>
      </c>
      <c r="F34" t="s">
        <v>8530</v>
      </c>
      <c r="G34" t="s">
        <v>8369</v>
      </c>
      <c r="H34">
        <v>160</v>
      </c>
      <c r="I34">
        <v>6</v>
      </c>
      <c r="J34">
        <v>5</v>
      </c>
      <c r="K34">
        <v>4</v>
      </c>
    </row>
    <row r="35" spans="1:12">
      <c r="A35" t="s">
        <v>8483</v>
      </c>
      <c r="B35" t="s">
        <v>5587</v>
      </c>
      <c r="C35" t="s">
        <v>8531</v>
      </c>
      <c r="D35" t="s">
        <v>8485</v>
      </c>
      <c r="E35">
        <v>4</v>
      </c>
      <c r="F35" t="s">
        <v>8532</v>
      </c>
      <c r="G35" t="s">
        <v>8305</v>
      </c>
      <c r="H35">
        <v>180</v>
      </c>
      <c r="I35">
        <v>6</v>
      </c>
      <c r="J35">
        <v>5</v>
      </c>
      <c r="K35">
        <v>2</v>
      </c>
    </row>
    <row r="36" spans="1:12">
      <c r="A36" t="s">
        <v>8487</v>
      </c>
      <c r="B36" t="s">
        <v>5587</v>
      </c>
      <c r="C36" t="s">
        <v>8533</v>
      </c>
      <c r="D36" t="s">
        <v>8489</v>
      </c>
      <c r="E36">
        <v>5</v>
      </c>
      <c r="F36" t="s">
        <v>8534</v>
      </c>
      <c r="G36" t="s">
        <v>8312</v>
      </c>
      <c r="H36">
        <v>300</v>
      </c>
      <c r="I36">
        <v>6</v>
      </c>
      <c r="J36">
        <v>5</v>
      </c>
      <c r="K36">
        <v>3</v>
      </c>
    </row>
    <row r="37" spans="1:12">
      <c r="A37" t="s">
        <v>8491</v>
      </c>
      <c r="B37" t="s">
        <v>5587</v>
      </c>
      <c r="C37" t="s">
        <v>8535</v>
      </c>
      <c r="D37" t="s">
        <v>8493</v>
      </c>
      <c r="E37">
        <v>6</v>
      </c>
      <c r="F37" t="s">
        <v>8536</v>
      </c>
      <c r="G37" t="s">
        <v>8318</v>
      </c>
      <c r="H37">
        <v>1200</v>
      </c>
      <c r="I37">
        <v>6</v>
      </c>
      <c r="J37">
        <v>5</v>
      </c>
      <c r="K37">
        <v>4</v>
      </c>
    </row>
    <row r="38" spans="1:12">
      <c r="A38" t="s">
        <v>8495</v>
      </c>
      <c r="B38" t="s">
        <v>5587</v>
      </c>
      <c r="C38" t="s">
        <v>8537</v>
      </c>
      <c r="D38" t="s">
        <v>8303</v>
      </c>
      <c r="E38">
        <v>4</v>
      </c>
      <c r="F38" t="s">
        <v>8538</v>
      </c>
      <c r="G38" t="s">
        <v>8369</v>
      </c>
      <c r="H38">
        <v>1350</v>
      </c>
      <c r="I38">
        <v>6</v>
      </c>
      <c r="J38">
        <v>6</v>
      </c>
      <c r="K38">
        <v>6</v>
      </c>
      <c r="L38" t="s">
        <v>8498</v>
      </c>
    </row>
    <row r="39" spans="1:12">
      <c r="A39" t="s">
        <v>8539</v>
      </c>
      <c r="B39" t="s">
        <v>8382</v>
      </c>
      <c r="C39" t="s">
        <v>8540</v>
      </c>
      <c r="D39" t="s">
        <v>8303</v>
      </c>
      <c r="E39">
        <v>2</v>
      </c>
      <c r="F39" t="s">
        <v>8532</v>
      </c>
      <c r="G39" t="s">
        <v>8369</v>
      </c>
      <c r="H39">
        <v>300</v>
      </c>
      <c r="I39">
        <v>7</v>
      </c>
      <c r="J39">
        <v>4</v>
      </c>
      <c r="K39">
        <v>5</v>
      </c>
      <c r="L39" t="s">
        <v>8541</v>
      </c>
    </row>
  </sheetData>
  <pageMargins left="0.7" right="0.7" top="0.75" bottom="0.75" header="0.3" footer="0.3"/>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25"/>
  <sheetViews>
    <sheetView workbookViewId="0"/>
  </sheetViews>
  <sheetFormatPr baseColWidth="10" defaultColWidth="9.140625" defaultRowHeight="15"/>
  <sheetData>
    <row r="1" spans="1:11">
      <c r="A1" t="s">
        <v>5474</v>
      </c>
      <c r="B1" t="s">
        <v>8386</v>
      </c>
      <c r="C1" t="s">
        <v>8387</v>
      </c>
      <c r="D1" t="s">
        <v>8388</v>
      </c>
      <c r="E1" t="s">
        <v>8389</v>
      </c>
      <c r="F1" t="s">
        <v>7225</v>
      </c>
      <c r="G1" t="s">
        <v>7286</v>
      </c>
      <c r="H1" t="s">
        <v>7285</v>
      </c>
      <c r="I1" t="s">
        <v>8300</v>
      </c>
      <c r="J1" t="s">
        <v>7224</v>
      </c>
      <c r="K1" t="s">
        <v>8390</v>
      </c>
    </row>
    <row r="2" spans="1:11">
      <c r="A2" t="s">
        <v>8542</v>
      </c>
      <c r="B2" t="s">
        <v>8392</v>
      </c>
      <c r="C2" t="s">
        <v>8393</v>
      </c>
      <c r="D2" t="s">
        <v>8543</v>
      </c>
      <c r="E2" t="s">
        <v>8543</v>
      </c>
      <c r="F2" t="s">
        <v>8544</v>
      </c>
      <c r="J2" t="s">
        <v>3868</v>
      </c>
    </row>
    <row r="3" spans="1:11">
      <c r="A3" t="s">
        <v>8545</v>
      </c>
      <c r="B3" t="s">
        <v>8392</v>
      </c>
      <c r="C3" t="s">
        <v>8393</v>
      </c>
      <c r="D3" t="s">
        <v>8546</v>
      </c>
      <c r="E3" t="s">
        <v>8546</v>
      </c>
      <c r="F3" t="s">
        <v>8404</v>
      </c>
      <c r="G3">
        <v>6</v>
      </c>
      <c r="H3">
        <v>6</v>
      </c>
      <c r="J3" t="s">
        <v>3868</v>
      </c>
    </row>
    <row r="4" spans="1:11">
      <c r="A4" t="s">
        <v>8547</v>
      </c>
      <c r="B4" t="s">
        <v>8397</v>
      </c>
      <c r="C4" t="s">
        <v>8393</v>
      </c>
      <c r="D4" t="s">
        <v>8393</v>
      </c>
      <c r="E4" t="s">
        <v>8393</v>
      </c>
      <c r="F4" t="s">
        <v>8548</v>
      </c>
      <c r="G4">
        <v>6</v>
      </c>
      <c r="H4">
        <v>6</v>
      </c>
      <c r="J4" t="s">
        <v>3868</v>
      </c>
    </row>
    <row r="5" spans="1:11">
      <c r="A5" t="s">
        <v>8549</v>
      </c>
      <c r="B5" t="s">
        <v>8403</v>
      </c>
      <c r="C5" t="s">
        <v>8393</v>
      </c>
      <c r="D5" t="s">
        <v>8393</v>
      </c>
      <c r="E5" t="s">
        <v>8393</v>
      </c>
      <c r="F5" t="s">
        <v>8550</v>
      </c>
      <c r="G5">
        <v>6</v>
      </c>
      <c r="H5">
        <v>6</v>
      </c>
      <c r="J5" t="s">
        <v>3868</v>
      </c>
    </row>
    <row r="6" spans="1:11">
      <c r="A6" t="s">
        <v>8551</v>
      </c>
      <c r="B6" t="s">
        <v>8552</v>
      </c>
      <c r="C6" t="s">
        <v>8406</v>
      </c>
      <c r="D6" t="s">
        <v>8393</v>
      </c>
      <c r="E6" t="s">
        <v>8393</v>
      </c>
      <c r="F6" t="s">
        <v>8553</v>
      </c>
      <c r="G6">
        <v>7</v>
      </c>
      <c r="H6">
        <v>7</v>
      </c>
      <c r="I6">
        <v>3</v>
      </c>
      <c r="J6" t="s">
        <v>3868</v>
      </c>
      <c r="K6" t="s">
        <v>8408</v>
      </c>
    </row>
    <row r="7" spans="1:11">
      <c r="A7" t="s">
        <v>8554</v>
      </c>
      <c r="B7" t="s">
        <v>8403</v>
      </c>
      <c r="C7" t="s">
        <v>8410</v>
      </c>
      <c r="D7" t="s">
        <v>8393</v>
      </c>
      <c r="E7" t="s">
        <v>8393</v>
      </c>
      <c r="F7" t="s">
        <v>8555</v>
      </c>
      <c r="G7">
        <v>6</v>
      </c>
      <c r="H7">
        <v>6</v>
      </c>
      <c r="J7" t="s">
        <v>3868</v>
      </c>
    </row>
    <row r="8" spans="1:11">
      <c r="A8" t="s">
        <v>8556</v>
      </c>
      <c r="B8" t="s">
        <v>8552</v>
      </c>
      <c r="C8" t="s">
        <v>8413</v>
      </c>
      <c r="D8" t="s">
        <v>8393</v>
      </c>
      <c r="E8" t="s">
        <v>8393</v>
      </c>
      <c r="F8" t="s">
        <v>8557</v>
      </c>
      <c r="G8">
        <v>3</v>
      </c>
      <c r="H8">
        <v>2</v>
      </c>
      <c r="J8" t="s">
        <v>3868</v>
      </c>
    </row>
    <row r="9" spans="1:11">
      <c r="A9" t="s">
        <v>8558</v>
      </c>
      <c r="B9" t="s">
        <v>8552</v>
      </c>
      <c r="C9" t="s">
        <v>8416</v>
      </c>
      <c r="D9" t="s">
        <v>8393</v>
      </c>
      <c r="E9" t="s">
        <v>8393</v>
      </c>
      <c r="F9" t="s">
        <v>8466</v>
      </c>
      <c r="G9">
        <v>4</v>
      </c>
      <c r="H9">
        <v>2</v>
      </c>
      <c r="J9" t="s">
        <v>3868</v>
      </c>
    </row>
    <row r="10" spans="1:11">
      <c r="A10" t="s">
        <v>8559</v>
      </c>
      <c r="B10" t="s">
        <v>8552</v>
      </c>
      <c r="C10" t="s">
        <v>8419</v>
      </c>
      <c r="D10" t="s">
        <v>8393</v>
      </c>
      <c r="E10" t="s">
        <v>8393</v>
      </c>
      <c r="F10" t="s">
        <v>8435</v>
      </c>
      <c r="G10">
        <v>5</v>
      </c>
      <c r="H10">
        <v>4</v>
      </c>
      <c r="J10" t="s">
        <v>3868</v>
      </c>
    </row>
    <row r="11" spans="1:11">
      <c r="A11" t="s">
        <v>8560</v>
      </c>
      <c r="B11" t="s">
        <v>8552</v>
      </c>
      <c r="C11" t="s">
        <v>8422</v>
      </c>
      <c r="D11" t="s">
        <v>8393</v>
      </c>
      <c r="E11" t="s">
        <v>8393</v>
      </c>
      <c r="F11" t="s">
        <v>8561</v>
      </c>
      <c r="G11">
        <v>6</v>
      </c>
      <c r="H11">
        <v>5</v>
      </c>
      <c r="J11" t="s">
        <v>3868</v>
      </c>
    </row>
    <row r="12" spans="1:11">
      <c r="A12" t="s">
        <v>8562</v>
      </c>
      <c r="B12" t="s">
        <v>8552</v>
      </c>
      <c r="C12" t="s">
        <v>8413</v>
      </c>
      <c r="D12" t="s">
        <v>8393</v>
      </c>
      <c r="E12" t="s">
        <v>8393</v>
      </c>
      <c r="F12" t="s">
        <v>8563</v>
      </c>
      <c r="G12">
        <v>6</v>
      </c>
      <c r="H12">
        <v>5</v>
      </c>
      <c r="J12" t="s">
        <v>3868</v>
      </c>
      <c r="K12" t="s">
        <v>8426</v>
      </c>
    </row>
    <row r="13" spans="1:11">
      <c r="A13" t="s">
        <v>8564</v>
      </c>
      <c r="B13" t="s">
        <v>8552</v>
      </c>
      <c r="C13" t="s">
        <v>8428</v>
      </c>
      <c r="D13" t="s">
        <v>8393</v>
      </c>
      <c r="E13" t="s">
        <v>8393</v>
      </c>
      <c r="F13" t="s">
        <v>8565</v>
      </c>
      <c r="G13">
        <v>7</v>
      </c>
      <c r="H13">
        <v>6</v>
      </c>
      <c r="J13" t="s">
        <v>3868</v>
      </c>
    </row>
    <row r="14" spans="1:11">
      <c r="A14" t="s">
        <v>8566</v>
      </c>
      <c r="B14" t="s">
        <v>8552</v>
      </c>
      <c r="C14" t="s">
        <v>8406</v>
      </c>
      <c r="D14" t="s">
        <v>8393</v>
      </c>
      <c r="E14" t="s">
        <v>8393</v>
      </c>
      <c r="F14" t="s">
        <v>8563</v>
      </c>
      <c r="G14">
        <v>6</v>
      </c>
      <c r="H14">
        <v>6</v>
      </c>
      <c r="J14" t="s">
        <v>3868</v>
      </c>
    </row>
    <row r="15" spans="1:11">
      <c r="A15" t="s">
        <v>8567</v>
      </c>
      <c r="B15" t="s">
        <v>8403</v>
      </c>
      <c r="C15" t="s">
        <v>8432</v>
      </c>
      <c r="D15" t="s">
        <v>8393</v>
      </c>
      <c r="E15" t="s">
        <v>8393</v>
      </c>
      <c r="F15" t="s">
        <v>8435</v>
      </c>
      <c r="G15">
        <v>4</v>
      </c>
      <c r="H15">
        <v>4</v>
      </c>
      <c r="J15" t="s">
        <v>3868</v>
      </c>
      <c r="K15" t="s">
        <v>8433</v>
      </c>
    </row>
    <row r="16" spans="1:11">
      <c r="A16" t="s">
        <v>8568</v>
      </c>
      <c r="B16" t="s">
        <v>8403</v>
      </c>
      <c r="C16" t="s">
        <v>8432</v>
      </c>
      <c r="D16" t="s">
        <v>8393</v>
      </c>
      <c r="E16" t="s">
        <v>8393</v>
      </c>
      <c r="F16" t="s">
        <v>8569</v>
      </c>
      <c r="G16">
        <v>5</v>
      </c>
      <c r="H16">
        <v>5</v>
      </c>
      <c r="J16" t="s">
        <v>3874</v>
      </c>
      <c r="K16" t="s">
        <v>8436</v>
      </c>
    </row>
    <row r="17" spans="1:11">
      <c r="A17" t="s">
        <v>8570</v>
      </c>
      <c r="B17" t="s">
        <v>8416</v>
      </c>
      <c r="C17" t="s">
        <v>8571</v>
      </c>
      <c r="D17" t="s">
        <v>8571</v>
      </c>
      <c r="E17" t="s">
        <v>8442</v>
      </c>
      <c r="F17" t="s">
        <v>8572</v>
      </c>
      <c r="G17">
        <v>5</v>
      </c>
      <c r="H17">
        <v>4</v>
      </c>
      <c r="J17" t="s">
        <v>3880</v>
      </c>
    </row>
    <row r="18" spans="1:11">
      <c r="A18" t="s">
        <v>8573</v>
      </c>
      <c r="B18" t="s">
        <v>8413</v>
      </c>
      <c r="C18" t="s">
        <v>8419</v>
      </c>
      <c r="D18" t="s">
        <v>8419</v>
      </c>
      <c r="E18" t="s">
        <v>8442</v>
      </c>
      <c r="F18" t="s">
        <v>8574</v>
      </c>
      <c r="G18">
        <v>5</v>
      </c>
      <c r="H18">
        <v>5</v>
      </c>
      <c r="J18" t="s">
        <v>3868</v>
      </c>
      <c r="K18" t="s">
        <v>8575</v>
      </c>
    </row>
    <row r="19" spans="1:11">
      <c r="A19" t="s">
        <v>8576</v>
      </c>
      <c r="B19" t="s">
        <v>8393</v>
      </c>
      <c r="C19" t="s">
        <v>8413</v>
      </c>
      <c r="D19" t="s">
        <v>8413</v>
      </c>
      <c r="E19" t="s">
        <v>8446</v>
      </c>
      <c r="F19" t="s">
        <v>8572</v>
      </c>
      <c r="G19">
        <v>5</v>
      </c>
      <c r="H19">
        <v>4</v>
      </c>
      <c r="J19" t="s">
        <v>3868</v>
      </c>
      <c r="K19" t="s">
        <v>8577</v>
      </c>
    </row>
    <row r="20" spans="1:11">
      <c r="A20" t="s">
        <v>8578</v>
      </c>
      <c r="B20" t="s">
        <v>8432</v>
      </c>
      <c r="C20" t="s">
        <v>8410</v>
      </c>
      <c r="D20" t="s">
        <v>8410</v>
      </c>
      <c r="E20" t="s">
        <v>8446</v>
      </c>
      <c r="F20" t="s">
        <v>8579</v>
      </c>
      <c r="G20">
        <v>6</v>
      </c>
      <c r="H20">
        <v>5</v>
      </c>
      <c r="J20" t="s">
        <v>3868</v>
      </c>
      <c r="K20" t="s">
        <v>8450</v>
      </c>
    </row>
    <row r="21" spans="1:11">
      <c r="A21" t="s">
        <v>8580</v>
      </c>
      <c r="B21" t="s">
        <v>8413</v>
      </c>
      <c r="C21" t="s">
        <v>8571</v>
      </c>
      <c r="D21" t="s">
        <v>8571</v>
      </c>
      <c r="E21" t="s">
        <v>8393</v>
      </c>
      <c r="F21" t="s">
        <v>8572</v>
      </c>
      <c r="G21">
        <v>4</v>
      </c>
      <c r="H21">
        <v>3</v>
      </c>
      <c r="J21" t="s">
        <v>3880</v>
      </c>
      <c r="K21" t="s">
        <v>8453</v>
      </c>
    </row>
    <row r="22" spans="1:11">
      <c r="A22" t="s">
        <v>8581</v>
      </c>
      <c r="B22" t="s">
        <v>8432</v>
      </c>
      <c r="C22" t="s">
        <v>8582</v>
      </c>
      <c r="D22" t="s">
        <v>8582</v>
      </c>
      <c r="E22" t="s">
        <v>8393</v>
      </c>
      <c r="F22" t="s">
        <v>8583</v>
      </c>
      <c r="G22">
        <v>4</v>
      </c>
      <c r="H22">
        <v>4</v>
      </c>
      <c r="J22" t="s">
        <v>3868</v>
      </c>
    </row>
    <row r="23" spans="1:11">
      <c r="A23" t="s">
        <v>8584</v>
      </c>
      <c r="B23" t="s">
        <v>8393</v>
      </c>
      <c r="C23" t="s">
        <v>8432</v>
      </c>
      <c r="D23" t="s">
        <v>8432</v>
      </c>
      <c r="E23" t="s">
        <v>8457</v>
      </c>
      <c r="F23" t="s">
        <v>8585</v>
      </c>
      <c r="G23">
        <v>6</v>
      </c>
      <c r="H23">
        <v>6</v>
      </c>
      <c r="J23" t="s">
        <v>3868</v>
      </c>
      <c r="K23" t="s">
        <v>8459</v>
      </c>
    </row>
    <row r="24" spans="1:11">
      <c r="A24" t="s">
        <v>8586</v>
      </c>
      <c r="B24" t="s">
        <v>8392</v>
      </c>
      <c r="C24" t="s">
        <v>8393</v>
      </c>
      <c r="D24" t="s">
        <v>8446</v>
      </c>
      <c r="E24" t="s">
        <v>8446</v>
      </c>
      <c r="F24" t="s">
        <v>8544</v>
      </c>
      <c r="J24" t="s">
        <v>8393</v>
      </c>
      <c r="K24" t="s">
        <v>8587</v>
      </c>
    </row>
    <row r="25" spans="1:11">
      <c r="A25" t="s">
        <v>8588</v>
      </c>
      <c r="B25" t="s">
        <v>8397</v>
      </c>
      <c r="C25" t="s">
        <v>8393</v>
      </c>
      <c r="D25" t="s">
        <v>8393</v>
      </c>
      <c r="E25" t="s">
        <v>8393</v>
      </c>
      <c r="F25" t="s">
        <v>8589</v>
      </c>
      <c r="G25">
        <v>5</v>
      </c>
      <c r="H25">
        <v>4</v>
      </c>
      <c r="J25" t="s">
        <v>8393</v>
      </c>
      <c r="K25" t="s">
        <v>8590</v>
      </c>
    </row>
  </sheetData>
  <pageMargins left="0.7" right="0.7" top="0.75" bottom="0.75" header="0.3" footer="0.3"/>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J5"/>
  <sheetViews>
    <sheetView workbookViewId="0"/>
  </sheetViews>
  <sheetFormatPr baseColWidth="10" defaultColWidth="9.140625" defaultRowHeight="15"/>
  <sheetData>
    <row r="1" spans="1:10">
      <c r="A1" t="s">
        <v>5474</v>
      </c>
      <c r="B1" t="s">
        <v>8591</v>
      </c>
      <c r="C1" t="s">
        <v>8592</v>
      </c>
      <c r="D1" t="s">
        <v>8593</v>
      </c>
      <c r="E1" t="s">
        <v>8594</v>
      </c>
      <c r="F1" t="s">
        <v>8595</v>
      </c>
      <c r="G1" t="s">
        <v>8596</v>
      </c>
      <c r="H1" t="s">
        <v>8597</v>
      </c>
      <c r="I1" t="s">
        <v>8598</v>
      </c>
      <c r="J1" t="s">
        <v>7225</v>
      </c>
    </row>
    <row r="2" spans="1:10">
      <c r="A2" t="s">
        <v>8599</v>
      </c>
      <c r="B2">
        <v>1</v>
      </c>
      <c r="C2" t="s">
        <v>8600</v>
      </c>
      <c r="D2">
        <v>12</v>
      </c>
      <c r="E2">
        <v>6</v>
      </c>
      <c r="F2">
        <v>0</v>
      </c>
      <c r="G2">
        <v>-6</v>
      </c>
      <c r="H2">
        <v>-12</v>
      </c>
      <c r="J2" t="s">
        <v>8601</v>
      </c>
    </row>
    <row r="3" spans="1:10">
      <c r="A3" t="s">
        <v>8602</v>
      </c>
      <c r="B3">
        <v>2</v>
      </c>
      <c r="C3" t="s">
        <v>8603</v>
      </c>
      <c r="D3">
        <v>12</v>
      </c>
      <c r="E3">
        <v>6</v>
      </c>
      <c r="F3">
        <v>1</v>
      </c>
      <c r="G3">
        <v>-5</v>
      </c>
      <c r="H3">
        <v>-10</v>
      </c>
      <c r="I3">
        <v>-15</v>
      </c>
      <c r="J3" t="s">
        <v>8604</v>
      </c>
    </row>
    <row r="4" spans="1:10">
      <c r="A4" t="s">
        <v>8605</v>
      </c>
      <c r="B4">
        <v>1</v>
      </c>
      <c r="C4" t="s">
        <v>8606</v>
      </c>
      <c r="D4">
        <v>12</v>
      </c>
      <c r="E4">
        <v>5</v>
      </c>
      <c r="F4">
        <v>-2</v>
      </c>
      <c r="G4">
        <v>-8</v>
      </c>
      <c r="H4">
        <v>-14</v>
      </c>
      <c r="J4" t="s">
        <v>8607</v>
      </c>
    </row>
    <row r="5" spans="1:10">
      <c r="A5" t="s">
        <v>8608</v>
      </c>
      <c r="B5">
        <v>1</v>
      </c>
      <c r="C5" t="s">
        <v>8609</v>
      </c>
      <c r="D5">
        <v>12</v>
      </c>
      <c r="E5">
        <v>6</v>
      </c>
      <c r="F5">
        <v>0</v>
      </c>
      <c r="G5">
        <v>-5</v>
      </c>
      <c r="H5">
        <v>-10</v>
      </c>
      <c r="J5" t="s">
        <v>8610</v>
      </c>
    </row>
  </sheetData>
  <pageMargins left="0.7" right="0.7" top="0.75" bottom="0.75" header="0.3" footer="0.3"/>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8"/>
  <sheetViews>
    <sheetView workbookViewId="0"/>
  </sheetViews>
  <sheetFormatPr baseColWidth="10" defaultColWidth="9.140625" defaultRowHeight="15"/>
  <sheetData>
    <row r="1" spans="1:5">
      <c r="A1" t="s">
        <v>8611</v>
      </c>
      <c r="B1" t="s">
        <v>8612</v>
      </c>
      <c r="C1" t="s">
        <v>7350</v>
      </c>
      <c r="D1" t="s">
        <v>8613</v>
      </c>
      <c r="E1" t="s">
        <v>7225</v>
      </c>
    </row>
    <row r="2" spans="1:5">
      <c r="A2" t="s">
        <v>8614</v>
      </c>
      <c r="B2" t="s">
        <v>8615</v>
      </c>
      <c r="C2" t="s">
        <v>8616</v>
      </c>
      <c r="D2" t="s">
        <v>8617</v>
      </c>
      <c r="E2" t="s">
        <v>8420</v>
      </c>
    </row>
    <row r="3" spans="1:5">
      <c r="A3" t="s">
        <v>8618</v>
      </c>
      <c r="B3" t="s">
        <v>8619</v>
      </c>
      <c r="C3" t="s">
        <v>8393</v>
      </c>
      <c r="E3" t="s">
        <v>8557</v>
      </c>
    </row>
    <row r="4" spans="1:5">
      <c r="A4" t="s">
        <v>8620</v>
      </c>
      <c r="B4" t="s">
        <v>8621</v>
      </c>
      <c r="C4" t="s">
        <v>8393</v>
      </c>
      <c r="D4" t="s">
        <v>8622</v>
      </c>
      <c r="E4" t="s">
        <v>8553</v>
      </c>
    </row>
    <row r="5" spans="1:5">
      <c r="A5" t="s">
        <v>8054</v>
      </c>
      <c r="B5" t="s">
        <v>8623</v>
      </c>
      <c r="C5" t="s">
        <v>8624</v>
      </c>
      <c r="E5" t="s">
        <v>8625</v>
      </c>
    </row>
    <row r="6" spans="1:5">
      <c r="A6" t="s">
        <v>8626</v>
      </c>
      <c r="B6" t="s">
        <v>8627</v>
      </c>
      <c r="C6" t="s">
        <v>8628</v>
      </c>
      <c r="E6" t="s">
        <v>8423</v>
      </c>
    </row>
    <row r="7" spans="1:5">
      <c r="A7" t="s">
        <v>8629</v>
      </c>
      <c r="B7" t="s">
        <v>8630</v>
      </c>
      <c r="C7" t="s">
        <v>3883</v>
      </c>
      <c r="D7" t="s">
        <v>8631</v>
      </c>
      <c r="E7" t="s">
        <v>8632</v>
      </c>
    </row>
    <row r="8" spans="1:5">
      <c r="A8" t="s">
        <v>1988</v>
      </c>
      <c r="B8" t="s">
        <v>8633</v>
      </c>
      <c r="C8" t="s">
        <v>8634</v>
      </c>
      <c r="D8" t="s">
        <v>8635</v>
      </c>
      <c r="E8" t="s">
        <v>8435</v>
      </c>
    </row>
  </sheetData>
  <pageMargins left="0.7" right="0.7" top="0.75" bottom="0.75" header="0.3" footer="0.3"/>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8"/>
  <sheetViews>
    <sheetView workbookViewId="0"/>
  </sheetViews>
  <sheetFormatPr baseColWidth="10" defaultColWidth="9.140625" defaultRowHeight="15"/>
  <sheetData>
    <row r="1" spans="1:2">
      <c r="A1" t="s">
        <v>830</v>
      </c>
      <c r="B1" t="s">
        <v>7225</v>
      </c>
    </row>
    <row r="2" spans="1:2">
      <c r="A2">
        <v>1</v>
      </c>
      <c r="B2" t="s">
        <v>8636</v>
      </c>
    </row>
    <row r="3" spans="1:2">
      <c r="A3">
        <v>2</v>
      </c>
      <c r="B3" t="s">
        <v>8637</v>
      </c>
    </row>
    <row r="4" spans="1:2">
      <c r="A4">
        <v>3</v>
      </c>
      <c r="B4" t="s">
        <v>8638</v>
      </c>
    </row>
    <row r="5" spans="1:2">
      <c r="A5">
        <v>4</v>
      </c>
      <c r="B5" t="s">
        <v>8639</v>
      </c>
    </row>
    <row r="6" spans="1:2">
      <c r="A6">
        <v>5</v>
      </c>
      <c r="B6" t="s">
        <v>8640</v>
      </c>
    </row>
    <row r="7" spans="1:2">
      <c r="A7">
        <v>6</v>
      </c>
      <c r="B7" t="s">
        <v>8641</v>
      </c>
    </row>
    <row r="8" spans="1:2">
      <c r="A8">
        <v>7</v>
      </c>
      <c r="B8" t="s">
        <v>8642</v>
      </c>
    </row>
  </sheetData>
  <pageMargins left="0.7" right="0.7" top="0.75" bottom="0.75" header="0.3" footer="0.3"/>
  <legacy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6"/>
  <sheetViews>
    <sheetView workbookViewId="0"/>
  </sheetViews>
  <sheetFormatPr baseColWidth="10" defaultColWidth="9.140625" defaultRowHeight="15"/>
  <sheetData>
    <row r="1" spans="1:3">
      <c r="A1" t="s">
        <v>20</v>
      </c>
      <c r="B1" t="s">
        <v>5454</v>
      </c>
      <c r="C1" t="s">
        <v>5453</v>
      </c>
    </row>
    <row r="2" spans="1:3">
      <c r="A2">
        <v>0</v>
      </c>
      <c r="B2">
        <v>0</v>
      </c>
      <c r="C2">
        <v>0</v>
      </c>
    </row>
    <row r="3" spans="1:3">
      <c r="A3">
        <v>1</v>
      </c>
      <c r="B3">
        <v>15</v>
      </c>
      <c r="C3">
        <v>15</v>
      </c>
    </row>
    <row r="4" spans="1:3">
      <c r="A4">
        <v>2</v>
      </c>
      <c r="B4">
        <v>30</v>
      </c>
      <c r="C4">
        <v>15</v>
      </c>
    </row>
    <row r="5" spans="1:3">
      <c r="A5">
        <v>3</v>
      </c>
      <c r="B5">
        <v>50</v>
      </c>
      <c r="C5">
        <v>20</v>
      </c>
    </row>
    <row r="6" spans="1:3">
      <c r="A6">
        <v>4</v>
      </c>
      <c r="B6">
        <v>75</v>
      </c>
      <c r="C6">
        <v>25</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6"/>
  <sheetViews>
    <sheetView workbookViewId="0"/>
  </sheetViews>
  <sheetFormatPr baseColWidth="10" defaultColWidth="9.140625" defaultRowHeight="15"/>
  <sheetData>
    <row r="1" spans="1:3">
      <c r="A1" t="s">
        <v>20</v>
      </c>
      <c r="B1" t="s">
        <v>5454</v>
      </c>
      <c r="C1" t="s">
        <v>5453</v>
      </c>
    </row>
    <row r="2" spans="1:3">
      <c r="A2">
        <v>0</v>
      </c>
      <c r="B2">
        <v>0</v>
      </c>
      <c r="C2">
        <v>0</v>
      </c>
    </row>
    <row r="3" spans="1:3">
      <c r="A3">
        <v>1</v>
      </c>
      <c r="B3">
        <v>10</v>
      </c>
      <c r="C3">
        <v>10</v>
      </c>
    </row>
    <row r="4" spans="1:3">
      <c r="A4">
        <v>2</v>
      </c>
      <c r="B4">
        <v>25</v>
      </c>
      <c r="C4">
        <v>15</v>
      </c>
    </row>
    <row r="5" spans="1:3">
      <c r="A5">
        <v>3</v>
      </c>
      <c r="B5">
        <v>40</v>
      </c>
      <c r="C5">
        <v>15</v>
      </c>
    </row>
    <row r="6" spans="1:3">
      <c r="A6">
        <v>4</v>
      </c>
      <c r="B6">
        <v>55</v>
      </c>
      <c r="C6">
        <v>15</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K42"/>
  <sheetViews>
    <sheetView workbookViewId="0"/>
  </sheetViews>
  <sheetFormatPr baseColWidth="10" defaultColWidth="9.140625" defaultRowHeight="15"/>
  <sheetData>
    <row r="1" spans="1:37">
      <c r="A1" t="s">
        <v>5474</v>
      </c>
      <c r="B1" t="s">
        <v>5455</v>
      </c>
      <c r="C1" t="s">
        <v>8643</v>
      </c>
      <c r="D1" t="s">
        <v>7907</v>
      </c>
      <c r="E1" t="s">
        <v>8644</v>
      </c>
      <c r="F1" t="s">
        <v>8645</v>
      </c>
      <c r="G1" t="s">
        <v>8646</v>
      </c>
      <c r="H1" t="s">
        <v>8647</v>
      </c>
      <c r="I1" t="s">
        <v>8648</v>
      </c>
      <c r="J1" t="s">
        <v>7350</v>
      </c>
      <c r="K1" t="s">
        <v>8369</v>
      </c>
      <c r="L1" t="s">
        <v>8379</v>
      </c>
      <c r="M1" t="s">
        <v>8315</v>
      </c>
      <c r="N1" t="s">
        <v>8600</v>
      </c>
      <c r="O1" t="s">
        <v>8649</v>
      </c>
      <c r="P1" t="s">
        <v>8650</v>
      </c>
      <c r="Q1" t="s">
        <v>5479</v>
      </c>
      <c r="R1" t="s">
        <v>8651</v>
      </c>
      <c r="S1" t="s">
        <v>8652</v>
      </c>
      <c r="T1" t="s">
        <v>8653</v>
      </c>
      <c r="U1" t="s">
        <v>8654</v>
      </c>
      <c r="V1" t="s">
        <v>7225</v>
      </c>
      <c r="W1" t="s">
        <v>8655</v>
      </c>
      <c r="X1" t="s">
        <v>8656</v>
      </c>
      <c r="Y1" s="28" t="s">
        <v>7344</v>
      </c>
      <c r="Z1" s="28" t="s">
        <v>5553</v>
      </c>
      <c r="AA1" t="s">
        <v>7345</v>
      </c>
      <c r="AB1" t="s">
        <v>7346</v>
      </c>
      <c r="AC1" t="s">
        <v>7347</v>
      </c>
      <c r="AD1" t="s">
        <v>7348</v>
      </c>
      <c r="AE1" t="s">
        <v>7349</v>
      </c>
      <c r="AF1" t="s">
        <v>7351</v>
      </c>
      <c r="AG1" t="s">
        <v>7352</v>
      </c>
      <c r="AH1" t="s">
        <v>7353</v>
      </c>
      <c r="AI1" t="s">
        <v>7354</v>
      </c>
      <c r="AJ1" t="s">
        <v>7358</v>
      </c>
      <c r="AK1" t="s">
        <v>7359</v>
      </c>
    </row>
    <row r="2" spans="1:37">
      <c r="A2" t="s">
        <v>8301</v>
      </c>
      <c r="B2" t="s">
        <v>8302</v>
      </c>
      <c r="D2" t="s">
        <v>5524</v>
      </c>
      <c r="F2">
        <v>7</v>
      </c>
      <c r="G2" t="s">
        <v>8303</v>
      </c>
      <c r="J2">
        <v>0</v>
      </c>
      <c r="K2" t="s">
        <v>8419</v>
      </c>
      <c r="L2" t="s">
        <v>8393</v>
      </c>
      <c r="M2" t="s">
        <v>8543</v>
      </c>
      <c r="N2" t="s">
        <v>7426</v>
      </c>
      <c r="O2" t="s">
        <v>7426</v>
      </c>
      <c r="P2" t="s">
        <v>7426</v>
      </c>
      <c r="Q2" t="s">
        <v>8305</v>
      </c>
      <c r="R2">
        <v>6</v>
      </c>
      <c r="S2">
        <v>9</v>
      </c>
      <c r="V2" t="s">
        <v>8469</v>
      </c>
      <c r="Y2" s="28" t="s">
        <v>1420</v>
      </c>
      <c r="Z2" s="28" t="s">
        <v>8657</v>
      </c>
      <c r="AA2" s="56">
        <v>3</v>
      </c>
      <c r="AB2" s="56" t="s">
        <v>5497</v>
      </c>
      <c r="AC2" s="56" t="s">
        <v>5486</v>
      </c>
      <c r="AD2" s="56">
        <v>3</v>
      </c>
      <c r="AE2" s="56">
        <v>5</v>
      </c>
      <c r="AF2" s="56">
        <v>4</v>
      </c>
      <c r="AG2" s="56">
        <v>4</v>
      </c>
      <c r="AH2" s="56">
        <v>7</v>
      </c>
      <c r="AI2" s="56">
        <v>10</v>
      </c>
      <c r="AJ2" s="56">
        <v>5</v>
      </c>
      <c r="AK2" s="56">
        <v>6</v>
      </c>
    </row>
    <row r="3" spans="1:37">
      <c r="A3" t="s">
        <v>8658</v>
      </c>
      <c r="B3" t="s">
        <v>5580</v>
      </c>
      <c r="D3" t="s">
        <v>5524</v>
      </c>
      <c r="F3">
        <v>5</v>
      </c>
      <c r="G3" t="s">
        <v>8303</v>
      </c>
      <c r="I3" t="s">
        <v>8410</v>
      </c>
      <c r="J3">
        <v>1</v>
      </c>
      <c r="K3" t="s">
        <v>8659</v>
      </c>
      <c r="L3" t="s">
        <v>8413</v>
      </c>
      <c r="M3" t="s">
        <v>8660</v>
      </c>
      <c r="N3" t="s">
        <v>8661</v>
      </c>
      <c r="O3" t="s">
        <v>7426</v>
      </c>
      <c r="P3" t="s">
        <v>7426</v>
      </c>
      <c r="Q3" t="s">
        <v>8305</v>
      </c>
      <c r="R3">
        <v>6</v>
      </c>
      <c r="S3">
        <v>9</v>
      </c>
      <c r="U3">
        <v>1</v>
      </c>
      <c r="V3" t="s">
        <v>8662</v>
      </c>
      <c r="Y3" s="28" t="s">
        <v>1420</v>
      </c>
      <c r="Z3" s="28" t="s">
        <v>8657</v>
      </c>
      <c r="AA3" s="56">
        <v>3</v>
      </c>
      <c r="AB3" s="56" t="s">
        <v>5497</v>
      </c>
      <c r="AC3" s="56" t="s">
        <v>5486</v>
      </c>
      <c r="AD3" s="56">
        <v>3</v>
      </c>
      <c r="AE3" s="56">
        <v>5</v>
      </c>
      <c r="AF3" s="56">
        <v>4</v>
      </c>
      <c r="AG3" s="56">
        <v>4</v>
      </c>
      <c r="AH3" s="56">
        <v>5</v>
      </c>
      <c r="AI3" s="56">
        <v>7</v>
      </c>
      <c r="AJ3" s="56">
        <v>5</v>
      </c>
      <c r="AK3" s="56">
        <v>6</v>
      </c>
    </row>
    <row r="4" spans="1:37">
      <c r="A4" t="s">
        <v>8663</v>
      </c>
      <c r="B4" t="s">
        <v>5580</v>
      </c>
      <c r="D4" t="s">
        <v>5524</v>
      </c>
      <c r="F4">
        <v>7</v>
      </c>
      <c r="G4" t="s">
        <v>8317</v>
      </c>
      <c r="I4" t="s">
        <v>8410</v>
      </c>
      <c r="J4">
        <v>2</v>
      </c>
      <c r="K4" t="s">
        <v>8406</v>
      </c>
      <c r="L4" t="s">
        <v>8413</v>
      </c>
      <c r="M4" t="s">
        <v>8664</v>
      </c>
      <c r="N4" t="s">
        <v>8665</v>
      </c>
      <c r="O4" t="s">
        <v>7426</v>
      </c>
      <c r="P4" t="s">
        <v>7426</v>
      </c>
      <c r="Q4" t="s">
        <v>8312</v>
      </c>
      <c r="R4">
        <v>6</v>
      </c>
      <c r="S4">
        <v>9</v>
      </c>
      <c r="U4">
        <v>1</v>
      </c>
      <c r="V4" t="s">
        <v>8666</v>
      </c>
      <c r="Y4" s="28" t="s">
        <v>1420</v>
      </c>
      <c r="Z4" s="28" t="s">
        <v>8657</v>
      </c>
      <c r="AA4" s="56">
        <v>3</v>
      </c>
      <c r="AB4" s="56" t="s">
        <v>5497</v>
      </c>
      <c r="AC4" s="56" t="s">
        <v>5486</v>
      </c>
      <c r="AD4" s="56">
        <v>3</v>
      </c>
      <c r="AE4" s="56">
        <v>5</v>
      </c>
      <c r="AF4" s="56">
        <v>4</v>
      </c>
      <c r="AG4" s="56">
        <v>4</v>
      </c>
      <c r="AH4" s="56">
        <v>7</v>
      </c>
      <c r="AI4" s="56">
        <v>10</v>
      </c>
      <c r="AJ4" s="56">
        <v>5</v>
      </c>
      <c r="AK4" s="56">
        <v>6</v>
      </c>
    </row>
    <row r="5" spans="1:37">
      <c r="A5" t="s">
        <v>8667</v>
      </c>
      <c r="B5" t="s">
        <v>5580</v>
      </c>
      <c r="D5" t="s">
        <v>5524</v>
      </c>
      <c r="F5">
        <v>10</v>
      </c>
      <c r="G5" t="s">
        <v>8317</v>
      </c>
      <c r="I5" t="s">
        <v>8410</v>
      </c>
      <c r="J5">
        <v>3</v>
      </c>
      <c r="K5" t="s">
        <v>8422</v>
      </c>
      <c r="L5" t="s">
        <v>8413</v>
      </c>
      <c r="M5" t="s">
        <v>8664</v>
      </c>
      <c r="N5" t="s">
        <v>8668</v>
      </c>
      <c r="O5" t="s">
        <v>8669</v>
      </c>
      <c r="P5" t="s">
        <v>7426</v>
      </c>
      <c r="Q5" t="s">
        <v>8315</v>
      </c>
      <c r="R5">
        <v>7</v>
      </c>
      <c r="S5">
        <v>9</v>
      </c>
      <c r="U5">
        <v>1</v>
      </c>
      <c r="V5" t="s">
        <v>8425</v>
      </c>
      <c r="Y5" s="28" t="s">
        <v>1420</v>
      </c>
      <c r="Z5" s="28" t="s">
        <v>8657</v>
      </c>
      <c r="AA5" s="56">
        <v>3</v>
      </c>
      <c r="AB5" s="56" t="s">
        <v>5497</v>
      </c>
      <c r="AC5" s="56" t="s">
        <v>5486</v>
      </c>
      <c r="AD5" s="56">
        <v>3</v>
      </c>
      <c r="AE5" s="56">
        <v>5</v>
      </c>
      <c r="AF5" s="56">
        <v>4</v>
      </c>
      <c r="AG5" s="56">
        <v>4</v>
      </c>
      <c r="AH5" s="56">
        <v>10</v>
      </c>
      <c r="AI5" s="56">
        <v>14</v>
      </c>
      <c r="AJ5" s="56">
        <v>5</v>
      </c>
      <c r="AK5" s="56">
        <v>6</v>
      </c>
    </row>
    <row r="6" spans="1:37">
      <c r="A6" t="s">
        <v>8670</v>
      </c>
      <c r="B6" t="s">
        <v>5580</v>
      </c>
      <c r="D6" t="s">
        <v>5524</v>
      </c>
      <c r="F6">
        <v>7</v>
      </c>
      <c r="G6" t="s">
        <v>8317</v>
      </c>
      <c r="J6">
        <v>1</v>
      </c>
      <c r="K6" t="s">
        <v>8406</v>
      </c>
      <c r="L6" t="s">
        <v>8413</v>
      </c>
      <c r="M6" t="s">
        <v>8664</v>
      </c>
      <c r="N6" t="s">
        <v>8665</v>
      </c>
      <c r="O6" t="s">
        <v>7426</v>
      </c>
      <c r="P6" t="s">
        <v>7426</v>
      </c>
      <c r="Q6" t="s">
        <v>8318</v>
      </c>
      <c r="R6">
        <v>7</v>
      </c>
      <c r="S6">
        <v>9</v>
      </c>
      <c r="U6">
        <v>1</v>
      </c>
      <c r="V6" t="s">
        <v>8671</v>
      </c>
      <c r="Y6" s="28" t="s">
        <v>1420</v>
      </c>
      <c r="Z6" s="28" t="s">
        <v>8657</v>
      </c>
      <c r="AA6" s="56">
        <v>3</v>
      </c>
      <c r="AB6" s="56" t="s">
        <v>5497</v>
      </c>
      <c r="AC6" s="56" t="s">
        <v>5486</v>
      </c>
      <c r="AD6" s="56">
        <v>3</v>
      </c>
      <c r="AE6" s="56">
        <v>5</v>
      </c>
      <c r="AF6" s="56">
        <v>4</v>
      </c>
      <c r="AG6" s="56">
        <v>4</v>
      </c>
      <c r="AH6" s="56">
        <v>7</v>
      </c>
      <c r="AI6" s="56">
        <v>10</v>
      </c>
      <c r="AJ6" s="56">
        <v>5</v>
      </c>
      <c r="AK6" s="56">
        <v>6</v>
      </c>
    </row>
    <row r="7" spans="1:37">
      <c r="A7" t="s">
        <v>8672</v>
      </c>
      <c r="B7" t="s">
        <v>5466</v>
      </c>
      <c r="D7" t="s">
        <v>5524</v>
      </c>
      <c r="F7">
        <v>9</v>
      </c>
      <c r="G7" t="s">
        <v>8317</v>
      </c>
      <c r="I7" t="s">
        <v>8410</v>
      </c>
      <c r="J7">
        <v>2</v>
      </c>
      <c r="K7" t="s">
        <v>8428</v>
      </c>
      <c r="L7" t="s">
        <v>8413</v>
      </c>
      <c r="M7" t="s">
        <v>8664</v>
      </c>
      <c r="N7" t="s">
        <v>8673</v>
      </c>
      <c r="O7" t="s">
        <v>7426</v>
      </c>
      <c r="P7" t="s">
        <v>7426</v>
      </c>
      <c r="Q7" t="s">
        <v>8318</v>
      </c>
      <c r="R7">
        <v>6</v>
      </c>
      <c r="S7">
        <v>9</v>
      </c>
      <c r="U7">
        <v>1</v>
      </c>
      <c r="V7" t="s">
        <v>8417</v>
      </c>
      <c r="Y7" s="28" t="s">
        <v>1420</v>
      </c>
      <c r="Z7" s="28" t="s">
        <v>8657</v>
      </c>
      <c r="AA7" s="56">
        <v>3</v>
      </c>
      <c r="AB7" s="56" t="s">
        <v>5497</v>
      </c>
      <c r="AC7" s="56" t="s">
        <v>5486</v>
      </c>
      <c r="AD7" s="56">
        <v>3</v>
      </c>
      <c r="AE7" s="56">
        <v>5</v>
      </c>
      <c r="AF7" s="56">
        <v>4</v>
      </c>
      <c r="AG7" s="56">
        <v>4</v>
      </c>
      <c r="AH7" s="56">
        <v>9</v>
      </c>
      <c r="AI7" s="56">
        <v>12</v>
      </c>
      <c r="AJ7" s="56">
        <v>5</v>
      </c>
      <c r="AK7" s="56">
        <v>6</v>
      </c>
    </row>
    <row r="8" spans="1:37">
      <c r="A8" t="s">
        <v>8674</v>
      </c>
      <c r="B8" t="s">
        <v>5466</v>
      </c>
      <c r="D8" t="s">
        <v>5524</v>
      </c>
      <c r="F8">
        <v>12</v>
      </c>
      <c r="G8" t="s">
        <v>8317</v>
      </c>
      <c r="I8" t="s">
        <v>8410</v>
      </c>
      <c r="J8">
        <v>3</v>
      </c>
      <c r="K8" t="s">
        <v>8406</v>
      </c>
      <c r="L8" t="s">
        <v>8413</v>
      </c>
      <c r="M8" t="s">
        <v>8664</v>
      </c>
      <c r="N8" t="s">
        <v>8675</v>
      </c>
      <c r="O8" t="s">
        <v>7426</v>
      </c>
      <c r="P8" t="s">
        <v>7426</v>
      </c>
      <c r="Q8" t="s">
        <v>8322</v>
      </c>
      <c r="R8">
        <v>7</v>
      </c>
      <c r="S8">
        <v>9</v>
      </c>
      <c r="U8">
        <v>4</v>
      </c>
      <c r="V8" t="s">
        <v>8557</v>
      </c>
      <c r="Y8" s="28" t="s">
        <v>1420</v>
      </c>
      <c r="Z8" s="28" t="s">
        <v>8657</v>
      </c>
      <c r="AA8" s="56">
        <v>3</v>
      </c>
      <c r="AB8" s="56" t="s">
        <v>5497</v>
      </c>
      <c r="AC8" s="56" t="s">
        <v>5486</v>
      </c>
      <c r="AD8" s="56">
        <v>3</v>
      </c>
      <c r="AE8" s="56">
        <v>5</v>
      </c>
      <c r="AF8" s="56">
        <v>4</v>
      </c>
      <c r="AG8" s="56">
        <v>4</v>
      </c>
      <c r="AH8" s="56">
        <v>12</v>
      </c>
      <c r="AI8" s="56">
        <v>16</v>
      </c>
      <c r="AJ8" s="56">
        <v>5</v>
      </c>
      <c r="AK8" s="56">
        <v>6</v>
      </c>
    </row>
    <row r="9" spans="1:37">
      <c r="A9" t="s">
        <v>8676</v>
      </c>
      <c r="B9" t="s">
        <v>5466</v>
      </c>
      <c r="D9" t="s">
        <v>8324</v>
      </c>
      <c r="F9">
        <v>15</v>
      </c>
      <c r="G9" t="s">
        <v>8485</v>
      </c>
      <c r="I9" t="s">
        <v>8410</v>
      </c>
      <c r="J9">
        <v>3</v>
      </c>
      <c r="K9" t="s">
        <v>8406</v>
      </c>
      <c r="L9" t="s">
        <v>8413</v>
      </c>
      <c r="M9" t="s">
        <v>8546</v>
      </c>
      <c r="N9" t="s">
        <v>8665</v>
      </c>
      <c r="O9" t="s">
        <v>7426</v>
      </c>
      <c r="P9" t="s">
        <v>7426</v>
      </c>
      <c r="Q9" t="s">
        <v>8327</v>
      </c>
      <c r="R9">
        <v>9</v>
      </c>
      <c r="S9">
        <v>9</v>
      </c>
      <c r="U9">
        <v>6</v>
      </c>
      <c r="V9" t="s">
        <v>8469</v>
      </c>
      <c r="Y9" s="28" t="s">
        <v>1420</v>
      </c>
      <c r="Z9" s="28" t="s">
        <v>8657</v>
      </c>
      <c r="AA9" s="56">
        <v>3</v>
      </c>
      <c r="AB9" s="56" t="s">
        <v>5497</v>
      </c>
      <c r="AC9" s="56" t="s">
        <v>5486</v>
      </c>
      <c r="AD9" s="56">
        <v>3</v>
      </c>
      <c r="AE9" s="56">
        <v>5</v>
      </c>
      <c r="AF9" s="56">
        <v>4</v>
      </c>
      <c r="AG9" s="56">
        <v>4</v>
      </c>
      <c r="AH9" s="56">
        <v>15</v>
      </c>
      <c r="AI9" s="56">
        <v>20</v>
      </c>
      <c r="AJ9" s="56">
        <v>5</v>
      </c>
      <c r="AK9" s="56">
        <v>6</v>
      </c>
    </row>
    <row r="10" spans="1:37">
      <c r="A10" t="s">
        <v>8677</v>
      </c>
      <c r="B10" t="s">
        <v>8328</v>
      </c>
      <c r="D10" t="s">
        <v>5524</v>
      </c>
      <c r="F10">
        <v>9</v>
      </c>
      <c r="G10" t="s">
        <v>8303</v>
      </c>
      <c r="I10" t="s">
        <v>8410</v>
      </c>
      <c r="J10">
        <v>2</v>
      </c>
      <c r="K10" t="s">
        <v>8428</v>
      </c>
      <c r="L10" t="s">
        <v>8413</v>
      </c>
      <c r="M10" t="s">
        <v>8678</v>
      </c>
      <c r="N10" t="s">
        <v>8661</v>
      </c>
      <c r="O10" t="s">
        <v>7426</v>
      </c>
      <c r="P10" t="s">
        <v>7426</v>
      </c>
      <c r="Q10" t="s">
        <v>8312</v>
      </c>
      <c r="R10">
        <v>6</v>
      </c>
      <c r="S10">
        <v>9</v>
      </c>
      <c r="U10">
        <v>1</v>
      </c>
      <c r="V10" t="s">
        <v>8666</v>
      </c>
      <c r="Y10" s="28" t="s">
        <v>1420</v>
      </c>
      <c r="Z10" s="28" t="s">
        <v>8657</v>
      </c>
      <c r="AA10" s="56">
        <v>3</v>
      </c>
      <c r="AB10" s="56" t="s">
        <v>5497</v>
      </c>
      <c r="AC10" s="56" t="s">
        <v>5486</v>
      </c>
      <c r="AD10" s="56">
        <v>3</v>
      </c>
      <c r="AE10" s="56">
        <v>5</v>
      </c>
      <c r="AF10" s="56">
        <v>4</v>
      </c>
      <c r="AG10" s="56">
        <v>4</v>
      </c>
      <c r="AH10" s="56">
        <v>9</v>
      </c>
      <c r="AI10" s="56">
        <v>12</v>
      </c>
      <c r="AJ10" s="56">
        <v>5</v>
      </c>
      <c r="AK10" s="56">
        <v>6</v>
      </c>
    </row>
    <row r="11" spans="1:37">
      <c r="A11" t="s">
        <v>8679</v>
      </c>
      <c r="B11" t="s">
        <v>8328</v>
      </c>
      <c r="D11" t="s">
        <v>5524</v>
      </c>
      <c r="F11">
        <v>11</v>
      </c>
      <c r="G11" t="s">
        <v>8317</v>
      </c>
      <c r="I11" t="s">
        <v>8410</v>
      </c>
      <c r="J11">
        <v>2</v>
      </c>
      <c r="K11" t="s">
        <v>8406</v>
      </c>
      <c r="L11" t="s">
        <v>8413</v>
      </c>
      <c r="M11" t="s">
        <v>8664</v>
      </c>
      <c r="N11" t="s">
        <v>8665</v>
      </c>
      <c r="O11" t="s">
        <v>7426</v>
      </c>
      <c r="P11" t="s">
        <v>7426</v>
      </c>
      <c r="Q11" t="s">
        <v>8331</v>
      </c>
      <c r="R11">
        <v>6</v>
      </c>
      <c r="S11">
        <v>9</v>
      </c>
      <c r="U11">
        <v>1</v>
      </c>
      <c r="V11" t="s">
        <v>8680</v>
      </c>
      <c r="Y11" s="28" t="s">
        <v>1420</v>
      </c>
      <c r="Z11" s="28" t="s">
        <v>8657</v>
      </c>
      <c r="AA11" s="56">
        <v>3</v>
      </c>
      <c r="AB11" s="56" t="s">
        <v>5497</v>
      </c>
      <c r="AC11" s="56" t="s">
        <v>5486</v>
      </c>
      <c r="AD11" s="56">
        <v>3</v>
      </c>
      <c r="AE11" s="56">
        <v>5</v>
      </c>
      <c r="AF11" s="56">
        <v>4</v>
      </c>
      <c r="AG11" s="56">
        <v>4</v>
      </c>
      <c r="AH11" s="56">
        <v>11</v>
      </c>
      <c r="AI11" s="56">
        <v>15</v>
      </c>
      <c r="AJ11" s="56">
        <v>5</v>
      </c>
      <c r="AK11" s="56">
        <v>6</v>
      </c>
    </row>
    <row r="12" spans="1:37">
      <c r="A12" t="s">
        <v>8681</v>
      </c>
      <c r="B12" t="s">
        <v>8328</v>
      </c>
      <c r="D12" t="s">
        <v>5524</v>
      </c>
      <c r="F12">
        <v>12</v>
      </c>
      <c r="G12" t="s">
        <v>8317</v>
      </c>
      <c r="I12" t="s">
        <v>8410</v>
      </c>
      <c r="J12">
        <v>3</v>
      </c>
      <c r="K12" t="s">
        <v>8422</v>
      </c>
      <c r="L12" t="s">
        <v>8413</v>
      </c>
      <c r="M12" t="s">
        <v>8664</v>
      </c>
      <c r="N12" t="s">
        <v>8668</v>
      </c>
      <c r="O12" t="s">
        <v>8669</v>
      </c>
      <c r="P12" t="s">
        <v>7426</v>
      </c>
      <c r="Q12" t="s">
        <v>8332</v>
      </c>
      <c r="R12">
        <v>7</v>
      </c>
      <c r="S12">
        <v>9</v>
      </c>
      <c r="U12">
        <v>2</v>
      </c>
      <c r="V12" t="s">
        <v>8682</v>
      </c>
      <c r="Y12" s="28" t="s">
        <v>1420</v>
      </c>
      <c r="Z12" s="28" t="s">
        <v>8657</v>
      </c>
      <c r="AA12" s="56">
        <v>3</v>
      </c>
      <c r="AB12" s="56" t="s">
        <v>5497</v>
      </c>
      <c r="AC12" s="56" t="s">
        <v>5486</v>
      </c>
      <c r="AD12" s="56">
        <v>3</v>
      </c>
      <c r="AE12" s="56">
        <v>5</v>
      </c>
      <c r="AF12" s="56">
        <v>4</v>
      </c>
      <c r="AG12" s="56">
        <v>4</v>
      </c>
      <c r="AH12" s="56">
        <v>12</v>
      </c>
      <c r="AI12" s="56">
        <v>16</v>
      </c>
      <c r="AJ12" s="56">
        <v>5</v>
      </c>
      <c r="AK12" s="56">
        <v>6</v>
      </c>
    </row>
    <row r="13" spans="1:37">
      <c r="A13" t="s">
        <v>8333</v>
      </c>
      <c r="B13" t="s">
        <v>8328</v>
      </c>
      <c r="D13" t="s">
        <v>5524</v>
      </c>
      <c r="F13">
        <v>13</v>
      </c>
      <c r="G13" t="s">
        <v>8317</v>
      </c>
      <c r="I13" t="s">
        <v>8410</v>
      </c>
      <c r="J13">
        <v>3</v>
      </c>
      <c r="K13" t="s">
        <v>8428</v>
      </c>
      <c r="L13" t="s">
        <v>8413</v>
      </c>
      <c r="M13" t="s">
        <v>8664</v>
      </c>
      <c r="N13" t="s">
        <v>8668</v>
      </c>
      <c r="O13" t="s">
        <v>8669</v>
      </c>
      <c r="P13" t="s">
        <v>7426</v>
      </c>
      <c r="Q13" t="s">
        <v>8322</v>
      </c>
      <c r="R13">
        <v>6</v>
      </c>
      <c r="S13">
        <v>9</v>
      </c>
      <c r="U13">
        <v>6</v>
      </c>
      <c r="V13" t="s">
        <v>8429</v>
      </c>
      <c r="Y13" s="28" t="s">
        <v>1420</v>
      </c>
      <c r="Z13" s="28" t="s">
        <v>8657</v>
      </c>
      <c r="AA13" s="56">
        <v>3</v>
      </c>
      <c r="AB13" s="56" t="s">
        <v>5497</v>
      </c>
      <c r="AC13" s="56" t="s">
        <v>5486</v>
      </c>
      <c r="AD13" s="56">
        <v>3</v>
      </c>
      <c r="AE13" s="56">
        <v>5</v>
      </c>
      <c r="AF13" s="56">
        <v>4</v>
      </c>
      <c r="AG13" s="56">
        <v>4</v>
      </c>
      <c r="AH13" s="56">
        <v>13</v>
      </c>
      <c r="AI13" s="56">
        <v>18</v>
      </c>
      <c r="AJ13" s="56">
        <v>5</v>
      </c>
      <c r="AK13" s="56">
        <v>6</v>
      </c>
    </row>
    <row r="14" spans="1:37">
      <c r="A14" t="s">
        <v>8683</v>
      </c>
      <c r="B14" t="s">
        <v>5564</v>
      </c>
      <c r="D14" t="s">
        <v>5524</v>
      </c>
      <c r="F14">
        <v>9</v>
      </c>
      <c r="G14" t="s">
        <v>8303</v>
      </c>
      <c r="I14" t="s">
        <v>8410</v>
      </c>
      <c r="J14">
        <v>2</v>
      </c>
      <c r="K14" t="s">
        <v>8659</v>
      </c>
      <c r="L14" t="s">
        <v>8416</v>
      </c>
      <c r="M14" t="s">
        <v>8684</v>
      </c>
      <c r="N14" t="s">
        <v>8665</v>
      </c>
      <c r="O14" t="s">
        <v>7426</v>
      </c>
      <c r="P14" t="s">
        <v>7426</v>
      </c>
      <c r="Q14" t="s">
        <v>8318</v>
      </c>
      <c r="R14">
        <v>6</v>
      </c>
      <c r="S14">
        <v>9</v>
      </c>
      <c r="U14">
        <v>1</v>
      </c>
      <c r="V14" t="s">
        <v>8601</v>
      </c>
      <c r="Y14" s="28" t="s">
        <v>1420</v>
      </c>
      <c r="Z14" s="28" t="s">
        <v>8657</v>
      </c>
      <c r="AA14" s="56">
        <v>3</v>
      </c>
      <c r="AB14" s="56" t="s">
        <v>5497</v>
      </c>
      <c r="AC14" s="56" t="s">
        <v>5486</v>
      </c>
      <c r="AD14" s="56">
        <v>3</v>
      </c>
      <c r="AE14" s="56">
        <v>5</v>
      </c>
      <c r="AF14" s="56">
        <v>4</v>
      </c>
      <c r="AG14" s="56">
        <v>4</v>
      </c>
      <c r="AH14" s="56">
        <v>9</v>
      </c>
      <c r="AI14" s="56">
        <v>12</v>
      </c>
      <c r="AJ14" s="56">
        <v>5</v>
      </c>
      <c r="AK14" s="56">
        <v>6</v>
      </c>
    </row>
    <row r="15" spans="1:37">
      <c r="A15" t="s">
        <v>8685</v>
      </c>
      <c r="B15" t="s">
        <v>5564</v>
      </c>
      <c r="D15" t="s">
        <v>5524</v>
      </c>
      <c r="F15">
        <v>11</v>
      </c>
      <c r="G15" t="s">
        <v>8317</v>
      </c>
      <c r="I15" t="s">
        <v>8410</v>
      </c>
      <c r="J15">
        <v>2</v>
      </c>
      <c r="K15" t="s">
        <v>8428</v>
      </c>
      <c r="L15" t="s">
        <v>8416</v>
      </c>
      <c r="M15" t="s">
        <v>8664</v>
      </c>
      <c r="N15" t="s">
        <v>8668</v>
      </c>
      <c r="O15" t="s">
        <v>7426</v>
      </c>
      <c r="P15" t="s">
        <v>7426</v>
      </c>
      <c r="Q15" t="s">
        <v>8337</v>
      </c>
      <c r="R15">
        <v>6</v>
      </c>
      <c r="S15">
        <v>9</v>
      </c>
      <c r="U15">
        <v>1</v>
      </c>
      <c r="V15" t="s">
        <v>8686</v>
      </c>
      <c r="Y15" s="28" t="s">
        <v>1420</v>
      </c>
      <c r="Z15" s="28" t="s">
        <v>8657</v>
      </c>
      <c r="AA15" s="56">
        <v>3</v>
      </c>
      <c r="AB15" s="56" t="s">
        <v>5497</v>
      </c>
      <c r="AC15" s="56" t="s">
        <v>5486</v>
      </c>
      <c r="AD15" s="56">
        <v>3</v>
      </c>
      <c r="AE15" s="56">
        <v>5</v>
      </c>
      <c r="AF15" s="56">
        <v>4</v>
      </c>
      <c r="AG15" s="56">
        <v>4</v>
      </c>
      <c r="AH15" s="56">
        <v>11</v>
      </c>
      <c r="AI15" s="56">
        <v>15</v>
      </c>
      <c r="AJ15" s="56">
        <v>5</v>
      </c>
      <c r="AK15" s="56">
        <v>6</v>
      </c>
    </row>
    <row r="16" spans="1:37">
      <c r="A16" t="s">
        <v>8687</v>
      </c>
      <c r="B16" t="s">
        <v>5564</v>
      </c>
      <c r="D16" t="s">
        <v>5524</v>
      </c>
      <c r="F16">
        <v>12</v>
      </c>
      <c r="G16" t="s">
        <v>8317</v>
      </c>
      <c r="I16" t="s">
        <v>8410</v>
      </c>
      <c r="J16">
        <v>2</v>
      </c>
      <c r="K16" t="s">
        <v>8422</v>
      </c>
      <c r="L16" t="s">
        <v>8413</v>
      </c>
      <c r="M16" t="s">
        <v>8688</v>
      </c>
      <c r="N16" t="s">
        <v>8689</v>
      </c>
      <c r="O16" t="s">
        <v>7426</v>
      </c>
      <c r="P16" t="s">
        <v>7426</v>
      </c>
      <c r="Q16" t="s">
        <v>8339</v>
      </c>
      <c r="R16">
        <v>6</v>
      </c>
      <c r="S16">
        <v>9</v>
      </c>
      <c r="U16">
        <v>1</v>
      </c>
      <c r="V16" t="s">
        <v>8690</v>
      </c>
      <c r="Y16" s="28" t="s">
        <v>1420</v>
      </c>
      <c r="Z16" s="28" t="s">
        <v>8657</v>
      </c>
      <c r="AA16" s="56">
        <v>3</v>
      </c>
      <c r="AB16" s="56" t="s">
        <v>5497</v>
      </c>
      <c r="AC16" s="56" t="s">
        <v>5486</v>
      </c>
      <c r="AD16" s="56">
        <v>3</v>
      </c>
      <c r="AE16" s="56">
        <v>5</v>
      </c>
      <c r="AF16" s="56">
        <v>4</v>
      </c>
      <c r="AG16" s="56">
        <v>4</v>
      </c>
      <c r="AH16" s="56">
        <v>12</v>
      </c>
      <c r="AI16" s="56">
        <v>16</v>
      </c>
      <c r="AJ16" s="56">
        <v>5</v>
      </c>
      <c r="AK16" s="56">
        <v>6</v>
      </c>
    </row>
    <row r="17" spans="1:37">
      <c r="A17" t="s">
        <v>8691</v>
      </c>
      <c r="B17" t="s">
        <v>5564</v>
      </c>
      <c r="D17" t="s">
        <v>8341</v>
      </c>
      <c r="F17">
        <v>12</v>
      </c>
      <c r="G17" t="s">
        <v>8317</v>
      </c>
      <c r="I17" t="s">
        <v>8410</v>
      </c>
      <c r="J17">
        <v>2</v>
      </c>
      <c r="K17" t="s">
        <v>8692</v>
      </c>
      <c r="L17" t="s">
        <v>8416</v>
      </c>
      <c r="M17" t="s">
        <v>8684</v>
      </c>
      <c r="N17" t="s">
        <v>8665</v>
      </c>
      <c r="O17" t="s">
        <v>7426</v>
      </c>
      <c r="P17" t="s">
        <v>7426</v>
      </c>
      <c r="Q17" t="s">
        <v>8343</v>
      </c>
      <c r="R17">
        <v>6</v>
      </c>
      <c r="S17">
        <v>9</v>
      </c>
      <c r="U17">
        <v>3</v>
      </c>
      <c r="V17" t="s">
        <v>8638</v>
      </c>
      <c r="Y17" s="28" t="s">
        <v>1420</v>
      </c>
      <c r="Z17" s="28" t="s">
        <v>8657</v>
      </c>
      <c r="AA17" s="56">
        <v>3</v>
      </c>
      <c r="AB17" s="56" t="s">
        <v>5497</v>
      </c>
      <c r="AC17" s="56" t="s">
        <v>5486</v>
      </c>
      <c r="AD17" s="56">
        <v>3</v>
      </c>
      <c r="AE17" s="56">
        <v>5</v>
      </c>
      <c r="AF17" s="56">
        <v>4</v>
      </c>
      <c r="AG17" s="56">
        <v>4</v>
      </c>
      <c r="AH17" s="56">
        <v>12</v>
      </c>
      <c r="AI17" s="56">
        <v>16</v>
      </c>
      <c r="AJ17" s="56">
        <v>5</v>
      </c>
      <c r="AK17" s="56">
        <v>6</v>
      </c>
    </row>
    <row r="18" spans="1:37">
      <c r="A18" t="s">
        <v>8693</v>
      </c>
      <c r="B18" t="s">
        <v>5564</v>
      </c>
      <c r="D18" t="s">
        <v>8341</v>
      </c>
      <c r="F18">
        <v>13</v>
      </c>
      <c r="G18" t="s">
        <v>8485</v>
      </c>
      <c r="I18" t="s">
        <v>8410</v>
      </c>
      <c r="J18">
        <v>2</v>
      </c>
      <c r="K18" t="s">
        <v>8406</v>
      </c>
      <c r="L18" t="s">
        <v>8413</v>
      </c>
      <c r="M18" t="s">
        <v>8688</v>
      </c>
      <c r="N18" t="s">
        <v>8689</v>
      </c>
      <c r="O18" t="s">
        <v>7426</v>
      </c>
      <c r="P18" t="s">
        <v>7426</v>
      </c>
      <c r="Q18" t="s">
        <v>8346</v>
      </c>
      <c r="R18">
        <v>6</v>
      </c>
      <c r="S18">
        <v>9</v>
      </c>
      <c r="U18">
        <v>3</v>
      </c>
      <c r="V18" t="s">
        <v>8694</v>
      </c>
      <c r="Y18" s="28" t="s">
        <v>1420</v>
      </c>
      <c r="Z18" s="28" t="s">
        <v>8657</v>
      </c>
      <c r="AA18" s="56">
        <v>3</v>
      </c>
      <c r="AB18" s="56" t="s">
        <v>5497</v>
      </c>
      <c r="AC18" s="56" t="s">
        <v>5486</v>
      </c>
      <c r="AD18" s="56">
        <v>3</v>
      </c>
      <c r="AE18" s="56">
        <v>5</v>
      </c>
      <c r="AF18" s="56">
        <v>4</v>
      </c>
      <c r="AG18" s="56">
        <v>4</v>
      </c>
      <c r="AH18" s="56">
        <v>13</v>
      </c>
      <c r="AI18" s="56">
        <v>18</v>
      </c>
      <c r="AJ18" s="56">
        <v>5</v>
      </c>
      <c r="AK18" s="56">
        <v>6</v>
      </c>
    </row>
    <row r="19" spans="1:37">
      <c r="A19" t="s">
        <v>8347</v>
      </c>
      <c r="B19" t="s">
        <v>5564</v>
      </c>
      <c r="D19" t="s">
        <v>8348</v>
      </c>
      <c r="F19">
        <v>12</v>
      </c>
      <c r="G19" t="s">
        <v>8485</v>
      </c>
      <c r="I19" t="s">
        <v>8410</v>
      </c>
      <c r="J19">
        <v>3</v>
      </c>
      <c r="K19" t="s">
        <v>8406</v>
      </c>
      <c r="L19" t="s">
        <v>8416</v>
      </c>
      <c r="M19" t="s">
        <v>8688</v>
      </c>
      <c r="N19" t="s">
        <v>8689</v>
      </c>
      <c r="O19" t="s">
        <v>8695</v>
      </c>
      <c r="P19" t="s">
        <v>7426</v>
      </c>
      <c r="Q19" t="s">
        <v>8332</v>
      </c>
      <c r="R19">
        <v>7</v>
      </c>
      <c r="S19">
        <v>9</v>
      </c>
      <c r="U19">
        <v>6</v>
      </c>
      <c r="V19" t="s">
        <v>8696</v>
      </c>
      <c r="Y19" s="28" t="s">
        <v>1420</v>
      </c>
      <c r="Z19" s="28" t="s">
        <v>8657</v>
      </c>
      <c r="AA19" s="56">
        <v>3</v>
      </c>
      <c r="AB19" s="56" t="s">
        <v>5497</v>
      </c>
      <c r="AC19" s="56" t="s">
        <v>5486</v>
      </c>
      <c r="AD19" s="56">
        <v>3</v>
      </c>
      <c r="AE19" s="56">
        <v>5</v>
      </c>
      <c r="AF19" s="56">
        <v>4</v>
      </c>
      <c r="AG19" s="56">
        <v>4</v>
      </c>
      <c r="AH19" s="56">
        <v>12</v>
      </c>
      <c r="AI19" s="56">
        <v>16</v>
      </c>
      <c r="AJ19" s="56">
        <v>5</v>
      </c>
      <c r="AK19" s="56">
        <v>6</v>
      </c>
    </row>
    <row r="20" spans="1:37">
      <c r="A20" t="s">
        <v>8697</v>
      </c>
      <c r="B20" t="s">
        <v>5619</v>
      </c>
      <c r="D20" t="s">
        <v>5524</v>
      </c>
      <c r="F20">
        <v>12</v>
      </c>
      <c r="G20" t="s">
        <v>8317</v>
      </c>
      <c r="I20" t="s">
        <v>8410</v>
      </c>
      <c r="J20">
        <v>2</v>
      </c>
      <c r="K20" t="s">
        <v>8406</v>
      </c>
      <c r="L20" t="s">
        <v>8410</v>
      </c>
      <c r="M20" t="s">
        <v>8698</v>
      </c>
      <c r="N20" t="s">
        <v>8699</v>
      </c>
      <c r="O20" t="s">
        <v>7426</v>
      </c>
      <c r="P20" t="s">
        <v>7426</v>
      </c>
      <c r="Q20" t="s">
        <v>8305</v>
      </c>
      <c r="R20">
        <v>7</v>
      </c>
      <c r="S20">
        <v>9</v>
      </c>
      <c r="U20">
        <v>4</v>
      </c>
      <c r="V20" t="s">
        <v>8666</v>
      </c>
      <c r="Y20" s="28" t="s">
        <v>1420</v>
      </c>
      <c r="Z20" s="28" t="s">
        <v>8657</v>
      </c>
      <c r="AA20" s="56">
        <v>3</v>
      </c>
      <c r="AB20" s="56" t="s">
        <v>5497</v>
      </c>
      <c r="AC20" s="56" t="s">
        <v>5486</v>
      </c>
      <c r="AD20" s="56">
        <v>3</v>
      </c>
      <c r="AE20" s="56">
        <v>5</v>
      </c>
      <c r="AF20" s="56">
        <v>4</v>
      </c>
      <c r="AG20" s="56">
        <v>4</v>
      </c>
      <c r="AH20" s="56">
        <v>12</v>
      </c>
      <c r="AI20" s="56">
        <v>16</v>
      </c>
      <c r="AJ20" s="56">
        <v>5</v>
      </c>
      <c r="AK20" s="56">
        <v>6</v>
      </c>
    </row>
    <row r="21" spans="1:37">
      <c r="A21" t="s">
        <v>8700</v>
      </c>
      <c r="B21" t="s">
        <v>5619</v>
      </c>
      <c r="D21" t="s">
        <v>5524</v>
      </c>
      <c r="F21">
        <v>14</v>
      </c>
      <c r="G21" t="s">
        <v>8317</v>
      </c>
      <c r="I21" t="s">
        <v>8413</v>
      </c>
      <c r="J21">
        <v>2</v>
      </c>
      <c r="K21" t="s">
        <v>8422</v>
      </c>
      <c r="L21" t="s">
        <v>8410</v>
      </c>
      <c r="M21" t="s">
        <v>8684</v>
      </c>
      <c r="N21" t="s">
        <v>8673</v>
      </c>
      <c r="O21" t="s">
        <v>7426</v>
      </c>
      <c r="P21" t="s">
        <v>7426</v>
      </c>
      <c r="Q21" t="s">
        <v>8343</v>
      </c>
      <c r="R21">
        <v>7</v>
      </c>
      <c r="S21">
        <v>9</v>
      </c>
      <c r="U21">
        <v>4</v>
      </c>
      <c r="V21" t="s">
        <v>8680</v>
      </c>
      <c r="Y21" s="28" t="s">
        <v>1420</v>
      </c>
      <c r="Z21" s="28" t="s">
        <v>8657</v>
      </c>
      <c r="AA21" s="56">
        <v>3</v>
      </c>
      <c r="AB21" s="56" t="s">
        <v>5497</v>
      </c>
      <c r="AC21" s="56" t="s">
        <v>5486</v>
      </c>
      <c r="AD21" s="56">
        <v>3</v>
      </c>
      <c r="AE21" s="56">
        <v>5</v>
      </c>
      <c r="AF21" s="56">
        <v>4</v>
      </c>
      <c r="AG21" s="56">
        <v>4</v>
      </c>
      <c r="AH21" s="56">
        <v>14</v>
      </c>
      <c r="AI21" s="56">
        <v>19</v>
      </c>
      <c r="AJ21" s="56">
        <v>5</v>
      </c>
      <c r="AK21" s="56">
        <v>6</v>
      </c>
    </row>
    <row r="22" spans="1:37">
      <c r="A22" t="s">
        <v>8701</v>
      </c>
      <c r="B22" t="s">
        <v>5619</v>
      </c>
      <c r="D22" t="s">
        <v>5524</v>
      </c>
      <c r="F22">
        <v>16</v>
      </c>
      <c r="G22" t="s">
        <v>8317</v>
      </c>
      <c r="I22" t="s">
        <v>8413</v>
      </c>
      <c r="J22">
        <v>3</v>
      </c>
      <c r="K22" t="s">
        <v>8419</v>
      </c>
      <c r="L22" t="s">
        <v>8410</v>
      </c>
      <c r="M22" t="s">
        <v>8684</v>
      </c>
      <c r="N22" t="s">
        <v>8675</v>
      </c>
      <c r="O22" t="s">
        <v>8702</v>
      </c>
      <c r="P22" t="s">
        <v>7426</v>
      </c>
      <c r="Q22" t="s">
        <v>8315</v>
      </c>
      <c r="R22">
        <v>8</v>
      </c>
      <c r="S22">
        <v>9</v>
      </c>
      <c r="U22">
        <v>4</v>
      </c>
      <c r="V22" t="s">
        <v>8682</v>
      </c>
      <c r="Y22" s="28" t="s">
        <v>1420</v>
      </c>
      <c r="Z22" s="28" t="s">
        <v>8657</v>
      </c>
      <c r="AA22" s="56">
        <v>3</v>
      </c>
      <c r="AB22" s="56" t="s">
        <v>5497</v>
      </c>
      <c r="AC22" s="56" t="s">
        <v>5486</v>
      </c>
      <c r="AD22" s="56">
        <v>3</v>
      </c>
      <c r="AE22" s="56">
        <v>5</v>
      </c>
      <c r="AF22" s="56">
        <v>4</v>
      </c>
      <c r="AG22" s="56">
        <v>4</v>
      </c>
      <c r="AH22" s="56">
        <v>16</v>
      </c>
      <c r="AI22" s="56">
        <v>22</v>
      </c>
      <c r="AJ22" s="56">
        <v>5</v>
      </c>
      <c r="AK22" s="56">
        <v>6</v>
      </c>
    </row>
    <row r="23" spans="1:37">
      <c r="A23" t="s">
        <v>8354</v>
      </c>
      <c r="B23" t="s">
        <v>5619</v>
      </c>
      <c r="D23" t="s">
        <v>8355</v>
      </c>
      <c r="F23">
        <v>20</v>
      </c>
      <c r="G23" t="s">
        <v>8489</v>
      </c>
      <c r="I23" t="s">
        <v>8410</v>
      </c>
      <c r="J23">
        <v>3</v>
      </c>
      <c r="K23" t="s">
        <v>8406</v>
      </c>
      <c r="L23" t="s">
        <v>8393</v>
      </c>
      <c r="M23" t="s">
        <v>8703</v>
      </c>
      <c r="N23" t="s">
        <v>8669</v>
      </c>
      <c r="O23" t="s">
        <v>7426</v>
      </c>
      <c r="P23" t="s">
        <v>7426</v>
      </c>
      <c r="Q23" t="s">
        <v>8312</v>
      </c>
      <c r="R23">
        <v>9</v>
      </c>
      <c r="S23">
        <v>9</v>
      </c>
      <c r="U23">
        <v>5</v>
      </c>
      <c r="V23" t="s">
        <v>8694</v>
      </c>
      <c r="Y23" s="28" t="s">
        <v>1420</v>
      </c>
      <c r="Z23" s="28" t="s">
        <v>8657</v>
      </c>
      <c r="AA23" s="56">
        <v>3</v>
      </c>
      <c r="AB23" s="56" t="s">
        <v>5497</v>
      </c>
      <c r="AC23" s="56" t="s">
        <v>5486</v>
      </c>
      <c r="AD23" s="56">
        <v>3</v>
      </c>
      <c r="AE23" s="56">
        <v>5</v>
      </c>
      <c r="AF23" s="56">
        <v>4</v>
      </c>
      <c r="AG23" s="56">
        <v>4</v>
      </c>
      <c r="AH23" s="56">
        <v>20</v>
      </c>
      <c r="AI23" s="56">
        <v>27</v>
      </c>
      <c r="AJ23" s="56">
        <v>5</v>
      </c>
      <c r="AK23" s="56">
        <v>6</v>
      </c>
    </row>
    <row r="24" spans="1:37">
      <c r="A24" t="s">
        <v>8704</v>
      </c>
      <c r="B24" t="s">
        <v>5587</v>
      </c>
      <c r="D24" t="s">
        <v>8341</v>
      </c>
      <c r="F24">
        <v>12</v>
      </c>
      <c r="G24" t="s">
        <v>8317</v>
      </c>
      <c r="I24" t="s">
        <v>8410</v>
      </c>
      <c r="J24">
        <v>3</v>
      </c>
      <c r="K24" t="s">
        <v>8692</v>
      </c>
      <c r="L24" t="s">
        <v>8416</v>
      </c>
      <c r="M24" t="s">
        <v>8684</v>
      </c>
      <c r="N24" t="s">
        <v>8665</v>
      </c>
      <c r="O24" t="s">
        <v>7426</v>
      </c>
      <c r="P24" t="s">
        <v>7426</v>
      </c>
      <c r="Q24" t="s">
        <v>8343</v>
      </c>
      <c r="R24">
        <v>6</v>
      </c>
      <c r="S24">
        <v>9</v>
      </c>
      <c r="U24">
        <v>3</v>
      </c>
      <c r="V24" t="s">
        <v>8638</v>
      </c>
      <c r="Y24" s="28" t="s">
        <v>1420</v>
      </c>
      <c r="Z24" s="28" t="s">
        <v>8657</v>
      </c>
      <c r="AA24" s="56">
        <v>3</v>
      </c>
      <c r="AB24" s="56" t="s">
        <v>5497</v>
      </c>
      <c r="AC24" s="56" t="s">
        <v>5486</v>
      </c>
      <c r="AD24" s="56">
        <v>3</v>
      </c>
      <c r="AE24" s="56">
        <v>5</v>
      </c>
      <c r="AF24" s="56">
        <v>4</v>
      </c>
      <c r="AG24" s="56">
        <v>4</v>
      </c>
      <c r="AH24" s="56">
        <v>12</v>
      </c>
      <c r="AI24" s="56">
        <v>16</v>
      </c>
      <c r="AJ24" s="56">
        <v>5</v>
      </c>
      <c r="AK24" s="56">
        <v>6</v>
      </c>
    </row>
    <row r="25" spans="1:37">
      <c r="A25" t="s">
        <v>8705</v>
      </c>
      <c r="B25" t="s">
        <v>5587</v>
      </c>
      <c r="D25" t="s">
        <v>8341</v>
      </c>
      <c r="F25">
        <v>13</v>
      </c>
      <c r="G25" t="s">
        <v>8485</v>
      </c>
      <c r="I25" t="s">
        <v>8410</v>
      </c>
      <c r="J25">
        <v>4</v>
      </c>
      <c r="K25" t="s">
        <v>8406</v>
      </c>
      <c r="L25" t="s">
        <v>8413</v>
      </c>
      <c r="M25" t="s">
        <v>8688</v>
      </c>
      <c r="N25" t="s">
        <v>8689</v>
      </c>
      <c r="O25" t="s">
        <v>7426</v>
      </c>
      <c r="P25" t="s">
        <v>7426</v>
      </c>
      <c r="Q25" t="s">
        <v>8346</v>
      </c>
      <c r="R25">
        <v>6</v>
      </c>
      <c r="S25">
        <v>9</v>
      </c>
      <c r="U25">
        <v>3</v>
      </c>
      <c r="V25" t="s">
        <v>8694</v>
      </c>
      <c r="Y25" s="28" t="s">
        <v>1420</v>
      </c>
      <c r="Z25" s="28" t="s">
        <v>8657</v>
      </c>
      <c r="AA25" s="56">
        <v>3</v>
      </c>
      <c r="AB25" s="56" t="s">
        <v>5497</v>
      </c>
      <c r="AC25" s="56" t="s">
        <v>5486</v>
      </c>
      <c r="AD25" s="56">
        <v>3</v>
      </c>
      <c r="AE25" s="56">
        <v>5</v>
      </c>
      <c r="AF25" s="56">
        <v>4</v>
      </c>
      <c r="AG25" s="56">
        <v>4</v>
      </c>
      <c r="AH25" s="56">
        <v>13</v>
      </c>
      <c r="AI25" s="56">
        <v>18</v>
      </c>
      <c r="AJ25" s="56">
        <v>5</v>
      </c>
      <c r="AK25" s="56">
        <v>6</v>
      </c>
    </row>
    <row r="26" spans="1:37">
      <c r="A26" t="s">
        <v>8706</v>
      </c>
      <c r="B26" t="s">
        <v>5587</v>
      </c>
      <c r="D26" t="s">
        <v>8359</v>
      </c>
      <c r="F26">
        <v>13</v>
      </c>
      <c r="G26" t="s">
        <v>8485</v>
      </c>
      <c r="I26" t="s">
        <v>8410</v>
      </c>
      <c r="J26">
        <v>5</v>
      </c>
      <c r="K26" t="s">
        <v>8406</v>
      </c>
      <c r="L26" t="s">
        <v>8413</v>
      </c>
      <c r="M26" t="s">
        <v>8688</v>
      </c>
      <c r="N26" t="s">
        <v>8689</v>
      </c>
      <c r="O26" t="s">
        <v>8661</v>
      </c>
      <c r="P26" t="s">
        <v>7426</v>
      </c>
      <c r="Q26" t="s">
        <v>8322</v>
      </c>
      <c r="R26">
        <v>5</v>
      </c>
      <c r="S26">
        <v>10</v>
      </c>
      <c r="U26">
        <v>5</v>
      </c>
      <c r="V26" t="s">
        <v>8565</v>
      </c>
      <c r="Y26" s="28" t="s">
        <v>1420</v>
      </c>
      <c r="Z26" s="28" t="s">
        <v>8657</v>
      </c>
      <c r="AA26" s="56">
        <v>3</v>
      </c>
      <c r="AB26" s="56" t="s">
        <v>5497</v>
      </c>
      <c r="AC26" s="56" t="s">
        <v>5486</v>
      </c>
      <c r="AD26" s="56">
        <v>3</v>
      </c>
      <c r="AE26" s="56">
        <v>5</v>
      </c>
      <c r="AF26" s="56">
        <v>4</v>
      </c>
      <c r="AG26" s="56">
        <v>4</v>
      </c>
      <c r="AH26" s="56">
        <v>13</v>
      </c>
      <c r="AI26" s="56">
        <v>18</v>
      </c>
      <c r="AJ26" s="56">
        <v>5</v>
      </c>
      <c r="AK26" s="56">
        <v>6</v>
      </c>
    </row>
    <row r="27" spans="1:37">
      <c r="A27" t="s">
        <v>8707</v>
      </c>
      <c r="B27" t="s">
        <v>7598</v>
      </c>
      <c r="D27" t="s">
        <v>5524</v>
      </c>
      <c r="F27">
        <v>11</v>
      </c>
      <c r="G27" t="s">
        <v>8303</v>
      </c>
      <c r="I27" t="s">
        <v>8410</v>
      </c>
      <c r="J27">
        <v>2</v>
      </c>
      <c r="K27" t="s">
        <v>8428</v>
      </c>
      <c r="L27" t="s">
        <v>8413</v>
      </c>
      <c r="M27" t="s">
        <v>8678</v>
      </c>
      <c r="N27" t="s">
        <v>8661</v>
      </c>
      <c r="O27" t="s">
        <v>7426</v>
      </c>
      <c r="P27" t="s">
        <v>7426</v>
      </c>
      <c r="Q27" t="s">
        <v>8318</v>
      </c>
      <c r="R27">
        <v>6</v>
      </c>
      <c r="S27">
        <v>9</v>
      </c>
      <c r="U27">
        <v>1</v>
      </c>
      <c r="V27" t="s">
        <v>8637</v>
      </c>
      <c r="Y27" s="28" t="s">
        <v>1420</v>
      </c>
      <c r="Z27" s="28" t="s">
        <v>8657</v>
      </c>
      <c r="AA27" s="56">
        <v>3</v>
      </c>
      <c r="AB27" s="56" t="s">
        <v>5497</v>
      </c>
      <c r="AC27" s="56" t="s">
        <v>5486</v>
      </c>
      <c r="AD27" s="56">
        <v>3</v>
      </c>
      <c r="AE27" s="56">
        <v>5</v>
      </c>
      <c r="AF27" s="56">
        <v>4</v>
      </c>
      <c r="AG27" s="56">
        <v>4</v>
      </c>
      <c r="AH27" s="56">
        <v>11</v>
      </c>
      <c r="AI27" s="56">
        <v>15</v>
      </c>
      <c r="AJ27" s="56">
        <v>5</v>
      </c>
      <c r="AK27" s="56">
        <v>6</v>
      </c>
    </row>
    <row r="28" spans="1:37">
      <c r="A28" t="s">
        <v>8708</v>
      </c>
      <c r="B28" t="s">
        <v>7598</v>
      </c>
      <c r="D28" t="s">
        <v>5524</v>
      </c>
      <c r="F28">
        <v>13</v>
      </c>
      <c r="G28" t="s">
        <v>8317</v>
      </c>
      <c r="I28" t="s">
        <v>8410</v>
      </c>
      <c r="J28">
        <v>2</v>
      </c>
      <c r="K28" t="s">
        <v>8406</v>
      </c>
      <c r="L28" t="s">
        <v>8413</v>
      </c>
      <c r="M28" t="s">
        <v>8664</v>
      </c>
      <c r="N28" t="s">
        <v>8665</v>
      </c>
      <c r="O28" t="s">
        <v>7426</v>
      </c>
      <c r="P28" t="s">
        <v>7426</v>
      </c>
      <c r="Q28" t="s">
        <v>8361</v>
      </c>
      <c r="R28">
        <v>6</v>
      </c>
      <c r="S28">
        <v>9</v>
      </c>
      <c r="U28">
        <v>1</v>
      </c>
      <c r="V28" t="s">
        <v>8709</v>
      </c>
      <c r="Y28" s="28" t="s">
        <v>1420</v>
      </c>
      <c r="Z28" s="28" t="s">
        <v>8657</v>
      </c>
      <c r="AA28" s="56">
        <v>3</v>
      </c>
      <c r="AB28" s="56" t="s">
        <v>5497</v>
      </c>
      <c r="AC28" s="56" t="s">
        <v>5486</v>
      </c>
      <c r="AD28" s="56">
        <v>3</v>
      </c>
      <c r="AE28" s="56">
        <v>5</v>
      </c>
      <c r="AF28" s="56">
        <v>4</v>
      </c>
      <c r="AG28" s="56">
        <v>4</v>
      </c>
      <c r="AH28" s="56">
        <v>13</v>
      </c>
      <c r="AI28" s="56">
        <v>18</v>
      </c>
      <c r="AJ28" s="56">
        <v>5</v>
      </c>
      <c r="AK28" s="56">
        <v>6</v>
      </c>
    </row>
    <row r="29" spans="1:37">
      <c r="A29" t="s">
        <v>8710</v>
      </c>
      <c r="B29" t="s">
        <v>7598</v>
      </c>
      <c r="D29" t="s">
        <v>5524</v>
      </c>
      <c r="F29">
        <v>15</v>
      </c>
      <c r="G29" t="s">
        <v>8317</v>
      </c>
      <c r="I29" t="s">
        <v>8410</v>
      </c>
      <c r="J29">
        <v>3</v>
      </c>
      <c r="K29" t="s">
        <v>8422</v>
      </c>
      <c r="L29" t="s">
        <v>8413</v>
      </c>
      <c r="M29" t="s">
        <v>8664</v>
      </c>
      <c r="N29" t="s">
        <v>8668</v>
      </c>
      <c r="O29" t="s">
        <v>8669</v>
      </c>
      <c r="P29" t="s">
        <v>7426</v>
      </c>
      <c r="Q29" t="s">
        <v>8362</v>
      </c>
      <c r="R29">
        <v>7</v>
      </c>
      <c r="S29">
        <v>9</v>
      </c>
      <c r="U29">
        <v>2</v>
      </c>
      <c r="V29" t="s">
        <v>8711</v>
      </c>
      <c r="Y29" s="28" t="s">
        <v>1420</v>
      </c>
      <c r="Z29" s="28" t="s">
        <v>8657</v>
      </c>
      <c r="AA29" s="56">
        <v>3</v>
      </c>
      <c r="AB29" s="56" t="s">
        <v>5497</v>
      </c>
      <c r="AC29" s="56" t="s">
        <v>5486</v>
      </c>
      <c r="AD29" s="56">
        <v>3</v>
      </c>
      <c r="AE29" s="56">
        <v>5</v>
      </c>
      <c r="AF29" s="56">
        <v>4</v>
      </c>
      <c r="AG29" s="56">
        <v>4</v>
      </c>
      <c r="AH29" s="56">
        <v>15</v>
      </c>
      <c r="AI29" s="56">
        <v>20</v>
      </c>
      <c r="AJ29" s="56">
        <v>5</v>
      </c>
      <c r="AK29" s="56">
        <v>6</v>
      </c>
    </row>
    <row r="30" spans="1:37">
      <c r="A30" t="s">
        <v>8712</v>
      </c>
      <c r="B30" t="s">
        <v>7597</v>
      </c>
      <c r="D30" t="s">
        <v>5524</v>
      </c>
      <c r="F30">
        <v>10</v>
      </c>
      <c r="G30" t="s">
        <v>8303</v>
      </c>
      <c r="I30" t="s">
        <v>8413</v>
      </c>
      <c r="J30">
        <v>2</v>
      </c>
      <c r="K30" t="s">
        <v>8428</v>
      </c>
      <c r="L30" t="s">
        <v>8410</v>
      </c>
      <c r="M30" t="s">
        <v>8543</v>
      </c>
      <c r="N30" t="s">
        <v>8695</v>
      </c>
      <c r="O30" t="s">
        <v>7426</v>
      </c>
      <c r="P30" t="s">
        <v>7426</v>
      </c>
      <c r="Q30" t="s">
        <v>8312</v>
      </c>
      <c r="R30">
        <v>6</v>
      </c>
      <c r="S30">
        <v>9</v>
      </c>
      <c r="U30">
        <v>1</v>
      </c>
      <c r="V30" t="s">
        <v>8666</v>
      </c>
      <c r="Y30" s="28" t="s">
        <v>1420</v>
      </c>
      <c r="Z30" s="28" t="s">
        <v>8657</v>
      </c>
      <c r="AA30" s="56">
        <v>3</v>
      </c>
      <c r="AB30" s="56" t="s">
        <v>5497</v>
      </c>
      <c r="AC30" s="56" t="s">
        <v>5486</v>
      </c>
      <c r="AD30" s="56">
        <v>3</v>
      </c>
      <c r="AE30" s="56">
        <v>5</v>
      </c>
      <c r="AF30" s="56">
        <v>4</v>
      </c>
      <c r="AG30" s="56">
        <v>4</v>
      </c>
      <c r="AH30" s="56">
        <v>10</v>
      </c>
      <c r="AI30" s="56">
        <v>14</v>
      </c>
      <c r="AJ30" s="56">
        <v>5</v>
      </c>
      <c r="AK30" s="56">
        <v>6</v>
      </c>
    </row>
    <row r="31" spans="1:37">
      <c r="A31" t="s">
        <v>8713</v>
      </c>
      <c r="B31" t="s">
        <v>7597</v>
      </c>
      <c r="D31" t="s">
        <v>8341</v>
      </c>
      <c r="F31">
        <v>12</v>
      </c>
      <c r="G31" t="s">
        <v>8317</v>
      </c>
      <c r="I31" t="s">
        <v>8410</v>
      </c>
      <c r="J31">
        <v>3</v>
      </c>
      <c r="K31" t="s">
        <v>8692</v>
      </c>
      <c r="L31" t="s">
        <v>8416</v>
      </c>
      <c r="M31" t="s">
        <v>8684</v>
      </c>
      <c r="N31" t="s">
        <v>8665</v>
      </c>
      <c r="O31" t="s">
        <v>7426</v>
      </c>
      <c r="P31" t="s">
        <v>7426</v>
      </c>
      <c r="Q31" t="s">
        <v>8343</v>
      </c>
      <c r="R31">
        <v>6</v>
      </c>
      <c r="S31">
        <v>9</v>
      </c>
      <c r="U31">
        <v>3</v>
      </c>
      <c r="V31" t="s">
        <v>8638</v>
      </c>
      <c r="Y31" s="28" t="s">
        <v>1420</v>
      </c>
      <c r="Z31" s="28" t="s">
        <v>8657</v>
      </c>
      <c r="AA31" s="56">
        <v>3</v>
      </c>
      <c r="AB31" s="56" t="s">
        <v>5497</v>
      </c>
      <c r="AC31" s="56" t="s">
        <v>5486</v>
      </c>
      <c r="AD31" s="56">
        <v>3</v>
      </c>
      <c r="AE31" s="56">
        <v>5</v>
      </c>
      <c r="AF31" s="56">
        <v>4</v>
      </c>
      <c r="AG31" s="56">
        <v>4</v>
      </c>
      <c r="AH31" s="56">
        <v>12</v>
      </c>
      <c r="AI31" s="56">
        <v>16</v>
      </c>
      <c r="AJ31" s="56">
        <v>5</v>
      </c>
      <c r="AK31" s="56">
        <v>6</v>
      </c>
    </row>
    <row r="32" spans="1:37">
      <c r="A32" t="s">
        <v>8365</v>
      </c>
      <c r="B32" t="s">
        <v>5612</v>
      </c>
      <c r="D32" t="s">
        <v>8366</v>
      </c>
      <c r="F32">
        <v>33</v>
      </c>
      <c r="G32" t="s">
        <v>8714</v>
      </c>
      <c r="I32" t="s">
        <v>8410</v>
      </c>
      <c r="J32">
        <v>0</v>
      </c>
      <c r="K32" t="s">
        <v>8393</v>
      </c>
      <c r="L32" t="s">
        <v>8715</v>
      </c>
      <c r="M32" t="s">
        <v>8661</v>
      </c>
      <c r="N32" t="s">
        <v>7426</v>
      </c>
      <c r="O32" t="s">
        <v>7426</v>
      </c>
      <c r="P32" t="s">
        <v>7426</v>
      </c>
      <c r="Q32" t="s">
        <v>8369</v>
      </c>
      <c r="R32">
        <v>15</v>
      </c>
      <c r="S32">
        <v>10</v>
      </c>
      <c r="V32" t="s">
        <v>8469</v>
      </c>
      <c r="Y32" s="28" t="s">
        <v>1420</v>
      </c>
      <c r="Z32" s="28" t="s">
        <v>8657</v>
      </c>
      <c r="AA32" s="56">
        <v>3</v>
      </c>
      <c r="AB32" s="56" t="s">
        <v>5497</v>
      </c>
      <c r="AC32" s="56" t="s">
        <v>5486</v>
      </c>
      <c r="AD32" s="56">
        <v>3</v>
      </c>
      <c r="AE32" s="56">
        <v>5</v>
      </c>
      <c r="AF32" s="56">
        <v>4</v>
      </c>
      <c r="AG32" s="56">
        <v>4</v>
      </c>
      <c r="AH32" s="56">
        <v>33</v>
      </c>
      <c r="AI32" s="56">
        <v>44</v>
      </c>
      <c r="AJ32" s="56">
        <v>5</v>
      </c>
      <c r="AK32" s="56">
        <v>6</v>
      </c>
    </row>
    <row r="33" spans="1:37">
      <c r="A33" t="s">
        <v>8370</v>
      </c>
      <c r="B33" t="s">
        <v>5612</v>
      </c>
      <c r="D33" t="s">
        <v>8366</v>
      </c>
      <c r="F33">
        <v>28</v>
      </c>
      <c r="G33" t="s">
        <v>8716</v>
      </c>
      <c r="I33" t="s">
        <v>8410</v>
      </c>
      <c r="J33">
        <v>0</v>
      </c>
      <c r="K33" t="s">
        <v>8419</v>
      </c>
      <c r="L33" t="s">
        <v>8393</v>
      </c>
      <c r="M33" t="s">
        <v>8543</v>
      </c>
      <c r="N33" t="s">
        <v>7426</v>
      </c>
      <c r="O33" t="s">
        <v>7426</v>
      </c>
      <c r="P33" t="s">
        <v>7426</v>
      </c>
      <c r="Q33" t="s">
        <v>8318</v>
      </c>
      <c r="R33">
        <v>13</v>
      </c>
      <c r="S33">
        <v>10</v>
      </c>
      <c r="U33">
        <v>5</v>
      </c>
      <c r="V33" t="s">
        <v>8425</v>
      </c>
      <c r="Y33" s="28" t="s">
        <v>1420</v>
      </c>
      <c r="Z33" s="28" t="s">
        <v>8657</v>
      </c>
      <c r="AA33" s="56">
        <v>3</v>
      </c>
      <c r="AB33" s="56" t="s">
        <v>5497</v>
      </c>
      <c r="AC33" s="56" t="s">
        <v>5486</v>
      </c>
      <c r="AD33" s="56">
        <v>3</v>
      </c>
      <c r="AE33" s="56">
        <v>5</v>
      </c>
      <c r="AF33" s="56">
        <v>4</v>
      </c>
      <c r="AG33" s="56">
        <v>4</v>
      </c>
      <c r="AH33" s="56">
        <v>28</v>
      </c>
      <c r="AI33" s="56">
        <v>38</v>
      </c>
      <c r="AJ33" s="56">
        <v>5</v>
      </c>
      <c r="AK33" s="56">
        <v>6</v>
      </c>
    </row>
    <row r="34" spans="1:37">
      <c r="A34" t="s">
        <v>8717</v>
      </c>
      <c r="B34" t="s">
        <v>1174</v>
      </c>
      <c r="D34" t="s">
        <v>8372</v>
      </c>
      <c r="F34">
        <v>10</v>
      </c>
      <c r="G34" t="s">
        <v>8303</v>
      </c>
      <c r="I34" t="s">
        <v>8413</v>
      </c>
      <c r="J34">
        <v>2</v>
      </c>
      <c r="K34" t="s">
        <v>8659</v>
      </c>
      <c r="L34" t="s">
        <v>8416</v>
      </c>
      <c r="M34" t="s">
        <v>8678</v>
      </c>
      <c r="N34" t="s">
        <v>8661</v>
      </c>
      <c r="O34" t="s">
        <v>7426</v>
      </c>
      <c r="P34" t="s">
        <v>7426</v>
      </c>
      <c r="Q34" t="s">
        <v>8305</v>
      </c>
      <c r="R34">
        <v>6</v>
      </c>
      <c r="S34">
        <v>9</v>
      </c>
      <c r="U34">
        <v>1</v>
      </c>
      <c r="V34" t="s">
        <v>8666</v>
      </c>
      <c r="Y34" s="28" t="s">
        <v>1420</v>
      </c>
      <c r="Z34" s="28" t="s">
        <v>8657</v>
      </c>
      <c r="AA34" s="56">
        <v>3</v>
      </c>
      <c r="AB34" s="56" t="s">
        <v>5497</v>
      </c>
      <c r="AC34" s="56" t="s">
        <v>5486</v>
      </c>
      <c r="AD34" s="56">
        <v>3</v>
      </c>
      <c r="AE34" s="56">
        <v>5</v>
      </c>
      <c r="AF34" s="56">
        <v>4</v>
      </c>
      <c r="AG34" s="56">
        <v>4</v>
      </c>
      <c r="AH34" s="56">
        <v>10</v>
      </c>
      <c r="AI34" s="56">
        <v>14</v>
      </c>
      <c r="AJ34" s="56">
        <v>5</v>
      </c>
      <c r="AK34" s="56">
        <v>6</v>
      </c>
    </row>
    <row r="35" spans="1:37">
      <c r="A35" t="s">
        <v>8718</v>
      </c>
      <c r="B35" t="s">
        <v>1174</v>
      </c>
      <c r="D35" t="s">
        <v>8372</v>
      </c>
      <c r="F35">
        <v>12</v>
      </c>
      <c r="G35" t="s">
        <v>8317</v>
      </c>
      <c r="I35" t="s">
        <v>8413</v>
      </c>
      <c r="J35">
        <v>2</v>
      </c>
      <c r="K35" t="s">
        <v>8428</v>
      </c>
      <c r="L35" t="s">
        <v>8416</v>
      </c>
      <c r="M35" t="s">
        <v>8664</v>
      </c>
      <c r="N35" t="s">
        <v>8665</v>
      </c>
      <c r="O35" t="s">
        <v>7426</v>
      </c>
      <c r="P35" t="s">
        <v>7426</v>
      </c>
      <c r="Q35" t="s">
        <v>8343</v>
      </c>
      <c r="R35">
        <v>6</v>
      </c>
      <c r="S35">
        <v>9</v>
      </c>
      <c r="U35">
        <v>4</v>
      </c>
      <c r="V35" t="s">
        <v>8680</v>
      </c>
      <c r="Y35" s="28" t="s">
        <v>1420</v>
      </c>
      <c r="Z35" s="28" t="s">
        <v>8657</v>
      </c>
      <c r="AA35" s="56">
        <v>3</v>
      </c>
      <c r="AB35" s="56" t="s">
        <v>5497</v>
      </c>
      <c r="AC35" s="56" t="s">
        <v>5486</v>
      </c>
      <c r="AD35" s="56">
        <v>3</v>
      </c>
      <c r="AE35" s="56">
        <v>5</v>
      </c>
      <c r="AF35" s="56">
        <v>4</v>
      </c>
      <c r="AG35" s="56">
        <v>4</v>
      </c>
      <c r="AH35" s="56">
        <v>12</v>
      </c>
      <c r="AI35" s="56">
        <v>16</v>
      </c>
      <c r="AJ35" s="56">
        <v>5</v>
      </c>
      <c r="AK35" s="56">
        <v>6</v>
      </c>
    </row>
    <row r="36" spans="1:37">
      <c r="A36" t="s">
        <v>8719</v>
      </c>
      <c r="B36" t="s">
        <v>1174</v>
      </c>
      <c r="D36" t="s">
        <v>8372</v>
      </c>
      <c r="F36">
        <v>13</v>
      </c>
      <c r="G36" t="s">
        <v>8317</v>
      </c>
      <c r="I36" t="s">
        <v>8413</v>
      </c>
      <c r="J36">
        <v>3</v>
      </c>
      <c r="K36" t="s">
        <v>8422</v>
      </c>
      <c r="L36" t="s">
        <v>8413</v>
      </c>
      <c r="M36" t="s">
        <v>8664</v>
      </c>
      <c r="N36" t="s">
        <v>8668</v>
      </c>
      <c r="O36" t="s">
        <v>8669</v>
      </c>
      <c r="P36" t="s">
        <v>7426</v>
      </c>
      <c r="Q36" t="s">
        <v>8315</v>
      </c>
      <c r="R36">
        <v>7</v>
      </c>
      <c r="S36">
        <v>9</v>
      </c>
      <c r="U36">
        <v>5</v>
      </c>
      <c r="V36" t="s">
        <v>8682</v>
      </c>
      <c r="Y36" s="28" t="s">
        <v>1420</v>
      </c>
      <c r="Z36" s="28" t="s">
        <v>8657</v>
      </c>
      <c r="AA36" s="56">
        <v>3</v>
      </c>
      <c r="AB36" s="56" t="s">
        <v>5497</v>
      </c>
      <c r="AC36" s="56" t="s">
        <v>5486</v>
      </c>
      <c r="AD36" s="56">
        <v>3</v>
      </c>
      <c r="AE36" s="56">
        <v>5</v>
      </c>
      <c r="AF36" s="56">
        <v>4</v>
      </c>
      <c r="AG36" s="56">
        <v>4</v>
      </c>
      <c r="AH36" s="56">
        <v>13</v>
      </c>
      <c r="AI36" s="56">
        <v>18</v>
      </c>
      <c r="AJ36" s="56">
        <v>5</v>
      </c>
      <c r="AK36" s="56">
        <v>6</v>
      </c>
    </row>
    <row r="37" spans="1:37">
      <c r="A37" t="s">
        <v>8375</v>
      </c>
      <c r="B37" t="s">
        <v>1174</v>
      </c>
      <c r="D37" t="s">
        <v>8376</v>
      </c>
      <c r="F37">
        <v>13</v>
      </c>
      <c r="G37" t="s">
        <v>8485</v>
      </c>
      <c r="I37" t="s">
        <v>8410</v>
      </c>
      <c r="J37">
        <v>4</v>
      </c>
      <c r="K37" t="s">
        <v>8406</v>
      </c>
      <c r="L37" t="s">
        <v>8413</v>
      </c>
      <c r="M37" t="s">
        <v>8688</v>
      </c>
      <c r="N37" t="s">
        <v>8689</v>
      </c>
      <c r="O37" t="s">
        <v>7426</v>
      </c>
      <c r="P37" t="s">
        <v>7426</v>
      </c>
      <c r="Q37" t="s">
        <v>8346</v>
      </c>
      <c r="R37">
        <v>6</v>
      </c>
      <c r="S37">
        <v>9</v>
      </c>
      <c r="U37">
        <v>5</v>
      </c>
      <c r="V37" t="s">
        <v>8694</v>
      </c>
      <c r="Y37" s="28" t="s">
        <v>1420</v>
      </c>
      <c r="Z37" s="28" t="s">
        <v>8657</v>
      </c>
      <c r="AA37" s="56">
        <v>3</v>
      </c>
      <c r="AB37" s="56" t="s">
        <v>5497</v>
      </c>
      <c r="AC37" s="56" t="s">
        <v>5486</v>
      </c>
      <c r="AD37" s="56">
        <v>3</v>
      </c>
      <c r="AE37" s="56">
        <v>5</v>
      </c>
      <c r="AF37" s="56">
        <v>4</v>
      </c>
      <c r="AG37" s="56">
        <v>4</v>
      </c>
      <c r="AH37" s="56">
        <v>13</v>
      </c>
      <c r="AI37" s="56">
        <v>18</v>
      </c>
      <c r="AJ37" s="56">
        <v>5</v>
      </c>
      <c r="AK37" s="56">
        <v>6</v>
      </c>
    </row>
    <row r="38" spans="1:37">
      <c r="A38" t="s">
        <v>8720</v>
      </c>
      <c r="B38" t="s">
        <v>5606</v>
      </c>
      <c r="D38" t="s">
        <v>5524</v>
      </c>
      <c r="F38">
        <v>4</v>
      </c>
      <c r="G38" t="s">
        <v>8524</v>
      </c>
      <c r="I38" t="s">
        <v>8410</v>
      </c>
      <c r="J38">
        <v>2</v>
      </c>
      <c r="K38" t="s">
        <v>8428</v>
      </c>
      <c r="L38" t="s">
        <v>8413</v>
      </c>
      <c r="M38" t="s">
        <v>8678</v>
      </c>
      <c r="N38" t="s">
        <v>8661</v>
      </c>
      <c r="O38" t="s">
        <v>7426</v>
      </c>
      <c r="P38" t="s">
        <v>7426</v>
      </c>
      <c r="Q38" t="s">
        <v>8369</v>
      </c>
      <c r="R38">
        <v>5</v>
      </c>
      <c r="S38">
        <v>9</v>
      </c>
      <c r="U38">
        <v>1</v>
      </c>
      <c r="V38" t="s">
        <v>8666</v>
      </c>
      <c r="Y38" s="28" t="s">
        <v>1420</v>
      </c>
      <c r="Z38" s="28" t="s">
        <v>8657</v>
      </c>
      <c r="AA38" s="56">
        <v>3</v>
      </c>
      <c r="AB38" s="56" t="s">
        <v>5497</v>
      </c>
      <c r="AC38" s="56" t="s">
        <v>5486</v>
      </c>
      <c r="AD38" s="56">
        <v>3</v>
      </c>
      <c r="AE38" s="56">
        <v>5</v>
      </c>
      <c r="AF38" s="56">
        <v>4</v>
      </c>
      <c r="AG38" s="56">
        <v>4</v>
      </c>
      <c r="AH38" s="56">
        <v>4</v>
      </c>
      <c r="AI38" s="56">
        <v>6</v>
      </c>
      <c r="AJ38" s="56">
        <v>5</v>
      </c>
      <c r="AK38" s="56">
        <v>6</v>
      </c>
    </row>
    <row r="39" spans="1:37">
      <c r="A39" t="s">
        <v>8721</v>
      </c>
      <c r="B39" t="s">
        <v>5606</v>
      </c>
      <c r="D39" t="s">
        <v>5524</v>
      </c>
      <c r="F39">
        <v>6</v>
      </c>
      <c r="G39" t="s">
        <v>8303</v>
      </c>
      <c r="I39" t="s">
        <v>8410</v>
      </c>
      <c r="J39">
        <v>2</v>
      </c>
      <c r="K39" t="s">
        <v>8406</v>
      </c>
      <c r="L39" t="s">
        <v>8413</v>
      </c>
      <c r="M39" t="s">
        <v>8664</v>
      </c>
      <c r="N39" t="s">
        <v>8665</v>
      </c>
      <c r="O39" t="s">
        <v>7426</v>
      </c>
      <c r="P39" t="s">
        <v>7426</v>
      </c>
      <c r="Q39" t="s">
        <v>8378</v>
      </c>
      <c r="R39">
        <v>5</v>
      </c>
      <c r="S39">
        <v>9</v>
      </c>
      <c r="U39">
        <v>1</v>
      </c>
      <c r="V39" t="s">
        <v>8680</v>
      </c>
      <c r="Y39" s="28" t="s">
        <v>1420</v>
      </c>
      <c r="Z39" s="28" t="s">
        <v>8657</v>
      </c>
      <c r="AA39" s="56">
        <v>3</v>
      </c>
      <c r="AB39" s="56" t="s">
        <v>5497</v>
      </c>
      <c r="AC39" s="56" t="s">
        <v>5486</v>
      </c>
      <c r="AD39" s="56">
        <v>3</v>
      </c>
      <c r="AE39" s="56">
        <v>5</v>
      </c>
      <c r="AF39" s="56">
        <v>4</v>
      </c>
      <c r="AG39" s="56">
        <v>4</v>
      </c>
      <c r="AH39" s="56">
        <v>6</v>
      </c>
      <c r="AI39" s="56">
        <v>8</v>
      </c>
      <c r="AJ39" s="56">
        <v>5</v>
      </c>
      <c r="AK39" s="56">
        <v>6</v>
      </c>
    </row>
    <row r="40" spans="1:37">
      <c r="A40" t="s">
        <v>8722</v>
      </c>
      <c r="B40" t="s">
        <v>5606</v>
      </c>
      <c r="D40" t="s">
        <v>5524</v>
      </c>
      <c r="F40">
        <v>7</v>
      </c>
      <c r="G40" t="s">
        <v>8303</v>
      </c>
      <c r="I40" t="s">
        <v>8410</v>
      </c>
      <c r="J40">
        <v>3</v>
      </c>
      <c r="K40" t="s">
        <v>8422</v>
      </c>
      <c r="L40" t="s">
        <v>8413</v>
      </c>
      <c r="M40" t="s">
        <v>8664</v>
      </c>
      <c r="N40" t="s">
        <v>8668</v>
      </c>
      <c r="O40" t="s">
        <v>8669</v>
      </c>
      <c r="P40" t="s">
        <v>7426</v>
      </c>
      <c r="Q40" t="s">
        <v>8379</v>
      </c>
      <c r="R40">
        <v>6</v>
      </c>
      <c r="S40">
        <v>9</v>
      </c>
      <c r="U40">
        <v>1</v>
      </c>
      <c r="V40" t="s">
        <v>8682</v>
      </c>
      <c r="Y40" s="28" t="s">
        <v>1420</v>
      </c>
      <c r="Z40" s="28" t="s">
        <v>8657</v>
      </c>
      <c r="AA40" s="56">
        <v>3</v>
      </c>
      <c r="AB40" s="56" t="s">
        <v>5497</v>
      </c>
      <c r="AC40" s="56" t="s">
        <v>5486</v>
      </c>
      <c r="AD40" s="56">
        <v>3</v>
      </c>
      <c r="AE40" s="56">
        <v>5</v>
      </c>
      <c r="AF40" s="56">
        <v>4</v>
      </c>
      <c r="AG40" s="56">
        <v>4</v>
      </c>
      <c r="AH40" s="56">
        <v>7</v>
      </c>
      <c r="AI40" s="56">
        <v>10</v>
      </c>
      <c r="AJ40" s="56">
        <v>5</v>
      </c>
      <c r="AK40" s="56">
        <v>6</v>
      </c>
    </row>
    <row r="41" spans="1:37">
      <c r="A41" t="s">
        <v>8723</v>
      </c>
      <c r="B41" t="s">
        <v>5606</v>
      </c>
      <c r="D41" t="s">
        <v>8380</v>
      </c>
      <c r="F41">
        <v>10</v>
      </c>
      <c r="G41" t="s">
        <v>8317</v>
      </c>
      <c r="I41" t="s">
        <v>8410</v>
      </c>
      <c r="J41">
        <v>5</v>
      </c>
      <c r="K41" t="s">
        <v>8406</v>
      </c>
      <c r="L41" t="s">
        <v>8413</v>
      </c>
      <c r="M41" t="s">
        <v>8688</v>
      </c>
      <c r="N41" t="s">
        <v>8689</v>
      </c>
      <c r="O41" t="s">
        <v>8661</v>
      </c>
      <c r="P41" t="s">
        <v>7426</v>
      </c>
      <c r="Q41" t="s">
        <v>8318</v>
      </c>
      <c r="R41">
        <v>4</v>
      </c>
      <c r="S41">
        <v>10</v>
      </c>
      <c r="U41">
        <v>5</v>
      </c>
      <c r="V41" t="s">
        <v>8565</v>
      </c>
      <c r="Y41" s="28" t="s">
        <v>1420</v>
      </c>
      <c r="Z41" s="28" t="s">
        <v>8657</v>
      </c>
      <c r="AA41" s="56">
        <v>3</v>
      </c>
      <c r="AB41" s="56" t="s">
        <v>5497</v>
      </c>
      <c r="AC41" s="56" t="s">
        <v>5486</v>
      </c>
      <c r="AD41" s="56">
        <v>3</v>
      </c>
      <c r="AE41" s="56">
        <v>5</v>
      </c>
      <c r="AF41" s="56">
        <v>4</v>
      </c>
      <c r="AG41" s="56">
        <v>4</v>
      </c>
      <c r="AH41" s="56">
        <v>10</v>
      </c>
      <c r="AI41" s="56">
        <v>14</v>
      </c>
      <c r="AJ41" s="56">
        <v>5</v>
      </c>
      <c r="AK41" s="56">
        <v>6</v>
      </c>
    </row>
    <row r="42" spans="1:37">
      <c r="A42" t="s">
        <v>8381</v>
      </c>
      <c r="B42" t="s">
        <v>8382</v>
      </c>
      <c r="D42" t="s">
        <v>8383</v>
      </c>
      <c r="F42">
        <v>21</v>
      </c>
      <c r="G42" t="s">
        <v>8493</v>
      </c>
      <c r="I42" t="s">
        <v>8410</v>
      </c>
      <c r="J42">
        <v>3</v>
      </c>
      <c r="K42" t="s">
        <v>8406</v>
      </c>
      <c r="L42" t="s">
        <v>8410</v>
      </c>
      <c r="M42" t="s">
        <v>8660</v>
      </c>
      <c r="N42" t="s">
        <v>8695</v>
      </c>
      <c r="O42" t="s">
        <v>7426</v>
      </c>
      <c r="P42" t="s">
        <v>7426</v>
      </c>
      <c r="Q42" t="s">
        <v>8318</v>
      </c>
      <c r="R42">
        <v>8</v>
      </c>
      <c r="S42">
        <v>9</v>
      </c>
      <c r="U42" t="s">
        <v>3432</v>
      </c>
      <c r="V42">
        <v>1000000</v>
      </c>
      <c r="Y42" s="28" t="s">
        <v>1420</v>
      </c>
      <c r="Z42" s="28" t="s">
        <v>8657</v>
      </c>
      <c r="AA42" s="56">
        <v>3</v>
      </c>
      <c r="AB42" s="56" t="s">
        <v>5497</v>
      </c>
      <c r="AC42" s="56" t="s">
        <v>5486</v>
      </c>
      <c r="AD42" s="56">
        <v>3</v>
      </c>
      <c r="AE42" s="56">
        <v>5</v>
      </c>
      <c r="AF42" s="56">
        <v>4</v>
      </c>
      <c r="AG42" s="56">
        <v>4</v>
      </c>
      <c r="AH42" s="56">
        <v>21</v>
      </c>
      <c r="AI42" s="56">
        <v>28</v>
      </c>
      <c r="AJ42" s="56">
        <v>5</v>
      </c>
      <c r="AK42" s="56">
        <v>6</v>
      </c>
    </row>
  </sheetData>
  <pageMargins left="0.7" right="0.7" top="0.75" bottom="0.75" header="0.3" footer="0.3"/>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BA39"/>
  <sheetViews>
    <sheetView workbookViewId="0"/>
  </sheetViews>
  <sheetFormatPr baseColWidth="10" defaultColWidth="9.140625" defaultRowHeight="15"/>
  <cols>
    <col min="4" max="4" width="9.140625" style="48" customWidth="1"/>
    <col min="6" max="7" width="9.140625" style="48" customWidth="1"/>
    <col min="9" max="10" width="9.140625" style="48" customWidth="1"/>
    <col min="12" max="17" width="9.140625" style="48" customWidth="1"/>
  </cols>
  <sheetData>
    <row r="1" spans="1:53">
      <c r="A1" t="s">
        <v>5474</v>
      </c>
      <c r="B1" t="s">
        <v>5455</v>
      </c>
      <c r="C1" t="s">
        <v>8643</v>
      </c>
      <c r="D1" t="s">
        <v>8724</v>
      </c>
      <c r="E1" t="s">
        <v>8725</v>
      </c>
      <c r="F1" t="s">
        <v>8726</v>
      </c>
      <c r="G1" t="s">
        <v>8727</v>
      </c>
      <c r="H1" t="s">
        <v>8728</v>
      </c>
      <c r="I1" t="s">
        <v>8729</v>
      </c>
      <c r="J1" t="s">
        <v>8730</v>
      </c>
      <c r="K1" t="s">
        <v>8731</v>
      </c>
      <c r="L1" t="s">
        <v>8732</v>
      </c>
      <c r="M1" t="s">
        <v>8733</v>
      </c>
      <c r="N1" t="s">
        <v>8734</v>
      </c>
      <c r="O1" t="s">
        <v>8735</v>
      </c>
      <c r="P1" t="s">
        <v>8736</v>
      </c>
      <c r="Q1" t="s">
        <v>8737</v>
      </c>
      <c r="R1" t="s">
        <v>8738</v>
      </c>
      <c r="S1" t="s">
        <v>8644</v>
      </c>
      <c r="T1" t="s">
        <v>8645</v>
      </c>
      <c r="U1" t="s">
        <v>8646</v>
      </c>
      <c r="V1" t="s">
        <v>8647</v>
      </c>
      <c r="W1" t="s">
        <v>8648</v>
      </c>
      <c r="X1" t="s">
        <v>7350</v>
      </c>
      <c r="Y1" t="s">
        <v>8369</v>
      </c>
      <c r="Z1" t="s">
        <v>8379</v>
      </c>
      <c r="AA1" t="s">
        <v>8315</v>
      </c>
      <c r="AB1" t="s">
        <v>8600</v>
      </c>
      <c r="AC1" t="s">
        <v>8649</v>
      </c>
      <c r="AD1" t="s">
        <v>8650</v>
      </c>
      <c r="AE1" t="s">
        <v>5479</v>
      </c>
      <c r="AF1" t="s">
        <v>8651</v>
      </c>
      <c r="AG1" t="s">
        <v>8652</v>
      </c>
      <c r="AH1" t="s">
        <v>8653</v>
      </c>
      <c r="AI1" t="s">
        <v>8654</v>
      </c>
      <c r="AJ1" t="s">
        <v>7225</v>
      </c>
      <c r="AK1" t="s">
        <v>8655</v>
      </c>
      <c r="AL1" t="s">
        <v>7907</v>
      </c>
      <c r="AM1" t="s">
        <v>8656</v>
      </c>
      <c r="AN1" t="s">
        <v>8475</v>
      </c>
      <c r="AO1" t="s">
        <v>7344</v>
      </c>
      <c r="AP1" t="s">
        <v>5553</v>
      </c>
      <c r="AQ1" t="s">
        <v>7345</v>
      </c>
      <c r="AR1" t="s">
        <v>7346</v>
      </c>
      <c r="AS1" t="s">
        <v>7347</v>
      </c>
      <c r="AT1" t="s">
        <v>7348</v>
      </c>
      <c r="AU1" t="s">
        <v>7349</v>
      </c>
      <c r="AV1" t="s">
        <v>7351</v>
      </c>
      <c r="AW1" t="s">
        <v>7352</v>
      </c>
      <c r="AX1" t="s">
        <v>7353</v>
      </c>
      <c r="AY1" t="s">
        <v>7354</v>
      </c>
      <c r="AZ1" t="s">
        <v>7358</v>
      </c>
      <c r="BA1" t="s">
        <v>7359</v>
      </c>
    </row>
    <row r="2" spans="1:53">
      <c r="A2" t="s">
        <v>8476</v>
      </c>
      <c r="B2" t="s">
        <v>8302</v>
      </c>
      <c r="C2" t="s">
        <v>8739</v>
      </c>
      <c r="D2">
        <v>9</v>
      </c>
      <c r="E2">
        <v>13</v>
      </c>
      <c r="F2">
        <v>4</v>
      </c>
      <c r="T2">
        <v>9</v>
      </c>
      <c r="U2" t="s">
        <v>8317</v>
      </c>
      <c r="X2">
        <v>2</v>
      </c>
      <c r="Y2" t="s">
        <v>8659</v>
      </c>
      <c r="Z2" t="s">
        <v>8571</v>
      </c>
      <c r="AA2" t="s">
        <v>8661</v>
      </c>
      <c r="AB2" t="s">
        <v>8740</v>
      </c>
      <c r="AC2" t="s">
        <v>7426</v>
      </c>
      <c r="AD2" t="s">
        <v>7426</v>
      </c>
      <c r="AE2" t="s">
        <v>8479</v>
      </c>
      <c r="AF2" t="s">
        <v>8741</v>
      </c>
      <c r="AG2">
        <v>4</v>
      </c>
      <c r="AJ2" t="s">
        <v>8469</v>
      </c>
      <c r="AO2" s="56" t="s">
        <v>1420</v>
      </c>
      <c r="AP2" s="56" t="s">
        <v>8657</v>
      </c>
      <c r="AQ2" s="56">
        <v>3</v>
      </c>
      <c r="AR2" s="56" t="s">
        <v>5497</v>
      </c>
      <c r="AS2" s="56" t="s">
        <v>5486</v>
      </c>
      <c r="AT2" s="56">
        <v>3</v>
      </c>
      <c r="AU2" s="56">
        <v>5</v>
      </c>
      <c r="AV2" s="56">
        <v>4</v>
      </c>
      <c r="AW2" s="56">
        <v>4</v>
      </c>
      <c r="AX2" s="56">
        <v>9</v>
      </c>
      <c r="AY2" s="56">
        <v>7</v>
      </c>
      <c r="AZ2" s="56">
        <v>5</v>
      </c>
      <c r="BA2" s="56">
        <v>6</v>
      </c>
    </row>
    <row r="3" spans="1:53">
      <c r="A3" t="s">
        <v>8742</v>
      </c>
      <c r="B3" t="s">
        <v>8328</v>
      </c>
      <c r="C3" t="s">
        <v>8739</v>
      </c>
      <c r="D3">
        <v>9</v>
      </c>
      <c r="E3">
        <v>14</v>
      </c>
      <c r="F3">
        <v>4</v>
      </c>
      <c r="G3">
        <v>5</v>
      </c>
      <c r="H3">
        <v>30</v>
      </c>
      <c r="I3">
        <v>2</v>
      </c>
      <c r="J3">
        <v>3</v>
      </c>
      <c r="K3">
        <v>60</v>
      </c>
      <c r="L3">
        <v>1</v>
      </c>
      <c r="T3">
        <v>9</v>
      </c>
      <c r="U3" t="s">
        <v>8317</v>
      </c>
      <c r="X3">
        <v>3</v>
      </c>
      <c r="Y3" t="s">
        <v>8743</v>
      </c>
      <c r="Z3" t="s">
        <v>8452</v>
      </c>
      <c r="AA3" t="s">
        <v>8744</v>
      </c>
      <c r="AB3" t="s">
        <v>8745</v>
      </c>
      <c r="AC3" t="s">
        <v>7426</v>
      </c>
      <c r="AD3" t="s">
        <v>7426</v>
      </c>
      <c r="AE3" t="s">
        <v>8479</v>
      </c>
      <c r="AF3" t="s">
        <v>8746</v>
      </c>
      <c r="AG3">
        <v>4</v>
      </c>
      <c r="AI3">
        <v>4</v>
      </c>
      <c r="AJ3" t="s">
        <v>8425</v>
      </c>
      <c r="AO3" s="56" t="s">
        <v>1420</v>
      </c>
      <c r="AP3" s="56" t="s">
        <v>8657</v>
      </c>
      <c r="AQ3" s="56">
        <v>3</v>
      </c>
      <c r="AR3" s="56" t="s">
        <v>5497</v>
      </c>
      <c r="AS3" s="56" t="s">
        <v>5486</v>
      </c>
      <c r="AT3" s="56">
        <v>3</v>
      </c>
      <c r="AU3" s="56">
        <v>5</v>
      </c>
      <c r="AV3" s="56">
        <v>4</v>
      </c>
      <c r="AW3" s="56">
        <v>4</v>
      </c>
      <c r="AX3">
        <v>5</v>
      </c>
      <c r="AY3" s="56">
        <v>4</v>
      </c>
      <c r="AZ3" s="56">
        <v>5</v>
      </c>
      <c r="BA3" s="56">
        <v>6</v>
      </c>
    </row>
    <row r="4" spans="1:53">
      <c r="A4" t="s">
        <v>8747</v>
      </c>
      <c r="B4" t="s">
        <v>8328</v>
      </c>
      <c r="C4" t="s">
        <v>8739</v>
      </c>
      <c r="D4">
        <v>12</v>
      </c>
      <c r="E4">
        <v>14</v>
      </c>
      <c r="F4">
        <v>4</v>
      </c>
      <c r="G4">
        <v>7</v>
      </c>
      <c r="H4">
        <v>30</v>
      </c>
      <c r="I4">
        <v>2</v>
      </c>
      <c r="J4">
        <v>4</v>
      </c>
      <c r="K4">
        <v>60</v>
      </c>
      <c r="L4">
        <v>1</v>
      </c>
      <c r="T4">
        <v>12</v>
      </c>
      <c r="U4" t="s">
        <v>8485</v>
      </c>
      <c r="X4">
        <v>4</v>
      </c>
      <c r="Y4" t="s">
        <v>8582</v>
      </c>
      <c r="Z4" t="s">
        <v>8413</v>
      </c>
      <c r="AA4" t="s">
        <v>8703</v>
      </c>
      <c r="AB4" t="s">
        <v>8702</v>
      </c>
      <c r="AC4" t="s">
        <v>7426</v>
      </c>
      <c r="AD4" t="s">
        <v>7426</v>
      </c>
      <c r="AE4" t="s">
        <v>8369</v>
      </c>
      <c r="AF4" t="s">
        <v>8746</v>
      </c>
      <c r="AG4">
        <v>4</v>
      </c>
      <c r="AI4">
        <v>2</v>
      </c>
      <c r="AJ4" t="s">
        <v>8748</v>
      </c>
      <c r="AO4" s="56" t="s">
        <v>1420</v>
      </c>
      <c r="AP4" s="56" t="s">
        <v>8657</v>
      </c>
      <c r="AQ4" s="56">
        <v>3</v>
      </c>
      <c r="AR4" s="56" t="s">
        <v>5497</v>
      </c>
      <c r="AS4" s="56" t="s">
        <v>5486</v>
      </c>
      <c r="AT4" s="56">
        <v>3</v>
      </c>
      <c r="AU4" s="56">
        <v>5</v>
      </c>
      <c r="AV4" s="56">
        <v>4</v>
      </c>
      <c r="AW4" s="56">
        <v>4</v>
      </c>
      <c r="AX4">
        <v>7</v>
      </c>
      <c r="AY4" s="56">
        <v>6</v>
      </c>
      <c r="AZ4" s="56">
        <v>5</v>
      </c>
      <c r="BA4" s="56">
        <v>6</v>
      </c>
    </row>
    <row r="5" spans="1:53">
      <c r="A5" t="s">
        <v>8749</v>
      </c>
      <c r="B5" t="s">
        <v>8328</v>
      </c>
      <c r="C5" t="s">
        <v>8739</v>
      </c>
      <c r="D5">
        <v>25</v>
      </c>
      <c r="E5">
        <v>14</v>
      </c>
      <c r="F5">
        <v>4</v>
      </c>
      <c r="G5">
        <v>12</v>
      </c>
      <c r="H5">
        <v>30</v>
      </c>
      <c r="I5">
        <v>2</v>
      </c>
      <c r="J5">
        <v>7</v>
      </c>
      <c r="K5">
        <v>60</v>
      </c>
      <c r="L5">
        <v>1</v>
      </c>
      <c r="T5">
        <v>25</v>
      </c>
      <c r="U5" t="s">
        <v>8489</v>
      </c>
      <c r="X5">
        <v>5</v>
      </c>
      <c r="Y5" t="s">
        <v>8692</v>
      </c>
      <c r="Z5" t="s">
        <v>8406</v>
      </c>
      <c r="AA5" t="s">
        <v>8684</v>
      </c>
      <c r="AB5" t="s">
        <v>8661</v>
      </c>
      <c r="AC5" t="s">
        <v>7426</v>
      </c>
      <c r="AD5" t="s">
        <v>7426</v>
      </c>
      <c r="AE5" t="s">
        <v>8305</v>
      </c>
      <c r="AF5" t="s">
        <v>8746</v>
      </c>
      <c r="AG5">
        <v>4</v>
      </c>
      <c r="AI5">
        <v>3</v>
      </c>
      <c r="AJ5" t="s">
        <v>8638</v>
      </c>
      <c r="AO5" s="56" t="s">
        <v>1420</v>
      </c>
      <c r="AP5" s="56" t="s">
        <v>8657</v>
      </c>
      <c r="AQ5" s="56">
        <v>3</v>
      </c>
      <c r="AR5" s="56" t="s">
        <v>5497</v>
      </c>
      <c r="AS5" s="56" t="s">
        <v>5486</v>
      </c>
      <c r="AT5" s="56">
        <v>3</v>
      </c>
      <c r="AU5" s="56">
        <v>5</v>
      </c>
      <c r="AV5" s="56">
        <v>4</v>
      </c>
      <c r="AW5" s="56">
        <v>4</v>
      </c>
      <c r="AX5">
        <v>12</v>
      </c>
      <c r="AY5" s="56">
        <v>9</v>
      </c>
      <c r="AZ5" s="56">
        <v>5</v>
      </c>
      <c r="BA5" s="56">
        <v>6</v>
      </c>
    </row>
    <row r="6" spans="1:53">
      <c r="A6" t="s">
        <v>8750</v>
      </c>
      <c r="B6" t="s">
        <v>8328</v>
      </c>
      <c r="C6" t="s">
        <v>8739</v>
      </c>
      <c r="D6">
        <v>37</v>
      </c>
      <c r="E6">
        <v>14</v>
      </c>
      <c r="F6">
        <v>4</v>
      </c>
      <c r="G6">
        <v>20</v>
      </c>
      <c r="H6">
        <v>30</v>
      </c>
      <c r="I6">
        <v>2</v>
      </c>
      <c r="J6">
        <v>14</v>
      </c>
      <c r="K6">
        <v>60</v>
      </c>
      <c r="L6">
        <v>1</v>
      </c>
      <c r="T6">
        <v>37</v>
      </c>
      <c r="U6" t="s">
        <v>8493</v>
      </c>
      <c r="X6">
        <v>6</v>
      </c>
      <c r="Y6" t="s">
        <v>8659</v>
      </c>
      <c r="Z6" t="s">
        <v>8422</v>
      </c>
      <c r="AA6" t="s">
        <v>8715</v>
      </c>
      <c r="AB6" t="s">
        <v>8675</v>
      </c>
      <c r="AC6" t="s">
        <v>7426</v>
      </c>
      <c r="AD6" t="s">
        <v>7426</v>
      </c>
      <c r="AE6" t="s">
        <v>8312</v>
      </c>
      <c r="AF6" t="s">
        <v>8746</v>
      </c>
      <c r="AG6">
        <v>4</v>
      </c>
      <c r="AI6">
        <v>4</v>
      </c>
      <c r="AJ6" t="s">
        <v>8751</v>
      </c>
      <c r="AO6" s="56" t="s">
        <v>1420</v>
      </c>
      <c r="AP6" s="56" t="s">
        <v>8657</v>
      </c>
      <c r="AQ6" s="56">
        <v>3</v>
      </c>
      <c r="AR6" s="56" t="s">
        <v>5497</v>
      </c>
      <c r="AS6" s="56" t="s">
        <v>5486</v>
      </c>
      <c r="AT6" s="56">
        <v>3</v>
      </c>
      <c r="AU6" s="56">
        <v>5</v>
      </c>
      <c r="AV6" s="56">
        <v>4</v>
      </c>
      <c r="AW6" s="56">
        <v>4</v>
      </c>
      <c r="AX6">
        <v>20</v>
      </c>
      <c r="AY6" s="56">
        <v>15</v>
      </c>
      <c r="AZ6" s="56">
        <v>5</v>
      </c>
      <c r="BA6" s="56">
        <v>6</v>
      </c>
    </row>
    <row r="7" spans="1:53">
      <c r="A7" t="s">
        <v>8752</v>
      </c>
      <c r="B7" t="s">
        <v>8328</v>
      </c>
      <c r="C7" t="s">
        <v>8753</v>
      </c>
      <c r="M7">
        <v>11</v>
      </c>
      <c r="N7">
        <v>6</v>
      </c>
      <c r="O7">
        <v>10</v>
      </c>
      <c r="P7">
        <v>1</v>
      </c>
      <c r="Q7">
        <v>16</v>
      </c>
      <c r="R7">
        <v>6</v>
      </c>
      <c r="U7" t="s">
        <v>8303</v>
      </c>
      <c r="X7">
        <v>4</v>
      </c>
      <c r="Y7" t="s">
        <v>8428</v>
      </c>
      <c r="Z7" t="s">
        <v>8393</v>
      </c>
      <c r="AA7" t="s">
        <v>8689</v>
      </c>
      <c r="AB7" t="s">
        <v>8754</v>
      </c>
      <c r="AC7" t="s">
        <v>7426</v>
      </c>
      <c r="AD7" t="s">
        <v>7426</v>
      </c>
      <c r="AE7" t="s">
        <v>8479</v>
      </c>
      <c r="AI7">
        <v>6</v>
      </c>
      <c r="AJ7" t="s">
        <v>8755</v>
      </c>
      <c r="AN7" t="s">
        <v>8756</v>
      </c>
      <c r="AO7" s="56" t="s">
        <v>1420</v>
      </c>
      <c r="AP7" s="56" t="s">
        <v>8657</v>
      </c>
      <c r="AQ7" s="56">
        <v>3</v>
      </c>
      <c r="AR7" s="56" t="s">
        <v>5497</v>
      </c>
      <c r="AS7" s="56" t="s">
        <v>5486</v>
      </c>
      <c r="AT7" s="56">
        <v>3</v>
      </c>
      <c r="AU7" s="56">
        <v>5</v>
      </c>
      <c r="AV7" s="56">
        <v>4</v>
      </c>
      <c r="AW7" s="56">
        <v>4</v>
      </c>
      <c r="AX7" s="56">
        <v>11</v>
      </c>
      <c r="AY7" s="56">
        <v>9</v>
      </c>
      <c r="AZ7" s="56">
        <v>5</v>
      </c>
      <c r="BA7" s="56">
        <v>6</v>
      </c>
    </row>
    <row r="8" spans="1:53">
      <c r="A8" t="s">
        <v>8757</v>
      </c>
      <c r="B8" t="s">
        <v>5580</v>
      </c>
      <c r="C8" t="s">
        <v>8739</v>
      </c>
      <c r="D8">
        <v>7</v>
      </c>
      <c r="E8">
        <v>14</v>
      </c>
      <c r="F8">
        <v>4</v>
      </c>
      <c r="G8">
        <v>3</v>
      </c>
      <c r="H8">
        <v>30</v>
      </c>
      <c r="I8">
        <v>2</v>
      </c>
      <c r="J8">
        <v>1</v>
      </c>
      <c r="K8">
        <v>60</v>
      </c>
      <c r="L8">
        <v>1</v>
      </c>
      <c r="T8">
        <v>7</v>
      </c>
      <c r="U8" t="s">
        <v>8317</v>
      </c>
      <c r="X8">
        <v>2</v>
      </c>
      <c r="Y8" t="s">
        <v>8582</v>
      </c>
      <c r="Z8" t="s">
        <v>8571</v>
      </c>
      <c r="AA8" t="s">
        <v>8661</v>
      </c>
      <c r="AB8" t="s">
        <v>8740</v>
      </c>
      <c r="AC8" t="s">
        <v>7426</v>
      </c>
      <c r="AD8" t="s">
        <v>7426</v>
      </c>
      <c r="AE8" t="s">
        <v>8479</v>
      </c>
      <c r="AF8" t="s">
        <v>8746</v>
      </c>
      <c r="AG8">
        <v>4</v>
      </c>
      <c r="AI8">
        <v>3</v>
      </c>
      <c r="AJ8" t="s">
        <v>8758</v>
      </c>
      <c r="AO8" s="56" t="s">
        <v>1420</v>
      </c>
      <c r="AP8" s="56" t="s">
        <v>8657</v>
      </c>
      <c r="AQ8" s="56">
        <v>3</v>
      </c>
      <c r="AR8" s="56" t="s">
        <v>5497</v>
      </c>
      <c r="AS8" s="56" t="s">
        <v>5486</v>
      </c>
      <c r="AT8" s="56">
        <v>3</v>
      </c>
      <c r="AU8" s="56">
        <v>5</v>
      </c>
      <c r="AV8" s="56">
        <v>4</v>
      </c>
      <c r="AW8" s="56">
        <v>4</v>
      </c>
      <c r="AX8">
        <v>3</v>
      </c>
      <c r="AY8" s="56">
        <v>3</v>
      </c>
      <c r="AZ8" s="56">
        <v>5</v>
      </c>
      <c r="BA8" s="56">
        <v>6</v>
      </c>
    </row>
    <row r="9" spans="1:53">
      <c r="A9" t="s">
        <v>8759</v>
      </c>
      <c r="B9" t="s">
        <v>5580</v>
      </c>
      <c r="C9" t="s">
        <v>8739</v>
      </c>
      <c r="D9">
        <v>10</v>
      </c>
      <c r="E9">
        <v>14</v>
      </c>
      <c r="F9">
        <v>4</v>
      </c>
      <c r="G9">
        <v>5</v>
      </c>
      <c r="H9">
        <v>30</v>
      </c>
      <c r="I9">
        <v>2</v>
      </c>
      <c r="J9">
        <v>2</v>
      </c>
      <c r="K9">
        <v>60</v>
      </c>
      <c r="L9">
        <v>1</v>
      </c>
      <c r="T9">
        <v>10</v>
      </c>
      <c r="U9" t="s">
        <v>8485</v>
      </c>
      <c r="X9">
        <v>2</v>
      </c>
      <c r="Y9" t="s">
        <v>8692</v>
      </c>
      <c r="Z9" t="s">
        <v>8416</v>
      </c>
      <c r="AA9" t="s">
        <v>8543</v>
      </c>
      <c r="AB9" t="s">
        <v>8760</v>
      </c>
      <c r="AC9" t="s">
        <v>7426</v>
      </c>
      <c r="AD9" t="s">
        <v>7426</v>
      </c>
      <c r="AE9" t="s">
        <v>8369</v>
      </c>
      <c r="AF9" t="s">
        <v>8746</v>
      </c>
      <c r="AG9">
        <v>4</v>
      </c>
      <c r="AI9">
        <v>1</v>
      </c>
      <c r="AJ9" t="s">
        <v>8709</v>
      </c>
      <c r="AO9" s="56" t="s">
        <v>1420</v>
      </c>
      <c r="AP9" s="56" t="s">
        <v>8657</v>
      </c>
      <c r="AQ9" s="56">
        <v>3</v>
      </c>
      <c r="AR9" s="56" t="s">
        <v>5497</v>
      </c>
      <c r="AS9" s="56" t="s">
        <v>5486</v>
      </c>
      <c r="AT9" s="56">
        <v>3</v>
      </c>
      <c r="AU9" s="56">
        <v>5</v>
      </c>
      <c r="AV9" s="56">
        <v>4</v>
      </c>
      <c r="AW9" s="56">
        <v>4</v>
      </c>
      <c r="AX9">
        <v>5</v>
      </c>
      <c r="AY9" s="56">
        <v>4</v>
      </c>
      <c r="AZ9" s="56">
        <v>5</v>
      </c>
      <c r="BA9" s="56">
        <v>6</v>
      </c>
    </row>
    <row r="10" spans="1:53">
      <c r="A10" t="s">
        <v>8761</v>
      </c>
      <c r="B10" t="s">
        <v>5580</v>
      </c>
      <c r="C10" t="s">
        <v>8739</v>
      </c>
      <c r="D10">
        <v>23</v>
      </c>
      <c r="E10">
        <v>14</v>
      </c>
      <c r="F10">
        <v>4</v>
      </c>
      <c r="G10">
        <v>10</v>
      </c>
      <c r="H10">
        <v>30</v>
      </c>
      <c r="I10">
        <v>2</v>
      </c>
      <c r="J10">
        <v>5</v>
      </c>
      <c r="K10">
        <v>60</v>
      </c>
      <c r="L10">
        <v>1</v>
      </c>
      <c r="T10">
        <v>23</v>
      </c>
      <c r="U10" t="s">
        <v>8489</v>
      </c>
      <c r="X10">
        <v>4</v>
      </c>
      <c r="Y10" t="s">
        <v>8659</v>
      </c>
      <c r="Z10" t="s">
        <v>8422</v>
      </c>
      <c r="AA10" t="s">
        <v>8762</v>
      </c>
      <c r="AB10" t="s">
        <v>8699</v>
      </c>
      <c r="AC10" t="s">
        <v>7426</v>
      </c>
      <c r="AD10" t="s">
        <v>7426</v>
      </c>
      <c r="AE10" t="s">
        <v>8305</v>
      </c>
      <c r="AF10" t="s">
        <v>8746</v>
      </c>
      <c r="AG10">
        <v>4</v>
      </c>
      <c r="AI10">
        <v>2</v>
      </c>
      <c r="AJ10" t="s">
        <v>8763</v>
      </c>
      <c r="AO10" s="56" t="s">
        <v>1420</v>
      </c>
      <c r="AP10" s="56" t="s">
        <v>8657</v>
      </c>
      <c r="AQ10" s="56">
        <v>3</v>
      </c>
      <c r="AR10" s="56" t="s">
        <v>5497</v>
      </c>
      <c r="AS10" s="56" t="s">
        <v>5486</v>
      </c>
      <c r="AT10" s="56">
        <v>3</v>
      </c>
      <c r="AU10" s="56">
        <v>5</v>
      </c>
      <c r="AV10" s="56">
        <v>4</v>
      </c>
      <c r="AW10" s="56">
        <v>4</v>
      </c>
      <c r="AX10">
        <v>10</v>
      </c>
      <c r="AY10" s="56">
        <v>8</v>
      </c>
      <c r="AZ10" s="56">
        <v>5</v>
      </c>
      <c r="BA10" s="56">
        <v>6</v>
      </c>
    </row>
    <row r="11" spans="1:53">
      <c r="A11" t="s">
        <v>8764</v>
      </c>
      <c r="B11" t="s">
        <v>5580</v>
      </c>
      <c r="C11" t="s">
        <v>8739</v>
      </c>
      <c r="D11">
        <v>35</v>
      </c>
      <c r="E11">
        <v>14</v>
      </c>
      <c r="F11">
        <v>4</v>
      </c>
      <c r="G11">
        <v>18</v>
      </c>
      <c r="H11">
        <v>30</v>
      </c>
      <c r="I11">
        <v>2</v>
      </c>
      <c r="J11">
        <v>12</v>
      </c>
      <c r="K11">
        <v>60</v>
      </c>
      <c r="L11">
        <v>1</v>
      </c>
      <c r="T11">
        <v>35</v>
      </c>
      <c r="U11" t="s">
        <v>8493</v>
      </c>
      <c r="X11">
        <v>5</v>
      </c>
      <c r="Y11" t="s">
        <v>8428</v>
      </c>
      <c r="Z11" t="s">
        <v>8419</v>
      </c>
      <c r="AA11" t="s">
        <v>8688</v>
      </c>
      <c r="AB11" t="s">
        <v>8665</v>
      </c>
      <c r="AC11" t="s">
        <v>7426</v>
      </c>
      <c r="AD11" t="s">
        <v>7426</v>
      </c>
      <c r="AE11" t="s">
        <v>8312</v>
      </c>
      <c r="AF11" t="s">
        <v>8746</v>
      </c>
      <c r="AG11">
        <v>4</v>
      </c>
      <c r="AI11">
        <v>3</v>
      </c>
      <c r="AJ11" t="s">
        <v>8765</v>
      </c>
      <c r="AO11" s="56" t="s">
        <v>1420</v>
      </c>
      <c r="AP11" s="56" t="s">
        <v>8657</v>
      </c>
      <c r="AQ11" s="56">
        <v>3</v>
      </c>
      <c r="AR11" s="56" t="s">
        <v>5497</v>
      </c>
      <c r="AS11" s="56" t="s">
        <v>5486</v>
      </c>
      <c r="AT11" s="56">
        <v>3</v>
      </c>
      <c r="AU11" s="56">
        <v>5</v>
      </c>
      <c r="AV11" s="56">
        <v>4</v>
      </c>
      <c r="AW11" s="56">
        <v>4</v>
      </c>
      <c r="AX11">
        <v>18</v>
      </c>
      <c r="AY11" s="56">
        <v>14</v>
      </c>
      <c r="AZ11" s="56">
        <v>5</v>
      </c>
      <c r="BA11" s="56">
        <v>6</v>
      </c>
    </row>
    <row r="12" spans="1:53">
      <c r="A12" t="s">
        <v>8766</v>
      </c>
      <c r="B12" t="s">
        <v>5580</v>
      </c>
      <c r="C12" t="s">
        <v>8753</v>
      </c>
      <c r="M12">
        <v>9</v>
      </c>
      <c r="N12">
        <v>6</v>
      </c>
      <c r="O12">
        <v>10</v>
      </c>
      <c r="P12">
        <v>1</v>
      </c>
      <c r="Q12">
        <v>16</v>
      </c>
      <c r="R12">
        <v>6</v>
      </c>
      <c r="U12" t="s">
        <v>8303</v>
      </c>
      <c r="X12">
        <v>3</v>
      </c>
      <c r="Y12" t="s">
        <v>8406</v>
      </c>
      <c r="Z12" t="s">
        <v>8438</v>
      </c>
      <c r="AA12" t="s">
        <v>8767</v>
      </c>
      <c r="AB12" t="s">
        <v>8768</v>
      </c>
      <c r="AC12" t="s">
        <v>7426</v>
      </c>
      <c r="AD12" t="s">
        <v>7426</v>
      </c>
      <c r="AE12" t="s">
        <v>8479</v>
      </c>
      <c r="AI12">
        <v>5</v>
      </c>
      <c r="AJ12" t="s">
        <v>8769</v>
      </c>
      <c r="AN12" t="s">
        <v>8756</v>
      </c>
      <c r="AO12" s="56" t="s">
        <v>1420</v>
      </c>
      <c r="AP12" s="56" t="s">
        <v>8657</v>
      </c>
      <c r="AQ12" s="56">
        <v>3</v>
      </c>
      <c r="AR12" s="56" t="s">
        <v>5497</v>
      </c>
      <c r="AS12" s="56" t="s">
        <v>5486</v>
      </c>
      <c r="AT12" s="56">
        <v>3</v>
      </c>
      <c r="AU12" s="56">
        <v>5</v>
      </c>
      <c r="AV12" s="56">
        <v>4</v>
      </c>
      <c r="AW12" s="56">
        <v>4</v>
      </c>
      <c r="AX12" s="56">
        <v>9</v>
      </c>
      <c r="AY12" s="56">
        <v>7</v>
      </c>
      <c r="AZ12" s="56">
        <v>5</v>
      </c>
      <c r="BA12" s="56">
        <v>6</v>
      </c>
    </row>
    <row r="13" spans="1:53">
      <c r="A13" t="s">
        <v>8770</v>
      </c>
      <c r="B13" t="s">
        <v>5619</v>
      </c>
      <c r="C13" t="s">
        <v>8739</v>
      </c>
      <c r="D13">
        <v>13</v>
      </c>
      <c r="E13">
        <v>14</v>
      </c>
      <c r="F13">
        <v>4</v>
      </c>
      <c r="G13">
        <v>9</v>
      </c>
      <c r="H13">
        <v>30</v>
      </c>
      <c r="I13">
        <v>2</v>
      </c>
      <c r="J13">
        <v>7</v>
      </c>
      <c r="K13">
        <v>60</v>
      </c>
      <c r="L13">
        <v>1</v>
      </c>
      <c r="T13">
        <v>13</v>
      </c>
      <c r="U13" t="s">
        <v>8317</v>
      </c>
      <c r="X13">
        <v>4</v>
      </c>
      <c r="Y13" t="s">
        <v>8743</v>
      </c>
      <c r="Z13" t="s">
        <v>8452</v>
      </c>
      <c r="AA13" t="s">
        <v>8744</v>
      </c>
      <c r="AB13" t="s">
        <v>8745</v>
      </c>
      <c r="AC13" t="s">
        <v>7426</v>
      </c>
      <c r="AD13" t="s">
        <v>7426</v>
      </c>
      <c r="AE13" t="s">
        <v>8479</v>
      </c>
      <c r="AF13" t="s">
        <v>8746</v>
      </c>
      <c r="AG13">
        <v>4</v>
      </c>
      <c r="AI13">
        <v>4</v>
      </c>
      <c r="AJ13" t="s">
        <v>8425</v>
      </c>
      <c r="AO13" s="56" t="s">
        <v>1420</v>
      </c>
      <c r="AP13" s="56" t="s">
        <v>8657</v>
      </c>
      <c r="AQ13" s="56">
        <v>3</v>
      </c>
      <c r="AR13" s="56" t="s">
        <v>5497</v>
      </c>
      <c r="AS13" s="56" t="s">
        <v>5486</v>
      </c>
      <c r="AT13" s="56">
        <v>3</v>
      </c>
      <c r="AU13" s="56">
        <v>5</v>
      </c>
      <c r="AV13" s="56">
        <v>4</v>
      </c>
      <c r="AW13" s="56">
        <v>4</v>
      </c>
      <c r="AX13">
        <v>9</v>
      </c>
      <c r="AY13" s="56">
        <v>7</v>
      </c>
      <c r="AZ13" s="56">
        <v>5</v>
      </c>
      <c r="BA13" s="56">
        <v>6</v>
      </c>
    </row>
    <row r="14" spans="1:53">
      <c r="A14" t="s">
        <v>8771</v>
      </c>
      <c r="B14" t="s">
        <v>5619</v>
      </c>
      <c r="C14" t="s">
        <v>8739</v>
      </c>
      <c r="D14">
        <v>16</v>
      </c>
      <c r="E14">
        <v>14</v>
      </c>
      <c r="F14">
        <v>4</v>
      </c>
      <c r="G14">
        <v>11</v>
      </c>
      <c r="H14">
        <v>30</v>
      </c>
      <c r="I14">
        <v>2</v>
      </c>
      <c r="J14">
        <v>8</v>
      </c>
      <c r="K14">
        <v>60</v>
      </c>
      <c r="L14">
        <v>1</v>
      </c>
      <c r="T14">
        <v>16</v>
      </c>
      <c r="U14" t="s">
        <v>8485</v>
      </c>
      <c r="X14">
        <v>5</v>
      </c>
      <c r="Y14" t="s">
        <v>8582</v>
      </c>
      <c r="Z14" t="s">
        <v>8413</v>
      </c>
      <c r="AA14" t="s">
        <v>8703</v>
      </c>
      <c r="AB14" t="s">
        <v>8702</v>
      </c>
      <c r="AC14" t="s">
        <v>7426</v>
      </c>
      <c r="AD14" t="s">
        <v>7426</v>
      </c>
      <c r="AE14" t="s">
        <v>8369</v>
      </c>
      <c r="AF14" t="s">
        <v>8746</v>
      </c>
      <c r="AG14">
        <v>4</v>
      </c>
      <c r="AI14">
        <v>2</v>
      </c>
      <c r="AJ14" t="s">
        <v>8748</v>
      </c>
      <c r="AO14" s="56" t="s">
        <v>1420</v>
      </c>
      <c r="AP14" s="56" t="s">
        <v>8657</v>
      </c>
      <c r="AQ14" s="56">
        <v>3</v>
      </c>
      <c r="AR14" s="56" t="s">
        <v>5497</v>
      </c>
      <c r="AS14" s="56" t="s">
        <v>5486</v>
      </c>
      <c r="AT14" s="56">
        <v>3</v>
      </c>
      <c r="AU14" s="56">
        <v>5</v>
      </c>
      <c r="AV14" s="56">
        <v>4</v>
      </c>
      <c r="AW14" s="56">
        <v>4</v>
      </c>
      <c r="AX14">
        <v>11</v>
      </c>
      <c r="AY14" s="56">
        <v>9</v>
      </c>
      <c r="AZ14" s="56">
        <v>5</v>
      </c>
      <c r="BA14" s="56">
        <v>6</v>
      </c>
    </row>
    <row r="15" spans="1:53">
      <c r="A15" t="s">
        <v>8772</v>
      </c>
      <c r="B15" t="s">
        <v>5619</v>
      </c>
      <c r="C15" t="s">
        <v>8739</v>
      </c>
      <c r="D15">
        <v>29</v>
      </c>
      <c r="E15">
        <v>14</v>
      </c>
      <c r="F15">
        <v>4</v>
      </c>
      <c r="G15">
        <v>16</v>
      </c>
      <c r="H15">
        <v>30</v>
      </c>
      <c r="I15">
        <v>2</v>
      </c>
      <c r="J15">
        <v>11</v>
      </c>
      <c r="K15">
        <v>60</v>
      </c>
      <c r="L15">
        <v>1</v>
      </c>
      <c r="T15">
        <v>29</v>
      </c>
      <c r="U15" t="s">
        <v>8489</v>
      </c>
      <c r="X15">
        <v>6</v>
      </c>
      <c r="Y15" t="s">
        <v>8692</v>
      </c>
      <c r="Z15" t="s">
        <v>8406</v>
      </c>
      <c r="AA15" t="s">
        <v>8684</v>
      </c>
      <c r="AB15" t="s">
        <v>8661</v>
      </c>
      <c r="AC15" t="s">
        <v>7426</v>
      </c>
      <c r="AD15" t="s">
        <v>7426</v>
      </c>
      <c r="AE15" t="s">
        <v>8305</v>
      </c>
      <c r="AF15" t="s">
        <v>8746</v>
      </c>
      <c r="AG15">
        <v>4</v>
      </c>
      <c r="AI15">
        <v>3</v>
      </c>
      <c r="AJ15" t="s">
        <v>8638</v>
      </c>
      <c r="AO15" s="56" t="s">
        <v>1420</v>
      </c>
      <c r="AP15" s="56" t="s">
        <v>8657</v>
      </c>
      <c r="AQ15" s="56">
        <v>3</v>
      </c>
      <c r="AR15" s="56" t="s">
        <v>5497</v>
      </c>
      <c r="AS15" s="56" t="s">
        <v>5486</v>
      </c>
      <c r="AT15" s="56">
        <v>3</v>
      </c>
      <c r="AU15" s="56">
        <v>5</v>
      </c>
      <c r="AV15" s="56">
        <v>4</v>
      </c>
      <c r="AW15" s="56">
        <v>4</v>
      </c>
      <c r="AX15">
        <v>16</v>
      </c>
      <c r="AY15" s="56">
        <v>12</v>
      </c>
      <c r="AZ15" s="56">
        <v>5</v>
      </c>
      <c r="BA15" s="56">
        <v>6</v>
      </c>
    </row>
    <row r="16" spans="1:53">
      <c r="A16" t="s">
        <v>8773</v>
      </c>
      <c r="B16" t="s">
        <v>5619</v>
      </c>
      <c r="C16" t="s">
        <v>8739</v>
      </c>
      <c r="D16">
        <v>41</v>
      </c>
      <c r="E16">
        <v>14</v>
      </c>
      <c r="F16">
        <v>4</v>
      </c>
      <c r="G16">
        <v>24</v>
      </c>
      <c r="H16">
        <v>30</v>
      </c>
      <c r="I16">
        <v>2</v>
      </c>
      <c r="J16">
        <v>18</v>
      </c>
      <c r="K16">
        <v>60</v>
      </c>
      <c r="L16">
        <v>1</v>
      </c>
      <c r="T16">
        <v>41</v>
      </c>
      <c r="U16" t="s">
        <v>8493</v>
      </c>
      <c r="X16">
        <v>7</v>
      </c>
      <c r="Y16" t="s">
        <v>8659</v>
      </c>
      <c r="Z16" t="s">
        <v>8422</v>
      </c>
      <c r="AA16" t="s">
        <v>8715</v>
      </c>
      <c r="AB16" t="s">
        <v>8675</v>
      </c>
      <c r="AC16" t="s">
        <v>7426</v>
      </c>
      <c r="AD16" t="s">
        <v>7426</v>
      </c>
      <c r="AE16" t="s">
        <v>8312</v>
      </c>
      <c r="AF16" t="s">
        <v>8746</v>
      </c>
      <c r="AG16">
        <v>4</v>
      </c>
      <c r="AI16">
        <v>4</v>
      </c>
      <c r="AJ16" t="s">
        <v>8751</v>
      </c>
      <c r="AO16" s="56" t="s">
        <v>1420</v>
      </c>
      <c r="AP16" s="56" t="s">
        <v>8657</v>
      </c>
      <c r="AQ16" s="56">
        <v>3</v>
      </c>
      <c r="AR16" s="56" t="s">
        <v>5497</v>
      </c>
      <c r="AS16" s="56" t="s">
        <v>5486</v>
      </c>
      <c r="AT16" s="56">
        <v>3</v>
      </c>
      <c r="AU16" s="56">
        <v>5</v>
      </c>
      <c r="AV16" s="56">
        <v>4</v>
      </c>
      <c r="AW16" s="56">
        <v>4</v>
      </c>
      <c r="AX16">
        <v>24</v>
      </c>
      <c r="AY16" s="56">
        <v>18</v>
      </c>
      <c r="AZ16" s="56">
        <v>5</v>
      </c>
      <c r="BA16" s="56">
        <v>6</v>
      </c>
    </row>
    <row r="17" spans="1:53">
      <c r="A17" t="s">
        <v>8513</v>
      </c>
      <c r="B17" t="s">
        <v>5619</v>
      </c>
      <c r="C17" t="s">
        <v>8739</v>
      </c>
      <c r="D17">
        <v>46</v>
      </c>
      <c r="E17">
        <v>15</v>
      </c>
      <c r="F17">
        <v>4</v>
      </c>
      <c r="G17">
        <v>29</v>
      </c>
      <c r="H17">
        <v>30</v>
      </c>
      <c r="I17">
        <v>2</v>
      </c>
      <c r="J17">
        <v>23</v>
      </c>
      <c r="K17">
        <v>60</v>
      </c>
      <c r="L17">
        <v>1</v>
      </c>
      <c r="T17">
        <v>46</v>
      </c>
      <c r="U17" t="s">
        <v>8515</v>
      </c>
      <c r="X17">
        <v>7</v>
      </c>
      <c r="Y17" t="s">
        <v>8659</v>
      </c>
      <c r="Z17" t="s">
        <v>8422</v>
      </c>
      <c r="AA17" t="s">
        <v>8715</v>
      </c>
      <c r="AB17" t="s">
        <v>8675</v>
      </c>
      <c r="AC17" t="s">
        <v>7426</v>
      </c>
      <c r="AD17" t="s">
        <v>7426</v>
      </c>
      <c r="AE17" t="s">
        <v>8318</v>
      </c>
      <c r="AF17" t="s">
        <v>8774</v>
      </c>
      <c r="AG17">
        <v>4</v>
      </c>
      <c r="AI17">
        <v>5</v>
      </c>
      <c r="AJ17" t="s">
        <v>8696</v>
      </c>
      <c r="AO17" s="56" t="s">
        <v>1420</v>
      </c>
      <c r="AP17" s="56" t="s">
        <v>8657</v>
      </c>
      <c r="AQ17" s="56">
        <v>3</v>
      </c>
      <c r="AR17" s="56" t="s">
        <v>5497</v>
      </c>
      <c r="AS17" s="56" t="s">
        <v>5486</v>
      </c>
      <c r="AT17" s="56">
        <v>3</v>
      </c>
      <c r="AU17" s="56">
        <v>5</v>
      </c>
      <c r="AV17" s="56">
        <v>4</v>
      </c>
      <c r="AW17" s="56">
        <v>4</v>
      </c>
      <c r="AX17">
        <v>29</v>
      </c>
      <c r="AY17" s="56">
        <v>22</v>
      </c>
      <c r="AZ17" s="56">
        <v>5</v>
      </c>
      <c r="BA17" s="56">
        <v>6</v>
      </c>
    </row>
    <row r="18" spans="1:53">
      <c r="A18" t="s">
        <v>8775</v>
      </c>
      <c r="B18" t="s">
        <v>5619</v>
      </c>
      <c r="C18" t="s">
        <v>8753</v>
      </c>
      <c r="M18">
        <v>15</v>
      </c>
      <c r="N18">
        <v>6</v>
      </c>
      <c r="O18">
        <v>10</v>
      </c>
      <c r="P18">
        <v>1</v>
      </c>
      <c r="Q18">
        <v>16</v>
      </c>
      <c r="R18">
        <v>6</v>
      </c>
      <c r="U18" t="s">
        <v>8303</v>
      </c>
      <c r="X18">
        <v>5</v>
      </c>
      <c r="Y18" t="s">
        <v>8428</v>
      </c>
      <c r="Z18" t="s">
        <v>8393</v>
      </c>
      <c r="AA18" t="s">
        <v>8689</v>
      </c>
      <c r="AB18" t="s">
        <v>8754</v>
      </c>
      <c r="AC18" t="s">
        <v>7426</v>
      </c>
      <c r="AD18" t="s">
        <v>7426</v>
      </c>
      <c r="AE18" t="s">
        <v>8479</v>
      </c>
      <c r="AI18">
        <v>7</v>
      </c>
      <c r="AJ18" t="s">
        <v>8755</v>
      </c>
      <c r="AN18" t="s">
        <v>8756</v>
      </c>
      <c r="AO18" s="56" t="s">
        <v>1420</v>
      </c>
      <c r="AP18" s="56" t="s">
        <v>8657</v>
      </c>
      <c r="AQ18" s="56">
        <v>3</v>
      </c>
      <c r="AR18" s="56" t="s">
        <v>5497</v>
      </c>
      <c r="AS18" s="56" t="s">
        <v>5486</v>
      </c>
      <c r="AT18" s="56">
        <v>3</v>
      </c>
      <c r="AU18" s="56">
        <v>5</v>
      </c>
      <c r="AV18" s="56">
        <v>4</v>
      </c>
      <c r="AW18" s="56">
        <v>4</v>
      </c>
      <c r="AX18" s="56">
        <v>15</v>
      </c>
      <c r="AY18" s="56">
        <v>12</v>
      </c>
      <c r="AZ18" s="56">
        <v>5</v>
      </c>
      <c r="BA18" s="56">
        <v>6</v>
      </c>
    </row>
    <row r="19" spans="1:53">
      <c r="A19" t="s">
        <v>8776</v>
      </c>
      <c r="B19" t="s">
        <v>5564</v>
      </c>
      <c r="C19" t="s">
        <v>8739</v>
      </c>
      <c r="D19">
        <v>9</v>
      </c>
      <c r="E19">
        <v>14</v>
      </c>
      <c r="F19">
        <v>4</v>
      </c>
      <c r="G19">
        <v>5</v>
      </c>
      <c r="H19">
        <v>30</v>
      </c>
      <c r="I19">
        <v>2</v>
      </c>
      <c r="J19">
        <v>3</v>
      </c>
      <c r="K19">
        <v>60</v>
      </c>
      <c r="L19">
        <v>1</v>
      </c>
      <c r="T19">
        <v>9</v>
      </c>
      <c r="U19" t="s">
        <v>8317</v>
      </c>
      <c r="X19">
        <v>2</v>
      </c>
      <c r="Y19" t="s">
        <v>8777</v>
      </c>
      <c r="Z19" t="s">
        <v>8438</v>
      </c>
      <c r="AA19" t="s">
        <v>8665</v>
      </c>
      <c r="AB19" t="s">
        <v>8778</v>
      </c>
      <c r="AC19" t="s">
        <v>7426</v>
      </c>
      <c r="AD19" t="s">
        <v>7426</v>
      </c>
      <c r="AE19" t="s">
        <v>8479</v>
      </c>
      <c r="AF19" t="s">
        <v>8746</v>
      </c>
      <c r="AG19">
        <v>4</v>
      </c>
      <c r="AI19">
        <v>4</v>
      </c>
      <c r="AJ19" t="s">
        <v>8682</v>
      </c>
      <c r="AO19" s="56" t="s">
        <v>1420</v>
      </c>
      <c r="AP19" s="56" t="s">
        <v>8657</v>
      </c>
      <c r="AQ19" s="56">
        <v>3</v>
      </c>
      <c r="AR19" s="56" t="s">
        <v>5497</v>
      </c>
      <c r="AS19" s="56" t="s">
        <v>5486</v>
      </c>
      <c r="AT19" s="56">
        <v>3</v>
      </c>
      <c r="AU19" s="56">
        <v>5</v>
      </c>
      <c r="AV19" s="56">
        <v>4</v>
      </c>
      <c r="AW19" s="56">
        <v>4</v>
      </c>
      <c r="AX19">
        <v>5</v>
      </c>
      <c r="AY19" s="56">
        <v>4</v>
      </c>
      <c r="AZ19" s="56">
        <v>5</v>
      </c>
      <c r="BA19" s="56">
        <v>6</v>
      </c>
    </row>
    <row r="20" spans="1:53">
      <c r="A20" t="s">
        <v>8779</v>
      </c>
      <c r="B20" t="s">
        <v>5564</v>
      </c>
      <c r="C20" t="s">
        <v>8739</v>
      </c>
      <c r="D20">
        <v>12</v>
      </c>
      <c r="E20">
        <v>14</v>
      </c>
      <c r="F20">
        <v>4</v>
      </c>
      <c r="G20">
        <v>7</v>
      </c>
      <c r="H20">
        <v>30</v>
      </c>
      <c r="I20">
        <v>2</v>
      </c>
      <c r="J20">
        <v>4</v>
      </c>
      <c r="K20">
        <v>60</v>
      </c>
      <c r="L20">
        <v>1</v>
      </c>
      <c r="T20">
        <v>12</v>
      </c>
      <c r="U20" t="s">
        <v>8485</v>
      </c>
      <c r="X20">
        <v>3</v>
      </c>
      <c r="Y20" t="s">
        <v>8780</v>
      </c>
      <c r="Z20" t="s">
        <v>8419</v>
      </c>
      <c r="AA20" t="s">
        <v>8698</v>
      </c>
      <c r="AB20" t="s">
        <v>8695</v>
      </c>
      <c r="AC20" t="s">
        <v>7426</v>
      </c>
      <c r="AD20" t="s">
        <v>7426</v>
      </c>
      <c r="AE20" t="s">
        <v>8369</v>
      </c>
      <c r="AF20" t="s">
        <v>8746</v>
      </c>
      <c r="AG20">
        <v>4</v>
      </c>
      <c r="AI20">
        <v>2</v>
      </c>
      <c r="AJ20" t="s">
        <v>8763</v>
      </c>
      <c r="AO20" s="56" t="s">
        <v>1420</v>
      </c>
      <c r="AP20" s="56" t="s">
        <v>8657</v>
      </c>
      <c r="AQ20" s="56">
        <v>3</v>
      </c>
      <c r="AR20" s="56" t="s">
        <v>5497</v>
      </c>
      <c r="AS20" s="56" t="s">
        <v>5486</v>
      </c>
      <c r="AT20" s="56">
        <v>3</v>
      </c>
      <c r="AU20" s="56">
        <v>5</v>
      </c>
      <c r="AV20" s="56">
        <v>4</v>
      </c>
      <c r="AW20" s="56">
        <v>4</v>
      </c>
      <c r="AX20">
        <v>7</v>
      </c>
      <c r="AY20" s="56">
        <v>6</v>
      </c>
      <c r="AZ20" s="56">
        <v>5</v>
      </c>
      <c r="BA20" s="56">
        <v>6</v>
      </c>
    </row>
    <row r="21" spans="1:53">
      <c r="A21" t="s">
        <v>8781</v>
      </c>
      <c r="B21" t="s">
        <v>5564</v>
      </c>
      <c r="C21" t="s">
        <v>8739</v>
      </c>
      <c r="D21">
        <v>25</v>
      </c>
      <c r="E21">
        <v>14</v>
      </c>
      <c r="F21">
        <v>4</v>
      </c>
      <c r="G21">
        <v>12</v>
      </c>
      <c r="H21">
        <v>30</v>
      </c>
      <c r="I21">
        <v>2</v>
      </c>
      <c r="J21">
        <v>7</v>
      </c>
      <c r="K21">
        <v>60</v>
      </c>
      <c r="L21">
        <v>1</v>
      </c>
      <c r="T21">
        <v>25</v>
      </c>
      <c r="U21" t="s">
        <v>8489</v>
      </c>
      <c r="X21">
        <v>4</v>
      </c>
      <c r="Y21" t="s">
        <v>8743</v>
      </c>
      <c r="Z21" t="s">
        <v>8428</v>
      </c>
      <c r="AA21" t="s">
        <v>8546</v>
      </c>
      <c r="AB21" t="s">
        <v>8673</v>
      </c>
      <c r="AC21" t="s">
        <v>7426</v>
      </c>
      <c r="AD21" t="s">
        <v>7426</v>
      </c>
      <c r="AE21" t="s">
        <v>8305</v>
      </c>
      <c r="AF21" t="s">
        <v>8746</v>
      </c>
      <c r="AG21">
        <v>4</v>
      </c>
      <c r="AI21">
        <v>3</v>
      </c>
      <c r="AJ21" t="s">
        <v>8694</v>
      </c>
      <c r="AO21" s="56" t="s">
        <v>1420</v>
      </c>
      <c r="AP21" s="56" t="s">
        <v>8657</v>
      </c>
      <c r="AQ21" s="56">
        <v>3</v>
      </c>
      <c r="AR21" s="56" t="s">
        <v>5497</v>
      </c>
      <c r="AS21" s="56" t="s">
        <v>5486</v>
      </c>
      <c r="AT21" s="56">
        <v>3</v>
      </c>
      <c r="AU21" s="56">
        <v>5</v>
      </c>
      <c r="AV21" s="56">
        <v>4</v>
      </c>
      <c r="AW21" s="56">
        <v>4</v>
      </c>
      <c r="AX21">
        <v>12</v>
      </c>
      <c r="AY21" s="56">
        <v>9</v>
      </c>
      <c r="AZ21" s="56">
        <v>5</v>
      </c>
      <c r="BA21" s="56">
        <v>6</v>
      </c>
    </row>
    <row r="22" spans="1:53">
      <c r="A22" t="s">
        <v>8782</v>
      </c>
      <c r="B22" t="s">
        <v>5564</v>
      </c>
      <c r="C22" t="s">
        <v>8739</v>
      </c>
      <c r="D22">
        <v>37</v>
      </c>
      <c r="E22">
        <v>14</v>
      </c>
      <c r="F22">
        <v>4</v>
      </c>
      <c r="G22">
        <v>20</v>
      </c>
      <c r="H22">
        <v>30</v>
      </c>
      <c r="I22">
        <v>2</v>
      </c>
      <c r="J22">
        <v>14</v>
      </c>
      <c r="K22">
        <v>60</v>
      </c>
      <c r="L22">
        <v>1</v>
      </c>
      <c r="T22">
        <v>37</v>
      </c>
      <c r="U22" t="s">
        <v>8493</v>
      </c>
      <c r="X22">
        <v>5</v>
      </c>
      <c r="Y22" t="s">
        <v>8582</v>
      </c>
      <c r="Z22" t="s">
        <v>8406</v>
      </c>
      <c r="AA22" t="s">
        <v>8452</v>
      </c>
      <c r="AB22" t="s">
        <v>8783</v>
      </c>
      <c r="AC22" t="s">
        <v>7426</v>
      </c>
      <c r="AD22" t="s">
        <v>7426</v>
      </c>
      <c r="AE22" t="s">
        <v>8312</v>
      </c>
      <c r="AF22" t="s">
        <v>8746</v>
      </c>
      <c r="AG22">
        <v>4</v>
      </c>
      <c r="AI22">
        <v>4</v>
      </c>
      <c r="AJ22" t="s">
        <v>8429</v>
      </c>
      <c r="AO22" s="56" t="s">
        <v>1420</v>
      </c>
      <c r="AP22" s="56" t="s">
        <v>8657</v>
      </c>
      <c r="AQ22" s="56">
        <v>3</v>
      </c>
      <c r="AR22" s="56" t="s">
        <v>5497</v>
      </c>
      <c r="AS22" s="56" t="s">
        <v>5486</v>
      </c>
      <c r="AT22" s="56">
        <v>3</v>
      </c>
      <c r="AU22" s="56">
        <v>5</v>
      </c>
      <c r="AV22" s="56">
        <v>4</v>
      </c>
      <c r="AW22" s="56">
        <v>4</v>
      </c>
      <c r="AX22">
        <v>20</v>
      </c>
      <c r="AY22" s="56">
        <v>15</v>
      </c>
      <c r="AZ22" s="56">
        <v>5</v>
      </c>
      <c r="BA22" s="56">
        <v>6</v>
      </c>
    </row>
    <row r="23" spans="1:53">
      <c r="A23" t="s">
        <v>8784</v>
      </c>
      <c r="B23" t="s">
        <v>5564</v>
      </c>
      <c r="C23" t="s">
        <v>8753</v>
      </c>
      <c r="M23">
        <v>11</v>
      </c>
      <c r="N23">
        <v>6</v>
      </c>
      <c r="O23">
        <v>10</v>
      </c>
      <c r="P23">
        <v>1</v>
      </c>
      <c r="Q23">
        <v>16</v>
      </c>
      <c r="R23">
        <v>6</v>
      </c>
      <c r="U23" t="s">
        <v>8303</v>
      </c>
      <c r="X23">
        <v>3</v>
      </c>
      <c r="Y23" t="s">
        <v>8692</v>
      </c>
      <c r="Z23" t="s">
        <v>8413</v>
      </c>
      <c r="AA23" t="s">
        <v>8543</v>
      </c>
      <c r="AB23" t="s">
        <v>8760</v>
      </c>
      <c r="AC23" t="s">
        <v>7426</v>
      </c>
      <c r="AD23" t="s">
        <v>7426</v>
      </c>
      <c r="AE23" t="s">
        <v>8479</v>
      </c>
      <c r="AI23">
        <v>6</v>
      </c>
      <c r="AJ23" t="s">
        <v>8785</v>
      </c>
      <c r="AN23" t="s">
        <v>8756</v>
      </c>
      <c r="AO23" s="56" t="s">
        <v>1420</v>
      </c>
      <c r="AP23" s="56" t="s">
        <v>8657</v>
      </c>
      <c r="AQ23" s="56">
        <v>3</v>
      </c>
      <c r="AR23" s="56" t="s">
        <v>5497</v>
      </c>
      <c r="AS23" s="56" t="s">
        <v>5486</v>
      </c>
      <c r="AT23" s="56">
        <v>3</v>
      </c>
      <c r="AU23" s="56">
        <v>5</v>
      </c>
      <c r="AV23" s="56">
        <v>4</v>
      </c>
      <c r="AW23" s="56">
        <v>4</v>
      </c>
      <c r="AX23" s="56">
        <v>11</v>
      </c>
      <c r="AY23" s="56">
        <v>9</v>
      </c>
      <c r="AZ23" s="56">
        <v>5</v>
      </c>
      <c r="BA23" s="56">
        <v>6</v>
      </c>
    </row>
    <row r="24" spans="1:53">
      <c r="A24" t="s">
        <v>8786</v>
      </c>
      <c r="B24" t="s">
        <v>1174</v>
      </c>
      <c r="C24" t="s">
        <v>8739</v>
      </c>
      <c r="D24">
        <v>9</v>
      </c>
      <c r="E24">
        <v>14</v>
      </c>
      <c r="F24">
        <v>4</v>
      </c>
      <c r="G24">
        <v>5</v>
      </c>
      <c r="H24">
        <v>30</v>
      </c>
      <c r="I24">
        <v>2</v>
      </c>
      <c r="J24">
        <v>3</v>
      </c>
      <c r="K24">
        <v>60</v>
      </c>
      <c r="L24">
        <v>1</v>
      </c>
      <c r="T24">
        <v>9</v>
      </c>
      <c r="U24" t="s">
        <v>8317</v>
      </c>
      <c r="W24" t="s">
        <v>8410</v>
      </c>
      <c r="X24">
        <v>3</v>
      </c>
      <c r="Y24" t="s">
        <v>8582</v>
      </c>
      <c r="Z24" t="s">
        <v>8571</v>
      </c>
      <c r="AA24" t="s">
        <v>8661</v>
      </c>
      <c r="AB24" t="s">
        <v>8740</v>
      </c>
      <c r="AC24" t="s">
        <v>7426</v>
      </c>
      <c r="AD24" t="s">
        <v>7426</v>
      </c>
      <c r="AE24" t="s">
        <v>8479</v>
      </c>
      <c r="AF24" t="s">
        <v>8746</v>
      </c>
      <c r="AG24">
        <v>4</v>
      </c>
      <c r="AI24">
        <v>4</v>
      </c>
      <c r="AJ24" t="s">
        <v>8748</v>
      </c>
      <c r="AO24" s="56" t="s">
        <v>1420</v>
      </c>
      <c r="AP24" s="56" t="s">
        <v>8657</v>
      </c>
      <c r="AQ24" s="56">
        <v>3</v>
      </c>
      <c r="AR24" s="56" t="s">
        <v>5497</v>
      </c>
      <c r="AS24" s="56" t="s">
        <v>5486</v>
      </c>
      <c r="AT24" s="56">
        <v>3</v>
      </c>
      <c r="AU24" s="56">
        <v>5</v>
      </c>
      <c r="AV24" s="56">
        <v>4</v>
      </c>
      <c r="AW24" s="56">
        <v>4</v>
      </c>
      <c r="AX24">
        <v>5</v>
      </c>
      <c r="AY24" s="56">
        <v>4</v>
      </c>
      <c r="AZ24" s="56">
        <v>5</v>
      </c>
      <c r="BA24" s="56">
        <v>6</v>
      </c>
    </row>
    <row r="25" spans="1:53">
      <c r="A25" t="s">
        <v>8787</v>
      </c>
      <c r="B25" t="s">
        <v>1174</v>
      </c>
      <c r="C25" t="s">
        <v>8739</v>
      </c>
      <c r="D25">
        <v>12</v>
      </c>
      <c r="E25">
        <v>14</v>
      </c>
      <c r="F25">
        <v>4</v>
      </c>
      <c r="G25">
        <v>7</v>
      </c>
      <c r="H25">
        <v>30</v>
      </c>
      <c r="I25">
        <v>2</v>
      </c>
      <c r="J25">
        <v>4</v>
      </c>
      <c r="K25">
        <v>60</v>
      </c>
      <c r="L25">
        <v>1</v>
      </c>
      <c r="T25">
        <v>12</v>
      </c>
      <c r="U25" t="s">
        <v>8485</v>
      </c>
      <c r="W25" t="s">
        <v>8410</v>
      </c>
      <c r="X25">
        <v>4</v>
      </c>
      <c r="Y25" t="s">
        <v>8692</v>
      </c>
      <c r="Z25" t="s">
        <v>8410</v>
      </c>
      <c r="AA25" t="s">
        <v>8543</v>
      </c>
      <c r="AB25" t="s">
        <v>8760</v>
      </c>
      <c r="AC25" t="s">
        <v>7426</v>
      </c>
      <c r="AD25" t="s">
        <v>7426</v>
      </c>
      <c r="AE25" t="s">
        <v>8369</v>
      </c>
      <c r="AF25" t="s">
        <v>8746</v>
      </c>
      <c r="AG25">
        <v>4</v>
      </c>
      <c r="AI25">
        <v>2</v>
      </c>
      <c r="AJ25" t="s">
        <v>8788</v>
      </c>
      <c r="AO25" s="56" t="s">
        <v>1420</v>
      </c>
      <c r="AP25" s="56" t="s">
        <v>8657</v>
      </c>
      <c r="AQ25" s="56">
        <v>3</v>
      </c>
      <c r="AR25" s="56" t="s">
        <v>5497</v>
      </c>
      <c r="AS25" s="56" t="s">
        <v>5486</v>
      </c>
      <c r="AT25" s="56">
        <v>3</v>
      </c>
      <c r="AU25" s="56">
        <v>5</v>
      </c>
      <c r="AV25" s="56">
        <v>4</v>
      </c>
      <c r="AW25" s="56">
        <v>4</v>
      </c>
      <c r="AX25">
        <v>7</v>
      </c>
      <c r="AY25" s="56">
        <v>6</v>
      </c>
      <c r="AZ25" s="56">
        <v>5</v>
      </c>
      <c r="BA25" s="56">
        <v>6</v>
      </c>
    </row>
    <row r="26" spans="1:53">
      <c r="A26" t="s">
        <v>8789</v>
      </c>
      <c r="B26" t="s">
        <v>1174</v>
      </c>
      <c r="C26" t="s">
        <v>8739</v>
      </c>
      <c r="D26">
        <v>25</v>
      </c>
      <c r="E26">
        <v>14</v>
      </c>
      <c r="F26">
        <v>4</v>
      </c>
      <c r="G26">
        <v>12</v>
      </c>
      <c r="H26">
        <v>30</v>
      </c>
      <c r="I26">
        <v>2</v>
      </c>
      <c r="J26">
        <v>7</v>
      </c>
      <c r="K26">
        <v>60</v>
      </c>
      <c r="L26">
        <v>1</v>
      </c>
      <c r="T26">
        <v>25</v>
      </c>
      <c r="U26" t="s">
        <v>8489</v>
      </c>
      <c r="W26" t="s">
        <v>8410</v>
      </c>
      <c r="X26">
        <v>5</v>
      </c>
      <c r="Y26" t="s">
        <v>8659</v>
      </c>
      <c r="Z26" t="s">
        <v>8422</v>
      </c>
      <c r="AA26" t="s">
        <v>8762</v>
      </c>
      <c r="AB26" t="s">
        <v>8699</v>
      </c>
      <c r="AC26" t="s">
        <v>7426</v>
      </c>
      <c r="AD26" t="s">
        <v>7426</v>
      </c>
      <c r="AE26" t="s">
        <v>8305</v>
      </c>
      <c r="AF26" t="s">
        <v>8746</v>
      </c>
      <c r="AG26">
        <v>4</v>
      </c>
      <c r="AI26">
        <v>3</v>
      </c>
      <c r="AJ26" t="s">
        <v>8790</v>
      </c>
      <c r="AO26" s="56" t="s">
        <v>1420</v>
      </c>
      <c r="AP26" s="56" t="s">
        <v>8657</v>
      </c>
      <c r="AQ26" s="56">
        <v>3</v>
      </c>
      <c r="AR26" s="56" t="s">
        <v>5497</v>
      </c>
      <c r="AS26" s="56" t="s">
        <v>5486</v>
      </c>
      <c r="AT26" s="56">
        <v>3</v>
      </c>
      <c r="AU26" s="56">
        <v>5</v>
      </c>
      <c r="AV26" s="56">
        <v>4</v>
      </c>
      <c r="AW26" s="56">
        <v>4</v>
      </c>
      <c r="AX26">
        <v>12</v>
      </c>
      <c r="AY26" s="56">
        <v>9</v>
      </c>
      <c r="AZ26" s="56">
        <v>5</v>
      </c>
      <c r="BA26" s="56">
        <v>6</v>
      </c>
    </row>
    <row r="27" spans="1:53">
      <c r="A27" t="s">
        <v>8791</v>
      </c>
      <c r="B27" t="s">
        <v>1174</v>
      </c>
      <c r="C27" t="s">
        <v>8739</v>
      </c>
      <c r="D27">
        <v>37</v>
      </c>
      <c r="E27">
        <v>14</v>
      </c>
      <c r="F27">
        <v>4</v>
      </c>
      <c r="G27">
        <v>20</v>
      </c>
      <c r="H27">
        <v>30</v>
      </c>
      <c r="I27">
        <v>2</v>
      </c>
      <c r="J27">
        <v>14</v>
      </c>
      <c r="K27">
        <v>60</v>
      </c>
      <c r="L27">
        <v>1</v>
      </c>
      <c r="T27">
        <v>37</v>
      </c>
      <c r="U27" t="s">
        <v>8493</v>
      </c>
      <c r="W27" t="s">
        <v>8410</v>
      </c>
      <c r="X27">
        <v>6</v>
      </c>
      <c r="Y27" t="s">
        <v>8428</v>
      </c>
      <c r="Z27" t="s">
        <v>8419</v>
      </c>
      <c r="AA27" t="s">
        <v>8688</v>
      </c>
      <c r="AB27" t="s">
        <v>8665</v>
      </c>
      <c r="AC27" t="s">
        <v>7426</v>
      </c>
      <c r="AD27" t="s">
        <v>7426</v>
      </c>
      <c r="AE27" t="s">
        <v>8312</v>
      </c>
      <c r="AF27" t="s">
        <v>8746</v>
      </c>
      <c r="AG27">
        <v>4</v>
      </c>
      <c r="AI27">
        <v>4</v>
      </c>
      <c r="AJ27" t="s">
        <v>8792</v>
      </c>
      <c r="AO27" s="56" t="s">
        <v>1420</v>
      </c>
      <c r="AP27" s="56" t="s">
        <v>8657</v>
      </c>
      <c r="AQ27" s="56">
        <v>3</v>
      </c>
      <c r="AR27" s="56" t="s">
        <v>5497</v>
      </c>
      <c r="AS27" s="56" t="s">
        <v>5486</v>
      </c>
      <c r="AT27" s="56">
        <v>3</v>
      </c>
      <c r="AU27" s="56">
        <v>5</v>
      </c>
      <c r="AV27" s="56">
        <v>4</v>
      </c>
      <c r="AW27" s="56">
        <v>4</v>
      </c>
      <c r="AX27">
        <v>20</v>
      </c>
      <c r="AY27" s="56">
        <v>15</v>
      </c>
      <c r="AZ27" s="56">
        <v>5</v>
      </c>
      <c r="BA27" s="56">
        <v>6</v>
      </c>
    </row>
    <row r="28" spans="1:53">
      <c r="A28" t="s">
        <v>8793</v>
      </c>
      <c r="B28" t="s">
        <v>1174</v>
      </c>
      <c r="C28" t="s">
        <v>8753</v>
      </c>
      <c r="M28">
        <v>11</v>
      </c>
      <c r="N28">
        <v>6</v>
      </c>
      <c r="O28">
        <v>10</v>
      </c>
      <c r="P28">
        <v>1</v>
      </c>
      <c r="Q28">
        <v>16</v>
      </c>
      <c r="R28">
        <v>6</v>
      </c>
      <c r="U28" t="s">
        <v>8303</v>
      </c>
      <c r="W28" t="s">
        <v>8410</v>
      </c>
      <c r="X28">
        <v>4</v>
      </c>
      <c r="Y28" t="s">
        <v>8406</v>
      </c>
      <c r="Z28" t="s">
        <v>8438</v>
      </c>
      <c r="AA28" t="s">
        <v>8767</v>
      </c>
      <c r="AB28" t="s">
        <v>8768</v>
      </c>
      <c r="AC28" t="s">
        <v>7426</v>
      </c>
      <c r="AD28" t="s">
        <v>7426</v>
      </c>
      <c r="AE28" t="s">
        <v>8479</v>
      </c>
      <c r="AI28">
        <v>6</v>
      </c>
      <c r="AJ28" t="s">
        <v>8794</v>
      </c>
      <c r="AN28" t="s">
        <v>8756</v>
      </c>
      <c r="AO28" s="56" t="s">
        <v>1420</v>
      </c>
      <c r="AP28" s="56" t="s">
        <v>8657</v>
      </c>
      <c r="AQ28" s="56">
        <v>3</v>
      </c>
      <c r="AR28" s="56" t="s">
        <v>5497</v>
      </c>
      <c r="AS28" s="56" t="s">
        <v>5486</v>
      </c>
      <c r="AT28" s="56">
        <v>3</v>
      </c>
      <c r="AU28" s="56">
        <v>5</v>
      </c>
      <c r="AV28" s="56">
        <v>4</v>
      </c>
      <c r="AW28" s="56">
        <v>4</v>
      </c>
      <c r="AX28" s="56">
        <v>11</v>
      </c>
      <c r="AY28" s="56">
        <v>9</v>
      </c>
      <c r="AZ28" s="56">
        <v>5</v>
      </c>
      <c r="BA28" s="56">
        <v>6</v>
      </c>
    </row>
    <row r="29" spans="1:53">
      <c r="A29" t="s">
        <v>8795</v>
      </c>
      <c r="B29" t="s">
        <v>5606</v>
      </c>
      <c r="C29" t="s">
        <v>8739</v>
      </c>
      <c r="D29">
        <v>5</v>
      </c>
      <c r="E29">
        <v>14</v>
      </c>
      <c r="F29">
        <v>4</v>
      </c>
      <c r="G29">
        <v>1</v>
      </c>
      <c r="H29">
        <v>30</v>
      </c>
      <c r="I29">
        <v>2</v>
      </c>
      <c r="J29">
        <v>1</v>
      </c>
      <c r="K29">
        <v>60</v>
      </c>
      <c r="L29">
        <v>1</v>
      </c>
      <c r="T29">
        <v>5</v>
      </c>
      <c r="U29" t="s">
        <v>8524</v>
      </c>
      <c r="X29">
        <v>2</v>
      </c>
      <c r="Y29" t="s">
        <v>8743</v>
      </c>
      <c r="Z29" t="s">
        <v>8452</v>
      </c>
      <c r="AA29" t="s">
        <v>8744</v>
      </c>
      <c r="AB29" t="s">
        <v>8745</v>
      </c>
      <c r="AC29" t="s">
        <v>7426</v>
      </c>
      <c r="AD29" t="s">
        <v>7426</v>
      </c>
      <c r="AE29" t="s">
        <v>8479</v>
      </c>
      <c r="AF29" t="s">
        <v>8746</v>
      </c>
      <c r="AG29">
        <v>4</v>
      </c>
      <c r="AI29">
        <v>4</v>
      </c>
      <c r="AJ29" t="s">
        <v>8682</v>
      </c>
      <c r="AO29" s="56" t="s">
        <v>1420</v>
      </c>
      <c r="AP29" s="56" t="s">
        <v>8657</v>
      </c>
      <c r="AQ29" s="56">
        <v>3</v>
      </c>
      <c r="AR29" s="56" t="s">
        <v>5497</v>
      </c>
      <c r="AS29" s="56" t="s">
        <v>5486</v>
      </c>
      <c r="AT29" s="56">
        <v>3</v>
      </c>
      <c r="AU29" s="56">
        <v>5</v>
      </c>
      <c r="AV29" s="56">
        <v>4</v>
      </c>
      <c r="AW29" s="56">
        <v>4</v>
      </c>
      <c r="AX29">
        <v>1</v>
      </c>
      <c r="AY29" s="56">
        <v>1</v>
      </c>
      <c r="AZ29" s="56">
        <v>5</v>
      </c>
      <c r="BA29" s="56">
        <v>6</v>
      </c>
    </row>
    <row r="30" spans="1:53">
      <c r="A30" t="s">
        <v>8796</v>
      </c>
      <c r="B30" t="s">
        <v>5606</v>
      </c>
      <c r="C30" t="s">
        <v>8739</v>
      </c>
      <c r="D30">
        <v>8</v>
      </c>
      <c r="E30">
        <v>14</v>
      </c>
      <c r="F30">
        <v>4</v>
      </c>
      <c r="G30">
        <v>3</v>
      </c>
      <c r="H30">
        <v>30</v>
      </c>
      <c r="I30">
        <v>2</v>
      </c>
      <c r="J30">
        <v>1</v>
      </c>
      <c r="K30">
        <v>60</v>
      </c>
      <c r="L30">
        <v>1</v>
      </c>
      <c r="T30">
        <v>8</v>
      </c>
      <c r="U30" t="s">
        <v>8303</v>
      </c>
      <c r="X30">
        <v>2</v>
      </c>
      <c r="Y30" t="s">
        <v>8582</v>
      </c>
      <c r="Z30" t="s">
        <v>8413</v>
      </c>
      <c r="AA30" t="s">
        <v>8703</v>
      </c>
      <c r="AB30" t="s">
        <v>8702</v>
      </c>
      <c r="AC30" t="s">
        <v>7426</v>
      </c>
      <c r="AD30" t="s">
        <v>7426</v>
      </c>
      <c r="AE30" t="s">
        <v>8369</v>
      </c>
      <c r="AF30" t="s">
        <v>8746</v>
      </c>
      <c r="AG30">
        <v>4</v>
      </c>
      <c r="AI30">
        <v>2</v>
      </c>
      <c r="AJ30" t="s">
        <v>8763</v>
      </c>
      <c r="AO30" s="56" t="s">
        <v>1420</v>
      </c>
      <c r="AP30" s="56" t="s">
        <v>8657</v>
      </c>
      <c r="AQ30" s="56">
        <v>3</v>
      </c>
      <c r="AR30" s="56" t="s">
        <v>5497</v>
      </c>
      <c r="AS30" s="56" t="s">
        <v>5486</v>
      </c>
      <c r="AT30" s="56">
        <v>3</v>
      </c>
      <c r="AU30" s="56">
        <v>5</v>
      </c>
      <c r="AV30" s="56">
        <v>4</v>
      </c>
      <c r="AW30" s="56">
        <v>4</v>
      </c>
      <c r="AX30">
        <v>3</v>
      </c>
      <c r="AY30" s="56">
        <v>3</v>
      </c>
      <c r="AZ30" s="56">
        <v>5</v>
      </c>
      <c r="BA30" s="56">
        <v>6</v>
      </c>
    </row>
    <row r="31" spans="1:53">
      <c r="A31" t="s">
        <v>8797</v>
      </c>
      <c r="B31" t="s">
        <v>5606</v>
      </c>
      <c r="C31" t="s">
        <v>8739</v>
      </c>
      <c r="D31">
        <v>21</v>
      </c>
      <c r="E31">
        <v>14</v>
      </c>
      <c r="F31">
        <v>4</v>
      </c>
      <c r="G31">
        <v>8</v>
      </c>
      <c r="H31">
        <v>30</v>
      </c>
      <c r="I31">
        <v>2</v>
      </c>
      <c r="J31">
        <v>3</v>
      </c>
      <c r="K31">
        <v>60</v>
      </c>
      <c r="L31">
        <v>1</v>
      </c>
      <c r="T31">
        <v>21</v>
      </c>
      <c r="U31" t="s">
        <v>8317</v>
      </c>
      <c r="X31">
        <v>3</v>
      </c>
      <c r="Y31" t="s">
        <v>8692</v>
      </c>
      <c r="Z31" t="s">
        <v>8406</v>
      </c>
      <c r="AA31" t="s">
        <v>8684</v>
      </c>
      <c r="AB31" t="s">
        <v>8661</v>
      </c>
      <c r="AC31" t="s">
        <v>7426</v>
      </c>
      <c r="AD31" t="s">
        <v>7426</v>
      </c>
      <c r="AE31" t="s">
        <v>8305</v>
      </c>
      <c r="AF31" t="s">
        <v>8746</v>
      </c>
      <c r="AG31">
        <v>4</v>
      </c>
      <c r="AI31">
        <v>3</v>
      </c>
      <c r="AJ31" t="s">
        <v>8694</v>
      </c>
      <c r="AO31" s="56" t="s">
        <v>1420</v>
      </c>
      <c r="AP31" s="56" t="s">
        <v>8657</v>
      </c>
      <c r="AQ31" s="56">
        <v>3</v>
      </c>
      <c r="AR31" s="56" t="s">
        <v>5497</v>
      </c>
      <c r="AS31" s="56" t="s">
        <v>5486</v>
      </c>
      <c r="AT31" s="56">
        <v>3</v>
      </c>
      <c r="AU31" s="56">
        <v>5</v>
      </c>
      <c r="AV31" s="56">
        <v>4</v>
      </c>
      <c r="AW31" s="56">
        <v>4</v>
      </c>
      <c r="AX31">
        <v>8</v>
      </c>
      <c r="AY31" s="56">
        <v>6</v>
      </c>
      <c r="AZ31" s="56">
        <v>5</v>
      </c>
      <c r="BA31" s="56">
        <v>6</v>
      </c>
    </row>
    <row r="32" spans="1:53">
      <c r="A32" t="s">
        <v>8798</v>
      </c>
      <c r="B32" t="s">
        <v>5606</v>
      </c>
      <c r="C32" t="s">
        <v>8739</v>
      </c>
      <c r="D32">
        <v>33</v>
      </c>
      <c r="E32">
        <v>14</v>
      </c>
      <c r="F32">
        <v>4</v>
      </c>
      <c r="G32">
        <v>16</v>
      </c>
      <c r="H32">
        <v>30</v>
      </c>
      <c r="I32">
        <v>2</v>
      </c>
      <c r="J32">
        <v>10</v>
      </c>
      <c r="K32">
        <v>60</v>
      </c>
      <c r="L32">
        <v>1</v>
      </c>
      <c r="T32">
        <v>33</v>
      </c>
      <c r="U32" t="s">
        <v>8485</v>
      </c>
      <c r="X32">
        <v>4</v>
      </c>
      <c r="Y32" t="s">
        <v>8659</v>
      </c>
      <c r="Z32" t="s">
        <v>8422</v>
      </c>
      <c r="AA32" t="s">
        <v>8715</v>
      </c>
      <c r="AB32" t="s">
        <v>8675</v>
      </c>
      <c r="AC32" t="s">
        <v>7426</v>
      </c>
      <c r="AD32" t="s">
        <v>7426</v>
      </c>
      <c r="AE32" t="s">
        <v>8312</v>
      </c>
      <c r="AF32" t="s">
        <v>8746</v>
      </c>
      <c r="AG32">
        <v>4</v>
      </c>
      <c r="AI32">
        <v>4</v>
      </c>
      <c r="AJ32" t="s">
        <v>8429</v>
      </c>
      <c r="AO32" s="56" t="s">
        <v>1420</v>
      </c>
      <c r="AP32" s="56" t="s">
        <v>8657</v>
      </c>
      <c r="AQ32" s="56">
        <v>3</v>
      </c>
      <c r="AR32" s="56" t="s">
        <v>5497</v>
      </c>
      <c r="AS32" s="56" t="s">
        <v>5486</v>
      </c>
      <c r="AT32" s="56">
        <v>3</v>
      </c>
      <c r="AU32" s="56">
        <v>5</v>
      </c>
      <c r="AV32" s="56">
        <v>4</v>
      </c>
      <c r="AW32" s="56">
        <v>4</v>
      </c>
      <c r="AX32">
        <v>16</v>
      </c>
      <c r="AY32" s="56">
        <v>12</v>
      </c>
      <c r="AZ32" s="56">
        <v>5</v>
      </c>
      <c r="BA32" s="56">
        <v>6</v>
      </c>
    </row>
    <row r="33" spans="1:53">
      <c r="A33" t="s">
        <v>8799</v>
      </c>
      <c r="B33" t="s">
        <v>5606</v>
      </c>
      <c r="C33" t="s">
        <v>8753</v>
      </c>
      <c r="M33">
        <v>8</v>
      </c>
      <c r="N33">
        <v>6</v>
      </c>
      <c r="O33">
        <v>10</v>
      </c>
      <c r="P33">
        <v>1</v>
      </c>
      <c r="Q33">
        <v>16</v>
      </c>
      <c r="R33">
        <v>6</v>
      </c>
      <c r="U33" t="s">
        <v>8524</v>
      </c>
      <c r="X33">
        <v>2</v>
      </c>
      <c r="Y33" t="s">
        <v>8428</v>
      </c>
      <c r="Z33" t="s">
        <v>8393</v>
      </c>
      <c r="AA33" t="s">
        <v>8689</v>
      </c>
      <c r="AB33" t="s">
        <v>8754</v>
      </c>
      <c r="AC33" t="s">
        <v>7426</v>
      </c>
      <c r="AD33" t="s">
        <v>7426</v>
      </c>
      <c r="AE33" t="s">
        <v>8479</v>
      </c>
      <c r="AI33">
        <v>6</v>
      </c>
      <c r="AJ33" t="s">
        <v>8785</v>
      </c>
      <c r="AN33" t="s">
        <v>8756</v>
      </c>
      <c r="AO33" s="56" t="s">
        <v>1420</v>
      </c>
      <c r="AP33" s="56" t="s">
        <v>8657</v>
      </c>
      <c r="AQ33" s="56">
        <v>3</v>
      </c>
      <c r="AR33" s="56" t="s">
        <v>5497</v>
      </c>
      <c r="AS33" s="56" t="s">
        <v>5486</v>
      </c>
      <c r="AT33" s="56">
        <v>3</v>
      </c>
      <c r="AU33" s="56">
        <v>5</v>
      </c>
      <c r="AV33" s="56">
        <v>4</v>
      </c>
      <c r="AW33" s="56">
        <v>4</v>
      </c>
      <c r="AX33" s="56">
        <v>8</v>
      </c>
      <c r="AY33" s="56">
        <v>6</v>
      </c>
      <c r="AZ33" s="56">
        <v>5</v>
      </c>
      <c r="BA33" s="56">
        <v>6</v>
      </c>
    </row>
    <row r="34" spans="1:53">
      <c r="A34" t="s">
        <v>8800</v>
      </c>
      <c r="B34" t="s">
        <v>5587</v>
      </c>
      <c r="C34" t="s">
        <v>8739</v>
      </c>
      <c r="D34">
        <v>10</v>
      </c>
      <c r="E34">
        <v>14</v>
      </c>
      <c r="F34">
        <v>4</v>
      </c>
      <c r="G34">
        <v>6</v>
      </c>
      <c r="H34">
        <v>30</v>
      </c>
      <c r="I34">
        <v>2</v>
      </c>
      <c r="J34">
        <v>4</v>
      </c>
      <c r="K34">
        <v>60</v>
      </c>
      <c r="L34">
        <v>1</v>
      </c>
      <c r="T34">
        <v>10</v>
      </c>
      <c r="U34" t="s">
        <v>8317</v>
      </c>
      <c r="X34">
        <v>3</v>
      </c>
      <c r="Y34" t="s">
        <v>8780</v>
      </c>
      <c r="Z34" t="s">
        <v>8432</v>
      </c>
      <c r="AA34" t="s">
        <v>8673</v>
      </c>
      <c r="AB34" t="s">
        <v>8801</v>
      </c>
      <c r="AC34" t="s">
        <v>7426</v>
      </c>
      <c r="AD34" t="s">
        <v>7426</v>
      </c>
      <c r="AE34" t="s">
        <v>8369</v>
      </c>
      <c r="AF34" t="s">
        <v>8746</v>
      </c>
      <c r="AG34">
        <v>4</v>
      </c>
      <c r="AI34">
        <v>4</v>
      </c>
      <c r="AJ34" t="s">
        <v>8802</v>
      </c>
      <c r="AO34" s="56" t="s">
        <v>1420</v>
      </c>
      <c r="AP34" s="56" t="s">
        <v>8657</v>
      </c>
      <c r="AQ34" s="56">
        <v>3</v>
      </c>
      <c r="AR34" s="56" t="s">
        <v>5497</v>
      </c>
      <c r="AS34" s="56" t="s">
        <v>5486</v>
      </c>
      <c r="AT34" s="56">
        <v>3</v>
      </c>
      <c r="AU34" s="56">
        <v>5</v>
      </c>
      <c r="AV34" s="56">
        <v>4</v>
      </c>
      <c r="AW34" s="56">
        <v>4</v>
      </c>
      <c r="AX34">
        <v>6</v>
      </c>
      <c r="AY34" s="56">
        <v>5</v>
      </c>
      <c r="AZ34" s="56">
        <v>5</v>
      </c>
      <c r="BA34" s="56">
        <v>6</v>
      </c>
    </row>
    <row r="35" spans="1:53">
      <c r="A35" t="s">
        <v>8803</v>
      </c>
      <c r="B35" t="s">
        <v>5587</v>
      </c>
      <c r="C35" t="s">
        <v>8739</v>
      </c>
      <c r="D35">
        <v>13</v>
      </c>
      <c r="E35">
        <v>14</v>
      </c>
      <c r="F35">
        <v>4</v>
      </c>
      <c r="G35">
        <v>8</v>
      </c>
      <c r="H35">
        <v>30</v>
      </c>
      <c r="I35">
        <v>2</v>
      </c>
      <c r="J35">
        <v>5</v>
      </c>
      <c r="K35">
        <v>60</v>
      </c>
      <c r="L35">
        <v>1</v>
      </c>
      <c r="T35">
        <v>13</v>
      </c>
      <c r="U35" t="s">
        <v>8485</v>
      </c>
      <c r="X35">
        <v>4</v>
      </c>
      <c r="Y35" t="s">
        <v>8743</v>
      </c>
      <c r="Z35" t="s">
        <v>8416</v>
      </c>
      <c r="AA35" t="s">
        <v>8660</v>
      </c>
      <c r="AB35" t="s">
        <v>8669</v>
      </c>
      <c r="AC35" t="s">
        <v>7426</v>
      </c>
      <c r="AD35" t="s">
        <v>7426</v>
      </c>
      <c r="AE35" t="s">
        <v>8305</v>
      </c>
      <c r="AF35" t="s">
        <v>8746</v>
      </c>
      <c r="AG35">
        <v>4</v>
      </c>
      <c r="AI35">
        <v>2</v>
      </c>
      <c r="AJ35" t="s">
        <v>8690</v>
      </c>
      <c r="AO35" s="56" t="s">
        <v>1420</v>
      </c>
      <c r="AP35" s="56" t="s">
        <v>8657</v>
      </c>
      <c r="AQ35" s="56">
        <v>3</v>
      </c>
      <c r="AR35" s="56" t="s">
        <v>5497</v>
      </c>
      <c r="AS35" s="56" t="s">
        <v>5486</v>
      </c>
      <c r="AT35" s="56">
        <v>3</v>
      </c>
      <c r="AU35" s="56">
        <v>5</v>
      </c>
      <c r="AV35" s="56">
        <v>4</v>
      </c>
      <c r="AW35" s="56">
        <v>4</v>
      </c>
      <c r="AX35">
        <v>8</v>
      </c>
      <c r="AY35" s="56">
        <v>6</v>
      </c>
      <c r="AZ35" s="56">
        <v>5</v>
      </c>
      <c r="BA35" s="56">
        <v>6</v>
      </c>
    </row>
    <row r="36" spans="1:53">
      <c r="A36" t="s">
        <v>8804</v>
      </c>
      <c r="B36" t="s">
        <v>5587</v>
      </c>
      <c r="C36" t="s">
        <v>8739</v>
      </c>
      <c r="D36">
        <v>26</v>
      </c>
      <c r="E36">
        <v>14</v>
      </c>
      <c r="F36">
        <v>4</v>
      </c>
      <c r="G36">
        <v>13</v>
      </c>
      <c r="H36">
        <v>30</v>
      </c>
      <c r="I36">
        <v>2</v>
      </c>
      <c r="J36">
        <v>8</v>
      </c>
      <c r="K36">
        <v>60</v>
      </c>
      <c r="L36">
        <v>1</v>
      </c>
      <c r="T36">
        <v>26</v>
      </c>
      <c r="U36" t="s">
        <v>8489</v>
      </c>
      <c r="X36">
        <v>5</v>
      </c>
      <c r="Y36" t="s">
        <v>8582</v>
      </c>
      <c r="Z36" t="s">
        <v>8428</v>
      </c>
      <c r="AA36" t="s">
        <v>8664</v>
      </c>
      <c r="AB36" t="s">
        <v>8744</v>
      </c>
      <c r="AC36" t="s">
        <v>7426</v>
      </c>
      <c r="AD36" t="s">
        <v>7426</v>
      </c>
      <c r="AE36" t="s">
        <v>8312</v>
      </c>
      <c r="AF36" t="s">
        <v>8746</v>
      </c>
      <c r="AG36">
        <v>4</v>
      </c>
      <c r="AI36">
        <v>3</v>
      </c>
      <c r="AJ36" t="s">
        <v>8805</v>
      </c>
      <c r="AO36" s="56" t="s">
        <v>1420</v>
      </c>
      <c r="AP36" s="56" t="s">
        <v>8657</v>
      </c>
      <c r="AQ36" s="56">
        <v>3</v>
      </c>
      <c r="AR36" s="56" t="s">
        <v>5497</v>
      </c>
      <c r="AS36" s="56" t="s">
        <v>5486</v>
      </c>
      <c r="AT36" s="56">
        <v>3</v>
      </c>
      <c r="AU36" s="56">
        <v>5</v>
      </c>
      <c r="AV36" s="56">
        <v>4</v>
      </c>
      <c r="AW36" s="56">
        <v>4</v>
      </c>
      <c r="AX36">
        <v>13</v>
      </c>
      <c r="AY36" s="56">
        <v>10</v>
      </c>
      <c r="AZ36" s="56">
        <v>5</v>
      </c>
      <c r="BA36" s="56">
        <v>6</v>
      </c>
    </row>
    <row r="37" spans="1:53">
      <c r="A37" t="s">
        <v>8806</v>
      </c>
      <c r="B37" t="s">
        <v>5587</v>
      </c>
      <c r="C37" t="s">
        <v>8739</v>
      </c>
      <c r="D37">
        <v>38</v>
      </c>
      <c r="E37">
        <v>14</v>
      </c>
      <c r="F37">
        <v>4</v>
      </c>
      <c r="G37">
        <v>21</v>
      </c>
      <c r="H37">
        <v>30</v>
      </c>
      <c r="I37">
        <v>2</v>
      </c>
      <c r="J37">
        <v>15</v>
      </c>
      <c r="K37">
        <v>60</v>
      </c>
      <c r="L37">
        <v>1</v>
      </c>
      <c r="T37">
        <v>38</v>
      </c>
      <c r="U37" t="s">
        <v>8493</v>
      </c>
      <c r="X37">
        <v>6</v>
      </c>
      <c r="Y37" t="s">
        <v>8692</v>
      </c>
      <c r="Z37" t="s">
        <v>8406</v>
      </c>
      <c r="AA37" t="s">
        <v>8571</v>
      </c>
      <c r="AB37" t="s">
        <v>8668</v>
      </c>
      <c r="AC37" t="s">
        <v>7426</v>
      </c>
      <c r="AD37" t="s">
        <v>7426</v>
      </c>
      <c r="AE37" t="s">
        <v>8318</v>
      </c>
      <c r="AF37" t="s">
        <v>8746</v>
      </c>
      <c r="AG37">
        <v>4</v>
      </c>
      <c r="AI37">
        <v>4</v>
      </c>
      <c r="AJ37" t="s">
        <v>8807</v>
      </c>
      <c r="AO37" s="56" t="s">
        <v>1420</v>
      </c>
      <c r="AP37" s="56" t="s">
        <v>8657</v>
      </c>
      <c r="AQ37" s="56">
        <v>3</v>
      </c>
      <c r="AR37" s="56" t="s">
        <v>5497</v>
      </c>
      <c r="AS37" s="56" t="s">
        <v>5486</v>
      </c>
      <c r="AT37" s="56">
        <v>3</v>
      </c>
      <c r="AU37" s="56">
        <v>5</v>
      </c>
      <c r="AV37" s="56">
        <v>4</v>
      </c>
      <c r="AW37" s="56">
        <v>4</v>
      </c>
      <c r="AX37">
        <v>21</v>
      </c>
      <c r="AY37" s="56">
        <v>16</v>
      </c>
      <c r="AZ37" s="56">
        <v>5</v>
      </c>
      <c r="BA37" s="56">
        <v>6</v>
      </c>
    </row>
    <row r="38" spans="1:53">
      <c r="A38" t="s">
        <v>8808</v>
      </c>
      <c r="B38" t="s">
        <v>5587</v>
      </c>
      <c r="C38" t="s">
        <v>8753</v>
      </c>
      <c r="M38">
        <v>12</v>
      </c>
      <c r="N38">
        <v>6</v>
      </c>
      <c r="O38">
        <v>10</v>
      </c>
      <c r="P38">
        <v>1</v>
      </c>
      <c r="Q38">
        <v>16</v>
      </c>
      <c r="R38">
        <v>6</v>
      </c>
      <c r="U38" t="s">
        <v>8303</v>
      </c>
      <c r="X38">
        <v>4</v>
      </c>
      <c r="Y38" t="s">
        <v>8659</v>
      </c>
      <c r="Z38" t="s">
        <v>8410</v>
      </c>
      <c r="AA38" t="s">
        <v>8809</v>
      </c>
      <c r="AB38" t="s">
        <v>8810</v>
      </c>
      <c r="AC38" t="s">
        <v>7426</v>
      </c>
      <c r="AD38" t="s">
        <v>7426</v>
      </c>
      <c r="AE38" t="s">
        <v>8369</v>
      </c>
      <c r="AI38">
        <v>6</v>
      </c>
      <c r="AJ38" t="s">
        <v>8811</v>
      </c>
      <c r="AN38" t="s">
        <v>8756</v>
      </c>
      <c r="AO38" s="56" t="s">
        <v>1420</v>
      </c>
      <c r="AP38" s="56" t="s">
        <v>8657</v>
      </c>
      <c r="AQ38" s="56">
        <v>3</v>
      </c>
      <c r="AR38" s="56" t="s">
        <v>5497</v>
      </c>
      <c r="AS38" s="56" t="s">
        <v>5486</v>
      </c>
      <c r="AT38" s="56">
        <v>3</v>
      </c>
      <c r="AU38" s="56">
        <v>5</v>
      </c>
      <c r="AV38" s="56">
        <v>4</v>
      </c>
      <c r="AW38" s="56">
        <v>4</v>
      </c>
      <c r="AX38" s="56">
        <v>12</v>
      </c>
      <c r="AY38" s="56">
        <v>9</v>
      </c>
      <c r="AZ38" s="56">
        <v>5</v>
      </c>
      <c r="BA38" s="56">
        <v>6</v>
      </c>
    </row>
    <row r="39" spans="1:53">
      <c r="A39" t="s">
        <v>8539</v>
      </c>
      <c r="B39" t="s">
        <v>8302</v>
      </c>
      <c r="C39" t="s">
        <v>8739</v>
      </c>
      <c r="D39">
        <v>13</v>
      </c>
      <c r="E39">
        <v>14</v>
      </c>
      <c r="F39">
        <v>4</v>
      </c>
      <c r="T39">
        <v>13</v>
      </c>
      <c r="U39" t="s">
        <v>8303</v>
      </c>
      <c r="X39">
        <v>2</v>
      </c>
      <c r="Y39" t="s">
        <v>8743</v>
      </c>
      <c r="Z39" t="s">
        <v>8416</v>
      </c>
      <c r="AA39" t="s">
        <v>8660</v>
      </c>
      <c r="AB39" t="s">
        <v>8669</v>
      </c>
      <c r="AC39" t="s">
        <v>7426</v>
      </c>
      <c r="AD39" t="s">
        <v>7426</v>
      </c>
      <c r="AE39" t="s">
        <v>8369</v>
      </c>
      <c r="AF39" t="s">
        <v>8746</v>
      </c>
      <c r="AG39">
        <v>4</v>
      </c>
      <c r="AJ39" t="s">
        <v>8805</v>
      </c>
      <c r="AN39" t="s">
        <v>8541</v>
      </c>
      <c r="AO39" s="56" t="s">
        <v>1420</v>
      </c>
      <c r="AP39" s="56" t="s">
        <v>8657</v>
      </c>
      <c r="AQ39" s="56">
        <v>3</v>
      </c>
      <c r="AR39" s="56" t="s">
        <v>5497</v>
      </c>
      <c r="AS39" s="56" t="s">
        <v>5486</v>
      </c>
      <c r="AT39" s="56">
        <v>3</v>
      </c>
      <c r="AU39" s="56">
        <v>5</v>
      </c>
      <c r="AV39" s="56">
        <v>4</v>
      </c>
      <c r="AW39" s="56">
        <v>4</v>
      </c>
      <c r="AX39" s="56">
        <v>13</v>
      </c>
      <c r="AY39" s="56">
        <v>10</v>
      </c>
      <c r="AZ39" s="56">
        <v>5</v>
      </c>
      <c r="BA39" s="56">
        <v>6</v>
      </c>
    </row>
  </sheetData>
  <pageMargins left="0.7" right="0.7" top="0.75" bottom="0.75" header="0.3" footer="0.3"/>
  <legacy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87"/>
  <sheetViews>
    <sheetView workbookViewId="0"/>
  </sheetViews>
  <sheetFormatPr baseColWidth="10" defaultColWidth="9.140625" defaultRowHeight="15"/>
  <sheetData>
    <row r="1" spans="1:11">
      <c r="A1" t="s">
        <v>5474</v>
      </c>
      <c r="B1" t="s">
        <v>5455</v>
      </c>
      <c r="C1" t="s">
        <v>8812</v>
      </c>
      <c r="D1" t="s">
        <v>8813</v>
      </c>
      <c r="E1" t="s">
        <v>8250</v>
      </c>
      <c r="F1" t="s">
        <v>8814</v>
      </c>
      <c r="G1" t="s">
        <v>8815</v>
      </c>
      <c r="H1" t="s">
        <v>8816</v>
      </c>
      <c r="I1" t="s">
        <v>8817</v>
      </c>
      <c r="J1" t="s">
        <v>8818</v>
      </c>
      <c r="K1" t="s">
        <v>8475</v>
      </c>
    </row>
    <row r="2" spans="1:11">
      <c r="A2" t="s">
        <v>8819</v>
      </c>
      <c r="B2" t="s">
        <v>8820</v>
      </c>
      <c r="C2" t="s">
        <v>8258</v>
      </c>
      <c r="D2" t="s">
        <v>8271</v>
      </c>
      <c r="E2">
        <v>19</v>
      </c>
      <c r="F2" t="s">
        <v>8259</v>
      </c>
      <c r="G2">
        <f>IF(F2="","",IF(COUNTIFS('Munition-Feuerwaffen'!$B$2:$B$35,F2,'Munition-Feuerwaffen'!$C$2:$C$35,E2)=0,"",SUMPRODUCT(('Munition-Feuerwaffen'!$B$2:$B$35=F2)*('Munition-Feuerwaffen'!$C$2:$C$35=E2)*'Munition-Feuerwaffen'!$D$2:$D$35)))</f>
        <v>0.42042000000000013</v>
      </c>
      <c r="H2" t="s">
        <v>8260</v>
      </c>
      <c r="I2">
        <f>IF(H2="","",IF(COUNTIFS('Munition-Feuerwaffen'!$B$2:$B$35,H2,'Munition-Feuerwaffen'!$C$2:$C$35,E2)=0,"",SUMPRODUCT(('Munition-Feuerwaffen'!$B$2:$B$35=H2)*('Munition-Feuerwaffen'!$C$2:$C$35=E2)*'Munition-Feuerwaffen'!$D$2:$D$35)))</f>
        <v>0.45311249999999997</v>
      </c>
      <c r="J2" t="s">
        <v>8261</v>
      </c>
    </row>
    <row r="3" spans="1:11">
      <c r="A3" t="s">
        <v>8821</v>
      </c>
      <c r="B3" t="s">
        <v>8820</v>
      </c>
      <c r="C3" t="s">
        <v>8258</v>
      </c>
      <c r="D3" t="s">
        <v>8271</v>
      </c>
      <c r="E3">
        <v>17</v>
      </c>
      <c r="F3" t="s">
        <v>8259</v>
      </c>
      <c r="G3">
        <f>IF(F3="","",IF(COUNTIFS('Munition-Feuerwaffen'!$B$2:$B$35,F3,'Munition-Feuerwaffen'!$C$2:$C$35,E3)=0,"",SUMPRODUCT(('Munition-Feuerwaffen'!$B$2:$B$35=F3)*('Munition-Feuerwaffen'!$C$2:$C$35=E3)*'Munition-Feuerwaffen'!$D$2:$D$35)))</f>
        <v>0.40513199999999999</v>
      </c>
      <c r="H3" t="s">
        <v>8260</v>
      </c>
      <c r="I3">
        <f>IF(H3="","",IF(COUNTIFS('Munition-Feuerwaffen'!$B$2:$B$35,H3,'Munition-Feuerwaffen'!$C$2:$C$35,E3)=0,"",SUMPRODUCT(('Munition-Feuerwaffen'!$B$2:$B$35=H3)*('Munition-Feuerwaffen'!$C$2:$C$35=E3)*'Munition-Feuerwaffen'!$D$2:$D$35)))</f>
        <v>0.44046750000000001</v>
      </c>
      <c r="J3" t="s">
        <v>8261</v>
      </c>
    </row>
    <row r="4" spans="1:11">
      <c r="A4" t="s">
        <v>8822</v>
      </c>
      <c r="B4" t="s">
        <v>8820</v>
      </c>
      <c r="C4" t="s">
        <v>8258</v>
      </c>
      <c r="D4" t="s">
        <v>8271</v>
      </c>
      <c r="E4">
        <v>18</v>
      </c>
      <c r="F4" t="s">
        <v>8259</v>
      </c>
      <c r="G4">
        <f>IF(F4="","",IF(COUNTIFS('Munition-Feuerwaffen'!$B$2:$B$35,F4,'Munition-Feuerwaffen'!$C$2:$C$35,E4)=0,"",SUMPRODUCT(('Munition-Feuerwaffen'!$B$2:$B$35=F4)*('Munition-Feuerwaffen'!$C$2:$C$35=E4)*'Munition-Feuerwaffen'!$D$2:$D$35)))</f>
        <v>0.41277600000000009</v>
      </c>
      <c r="H4" t="s">
        <v>8260</v>
      </c>
      <c r="I4">
        <f>IF(H4="","",IF(COUNTIFS('Munition-Feuerwaffen'!$B$2:$B$35,H4,'Munition-Feuerwaffen'!$C$2:$C$35,E4)=0,"",SUMPRODUCT(('Munition-Feuerwaffen'!$B$2:$B$35=H4)*('Munition-Feuerwaffen'!$C$2:$C$35=E4)*'Munition-Feuerwaffen'!$D$2:$D$35)))</f>
        <v>0.44679000000000008</v>
      </c>
      <c r="J4" t="s">
        <v>8261</v>
      </c>
    </row>
    <row r="5" spans="1:11">
      <c r="A5" t="s">
        <v>8823</v>
      </c>
      <c r="B5" t="s">
        <v>8820</v>
      </c>
      <c r="C5" t="s">
        <v>8258</v>
      </c>
      <c r="D5" t="s">
        <v>8271</v>
      </c>
      <c r="E5">
        <v>14</v>
      </c>
      <c r="F5" t="s">
        <v>8259</v>
      </c>
      <c r="G5">
        <f>IF(F5="","",IF(COUNTIFS('Munition-Feuerwaffen'!$B$2:$B$35,F5,'Munition-Feuerwaffen'!$C$2:$C$35,E5)=0,"",SUMPRODUCT(('Munition-Feuerwaffen'!$B$2:$B$35=F5)*('Munition-Feuerwaffen'!$C$2:$C$35=E5)*'Munition-Feuerwaffen'!$D$2:$D$35)))</f>
        <v>0.38219999999999998</v>
      </c>
      <c r="H5" t="s">
        <v>8260</v>
      </c>
      <c r="I5">
        <f>IF(H5="","",IF(COUNTIFS('Munition-Feuerwaffen'!$B$2:$B$35,H5,'Munition-Feuerwaffen'!$C$2:$C$35,E5)=0,"",SUMPRODUCT(('Munition-Feuerwaffen'!$B$2:$B$35=H5)*('Munition-Feuerwaffen'!$C$2:$C$35=E5)*'Munition-Feuerwaffen'!$D$2:$D$35)))</f>
        <v>0.42149999999999999</v>
      </c>
      <c r="J5" t="s">
        <v>8261</v>
      </c>
    </row>
    <row r="6" spans="1:11">
      <c r="A6" t="s">
        <v>8824</v>
      </c>
      <c r="B6" t="s">
        <v>8820</v>
      </c>
      <c r="C6" t="s">
        <v>8258</v>
      </c>
      <c r="D6" t="s">
        <v>8271</v>
      </c>
      <c r="E6">
        <v>14</v>
      </c>
      <c r="F6" t="s">
        <v>8259</v>
      </c>
      <c r="G6">
        <f>IF(F6="","",IF(COUNTIFS('Munition-Feuerwaffen'!$B$2:$B$35,F6,'Munition-Feuerwaffen'!$C$2:$C$35,E6)=0,"",SUMPRODUCT(('Munition-Feuerwaffen'!$B$2:$B$35=F6)*('Munition-Feuerwaffen'!$C$2:$C$35=E6)*'Munition-Feuerwaffen'!$D$2:$D$35)))</f>
        <v>0.38219999999999998</v>
      </c>
      <c r="H6" t="s">
        <v>8260</v>
      </c>
      <c r="I6">
        <f>IF(H6="","",IF(COUNTIFS('Munition-Feuerwaffen'!$B$2:$B$35,H6,'Munition-Feuerwaffen'!$C$2:$C$35,E6)=0,"",SUMPRODUCT(('Munition-Feuerwaffen'!$B$2:$B$35=H6)*('Munition-Feuerwaffen'!$C$2:$C$35=E6)*'Munition-Feuerwaffen'!$D$2:$D$35)))</f>
        <v>0.42149999999999999</v>
      </c>
      <c r="J6" t="s">
        <v>8261</v>
      </c>
    </row>
    <row r="7" spans="1:11">
      <c r="A7" t="s">
        <v>8825</v>
      </c>
      <c r="B7" t="s">
        <v>8820</v>
      </c>
      <c r="C7" t="s">
        <v>8258</v>
      </c>
      <c r="D7" t="s">
        <v>8271</v>
      </c>
      <c r="E7">
        <v>14</v>
      </c>
      <c r="F7" t="s">
        <v>8259</v>
      </c>
      <c r="G7">
        <f>IF(F7="","",IF(COUNTIFS('Munition-Feuerwaffen'!$B$2:$B$35,F7,'Munition-Feuerwaffen'!$C$2:$C$35,E7)=0,"",SUMPRODUCT(('Munition-Feuerwaffen'!$B$2:$B$35=F7)*('Munition-Feuerwaffen'!$C$2:$C$35=E7)*'Munition-Feuerwaffen'!$D$2:$D$35)))</f>
        <v>0.38219999999999998</v>
      </c>
      <c r="H7" t="s">
        <v>8260</v>
      </c>
      <c r="I7">
        <f>IF(H7="","",IF(COUNTIFS('Munition-Feuerwaffen'!$B$2:$B$35,H7,'Munition-Feuerwaffen'!$C$2:$C$35,E7)=0,"",SUMPRODUCT(('Munition-Feuerwaffen'!$B$2:$B$35=H7)*('Munition-Feuerwaffen'!$C$2:$C$35=E7)*'Munition-Feuerwaffen'!$D$2:$D$35)))</f>
        <v>0.42149999999999999</v>
      </c>
      <c r="J7" t="s">
        <v>8261</v>
      </c>
    </row>
    <row r="8" spans="1:11">
      <c r="A8" t="s">
        <v>8826</v>
      </c>
      <c r="B8" t="s">
        <v>1174</v>
      </c>
      <c r="C8" t="s">
        <v>8262</v>
      </c>
      <c r="D8" t="s">
        <v>8827</v>
      </c>
      <c r="E8">
        <v>18</v>
      </c>
      <c r="F8" t="s">
        <v>8263</v>
      </c>
      <c r="G8">
        <f>IF(F8="","",IF(COUNTIFS('Munition-Feuerwaffen'!$B$2:$B$35,F8,'Munition-Feuerwaffen'!$C$2:$C$35,E8)=0,"",SUMPRODUCT(('Munition-Feuerwaffen'!$B$2:$B$35=F8)*('Munition-Feuerwaffen'!$C$2:$C$35=E8)*'Munition-Feuerwaffen'!$D$2:$D$35)))</f>
        <v>0.72150666666666674</v>
      </c>
    </row>
    <row r="9" spans="1:11">
      <c r="A9" t="s">
        <v>8828</v>
      </c>
      <c r="B9" t="s">
        <v>1174</v>
      </c>
      <c r="C9" t="s">
        <v>8829</v>
      </c>
      <c r="D9" t="s">
        <v>8830</v>
      </c>
      <c r="E9">
        <v>12</v>
      </c>
      <c r="F9" t="s">
        <v>8265</v>
      </c>
      <c r="G9" t="str">
        <f>IF(F9="","",IF(COUNTIFS('Munition-Feuerwaffen'!$B$2:$B$35,F9,'Munition-Feuerwaffen'!$C$2:$C$35,E9)=0,"",SUMPRODUCT(('Munition-Feuerwaffen'!$B$2:$B$35=F9)*('Munition-Feuerwaffen'!$C$2:$C$35=E9)*'Munition-Feuerwaffen'!$D$2:$D$35)))</f>
        <v/>
      </c>
    </row>
    <row r="10" spans="1:11">
      <c r="A10" t="s">
        <v>8831</v>
      </c>
      <c r="B10" t="s">
        <v>1174</v>
      </c>
      <c r="C10" t="s">
        <v>8258</v>
      </c>
      <c r="D10" t="s">
        <v>8271</v>
      </c>
      <c r="E10">
        <v>18</v>
      </c>
      <c r="F10" t="s">
        <v>8259</v>
      </c>
      <c r="G10">
        <f>IF(F10="","",IF(COUNTIFS('Munition-Feuerwaffen'!$B$2:$B$35,F10,'Munition-Feuerwaffen'!$C$2:$C$35,E10)=0,"",SUMPRODUCT(('Munition-Feuerwaffen'!$B$2:$B$35=F10)*('Munition-Feuerwaffen'!$C$2:$C$35=E10)*'Munition-Feuerwaffen'!$D$2:$D$35)))</f>
        <v>0.41277600000000009</v>
      </c>
      <c r="H10" t="s">
        <v>8260</v>
      </c>
      <c r="I10">
        <f>IF(H10="","",IF(COUNTIFS('Munition-Feuerwaffen'!$B$2:$B$35,H10,'Munition-Feuerwaffen'!$C$2:$C$35,E10)=0,"",SUMPRODUCT(('Munition-Feuerwaffen'!$B$2:$B$35=H10)*('Munition-Feuerwaffen'!$C$2:$C$35=E10)*'Munition-Feuerwaffen'!$D$2:$D$35)))</f>
        <v>0.44679000000000008</v>
      </c>
      <c r="J10" t="s">
        <v>8261</v>
      </c>
    </row>
    <row r="11" spans="1:11">
      <c r="A11" t="s">
        <v>8832</v>
      </c>
      <c r="B11" t="s">
        <v>1174</v>
      </c>
      <c r="C11" t="s">
        <v>8262</v>
      </c>
      <c r="D11" t="s">
        <v>8827</v>
      </c>
      <c r="E11">
        <v>18</v>
      </c>
      <c r="F11" t="s">
        <v>8263</v>
      </c>
      <c r="G11">
        <f>IF(F11="","",IF(COUNTIFS('Munition-Feuerwaffen'!$B$2:$B$35,F11,'Munition-Feuerwaffen'!$C$2:$C$35,E11)=0,"",SUMPRODUCT(('Munition-Feuerwaffen'!$B$2:$B$35=F11)*('Munition-Feuerwaffen'!$C$2:$C$35=E11)*'Munition-Feuerwaffen'!$D$2:$D$35)))</f>
        <v>0.72150666666666674</v>
      </c>
    </row>
    <row r="12" spans="1:11">
      <c r="A12" t="s">
        <v>8833</v>
      </c>
      <c r="B12" t="s">
        <v>1174</v>
      </c>
      <c r="C12" t="s">
        <v>8829</v>
      </c>
      <c r="D12" t="s">
        <v>8830</v>
      </c>
      <c r="E12">
        <v>9</v>
      </c>
      <c r="F12" t="s">
        <v>8265</v>
      </c>
      <c r="G12">
        <f>IF(F12="","",IF(COUNTIFS('Munition-Feuerwaffen'!$B$2:$B$35,F12,'Munition-Feuerwaffen'!$C$2:$C$35,E12)=0,"",SUMPRODUCT(('Munition-Feuerwaffen'!$B$2:$B$35=F12)*('Munition-Feuerwaffen'!$C$2:$C$35=E12)*'Munition-Feuerwaffen'!$D$2:$D$35)))</f>
        <v>0.86891680000000004</v>
      </c>
    </row>
    <row r="13" spans="1:11">
      <c r="A13" t="s">
        <v>8834</v>
      </c>
      <c r="B13" t="s">
        <v>1174</v>
      </c>
      <c r="C13" t="s">
        <v>8829</v>
      </c>
      <c r="D13" t="s">
        <v>8830</v>
      </c>
      <c r="E13">
        <v>10</v>
      </c>
      <c r="F13" t="s">
        <v>8265</v>
      </c>
      <c r="G13">
        <f>IF(F13="","",IF(COUNTIFS('Munition-Feuerwaffen'!$B$2:$B$35,F13,'Munition-Feuerwaffen'!$C$2:$C$35,E13)=0,"",SUMPRODUCT(('Munition-Feuerwaffen'!$B$2:$B$35=F13)*('Munition-Feuerwaffen'!$C$2:$C$35=E13)*'Munition-Feuerwaffen'!$D$2:$D$35)))</f>
        <v>0.91267519999999991</v>
      </c>
    </row>
    <row r="14" spans="1:11">
      <c r="A14" t="s">
        <v>8835</v>
      </c>
      <c r="B14" t="s">
        <v>1174</v>
      </c>
      <c r="C14" t="s">
        <v>8258</v>
      </c>
      <c r="D14" t="s">
        <v>8271</v>
      </c>
      <c r="E14">
        <v>15</v>
      </c>
      <c r="F14" t="s">
        <v>8259</v>
      </c>
      <c r="G14">
        <f>IF(F14="","",IF(COUNTIFS('Munition-Feuerwaffen'!$B$2:$B$35,F14,'Munition-Feuerwaffen'!$C$2:$C$35,E14)=0,"",SUMPRODUCT(('Munition-Feuerwaffen'!$B$2:$B$35=F14)*('Munition-Feuerwaffen'!$C$2:$C$35=E14)*'Munition-Feuerwaffen'!$D$2:$D$35)))</f>
        <v>0.38984400000000002</v>
      </c>
      <c r="H14" t="s">
        <v>8260</v>
      </c>
      <c r="I14">
        <f>IF(H14="","",IF(COUNTIFS('Munition-Feuerwaffen'!$B$2:$B$35,H14,'Munition-Feuerwaffen'!$C$2:$C$35,E14)=0,"",SUMPRODUCT(('Munition-Feuerwaffen'!$B$2:$B$35=H14)*('Munition-Feuerwaffen'!$C$2:$C$35=E14)*'Munition-Feuerwaffen'!$D$2:$D$35)))</f>
        <v>0.42782249999999999</v>
      </c>
      <c r="J14" t="s">
        <v>8261</v>
      </c>
    </row>
    <row r="15" spans="1:11">
      <c r="A15" t="s">
        <v>8836</v>
      </c>
      <c r="B15" t="s">
        <v>1174</v>
      </c>
      <c r="C15" t="s">
        <v>8829</v>
      </c>
      <c r="D15" t="s">
        <v>8830</v>
      </c>
      <c r="E15">
        <v>7</v>
      </c>
      <c r="F15" t="s">
        <v>8265</v>
      </c>
      <c r="G15">
        <f>IF(F15="","",IF(COUNTIFS('Munition-Feuerwaffen'!$B$2:$B$35,F15,'Munition-Feuerwaffen'!$C$2:$C$35,E15)=0,"",SUMPRODUCT(('Munition-Feuerwaffen'!$B$2:$B$35=F15)*('Munition-Feuerwaffen'!$C$2:$C$35=E15)*'Munition-Feuerwaffen'!$D$2:$D$35)))</f>
        <v>0.71878400000000009</v>
      </c>
    </row>
    <row r="16" spans="1:11">
      <c r="A16" t="s">
        <v>8837</v>
      </c>
      <c r="B16" t="s">
        <v>1176</v>
      </c>
      <c r="C16" t="s">
        <v>8258</v>
      </c>
      <c r="D16" t="s">
        <v>8271</v>
      </c>
      <c r="E16">
        <v>17</v>
      </c>
      <c r="F16" t="s">
        <v>8259</v>
      </c>
      <c r="G16">
        <f>IF(F16="","",IF(COUNTIFS('Munition-Feuerwaffen'!$B$2:$B$35,F16,'Munition-Feuerwaffen'!$C$2:$C$35,E16)=0,"",SUMPRODUCT(('Munition-Feuerwaffen'!$B$2:$B$35=F16)*('Munition-Feuerwaffen'!$C$2:$C$35=E16)*'Munition-Feuerwaffen'!$D$2:$D$35)))</f>
        <v>0.40513199999999999</v>
      </c>
      <c r="H16" t="s">
        <v>8260</v>
      </c>
      <c r="I16">
        <f>IF(H16="","",IF(COUNTIFS('Munition-Feuerwaffen'!$B$2:$B$35,H16,'Munition-Feuerwaffen'!$C$2:$C$35,E16)=0,"",SUMPRODUCT(('Munition-Feuerwaffen'!$B$2:$B$35=H16)*('Munition-Feuerwaffen'!$C$2:$C$35=E16)*'Munition-Feuerwaffen'!$D$2:$D$35)))</f>
        <v>0.44046750000000001</v>
      </c>
      <c r="J16" t="s">
        <v>8261</v>
      </c>
    </row>
    <row r="17" spans="1:10">
      <c r="A17" t="s">
        <v>8838</v>
      </c>
      <c r="B17" t="s">
        <v>1176</v>
      </c>
      <c r="C17" t="s">
        <v>8829</v>
      </c>
      <c r="D17" t="s">
        <v>8830</v>
      </c>
      <c r="E17">
        <v>11</v>
      </c>
      <c r="F17" t="s">
        <v>8265</v>
      </c>
      <c r="G17" t="str">
        <f>IF(F17="","",IF(COUNTIFS('Munition-Feuerwaffen'!$B$2:$B$35,F17,'Munition-Feuerwaffen'!$C$2:$C$35,E17)=0,"",SUMPRODUCT(('Munition-Feuerwaffen'!$B$2:$B$35=F17)*('Munition-Feuerwaffen'!$C$2:$C$35=E17)*'Munition-Feuerwaffen'!$D$2:$D$35)))</f>
        <v/>
      </c>
    </row>
    <row r="18" spans="1:10">
      <c r="A18" t="s">
        <v>8839</v>
      </c>
      <c r="B18" t="s">
        <v>1176</v>
      </c>
      <c r="C18" t="s">
        <v>8258</v>
      </c>
      <c r="D18" t="s">
        <v>8271</v>
      </c>
      <c r="E18">
        <v>17</v>
      </c>
      <c r="F18" t="s">
        <v>8259</v>
      </c>
      <c r="G18">
        <f>IF(F18="","",IF(COUNTIFS('Munition-Feuerwaffen'!$B$2:$B$35,F18,'Munition-Feuerwaffen'!$C$2:$C$35,E18)=0,"",SUMPRODUCT(('Munition-Feuerwaffen'!$B$2:$B$35=F18)*('Munition-Feuerwaffen'!$C$2:$C$35=E18)*'Munition-Feuerwaffen'!$D$2:$D$35)))</f>
        <v>0.40513199999999999</v>
      </c>
      <c r="H18" t="s">
        <v>8260</v>
      </c>
      <c r="I18">
        <f>IF(H18="","",IF(COUNTIFS('Munition-Feuerwaffen'!$B$2:$B$35,H18,'Munition-Feuerwaffen'!$C$2:$C$35,E18)=0,"",SUMPRODUCT(('Munition-Feuerwaffen'!$B$2:$B$35=H18)*('Munition-Feuerwaffen'!$C$2:$C$35=E18)*'Munition-Feuerwaffen'!$D$2:$D$35)))</f>
        <v>0.44046750000000001</v>
      </c>
      <c r="J18" t="s">
        <v>8261</v>
      </c>
    </row>
    <row r="19" spans="1:10">
      <c r="A19" t="s">
        <v>8840</v>
      </c>
      <c r="B19" t="s">
        <v>1176</v>
      </c>
      <c r="C19" t="s">
        <v>8829</v>
      </c>
      <c r="D19" t="s">
        <v>8830</v>
      </c>
      <c r="E19">
        <v>11</v>
      </c>
      <c r="F19" t="s">
        <v>8265</v>
      </c>
      <c r="G19" t="str">
        <f>IF(F19="","",IF(COUNTIFS('Munition-Feuerwaffen'!$B$2:$B$35,F19,'Munition-Feuerwaffen'!$C$2:$C$35,E19)=0,"",SUMPRODUCT(('Munition-Feuerwaffen'!$B$2:$B$35=F19)*('Munition-Feuerwaffen'!$C$2:$C$35=E19)*'Munition-Feuerwaffen'!$D$2:$D$35)))</f>
        <v/>
      </c>
    </row>
    <row r="20" spans="1:10">
      <c r="A20" t="s">
        <v>8841</v>
      </c>
      <c r="B20" t="s">
        <v>1176</v>
      </c>
      <c r="C20" t="s">
        <v>8829</v>
      </c>
      <c r="D20" t="s">
        <v>8830</v>
      </c>
      <c r="E20">
        <v>11</v>
      </c>
      <c r="F20" t="s">
        <v>8265</v>
      </c>
      <c r="G20" t="str">
        <f>IF(F20="","",IF(COUNTIFS('Munition-Feuerwaffen'!$B$2:$B$35,F20,'Munition-Feuerwaffen'!$C$2:$C$35,E20)=0,"",SUMPRODUCT(('Munition-Feuerwaffen'!$B$2:$B$35=F20)*('Munition-Feuerwaffen'!$C$2:$C$35=E20)*'Munition-Feuerwaffen'!$D$2:$D$35)))</f>
        <v/>
      </c>
    </row>
    <row r="21" spans="1:10">
      <c r="A21" t="s">
        <v>8842</v>
      </c>
      <c r="B21" t="s">
        <v>1176</v>
      </c>
      <c r="C21" t="s">
        <v>8258</v>
      </c>
      <c r="D21" t="s">
        <v>8271</v>
      </c>
      <c r="E21">
        <v>17</v>
      </c>
      <c r="F21" t="s">
        <v>8259</v>
      </c>
      <c r="G21">
        <f>IF(F21="","",IF(COUNTIFS('Munition-Feuerwaffen'!$B$2:$B$35,F21,'Munition-Feuerwaffen'!$C$2:$C$35,E21)=0,"",SUMPRODUCT(('Munition-Feuerwaffen'!$B$2:$B$35=F21)*('Munition-Feuerwaffen'!$C$2:$C$35=E21)*'Munition-Feuerwaffen'!$D$2:$D$35)))</f>
        <v>0.40513199999999999</v>
      </c>
      <c r="H21" t="s">
        <v>8260</v>
      </c>
      <c r="I21">
        <f>IF(H21="","",IF(COUNTIFS('Munition-Feuerwaffen'!$B$2:$B$35,H21,'Munition-Feuerwaffen'!$C$2:$C$35,E21)=0,"",SUMPRODUCT(('Munition-Feuerwaffen'!$B$2:$B$35=H21)*('Munition-Feuerwaffen'!$C$2:$C$35=E21)*'Munition-Feuerwaffen'!$D$2:$D$35)))</f>
        <v>0.44046750000000001</v>
      </c>
      <c r="J21" t="s">
        <v>8261</v>
      </c>
    </row>
    <row r="22" spans="1:10">
      <c r="A22" t="s">
        <v>8629</v>
      </c>
      <c r="B22" t="s">
        <v>1176</v>
      </c>
      <c r="C22" t="s">
        <v>8829</v>
      </c>
      <c r="D22" t="s">
        <v>8830</v>
      </c>
      <c r="E22">
        <v>8</v>
      </c>
      <c r="F22" t="s">
        <v>8265</v>
      </c>
      <c r="G22">
        <f>IF(F22="","",IF(COUNTIFS('Munition-Feuerwaffen'!$B$2:$B$35,F22,'Munition-Feuerwaffen'!$C$2:$C$35,E22)=0,"",SUMPRODUCT(('Munition-Feuerwaffen'!$B$2:$B$35=F22)*('Munition-Feuerwaffen'!$C$2:$C$35=E22)*'Munition-Feuerwaffen'!$D$2:$D$35)))</f>
        <v>0.82515840000000007</v>
      </c>
    </row>
    <row r="23" spans="1:10">
      <c r="A23" t="s">
        <v>8843</v>
      </c>
      <c r="B23" t="s">
        <v>1176</v>
      </c>
      <c r="C23" t="s">
        <v>8258</v>
      </c>
      <c r="D23" t="s">
        <v>8271</v>
      </c>
      <c r="E23">
        <v>14</v>
      </c>
      <c r="F23" t="s">
        <v>8259</v>
      </c>
      <c r="G23">
        <f>IF(F23="","",IF(COUNTIFS('Munition-Feuerwaffen'!$B$2:$B$35,F23,'Munition-Feuerwaffen'!$C$2:$C$35,E23)=0,"",SUMPRODUCT(('Munition-Feuerwaffen'!$B$2:$B$35=F23)*('Munition-Feuerwaffen'!$C$2:$C$35=E23)*'Munition-Feuerwaffen'!$D$2:$D$35)))</f>
        <v>0.38219999999999998</v>
      </c>
      <c r="H23" t="s">
        <v>8260</v>
      </c>
      <c r="I23">
        <f>IF(H23="","",IF(COUNTIFS('Munition-Feuerwaffen'!$B$2:$B$35,H23,'Munition-Feuerwaffen'!$C$2:$C$35,E23)=0,"",SUMPRODUCT(('Munition-Feuerwaffen'!$B$2:$B$35=H23)*('Munition-Feuerwaffen'!$C$2:$C$35=E23)*'Munition-Feuerwaffen'!$D$2:$D$35)))</f>
        <v>0.42149999999999999</v>
      </c>
      <c r="J23" t="s">
        <v>8261</v>
      </c>
    </row>
    <row r="24" spans="1:10">
      <c r="A24" t="s">
        <v>8844</v>
      </c>
      <c r="B24" t="s">
        <v>1176</v>
      </c>
      <c r="C24" t="s">
        <v>8829</v>
      </c>
      <c r="D24" t="s">
        <v>8830</v>
      </c>
      <c r="E24">
        <v>8</v>
      </c>
      <c r="F24" t="s">
        <v>8265</v>
      </c>
      <c r="G24">
        <f>IF(F24="","",IF(COUNTIFS('Munition-Feuerwaffen'!$B$2:$B$35,F24,'Munition-Feuerwaffen'!$C$2:$C$35,E24)=0,"",SUMPRODUCT(('Munition-Feuerwaffen'!$B$2:$B$35=F24)*('Munition-Feuerwaffen'!$C$2:$C$35=E24)*'Munition-Feuerwaffen'!$D$2:$D$35)))</f>
        <v>0.82515840000000007</v>
      </c>
    </row>
    <row r="25" spans="1:10">
      <c r="A25" t="s">
        <v>8845</v>
      </c>
      <c r="B25" t="s">
        <v>1176</v>
      </c>
      <c r="C25" t="s">
        <v>8258</v>
      </c>
      <c r="D25" t="s">
        <v>8271</v>
      </c>
      <c r="E25">
        <v>14</v>
      </c>
      <c r="F25" t="s">
        <v>8259</v>
      </c>
      <c r="G25">
        <f>IF(F25="","",IF(COUNTIFS('Munition-Feuerwaffen'!$B$2:$B$35,F25,'Munition-Feuerwaffen'!$C$2:$C$35,E25)=0,"",SUMPRODUCT(('Munition-Feuerwaffen'!$B$2:$B$35=F25)*('Munition-Feuerwaffen'!$C$2:$C$35=E25)*'Munition-Feuerwaffen'!$D$2:$D$35)))</f>
        <v>0.38219999999999998</v>
      </c>
      <c r="H25" t="s">
        <v>8260</v>
      </c>
      <c r="I25">
        <f>IF(H25="","",IF(COUNTIFS('Munition-Feuerwaffen'!$B$2:$B$35,H25,'Munition-Feuerwaffen'!$C$2:$C$35,E25)=0,"",SUMPRODUCT(('Munition-Feuerwaffen'!$B$2:$B$35=H25)*('Munition-Feuerwaffen'!$C$2:$C$35=E25)*'Munition-Feuerwaffen'!$D$2:$D$35)))</f>
        <v>0.42149999999999999</v>
      </c>
      <c r="J25" t="s">
        <v>8261</v>
      </c>
    </row>
    <row r="26" spans="1:10">
      <c r="A26" t="s">
        <v>8846</v>
      </c>
      <c r="B26" t="s">
        <v>1180</v>
      </c>
      <c r="C26" t="s">
        <v>8847</v>
      </c>
      <c r="D26" t="s">
        <v>8830</v>
      </c>
      <c r="E26">
        <v>10</v>
      </c>
      <c r="F26" t="s">
        <v>8265</v>
      </c>
      <c r="G26">
        <f>IF(F26="","",IF(COUNTIFS('Munition-Feuerwaffen'!$B$2:$B$35,F26,'Munition-Feuerwaffen'!$C$2:$C$35,E26)=0,"",SUMPRODUCT(('Munition-Feuerwaffen'!$B$2:$B$35=F26)*('Munition-Feuerwaffen'!$C$2:$C$35=E26)*'Munition-Feuerwaffen'!$D$2:$D$35)))</f>
        <v>0.91267519999999991</v>
      </c>
    </row>
    <row r="27" spans="1:10">
      <c r="A27" t="s">
        <v>8848</v>
      </c>
      <c r="B27" t="s">
        <v>1180</v>
      </c>
      <c r="C27" t="s">
        <v>8258</v>
      </c>
      <c r="D27" t="s">
        <v>8271</v>
      </c>
      <c r="E27">
        <v>19</v>
      </c>
      <c r="F27" t="s">
        <v>8259</v>
      </c>
      <c r="G27">
        <f>IF(F27="","",IF(COUNTIFS('Munition-Feuerwaffen'!$B$2:$B$35,F27,'Munition-Feuerwaffen'!$C$2:$C$35,E27)=0,"",SUMPRODUCT(('Munition-Feuerwaffen'!$B$2:$B$35=F27)*('Munition-Feuerwaffen'!$C$2:$C$35=E27)*'Munition-Feuerwaffen'!$D$2:$D$35)))</f>
        <v>0.42042000000000013</v>
      </c>
      <c r="H27" t="s">
        <v>8260</v>
      </c>
      <c r="I27">
        <f>IF(H27="","",IF(COUNTIFS('Munition-Feuerwaffen'!$B$2:$B$35,H27,'Munition-Feuerwaffen'!$C$2:$C$35,E27)=0,"",SUMPRODUCT(('Munition-Feuerwaffen'!$B$2:$B$35=H27)*('Munition-Feuerwaffen'!$C$2:$C$35=E27)*'Munition-Feuerwaffen'!$D$2:$D$35)))</f>
        <v>0.45311249999999997</v>
      </c>
      <c r="J27" t="s">
        <v>8261</v>
      </c>
    </row>
    <row r="28" spans="1:10">
      <c r="A28" t="s">
        <v>8849</v>
      </c>
      <c r="B28" t="s">
        <v>1180</v>
      </c>
      <c r="C28" t="s">
        <v>8829</v>
      </c>
      <c r="D28" t="s">
        <v>8830</v>
      </c>
      <c r="E28">
        <v>10</v>
      </c>
      <c r="F28" t="s">
        <v>8265</v>
      </c>
      <c r="G28">
        <f>IF(F28="","",IF(COUNTIFS('Munition-Feuerwaffen'!$B$2:$B$35,F28,'Munition-Feuerwaffen'!$C$2:$C$35,E28)=0,"",SUMPRODUCT(('Munition-Feuerwaffen'!$B$2:$B$35=F28)*('Munition-Feuerwaffen'!$C$2:$C$35=E28)*'Munition-Feuerwaffen'!$D$2:$D$35)))</f>
        <v>0.91267519999999991</v>
      </c>
    </row>
    <row r="29" spans="1:10">
      <c r="A29" t="s">
        <v>8850</v>
      </c>
      <c r="B29" t="s">
        <v>1180</v>
      </c>
      <c r="C29" t="s">
        <v>8258</v>
      </c>
      <c r="D29" t="s">
        <v>8271</v>
      </c>
      <c r="E29">
        <v>15</v>
      </c>
      <c r="F29" t="s">
        <v>8259</v>
      </c>
      <c r="G29">
        <f>IF(F29="","",IF(COUNTIFS('Munition-Feuerwaffen'!$B$2:$B$35,F29,'Munition-Feuerwaffen'!$C$2:$C$35,E29)=0,"",SUMPRODUCT(('Munition-Feuerwaffen'!$B$2:$B$35=F29)*('Munition-Feuerwaffen'!$C$2:$C$35=E29)*'Munition-Feuerwaffen'!$D$2:$D$35)))</f>
        <v>0.38984400000000002</v>
      </c>
      <c r="H29" t="s">
        <v>8260</v>
      </c>
      <c r="I29">
        <f>IF(H29="","",IF(COUNTIFS('Munition-Feuerwaffen'!$B$2:$B$35,H29,'Munition-Feuerwaffen'!$C$2:$C$35,E29)=0,"",SUMPRODUCT(('Munition-Feuerwaffen'!$B$2:$B$35=H29)*('Munition-Feuerwaffen'!$C$2:$C$35=E29)*'Munition-Feuerwaffen'!$D$2:$D$35)))</f>
        <v>0.42782249999999999</v>
      </c>
      <c r="J29" t="s">
        <v>8261</v>
      </c>
    </row>
    <row r="30" spans="1:10">
      <c r="A30" t="s">
        <v>8851</v>
      </c>
      <c r="B30" t="s">
        <v>1180</v>
      </c>
      <c r="C30" t="s">
        <v>8262</v>
      </c>
      <c r="D30" t="s">
        <v>8827</v>
      </c>
      <c r="E30">
        <v>16</v>
      </c>
      <c r="F30" t="s">
        <v>8263</v>
      </c>
      <c r="G30">
        <f>IF(F30="","",IF(COUNTIFS('Munition-Feuerwaffen'!$B$2:$B$35,F30,'Munition-Feuerwaffen'!$C$2:$C$35,E30)=0,"",SUMPRODUCT(('Munition-Feuerwaffen'!$B$2:$B$35=F30)*('Munition-Feuerwaffen'!$C$2:$C$35=E30)*'Munition-Feuerwaffen'!$D$2:$D$35)))</f>
        <v>0.68066666666666675</v>
      </c>
    </row>
    <row r="31" spans="1:10">
      <c r="A31" t="s">
        <v>8852</v>
      </c>
      <c r="B31" t="s">
        <v>1180</v>
      </c>
      <c r="C31" t="s">
        <v>8262</v>
      </c>
      <c r="D31" t="s">
        <v>8827</v>
      </c>
      <c r="E31">
        <v>16</v>
      </c>
      <c r="F31" t="s">
        <v>8263</v>
      </c>
      <c r="G31">
        <f>IF(F31="","",IF(COUNTIFS('Munition-Feuerwaffen'!$B$2:$B$35,F31,'Munition-Feuerwaffen'!$C$2:$C$35,E31)=0,"",SUMPRODUCT(('Munition-Feuerwaffen'!$B$2:$B$35=F31)*('Munition-Feuerwaffen'!$C$2:$C$35=E31)*'Munition-Feuerwaffen'!$D$2:$D$35)))</f>
        <v>0.68066666666666675</v>
      </c>
    </row>
    <row r="32" spans="1:10">
      <c r="A32" t="s">
        <v>8853</v>
      </c>
      <c r="B32" t="s">
        <v>1180</v>
      </c>
      <c r="C32" t="s">
        <v>8258</v>
      </c>
      <c r="D32" t="s">
        <v>8271</v>
      </c>
      <c r="E32">
        <v>16</v>
      </c>
      <c r="F32" t="s">
        <v>8259</v>
      </c>
      <c r="G32">
        <f>IF(F32="","",IF(COUNTIFS('Munition-Feuerwaffen'!$B$2:$B$35,F32,'Munition-Feuerwaffen'!$C$2:$C$35,E32)=0,"",SUMPRODUCT(('Munition-Feuerwaffen'!$B$2:$B$35=F32)*('Munition-Feuerwaffen'!$C$2:$C$35=E32)*'Munition-Feuerwaffen'!$D$2:$D$35)))</f>
        <v>0.39748800000000012</v>
      </c>
      <c r="H32" t="s">
        <v>8260</v>
      </c>
      <c r="I32">
        <f>IF(H32="","",IF(COUNTIFS('Munition-Feuerwaffen'!$B$2:$B$35,H32,'Munition-Feuerwaffen'!$C$2:$C$35,E32)=0,"",SUMPRODUCT(('Munition-Feuerwaffen'!$B$2:$B$35=H32)*('Munition-Feuerwaffen'!$C$2:$C$35=E32)*'Munition-Feuerwaffen'!$D$2:$D$35)))</f>
        <v>0.43414500000000011</v>
      </c>
      <c r="J32" t="s">
        <v>8261</v>
      </c>
    </row>
    <row r="33" spans="1:11">
      <c r="A33" t="s">
        <v>8854</v>
      </c>
      <c r="B33" t="s">
        <v>1180</v>
      </c>
      <c r="C33" t="s">
        <v>8258</v>
      </c>
      <c r="D33" t="s">
        <v>8271</v>
      </c>
      <c r="E33">
        <v>16</v>
      </c>
      <c r="F33" t="s">
        <v>8259</v>
      </c>
      <c r="G33">
        <f>IF(F33="","",IF(COUNTIFS('Munition-Feuerwaffen'!$B$2:$B$35,F33,'Munition-Feuerwaffen'!$C$2:$C$35,E33)=0,"",SUMPRODUCT(('Munition-Feuerwaffen'!$B$2:$B$35=F33)*('Munition-Feuerwaffen'!$C$2:$C$35=E33)*'Munition-Feuerwaffen'!$D$2:$D$35)))</f>
        <v>0.39748800000000012</v>
      </c>
      <c r="H33" t="s">
        <v>8260</v>
      </c>
      <c r="I33">
        <f>IF(H33="","",IF(COUNTIFS('Munition-Feuerwaffen'!$B$2:$B$35,H33,'Munition-Feuerwaffen'!$C$2:$C$35,E33)=0,"",SUMPRODUCT(('Munition-Feuerwaffen'!$B$2:$B$35=H33)*('Munition-Feuerwaffen'!$C$2:$C$35=E33)*'Munition-Feuerwaffen'!$D$2:$D$35)))</f>
        <v>0.43414500000000011</v>
      </c>
      <c r="J33" t="s">
        <v>8261</v>
      </c>
    </row>
    <row r="34" spans="1:11">
      <c r="A34" t="s">
        <v>8855</v>
      </c>
      <c r="B34" t="s">
        <v>1180</v>
      </c>
      <c r="C34" t="s">
        <v>8829</v>
      </c>
      <c r="D34" t="s">
        <v>8830</v>
      </c>
      <c r="E34">
        <v>10</v>
      </c>
      <c r="F34" t="s">
        <v>8265</v>
      </c>
      <c r="G34">
        <f>IF(F34="","",IF(COUNTIFS('Munition-Feuerwaffen'!$B$2:$B$35,F34,'Munition-Feuerwaffen'!$C$2:$C$35,E34)=0,"",SUMPRODUCT(('Munition-Feuerwaffen'!$B$2:$B$35=F34)*('Munition-Feuerwaffen'!$C$2:$C$35=E34)*'Munition-Feuerwaffen'!$D$2:$D$35)))</f>
        <v>0.91267519999999991</v>
      </c>
    </row>
    <row r="35" spans="1:11">
      <c r="A35" t="s">
        <v>8856</v>
      </c>
      <c r="B35" t="s">
        <v>1180</v>
      </c>
      <c r="C35" t="s">
        <v>8258</v>
      </c>
      <c r="D35" t="s">
        <v>8271</v>
      </c>
      <c r="E35">
        <v>18</v>
      </c>
      <c r="F35" t="s">
        <v>8259</v>
      </c>
      <c r="G35">
        <f>IF(F35="","",IF(COUNTIFS('Munition-Feuerwaffen'!$B$2:$B$35,F35,'Munition-Feuerwaffen'!$C$2:$C$35,E35)=0,"",SUMPRODUCT(('Munition-Feuerwaffen'!$B$2:$B$35=F35)*('Munition-Feuerwaffen'!$C$2:$C$35=E35)*'Munition-Feuerwaffen'!$D$2:$D$35)))</f>
        <v>0.41277600000000009</v>
      </c>
      <c r="H35" t="s">
        <v>8260</v>
      </c>
      <c r="I35">
        <f>IF(H35="","",IF(COUNTIFS('Munition-Feuerwaffen'!$B$2:$B$35,H35,'Munition-Feuerwaffen'!$C$2:$C$35,E35)=0,"",SUMPRODUCT(('Munition-Feuerwaffen'!$B$2:$B$35=H35)*('Munition-Feuerwaffen'!$C$2:$C$35=E35)*'Munition-Feuerwaffen'!$D$2:$D$35)))</f>
        <v>0.44679000000000008</v>
      </c>
      <c r="J35" t="s">
        <v>8261</v>
      </c>
    </row>
    <row r="36" spans="1:11">
      <c r="A36" t="s">
        <v>8857</v>
      </c>
      <c r="B36" t="s">
        <v>1180</v>
      </c>
      <c r="C36" t="s">
        <v>8847</v>
      </c>
      <c r="D36" t="s">
        <v>8830</v>
      </c>
      <c r="E36">
        <v>11</v>
      </c>
      <c r="F36" t="s">
        <v>8265</v>
      </c>
      <c r="G36" t="str">
        <f>IF(F36="","",IF(COUNTIFS('Munition-Feuerwaffen'!$B$2:$B$35,F36,'Munition-Feuerwaffen'!$C$2:$C$35,E36)=0,"",SUMPRODUCT(('Munition-Feuerwaffen'!$B$2:$B$35=F36)*('Munition-Feuerwaffen'!$C$2:$C$35=E36)*'Munition-Feuerwaffen'!$D$2:$D$35)))</f>
        <v/>
      </c>
    </row>
    <row r="37" spans="1:11">
      <c r="A37" t="s">
        <v>8858</v>
      </c>
      <c r="B37" t="s">
        <v>1180</v>
      </c>
      <c r="C37" t="s">
        <v>8829</v>
      </c>
      <c r="D37" t="s">
        <v>8830</v>
      </c>
      <c r="E37">
        <v>10</v>
      </c>
      <c r="F37" t="s">
        <v>8265</v>
      </c>
      <c r="G37">
        <f>IF(F37="","",IF(COUNTIFS('Munition-Feuerwaffen'!$B$2:$B$35,F37,'Munition-Feuerwaffen'!$C$2:$C$35,E37)=0,"",SUMPRODUCT(('Munition-Feuerwaffen'!$B$2:$B$35=F37)*('Munition-Feuerwaffen'!$C$2:$C$35=E37)*'Munition-Feuerwaffen'!$D$2:$D$35)))</f>
        <v>0.91267519999999991</v>
      </c>
    </row>
    <row r="38" spans="1:11">
      <c r="A38" t="s">
        <v>8859</v>
      </c>
      <c r="B38" t="s">
        <v>1180</v>
      </c>
      <c r="C38" t="s">
        <v>8258</v>
      </c>
      <c r="D38" t="s">
        <v>8271</v>
      </c>
      <c r="E38">
        <v>20</v>
      </c>
      <c r="F38" t="s">
        <v>8259</v>
      </c>
      <c r="G38">
        <f>IF(F38="","",IF(COUNTIFS('Munition-Feuerwaffen'!$B$2:$B$35,F38,'Munition-Feuerwaffen'!$C$2:$C$35,E38)=0,"",SUMPRODUCT(('Munition-Feuerwaffen'!$B$2:$B$35=F38)*('Munition-Feuerwaffen'!$C$2:$C$35=E38)*'Munition-Feuerwaffen'!$D$2:$D$35)))</f>
        <v>0.42806400000000011</v>
      </c>
      <c r="H38" t="s">
        <v>8260</v>
      </c>
      <c r="I38">
        <f>IF(H38="","",IF(COUNTIFS('Munition-Feuerwaffen'!$B$2:$B$35,H38,'Munition-Feuerwaffen'!$C$2:$C$35,E38)=0,"",SUMPRODUCT(('Munition-Feuerwaffen'!$B$2:$B$35=H38)*('Munition-Feuerwaffen'!$C$2:$C$35=E38)*'Munition-Feuerwaffen'!$D$2:$D$35)))</f>
        <v>0.45943500000000009</v>
      </c>
      <c r="J38" t="s">
        <v>8261</v>
      </c>
    </row>
    <row r="39" spans="1:11">
      <c r="A39" t="s">
        <v>8860</v>
      </c>
      <c r="B39" t="s">
        <v>1180</v>
      </c>
      <c r="C39" t="s">
        <v>8829</v>
      </c>
      <c r="D39" t="s">
        <v>8830</v>
      </c>
      <c r="E39">
        <v>9</v>
      </c>
      <c r="F39" t="s">
        <v>8265</v>
      </c>
      <c r="G39">
        <f>IF(F39="","",IF(COUNTIFS('Munition-Feuerwaffen'!$B$2:$B$35,F39,'Munition-Feuerwaffen'!$C$2:$C$35,E39)=0,"",SUMPRODUCT(('Munition-Feuerwaffen'!$B$2:$B$35=F39)*('Munition-Feuerwaffen'!$C$2:$C$35=E39)*'Munition-Feuerwaffen'!$D$2:$D$35)))</f>
        <v>0.86891680000000004</v>
      </c>
    </row>
    <row r="40" spans="1:11">
      <c r="A40" t="s">
        <v>8861</v>
      </c>
      <c r="B40" t="s">
        <v>1180</v>
      </c>
      <c r="C40" t="s">
        <v>8258</v>
      </c>
      <c r="D40" t="s">
        <v>8271</v>
      </c>
      <c r="E40">
        <v>16</v>
      </c>
      <c r="F40" t="s">
        <v>8259</v>
      </c>
      <c r="G40">
        <f>IF(F40="","",IF(COUNTIFS('Munition-Feuerwaffen'!$B$2:$B$35,F40,'Munition-Feuerwaffen'!$C$2:$C$35,E40)=0,"",SUMPRODUCT(('Munition-Feuerwaffen'!$B$2:$B$35=F40)*('Munition-Feuerwaffen'!$C$2:$C$35=E40)*'Munition-Feuerwaffen'!$D$2:$D$35)))</f>
        <v>0.39748800000000012</v>
      </c>
      <c r="H40" t="s">
        <v>8260</v>
      </c>
      <c r="I40">
        <f>IF(H40="","",IF(COUNTIFS('Munition-Feuerwaffen'!$B$2:$B$35,H40,'Munition-Feuerwaffen'!$C$2:$C$35,E40)=0,"",SUMPRODUCT(('Munition-Feuerwaffen'!$B$2:$B$35=H40)*('Munition-Feuerwaffen'!$C$2:$C$35=E40)*'Munition-Feuerwaffen'!$D$2:$D$35)))</f>
        <v>0.43414500000000011</v>
      </c>
      <c r="J40" t="s">
        <v>8261</v>
      </c>
    </row>
    <row r="41" spans="1:11">
      <c r="A41" t="s">
        <v>8862</v>
      </c>
      <c r="B41" t="s">
        <v>1180</v>
      </c>
      <c r="C41" t="s">
        <v>8258</v>
      </c>
      <c r="D41" t="s">
        <v>8267</v>
      </c>
      <c r="E41">
        <v>16</v>
      </c>
      <c r="G41" t="str">
        <f>IF(F41="","",IF(COUNTIFS('Munition-Feuerwaffen'!$B$2:$B$35,F41,'Munition-Feuerwaffen'!$C$2:$C$35,E41)=0,"",SUMPRODUCT(('Munition-Feuerwaffen'!$B$2:$B$35=F41)*('Munition-Feuerwaffen'!$C$2:$C$35=E41)*'Munition-Feuerwaffen'!$D$2:$D$35)))</f>
        <v/>
      </c>
      <c r="K41" t="s">
        <v>8863</v>
      </c>
    </row>
    <row r="42" spans="1:11">
      <c r="A42" t="s">
        <v>8864</v>
      </c>
      <c r="B42" t="s">
        <v>1180</v>
      </c>
      <c r="C42" t="s">
        <v>8847</v>
      </c>
      <c r="D42" t="s">
        <v>8830</v>
      </c>
      <c r="E42">
        <v>10</v>
      </c>
      <c r="F42" t="s">
        <v>8265</v>
      </c>
      <c r="G42">
        <f>IF(F42="","",IF(COUNTIFS('Munition-Feuerwaffen'!$B$2:$B$35,F42,'Munition-Feuerwaffen'!$C$2:$C$35,E42)=0,"",SUMPRODUCT(('Munition-Feuerwaffen'!$B$2:$B$35=F42)*('Munition-Feuerwaffen'!$C$2:$C$35=E42)*'Munition-Feuerwaffen'!$D$2:$D$35)))</f>
        <v>0.91267519999999991</v>
      </c>
    </row>
    <row r="43" spans="1:11">
      <c r="A43" t="s">
        <v>8865</v>
      </c>
      <c r="B43" t="s">
        <v>1180</v>
      </c>
      <c r="C43" t="s">
        <v>8258</v>
      </c>
      <c r="D43" t="s">
        <v>8271</v>
      </c>
      <c r="E43">
        <v>16</v>
      </c>
      <c r="F43" t="s">
        <v>8259</v>
      </c>
      <c r="G43">
        <f>IF(F43="","",IF(COUNTIFS('Munition-Feuerwaffen'!$B$2:$B$35,F43,'Munition-Feuerwaffen'!$C$2:$C$35,E43)=0,"",SUMPRODUCT(('Munition-Feuerwaffen'!$B$2:$B$35=F43)*('Munition-Feuerwaffen'!$C$2:$C$35=E43)*'Munition-Feuerwaffen'!$D$2:$D$35)))</f>
        <v>0.39748800000000012</v>
      </c>
      <c r="H43" t="s">
        <v>8260</v>
      </c>
      <c r="I43">
        <f>IF(H43="","",IF(COUNTIFS('Munition-Feuerwaffen'!$B$2:$B$35,H43,'Munition-Feuerwaffen'!$C$2:$C$35,E43)=0,"",SUMPRODUCT(('Munition-Feuerwaffen'!$B$2:$B$35=H43)*('Munition-Feuerwaffen'!$C$2:$C$35=E43)*'Munition-Feuerwaffen'!$D$2:$D$35)))</f>
        <v>0.43414500000000011</v>
      </c>
      <c r="J43" t="s">
        <v>8261</v>
      </c>
    </row>
    <row r="44" spans="1:11">
      <c r="A44" t="s">
        <v>8866</v>
      </c>
      <c r="B44" t="s">
        <v>1180</v>
      </c>
      <c r="C44" t="s">
        <v>8258</v>
      </c>
      <c r="D44" t="s">
        <v>8271</v>
      </c>
      <c r="E44">
        <v>17</v>
      </c>
      <c r="F44" t="s">
        <v>8259</v>
      </c>
      <c r="G44">
        <f>IF(F44="","",IF(COUNTIFS('Munition-Feuerwaffen'!$B$2:$B$35,F44,'Munition-Feuerwaffen'!$C$2:$C$35,E44)=0,"",SUMPRODUCT(('Munition-Feuerwaffen'!$B$2:$B$35=F44)*('Munition-Feuerwaffen'!$C$2:$C$35=E44)*'Munition-Feuerwaffen'!$D$2:$D$35)))</f>
        <v>0.40513199999999999</v>
      </c>
      <c r="H44" t="s">
        <v>8260</v>
      </c>
      <c r="I44">
        <f>IF(H44="","",IF(COUNTIFS('Munition-Feuerwaffen'!$B$2:$B$35,H44,'Munition-Feuerwaffen'!$C$2:$C$35,E44)=0,"",SUMPRODUCT(('Munition-Feuerwaffen'!$B$2:$B$35=H44)*('Munition-Feuerwaffen'!$C$2:$C$35=E44)*'Munition-Feuerwaffen'!$D$2:$D$35)))</f>
        <v>0.44046750000000001</v>
      </c>
      <c r="J44" t="s">
        <v>8261</v>
      </c>
    </row>
    <row r="45" spans="1:11">
      <c r="A45" t="s">
        <v>8867</v>
      </c>
      <c r="B45" t="s">
        <v>1180</v>
      </c>
      <c r="C45" t="s">
        <v>8829</v>
      </c>
      <c r="D45" t="s">
        <v>8830</v>
      </c>
      <c r="E45">
        <v>7</v>
      </c>
      <c r="F45" t="s">
        <v>8265</v>
      </c>
      <c r="G45">
        <f>IF(F45="","",IF(COUNTIFS('Munition-Feuerwaffen'!$B$2:$B$35,F45,'Munition-Feuerwaffen'!$C$2:$C$35,E45)=0,"",SUMPRODUCT(('Munition-Feuerwaffen'!$B$2:$B$35=F45)*('Munition-Feuerwaffen'!$C$2:$C$35=E45)*'Munition-Feuerwaffen'!$D$2:$D$35)))</f>
        <v>0.71878400000000009</v>
      </c>
    </row>
    <row r="46" spans="1:11">
      <c r="A46" t="s">
        <v>8868</v>
      </c>
      <c r="B46" t="s">
        <v>1180</v>
      </c>
      <c r="C46" t="s">
        <v>8258</v>
      </c>
      <c r="D46" t="s">
        <v>8271</v>
      </c>
      <c r="E46">
        <v>13</v>
      </c>
      <c r="F46" t="s">
        <v>8259</v>
      </c>
      <c r="G46">
        <f>IF(F46="","",IF(COUNTIFS('Munition-Feuerwaffen'!$B$2:$B$35,F46,'Munition-Feuerwaffen'!$C$2:$C$35,E46)=0,"",SUMPRODUCT(('Munition-Feuerwaffen'!$B$2:$B$35=F46)*('Munition-Feuerwaffen'!$C$2:$C$35=E46)*'Munition-Feuerwaffen'!$D$2:$D$35)))</f>
        <v>0.37455600000000011</v>
      </c>
      <c r="H46" t="s">
        <v>8260</v>
      </c>
      <c r="I46">
        <f>IF(H46="","",IF(COUNTIFS('Munition-Feuerwaffen'!$B$2:$B$35,H46,'Munition-Feuerwaffen'!$C$2:$C$35,E46)=0,"",SUMPRODUCT(('Munition-Feuerwaffen'!$B$2:$B$35=H46)*('Munition-Feuerwaffen'!$C$2:$C$35=E46)*'Munition-Feuerwaffen'!$D$2:$D$35)))</f>
        <v>0.41517749999999998</v>
      </c>
      <c r="J46" t="s">
        <v>8261</v>
      </c>
    </row>
    <row r="47" spans="1:11">
      <c r="A47" t="s">
        <v>8869</v>
      </c>
      <c r="B47" t="s">
        <v>1180</v>
      </c>
      <c r="C47" t="s">
        <v>8258</v>
      </c>
      <c r="D47" t="s">
        <v>8271</v>
      </c>
      <c r="E47">
        <v>16</v>
      </c>
      <c r="F47" t="s">
        <v>8259</v>
      </c>
      <c r="G47">
        <f>IF(F47="","",IF(COUNTIFS('Munition-Feuerwaffen'!$B$2:$B$35,F47,'Munition-Feuerwaffen'!$C$2:$C$35,E47)=0,"",SUMPRODUCT(('Munition-Feuerwaffen'!$B$2:$B$35=F47)*('Munition-Feuerwaffen'!$C$2:$C$35=E47)*'Munition-Feuerwaffen'!$D$2:$D$35)))</f>
        <v>0.39748800000000012</v>
      </c>
      <c r="H47" t="s">
        <v>8260</v>
      </c>
      <c r="I47">
        <f>IF(H47="","",IF(COUNTIFS('Munition-Feuerwaffen'!$B$2:$B$35,H47,'Munition-Feuerwaffen'!$C$2:$C$35,E47)=0,"",SUMPRODUCT(('Munition-Feuerwaffen'!$B$2:$B$35=H47)*('Munition-Feuerwaffen'!$C$2:$C$35=E47)*'Munition-Feuerwaffen'!$D$2:$D$35)))</f>
        <v>0.43414500000000011</v>
      </c>
      <c r="J47" t="s">
        <v>8261</v>
      </c>
    </row>
    <row r="48" spans="1:11">
      <c r="A48" t="s">
        <v>8870</v>
      </c>
      <c r="B48" t="s">
        <v>1180</v>
      </c>
      <c r="C48" t="s">
        <v>8258</v>
      </c>
      <c r="D48" t="s">
        <v>8271</v>
      </c>
      <c r="E48">
        <v>12</v>
      </c>
      <c r="F48" t="s">
        <v>8259</v>
      </c>
      <c r="G48">
        <f>IF(F48="","",IF(COUNTIFS('Munition-Feuerwaffen'!$B$2:$B$35,F48,'Munition-Feuerwaffen'!$C$2:$C$35,E48)=0,"",SUMPRODUCT(('Munition-Feuerwaffen'!$B$2:$B$35=F48)*('Munition-Feuerwaffen'!$C$2:$C$35=E48)*'Munition-Feuerwaffen'!$D$2:$D$35)))</f>
        <v>0.36691200000000002</v>
      </c>
      <c r="H48" t="s">
        <v>8260</v>
      </c>
      <c r="I48">
        <f>IF(H48="","",IF(COUNTIFS('Munition-Feuerwaffen'!$B$2:$B$35,H48,'Munition-Feuerwaffen'!$C$2:$C$35,E48)=0,"",SUMPRODUCT(('Munition-Feuerwaffen'!$B$2:$B$35=H48)*('Munition-Feuerwaffen'!$C$2:$C$35=E48)*'Munition-Feuerwaffen'!$D$2:$D$35)))</f>
        <v>0.40885500000000002</v>
      </c>
      <c r="J48" t="s">
        <v>8261</v>
      </c>
    </row>
    <row r="49" spans="1:11">
      <c r="A49" t="s">
        <v>8871</v>
      </c>
      <c r="B49" t="s">
        <v>1180</v>
      </c>
      <c r="C49" t="s">
        <v>8829</v>
      </c>
      <c r="D49" t="s">
        <v>8830</v>
      </c>
      <c r="E49">
        <v>6</v>
      </c>
      <c r="F49" t="s">
        <v>8265</v>
      </c>
      <c r="G49">
        <f>IF(F49="","",IF(COUNTIFS('Munition-Feuerwaffen'!$B$2:$B$35,F49,'Munition-Feuerwaffen'!$C$2:$C$35,E49)=0,"",SUMPRODUCT(('Munition-Feuerwaffen'!$B$2:$B$35=F49)*('Munition-Feuerwaffen'!$C$2:$C$35=E49)*'Munition-Feuerwaffen'!$D$2:$D$35)))</f>
        <v>0.44510400000000011</v>
      </c>
      <c r="K49" t="s">
        <v>8872</v>
      </c>
    </row>
    <row r="50" spans="1:11">
      <c r="A50" t="s">
        <v>8873</v>
      </c>
      <c r="B50" t="s">
        <v>1180</v>
      </c>
      <c r="C50" t="s">
        <v>8829</v>
      </c>
      <c r="D50" t="s">
        <v>8830</v>
      </c>
      <c r="E50">
        <v>5</v>
      </c>
      <c r="F50" t="s">
        <v>8265</v>
      </c>
      <c r="G50">
        <f>IF(F50="","",IF(COUNTIFS('Munition-Feuerwaffen'!$B$2:$B$35,F50,'Munition-Feuerwaffen'!$C$2:$C$35,E50)=0,"",SUMPRODUCT(('Munition-Feuerwaffen'!$B$2:$B$35=F50)*('Munition-Feuerwaffen'!$C$2:$C$35=E50)*'Munition-Feuerwaffen'!$D$2:$D$35)))</f>
        <v>0.40360320000000011</v>
      </c>
      <c r="K50" t="s">
        <v>8874</v>
      </c>
    </row>
    <row r="51" spans="1:11">
      <c r="A51" t="s">
        <v>8875</v>
      </c>
      <c r="B51" t="s">
        <v>1180</v>
      </c>
      <c r="C51" t="s">
        <v>8258</v>
      </c>
      <c r="D51" t="s">
        <v>8271</v>
      </c>
      <c r="E51">
        <v>12</v>
      </c>
      <c r="F51" t="s">
        <v>8259</v>
      </c>
      <c r="G51">
        <f>IF(F51="","",IF(COUNTIFS('Munition-Feuerwaffen'!$B$2:$B$35,F51,'Munition-Feuerwaffen'!$C$2:$C$35,E51)=0,"",SUMPRODUCT(('Munition-Feuerwaffen'!$B$2:$B$35=F51)*('Munition-Feuerwaffen'!$C$2:$C$35=E51)*'Munition-Feuerwaffen'!$D$2:$D$35)))</f>
        <v>0.36691200000000002</v>
      </c>
      <c r="H51" t="s">
        <v>8260</v>
      </c>
      <c r="I51">
        <f>IF(H51="","",IF(COUNTIFS('Munition-Feuerwaffen'!$B$2:$B$35,H51,'Munition-Feuerwaffen'!$C$2:$C$35,E51)=0,"",SUMPRODUCT(('Munition-Feuerwaffen'!$B$2:$B$35=H51)*('Munition-Feuerwaffen'!$C$2:$C$35=E51)*'Munition-Feuerwaffen'!$D$2:$D$35)))</f>
        <v>0.40885500000000002</v>
      </c>
      <c r="J51" t="s">
        <v>8261</v>
      </c>
    </row>
    <row r="52" spans="1:11">
      <c r="A52" t="s">
        <v>8876</v>
      </c>
      <c r="B52" t="s">
        <v>1180</v>
      </c>
      <c r="C52" t="s">
        <v>8258</v>
      </c>
      <c r="D52" t="s">
        <v>8271</v>
      </c>
      <c r="E52">
        <v>13</v>
      </c>
      <c r="F52" t="s">
        <v>8259</v>
      </c>
      <c r="G52">
        <f>IF(F52="","",IF(COUNTIFS('Munition-Feuerwaffen'!$B$2:$B$35,F52,'Munition-Feuerwaffen'!$C$2:$C$35,E52)=0,"",SUMPRODUCT(('Munition-Feuerwaffen'!$B$2:$B$35=F52)*('Munition-Feuerwaffen'!$C$2:$C$35=E52)*'Munition-Feuerwaffen'!$D$2:$D$35)))</f>
        <v>0.37455600000000011</v>
      </c>
      <c r="H52" t="s">
        <v>8260</v>
      </c>
      <c r="I52">
        <f>IF(H52="","",IF(COUNTIFS('Munition-Feuerwaffen'!$B$2:$B$35,H52,'Munition-Feuerwaffen'!$C$2:$C$35,E52)=0,"",SUMPRODUCT(('Munition-Feuerwaffen'!$B$2:$B$35=H52)*('Munition-Feuerwaffen'!$C$2:$C$35=E52)*'Munition-Feuerwaffen'!$D$2:$D$35)))</f>
        <v>0.41517749999999998</v>
      </c>
      <c r="J52" t="s">
        <v>8261</v>
      </c>
    </row>
    <row r="53" spans="1:11">
      <c r="A53" t="s">
        <v>8877</v>
      </c>
      <c r="B53" t="s">
        <v>1180</v>
      </c>
      <c r="C53" t="s">
        <v>8258</v>
      </c>
      <c r="D53" t="s">
        <v>8271</v>
      </c>
      <c r="E53">
        <v>13</v>
      </c>
      <c r="F53" t="s">
        <v>8259</v>
      </c>
      <c r="G53">
        <f>IF(F53="","",IF(COUNTIFS('Munition-Feuerwaffen'!$B$2:$B$35,F53,'Munition-Feuerwaffen'!$C$2:$C$35,E53)=0,"",SUMPRODUCT(('Munition-Feuerwaffen'!$B$2:$B$35=F53)*('Munition-Feuerwaffen'!$C$2:$C$35=E53)*'Munition-Feuerwaffen'!$D$2:$D$35)))</f>
        <v>0.37455600000000011</v>
      </c>
      <c r="H53" t="s">
        <v>8260</v>
      </c>
      <c r="I53">
        <f>IF(H53="","",IF(COUNTIFS('Munition-Feuerwaffen'!$B$2:$B$35,H53,'Munition-Feuerwaffen'!$C$2:$C$35,E53)=0,"",SUMPRODUCT(('Munition-Feuerwaffen'!$B$2:$B$35=H53)*('Munition-Feuerwaffen'!$C$2:$C$35=E53)*'Munition-Feuerwaffen'!$D$2:$D$35)))</f>
        <v>0.41517749999999998</v>
      </c>
      <c r="J53" t="s">
        <v>8261</v>
      </c>
    </row>
    <row r="54" spans="1:11">
      <c r="A54" t="s">
        <v>8878</v>
      </c>
      <c r="B54" t="s">
        <v>1180</v>
      </c>
      <c r="C54" t="s">
        <v>8258</v>
      </c>
      <c r="D54" t="s">
        <v>8271</v>
      </c>
      <c r="E54">
        <v>13</v>
      </c>
      <c r="F54" t="s">
        <v>8259</v>
      </c>
      <c r="G54">
        <f>IF(F54="","",IF(COUNTIFS('Munition-Feuerwaffen'!$B$2:$B$35,F54,'Munition-Feuerwaffen'!$C$2:$C$35,E54)=0,"",SUMPRODUCT(('Munition-Feuerwaffen'!$B$2:$B$35=F54)*('Munition-Feuerwaffen'!$C$2:$C$35=E54)*'Munition-Feuerwaffen'!$D$2:$D$35)))</f>
        <v>0.37455600000000011</v>
      </c>
      <c r="H54" t="s">
        <v>8260</v>
      </c>
      <c r="I54">
        <f>IF(H54="","",IF(COUNTIFS('Munition-Feuerwaffen'!$B$2:$B$35,H54,'Munition-Feuerwaffen'!$C$2:$C$35,E54)=0,"",SUMPRODUCT(('Munition-Feuerwaffen'!$B$2:$B$35=H54)*('Munition-Feuerwaffen'!$C$2:$C$35=E54)*'Munition-Feuerwaffen'!$D$2:$D$35)))</f>
        <v>0.41517749999999998</v>
      </c>
      <c r="J54" t="s">
        <v>8261</v>
      </c>
    </row>
    <row r="55" spans="1:11">
      <c r="A55" t="s">
        <v>8879</v>
      </c>
      <c r="B55" t="s">
        <v>1180</v>
      </c>
      <c r="C55" t="s">
        <v>8829</v>
      </c>
      <c r="D55" t="s">
        <v>8830</v>
      </c>
      <c r="E55">
        <v>7</v>
      </c>
      <c r="F55" t="s">
        <v>8265</v>
      </c>
      <c r="G55">
        <f>IF(F55="","",IF(COUNTIFS('Munition-Feuerwaffen'!$B$2:$B$35,F55,'Munition-Feuerwaffen'!$C$2:$C$35,E55)=0,"",SUMPRODUCT(('Munition-Feuerwaffen'!$B$2:$B$35=F55)*('Munition-Feuerwaffen'!$C$2:$C$35=E55)*'Munition-Feuerwaffen'!$D$2:$D$35)))</f>
        <v>0.71878400000000009</v>
      </c>
    </row>
    <row r="56" spans="1:11">
      <c r="A56" t="s">
        <v>8880</v>
      </c>
      <c r="B56" t="s">
        <v>1200</v>
      </c>
      <c r="C56" t="s">
        <v>8258</v>
      </c>
      <c r="D56" t="s">
        <v>8271</v>
      </c>
      <c r="E56">
        <v>21</v>
      </c>
      <c r="F56" t="s">
        <v>8259</v>
      </c>
      <c r="G56">
        <f>IF(F56="","",IF(COUNTIFS('Munition-Feuerwaffen'!$B$2:$B$35,F56,'Munition-Feuerwaffen'!$C$2:$C$35,E56)=0,"",SUMPRODUCT(('Munition-Feuerwaffen'!$B$2:$B$35=F56)*('Munition-Feuerwaffen'!$C$2:$C$35=E56)*'Munition-Feuerwaffen'!$D$2:$D$35)))</f>
        <v>0.43570799999999998</v>
      </c>
      <c r="H56" t="s">
        <v>8260</v>
      </c>
      <c r="I56">
        <f>IF(H56="","",IF(COUNTIFS('Munition-Feuerwaffen'!$B$2:$B$35,H56,'Munition-Feuerwaffen'!$C$2:$C$35,E56)=0,"",SUMPRODUCT(('Munition-Feuerwaffen'!$B$2:$B$35=H56)*('Munition-Feuerwaffen'!$C$2:$C$35=E56)*'Munition-Feuerwaffen'!$D$2:$D$35)))</f>
        <v>0.46575749999999999</v>
      </c>
      <c r="J56" t="s">
        <v>8261</v>
      </c>
    </row>
    <row r="57" spans="1:11">
      <c r="A57" t="s">
        <v>8881</v>
      </c>
      <c r="B57" t="s">
        <v>1200</v>
      </c>
      <c r="C57" t="s">
        <v>8258</v>
      </c>
      <c r="D57" t="s">
        <v>8271</v>
      </c>
      <c r="E57">
        <v>22</v>
      </c>
      <c r="F57" t="s">
        <v>8259</v>
      </c>
      <c r="G57">
        <f>IF(F57="","",IF(COUNTIFS('Munition-Feuerwaffen'!$B$2:$B$35,F57,'Munition-Feuerwaffen'!$C$2:$C$35,E57)=0,"",SUMPRODUCT(('Munition-Feuerwaffen'!$B$2:$B$35=F57)*('Munition-Feuerwaffen'!$C$2:$C$35=E57)*'Munition-Feuerwaffen'!$D$2:$D$35)))</f>
        <v>0.44335200000000002</v>
      </c>
      <c r="H57" t="s">
        <v>8260</v>
      </c>
      <c r="I57">
        <f>IF(H57="","",IF(COUNTIFS('Munition-Feuerwaffen'!$B$2:$B$35,H57,'Munition-Feuerwaffen'!$C$2:$C$35,E57)=0,"",SUMPRODUCT(('Munition-Feuerwaffen'!$B$2:$B$35=H57)*('Munition-Feuerwaffen'!$C$2:$C$35=E57)*'Munition-Feuerwaffen'!$D$2:$D$35)))</f>
        <v>0.47208000000000011</v>
      </c>
      <c r="J57" t="s">
        <v>8261</v>
      </c>
    </row>
    <row r="58" spans="1:11">
      <c r="A58" t="s">
        <v>8882</v>
      </c>
      <c r="B58" t="s">
        <v>1200</v>
      </c>
      <c r="C58" t="s">
        <v>8258</v>
      </c>
      <c r="D58" t="s">
        <v>8271</v>
      </c>
      <c r="E58">
        <v>20</v>
      </c>
      <c r="F58" t="s">
        <v>8259</v>
      </c>
      <c r="G58">
        <f>IF(F58="","",IF(COUNTIFS('Munition-Feuerwaffen'!$B$2:$B$35,F58,'Munition-Feuerwaffen'!$C$2:$C$35,E58)=0,"",SUMPRODUCT(('Munition-Feuerwaffen'!$B$2:$B$35=F58)*('Munition-Feuerwaffen'!$C$2:$C$35=E58)*'Munition-Feuerwaffen'!$D$2:$D$35)))</f>
        <v>0.42806400000000011</v>
      </c>
      <c r="H58" t="s">
        <v>8260</v>
      </c>
      <c r="I58">
        <f>IF(H58="","",IF(COUNTIFS('Munition-Feuerwaffen'!$B$2:$B$35,H58,'Munition-Feuerwaffen'!$C$2:$C$35,E58)=0,"",SUMPRODUCT(('Munition-Feuerwaffen'!$B$2:$B$35=H58)*('Munition-Feuerwaffen'!$C$2:$C$35=E58)*'Munition-Feuerwaffen'!$D$2:$D$35)))</f>
        <v>0.45943500000000009</v>
      </c>
      <c r="J58" t="s">
        <v>8261</v>
      </c>
    </row>
    <row r="59" spans="1:11">
      <c r="A59" t="s">
        <v>8883</v>
      </c>
      <c r="B59" t="s">
        <v>1200</v>
      </c>
      <c r="C59" t="s">
        <v>8258</v>
      </c>
      <c r="D59" t="s">
        <v>8271</v>
      </c>
      <c r="E59">
        <v>19</v>
      </c>
      <c r="F59" t="s">
        <v>8259</v>
      </c>
      <c r="G59">
        <f>IF(F59="","",IF(COUNTIFS('Munition-Feuerwaffen'!$B$2:$B$35,F59,'Munition-Feuerwaffen'!$C$2:$C$35,E59)=0,"",SUMPRODUCT(('Munition-Feuerwaffen'!$B$2:$B$35=F59)*('Munition-Feuerwaffen'!$C$2:$C$35=E59)*'Munition-Feuerwaffen'!$D$2:$D$35)))</f>
        <v>0.42042000000000013</v>
      </c>
      <c r="H59" t="s">
        <v>8260</v>
      </c>
      <c r="I59">
        <f>IF(H59="","",IF(COUNTIFS('Munition-Feuerwaffen'!$B$2:$B$35,H59,'Munition-Feuerwaffen'!$C$2:$C$35,E59)=0,"",SUMPRODUCT(('Munition-Feuerwaffen'!$B$2:$B$35=H59)*('Munition-Feuerwaffen'!$C$2:$C$35=E59)*'Munition-Feuerwaffen'!$D$2:$D$35)))</f>
        <v>0.45311249999999997</v>
      </c>
      <c r="J59" t="s">
        <v>8261</v>
      </c>
    </row>
    <row r="60" spans="1:11">
      <c r="A60" t="s">
        <v>8884</v>
      </c>
      <c r="B60" t="s">
        <v>1200</v>
      </c>
      <c r="C60" t="s">
        <v>8258</v>
      </c>
      <c r="D60" t="s">
        <v>8271</v>
      </c>
      <c r="E60">
        <v>19</v>
      </c>
      <c r="F60" t="s">
        <v>8259</v>
      </c>
      <c r="G60">
        <f>IF(F60="","",IF(COUNTIFS('Munition-Feuerwaffen'!$B$2:$B$35,F60,'Munition-Feuerwaffen'!$C$2:$C$35,E60)=0,"",SUMPRODUCT(('Munition-Feuerwaffen'!$B$2:$B$35=F60)*('Munition-Feuerwaffen'!$C$2:$C$35=E60)*'Munition-Feuerwaffen'!$D$2:$D$35)))</f>
        <v>0.42042000000000013</v>
      </c>
      <c r="H60" t="s">
        <v>8260</v>
      </c>
      <c r="I60">
        <f>IF(H60="","",IF(COUNTIFS('Munition-Feuerwaffen'!$B$2:$B$35,H60,'Munition-Feuerwaffen'!$C$2:$C$35,E60)=0,"",SUMPRODUCT(('Munition-Feuerwaffen'!$B$2:$B$35=H60)*('Munition-Feuerwaffen'!$C$2:$C$35=E60)*'Munition-Feuerwaffen'!$D$2:$D$35)))</f>
        <v>0.45311249999999997</v>
      </c>
      <c r="J60" t="s">
        <v>8261</v>
      </c>
    </row>
    <row r="61" spans="1:11">
      <c r="A61" t="s">
        <v>8885</v>
      </c>
      <c r="B61" t="s">
        <v>1200</v>
      </c>
      <c r="C61" t="s">
        <v>8258</v>
      </c>
      <c r="D61" t="s">
        <v>8271</v>
      </c>
      <c r="E61">
        <v>23</v>
      </c>
      <c r="F61" t="s">
        <v>8259</v>
      </c>
      <c r="G61">
        <f>IF(F61="","",IF(COUNTIFS('Munition-Feuerwaffen'!$B$2:$B$35,F61,'Munition-Feuerwaffen'!$C$2:$C$35,E61)=0,"",SUMPRODUCT(('Munition-Feuerwaffen'!$B$2:$B$35=F61)*('Munition-Feuerwaffen'!$C$2:$C$35=E61)*'Munition-Feuerwaffen'!$D$2:$D$35)))</f>
        <v>0.45099600000000001</v>
      </c>
      <c r="H61" t="s">
        <v>8260</v>
      </c>
      <c r="I61">
        <f>IF(H61="","",IF(COUNTIFS('Munition-Feuerwaffen'!$B$2:$B$35,H61,'Munition-Feuerwaffen'!$C$2:$C$35,E61)=0,"",SUMPRODUCT(('Munition-Feuerwaffen'!$B$2:$B$35=H61)*('Munition-Feuerwaffen'!$C$2:$C$35=E61)*'Munition-Feuerwaffen'!$D$2:$D$35)))</f>
        <v>0.47840250000000012</v>
      </c>
      <c r="J61" t="s">
        <v>8261</v>
      </c>
    </row>
    <row r="62" spans="1:11">
      <c r="A62" t="s">
        <v>8886</v>
      </c>
      <c r="B62" t="s">
        <v>1200</v>
      </c>
      <c r="C62" t="s">
        <v>8262</v>
      </c>
      <c r="D62" t="s">
        <v>8827</v>
      </c>
      <c r="E62">
        <v>19</v>
      </c>
      <c r="F62" t="s">
        <v>8263</v>
      </c>
      <c r="G62">
        <f>IF(F62="","",IF(COUNTIFS('Munition-Feuerwaffen'!$B$2:$B$35,F62,'Munition-Feuerwaffen'!$C$2:$C$35,E62)=0,"",SUMPRODUCT(('Munition-Feuerwaffen'!$B$2:$B$35=F62)*('Munition-Feuerwaffen'!$C$2:$C$35=E62)*'Munition-Feuerwaffen'!$D$2:$D$35)))</f>
        <v>0.74192666666666685</v>
      </c>
    </row>
    <row r="63" spans="1:11">
      <c r="A63" t="s">
        <v>8887</v>
      </c>
      <c r="B63" t="s">
        <v>1200</v>
      </c>
      <c r="C63" t="s">
        <v>8258</v>
      </c>
      <c r="D63" t="s">
        <v>8271</v>
      </c>
      <c r="E63">
        <v>19</v>
      </c>
      <c r="F63" t="s">
        <v>8259</v>
      </c>
      <c r="G63">
        <f>IF(F63="","",IF(COUNTIFS('Munition-Feuerwaffen'!$B$2:$B$35,F63,'Munition-Feuerwaffen'!$C$2:$C$35,E63)=0,"",SUMPRODUCT(('Munition-Feuerwaffen'!$B$2:$B$35=F63)*('Munition-Feuerwaffen'!$C$2:$C$35=E63)*'Munition-Feuerwaffen'!$D$2:$D$35)))</f>
        <v>0.42042000000000013</v>
      </c>
      <c r="H63" t="s">
        <v>8260</v>
      </c>
      <c r="I63">
        <f>IF(H63="","",IF(COUNTIFS('Munition-Feuerwaffen'!$B$2:$B$35,H63,'Munition-Feuerwaffen'!$C$2:$C$35,E63)=0,"",SUMPRODUCT(('Munition-Feuerwaffen'!$B$2:$B$35=H63)*('Munition-Feuerwaffen'!$C$2:$C$35=E63)*'Munition-Feuerwaffen'!$D$2:$D$35)))</f>
        <v>0.45311249999999997</v>
      </c>
      <c r="J63" t="s">
        <v>8261</v>
      </c>
    </row>
    <row r="64" spans="1:11">
      <c r="A64" t="s">
        <v>8888</v>
      </c>
      <c r="B64" t="s">
        <v>1200</v>
      </c>
      <c r="C64" t="s">
        <v>8258</v>
      </c>
      <c r="D64" t="s">
        <v>8271</v>
      </c>
      <c r="E64">
        <v>16</v>
      </c>
      <c r="F64" t="s">
        <v>8259</v>
      </c>
      <c r="G64">
        <f>IF(F64="","",IF(COUNTIFS('Munition-Feuerwaffen'!$B$2:$B$35,F64,'Munition-Feuerwaffen'!$C$2:$C$35,E64)=0,"",SUMPRODUCT(('Munition-Feuerwaffen'!$B$2:$B$35=F64)*('Munition-Feuerwaffen'!$C$2:$C$35=E64)*'Munition-Feuerwaffen'!$D$2:$D$35)))</f>
        <v>0.39748800000000012</v>
      </c>
      <c r="H64" t="s">
        <v>8260</v>
      </c>
      <c r="I64">
        <f>IF(H64="","",IF(COUNTIFS('Munition-Feuerwaffen'!$B$2:$B$35,H64,'Munition-Feuerwaffen'!$C$2:$C$35,E64)=0,"",SUMPRODUCT(('Munition-Feuerwaffen'!$B$2:$B$35=H64)*('Munition-Feuerwaffen'!$C$2:$C$35=E64)*'Munition-Feuerwaffen'!$D$2:$D$35)))</f>
        <v>0.43414500000000011</v>
      </c>
      <c r="J64" t="s">
        <v>8261</v>
      </c>
    </row>
    <row r="65" spans="1:11">
      <c r="A65" t="s">
        <v>8889</v>
      </c>
      <c r="B65" t="s">
        <v>1200</v>
      </c>
      <c r="C65" t="s">
        <v>8258</v>
      </c>
      <c r="D65" t="s">
        <v>8271</v>
      </c>
      <c r="E65">
        <v>16</v>
      </c>
      <c r="F65" t="s">
        <v>8259</v>
      </c>
      <c r="G65">
        <f>IF(F65="","",IF(COUNTIFS('Munition-Feuerwaffen'!$B$2:$B$35,F65,'Munition-Feuerwaffen'!$C$2:$C$35,E65)=0,"",SUMPRODUCT(('Munition-Feuerwaffen'!$B$2:$B$35=F65)*('Munition-Feuerwaffen'!$C$2:$C$35=E65)*'Munition-Feuerwaffen'!$D$2:$D$35)))</f>
        <v>0.39748800000000012</v>
      </c>
      <c r="H65" t="s">
        <v>8260</v>
      </c>
      <c r="I65">
        <f>IF(H65="","",IF(COUNTIFS('Munition-Feuerwaffen'!$B$2:$B$35,H65,'Munition-Feuerwaffen'!$C$2:$C$35,E65)=0,"",SUMPRODUCT(('Munition-Feuerwaffen'!$B$2:$B$35=H65)*('Munition-Feuerwaffen'!$C$2:$C$35=E65)*'Munition-Feuerwaffen'!$D$2:$D$35)))</f>
        <v>0.43414500000000011</v>
      </c>
      <c r="J65" t="s">
        <v>8261</v>
      </c>
    </row>
    <row r="66" spans="1:11">
      <c r="A66" t="s">
        <v>8890</v>
      </c>
      <c r="B66" t="s">
        <v>1200</v>
      </c>
      <c r="C66" t="s">
        <v>8829</v>
      </c>
      <c r="D66" t="s">
        <v>8830</v>
      </c>
      <c r="E66">
        <v>10</v>
      </c>
      <c r="F66" t="s">
        <v>8265</v>
      </c>
      <c r="G66">
        <f>IF(F66="","",IF(COUNTIFS('Munition-Feuerwaffen'!$B$2:$B$35,F66,'Munition-Feuerwaffen'!$C$2:$C$35,E66)=0,"",SUMPRODUCT(('Munition-Feuerwaffen'!$B$2:$B$35=F66)*('Munition-Feuerwaffen'!$C$2:$C$35=E66)*'Munition-Feuerwaffen'!$D$2:$D$35)))</f>
        <v>0.91267519999999991</v>
      </c>
    </row>
    <row r="67" spans="1:11">
      <c r="A67" t="s">
        <v>8891</v>
      </c>
      <c r="B67" t="s">
        <v>1200</v>
      </c>
      <c r="C67" t="s">
        <v>8258</v>
      </c>
      <c r="D67" t="s">
        <v>8271</v>
      </c>
      <c r="E67">
        <v>17</v>
      </c>
      <c r="F67" t="s">
        <v>8259</v>
      </c>
      <c r="G67">
        <f>IF(F67="","",IF(COUNTIFS('Munition-Feuerwaffen'!$B$2:$B$35,F67,'Munition-Feuerwaffen'!$C$2:$C$35,E67)=0,"",SUMPRODUCT(('Munition-Feuerwaffen'!$B$2:$B$35=F67)*('Munition-Feuerwaffen'!$C$2:$C$35=E67)*'Munition-Feuerwaffen'!$D$2:$D$35)))</f>
        <v>0.40513199999999999</v>
      </c>
      <c r="H67" t="s">
        <v>8260</v>
      </c>
      <c r="I67">
        <f>IF(H67="","",IF(COUNTIFS('Munition-Feuerwaffen'!$B$2:$B$35,H67,'Munition-Feuerwaffen'!$C$2:$C$35,E67)=0,"",SUMPRODUCT(('Munition-Feuerwaffen'!$B$2:$B$35=H67)*('Munition-Feuerwaffen'!$C$2:$C$35=E67)*'Munition-Feuerwaffen'!$D$2:$D$35)))</f>
        <v>0.44046750000000001</v>
      </c>
      <c r="J67" t="s">
        <v>8261</v>
      </c>
    </row>
    <row r="68" spans="1:11">
      <c r="A68" t="s">
        <v>8892</v>
      </c>
      <c r="B68" t="s">
        <v>1200</v>
      </c>
      <c r="C68" t="s">
        <v>8258</v>
      </c>
      <c r="D68" t="s">
        <v>8271</v>
      </c>
      <c r="E68">
        <v>17</v>
      </c>
      <c r="F68" t="s">
        <v>8259</v>
      </c>
      <c r="G68">
        <f>IF(F68="","",IF(COUNTIFS('Munition-Feuerwaffen'!$B$2:$B$35,F68,'Munition-Feuerwaffen'!$C$2:$C$35,E68)=0,"",SUMPRODUCT(('Munition-Feuerwaffen'!$B$2:$B$35=F68)*('Munition-Feuerwaffen'!$C$2:$C$35=E68)*'Munition-Feuerwaffen'!$D$2:$D$35)))</f>
        <v>0.40513199999999999</v>
      </c>
      <c r="H68" t="s">
        <v>8260</v>
      </c>
      <c r="I68">
        <f>IF(H68="","",IF(COUNTIFS('Munition-Feuerwaffen'!$B$2:$B$35,H68,'Munition-Feuerwaffen'!$C$2:$C$35,E68)=0,"",SUMPRODUCT(('Munition-Feuerwaffen'!$B$2:$B$35=H68)*('Munition-Feuerwaffen'!$C$2:$C$35=E68)*'Munition-Feuerwaffen'!$D$2:$D$35)))</f>
        <v>0.44046750000000001</v>
      </c>
      <c r="J68" t="s">
        <v>8261</v>
      </c>
    </row>
    <row r="69" spans="1:11">
      <c r="A69" t="s">
        <v>8893</v>
      </c>
      <c r="B69" t="s">
        <v>1204</v>
      </c>
      <c r="C69" t="s">
        <v>8829</v>
      </c>
      <c r="D69" t="s">
        <v>8830</v>
      </c>
      <c r="E69">
        <v>11</v>
      </c>
      <c r="F69" t="s">
        <v>8265</v>
      </c>
      <c r="G69" t="str">
        <f>IF(F69="","",IF(COUNTIFS('Munition-Feuerwaffen'!$B$2:$B$35,F69,'Munition-Feuerwaffen'!$C$2:$C$35,E69)=0,"",SUMPRODUCT(('Munition-Feuerwaffen'!$B$2:$B$35=F69)*('Munition-Feuerwaffen'!$C$2:$C$35=E69)*'Munition-Feuerwaffen'!$D$2:$D$35)))</f>
        <v/>
      </c>
    </row>
    <row r="70" spans="1:11">
      <c r="A70" t="s">
        <v>8894</v>
      </c>
      <c r="B70" t="s">
        <v>1204</v>
      </c>
      <c r="C70" t="s">
        <v>8258</v>
      </c>
      <c r="D70" t="s">
        <v>8271</v>
      </c>
      <c r="E70">
        <v>18</v>
      </c>
      <c r="F70" t="s">
        <v>8259</v>
      </c>
      <c r="G70">
        <f>IF(F70="","",IF(COUNTIFS('Munition-Feuerwaffen'!$B$2:$B$35,F70,'Munition-Feuerwaffen'!$C$2:$C$35,E70)=0,"",SUMPRODUCT(('Munition-Feuerwaffen'!$B$2:$B$35=F70)*('Munition-Feuerwaffen'!$C$2:$C$35=E70)*'Munition-Feuerwaffen'!$D$2:$D$35)))</f>
        <v>0.41277600000000009</v>
      </c>
      <c r="H70" t="s">
        <v>8260</v>
      </c>
      <c r="I70">
        <f>IF(H70="","",IF(COUNTIFS('Munition-Feuerwaffen'!$B$2:$B$35,H70,'Munition-Feuerwaffen'!$C$2:$C$35,E70)=0,"",SUMPRODUCT(('Munition-Feuerwaffen'!$B$2:$B$35=H70)*('Munition-Feuerwaffen'!$C$2:$C$35=E70)*'Munition-Feuerwaffen'!$D$2:$D$35)))</f>
        <v>0.44679000000000008</v>
      </c>
      <c r="J70" t="s">
        <v>8261</v>
      </c>
    </row>
    <row r="71" spans="1:11">
      <c r="A71" t="s">
        <v>8895</v>
      </c>
      <c r="B71" t="s">
        <v>1204</v>
      </c>
      <c r="C71" t="s">
        <v>8847</v>
      </c>
      <c r="D71" t="s">
        <v>8830</v>
      </c>
      <c r="E71">
        <v>12</v>
      </c>
      <c r="F71" t="s">
        <v>8265</v>
      </c>
      <c r="G71" t="str">
        <f>IF(F71="","",IF(COUNTIFS('Munition-Feuerwaffen'!$B$2:$B$35,F71,'Munition-Feuerwaffen'!$C$2:$C$35,E71)=0,"",SUMPRODUCT(('Munition-Feuerwaffen'!$B$2:$B$35=F71)*('Munition-Feuerwaffen'!$C$2:$C$35=E71)*'Munition-Feuerwaffen'!$D$2:$D$35)))</f>
        <v/>
      </c>
    </row>
    <row r="72" spans="1:11">
      <c r="A72" t="s">
        <v>8896</v>
      </c>
      <c r="B72" t="s">
        <v>1204</v>
      </c>
      <c r="C72" t="s">
        <v>8262</v>
      </c>
      <c r="D72" t="s">
        <v>8827</v>
      </c>
      <c r="E72">
        <v>17</v>
      </c>
      <c r="F72" t="s">
        <v>8263</v>
      </c>
      <c r="G72">
        <f>IF(F72="","",IF(COUNTIFS('Munition-Feuerwaffen'!$B$2:$B$35,F72,'Munition-Feuerwaffen'!$C$2:$C$35,E72)=0,"",SUMPRODUCT(('Munition-Feuerwaffen'!$B$2:$B$35=F72)*('Munition-Feuerwaffen'!$C$2:$C$35=E72)*'Munition-Feuerwaffen'!$D$2:$D$35)))</f>
        <v>0.70108666666666675</v>
      </c>
    </row>
    <row r="73" spans="1:11">
      <c r="A73" t="s">
        <v>8897</v>
      </c>
      <c r="B73" t="s">
        <v>1204</v>
      </c>
      <c r="C73" t="s">
        <v>8258</v>
      </c>
      <c r="D73" t="s">
        <v>8271</v>
      </c>
      <c r="E73">
        <v>17</v>
      </c>
      <c r="F73" t="s">
        <v>8259</v>
      </c>
      <c r="G73">
        <f>IF(F73="","",IF(COUNTIFS('Munition-Feuerwaffen'!$B$2:$B$35,F73,'Munition-Feuerwaffen'!$C$2:$C$35,E73)=0,"",SUMPRODUCT(('Munition-Feuerwaffen'!$B$2:$B$35=F73)*('Munition-Feuerwaffen'!$C$2:$C$35=E73)*'Munition-Feuerwaffen'!$D$2:$D$35)))</f>
        <v>0.40513199999999999</v>
      </c>
      <c r="H73" t="s">
        <v>8260</v>
      </c>
      <c r="I73">
        <f>IF(H73="","",IF(COUNTIFS('Munition-Feuerwaffen'!$B$2:$B$35,H73,'Munition-Feuerwaffen'!$C$2:$C$35,E73)=0,"",SUMPRODUCT(('Munition-Feuerwaffen'!$B$2:$B$35=H73)*('Munition-Feuerwaffen'!$C$2:$C$35=E73)*'Munition-Feuerwaffen'!$D$2:$D$35)))</f>
        <v>0.44046750000000001</v>
      </c>
      <c r="J73" t="s">
        <v>8261</v>
      </c>
    </row>
    <row r="74" spans="1:11">
      <c r="A74" t="s">
        <v>8898</v>
      </c>
      <c r="B74" t="s">
        <v>1204</v>
      </c>
      <c r="C74" t="s">
        <v>8258</v>
      </c>
      <c r="D74" t="s">
        <v>8271</v>
      </c>
      <c r="E74">
        <v>17</v>
      </c>
      <c r="F74" t="s">
        <v>8259</v>
      </c>
      <c r="G74">
        <f>IF(F74="","",IF(COUNTIFS('Munition-Feuerwaffen'!$B$2:$B$35,F74,'Munition-Feuerwaffen'!$C$2:$C$35,E74)=0,"",SUMPRODUCT(('Munition-Feuerwaffen'!$B$2:$B$35=F74)*('Munition-Feuerwaffen'!$C$2:$C$35=E74)*'Munition-Feuerwaffen'!$D$2:$D$35)))</f>
        <v>0.40513199999999999</v>
      </c>
      <c r="H74" t="s">
        <v>8260</v>
      </c>
      <c r="I74">
        <f>IF(H74="","",IF(COUNTIFS('Munition-Feuerwaffen'!$B$2:$B$35,H74,'Munition-Feuerwaffen'!$C$2:$C$35,E74)=0,"",SUMPRODUCT(('Munition-Feuerwaffen'!$B$2:$B$35=H74)*('Munition-Feuerwaffen'!$C$2:$C$35=E74)*'Munition-Feuerwaffen'!$D$2:$D$35)))</f>
        <v>0.44046750000000001</v>
      </c>
      <c r="J74" t="s">
        <v>8261</v>
      </c>
    </row>
    <row r="75" spans="1:11">
      <c r="A75" t="s">
        <v>8899</v>
      </c>
      <c r="B75" t="s">
        <v>1204</v>
      </c>
      <c r="C75" t="s">
        <v>8258</v>
      </c>
      <c r="D75" t="s">
        <v>8271</v>
      </c>
      <c r="E75">
        <v>17</v>
      </c>
      <c r="F75" t="s">
        <v>8259</v>
      </c>
      <c r="G75">
        <f>IF(F75="","",IF(COUNTIFS('Munition-Feuerwaffen'!$B$2:$B$35,F75,'Munition-Feuerwaffen'!$C$2:$C$35,E75)=0,"",SUMPRODUCT(('Munition-Feuerwaffen'!$B$2:$B$35=F75)*('Munition-Feuerwaffen'!$C$2:$C$35=E75)*'Munition-Feuerwaffen'!$D$2:$D$35)))</f>
        <v>0.40513199999999999</v>
      </c>
      <c r="H75" t="s">
        <v>8260</v>
      </c>
      <c r="I75">
        <f>IF(H75="","",IF(COUNTIFS('Munition-Feuerwaffen'!$B$2:$B$35,H75,'Munition-Feuerwaffen'!$C$2:$C$35,E75)=0,"",SUMPRODUCT(('Munition-Feuerwaffen'!$B$2:$B$35=H75)*('Munition-Feuerwaffen'!$C$2:$C$35=E75)*'Munition-Feuerwaffen'!$D$2:$D$35)))</f>
        <v>0.44046750000000001</v>
      </c>
      <c r="J75" t="s">
        <v>8261</v>
      </c>
    </row>
    <row r="76" spans="1:11">
      <c r="A76" t="s">
        <v>8900</v>
      </c>
      <c r="B76" t="s">
        <v>1204</v>
      </c>
      <c r="C76" t="s">
        <v>8258</v>
      </c>
      <c r="D76" t="s">
        <v>8271</v>
      </c>
      <c r="E76">
        <v>19</v>
      </c>
      <c r="F76" t="s">
        <v>8259</v>
      </c>
      <c r="G76">
        <f>IF(F76="","",IF(COUNTIFS('Munition-Feuerwaffen'!$B$2:$B$35,F76,'Munition-Feuerwaffen'!$C$2:$C$35,E76)=0,"",SUMPRODUCT(('Munition-Feuerwaffen'!$B$2:$B$35=F76)*('Munition-Feuerwaffen'!$C$2:$C$35=E76)*'Munition-Feuerwaffen'!$D$2:$D$35)))</f>
        <v>0.42042000000000013</v>
      </c>
      <c r="H76" t="s">
        <v>8260</v>
      </c>
      <c r="I76">
        <f>IF(H76="","",IF(COUNTIFS('Munition-Feuerwaffen'!$B$2:$B$35,H76,'Munition-Feuerwaffen'!$C$2:$C$35,E76)=0,"",SUMPRODUCT(('Munition-Feuerwaffen'!$B$2:$B$35=H76)*('Munition-Feuerwaffen'!$C$2:$C$35=E76)*'Munition-Feuerwaffen'!$D$2:$D$35)))</f>
        <v>0.45311249999999997</v>
      </c>
      <c r="J76" t="s">
        <v>8261</v>
      </c>
    </row>
    <row r="77" spans="1:11">
      <c r="A77" t="s">
        <v>8901</v>
      </c>
      <c r="B77" t="s">
        <v>1204</v>
      </c>
      <c r="C77" t="s">
        <v>8262</v>
      </c>
      <c r="D77" t="s">
        <v>8827</v>
      </c>
      <c r="E77">
        <v>17</v>
      </c>
      <c r="F77" t="s">
        <v>8263</v>
      </c>
      <c r="G77">
        <f>IF(F77="","",IF(COUNTIFS('Munition-Feuerwaffen'!$B$2:$B$35,F77,'Munition-Feuerwaffen'!$C$2:$C$35,E77)=0,"",SUMPRODUCT(('Munition-Feuerwaffen'!$B$2:$B$35=F77)*('Munition-Feuerwaffen'!$C$2:$C$35=E77)*'Munition-Feuerwaffen'!$D$2:$D$35)))</f>
        <v>0.70108666666666675</v>
      </c>
    </row>
    <row r="78" spans="1:11">
      <c r="A78" t="s">
        <v>8902</v>
      </c>
      <c r="B78" t="s">
        <v>1204</v>
      </c>
      <c r="C78" t="s">
        <v>8258</v>
      </c>
      <c r="D78" t="s">
        <v>8271</v>
      </c>
      <c r="E78">
        <v>16</v>
      </c>
      <c r="F78" t="s">
        <v>8259</v>
      </c>
      <c r="G78">
        <f>IF(F78="","",IF(COUNTIFS('Munition-Feuerwaffen'!$B$2:$B$35,F78,'Munition-Feuerwaffen'!$C$2:$C$35,E78)=0,"",SUMPRODUCT(('Munition-Feuerwaffen'!$B$2:$B$35=F78)*('Munition-Feuerwaffen'!$C$2:$C$35=E78)*'Munition-Feuerwaffen'!$D$2:$D$35)))</f>
        <v>0.39748800000000012</v>
      </c>
      <c r="H78" t="s">
        <v>8260</v>
      </c>
      <c r="I78">
        <f>IF(H78="","",IF(COUNTIFS('Munition-Feuerwaffen'!$B$2:$B$35,H78,'Munition-Feuerwaffen'!$C$2:$C$35,E78)=0,"",SUMPRODUCT(('Munition-Feuerwaffen'!$B$2:$B$35=H78)*('Munition-Feuerwaffen'!$C$2:$C$35=E78)*'Munition-Feuerwaffen'!$D$2:$D$35)))</f>
        <v>0.43414500000000011</v>
      </c>
      <c r="J78" t="s">
        <v>8261</v>
      </c>
    </row>
    <row r="79" spans="1:11">
      <c r="A79" t="s">
        <v>8903</v>
      </c>
      <c r="B79" t="s">
        <v>1204</v>
      </c>
      <c r="C79" t="s">
        <v>8258</v>
      </c>
      <c r="D79" t="s">
        <v>8267</v>
      </c>
      <c r="E79">
        <v>17</v>
      </c>
      <c r="G79" t="str">
        <f>IF(F79="","",IF(COUNTIFS('Munition-Feuerwaffen'!$B$2:$B$35,F79,'Munition-Feuerwaffen'!$C$2:$C$35,E79)=0,"",SUMPRODUCT(('Munition-Feuerwaffen'!$B$2:$B$35=F79)*('Munition-Feuerwaffen'!$C$2:$C$35=E79)*'Munition-Feuerwaffen'!$D$2:$D$35)))</f>
        <v/>
      </c>
      <c r="K79" t="s">
        <v>8863</v>
      </c>
    </row>
    <row r="80" spans="1:11">
      <c r="A80" t="s">
        <v>8904</v>
      </c>
      <c r="B80" t="s">
        <v>1204</v>
      </c>
      <c r="C80" t="s">
        <v>8258</v>
      </c>
      <c r="D80" t="s">
        <v>8271</v>
      </c>
      <c r="E80">
        <v>20</v>
      </c>
      <c r="F80" t="s">
        <v>8259</v>
      </c>
      <c r="G80">
        <f>IF(F80="","",IF(COUNTIFS('Munition-Feuerwaffen'!$B$2:$B$35,F80,'Munition-Feuerwaffen'!$C$2:$C$35,E80)=0,"",SUMPRODUCT(('Munition-Feuerwaffen'!$B$2:$B$35=F80)*('Munition-Feuerwaffen'!$C$2:$C$35=E80)*'Munition-Feuerwaffen'!$D$2:$D$35)))</f>
        <v>0.42806400000000011</v>
      </c>
      <c r="H80" t="s">
        <v>8260</v>
      </c>
      <c r="I80">
        <f>IF(H80="","",IF(COUNTIFS('Munition-Feuerwaffen'!$B$2:$B$35,H80,'Munition-Feuerwaffen'!$C$2:$C$35,E80)=0,"",SUMPRODUCT(('Munition-Feuerwaffen'!$B$2:$B$35=H80)*('Munition-Feuerwaffen'!$C$2:$C$35=E80)*'Munition-Feuerwaffen'!$D$2:$D$35)))</f>
        <v>0.45943500000000009</v>
      </c>
      <c r="J80" t="s">
        <v>8261</v>
      </c>
    </row>
    <row r="81" spans="1:10">
      <c r="A81" t="s">
        <v>8905</v>
      </c>
      <c r="B81" t="s">
        <v>1204</v>
      </c>
      <c r="C81" t="s">
        <v>8847</v>
      </c>
      <c r="D81" t="s">
        <v>8830</v>
      </c>
      <c r="E81">
        <v>11</v>
      </c>
      <c r="F81" t="s">
        <v>8265</v>
      </c>
      <c r="G81" t="str">
        <f>IF(F81="","",IF(COUNTIFS('Munition-Feuerwaffen'!$B$2:$B$35,F81,'Munition-Feuerwaffen'!$C$2:$C$35,E81)=0,"",SUMPRODUCT(('Munition-Feuerwaffen'!$B$2:$B$35=F81)*('Munition-Feuerwaffen'!$C$2:$C$35=E81)*'Munition-Feuerwaffen'!$D$2:$D$35)))</f>
        <v/>
      </c>
    </row>
    <row r="82" spans="1:10">
      <c r="A82" t="s">
        <v>8906</v>
      </c>
      <c r="B82" t="s">
        <v>1204</v>
      </c>
      <c r="C82" t="s">
        <v>8258</v>
      </c>
      <c r="D82" t="s">
        <v>8271</v>
      </c>
      <c r="E82">
        <v>17</v>
      </c>
      <c r="F82" t="s">
        <v>8259</v>
      </c>
      <c r="G82">
        <f>IF(F82="","",IF(COUNTIFS('Munition-Feuerwaffen'!$B$2:$B$35,F82,'Munition-Feuerwaffen'!$C$2:$C$35,E82)=0,"",SUMPRODUCT(('Munition-Feuerwaffen'!$B$2:$B$35=F82)*('Munition-Feuerwaffen'!$C$2:$C$35=E82)*'Munition-Feuerwaffen'!$D$2:$D$35)))</f>
        <v>0.40513199999999999</v>
      </c>
      <c r="H82" t="s">
        <v>8260</v>
      </c>
      <c r="I82">
        <f>IF(H82="","",IF(COUNTIFS('Munition-Feuerwaffen'!$B$2:$B$35,H82,'Munition-Feuerwaffen'!$C$2:$C$35,E82)=0,"",SUMPRODUCT(('Munition-Feuerwaffen'!$B$2:$B$35=H82)*('Munition-Feuerwaffen'!$C$2:$C$35=E82)*'Munition-Feuerwaffen'!$D$2:$D$35)))</f>
        <v>0.44046750000000001</v>
      </c>
      <c r="J82" t="s">
        <v>8261</v>
      </c>
    </row>
    <row r="83" spans="1:10">
      <c r="A83" t="s">
        <v>8907</v>
      </c>
      <c r="B83" t="s">
        <v>1204</v>
      </c>
      <c r="C83" t="s">
        <v>8258</v>
      </c>
      <c r="D83" t="s">
        <v>8271</v>
      </c>
      <c r="E83">
        <v>13</v>
      </c>
      <c r="F83" t="s">
        <v>8259</v>
      </c>
      <c r="G83">
        <f>IF(F83="","",IF(COUNTIFS('Munition-Feuerwaffen'!$B$2:$B$35,F83,'Munition-Feuerwaffen'!$C$2:$C$35,E83)=0,"",SUMPRODUCT(('Munition-Feuerwaffen'!$B$2:$B$35=F83)*('Munition-Feuerwaffen'!$C$2:$C$35=E83)*'Munition-Feuerwaffen'!$D$2:$D$35)))</f>
        <v>0.37455600000000011</v>
      </c>
      <c r="H83" t="s">
        <v>8260</v>
      </c>
      <c r="I83">
        <f>IF(H83="","",IF(COUNTIFS('Munition-Feuerwaffen'!$B$2:$B$35,H83,'Munition-Feuerwaffen'!$C$2:$C$35,E83)=0,"",SUMPRODUCT(('Munition-Feuerwaffen'!$B$2:$B$35=H83)*('Munition-Feuerwaffen'!$C$2:$C$35=E83)*'Munition-Feuerwaffen'!$D$2:$D$35)))</f>
        <v>0.41517749999999998</v>
      </c>
      <c r="J83" t="s">
        <v>8261</v>
      </c>
    </row>
    <row r="84" spans="1:10">
      <c r="A84" t="s">
        <v>5560</v>
      </c>
      <c r="B84" t="s">
        <v>1204</v>
      </c>
      <c r="C84" t="s">
        <v>8829</v>
      </c>
      <c r="D84" t="s">
        <v>8830</v>
      </c>
      <c r="E84">
        <v>8</v>
      </c>
      <c r="F84" t="s">
        <v>8265</v>
      </c>
      <c r="G84">
        <f>IF(F84="","",IF(COUNTIFS('Munition-Feuerwaffen'!$B$2:$B$35,F84,'Munition-Feuerwaffen'!$C$2:$C$35,E84)=0,"",SUMPRODUCT(('Munition-Feuerwaffen'!$B$2:$B$35=F84)*('Munition-Feuerwaffen'!$C$2:$C$35=E84)*'Munition-Feuerwaffen'!$D$2:$D$35)))</f>
        <v>0.82515840000000007</v>
      </c>
    </row>
    <row r="85" spans="1:10">
      <c r="A85" t="s">
        <v>8908</v>
      </c>
      <c r="B85" t="s">
        <v>1204</v>
      </c>
      <c r="C85" t="s">
        <v>8258</v>
      </c>
      <c r="D85" t="s">
        <v>8271</v>
      </c>
      <c r="E85">
        <v>17</v>
      </c>
      <c r="F85" t="s">
        <v>8259</v>
      </c>
      <c r="G85">
        <f>IF(F85="","",IF(COUNTIFS('Munition-Feuerwaffen'!$B$2:$B$35,F85,'Munition-Feuerwaffen'!$C$2:$C$35,E85)=0,"",SUMPRODUCT(('Munition-Feuerwaffen'!$B$2:$B$35=F85)*('Munition-Feuerwaffen'!$C$2:$C$35=E85)*'Munition-Feuerwaffen'!$D$2:$D$35)))</f>
        <v>0.40513199999999999</v>
      </c>
      <c r="H85" t="s">
        <v>8260</v>
      </c>
      <c r="I85">
        <f>IF(H85="","",IF(COUNTIFS('Munition-Feuerwaffen'!$B$2:$B$35,H85,'Munition-Feuerwaffen'!$C$2:$C$35,E85)=0,"",SUMPRODUCT(('Munition-Feuerwaffen'!$B$2:$B$35=H85)*('Munition-Feuerwaffen'!$C$2:$C$35=E85)*'Munition-Feuerwaffen'!$D$2:$D$35)))</f>
        <v>0.44046750000000001</v>
      </c>
      <c r="J85" t="s">
        <v>8261</v>
      </c>
    </row>
    <row r="86" spans="1:10">
      <c r="A86" t="s">
        <v>8909</v>
      </c>
      <c r="B86" t="s">
        <v>1204</v>
      </c>
      <c r="C86" t="s">
        <v>8829</v>
      </c>
      <c r="D86" t="s">
        <v>8830</v>
      </c>
      <c r="E86">
        <v>7</v>
      </c>
      <c r="F86" t="s">
        <v>8265</v>
      </c>
      <c r="G86">
        <f>IF(F86="","",IF(COUNTIFS('Munition-Feuerwaffen'!$B$2:$B$35,F86,'Munition-Feuerwaffen'!$C$2:$C$35,E86)=0,"",SUMPRODUCT(('Munition-Feuerwaffen'!$B$2:$B$35=F86)*('Munition-Feuerwaffen'!$C$2:$C$35=E86)*'Munition-Feuerwaffen'!$D$2:$D$35)))</f>
        <v>0.71878400000000009</v>
      </c>
    </row>
    <row r="87" spans="1:10">
      <c r="A87" t="s">
        <v>8910</v>
      </c>
      <c r="B87" t="s">
        <v>1204</v>
      </c>
      <c r="C87" t="s">
        <v>8258</v>
      </c>
      <c r="D87" t="s">
        <v>8271</v>
      </c>
      <c r="E87">
        <v>14</v>
      </c>
      <c r="F87" t="s">
        <v>8259</v>
      </c>
      <c r="G87">
        <f>IF(F87="","",IF(COUNTIFS('Munition-Feuerwaffen'!$B$2:$B$35,F87,'Munition-Feuerwaffen'!$C$2:$C$35,E87)=0,"",SUMPRODUCT(('Munition-Feuerwaffen'!$B$2:$B$35=F87)*('Munition-Feuerwaffen'!$C$2:$C$35=E87)*'Munition-Feuerwaffen'!$D$2:$D$35)))</f>
        <v>0.38219999999999998</v>
      </c>
      <c r="H87" t="s">
        <v>8260</v>
      </c>
      <c r="I87">
        <f>IF(H87="","",IF(COUNTIFS('Munition-Feuerwaffen'!$B$2:$B$35,H87,'Munition-Feuerwaffen'!$C$2:$C$35,E87)=0,"",SUMPRODUCT(('Munition-Feuerwaffen'!$B$2:$B$35=H87)*('Munition-Feuerwaffen'!$C$2:$C$35=E87)*'Munition-Feuerwaffen'!$D$2:$D$35)))</f>
        <v>0.42149999999999999</v>
      </c>
      <c r="J87" t="s">
        <v>8261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J27"/>
  <sheetViews>
    <sheetView workbookViewId="0"/>
  </sheetViews>
  <sheetFormatPr baseColWidth="10" defaultColWidth="9.140625" defaultRowHeight="15"/>
  <cols>
    <col min="1" max="1" width="28" style="48" customWidth="1"/>
    <col min="2" max="2" width="20" style="48" customWidth="1"/>
    <col min="3" max="3" width="8" style="48" customWidth="1"/>
    <col min="4" max="4" width="10" style="48" customWidth="1"/>
    <col min="5" max="5" width="6" style="48" customWidth="1"/>
    <col min="6" max="7" width="8" style="48" customWidth="1"/>
    <col min="8" max="8" width="14" style="48" customWidth="1"/>
    <col min="9" max="9" width="6" style="48" customWidth="1"/>
    <col min="10" max="10" width="55" style="48" customWidth="1"/>
  </cols>
  <sheetData>
    <row r="1" spans="1:10">
      <c r="A1" t="s">
        <v>5474</v>
      </c>
      <c r="B1" t="s">
        <v>1</v>
      </c>
      <c r="C1" t="s">
        <v>8646</v>
      </c>
      <c r="D1" t="s">
        <v>8648</v>
      </c>
      <c r="E1" t="s">
        <v>7350</v>
      </c>
      <c r="F1" t="s">
        <v>8911</v>
      </c>
      <c r="G1" t="s">
        <v>7225</v>
      </c>
      <c r="H1" t="s">
        <v>12</v>
      </c>
      <c r="I1" t="s">
        <v>7224</v>
      </c>
      <c r="J1" t="s">
        <v>8475</v>
      </c>
    </row>
    <row r="2" spans="1:10">
      <c r="A2" t="s">
        <v>8391</v>
      </c>
      <c r="B2" t="s">
        <v>8912</v>
      </c>
      <c r="C2" t="s">
        <v>8303</v>
      </c>
      <c r="E2" t="s">
        <v>8393</v>
      </c>
      <c r="F2" t="s">
        <v>8394</v>
      </c>
      <c r="G2" t="s">
        <v>8395</v>
      </c>
      <c r="I2" t="s">
        <v>3868</v>
      </c>
    </row>
    <row r="3" spans="1:10">
      <c r="A3" t="s">
        <v>8396</v>
      </c>
      <c r="B3" t="s">
        <v>8912</v>
      </c>
      <c r="C3" t="s">
        <v>8317</v>
      </c>
      <c r="E3" t="s">
        <v>8393</v>
      </c>
      <c r="F3" t="s">
        <v>8398</v>
      </c>
      <c r="G3" t="s">
        <v>8399</v>
      </c>
      <c r="I3" t="s">
        <v>3868</v>
      </c>
    </row>
    <row r="4" spans="1:10">
      <c r="A4" t="s">
        <v>8400</v>
      </c>
      <c r="B4" t="s">
        <v>8912</v>
      </c>
      <c r="C4" t="s">
        <v>8317</v>
      </c>
      <c r="E4" t="s">
        <v>8393</v>
      </c>
      <c r="F4" t="s">
        <v>8393</v>
      </c>
      <c r="G4" t="s">
        <v>8401</v>
      </c>
      <c r="I4" t="s">
        <v>3868</v>
      </c>
    </row>
    <row r="5" spans="1:10">
      <c r="A5" t="s">
        <v>8402</v>
      </c>
      <c r="B5" t="s">
        <v>8912</v>
      </c>
      <c r="C5" t="s">
        <v>8485</v>
      </c>
      <c r="E5" t="s">
        <v>8393</v>
      </c>
      <c r="F5" t="s">
        <v>8393</v>
      </c>
      <c r="G5" t="s">
        <v>8404</v>
      </c>
      <c r="I5" t="s">
        <v>3868</v>
      </c>
    </row>
    <row r="6" spans="1:10">
      <c r="A6" t="s">
        <v>8405</v>
      </c>
      <c r="B6" t="s">
        <v>8912</v>
      </c>
      <c r="C6" t="s">
        <v>8485</v>
      </c>
      <c r="E6" t="s">
        <v>8406</v>
      </c>
      <c r="F6" t="s">
        <v>8393</v>
      </c>
      <c r="G6" t="s">
        <v>8407</v>
      </c>
      <c r="H6">
        <v>2</v>
      </c>
      <c r="I6" t="s">
        <v>3868</v>
      </c>
      <c r="J6" t="s">
        <v>8408</v>
      </c>
    </row>
    <row r="7" spans="1:10">
      <c r="A7" t="s">
        <v>8409</v>
      </c>
      <c r="B7" t="s">
        <v>8912</v>
      </c>
      <c r="C7" t="s">
        <v>8485</v>
      </c>
      <c r="E7" t="s">
        <v>8410</v>
      </c>
      <c r="F7" t="s">
        <v>8393</v>
      </c>
      <c r="G7" t="s">
        <v>8411</v>
      </c>
      <c r="I7" t="s">
        <v>3868</v>
      </c>
    </row>
    <row r="8" spans="1:10">
      <c r="A8" t="s">
        <v>8412</v>
      </c>
      <c r="B8" t="s">
        <v>8912</v>
      </c>
      <c r="C8" t="s">
        <v>8485</v>
      </c>
      <c r="E8" t="s">
        <v>8413</v>
      </c>
      <c r="F8" t="s">
        <v>8393</v>
      </c>
      <c r="G8" t="s">
        <v>8414</v>
      </c>
      <c r="I8" t="s">
        <v>3868</v>
      </c>
    </row>
    <row r="9" spans="1:10">
      <c r="A9" t="s">
        <v>8415</v>
      </c>
      <c r="B9" t="s">
        <v>8912</v>
      </c>
      <c r="C9" t="s">
        <v>8485</v>
      </c>
      <c r="E9" t="s">
        <v>8416</v>
      </c>
      <c r="F9" t="s">
        <v>8393</v>
      </c>
      <c r="G9" t="s">
        <v>8417</v>
      </c>
      <c r="I9" t="s">
        <v>3868</v>
      </c>
    </row>
    <row r="10" spans="1:10">
      <c r="A10" t="s">
        <v>8418</v>
      </c>
      <c r="B10" t="s">
        <v>8912</v>
      </c>
      <c r="C10" t="s">
        <v>8485</v>
      </c>
      <c r="E10" t="s">
        <v>8419</v>
      </c>
      <c r="F10" t="s">
        <v>8393</v>
      </c>
      <c r="G10" t="s">
        <v>8420</v>
      </c>
      <c r="I10" t="s">
        <v>3868</v>
      </c>
    </row>
    <row r="11" spans="1:10">
      <c r="A11" t="s">
        <v>8421</v>
      </c>
      <c r="B11" t="s">
        <v>8912</v>
      </c>
      <c r="C11" t="s">
        <v>8485</v>
      </c>
      <c r="E11" t="s">
        <v>8422</v>
      </c>
      <c r="F11" t="s">
        <v>8393</v>
      </c>
      <c r="G11" t="s">
        <v>8423</v>
      </c>
      <c r="I11" t="s">
        <v>3868</v>
      </c>
    </row>
    <row r="12" spans="1:10">
      <c r="A12" t="s">
        <v>8424</v>
      </c>
      <c r="B12" t="s">
        <v>8912</v>
      </c>
      <c r="C12" t="s">
        <v>8485</v>
      </c>
      <c r="E12" t="s">
        <v>8413</v>
      </c>
      <c r="F12" t="s">
        <v>8393</v>
      </c>
      <c r="G12" t="s">
        <v>8425</v>
      </c>
      <c r="I12" t="s">
        <v>3868</v>
      </c>
      <c r="J12" t="s">
        <v>8426</v>
      </c>
    </row>
    <row r="13" spans="1:10">
      <c r="A13" t="s">
        <v>8427</v>
      </c>
      <c r="B13" t="s">
        <v>8912</v>
      </c>
      <c r="C13" t="s">
        <v>8485</v>
      </c>
      <c r="E13" t="s">
        <v>8428</v>
      </c>
      <c r="F13" t="s">
        <v>8393</v>
      </c>
      <c r="G13" t="s">
        <v>8429</v>
      </c>
      <c r="I13" t="s">
        <v>3868</v>
      </c>
    </row>
    <row r="14" spans="1:10">
      <c r="A14" t="s">
        <v>8430</v>
      </c>
      <c r="B14" t="s">
        <v>8912</v>
      </c>
      <c r="C14" t="s">
        <v>8485</v>
      </c>
      <c r="E14" t="s">
        <v>8422</v>
      </c>
      <c r="F14" t="s">
        <v>8393</v>
      </c>
      <c r="G14" t="s">
        <v>8425</v>
      </c>
      <c r="I14" t="s">
        <v>3868</v>
      </c>
    </row>
    <row r="15" spans="1:10">
      <c r="A15" t="s">
        <v>8431</v>
      </c>
      <c r="B15" t="s">
        <v>8912</v>
      </c>
      <c r="C15" t="s">
        <v>8317</v>
      </c>
      <c r="E15" t="s">
        <v>8432</v>
      </c>
      <c r="F15" t="s">
        <v>8393</v>
      </c>
      <c r="G15" t="s">
        <v>8420</v>
      </c>
      <c r="I15" t="s">
        <v>3868</v>
      </c>
      <c r="J15" t="s">
        <v>8433</v>
      </c>
    </row>
    <row r="16" spans="1:10">
      <c r="A16" t="s">
        <v>8434</v>
      </c>
      <c r="B16" t="s">
        <v>8912</v>
      </c>
      <c r="C16" t="s">
        <v>8485</v>
      </c>
      <c r="E16" t="s">
        <v>8432</v>
      </c>
      <c r="F16" t="s">
        <v>8393</v>
      </c>
      <c r="G16" t="s">
        <v>8435</v>
      </c>
      <c r="I16" t="s">
        <v>3874</v>
      </c>
      <c r="J16" t="s">
        <v>8436</v>
      </c>
    </row>
    <row r="17" spans="1:10">
      <c r="A17" t="s">
        <v>8437</v>
      </c>
      <c r="B17" t="s">
        <v>8913</v>
      </c>
      <c r="D17" t="s">
        <v>8416</v>
      </c>
      <c r="E17" t="s">
        <v>8438</v>
      </c>
      <c r="F17" t="s">
        <v>8439</v>
      </c>
      <c r="G17" t="s">
        <v>8440</v>
      </c>
      <c r="I17" t="s">
        <v>3874</v>
      </c>
    </row>
    <row r="18" spans="1:10">
      <c r="A18" t="s">
        <v>8441</v>
      </c>
      <c r="B18" t="s">
        <v>8913</v>
      </c>
      <c r="D18" t="s">
        <v>8413</v>
      </c>
      <c r="E18" t="s">
        <v>8416</v>
      </c>
      <c r="F18" t="s">
        <v>8442</v>
      </c>
      <c r="G18" t="s">
        <v>8443</v>
      </c>
      <c r="I18" t="s">
        <v>3868</v>
      </c>
      <c r="J18" t="s">
        <v>8444</v>
      </c>
    </row>
    <row r="19" spans="1:10">
      <c r="A19" t="s">
        <v>8445</v>
      </c>
      <c r="B19" t="s">
        <v>8913</v>
      </c>
      <c r="D19" t="s">
        <v>8393</v>
      </c>
      <c r="E19" t="s">
        <v>8410</v>
      </c>
      <c r="F19" t="s">
        <v>8446</v>
      </c>
      <c r="G19" t="s">
        <v>8440</v>
      </c>
      <c r="I19" t="s">
        <v>3868</v>
      </c>
      <c r="J19" t="s">
        <v>8447</v>
      </c>
    </row>
    <row r="20" spans="1:10">
      <c r="A20" t="s">
        <v>8448</v>
      </c>
      <c r="B20" t="s">
        <v>8913</v>
      </c>
      <c r="D20" t="s">
        <v>8432</v>
      </c>
      <c r="E20" t="s">
        <v>8410</v>
      </c>
      <c r="F20" t="s">
        <v>8446</v>
      </c>
      <c r="G20" t="s">
        <v>8449</v>
      </c>
      <c r="I20" t="s">
        <v>3868</v>
      </c>
      <c r="J20" t="s">
        <v>8450</v>
      </c>
    </row>
    <row r="21" spans="1:10">
      <c r="A21" t="s">
        <v>8451</v>
      </c>
      <c r="B21" t="s">
        <v>8913</v>
      </c>
      <c r="D21" t="s">
        <v>8413</v>
      </c>
      <c r="E21" t="s">
        <v>8452</v>
      </c>
      <c r="F21" t="s">
        <v>8393</v>
      </c>
      <c r="G21" t="s">
        <v>8440</v>
      </c>
      <c r="I21" t="s">
        <v>3874</v>
      </c>
      <c r="J21" t="s">
        <v>8453</v>
      </c>
    </row>
    <row r="22" spans="1:10">
      <c r="A22" t="s">
        <v>8454</v>
      </c>
      <c r="B22" t="s">
        <v>8913</v>
      </c>
      <c r="D22" t="s">
        <v>8432</v>
      </c>
      <c r="E22" t="s">
        <v>8428</v>
      </c>
      <c r="F22" t="s">
        <v>8393</v>
      </c>
      <c r="G22" t="s">
        <v>8455</v>
      </c>
      <c r="I22" t="s">
        <v>3868</v>
      </c>
    </row>
    <row r="23" spans="1:10">
      <c r="A23" t="s">
        <v>8456</v>
      </c>
      <c r="B23" t="s">
        <v>8913</v>
      </c>
      <c r="D23" t="s">
        <v>8393</v>
      </c>
      <c r="E23" t="s">
        <v>8432</v>
      </c>
      <c r="F23" t="s">
        <v>8457</v>
      </c>
      <c r="G23" t="s">
        <v>8458</v>
      </c>
      <c r="I23" t="s">
        <v>3868</v>
      </c>
      <c r="J23" t="s">
        <v>8459</v>
      </c>
    </row>
    <row r="24" spans="1:10">
      <c r="A24" t="s">
        <v>8460</v>
      </c>
      <c r="B24" t="s">
        <v>8914</v>
      </c>
      <c r="C24" t="s">
        <v>8515</v>
      </c>
      <c r="E24" t="s">
        <v>8393</v>
      </c>
      <c r="F24" t="s">
        <v>8393</v>
      </c>
      <c r="G24" t="s">
        <v>8423</v>
      </c>
      <c r="H24">
        <v>6</v>
      </c>
      <c r="I24" t="s">
        <v>8462</v>
      </c>
      <c r="J24" t="s">
        <v>8463</v>
      </c>
    </row>
    <row r="25" spans="1:10">
      <c r="A25" t="s">
        <v>8464</v>
      </c>
      <c r="B25" t="s">
        <v>8914</v>
      </c>
      <c r="C25" t="s">
        <v>8485</v>
      </c>
      <c r="D25" t="s">
        <v>8410</v>
      </c>
      <c r="E25" t="s">
        <v>8410</v>
      </c>
      <c r="F25" t="s">
        <v>8393</v>
      </c>
      <c r="G25" t="s">
        <v>8466</v>
      </c>
      <c r="H25">
        <v>4</v>
      </c>
      <c r="I25" t="s">
        <v>3868</v>
      </c>
      <c r="J25" t="s">
        <v>8467</v>
      </c>
    </row>
    <row r="26" spans="1:10">
      <c r="A26" t="s">
        <v>8468</v>
      </c>
      <c r="B26" t="s">
        <v>8914</v>
      </c>
      <c r="C26" t="s">
        <v>8485</v>
      </c>
      <c r="D26" t="s">
        <v>8410</v>
      </c>
      <c r="E26" t="s">
        <v>8419</v>
      </c>
      <c r="F26" t="s">
        <v>8457</v>
      </c>
      <c r="G26" t="s">
        <v>8469</v>
      </c>
      <c r="H26">
        <v>5</v>
      </c>
      <c r="I26" t="s">
        <v>3868</v>
      </c>
      <c r="J26" t="s">
        <v>8470</v>
      </c>
    </row>
    <row r="27" spans="1:10">
      <c r="A27" t="s">
        <v>8471</v>
      </c>
      <c r="B27" t="s">
        <v>8914</v>
      </c>
      <c r="C27" t="s">
        <v>8317</v>
      </c>
      <c r="D27" t="s">
        <v>8410</v>
      </c>
      <c r="E27" t="s">
        <v>8413</v>
      </c>
      <c r="F27" t="s">
        <v>8393</v>
      </c>
      <c r="G27" t="s">
        <v>8414</v>
      </c>
      <c r="H27">
        <v>1</v>
      </c>
      <c r="I27" t="s">
        <v>3868</v>
      </c>
      <c r="J27" t="s">
        <v>8473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J25"/>
  <sheetViews>
    <sheetView workbookViewId="0"/>
  </sheetViews>
  <sheetFormatPr baseColWidth="10" defaultColWidth="9.140625" defaultRowHeight="15"/>
  <sheetData>
    <row r="1" spans="1:10">
      <c r="A1" t="s">
        <v>5474</v>
      </c>
      <c r="B1" t="s">
        <v>1</v>
      </c>
      <c r="C1" t="s">
        <v>8646</v>
      </c>
      <c r="D1" t="s">
        <v>8648</v>
      </c>
      <c r="E1" t="s">
        <v>7350</v>
      </c>
      <c r="F1" t="s">
        <v>8911</v>
      </c>
      <c r="G1" t="s">
        <v>7225</v>
      </c>
      <c r="H1" t="s">
        <v>12</v>
      </c>
      <c r="I1" t="s">
        <v>7224</v>
      </c>
      <c r="J1" t="s">
        <v>8475</v>
      </c>
    </row>
    <row r="2" spans="1:10">
      <c r="A2" t="s">
        <v>8542</v>
      </c>
      <c r="B2" t="s">
        <v>8912</v>
      </c>
      <c r="C2" t="s">
        <v>8303</v>
      </c>
      <c r="E2" t="s">
        <v>8393</v>
      </c>
      <c r="F2" t="s">
        <v>8543</v>
      </c>
      <c r="G2" t="s">
        <v>8544</v>
      </c>
      <c r="I2" t="s">
        <v>3868</v>
      </c>
    </row>
    <row r="3" spans="1:10">
      <c r="A3" t="s">
        <v>8545</v>
      </c>
      <c r="B3" t="s">
        <v>8912</v>
      </c>
      <c r="C3" t="s">
        <v>8303</v>
      </c>
      <c r="E3" t="s">
        <v>8393</v>
      </c>
      <c r="F3" t="s">
        <v>8546</v>
      </c>
      <c r="G3" t="s">
        <v>8404</v>
      </c>
      <c r="I3" t="s">
        <v>3868</v>
      </c>
    </row>
    <row r="4" spans="1:10">
      <c r="A4" t="s">
        <v>8547</v>
      </c>
      <c r="B4" t="s">
        <v>8912</v>
      </c>
      <c r="C4" t="s">
        <v>8317</v>
      </c>
      <c r="E4" t="s">
        <v>8393</v>
      </c>
      <c r="F4" t="s">
        <v>8393</v>
      </c>
      <c r="G4" t="s">
        <v>8548</v>
      </c>
      <c r="I4" t="s">
        <v>3868</v>
      </c>
    </row>
    <row r="5" spans="1:10">
      <c r="A5" t="s">
        <v>8549</v>
      </c>
      <c r="B5" t="s">
        <v>8912</v>
      </c>
      <c r="C5" t="s">
        <v>8485</v>
      </c>
      <c r="E5" t="s">
        <v>8393</v>
      </c>
      <c r="F5" t="s">
        <v>8393</v>
      </c>
      <c r="G5" t="s">
        <v>8550</v>
      </c>
      <c r="I5" t="s">
        <v>3868</v>
      </c>
    </row>
    <row r="6" spans="1:10">
      <c r="A6" t="s">
        <v>8551</v>
      </c>
      <c r="B6" t="s">
        <v>8912</v>
      </c>
      <c r="C6" t="s">
        <v>8489</v>
      </c>
      <c r="E6" t="s">
        <v>8406</v>
      </c>
      <c r="F6" t="s">
        <v>8393</v>
      </c>
      <c r="G6" t="s">
        <v>8553</v>
      </c>
      <c r="H6">
        <v>3</v>
      </c>
      <c r="I6" t="s">
        <v>3868</v>
      </c>
      <c r="J6" t="s">
        <v>8408</v>
      </c>
    </row>
    <row r="7" spans="1:10">
      <c r="A7" t="s">
        <v>8554</v>
      </c>
      <c r="B7" t="s">
        <v>8912</v>
      </c>
      <c r="C7" t="s">
        <v>8485</v>
      </c>
      <c r="E7" t="s">
        <v>8410</v>
      </c>
      <c r="F7" t="s">
        <v>8393</v>
      </c>
      <c r="G7" t="s">
        <v>8555</v>
      </c>
      <c r="I7" t="s">
        <v>3868</v>
      </c>
    </row>
    <row r="8" spans="1:10">
      <c r="A8" t="s">
        <v>8556</v>
      </c>
      <c r="B8" t="s">
        <v>8912</v>
      </c>
      <c r="C8" t="s">
        <v>8489</v>
      </c>
      <c r="E8" t="s">
        <v>8413</v>
      </c>
      <c r="F8" t="s">
        <v>8393</v>
      </c>
      <c r="G8" t="s">
        <v>8557</v>
      </c>
      <c r="I8" t="s">
        <v>3868</v>
      </c>
    </row>
    <row r="9" spans="1:10">
      <c r="A9" t="s">
        <v>8558</v>
      </c>
      <c r="B9" t="s">
        <v>8912</v>
      </c>
      <c r="C9" t="s">
        <v>8489</v>
      </c>
      <c r="E9" t="s">
        <v>8416</v>
      </c>
      <c r="F9" t="s">
        <v>8393</v>
      </c>
      <c r="G9" t="s">
        <v>8466</v>
      </c>
      <c r="I9" t="s">
        <v>3868</v>
      </c>
    </row>
    <row r="10" spans="1:10">
      <c r="A10" t="s">
        <v>8559</v>
      </c>
      <c r="B10" t="s">
        <v>8912</v>
      </c>
      <c r="C10" t="s">
        <v>8489</v>
      </c>
      <c r="E10" t="s">
        <v>8419</v>
      </c>
      <c r="F10" t="s">
        <v>8393</v>
      </c>
      <c r="G10" t="s">
        <v>8435</v>
      </c>
      <c r="I10" t="s">
        <v>3868</v>
      </c>
    </row>
    <row r="11" spans="1:10">
      <c r="A11" t="s">
        <v>8560</v>
      </c>
      <c r="B11" t="s">
        <v>8912</v>
      </c>
      <c r="C11" t="s">
        <v>8489</v>
      </c>
      <c r="E11" t="s">
        <v>8422</v>
      </c>
      <c r="F11" t="s">
        <v>8393</v>
      </c>
      <c r="G11" t="s">
        <v>8561</v>
      </c>
      <c r="I11" t="s">
        <v>3868</v>
      </c>
    </row>
    <row r="12" spans="1:10">
      <c r="A12" t="s">
        <v>8562</v>
      </c>
      <c r="B12" t="s">
        <v>8912</v>
      </c>
      <c r="C12" t="s">
        <v>8489</v>
      </c>
      <c r="E12" t="s">
        <v>8413</v>
      </c>
      <c r="F12" t="s">
        <v>8393</v>
      </c>
      <c r="G12" t="s">
        <v>8563</v>
      </c>
      <c r="I12" t="s">
        <v>3868</v>
      </c>
      <c r="J12" t="s">
        <v>8426</v>
      </c>
    </row>
    <row r="13" spans="1:10">
      <c r="A13" t="s">
        <v>8564</v>
      </c>
      <c r="B13" t="s">
        <v>8912</v>
      </c>
      <c r="C13" t="s">
        <v>8489</v>
      </c>
      <c r="E13" t="s">
        <v>8428</v>
      </c>
      <c r="F13" t="s">
        <v>8393</v>
      </c>
      <c r="G13" t="s">
        <v>8565</v>
      </c>
      <c r="I13" t="s">
        <v>3868</v>
      </c>
    </row>
    <row r="14" spans="1:10">
      <c r="A14" t="s">
        <v>8566</v>
      </c>
      <c r="B14" t="s">
        <v>8912</v>
      </c>
      <c r="C14" t="s">
        <v>8489</v>
      </c>
      <c r="E14" t="s">
        <v>8406</v>
      </c>
      <c r="F14" t="s">
        <v>8393</v>
      </c>
      <c r="G14" t="s">
        <v>8563</v>
      </c>
      <c r="I14" t="s">
        <v>3868</v>
      </c>
    </row>
    <row r="15" spans="1:10">
      <c r="A15" t="s">
        <v>8567</v>
      </c>
      <c r="B15" t="s">
        <v>8912</v>
      </c>
      <c r="C15" t="s">
        <v>8485</v>
      </c>
      <c r="E15" t="s">
        <v>8432</v>
      </c>
      <c r="F15" t="s">
        <v>8393</v>
      </c>
      <c r="G15" t="s">
        <v>8435</v>
      </c>
      <c r="I15" t="s">
        <v>3868</v>
      </c>
      <c r="J15" t="s">
        <v>8433</v>
      </c>
    </row>
    <row r="16" spans="1:10">
      <c r="A16" t="s">
        <v>8568</v>
      </c>
      <c r="B16" t="s">
        <v>8912</v>
      </c>
      <c r="C16" t="s">
        <v>8485</v>
      </c>
      <c r="E16" t="s">
        <v>8432</v>
      </c>
      <c r="F16" t="s">
        <v>8393</v>
      </c>
      <c r="G16" t="s">
        <v>8569</v>
      </c>
      <c r="I16" t="s">
        <v>3874</v>
      </c>
      <c r="J16" t="s">
        <v>8436</v>
      </c>
    </row>
    <row r="17" spans="1:10">
      <c r="A17" t="s">
        <v>8570</v>
      </c>
      <c r="B17" t="s">
        <v>8913</v>
      </c>
      <c r="D17" t="s">
        <v>8416</v>
      </c>
      <c r="E17" t="s">
        <v>8571</v>
      </c>
      <c r="F17" t="s">
        <v>8442</v>
      </c>
      <c r="G17" t="s">
        <v>8572</v>
      </c>
      <c r="I17" t="s">
        <v>3880</v>
      </c>
    </row>
    <row r="18" spans="1:10">
      <c r="A18" t="s">
        <v>8573</v>
      </c>
      <c r="B18" t="s">
        <v>8913</v>
      </c>
      <c r="D18" t="s">
        <v>8413</v>
      </c>
      <c r="E18" t="s">
        <v>8419</v>
      </c>
      <c r="F18" t="s">
        <v>8442</v>
      </c>
      <c r="G18" t="s">
        <v>8574</v>
      </c>
      <c r="I18" t="s">
        <v>3868</v>
      </c>
      <c r="J18" t="s">
        <v>8575</v>
      </c>
    </row>
    <row r="19" spans="1:10">
      <c r="A19" t="s">
        <v>8576</v>
      </c>
      <c r="B19" t="s">
        <v>8913</v>
      </c>
      <c r="D19" t="s">
        <v>8393</v>
      </c>
      <c r="E19" t="s">
        <v>8413</v>
      </c>
      <c r="F19" t="s">
        <v>8446</v>
      </c>
      <c r="G19" t="s">
        <v>8572</v>
      </c>
      <c r="I19" t="s">
        <v>3868</v>
      </c>
      <c r="J19" t="s">
        <v>8577</v>
      </c>
    </row>
    <row r="20" spans="1:10">
      <c r="A20" t="s">
        <v>8578</v>
      </c>
      <c r="B20" t="s">
        <v>8913</v>
      </c>
      <c r="D20" t="s">
        <v>8432</v>
      </c>
      <c r="E20" t="s">
        <v>8410</v>
      </c>
      <c r="F20" t="s">
        <v>8446</v>
      </c>
      <c r="G20" t="s">
        <v>8579</v>
      </c>
      <c r="I20" t="s">
        <v>3868</v>
      </c>
      <c r="J20" t="s">
        <v>8450</v>
      </c>
    </row>
    <row r="21" spans="1:10">
      <c r="A21" t="s">
        <v>8580</v>
      </c>
      <c r="B21" t="s">
        <v>8913</v>
      </c>
      <c r="D21" t="s">
        <v>8413</v>
      </c>
      <c r="E21" t="s">
        <v>8571</v>
      </c>
      <c r="F21" t="s">
        <v>8393</v>
      </c>
      <c r="G21" t="s">
        <v>8572</v>
      </c>
      <c r="I21" t="s">
        <v>3880</v>
      </c>
      <c r="J21" t="s">
        <v>8453</v>
      </c>
    </row>
    <row r="22" spans="1:10">
      <c r="A22" t="s">
        <v>8581</v>
      </c>
      <c r="B22" t="s">
        <v>8913</v>
      </c>
      <c r="D22" t="s">
        <v>8432</v>
      </c>
      <c r="E22" t="s">
        <v>8582</v>
      </c>
      <c r="F22" t="s">
        <v>8393</v>
      </c>
      <c r="G22" t="s">
        <v>8583</v>
      </c>
      <c r="I22" t="s">
        <v>3868</v>
      </c>
    </row>
    <row r="23" spans="1:10">
      <c r="A23" t="s">
        <v>8584</v>
      </c>
      <c r="B23" t="s">
        <v>8913</v>
      </c>
      <c r="D23" t="s">
        <v>8393</v>
      </c>
      <c r="E23" t="s">
        <v>8432</v>
      </c>
      <c r="F23" t="s">
        <v>8457</v>
      </c>
      <c r="G23" t="s">
        <v>8585</v>
      </c>
      <c r="I23" t="s">
        <v>3868</v>
      </c>
      <c r="J23" t="s">
        <v>8459</v>
      </c>
    </row>
    <row r="24" spans="1:10">
      <c r="A24" t="s">
        <v>8586</v>
      </c>
      <c r="B24" t="s">
        <v>8915</v>
      </c>
      <c r="C24" t="s">
        <v>8303</v>
      </c>
      <c r="E24" t="s">
        <v>8393</v>
      </c>
      <c r="F24" t="s">
        <v>8446</v>
      </c>
      <c r="G24" t="s">
        <v>8544</v>
      </c>
      <c r="I24" t="s">
        <v>8393</v>
      </c>
      <c r="J24" t="s">
        <v>8587</v>
      </c>
    </row>
    <row r="25" spans="1:10">
      <c r="A25" t="s">
        <v>8588</v>
      </c>
      <c r="B25" t="s">
        <v>8915</v>
      </c>
      <c r="C25" t="s">
        <v>8317</v>
      </c>
      <c r="E25" t="s">
        <v>8393</v>
      </c>
      <c r="F25" t="s">
        <v>8393</v>
      </c>
      <c r="G25" t="s">
        <v>8589</v>
      </c>
      <c r="I25" t="s">
        <v>8393</v>
      </c>
      <c r="J25" t="s">
        <v>8590</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T87"/>
  <sheetViews>
    <sheetView workbookViewId="0"/>
  </sheetViews>
  <sheetFormatPr baseColWidth="10" defaultColWidth="9.140625" defaultRowHeight="15"/>
  <cols>
    <col min="1" max="1" width="27" style="48" customWidth="1"/>
    <col min="2" max="10" width="16" style="48" customWidth="1"/>
    <col min="11" max="24" width="12" style="48" customWidth="1"/>
    <col min="25" max="26" width="20" style="48" customWidth="1"/>
    <col min="27" max="27" width="12" style="48" customWidth="1"/>
    <col min="28" max="32" width="18" style="48" customWidth="1"/>
    <col min="33" max="33" width="12" style="48" customWidth="1"/>
    <col min="34" max="35" width="9.140625" style="28" customWidth="1"/>
  </cols>
  <sheetData>
    <row r="1" spans="1:46" ht="33.950000000000003" customHeight="1">
      <c r="A1" s="45" t="s">
        <v>5474</v>
      </c>
      <c r="B1" s="46" t="s">
        <v>5455</v>
      </c>
      <c r="C1" s="46" t="s">
        <v>8643</v>
      </c>
      <c r="D1" s="46" t="s">
        <v>8916</v>
      </c>
      <c r="E1" s="46" t="s">
        <v>8812</v>
      </c>
      <c r="F1" s="46" t="s">
        <v>8917</v>
      </c>
      <c r="G1" s="46" t="s">
        <v>8918</v>
      </c>
      <c r="H1" s="46" t="s">
        <v>8919</v>
      </c>
      <c r="I1" s="46" t="s">
        <v>7221</v>
      </c>
      <c r="J1" s="46" t="s">
        <v>7222</v>
      </c>
      <c r="K1" s="46" t="s">
        <v>8644</v>
      </c>
      <c r="L1" s="46" t="s">
        <v>8645</v>
      </c>
      <c r="M1" s="46" t="s">
        <v>8646</v>
      </c>
      <c r="N1" s="46" t="s">
        <v>8647</v>
      </c>
      <c r="O1" s="46" t="s">
        <v>8648</v>
      </c>
      <c r="P1" s="46" t="s">
        <v>7350</v>
      </c>
      <c r="Q1" s="46" t="s">
        <v>8250</v>
      </c>
      <c r="R1" s="46" t="s">
        <v>8369</v>
      </c>
      <c r="S1" s="46" t="s">
        <v>8379</v>
      </c>
      <c r="T1" s="46" t="s">
        <v>8315</v>
      </c>
      <c r="U1" s="46" t="s">
        <v>8600</v>
      </c>
      <c r="V1" s="46" t="s">
        <v>8649</v>
      </c>
      <c r="W1" s="46" t="s">
        <v>8650</v>
      </c>
      <c r="X1" s="46" t="s">
        <v>5479</v>
      </c>
      <c r="Y1" s="46" t="s">
        <v>8651</v>
      </c>
      <c r="Z1" s="46" t="s">
        <v>8652</v>
      </c>
      <c r="AA1" s="46" t="s">
        <v>8653</v>
      </c>
      <c r="AB1" s="46" t="s">
        <v>8654</v>
      </c>
      <c r="AC1" s="46" t="s">
        <v>7225</v>
      </c>
      <c r="AD1" s="46" t="s">
        <v>8655</v>
      </c>
      <c r="AE1" s="46" t="s">
        <v>8656</v>
      </c>
      <c r="AF1" s="46" t="s">
        <v>8920</v>
      </c>
      <c r="AG1" s="47" t="s">
        <v>1398</v>
      </c>
      <c r="AH1" s="28" t="s">
        <v>7344</v>
      </c>
      <c r="AI1" s="28" t="s">
        <v>5553</v>
      </c>
      <c r="AJ1" t="s">
        <v>7345</v>
      </c>
      <c r="AK1" t="s">
        <v>7346</v>
      </c>
      <c r="AL1" t="s">
        <v>7347</v>
      </c>
      <c r="AM1" t="s">
        <v>7348</v>
      </c>
      <c r="AN1" t="s">
        <v>7349</v>
      </c>
      <c r="AO1" t="s">
        <v>7351</v>
      </c>
      <c r="AP1" t="s">
        <v>7352</v>
      </c>
      <c r="AQ1" t="s">
        <v>7353</v>
      </c>
      <c r="AR1" t="s">
        <v>7354</v>
      </c>
      <c r="AS1" t="s">
        <v>7358</v>
      </c>
      <c r="AT1" t="s">
        <v>7359</v>
      </c>
    </row>
    <row r="2" spans="1:46">
      <c r="A2" s="49" t="s">
        <v>8819</v>
      </c>
      <c r="B2" s="49" t="s">
        <v>8820</v>
      </c>
      <c r="C2" s="49" t="s">
        <v>8921</v>
      </c>
      <c r="D2" s="49" t="s">
        <v>8819</v>
      </c>
      <c r="E2" s="49" t="s">
        <v>8258</v>
      </c>
      <c r="F2" s="49" t="s">
        <v>8922</v>
      </c>
      <c r="G2" s="49" t="s">
        <v>8923</v>
      </c>
      <c r="H2" s="49" t="s">
        <v>8271</v>
      </c>
      <c r="I2" s="49" t="s">
        <v>7341</v>
      </c>
      <c r="J2" s="49" t="s">
        <v>7320</v>
      </c>
      <c r="K2" s="51">
        <f>VLOOKUP(B2,'Feuerwaffen-Ressourcen'!$A$2:$AI$54,11,0)+VLOOKUP(C2,'Feuerwaffen-Ressourcen'!$A$2:$AI$54,11,0)+VLOOKUP(D2,'Feuerwaffen-Ressourcen'!$A$2:$AI$54,11,0)+VLOOKUP(E2,'Feuerwaffen-Ressourcen'!$A$2:$AI$54,11,0)+VLOOKUP(G2,'Feuerwaffen-Ressourcen'!$A$2:$AI$54,11,0)</f>
        <v>6.8</v>
      </c>
      <c r="L2" s="50">
        <f>VLOOKUP(B2,'Feuerwaffen-Ressourcen'!$A$2:$AI$54,12,0)+VLOOKUP(C2,'Feuerwaffen-Ressourcen'!$A$2:$AI$54,12,0)+VLOOKUP(D2,'Feuerwaffen-Ressourcen'!$A$2:$AI$54,12,0)+VLOOKUP(J2,'Feuerwaffen-Ressourcen'!$A$2:$AI$54,12,0)</f>
        <v>14</v>
      </c>
      <c r="M2" s="50" t="str">
        <f>VLOOKUP(VLOOKUP(B2,'Feuerwaffen-Ressourcen'!$A$2:$AI$54,13,0)+VLOOKUP(C2,'Feuerwaffen-Ressourcen'!$A$2:$AI$54,13,0)+VLOOKUP(D2,'Feuerwaffen-Ressourcen'!$A$2:$AI$54,13,0),'Feuerwaffen-Ressourcen'!$AJ$3:$AK$12,2,0)</f>
        <v>W12</v>
      </c>
      <c r="N2" s="50" t="str">
        <f>VLOOKUP(VLOOKUP(B2,'Feuerwaffen-Ressourcen'!$A$2:$AI$54,14,0)+VLOOKUP(C2,'Feuerwaffen-Ressourcen'!$A$2:$AI$54,14,0)+VLOOKUP(D2,'Feuerwaffen-Ressourcen'!$A$2:$AI$54,14,0),'Feuerwaffen-Ressourcen'!$AJ$3:$AK$12,2,0)</f>
        <v>W10</v>
      </c>
      <c r="O2" s="50">
        <f>VLOOKUP(B2,'Feuerwaffen-Ressourcen'!$A$2:$AI$54,15,0)+VLOOKUP(C2,'Feuerwaffen-Ressourcen'!$A$2:$AI$54,15,0)+VLOOKUP(D2,'Feuerwaffen-Ressourcen'!$A$2:$AI$54,15,0)</f>
        <v>2</v>
      </c>
      <c r="P2" s="50">
        <f>VLOOKUP(B2,'Feuerwaffen-Ressourcen'!$A$2:$AI$54,16,0)+VLOOKUP(C2,'Feuerwaffen-Ressourcen'!$A$2:$AI$54,16,0)+VLOOKUP(D2,'Feuerwaffen-Ressourcen'!$A$2:$AI$54,16,0)+VLOOKUP(E2,'Feuerwaffen-Ressourcen'!$A$2:$AI$54,16,0)</f>
        <v>14</v>
      </c>
      <c r="Q2" s="52">
        <f>VLOOKUP(B2,'Feuerwaffen-Ressourcen'!$A$2:$AI$54,17,0)+VLOOKUP(C2,'Feuerwaffen-Ressourcen'!$A$2:$AI$54,17,0)+VLOOKUP(D2,'Feuerwaffen-Ressourcen'!$A$2:$AI$54,17,0)+VLOOKUP(E2,'Feuerwaffen-Ressourcen'!$A$2:$AI$54,17,0)</f>
        <v>19</v>
      </c>
      <c r="R2" s="50">
        <f>VLOOKUP(B2,'Feuerwaffen-Ressourcen'!$A$2:$AI$54,18,0)+VLOOKUP(C2,'Feuerwaffen-Ressourcen'!$A$2:$AI$54,18,0)+VLOOKUP(D2,'Feuerwaffen-Ressourcen'!$A$2:$AI$54,18,0)+VLOOKUP(F2,'Feuerwaffen-Ressourcen'!$A$2:$AI$54,18,0)+VLOOKUP(G2,'Feuerwaffen-Ressourcen'!$A$2:$AI$54,18,0)+VLOOKUP(I2,'Feuerwaffen-Ressourcen'!$A$2:$AI$54,18,0)+VLOOKUP(J2,'Feuerwaffen-Ressourcen'!$A$2:$AI$54,18,0)</f>
        <v>-1</v>
      </c>
      <c r="S2" s="50">
        <f>VLOOKUP(B2,'Feuerwaffen-Ressourcen'!$A$2:$AI$54,19,0)+VLOOKUP(C2,'Feuerwaffen-Ressourcen'!$A$2:$AI$54,19,0)+VLOOKUP(D2,'Feuerwaffen-Ressourcen'!$A$2:$AI$54,19,0)+VLOOKUP(F2,'Feuerwaffen-Ressourcen'!$A$2:$AI$54,19,0)+VLOOKUP(G2,'Feuerwaffen-Ressourcen'!$A$2:$AI$54,19,0)+VLOOKUP(I2,'Feuerwaffen-Ressourcen'!$A$2:$AI$54,19,0)+VLOOKUP(J2,'Feuerwaffen-Ressourcen'!$A$2:$AI$54,19,0)</f>
        <v>-5</v>
      </c>
      <c r="T2" s="50">
        <f>VLOOKUP(B2,'Feuerwaffen-Ressourcen'!$A$2:$AI$54,20,0)+VLOOKUP(C2,'Feuerwaffen-Ressourcen'!$A$2:$AI$54,20,0)+VLOOKUP(D2,'Feuerwaffen-Ressourcen'!$A$2:$AI$54,20,0)+VLOOKUP(F2,'Feuerwaffen-Ressourcen'!$A$2:$AI$54,20,0)+VLOOKUP(G2,'Feuerwaffen-Ressourcen'!$A$2:$AI$54,20,0)+VLOOKUP(I2,'Feuerwaffen-Ressourcen'!$A$2:$AI$54,20,0)+VLOOKUP(J2,'Feuerwaffen-Ressourcen'!$A$2:$AI$54,20,0)</f>
        <v>-9</v>
      </c>
      <c r="U2" s="50">
        <f>VLOOKUP(B2,'Feuerwaffen-Ressourcen'!$A$2:$AI$54,21,0)+VLOOKUP(C2,'Feuerwaffen-Ressourcen'!$A$2:$AI$54,21,0)+VLOOKUP(D2,'Feuerwaffen-Ressourcen'!$A$2:$AI$54,21,0)+VLOOKUP(F2,'Feuerwaffen-Ressourcen'!$A$2:$AI$54,21,0)+VLOOKUP(G2,'Feuerwaffen-Ressourcen'!$A$2:$AI$54,21,0)+VLOOKUP(I2,'Feuerwaffen-Ressourcen'!$A$2:$AI$54,21,0)+VLOOKUP(J2,'Feuerwaffen-Ressourcen'!$A$2:$AI$54,21,0)</f>
        <v>-15</v>
      </c>
      <c r="V2" s="50">
        <f>VLOOKUP(B2,'Feuerwaffen-Ressourcen'!$A$2:$AI$54,22,0)+VLOOKUP(C2,'Feuerwaffen-Ressourcen'!$A$2:$AI$54,22,0)+VLOOKUP(D2,'Feuerwaffen-Ressourcen'!$A$2:$AI$54,22,0)+VLOOKUP(F2,'Feuerwaffen-Ressourcen'!$A$2:$AI$54,22,0)+VLOOKUP(G2,'Feuerwaffen-Ressourcen'!$A$2:$AI$54,22,0)+VLOOKUP(I2,'Feuerwaffen-Ressourcen'!$A$2:$AI$54,22,0)+VLOOKUP(J2,'Feuerwaffen-Ressourcen'!$A$2:$AI$54,22,0)</f>
        <v>-23</v>
      </c>
      <c r="W2" s="50">
        <f>VLOOKUP(B2,'Feuerwaffen-Ressourcen'!$A$2:$AI$54,23,0)+VLOOKUP(C2,'Feuerwaffen-Ressourcen'!$A$2:$AI$54,23,0)+VLOOKUP(D2,'Feuerwaffen-Ressourcen'!$A$2:$AI$54,23,0)+VLOOKUP(F2,'Feuerwaffen-Ressourcen'!$A$2:$AI$54,23,0)+VLOOKUP(G2,'Feuerwaffen-Ressourcen'!$A$2:$AI$54,23,0)+VLOOKUP(I2,'Feuerwaffen-Ressourcen'!$A$2:$AI$54,23,0)+VLOOKUP(J2,'Feuerwaffen-Ressourcen'!$A$2:$AI$54,23,0)</f>
        <v>-31</v>
      </c>
      <c r="X2" s="50">
        <f>VLOOKUP(B2,'Feuerwaffen-Ressourcen'!$A$2:$AI$54,24,0)+VLOOKUP(C2,'Feuerwaffen-Ressourcen'!$A$2:$AI$54,24,0)+VLOOKUP(D2,'Feuerwaffen-Ressourcen'!$A$2:$AI$54,24,0)+VLOOKUP(G2,'Feuerwaffen-Ressourcen'!$A$2:$AI$54,24,0)</f>
        <v>60</v>
      </c>
      <c r="Y2" s="50">
        <f>VLOOKUP(D2,'Feuerwaffen-Ressourcen'!$A$2:$AI$54,25,0)+VLOOKUP(E2,'Feuerwaffen-Ressourcen'!$A$2:$AI$54,25,0)+VLOOKUP(F2,'Feuerwaffen-Ressourcen'!$A$2:$AI$54,25,0)</f>
        <v>39</v>
      </c>
      <c r="Z2" s="50">
        <f>VLOOKUP(E2,'Feuerwaffen-Ressourcen'!$A$2:$AI$54,26,0)</f>
        <v>3</v>
      </c>
      <c r="AA2" s="50">
        <f>VLOOKUP(B2,'Feuerwaffen-Ressourcen'!$A$2:$AI$54,27,0)+VLOOKUP(D2,'Feuerwaffen-Ressourcen'!$A$2:$AI$54,27,0)+VLOOKUP(F2,'Feuerwaffen-Ressourcen'!$A$2:$AI$54,27,0)+VLOOKUP(I2,'Feuerwaffen-Ressourcen'!$A$2:$AI$54,27,0)</f>
        <v>4</v>
      </c>
      <c r="AB2" s="50">
        <f>VLOOKUP(B2,'Feuerwaffen-Ressourcen'!$A$2:$AI$54,28,0)+VLOOKUP(C2,'Feuerwaffen-Ressourcen'!$A$2:$AI$54,28,0)+VLOOKUP(D2,'Feuerwaffen-Ressourcen'!$A$2:$AI$54,28,0)+VLOOKUP(E2,'Feuerwaffen-Ressourcen'!$A$2:$AI$54,28,0)+VLOOKUP(F2,'Feuerwaffen-Ressourcen'!$A$2:$AI$54,28,0)+VLOOKUP(G2,'Feuerwaffen-Ressourcen'!$A$2:$AI$54,28,0)+VLOOKUP(I2,'Feuerwaffen-Ressourcen'!$A$2:$AI$54,28,0)+VLOOKUP(J2,'Feuerwaffen-Ressourcen'!$A$2:$AI$54,28,0)</f>
        <v>85</v>
      </c>
      <c r="AC2" s="53">
        <f>VLOOKUP(I2,'Feuerwaffen-Ressourcen'!$A$2:$AI$54,31,0)*AD2+AE2</f>
        <v>614.69999999999993</v>
      </c>
      <c r="AD2" s="54">
        <f>VLOOKUP(B2,'Feuerwaffen-Ressourcen'!$A$2:$AI$54,30,0)+VLOOKUP(C2,'Feuerwaffen-Ressourcen'!$A$2:$AI$54,30,0)+VLOOKUP(D2,'Feuerwaffen-Ressourcen'!$A$2:$AI$54,30,0)+VLOOKUP(F2,'Feuerwaffen-Ressourcen'!$A$2:$AI$54,30,0)+VLOOKUP(G2,'Feuerwaffen-Ressourcen'!$A$2:$AI$54,30,0)+VLOOKUP(I2,'Feuerwaffen-Ressourcen'!$A$2:$AI$54,30,0)+VLOOKUP(J2,'Feuerwaffen-Ressourcen'!$A$2:$AI$54,30,0)</f>
        <v>6.1999999999999993</v>
      </c>
      <c r="AE2" s="53">
        <f>(VLOOKUP(C2,'Feuerwaffen-Ressourcen'!$A$2:$AI$54,32,0)+VLOOKUP(I2,'Feuerwaffen-Ressourcen'!$A$2:$AI$54,32,0))*(VLOOKUP(B2,'Feuerwaffen-Ressourcen'!$A$2:$AI$54,34,0)+VLOOKUP(C2,'Feuerwaffen-Ressourcen'!$A$2:$AI$54,34,0)+VLOOKUP(D2,'Feuerwaffen-Ressourcen'!$A$2:$AI$54,34,0)+VLOOKUP(E2,'Feuerwaffen-Ressourcen'!$A$2:$AI$54,34,0)+VLOOKUP(G2,'Feuerwaffen-Ressourcen'!$A$2:$AI$54,34,0))+VLOOKUP(B2,'Feuerwaffen-Ressourcen'!$A$2:$AI$54,35,0)+VLOOKUP(C2,'Feuerwaffen-Ressourcen'!$A$2:$AI$54,35,0)+VLOOKUP(D2,'Feuerwaffen-Ressourcen'!$A$2:$AI$54,35,0)</f>
        <v>589.9</v>
      </c>
      <c r="AF2" s="55">
        <f>VLOOKUP(AB2,'Feuerwaffen-Ressourcen'!$AO$3:$AP$9,2,1)</f>
        <v>6</v>
      </c>
      <c r="AG2" s="55">
        <v>0</v>
      </c>
      <c r="AH2" s="28" t="s">
        <v>1420</v>
      </c>
      <c r="AI2" s="28" t="s">
        <v>8657</v>
      </c>
      <c r="AJ2" s="56">
        <v>3</v>
      </c>
      <c r="AK2" s="56" t="s">
        <v>5497</v>
      </c>
      <c r="AL2" s="56" t="s">
        <v>5486</v>
      </c>
      <c r="AM2" s="56">
        <v>3</v>
      </c>
      <c r="AN2" s="56">
        <v>5</v>
      </c>
      <c r="AO2" s="56">
        <v>4</v>
      </c>
      <c r="AP2" s="56">
        <v>4</v>
      </c>
      <c r="AQ2" s="56">
        <v>14</v>
      </c>
      <c r="AR2" s="56">
        <v>14</v>
      </c>
      <c r="AS2" s="56">
        <v>5</v>
      </c>
      <c r="AT2" s="56">
        <v>6</v>
      </c>
    </row>
    <row r="3" spans="1:46">
      <c r="A3" s="49" t="s">
        <v>8821</v>
      </c>
      <c r="B3" s="49" t="s">
        <v>8820</v>
      </c>
      <c r="C3" s="49" t="s">
        <v>8921</v>
      </c>
      <c r="D3" s="49" t="s">
        <v>8912</v>
      </c>
      <c r="E3" s="49" t="s">
        <v>8258</v>
      </c>
      <c r="F3" s="49" t="s">
        <v>8922</v>
      </c>
      <c r="G3" s="49" t="s">
        <v>8923</v>
      </c>
      <c r="H3" s="49" t="s">
        <v>8271</v>
      </c>
      <c r="I3" s="49" t="s">
        <v>7341</v>
      </c>
      <c r="J3" s="49" t="s">
        <v>7320</v>
      </c>
      <c r="K3" s="51">
        <f>VLOOKUP(B3,'Feuerwaffen-Ressourcen'!$A$2:$AI$54,11,0)+VLOOKUP(C3,'Feuerwaffen-Ressourcen'!$A$2:$AI$54,11,0)+VLOOKUP(D3,'Feuerwaffen-Ressourcen'!$A$2:$AI$54,11,0)+VLOOKUP(E3,'Feuerwaffen-Ressourcen'!$A$2:$AI$54,11,0)+VLOOKUP(G3,'Feuerwaffen-Ressourcen'!$A$2:$AI$54,11,0)</f>
        <v>3.8</v>
      </c>
      <c r="L3" s="50">
        <f>VLOOKUP(B3,'Feuerwaffen-Ressourcen'!$A$2:$AI$54,12,0)+VLOOKUP(C3,'Feuerwaffen-Ressourcen'!$A$2:$AI$54,12,0)+VLOOKUP(D3,'Feuerwaffen-Ressourcen'!$A$2:$AI$54,12,0)+VLOOKUP(J3,'Feuerwaffen-Ressourcen'!$A$2:$AI$54,12,0)</f>
        <v>10</v>
      </c>
      <c r="M3" s="50" t="str">
        <f>VLOOKUP(VLOOKUP(B3,'Feuerwaffen-Ressourcen'!$A$2:$AI$54,13,0)+VLOOKUP(C3,'Feuerwaffen-Ressourcen'!$A$2:$AI$54,13,0)+VLOOKUP(D3,'Feuerwaffen-Ressourcen'!$A$2:$AI$54,13,0),'Feuerwaffen-Ressourcen'!$AJ$3:$AK$12,2,0)</f>
        <v>W8</v>
      </c>
      <c r="N3" s="50" t="str">
        <f>VLOOKUP(VLOOKUP(B3,'Feuerwaffen-Ressourcen'!$A$2:$AI$54,14,0)+VLOOKUP(C3,'Feuerwaffen-Ressourcen'!$A$2:$AI$54,14,0)+VLOOKUP(D3,'Feuerwaffen-Ressourcen'!$A$2:$AI$54,14,0),'Feuerwaffen-Ressourcen'!$AJ$3:$AK$12,2,0)</f>
        <v>W8</v>
      </c>
      <c r="O3" s="50">
        <f>VLOOKUP(B3,'Feuerwaffen-Ressourcen'!$A$2:$AI$54,15,0)+VLOOKUP(C3,'Feuerwaffen-Ressourcen'!$A$2:$AI$54,15,0)+VLOOKUP(D3,'Feuerwaffen-Ressourcen'!$A$2:$AI$54,15,0)</f>
        <v>1</v>
      </c>
      <c r="P3" s="50">
        <f>VLOOKUP(B3,'Feuerwaffen-Ressourcen'!$A$2:$AI$54,16,0)+VLOOKUP(C3,'Feuerwaffen-Ressourcen'!$A$2:$AI$54,16,0)+VLOOKUP(D3,'Feuerwaffen-Ressourcen'!$A$2:$AI$54,16,0)+VLOOKUP(E3,'Feuerwaffen-Ressourcen'!$A$2:$AI$54,16,0)</f>
        <v>11</v>
      </c>
      <c r="Q3" s="52">
        <f>VLOOKUP(B3,'Feuerwaffen-Ressourcen'!$A$2:$AI$54,17,0)+VLOOKUP(C3,'Feuerwaffen-Ressourcen'!$A$2:$AI$54,17,0)+VLOOKUP(D3,'Feuerwaffen-Ressourcen'!$A$2:$AI$54,17,0)+VLOOKUP(E3,'Feuerwaffen-Ressourcen'!$A$2:$AI$54,17,0)</f>
        <v>17</v>
      </c>
      <c r="R3" s="50">
        <f>VLOOKUP(B3,'Feuerwaffen-Ressourcen'!$A$2:$AI$54,18,0)+VLOOKUP(C3,'Feuerwaffen-Ressourcen'!$A$2:$AI$54,18,0)+VLOOKUP(D3,'Feuerwaffen-Ressourcen'!$A$2:$AI$54,18,0)+VLOOKUP(F3,'Feuerwaffen-Ressourcen'!$A$2:$AI$54,18,0)+VLOOKUP(G3,'Feuerwaffen-Ressourcen'!$A$2:$AI$54,18,0)+VLOOKUP(I3,'Feuerwaffen-Ressourcen'!$A$2:$AI$54,18,0)+VLOOKUP(J3,'Feuerwaffen-Ressourcen'!$A$2:$AI$54,18,0)</f>
        <v>3</v>
      </c>
      <c r="S3" s="50">
        <f>VLOOKUP(B3,'Feuerwaffen-Ressourcen'!$A$2:$AI$54,19,0)+VLOOKUP(C3,'Feuerwaffen-Ressourcen'!$A$2:$AI$54,19,0)+VLOOKUP(D3,'Feuerwaffen-Ressourcen'!$A$2:$AI$54,19,0)+VLOOKUP(F3,'Feuerwaffen-Ressourcen'!$A$2:$AI$54,19,0)+VLOOKUP(G3,'Feuerwaffen-Ressourcen'!$A$2:$AI$54,19,0)+VLOOKUP(I3,'Feuerwaffen-Ressourcen'!$A$2:$AI$54,19,0)+VLOOKUP(J3,'Feuerwaffen-Ressourcen'!$A$2:$AI$54,19,0)</f>
        <v>-3</v>
      </c>
      <c r="T3" s="50">
        <f>VLOOKUP(B3,'Feuerwaffen-Ressourcen'!$A$2:$AI$54,20,0)+VLOOKUP(C3,'Feuerwaffen-Ressourcen'!$A$2:$AI$54,20,0)+VLOOKUP(D3,'Feuerwaffen-Ressourcen'!$A$2:$AI$54,20,0)+VLOOKUP(F3,'Feuerwaffen-Ressourcen'!$A$2:$AI$54,20,0)+VLOOKUP(G3,'Feuerwaffen-Ressourcen'!$A$2:$AI$54,20,0)+VLOOKUP(I3,'Feuerwaffen-Ressourcen'!$A$2:$AI$54,20,0)+VLOOKUP(J3,'Feuerwaffen-Ressourcen'!$A$2:$AI$54,20,0)</f>
        <v>-9</v>
      </c>
      <c r="U3" s="50">
        <f>VLOOKUP(B3,'Feuerwaffen-Ressourcen'!$A$2:$AI$54,21,0)+VLOOKUP(C3,'Feuerwaffen-Ressourcen'!$A$2:$AI$54,21,0)+VLOOKUP(D3,'Feuerwaffen-Ressourcen'!$A$2:$AI$54,21,0)+VLOOKUP(F3,'Feuerwaffen-Ressourcen'!$A$2:$AI$54,21,0)+VLOOKUP(G3,'Feuerwaffen-Ressourcen'!$A$2:$AI$54,21,0)+VLOOKUP(I3,'Feuerwaffen-Ressourcen'!$A$2:$AI$54,21,0)+VLOOKUP(J3,'Feuerwaffen-Ressourcen'!$A$2:$AI$54,21,0)</f>
        <v>-15</v>
      </c>
      <c r="V3" s="50">
        <f>VLOOKUP(B3,'Feuerwaffen-Ressourcen'!$A$2:$AI$54,22,0)+VLOOKUP(C3,'Feuerwaffen-Ressourcen'!$A$2:$AI$54,22,0)+VLOOKUP(D3,'Feuerwaffen-Ressourcen'!$A$2:$AI$54,22,0)+VLOOKUP(F3,'Feuerwaffen-Ressourcen'!$A$2:$AI$54,22,0)+VLOOKUP(G3,'Feuerwaffen-Ressourcen'!$A$2:$AI$54,22,0)+VLOOKUP(I3,'Feuerwaffen-Ressourcen'!$A$2:$AI$54,22,0)+VLOOKUP(J3,'Feuerwaffen-Ressourcen'!$A$2:$AI$54,22,0)</f>
        <v>-23</v>
      </c>
      <c r="W3" s="50">
        <f>VLOOKUP(B3,'Feuerwaffen-Ressourcen'!$A$2:$AI$54,23,0)+VLOOKUP(C3,'Feuerwaffen-Ressourcen'!$A$2:$AI$54,23,0)+VLOOKUP(D3,'Feuerwaffen-Ressourcen'!$A$2:$AI$54,23,0)+VLOOKUP(F3,'Feuerwaffen-Ressourcen'!$A$2:$AI$54,23,0)+VLOOKUP(G3,'Feuerwaffen-Ressourcen'!$A$2:$AI$54,23,0)+VLOOKUP(I3,'Feuerwaffen-Ressourcen'!$A$2:$AI$54,23,0)+VLOOKUP(J3,'Feuerwaffen-Ressourcen'!$A$2:$AI$54,23,0)</f>
        <v>-31</v>
      </c>
      <c r="X3" s="50">
        <f>VLOOKUP(B3,'Feuerwaffen-Ressourcen'!$A$2:$AI$54,24,0)+VLOOKUP(C3,'Feuerwaffen-Ressourcen'!$A$2:$AI$54,24,0)+VLOOKUP(D3,'Feuerwaffen-Ressourcen'!$A$2:$AI$54,24,0)+VLOOKUP(G3,'Feuerwaffen-Ressourcen'!$A$2:$AI$54,24,0)</f>
        <v>40</v>
      </c>
      <c r="Y3" s="50">
        <f>VLOOKUP(D3,'Feuerwaffen-Ressourcen'!$A$2:$AI$54,25,0)+VLOOKUP(E3,'Feuerwaffen-Ressourcen'!$A$2:$AI$54,25,0)+VLOOKUP(F3,'Feuerwaffen-Ressourcen'!$A$2:$AI$54,25,0)</f>
        <v>31</v>
      </c>
      <c r="Z3" s="50">
        <f>VLOOKUP(E3,'Feuerwaffen-Ressourcen'!$A$2:$AI$54,26,0)</f>
        <v>3</v>
      </c>
      <c r="AA3" s="50">
        <f>VLOOKUP(B3,'Feuerwaffen-Ressourcen'!$A$2:$AI$54,27,0)+VLOOKUP(D3,'Feuerwaffen-Ressourcen'!$A$2:$AI$54,27,0)+VLOOKUP(F3,'Feuerwaffen-Ressourcen'!$A$2:$AI$54,27,0)+VLOOKUP(I3,'Feuerwaffen-Ressourcen'!$A$2:$AI$54,27,0)</f>
        <v>4</v>
      </c>
      <c r="AB3" s="50">
        <f>VLOOKUP(B3,'Feuerwaffen-Ressourcen'!$A$2:$AI$54,28,0)+VLOOKUP(C3,'Feuerwaffen-Ressourcen'!$A$2:$AI$54,28,0)+VLOOKUP(D3,'Feuerwaffen-Ressourcen'!$A$2:$AI$54,28,0)+VLOOKUP(E3,'Feuerwaffen-Ressourcen'!$A$2:$AI$54,28,0)+VLOOKUP(F3,'Feuerwaffen-Ressourcen'!$A$2:$AI$54,28,0)+VLOOKUP(G3,'Feuerwaffen-Ressourcen'!$A$2:$AI$54,28,0)+VLOOKUP(I3,'Feuerwaffen-Ressourcen'!$A$2:$AI$54,28,0)+VLOOKUP(J3,'Feuerwaffen-Ressourcen'!$A$2:$AI$54,28,0)</f>
        <v>110</v>
      </c>
      <c r="AC3" s="53">
        <f>VLOOKUP(I3,'Feuerwaffen-Ressourcen'!$A$2:$AI$54,31,0)*AD3+AE3</f>
        <v>242.70000000000002</v>
      </c>
      <c r="AD3" s="54">
        <f>VLOOKUP(B3,'Feuerwaffen-Ressourcen'!$A$2:$AI$54,30,0)+VLOOKUP(C3,'Feuerwaffen-Ressourcen'!$A$2:$AI$54,30,0)+VLOOKUP(D3,'Feuerwaffen-Ressourcen'!$A$2:$AI$54,30,0)+VLOOKUP(F3,'Feuerwaffen-Ressourcen'!$A$2:$AI$54,30,0)+VLOOKUP(G3,'Feuerwaffen-Ressourcen'!$A$2:$AI$54,30,0)+VLOOKUP(I3,'Feuerwaffen-Ressourcen'!$A$2:$AI$54,30,0)+VLOOKUP(J3,'Feuerwaffen-Ressourcen'!$A$2:$AI$54,30,0)</f>
        <v>3.2</v>
      </c>
      <c r="AE3" s="53">
        <f>(VLOOKUP(C3,'Feuerwaffen-Ressourcen'!$A$2:$AI$54,32,0)+VLOOKUP(I3,'Feuerwaffen-Ressourcen'!$A$2:$AI$54,32,0))*(VLOOKUP(B3,'Feuerwaffen-Ressourcen'!$A$2:$AI$54,34,0)+VLOOKUP(C3,'Feuerwaffen-Ressourcen'!$A$2:$AI$54,34,0)+VLOOKUP(D3,'Feuerwaffen-Ressourcen'!$A$2:$AI$54,34,0)+VLOOKUP(E3,'Feuerwaffen-Ressourcen'!$A$2:$AI$54,34,0)+VLOOKUP(G3,'Feuerwaffen-Ressourcen'!$A$2:$AI$54,34,0))+VLOOKUP(B3,'Feuerwaffen-Ressourcen'!$A$2:$AI$54,35,0)+VLOOKUP(C3,'Feuerwaffen-Ressourcen'!$A$2:$AI$54,35,0)+VLOOKUP(D3,'Feuerwaffen-Ressourcen'!$A$2:$AI$54,35,0)</f>
        <v>229.9</v>
      </c>
      <c r="AF3" s="55">
        <f>VLOOKUP(AB3,'Feuerwaffen-Ressourcen'!$AO$3:$AP$9,2,1)</f>
        <v>4</v>
      </c>
      <c r="AG3" s="55">
        <v>0</v>
      </c>
      <c r="AH3" s="28" t="s">
        <v>1420</v>
      </c>
      <c r="AI3" s="28" t="s">
        <v>8657</v>
      </c>
      <c r="AJ3" s="56">
        <v>3</v>
      </c>
      <c r="AK3" s="56" t="s">
        <v>5497</v>
      </c>
      <c r="AL3" s="56" t="s">
        <v>5486</v>
      </c>
      <c r="AM3" s="56">
        <v>3</v>
      </c>
      <c r="AN3" s="56">
        <v>5</v>
      </c>
      <c r="AO3" s="56">
        <v>4</v>
      </c>
      <c r="AP3" s="56">
        <v>4</v>
      </c>
      <c r="AQ3" s="56">
        <v>10</v>
      </c>
      <c r="AR3" s="56">
        <v>10</v>
      </c>
      <c r="AS3" s="56">
        <v>5</v>
      </c>
      <c r="AT3" s="56">
        <v>6</v>
      </c>
    </row>
    <row r="4" spans="1:46">
      <c r="A4" s="49" t="s">
        <v>8822</v>
      </c>
      <c r="B4" s="49" t="s">
        <v>8820</v>
      </c>
      <c r="C4" s="49" t="s">
        <v>8921</v>
      </c>
      <c r="D4" s="49" t="s">
        <v>8924</v>
      </c>
      <c r="E4" s="49" t="s">
        <v>8258</v>
      </c>
      <c r="F4" s="49" t="s">
        <v>8922</v>
      </c>
      <c r="G4" s="49" t="s">
        <v>8923</v>
      </c>
      <c r="H4" s="49" t="s">
        <v>8271</v>
      </c>
      <c r="I4" s="49" t="s">
        <v>7341</v>
      </c>
      <c r="J4" s="49" t="s">
        <v>7320</v>
      </c>
      <c r="K4" s="51">
        <f>VLOOKUP(B4,'Feuerwaffen-Ressourcen'!$A$2:$AI$54,11,0)+VLOOKUP(C4,'Feuerwaffen-Ressourcen'!$A$2:$AI$54,11,0)+VLOOKUP(D4,'Feuerwaffen-Ressourcen'!$A$2:$AI$54,11,0)+VLOOKUP(E4,'Feuerwaffen-Ressourcen'!$A$2:$AI$54,11,0)+VLOOKUP(G4,'Feuerwaffen-Ressourcen'!$A$2:$AI$54,11,0)</f>
        <v>4.8</v>
      </c>
      <c r="L4" s="50">
        <f>VLOOKUP(B4,'Feuerwaffen-Ressourcen'!$A$2:$AI$54,12,0)+VLOOKUP(C4,'Feuerwaffen-Ressourcen'!$A$2:$AI$54,12,0)+VLOOKUP(D4,'Feuerwaffen-Ressourcen'!$A$2:$AI$54,12,0)+VLOOKUP(J4,'Feuerwaffen-Ressourcen'!$A$2:$AI$54,12,0)</f>
        <v>12</v>
      </c>
      <c r="M4" s="50" t="str">
        <f>VLOOKUP(VLOOKUP(B4,'Feuerwaffen-Ressourcen'!$A$2:$AI$54,13,0)+VLOOKUP(C4,'Feuerwaffen-Ressourcen'!$A$2:$AI$54,13,0)+VLOOKUP(D4,'Feuerwaffen-Ressourcen'!$A$2:$AI$54,13,0),'Feuerwaffen-Ressourcen'!$AJ$3:$AK$12,2,0)</f>
        <v>W10</v>
      </c>
      <c r="N4" s="50" t="str">
        <f>VLOOKUP(VLOOKUP(B4,'Feuerwaffen-Ressourcen'!$A$2:$AI$54,14,0)+VLOOKUP(C4,'Feuerwaffen-Ressourcen'!$A$2:$AI$54,14,0)+VLOOKUP(D4,'Feuerwaffen-Ressourcen'!$A$2:$AI$54,14,0),'Feuerwaffen-Ressourcen'!$AJ$3:$AK$12,2,0)</f>
        <v>W10</v>
      </c>
      <c r="O4" s="50">
        <f>VLOOKUP(B4,'Feuerwaffen-Ressourcen'!$A$2:$AI$54,15,0)+VLOOKUP(C4,'Feuerwaffen-Ressourcen'!$A$2:$AI$54,15,0)+VLOOKUP(D4,'Feuerwaffen-Ressourcen'!$A$2:$AI$54,15,0)</f>
        <v>2</v>
      </c>
      <c r="P4" s="50">
        <f>VLOOKUP(B4,'Feuerwaffen-Ressourcen'!$A$2:$AI$54,16,0)+VLOOKUP(C4,'Feuerwaffen-Ressourcen'!$A$2:$AI$54,16,0)+VLOOKUP(D4,'Feuerwaffen-Ressourcen'!$A$2:$AI$54,16,0)+VLOOKUP(E4,'Feuerwaffen-Ressourcen'!$A$2:$AI$54,16,0)</f>
        <v>12</v>
      </c>
      <c r="Q4" s="52">
        <f>VLOOKUP(B4,'Feuerwaffen-Ressourcen'!$A$2:$AI$54,17,0)+VLOOKUP(C4,'Feuerwaffen-Ressourcen'!$A$2:$AI$54,17,0)+VLOOKUP(D4,'Feuerwaffen-Ressourcen'!$A$2:$AI$54,17,0)+VLOOKUP(E4,'Feuerwaffen-Ressourcen'!$A$2:$AI$54,17,0)</f>
        <v>18</v>
      </c>
      <c r="R4" s="50">
        <f>VLOOKUP(B4,'Feuerwaffen-Ressourcen'!$A$2:$AI$54,18,0)+VLOOKUP(C4,'Feuerwaffen-Ressourcen'!$A$2:$AI$54,18,0)+VLOOKUP(D4,'Feuerwaffen-Ressourcen'!$A$2:$AI$54,18,0)+VLOOKUP(F4,'Feuerwaffen-Ressourcen'!$A$2:$AI$54,18,0)+VLOOKUP(G4,'Feuerwaffen-Ressourcen'!$A$2:$AI$54,18,0)+VLOOKUP(I4,'Feuerwaffen-Ressourcen'!$A$2:$AI$54,18,0)+VLOOKUP(J4,'Feuerwaffen-Ressourcen'!$A$2:$AI$54,18,0)</f>
        <v>1</v>
      </c>
      <c r="S4" s="50">
        <f>VLOOKUP(B4,'Feuerwaffen-Ressourcen'!$A$2:$AI$54,19,0)+VLOOKUP(C4,'Feuerwaffen-Ressourcen'!$A$2:$AI$54,19,0)+VLOOKUP(D4,'Feuerwaffen-Ressourcen'!$A$2:$AI$54,19,0)+VLOOKUP(F4,'Feuerwaffen-Ressourcen'!$A$2:$AI$54,19,0)+VLOOKUP(G4,'Feuerwaffen-Ressourcen'!$A$2:$AI$54,19,0)+VLOOKUP(I4,'Feuerwaffen-Ressourcen'!$A$2:$AI$54,19,0)+VLOOKUP(J4,'Feuerwaffen-Ressourcen'!$A$2:$AI$54,19,0)</f>
        <v>-4</v>
      </c>
      <c r="T4" s="50">
        <f>VLOOKUP(B4,'Feuerwaffen-Ressourcen'!$A$2:$AI$54,20,0)+VLOOKUP(C4,'Feuerwaffen-Ressourcen'!$A$2:$AI$54,20,0)+VLOOKUP(D4,'Feuerwaffen-Ressourcen'!$A$2:$AI$54,20,0)+VLOOKUP(F4,'Feuerwaffen-Ressourcen'!$A$2:$AI$54,20,0)+VLOOKUP(G4,'Feuerwaffen-Ressourcen'!$A$2:$AI$54,20,0)+VLOOKUP(I4,'Feuerwaffen-Ressourcen'!$A$2:$AI$54,20,0)+VLOOKUP(J4,'Feuerwaffen-Ressourcen'!$A$2:$AI$54,20,0)</f>
        <v>-9</v>
      </c>
      <c r="U4" s="50">
        <f>VLOOKUP(B4,'Feuerwaffen-Ressourcen'!$A$2:$AI$54,21,0)+VLOOKUP(C4,'Feuerwaffen-Ressourcen'!$A$2:$AI$54,21,0)+VLOOKUP(D4,'Feuerwaffen-Ressourcen'!$A$2:$AI$54,21,0)+VLOOKUP(F4,'Feuerwaffen-Ressourcen'!$A$2:$AI$54,21,0)+VLOOKUP(G4,'Feuerwaffen-Ressourcen'!$A$2:$AI$54,21,0)+VLOOKUP(I4,'Feuerwaffen-Ressourcen'!$A$2:$AI$54,21,0)+VLOOKUP(J4,'Feuerwaffen-Ressourcen'!$A$2:$AI$54,21,0)</f>
        <v>-15</v>
      </c>
      <c r="V4" s="50">
        <f>VLOOKUP(B4,'Feuerwaffen-Ressourcen'!$A$2:$AI$54,22,0)+VLOOKUP(C4,'Feuerwaffen-Ressourcen'!$A$2:$AI$54,22,0)+VLOOKUP(D4,'Feuerwaffen-Ressourcen'!$A$2:$AI$54,22,0)+VLOOKUP(F4,'Feuerwaffen-Ressourcen'!$A$2:$AI$54,22,0)+VLOOKUP(G4,'Feuerwaffen-Ressourcen'!$A$2:$AI$54,22,0)+VLOOKUP(I4,'Feuerwaffen-Ressourcen'!$A$2:$AI$54,22,0)+VLOOKUP(J4,'Feuerwaffen-Ressourcen'!$A$2:$AI$54,22,0)</f>
        <v>-23</v>
      </c>
      <c r="W4" s="50">
        <f>VLOOKUP(B4,'Feuerwaffen-Ressourcen'!$A$2:$AI$54,23,0)+VLOOKUP(C4,'Feuerwaffen-Ressourcen'!$A$2:$AI$54,23,0)+VLOOKUP(D4,'Feuerwaffen-Ressourcen'!$A$2:$AI$54,23,0)+VLOOKUP(F4,'Feuerwaffen-Ressourcen'!$A$2:$AI$54,23,0)+VLOOKUP(G4,'Feuerwaffen-Ressourcen'!$A$2:$AI$54,23,0)+VLOOKUP(I4,'Feuerwaffen-Ressourcen'!$A$2:$AI$54,23,0)+VLOOKUP(J4,'Feuerwaffen-Ressourcen'!$A$2:$AI$54,23,0)</f>
        <v>-31</v>
      </c>
      <c r="X4" s="50">
        <f>VLOOKUP(B4,'Feuerwaffen-Ressourcen'!$A$2:$AI$54,24,0)+VLOOKUP(C4,'Feuerwaffen-Ressourcen'!$A$2:$AI$54,24,0)+VLOOKUP(D4,'Feuerwaffen-Ressourcen'!$A$2:$AI$54,24,0)+VLOOKUP(G4,'Feuerwaffen-Ressourcen'!$A$2:$AI$54,24,0)</f>
        <v>60</v>
      </c>
      <c r="Y4" s="50">
        <f>VLOOKUP(D4,'Feuerwaffen-Ressourcen'!$A$2:$AI$54,25,0)+VLOOKUP(E4,'Feuerwaffen-Ressourcen'!$A$2:$AI$54,25,0)+VLOOKUP(F4,'Feuerwaffen-Ressourcen'!$A$2:$AI$54,25,0)</f>
        <v>33</v>
      </c>
      <c r="Z4" s="50">
        <f>VLOOKUP(E4,'Feuerwaffen-Ressourcen'!$A$2:$AI$54,26,0)</f>
        <v>3</v>
      </c>
      <c r="AA4" s="50">
        <f>VLOOKUP(B4,'Feuerwaffen-Ressourcen'!$A$2:$AI$54,27,0)+VLOOKUP(D4,'Feuerwaffen-Ressourcen'!$A$2:$AI$54,27,0)+VLOOKUP(F4,'Feuerwaffen-Ressourcen'!$A$2:$AI$54,27,0)+VLOOKUP(I4,'Feuerwaffen-Ressourcen'!$A$2:$AI$54,27,0)</f>
        <v>4</v>
      </c>
      <c r="AB4" s="50">
        <f>VLOOKUP(B4,'Feuerwaffen-Ressourcen'!$A$2:$AI$54,28,0)+VLOOKUP(C4,'Feuerwaffen-Ressourcen'!$A$2:$AI$54,28,0)+VLOOKUP(D4,'Feuerwaffen-Ressourcen'!$A$2:$AI$54,28,0)+VLOOKUP(E4,'Feuerwaffen-Ressourcen'!$A$2:$AI$54,28,0)+VLOOKUP(F4,'Feuerwaffen-Ressourcen'!$A$2:$AI$54,28,0)+VLOOKUP(G4,'Feuerwaffen-Ressourcen'!$A$2:$AI$54,28,0)+VLOOKUP(I4,'Feuerwaffen-Ressourcen'!$A$2:$AI$54,28,0)+VLOOKUP(J4,'Feuerwaffen-Ressourcen'!$A$2:$AI$54,28,0)</f>
        <v>100</v>
      </c>
      <c r="AC4" s="53">
        <f>VLOOKUP(I4,'Feuerwaffen-Ressourcen'!$A$2:$AI$54,31,0)*AD4+AE4</f>
        <v>366.7</v>
      </c>
      <c r="AD4" s="54">
        <f>VLOOKUP(B4,'Feuerwaffen-Ressourcen'!$A$2:$AI$54,30,0)+VLOOKUP(C4,'Feuerwaffen-Ressourcen'!$A$2:$AI$54,30,0)+VLOOKUP(D4,'Feuerwaffen-Ressourcen'!$A$2:$AI$54,30,0)+VLOOKUP(F4,'Feuerwaffen-Ressourcen'!$A$2:$AI$54,30,0)+VLOOKUP(G4,'Feuerwaffen-Ressourcen'!$A$2:$AI$54,30,0)+VLOOKUP(I4,'Feuerwaffen-Ressourcen'!$A$2:$AI$54,30,0)+VLOOKUP(J4,'Feuerwaffen-Ressourcen'!$A$2:$AI$54,30,0)</f>
        <v>4.1999999999999993</v>
      </c>
      <c r="AE4" s="53">
        <f>(VLOOKUP(C4,'Feuerwaffen-Ressourcen'!$A$2:$AI$54,32,0)+VLOOKUP(I4,'Feuerwaffen-Ressourcen'!$A$2:$AI$54,32,0))*(VLOOKUP(B4,'Feuerwaffen-Ressourcen'!$A$2:$AI$54,34,0)+VLOOKUP(C4,'Feuerwaffen-Ressourcen'!$A$2:$AI$54,34,0)+VLOOKUP(D4,'Feuerwaffen-Ressourcen'!$A$2:$AI$54,34,0)+VLOOKUP(E4,'Feuerwaffen-Ressourcen'!$A$2:$AI$54,34,0)+VLOOKUP(G4,'Feuerwaffen-Ressourcen'!$A$2:$AI$54,34,0))+VLOOKUP(B4,'Feuerwaffen-Ressourcen'!$A$2:$AI$54,35,0)+VLOOKUP(C4,'Feuerwaffen-Ressourcen'!$A$2:$AI$54,35,0)+VLOOKUP(D4,'Feuerwaffen-Ressourcen'!$A$2:$AI$54,35,0)</f>
        <v>349.9</v>
      </c>
      <c r="AF4" s="55">
        <f>VLOOKUP(AB4,'Feuerwaffen-Ressourcen'!$AO$3:$AP$9,2,1)</f>
        <v>5</v>
      </c>
      <c r="AG4" s="55">
        <v>0</v>
      </c>
      <c r="AH4" s="28" t="s">
        <v>1420</v>
      </c>
      <c r="AI4" s="28" t="s">
        <v>8657</v>
      </c>
      <c r="AJ4" s="56">
        <v>3</v>
      </c>
      <c r="AK4" s="56" t="s">
        <v>5497</v>
      </c>
      <c r="AL4" s="56" t="s">
        <v>5486</v>
      </c>
      <c r="AM4" s="56">
        <v>3</v>
      </c>
      <c r="AN4" s="56">
        <v>5</v>
      </c>
      <c r="AO4" s="56">
        <v>4</v>
      </c>
      <c r="AP4" s="56">
        <v>4</v>
      </c>
      <c r="AQ4" s="56">
        <v>12</v>
      </c>
      <c r="AR4" s="56">
        <v>12</v>
      </c>
      <c r="AS4" s="56">
        <v>5</v>
      </c>
      <c r="AT4" s="56">
        <v>6</v>
      </c>
    </row>
    <row r="5" spans="1:46">
      <c r="A5" s="49" t="s">
        <v>8823</v>
      </c>
      <c r="B5" s="49" t="s">
        <v>8820</v>
      </c>
      <c r="C5" s="49" t="s">
        <v>8824</v>
      </c>
      <c r="D5" s="49" t="s">
        <v>8925</v>
      </c>
      <c r="E5" s="49" t="s">
        <v>8258</v>
      </c>
      <c r="F5" s="49" t="s">
        <v>8922</v>
      </c>
      <c r="G5" s="49" t="s">
        <v>8923</v>
      </c>
      <c r="H5" s="49" t="s">
        <v>8271</v>
      </c>
      <c r="I5" s="49" t="s">
        <v>7341</v>
      </c>
      <c r="J5" s="49" t="s">
        <v>7320</v>
      </c>
      <c r="K5" s="51">
        <f>VLOOKUP(B5,'Feuerwaffen-Ressourcen'!$A$2:$AI$54,11,0)+VLOOKUP(C5,'Feuerwaffen-Ressourcen'!$A$2:$AI$54,11,0)+VLOOKUP(D5,'Feuerwaffen-Ressourcen'!$A$2:$AI$54,11,0)+VLOOKUP(E5,'Feuerwaffen-Ressourcen'!$A$2:$AI$54,11,0)+VLOOKUP(G5,'Feuerwaffen-Ressourcen'!$A$2:$AI$54,11,0)</f>
        <v>1.85</v>
      </c>
      <c r="L5" s="50">
        <f>VLOOKUP(B5,'Feuerwaffen-Ressourcen'!$A$2:$AI$54,12,0)+VLOOKUP(C5,'Feuerwaffen-Ressourcen'!$A$2:$AI$54,12,0)+VLOOKUP(D5,'Feuerwaffen-Ressourcen'!$A$2:$AI$54,12,0)+VLOOKUP(J5,'Feuerwaffen-Ressourcen'!$A$2:$AI$54,12,0)</f>
        <v>7</v>
      </c>
      <c r="M5" s="50" t="str">
        <f>VLOOKUP(VLOOKUP(B5,'Feuerwaffen-Ressourcen'!$A$2:$AI$54,13,0)+VLOOKUP(C5,'Feuerwaffen-Ressourcen'!$A$2:$AI$54,13,0)+VLOOKUP(D5,'Feuerwaffen-Ressourcen'!$A$2:$AI$54,13,0),'Feuerwaffen-Ressourcen'!$AJ$3:$AK$12,2,0)</f>
        <v>W8</v>
      </c>
      <c r="N5" s="50" t="str">
        <f>VLOOKUP(VLOOKUP(B5,'Feuerwaffen-Ressourcen'!$A$2:$AI$54,14,0)+VLOOKUP(C5,'Feuerwaffen-Ressourcen'!$A$2:$AI$54,14,0)+VLOOKUP(D5,'Feuerwaffen-Ressourcen'!$A$2:$AI$54,14,0),'Feuerwaffen-Ressourcen'!$AJ$3:$AK$12,2,0)</f>
        <v>W10</v>
      </c>
      <c r="O5" s="50">
        <f>VLOOKUP(B5,'Feuerwaffen-Ressourcen'!$A$2:$AI$54,15,0)+VLOOKUP(C5,'Feuerwaffen-Ressourcen'!$A$2:$AI$54,15,0)+VLOOKUP(D5,'Feuerwaffen-Ressourcen'!$A$2:$AI$54,15,0)</f>
        <v>1</v>
      </c>
      <c r="P5" s="50">
        <f>VLOOKUP(B5,'Feuerwaffen-Ressourcen'!$A$2:$AI$54,16,0)+VLOOKUP(C5,'Feuerwaffen-Ressourcen'!$A$2:$AI$54,16,0)+VLOOKUP(D5,'Feuerwaffen-Ressourcen'!$A$2:$AI$54,16,0)+VLOOKUP(E5,'Feuerwaffen-Ressourcen'!$A$2:$AI$54,16,0)</f>
        <v>6</v>
      </c>
      <c r="Q5" s="52">
        <f>VLOOKUP(B5,'Feuerwaffen-Ressourcen'!$A$2:$AI$54,17,0)+VLOOKUP(C5,'Feuerwaffen-Ressourcen'!$A$2:$AI$54,17,0)+VLOOKUP(D5,'Feuerwaffen-Ressourcen'!$A$2:$AI$54,17,0)+VLOOKUP(E5,'Feuerwaffen-Ressourcen'!$A$2:$AI$54,17,0)</f>
        <v>14</v>
      </c>
      <c r="R5" s="50">
        <f>VLOOKUP(B5,'Feuerwaffen-Ressourcen'!$A$2:$AI$54,18,0)+VLOOKUP(C5,'Feuerwaffen-Ressourcen'!$A$2:$AI$54,18,0)+VLOOKUP(D5,'Feuerwaffen-Ressourcen'!$A$2:$AI$54,18,0)+VLOOKUP(F5,'Feuerwaffen-Ressourcen'!$A$2:$AI$54,18,0)+VLOOKUP(G5,'Feuerwaffen-Ressourcen'!$A$2:$AI$54,18,0)+VLOOKUP(I5,'Feuerwaffen-Ressourcen'!$A$2:$AI$54,18,0)+VLOOKUP(J5,'Feuerwaffen-Ressourcen'!$A$2:$AI$54,18,0)</f>
        <v>5</v>
      </c>
      <c r="S5" s="50">
        <f>VLOOKUP(B5,'Feuerwaffen-Ressourcen'!$A$2:$AI$54,19,0)+VLOOKUP(C5,'Feuerwaffen-Ressourcen'!$A$2:$AI$54,19,0)+VLOOKUP(D5,'Feuerwaffen-Ressourcen'!$A$2:$AI$54,19,0)+VLOOKUP(F5,'Feuerwaffen-Ressourcen'!$A$2:$AI$54,19,0)+VLOOKUP(G5,'Feuerwaffen-Ressourcen'!$A$2:$AI$54,19,0)+VLOOKUP(I5,'Feuerwaffen-Ressourcen'!$A$2:$AI$54,19,0)+VLOOKUP(J5,'Feuerwaffen-Ressourcen'!$A$2:$AI$54,19,0)</f>
        <v>-1</v>
      </c>
      <c r="T5" s="50">
        <f>VLOOKUP(B5,'Feuerwaffen-Ressourcen'!$A$2:$AI$54,20,0)+VLOOKUP(C5,'Feuerwaffen-Ressourcen'!$A$2:$AI$54,20,0)+VLOOKUP(D5,'Feuerwaffen-Ressourcen'!$A$2:$AI$54,20,0)+VLOOKUP(F5,'Feuerwaffen-Ressourcen'!$A$2:$AI$54,20,0)+VLOOKUP(G5,'Feuerwaffen-Ressourcen'!$A$2:$AI$54,20,0)+VLOOKUP(I5,'Feuerwaffen-Ressourcen'!$A$2:$AI$54,20,0)+VLOOKUP(J5,'Feuerwaffen-Ressourcen'!$A$2:$AI$54,20,0)</f>
        <v>-13</v>
      </c>
      <c r="U5" s="50">
        <f>VLOOKUP(B5,'Feuerwaffen-Ressourcen'!$A$2:$AI$54,21,0)+VLOOKUP(C5,'Feuerwaffen-Ressourcen'!$A$2:$AI$54,21,0)+VLOOKUP(D5,'Feuerwaffen-Ressourcen'!$A$2:$AI$54,21,0)+VLOOKUP(F5,'Feuerwaffen-Ressourcen'!$A$2:$AI$54,21,0)+VLOOKUP(G5,'Feuerwaffen-Ressourcen'!$A$2:$AI$54,21,0)+VLOOKUP(I5,'Feuerwaffen-Ressourcen'!$A$2:$AI$54,21,0)+VLOOKUP(J5,'Feuerwaffen-Ressourcen'!$A$2:$AI$54,21,0)</f>
        <v>-25</v>
      </c>
      <c r="V5" s="50">
        <f>VLOOKUP(B5,'Feuerwaffen-Ressourcen'!$A$2:$AI$54,22,0)+VLOOKUP(C5,'Feuerwaffen-Ressourcen'!$A$2:$AI$54,22,0)+VLOOKUP(D5,'Feuerwaffen-Ressourcen'!$A$2:$AI$54,22,0)+VLOOKUP(F5,'Feuerwaffen-Ressourcen'!$A$2:$AI$54,22,0)+VLOOKUP(G5,'Feuerwaffen-Ressourcen'!$A$2:$AI$54,22,0)+VLOOKUP(I5,'Feuerwaffen-Ressourcen'!$A$2:$AI$54,22,0)+VLOOKUP(J5,'Feuerwaffen-Ressourcen'!$A$2:$AI$54,22,0)</f>
        <v>-40</v>
      </c>
      <c r="W5" s="50">
        <f>VLOOKUP(B5,'Feuerwaffen-Ressourcen'!$A$2:$AI$54,23,0)+VLOOKUP(C5,'Feuerwaffen-Ressourcen'!$A$2:$AI$54,23,0)+VLOOKUP(D5,'Feuerwaffen-Ressourcen'!$A$2:$AI$54,23,0)+VLOOKUP(F5,'Feuerwaffen-Ressourcen'!$A$2:$AI$54,23,0)+VLOOKUP(G5,'Feuerwaffen-Ressourcen'!$A$2:$AI$54,23,0)+VLOOKUP(I5,'Feuerwaffen-Ressourcen'!$A$2:$AI$54,23,0)+VLOOKUP(J5,'Feuerwaffen-Ressourcen'!$A$2:$AI$54,23,0)</f>
        <v>-56</v>
      </c>
      <c r="X5" s="50">
        <f>VLOOKUP(B5,'Feuerwaffen-Ressourcen'!$A$2:$AI$54,24,0)+VLOOKUP(C5,'Feuerwaffen-Ressourcen'!$A$2:$AI$54,24,0)+VLOOKUP(D5,'Feuerwaffen-Ressourcen'!$A$2:$AI$54,24,0)+VLOOKUP(G5,'Feuerwaffen-Ressourcen'!$A$2:$AI$54,24,0)</f>
        <v>40</v>
      </c>
      <c r="Y5" s="50">
        <f>VLOOKUP(D5,'Feuerwaffen-Ressourcen'!$A$2:$AI$54,25,0)+VLOOKUP(E5,'Feuerwaffen-Ressourcen'!$A$2:$AI$54,25,0)+VLOOKUP(F5,'Feuerwaffen-Ressourcen'!$A$2:$AI$54,25,0)</f>
        <v>31</v>
      </c>
      <c r="Z5" s="50">
        <f>VLOOKUP(E5,'Feuerwaffen-Ressourcen'!$A$2:$AI$54,26,0)</f>
        <v>3</v>
      </c>
      <c r="AA5" s="50">
        <f>VLOOKUP(B5,'Feuerwaffen-Ressourcen'!$A$2:$AI$54,27,0)+VLOOKUP(D5,'Feuerwaffen-Ressourcen'!$A$2:$AI$54,27,0)+VLOOKUP(F5,'Feuerwaffen-Ressourcen'!$A$2:$AI$54,27,0)+VLOOKUP(I5,'Feuerwaffen-Ressourcen'!$A$2:$AI$54,27,0)</f>
        <v>4</v>
      </c>
      <c r="AB5" s="50">
        <f>VLOOKUP(B5,'Feuerwaffen-Ressourcen'!$A$2:$AI$54,28,0)+VLOOKUP(C5,'Feuerwaffen-Ressourcen'!$A$2:$AI$54,28,0)+VLOOKUP(D5,'Feuerwaffen-Ressourcen'!$A$2:$AI$54,28,0)+VLOOKUP(E5,'Feuerwaffen-Ressourcen'!$A$2:$AI$54,28,0)+VLOOKUP(F5,'Feuerwaffen-Ressourcen'!$A$2:$AI$54,28,0)+VLOOKUP(G5,'Feuerwaffen-Ressourcen'!$A$2:$AI$54,28,0)+VLOOKUP(I5,'Feuerwaffen-Ressourcen'!$A$2:$AI$54,28,0)+VLOOKUP(J5,'Feuerwaffen-Ressourcen'!$A$2:$AI$54,28,0)</f>
        <v>95</v>
      </c>
      <c r="AC5" s="53">
        <f>VLOOKUP(I5,'Feuerwaffen-Ressourcen'!$A$2:$AI$54,31,0)*AD5+AE5</f>
        <v>170.55</v>
      </c>
      <c r="AD5" s="54">
        <f>VLOOKUP(B5,'Feuerwaffen-Ressourcen'!$A$2:$AI$54,30,0)+VLOOKUP(C5,'Feuerwaffen-Ressourcen'!$A$2:$AI$54,30,0)+VLOOKUP(D5,'Feuerwaffen-Ressourcen'!$A$2:$AI$54,30,0)+VLOOKUP(F5,'Feuerwaffen-Ressourcen'!$A$2:$AI$54,30,0)+VLOOKUP(G5,'Feuerwaffen-Ressourcen'!$A$2:$AI$54,30,0)+VLOOKUP(I5,'Feuerwaffen-Ressourcen'!$A$2:$AI$54,30,0)+VLOOKUP(J5,'Feuerwaffen-Ressourcen'!$A$2:$AI$54,30,0)</f>
        <v>3.5</v>
      </c>
      <c r="AE5" s="53">
        <f>(VLOOKUP(C5,'Feuerwaffen-Ressourcen'!$A$2:$AI$54,32,0)+VLOOKUP(I5,'Feuerwaffen-Ressourcen'!$A$2:$AI$54,32,0))*(VLOOKUP(B5,'Feuerwaffen-Ressourcen'!$A$2:$AI$54,34,0)+VLOOKUP(C5,'Feuerwaffen-Ressourcen'!$A$2:$AI$54,34,0)+VLOOKUP(D5,'Feuerwaffen-Ressourcen'!$A$2:$AI$54,34,0)+VLOOKUP(E5,'Feuerwaffen-Ressourcen'!$A$2:$AI$54,34,0)+VLOOKUP(G5,'Feuerwaffen-Ressourcen'!$A$2:$AI$54,34,0))+VLOOKUP(B5,'Feuerwaffen-Ressourcen'!$A$2:$AI$54,35,0)+VLOOKUP(C5,'Feuerwaffen-Ressourcen'!$A$2:$AI$54,35,0)+VLOOKUP(D5,'Feuerwaffen-Ressourcen'!$A$2:$AI$54,35,0)</f>
        <v>156.55000000000001</v>
      </c>
      <c r="AF5" s="55">
        <f>VLOOKUP(AB5,'Feuerwaffen-Ressourcen'!$AO$3:$AP$9,2,1)</f>
        <v>5</v>
      </c>
      <c r="AG5" s="55">
        <v>0</v>
      </c>
      <c r="AH5" s="28" t="s">
        <v>1415</v>
      </c>
      <c r="AI5" s="28" t="s">
        <v>8926</v>
      </c>
      <c r="AJ5" s="56">
        <v>1.5</v>
      </c>
      <c r="AK5" s="56" t="s">
        <v>5497</v>
      </c>
      <c r="AL5" s="56" t="s">
        <v>7946</v>
      </c>
      <c r="AM5" s="56">
        <v>3</v>
      </c>
      <c r="AN5" s="56">
        <v>5</v>
      </c>
      <c r="AO5" s="56">
        <v>-2</v>
      </c>
      <c r="AP5" s="56">
        <v>-7</v>
      </c>
      <c r="AQ5" s="56">
        <v>7</v>
      </c>
      <c r="AR5" s="56" t="s">
        <v>7946</v>
      </c>
      <c r="AS5" s="56">
        <v>2</v>
      </c>
      <c r="AT5" s="56">
        <v>10</v>
      </c>
    </row>
    <row r="6" spans="1:46">
      <c r="A6" s="49" t="s">
        <v>8824</v>
      </c>
      <c r="B6" s="49" t="s">
        <v>8820</v>
      </c>
      <c r="C6" s="49" t="s">
        <v>8824</v>
      </c>
      <c r="D6" s="49" t="s">
        <v>8927</v>
      </c>
      <c r="E6" s="49" t="s">
        <v>8258</v>
      </c>
      <c r="F6" s="49" t="s">
        <v>8922</v>
      </c>
      <c r="G6" s="49" t="s">
        <v>8923</v>
      </c>
      <c r="H6" s="49" t="s">
        <v>8271</v>
      </c>
      <c r="I6" s="49" t="s">
        <v>7341</v>
      </c>
      <c r="J6" s="49" t="s">
        <v>7320</v>
      </c>
      <c r="K6" s="51">
        <f>VLOOKUP(B6,'Feuerwaffen-Ressourcen'!$A$2:$AI$54,11,0)+VLOOKUP(C6,'Feuerwaffen-Ressourcen'!$A$2:$AI$54,11,0)+VLOOKUP(D6,'Feuerwaffen-Ressourcen'!$A$2:$AI$54,11,0)+VLOOKUP(E6,'Feuerwaffen-Ressourcen'!$A$2:$AI$54,11,0)+VLOOKUP(G6,'Feuerwaffen-Ressourcen'!$A$2:$AI$54,11,0)</f>
        <v>1.55</v>
      </c>
      <c r="L6" s="50">
        <f>VLOOKUP(B6,'Feuerwaffen-Ressourcen'!$A$2:$AI$54,12,0)+VLOOKUP(C6,'Feuerwaffen-Ressourcen'!$A$2:$AI$54,12,0)+VLOOKUP(D6,'Feuerwaffen-Ressourcen'!$A$2:$AI$54,12,0)+VLOOKUP(J6,'Feuerwaffen-Ressourcen'!$A$2:$AI$54,12,0)</f>
        <v>7</v>
      </c>
      <c r="M6" s="50" t="str">
        <f>VLOOKUP(VLOOKUP(B6,'Feuerwaffen-Ressourcen'!$A$2:$AI$54,13,0)+VLOOKUP(C6,'Feuerwaffen-Ressourcen'!$A$2:$AI$54,13,0)+VLOOKUP(D6,'Feuerwaffen-Ressourcen'!$A$2:$AI$54,13,0),'Feuerwaffen-Ressourcen'!$AJ$3:$AK$12,2,0)</f>
        <v>W8</v>
      </c>
      <c r="N6" s="50" t="str">
        <f>VLOOKUP(VLOOKUP(B6,'Feuerwaffen-Ressourcen'!$A$2:$AI$54,14,0)+VLOOKUP(C6,'Feuerwaffen-Ressourcen'!$A$2:$AI$54,14,0)+VLOOKUP(D6,'Feuerwaffen-Ressourcen'!$A$2:$AI$54,14,0),'Feuerwaffen-Ressourcen'!$AJ$3:$AK$12,2,0)</f>
        <v>W8</v>
      </c>
      <c r="O6" s="50">
        <f>VLOOKUP(B6,'Feuerwaffen-Ressourcen'!$A$2:$AI$54,15,0)+VLOOKUP(C6,'Feuerwaffen-Ressourcen'!$A$2:$AI$54,15,0)+VLOOKUP(D6,'Feuerwaffen-Ressourcen'!$A$2:$AI$54,15,0)</f>
        <v>0</v>
      </c>
      <c r="P6" s="50">
        <f>VLOOKUP(B6,'Feuerwaffen-Ressourcen'!$A$2:$AI$54,16,0)+VLOOKUP(C6,'Feuerwaffen-Ressourcen'!$A$2:$AI$54,16,0)+VLOOKUP(D6,'Feuerwaffen-Ressourcen'!$A$2:$AI$54,16,0)+VLOOKUP(E6,'Feuerwaffen-Ressourcen'!$A$2:$AI$54,16,0)</f>
        <v>6</v>
      </c>
      <c r="Q6" s="52">
        <f>VLOOKUP(B6,'Feuerwaffen-Ressourcen'!$A$2:$AI$54,17,0)+VLOOKUP(C6,'Feuerwaffen-Ressourcen'!$A$2:$AI$54,17,0)+VLOOKUP(D6,'Feuerwaffen-Ressourcen'!$A$2:$AI$54,17,0)+VLOOKUP(E6,'Feuerwaffen-Ressourcen'!$A$2:$AI$54,17,0)</f>
        <v>14</v>
      </c>
      <c r="R6" s="50">
        <f>VLOOKUP(B6,'Feuerwaffen-Ressourcen'!$A$2:$AI$54,18,0)+VLOOKUP(C6,'Feuerwaffen-Ressourcen'!$A$2:$AI$54,18,0)+VLOOKUP(D6,'Feuerwaffen-Ressourcen'!$A$2:$AI$54,18,0)+VLOOKUP(F6,'Feuerwaffen-Ressourcen'!$A$2:$AI$54,18,0)+VLOOKUP(G6,'Feuerwaffen-Ressourcen'!$A$2:$AI$54,18,0)+VLOOKUP(I6,'Feuerwaffen-Ressourcen'!$A$2:$AI$54,18,0)+VLOOKUP(J6,'Feuerwaffen-Ressourcen'!$A$2:$AI$54,18,0)</f>
        <v>6</v>
      </c>
      <c r="S6" s="50">
        <f>VLOOKUP(B6,'Feuerwaffen-Ressourcen'!$A$2:$AI$54,19,0)+VLOOKUP(C6,'Feuerwaffen-Ressourcen'!$A$2:$AI$54,19,0)+VLOOKUP(D6,'Feuerwaffen-Ressourcen'!$A$2:$AI$54,19,0)+VLOOKUP(F6,'Feuerwaffen-Ressourcen'!$A$2:$AI$54,19,0)+VLOOKUP(G6,'Feuerwaffen-Ressourcen'!$A$2:$AI$54,19,0)+VLOOKUP(I6,'Feuerwaffen-Ressourcen'!$A$2:$AI$54,19,0)+VLOOKUP(J6,'Feuerwaffen-Ressourcen'!$A$2:$AI$54,19,0)</f>
        <v>-3</v>
      </c>
      <c r="T6" s="50">
        <f>VLOOKUP(B6,'Feuerwaffen-Ressourcen'!$A$2:$AI$54,20,0)+VLOOKUP(C6,'Feuerwaffen-Ressourcen'!$A$2:$AI$54,20,0)+VLOOKUP(D6,'Feuerwaffen-Ressourcen'!$A$2:$AI$54,20,0)+VLOOKUP(F6,'Feuerwaffen-Ressourcen'!$A$2:$AI$54,20,0)+VLOOKUP(G6,'Feuerwaffen-Ressourcen'!$A$2:$AI$54,20,0)+VLOOKUP(I6,'Feuerwaffen-Ressourcen'!$A$2:$AI$54,20,0)+VLOOKUP(J6,'Feuerwaffen-Ressourcen'!$A$2:$AI$54,20,0)</f>
        <v>-14</v>
      </c>
      <c r="U6" s="50">
        <f>VLOOKUP(B6,'Feuerwaffen-Ressourcen'!$A$2:$AI$54,21,0)+VLOOKUP(C6,'Feuerwaffen-Ressourcen'!$A$2:$AI$54,21,0)+VLOOKUP(D6,'Feuerwaffen-Ressourcen'!$A$2:$AI$54,21,0)+VLOOKUP(F6,'Feuerwaffen-Ressourcen'!$A$2:$AI$54,21,0)+VLOOKUP(G6,'Feuerwaffen-Ressourcen'!$A$2:$AI$54,21,0)+VLOOKUP(I6,'Feuerwaffen-Ressourcen'!$A$2:$AI$54,21,0)+VLOOKUP(J6,'Feuerwaffen-Ressourcen'!$A$2:$AI$54,21,0)</f>
        <v>-26</v>
      </c>
      <c r="V6" s="50">
        <f>VLOOKUP(B6,'Feuerwaffen-Ressourcen'!$A$2:$AI$54,22,0)+VLOOKUP(C6,'Feuerwaffen-Ressourcen'!$A$2:$AI$54,22,0)+VLOOKUP(D6,'Feuerwaffen-Ressourcen'!$A$2:$AI$54,22,0)+VLOOKUP(F6,'Feuerwaffen-Ressourcen'!$A$2:$AI$54,22,0)+VLOOKUP(G6,'Feuerwaffen-Ressourcen'!$A$2:$AI$54,22,0)+VLOOKUP(I6,'Feuerwaffen-Ressourcen'!$A$2:$AI$54,22,0)+VLOOKUP(J6,'Feuerwaffen-Ressourcen'!$A$2:$AI$54,22,0)</f>
        <v>-41</v>
      </c>
      <c r="W6" s="50">
        <f>VLOOKUP(B6,'Feuerwaffen-Ressourcen'!$A$2:$AI$54,23,0)+VLOOKUP(C6,'Feuerwaffen-Ressourcen'!$A$2:$AI$54,23,0)+VLOOKUP(D6,'Feuerwaffen-Ressourcen'!$A$2:$AI$54,23,0)+VLOOKUP(F6,'Feuerwaffen-Ressourcen'!$A$2:$AI$54,23,0)+VLOOKUP(G6,'Feuerwaffen-Ressourcen'!$A$2:$AI$54,23,0)+VLOOKUP(I6,'Feuerwaffen-Ressourcen'!$A$2:$AI$54,23,0)+VLOOKUP(J6,'Feuerwaffen-Ressourcen'!$A$2:$AI$54,23,0)</f>
        <v>-57</v>
      </c>
      <c r="X6" s="50">
        <f>VLOOKUP(B6,'Feuerwaffen-Ressourcen'!$A$2:$AI$54,24,0)+VLOOKUP(C6,'Feuerwaffen-Ressourcen'!$A$2:$AI$54,24,0)+VLOOKUP(D6,'Feuerwaffen-Ressourcen'!$A$2:$AI$54,24,0)+VLOOKUP(G6,'Feuerwaffen-Ressourcen'!$A$2:$AI$54,24,0)</f>
        <v>30</v>
      </c>
      <c r="Y6" s="50">
        <f>VLOOKUP(D6,'Feuerwaffen-Ressourcen'!$A$2:$AI$54,25,0)+VLOOKUP(E6,'Feuerwaffen-Ressourcen'!$A$2:$AI$54,25,0)+VLOOKUP(F6,'Feuerwaffen-Ressourcen'!$A$2:$AI$54,25,0)</f>
        <v>31</v>
      </c>
      <c r="Z6" s="50">
        <f>VLOOKUP(E6,'Feuerwaffen-Ressourcen'!$A$2:$AI$54,26,0)</f>
        <v>3</v>
      </c>
      <c r="AA6" s="50">
        <f>VLOOKUP(B6,'Feuerwaffen-Ressourcen'!$A$2:$AI$54,27,0)+VLOOKUP(D6,'Feuerwaffen-Ressourcen'!$A$2:$AI$54,27,0)+VLOOKUP(F6,'Feuerwaffen-Ressourcen'!$A$2:$AI$54,27,0)+VLOOKUP(I6,'Feuerwaffen-Ressourcen'!$A$2:$AI$54,27,0)</f>
        <v>4</v>
      </c>
      <c r="AB6" s="50">
        <f>VLOOKUP(B6,'Feuerwaffen-Ressourcen'!$A$2:$AI$54,28,0)+VLOOKUP(C6,'Feuerwaffen-Ressourcen'!$A$2:$AI$54,28,0)+VLOOKUP(D6,'Feuerwaffen-Ressourcen'!$A$2:$AI$54,28,0)+VLOOKUP(E6,'Feuerwaffen-Ressourcen'!$A$2:$AI$54,28,0)+VLOOKUP(F6,'Feuerwaffen-Ressourcen'!$A$2:$AI$54,28,0)+VLOOKUP(G6,'Feuerwaffen-Ressourcen'!$A$2:$AI$54,28,0)+VLOOKUP(I6,'Feuerwaffen-Ressourcen'!$A$2:$AI$54,28,0)+VLOOKUP(J6,'Feuerwaffen-Ressourcen'!$A$2:$AI$54,28,0)</f>
        <v>110</v>
      </c>
      <c r="AC6" s="53">
        <f>VLOOKUP(I6,'Feuerwaffen-Ressourcen'!$A$2:$AI$54,31,0)*AD6+AE6</f>
        <v>132.55000000000001</v>
      </c>
      <c r="AD6" s="54">
        <f>VLOOKUP(B6,'Feuerwaffen-Ressourcen'!$A$2:$AI$54,30,0)+VLOOKUP(C6,'Feuerwaffen-Ressourcen'!$A$2:$AI$54,30,0)+VLOOKUP(D6,'Feuerwaffen-Ressourcen'!$A$2:$AI$54,30,0)+VLOOKUP(F6,'Feuerwaffen-Ressourcen'!$A$2:$AI$54,30,0)+VLOOKUP(G6,'Feuerwaffen-Ressourcen'!$A$2:$AI$54,30,0)+VLOOKUP(I6,'Feuerwaffen-Ressourcen'!$A$2:$AI$54,30,0)+VLOOKUP(J6,'Feuerwaffen-Ressourcen'!$A$2:$AI$54,30,0)</f>
        <v>3</v>
      </c>
      <c r="AE6" s="53">
        <f>(VLOOKUP(C6,'Feuerwaffen-Ressourcen'!$A$2:$AI$54,32,0)+VLOOKUP(I6,'Feuerwaffen-Ressourcen'!$A$2:$AI$54,32,0))*(VLOOKUP(B6,'Feuerwaffen-Ressourcen'!$A$2:$AI$54,34,0)+VLOOKUP(C6,'Feuerwaffen-Ressourcen'!$A$2:$AI$54,34,0)+VLOOKUP(D6,'Feuerwaffen-Ressourcen'!$A$2:$AI$54,34,0)+VLOOKUP(E6,'Feuerwaffen-Ressourcen'!$A$2:$AI$54,34,0)+VLOOKUP(G6,'Feuerwaffen-Ressourcen'!$A$2:$AI$54,34,0))+VLOOKUP(B6,'Feuerwaffen-Ressourcen'!$A$2:$AI$54,35,0)+VLOOKUP(C6,'Feuerwaffen-Ressourcen'!$A$2:$AI$54,35,0)+VLOOKUP(D6,'Feuerwaffen-Ressourcen'!$A$2:$AI$54,35,0)</f>
        <v>120.55</v>
      </c>
      <c r="AF6" s="55">
        <f>VLOOKUP(AB6,'Feuerwaffen-Ressourcen'!$AO$3:$AP$9,2,1)</f>
        <v>4</v>
      </c>
      <c r="AG6" s="55">
        <v>0</v>
      </c>
      <c r="AH6" s="28" t="s">
        <v>1415</v>
      </c>
      <c r="AI6" s="28" t="s">
        <v>8926</v>
      </c>
      <c r="AJ6" s="56">
        <v>1.5</v>
      </c>
      <c r="AK6" s="56" t="s">
        <v>5497</v>
      </c>
      <c r="AL6" s="56" t="s">
        <v>7946</v>
      </c>
      <c r="AM6" s="56">
        <v>3</v>
      </c>
      <c r="AN6" s="56">
        <v>5</v>
      </c>
      <c r="AO6" s="56">
        <v>-2</v>
      </c>
      <c r="AP6" s="56">
        <v>-7</v>
      </c>
      <c r="AQ6" s="56">
        <v>7</v>
      </c>
      <c r="AR6" s="56" t="s">
        <v>7946</v>
      </c>
      <c r="AS6" s="56">
        <v>2</v>
      </c>
      <c r="AT6" s="56">
        <v>10</v>
      </c>
    </row>
    <row r="7" spans="1:46">
      <c r="A7" s="49" t="s">
        <v>8825</v>
      </c>
      <c r="B7" s="49" t="s">
        <v>8820</v>
      </c>
      <c r="C7" s="49" t="s">
        <v>8824</v>
      </c>
      <c r="D7" s="49" t="s">
        <v>8925</v>
      </c>
      <c r="E7" s="49" t="s">
        <v>8258</v>
      </c>
      <c r="F7" s="49" t="s">
        <v>8928</v>
      </c>
      <c r="G7" s="49" t="s">
        <v>8923</v>
      </c>
      <c r="H7" s="49" t="s">
        <v>8271</v>
      </c>
      <c r="I7" s="49" t="s">
        <v>7341</v>
      </c>
      <c r="J7" s="49" t="s">
        <v>7320</v>
      </c>
      <c r="K7" s="51">
        <f>VLOOKUP(B7,'Feuerwaffen-Ressourcen'!$A$2:$AI$54,11,0)+VLOOKUP(C7,'Feuerwaffen-Ressourcen'!$A$2:$AI$54,11,0)+VLOOKUP(D7,'Feuerwaffen-Ressourcen'!$A$2:$AI$54,11,0)+VLOOKUP(E7,'Feuerwaffen-Ressourcen'!$A$2:$AI$54,11,0)+VLOOKUP(G7,'Feuerwaffen-Ressourcen'!$A$2:$AI$54,11,0)</f>
        <v>1.85</v>
      </c>
      <c r="L7" s="50">
        <f>VLOOKUP(B7,'Feuerwaffen-Ressourcen'!$A$2:$AI$54,12,0)+VLOOKUP(C7,'Feuerwaffen-Ressourcen'!$A$2:$AI$54,12,0)+VLOOKUP(D7,'Feuerwaffen-Ressourcen'!$A$2:$AI$54,12,0)+VLOOKUP(J7,'Feuerwaffen-Ressourcen'!$A$2:$AI$54,12,0)</f>
        <v>7</v>
      </c>
      <c r="M7" s="50" t="str">
        <f>VLOOKUP(VLOOKUP(B7,'Feuerwaffen-Ressourcen'!$A$2:$AI$54,13,0)+VLOOKUP(C7,'Feuerwaffen-Ressourcen'!$A$2:$AI$54,13,0)+VLOOKUP(D7,'Feuerwaffen-Ressourcen'!$A$2:$AI$54,13,0),'Feuerwaffen-Ressourcen'!$AJ$3:$AK$12,2,0)</f>
        <v>W8</v>
      </c>
      <c r="N7" s="50" t="str">
        <f>VLOOKUP(VLOOKUP(B7,'Feuerwaffen-Ressourcen'!$A$2:$AI$54,14,0)+VLOOKUP(C7,'Feuerwaffen-Ressourcen'!$A$2:$AI$54,14,0)+VLOOKUP(D7,'Feuerwaffen-Ressourcen'!$A$2:$AI$54,14,0),'Feuerwaffen-Ressourcen'!$AJ$3:$AK$12,2,0)</f>
        <v>W10</v>
      </c>
      <c r="O7" s="50">
        <f>VLOOKUP(B7,'Feuerwaffen-Ressourcen'!$A$2:$AI$54,15,0)+VLOOKUP(C7,'Feuerwaffen-Ressourcen'!$A$2:$AI$54,15,0)+VLOOKUP(D7,'Feuerwaffen-Ressourcen'!$A$2:$AI$54,15,0)</f>
        <v>1</v>
      </c>
      <c r="P7" s="50">
        <f>VLOOKUP(B7,'Feuerwaffen-Ressourcen'!$A$2:$AI$54,16,0)+VLOOKUP(C7,'Feuerwaffen-Ressourcen'!$A$2:$AI$54,16,0)+VLOOKUP(D7,'Feuerwaffen-Ressourcen'!$A$2:$AI$54,16,0)+VLOOKUP(E7,'Feuerwaffen-Ressourcen'!$A$2:$AI$54,16,0)</f>
        <v>6</v>
      </c>
      <c r="Q7" s="52">
        <f>VLOOKUP(B7,'Feuerwaffen-Ressourcen'!$A$2:$AI$54,17,0)+VLOOKUP(C7,'Feuerwaffen-Ressourcen'!$A$2:$AI$54,17,0)+VLOOKUP(D7,'Feuerwaffen-Ressourcen'!$A$2:$AI$54,17,0)+VLOOKUP(E7,'Feuerwaffen-Ressourcen'!$A$2:$AI$54,17,0)</f>
        <v>14</v>
      </c>
      <c r="R7" s="50">
        <f>VLOOKUP(B7,'Feuerwaffen-Ressourcen'!$A$2:$AI$54,18,0)+VLOOKUP(C7,'Feuerwaffen-Ressourcen'!$A$2:$AI$54,18,0)+VLOOKUP(D7,'Feuerwaffen-Ressourcen'!$A$2:$AI$54,18,0)+VLOOKUP(F7,'Feuerwaffen-Ressourcen'!$A$2:$AI$54,18,0)+VLOOKUP(G7,'Feuerwaffen-Ressourcen'!$A$2:$AI$54,18,0)+VLOOKUP(I7,'Feuerwaffen-Ressourcen'!$A$2:$AI$54,18,0)+VLOOKUP(J7,'Feuerwaffen-Ressourcen'!$A$2:$AI$54,18,0)</f>
        <v>6</v>
      </c>
      <c r="S7" s="50">
        <f>VLOOKUP(B7,'Feuerwaffen-Ressourcen'!$A$2:$AI$54,19,0)+VLOOKUP(C7,'Feuerwaffen-Ressourcen'!$A$2:$AI$54,19,0)+VLOOKUP(D7,'Feuerwaffen-Ressourcen'!$A$2:$AI$54,19,0)+VLOOKUP(F7,'Feuerwaffen-Ressourcen'!$A$2:$AI$54,19,0)+VLOOKUP(G7,'Feuerwaffen-Ressourcen'!$A$2:$AI$54,19,0)+VLOOKUP(I7,'Feuerwaffen-Ressourcen'!$A$2:$AI$54,19,0)+VLOOKUP(J7,'Feuerwaffen-Ressourcen'!$A$2:$AI$54,19,0)</f>
        <v>0</v>
      </c>
      <c r="T7" s="50">
        <f>VLOOKUP(B7,'Feuerwaffen-Ressourcen'!$A$2:$AI$54,20,0)+VLOOKUP(C7,'Feuerwaffen-Ressourcen'!$A$2:$AI$54,20,0)+VLOOKUP(D7,'Feuerwaffen-Ressourcen'!$A$2:$AI$54,20,0)+VLOOKUP(F7,'Feuerwaffen-Ressourcen'!$A$2:$AI$54,20,0)+VLOOKUP(G7,'Feuerwaffen-Ressourcen'!$A$2:$AI$54,20,0)+VLOOKUP(I7,'Feuerwaffen-Ressourcen'!$A$2:$AI$54,20,0)+VLOOKUP(J7,'Feuerwaffen-Ressourcen'!$A$2:$AI$54,20,0)</f>
        <v>-12</v>
      </c>
      <c r="U7" s="50">
        <f>VLOOKUP(B7,'Feuerwaffen-Ressourcen'!$A$2:$AI$54,21,0)+VLOOKUP(C7,'Feuerwaffen-Ressourcen'!$A$2:$AI$54,21,0)+VLOOKUP(D7,'Feuerwaffen-Ressourcen'!$A$2:$AI$54,21,0)+VLOOKUP(F7,'Feuerwaffen-Ressourcen'!$A$2:$AI$54,21,0)+VLOOKUP(G7,'Feuerwaffen-Ressourcen'!$A$2:$AI$54,21,0)+VLOOKUP(I7,'Feuerwaffen-Ressourcen'!$A$2:$AI$54,21,0)+VLOOKUP(J7,'Feuerwaffen-Ressourcen'!$A$2:$AI$54,21,0)</f>
        <v>-24</v>
      </c>
      <c r="V7" s="50">
        <f>VLOOKUP(B7,'Feuerwaffen-Ressourcen'!$A$2:$AI$54,22,0)+VLOOKUP(C7,'Feuerwaffen-Ressourcen'!$A$2:$AI$54,22,0)+VLOOKUP(D7,'Feuerwaffen-Ressourcen'!$A$2:$AI$54,22,0)+VLOOKUP(F7,'Feuerwaffen-Ressourcen'!$A$2:$AI$54,22,0)+VLOOKUP(G7,'Feuerwaffen-Ressourcen'!$A$2:$AI$54,22,0)+VLOOKUP(I7,'Feuerwaffen-Ressourcen'!$A$2:$AI$54,22,0)+VLOOKUP(J7,'Feuerwaffen-Ressourcen'!$A$2:$AI$54,22,0)</f>
        <v>-39</v>
      </c>
      <c r="W7" s="50">
        <f>VLOOKUP(B7,'Feuerwaffen-Ressourcen'!$A$2:$AI$54,23,0)+VLOOKUP(C7,'Feuerwaffen-Ressourcen'!$A$2:$AI$54,23,0)+VLOOKUP(D7,'Feuerwaffen-Ressourcen'!$A$2:$AI$54,23,0)+VLOOKUP(F7,'Feuerwaffen-Ressourcen'!$A$2:$AI$54,23,0)+VLOOKUP(G7,'Feuerwaffen-Ressourcen'!$A$2:$AI$54,23,0)+VLOOKUP(I7,'Feuerwaffen-Ressourcen'!$A$2:$AI$54,23,0)+VLOOKUP(J7,'Feuerwaffen-Ressourcen'!$A$2:$AI$54,23,0)</f>
        <v>-55</v>
      </c>
      <c r="X7" s="50">
        <f>VLOOKUP(B7,'Feuerwaffen-Ressourcen'!$A$2:$AI$54,24,0)+VLOOKUP(C7,'Feuerwaffen-Ressourcen'!$A$2:$AI$54,24,0)+VLOOKUP(D7,'Feuerwaffen-Ressourcen'!$A$2:$AI$54,24,0)+VLOOKUP(G7,'Feuerwaffen-Ressourcen'!$A$2:$AI$54,24,0)</f>
        <v>40</v>
      </c>
      <c r="Y7" s="50">
        <f>VLOOKUP(D7,'Feuerwaffen-Ressourcen'!$A$2:$AI$54,25,0)+VLOOKUP(E7,'Feuerwaffen-Ressourcen'!$A$2:$AI$54,25,0)+VLOOKUP(F7,'Feuerwaffen-Ressourcen'!$A$2:$AI$54,25,0)</f>
        <v>30</v>
      </c>
      <c r="Z7" s="50">
        <f>VLOOKUP(E7,'Feuerwaffen-Ressourcen'!$A$2:$AI$54,26,0)</f>
        <v>3</v>
      </c>
      <c r="AA7" s="50">
        <f>VLOOKUP(B7,'Feuerwaffen-Ressourcen'!$A$2:$AI$54,27,0)+VLOOKUP(D7,'Feuerwaffen-Ressourcen'!$A$2:$AI$54,27,0)+VLOOKUP(F7,'Feuerwaffen-Ressourcen'!$A$2:$AI$54,27,0)+VLOOKUP(I7,'Feuerwaffen-Ressourcen'!$A$2:$AI$54,27,0)</f>
        <v>3</v>
      </c>
      <c r="AB7" s="50">
        <f>VLOOKUP(B7,'Feuerwaffen-Ressourcen'!$A$2:$AI$54,28,0)+VLOOKUP(C7,'Feuerwaffen-Ressourcen'!$A$2:$AI$54,28,0)+VLOOKUP(D7,'Feuerwaffen-Ressourcen'!$A$2:$AI$54,28,0)+VLOOKUP(E7,'Feuerwaffen-Ressourcen'!$A$2:$AI$54,28,0)+VLOOKUP(F7,'Feuerwaffen-Ressourcen'!$A$2:$AI$54,28,0)+VLOOKUP(G7,'Feuerwaffen-Ressourcen'!$A$2:$AI$54,28,0)+VLOOKUP(I7,'Feuerwaffen-Ressourcen'!$A$2:$AI$54,28,0)+VLOOKUP(J7,'Feuerwaffen-Ressourcen'!$A$2:$AI$54,28,0)</f>
        <v>95</v>
      </c>
      <c r="AC7" s="53">
        <f>VLOOKUP(I7,'Feuerwaffen-Ressourcen'!$A$2:$AI$54,31,0)*AD7+AE7</f>
        <v>174.55</v>
      </c>
      <c r="AD7" s="54">
        <f>VLOOKUP(B7,'Feuerwaffen-Ressourcen'!$A$2:$AI$54,30,0)+VLOOKUP(C7,'Feuerwaffen-Ressourcen'!$A$2:$AI$54,30,0)+VLOOKUP(D7,'Feuerwaffen-Ressourcen'!$A$2:$AI$54,30,0)+VLOOKUP(F7,'Feuerwaffen-Ressourcen'!$A$2:$AI$54,30,0)+VLOOKUP(G7,'Feuerwaffen-Ressourcen'!$A$2:$AI$54,30,0)+VLOOKUP(I7,'Feuerwaffen-Ressourcen'!$A$2:$AI$54,30,0)+VLOOKUP(J7,'Feuerwaffen-Ressourcen'!$A$2:$AI$54,30,0)</f>
        <v>4.5</v>
      </c>
      <c r="AE7" s="53">
        <f>(VLOOKUP(C7,'Feuerwaffen-Ressourcen'!$A$2:$AI$54,32,0)+VLOOKUP(I7,'Feuerwaffen-Ressourcen'!$A$2:$AI$54,32,0))*(VLOOKUP(B7,'Feuerwaffen-Ressourcen'!$A$2:$AI$54,34,0)+VLOOKUP(C7,'Feuerwaffen-Ressourcen'!$A$2:$AI$54,34,0)+VLOOKUP(D7,'Feuerwaffen-Ressourcen'!$A$2:$AI$54,34,0)+VLOOKUP(E7,'Feuerwaffen-Ressourcen'!$A$2:$AI$54,34,0)+VLOOKUP(G7,'Feuerwaffen-Ressourcen'!$A$2:$AI$54,34,0))+VLOOKUP(B7,'Feuerwaffen-Ressourcen'!$A$2:$AI$54,35,0)+VLOOKUP(C7,'Feuerwaffen-Ressourcen'!$A$2:$AI$54,35,0)+VLOOKUP(D7,'Feuerwaffen-Ressourcen'!$A$2:$AI$54,35,0)</f>
        <v>156.55000000000001</v>
      </c>
      <c r="AF7" s="55">
        <f>VLOOKUP(AB7,'Feuerwaffen-Ressourcen'!$AO$3:$AP$9,2,1)</f>
        <v>5</v>
      </c>
      <c r="AG7" s="55">
        <v>0</v>
      </c>
      <c r="AH7" s="28" t="s">
        <v>1415</v>
      </c>
      <c r="AI7" s="28" t="s">
        <v>8926</v>
      </c>
      <c r="AJ7" s="56">
        <v>1.5</v>
      </c>
      <c r="AK7" s="56" t="s">
        <v>5497</v>
      </c>
      <c r="AL7" s="56" t="s">
        <v>7946</v>
      </c>
      <c r="AM7" s="56">
        <v>3</v>
      </c>
      <c r="AN7" s="56">
        <v>5</v>
      </c>
      <c r="AO7" s="56">
        <v>-2</v>
      </c>
      <c r="AP7" s="56">
        <v>-7</v>
      </c>
      <c r="AQ7" s="56">
        <v>7</v>
      </c>
      <c r="AR7" s="56" t="s">
        <v>7946</v>
      </c>
      <c r="AS7" s="56">
        <v>2</v>
      </c>
      <c r="AT7" s="56">
        <v>10</v>
      </c>
    </row>
    <row r="8" spans="1:46">
      <c r="A8" s="49" t="s">
        <v>8826</v>
      </c>
      <c r="B8" s="49" t="s">
        <v>1174</v>
      </c>
      <c r="C8" s="49" t="s">
        <v>8921</v>
      </c>
      <c r="D8" s="49" t="s">
        <v>8929</v>
      </c>
      <c r="E8" s="49" t="s">
        <v>8262</v>
      </c>
      <c r="F8" s="49" t="s">
        <v>8930</v>
      </c>
      <c r="G8" s="49" t="s">
        <v>8923</v>
      </c>
      <c r="H8" s="49" t="s">
        <v>8827</v>
      </c>
      <c r="I8" s="49" t="s">
        <v>7341</v>
      </c>
      <c r="J8" s="49" t="s">
        <v>7320</v>
      </c>
      <c r="K8" s="51">
        <f>VLOOKUP(B8,'Feuerwaffen-Ressourcen'!$A$2:$AI$54,11,0)+VLOOKUP(C8,'Feuerwaffen-Ressourcen'!$A$2:$AI$54,11,0)+VLOOKUP(D8,'Feuerwaffen-Ressourcen'!$A$2:$AI$54,11,0)+VLOOKUP(E8,'Feuerwaffen-Ressourcen'!$A$2:$AI$54,11,0)+VLOOKUP(G8,'Feuerwaffen-Ressourcen'!$A$2:$AI$54,11,0)</f>
        <v>4</v>
      </c>
      <c r="L8" s="50">
        <f>VLOOKUP(B8,'Feuerwaffen-Ressourcen'!$A$2:$AI$54,12,0)+VLOOKUP(C8,'Feuerwaffen-Ressourcen'!$A$2:$AI$54,12,0)+VLOOKUP(D8,'Feuerwaffen-Ressourcen'!$A$2:$AI$54,12,0)+VLOOKUP(J8,'Feuerwaffen-Ressourcen'!$A$2:$AI$54,12,0)</f>
        <v>10</v>
      </c>
      <c r="M8" s="50" t="str">
        <f>VLOOKUP(VLOOKUP(B8,'Feuerwaffen-Ressourcen'!$A$2:$AI$54,13,0)+VLOOKUP(C8,'Feuerwaffen-Ressourcen'!$A$2:$AI$54,13,0)+VLOOKUP(D8,'Feuerwaffen-Ressourcen'!$A$2:$AI$54,13,0),'Feuerwaffen-Ressourcen'!$AJ$3:$AK$12,2,0)</f>
        <v>W12</v>
      </c>
      <c r="N8" s="50" t="str">
        <f>VLOOKUP(VLOOKUP(B8,'Feuerwaffen-Ressourcen'!$A$2:$AI$54,14,0)+VLOOKUP(C8,'Feuerwaffen-Ressourcen'!$A$2:$AI$54,14,0)+VLOOKUP(D8,'Feuerwaffen-Ressourcen'!$A$2:$AI$54,14,0),'Feuerwaffen-Ressourcen'!$AJ$3:$AK$12,2,0)</f>
        <v>W10</v>
      </c>
      <c r="O8" s="50">
        <f>VLOOKUP(B8,'Feuerwaffen-Ressourcen'!$A$2:$AI$54,15,0)+VLOOKUP(C8,'Feuerwaffen-Ressourcen'!$A$2:$AI$54,15,0)+VLOOKUP(D8,'Feuerwaffen-Ressourcen'!$A$2:$AI$54,15,0)</f>
        <v>1</v>
      </c>
      <c r="P8" s="50">
        <f>VLOOKUP(B8,'Feuerwaffen-Ressourcen'!$A$2:$AI$54,16,0)+VLOOKUP(C8,'Feuerwaffen-Ressourcen'!$A$2:$AI$54,16,0)+VLOOKUP(D8,'Feuerwaffen-Ressourcen'!$A$2:$AI$54,16,0)+VLOOKUP(E8,'Feuerwaffen-Ressourcen'!$A$2:$AI$54,16,0)</f>
        <v>11</v>
      </c>
      <c r="Q8" s="52">
        <f>VLOOKUP(B8,'Feuerwaffen-Ressourcen'!$A$2:$AI$54,17,0)+VLOOKUP(C8,'Feuerwaffen-Ressourcen'!$A$2:$AI$54,17,0)+VLOOKUP(D8,'Feuerwaffen-Ressourcen'!$A$2:$AI$54,17,0)+VLOOKUP(E8,'Feuerwaffen-Ressourcen'!$A$2:$AI$54,17,0)</f>
        <v>18</v>
      </c>
      <c r="R8" s="50">
        <f>VLOOKUP(B8,'Feuerwaffen-Ressourcen'!$A$2:$AI$54,18,0)+VLOOKUP(C8,'Feuerwaffen-Ressourcen'!$A$2:$AI$54,18,0)+VLOOKUP(D8,'Feuerwaffen-Ressourcen'!$A$2:$AI$54,18,0)+VLOOKUP(F8,'Feuerwaffen-Ressourcen'!$A$2:$AI$54,18,0)+VLOOKUP(G8,'Feuerwaffen-Ressourcen'!$A$2:$AI$54,18,0)+VLOOKUP(I8,'Feuerwaffen-Ressourcen'!$A$2:$AI$54,18,0)+VLOOKUP(J8,'Feuerwaffen-Ressourcen'!$A$2:$AI$54,18,0)</f>
        <v>9</v>
      </c>
      <c r="S8" s="50">
        <f>VLOOKUP(B8,'Feuerwaffen-Ressourcen'!$A$2:$AI$54,19,0)+VLOOKUP(C8,'Feuerwaffen-Ressourcen'!$A$2:$AI$54,19,0)+VLOOKUP(D8,'Feuerwaffen-Ressourcen'!$A$2:$AI$54,19,0)+VLOOKUP(F8,'Feuerwaffen-Ressourcen'!$A$2:$AI$54,19,0)+VLOOKUP(G8,'Feuerwaffen-Ressourcen'!$A$2:$AI$54,19,0)+VLOOKUP(I8,'Feuerwaffen-Ressourcen'!$A$2:$AI$54,19,0)+VLOOKUP(J8,'Feuerwaffen-Ressourcen'!$A$2:$AI$54,19,0)</f>
        <v>1</v>
      </c>
      <c r="T8" s="50">
        <f>VLOOKUP(B8,'Feuerwaffen-Ressourcen'!$A$2:$AI$54,20,0)+VLOOKUP(C8,'Feuerwaffen-Ressourcen'!$A$2:$AI$54,20,0)+VLOOKUP(D8,'Feuerwaffen-Ressourcen'!$A$2:$AI$54,20,0)+VLOOKUP(F8,'Feuerwaffen-Ressourcen'!$A$2:$AI$54,20,0)+VLOOKUP(G8,'Feuerwaffen-Ressourcen'!$A$2:$AI$54,20,0)+VLOOKUP(I8,'Feuerwaffen-Ressourcen'!$A$2:$AI$54,20,0)+VLOOKUP(J8,'Feuerwaffen-Ressourcen'!$A$2:$AI$54,20,0)</f>
        <v>-7</v>
      </c>
      <c r="U8" s="50">
        <f>VLOOKUP(B8,'Feuerwaffen-Ressourcen'!$A$2:$AI$54,21,0)+VLOOKUP(C8,'Feuerwaffen-Ressourcen'!$A$2:$AI$54,21,0)+VLOOKUP(D8,'Feuerwaffen-Ressourcen'!$A$2:$AI$54,21,0)+VLOOKUP(F8,'Feuerwaffen-Ressourcen'!$A$2:$AI$54,21,0)+VLOOKUP(G8,'Feuerwaffen-Ressourcen'!$A$2:$AI$54,21,0)+VLOOKUP(I8,'Feuerwaffen-Ressourcen'!$A$2:$AI$54,21,0)+VLOOKUP(J8,'Feuerwaffen-Ressourcen'!$A$2:$AI$54,21,0)</f>
        <v>-15</v>
      </c>
      <c r="V8" s="50">
        <f>VLOOKUP(B8,'Feuerwaffen-Ressourcen'!$A$2:$AI$54,22,0)+VLOOKUP(C8,'Feuerwaffen-Ressourcen'!$A$2:$AI$54,22,0)+VLOOKUP(D8,'Feuerwaffen-Ressourcen'!$A$2:$AI$54,22,0)+VLOOKUP(F8,'Feuerwaffen-Ressourcen'!$A$2:$AI$54,22,0)+VLOOKUP(G8,'Feuerwaffen-Ressourcen'!$A$2:$AI$54,22,0)+VLOOKUP(I8,'Feuerwaffen-Ressourcen'!$A$2:$AI$54,22,0)+VLOOKUP(J8,'Feuerwaffen-Ressourcen'!$A$2:$AI$54,22,0)</f>
        <v>-25</v>
      </c>
      <c r="W8" s="50">
        <f>VLOOKUP(B8,'Feuerwaffen-Ressourcen'!$A$2:$AI$54,23,0)+VLOOKUP(C8,'Feuerwaffen-Ressourcen'!$A$2:$AI$54,23,0)+VLOOKUP(D8,'Feuerwaffen-Ressourcen'!$A$2:$AI$54,23,0)+VLOOKUP(F8,'Feuerwaffen-Ressourcen'!$A$2:$AI$54,23,0)+VLOOKUP(G8,'Feuerwaffen-Ressourcen'!$A$2:$AI$54,23,0)+VLOOKUP(I8,'Feuerwaffen-Ressourcen'!$A$2:$AI$54,23,0)+VLOOKUP(J8,'Feuerwaffen-Ressourcen'!$A$2:$AI$54,23,0)</f>
        <v>-36</v>
      </c>
      <c r="X8" s="50">
        <f>VLOOKUP(B8,'Feuerwaffen-Ressourcen'!$A$2:$AI$54,24,0)+VLOOKUP(C8,'Feuerwaffen-Ressourcen'!$A$2:$AI$54,24,0)+VLOOKUP(D8,'Feuerwaffen-Ressourcen'!$A$2:$AI$54,24,0)+VLOOKUP(G8,'Feuerwaffen-Ressourcen'!$A$2:$AI$54,24,0)</f>
        <v>30</v>
      </c>
      <c r="Y8" s="50">
        <f>VLOOKUP(D8,'Feuerwaffen-Ressourcen'!$A$2:$AI$54,25,0)+VLOOKUP(E8,'Feuerwaffen-Ressourcen'!$A$2:$AI$54,25,0)+VLOOKUP(F8,'Feuerwaffen-Ressourcen'!$A$2:$AI$54,25,0)</f>
        <v>11</v>
      </c>
      <c r="Z8" s="50">
        <f>VLOOKUP(E8,'Feuerwaffen-Ressourcen'!$A$2:$AI$54,26,0)</f>
        <v>6</v>
      </c>
      <c r="AA8" s="50">
        <f>VLOOKUP(B8,'Feuerwaffen-Ressourcen'!$A$2:$AI$54,27,0)+VLOOKUP(D8,'Feuerwaffen-Ressourcen'!$A$2:$AI$54,27,0)+VLOOKUP(F8,'Feuerwaffen-Ressourcen'!$A$2:$AI$54,27,0)+VLOOKUP(I8,'Feuerwaffen-Ressourcen'!$A$2:$AI$54,27,0)</f>
        <v>-1</v>
      </c>
      <c r="AB8" s="50">
        <f>VLOOKUP(B8,'Feuerwaffen-Ressourcen'!$A$2:$AI$54,28,0)+VLOOKUP(C8,'Feuerwaffen-Ressourcen'!$A$2:$AI$54,28,0)+VLOOKUP(D8,'Feuerwaffen-Ressourcen'!$A$2:$AI$54,28,0)+VLOOKUP(E8,'Feuerwaffen-Ressourcen'!$A$2:$AI$54,28,0)+VLOOKUP(F8,'Feuerwaffen-Ressourcen'!$A$2:$AI$54,28,0)+VLOOKUP(G8,'Feuerwaffen-Ressourcen'!$A$2:$AI$54,28,0)+VLOOKUP(I8,'Feuerwaffen-Ressourcen'!$A$2:$AI$54,28,0)+VLOOKUP(J8,'Feuerwaffen-Ressourcen'!$A$2:$AI$54,28,0)</f>
        <v>60</v>
      </c>
      <c r="AC8" s="53">
        <f>VLOOKUP(I8,'Feuerwaffen-Ressourcen'!$A$2:$AI$54,31,0)*AD8+AE8</f>
        <v>298.59999999999991</v>
      </c>
      <c r="AD8" s="54">
        <f>VLOOKUP(B8,'Feuerwaffen-Ressourcen'!$A$2:$AI$54,30,0)+VLOOKUP(C8,'Feuerwaffen-Ressourcen'!$A$2:$AI$54,30,0)+VLOOKUP(D8,'Feuerwaffen-Ressourcen'!$A$2:$AI$54,30,0)+VLOOKUP(F8,'Feuerwaffen-Ressourcen'!$A$2:$AI$54,30,0)+VLOOKUP(G8,'Feuerwaffen-Ressourcen'!$A$2:$AI$54,30,0)+VLOOKUP(I8,'Feuerwaffen-Ressourcen'!$A$2:$AI$54,30,0)+VLOOKUP(J8,'Feuerwaffen-Ressourcen'!$A$2:$AI$54,30,0)</f>
        <v>8.1999999999999993</v>
      </c>
      <c r="AE8" s="53">
        <f>(VLOOKUP(C8,'Feuerwaffen-Ressourcen'!$A$2:$AI$54,32,0)+VLOOKUP(I8,'Feuerwaffen-Ressourcen'!$A$2:$AI$54,32,0))*(VLOOKUP(B8,'Feuerwaffen-Ressourcen'!$A$2:$AI$54,34,0)+VLOOKUP(C8,'Feuerwaffen-Ressourcen'!$A$2:$AI$54,34,0)+VLOOKUP(D8,'Feuerwaffen-Ressourcen'!$A$2:$AI$54,34,0)+VLOOKUP(E8,'Feuerwaffen-Ressourcen'!$A$2:$AI$54,34,0)+VLOOKUP(G8,'Feuerwaffen-Ressourcen'!$A$2:$AI$54,34,0))+VLOOKUP(B8,'Feuerwaffen-Ressourcen'!$A$2:$AI$54,35,0)+VLOOKUP(C8,'Feuerwaffen-Ressourcen'!$A$2:$AI$54,35,0)+VLOOKUP(D8,'Feuerwaffen-Ressourcen'!$A$2:$AI$54,35,0)</f>
        <v>265.7999999999999</v>
      </c>
      <c r="AF8" s="55">
        <f>VLOOKUP(AB8,'Feuerwaffen-Ressourcen'!$AO$3:$AP$9,2,1)</f>
        <v>7</v>
      </c>
      <c r="AG8" s="55">
        <v>0</v>
      </c>
      <c r="AH8" s="28" t="s">
        <v>1420</v>
      </c>
      <c r="AI8" s="28" t="s">
        <v>8657</v>
      </c>
      <c r="AJ8" s="56">
        <v>3</v>
      </c>
      <c r="AK8" s="56" t="s">
        <v>5497</v>
      </c>
      <c r="AL8" s="56" t="s">
        <v>5486</v>
      </c>
      <c r="AM8" s="56">
        <v>3</v>
      </c>
      <c r="AN8" s="56">
        <v>5</v>
      </c>
      <c r="AO8" s="56">
        <v>4</v>
      </c>
      <c r="AP8" s="56">
        <v>4</v>
      </c>
      <c r="AQ8" s="56">
        <v>10</v>
      </c>
      <c r="AR8" s="56">
        <v>10</v>
      </c>
      <c r="AS8" s="56">
        <v>5</v>
      </c>
      <c r="AT8" s="56">
        <v>6</v>
      </c>
    </row>
    <row r="9" spans="1:46">
      <c r="A9" s="49" t="s">
        <v>8828</v>
      </c>
      <c r="B9" s="49" t="s">
        <v>1174</v>
      </c>
      <c r="C9" s="49" t="s">
        <v>8921</v>
      </c>
      <c r="D9" s="49" t="s">
        <v>8929</v>
      </c>
      <c r="E9" s="49" t="s">
        <v>8829</v>
      </c>
      <c r="F9" s="49" t="s">
        <v>8931</v>
      </c>
      <c r="G9" s="49" t="s">
        <v>8932</v>
      </c>
      <c r="H9" s="49" t="s">
        <v>8830</v>
      </c>
      <c r="I9" s="49" t="s">
        <v>7341</v>
      </c>
      <c r="J9" s="49" t="s">
        <v>7320</v>
      </c>
      <c r="K9" s="51">
        <f>VLOOKUP(B9,'Feuerwaffen-Ressourcen'!$A$2:$AI$54,11,0)+VLOOKUP(C9,'Feuerwaffen-Ressourcen'!$A$2:$AI$54,11,0)+VLOOKUP(D9,'Feuerwaffen-Ressourcen'!$A$2:$AI$54,11,0)+VLOOKUP(E9,'Feuerwaffen-Ressourcen'!$A$2:$AI$54,11,0)+VLOOKUP(G9,'Feuerwaffen-Ressourcen'!$A$2:$AI$54,11,0)</f>
        <v>4.1500000000000004</v>
      </c>
      <c r="L9" s="50">
        <f>VLOOKUP(B9,'Feuerwaffen-Ressourcen'!$A$2:$AI$54,12,0)+VLOOKUP(C9,'Feuerwaffen-Ressourcen'!$A$2:$AI$54,12,0)+VLOOKUP(D9,'Feuerwaffen-Ressourcen'!$A$2:$AI$54,12,0)+VLOOKUP(J9,'Feuerwaffen-Ressourcen'!$A$2:$AI$54,12,0)</f>
        <v>10</v>
      </c>
      <c r="M9" s="50" t="str">
        <f>VLOOKUP(VLOOKUP(B9,'Feuerwaffen-Ressourcen'!$A$2:$AI$54,13,0)+VLOOKUP(C9,'Feuerwaffen-Ressourcen'!$A$2:$AI$54,13,0)+VLOOKUP(D9,'Feuerwaffen-Ressourcen'!$A$2:$AI$54,13,0),'Feuerwaffen-Ressourcen'!$AJ$3:$AK$12,2,0)</f>
        <v>W12</v>
      </c>
      <c r="N9" s="50" t="str">
        <f>VLOOKUP(VLOOKUP(B9,'Feuerwaffen-Ressourcen'!$A$2:$AI$54,14,0)+VLOOKUP(C9,'Feuerwaffen-Ressourcen'!$A$2:$AI$54,14,0)+VLOOKUP(D9,'Feuerwaffen-Ressourcen'!$A$2:$AI$54,14,0),'Feuerwaffen-Ressourcen'!$AJ$3:$AK$12,2,0)</f>
        <v>W10</v>
      </c>
      <c r="O9" s="50">
        <f>VLOOKUP(B9,'Feuerwaffen-Ressourcen'!$A$2:$AI$54,15,0)+VLOOKUP(C9,'Feuerwaffen-Ressourcen'!$A$2:$AI$54,15,0)+VLOOKUP(D9,'Feuerwaffen-Ressourcen'!$A$2:$AI$54,15,0)</f>
        <v>1</v>
      </c>
      <c r="P9" s="50">
        <f>VLOOKUP(B9,'Feuerwaffen-Ressourcen'!$A$2:$AI$54,16,0)+VLOOKUP(C9,'Feuerwaffen-Ressourcen'!$A$2:$AI$54,16,0)+VLOOKUP(D9,'Feuerwaffen-Ressourcen'!$A$2:$AI$54,16,0)+VLOOKUP(E9,'Feuerwaffen-Ressourcen'!$A$2:$AI$54,16,0)</f>
        <v>17</v>
      </c>
      <c r="Q9" s="52">
        <f>VLOOKUP(B9,'Feuerwaffen-Ressourcen'!$A$2:$AI$54,17,0)+VLOOKUP(C9,'Feuerwaffen-Ressourcen'!$A$2:$AI$54,17,0)+VLOOKUP(D9,'Feuerwaffen-Ressourcen'!$A$2:$AI$54,17,0)+VLOOKUP(E9,'Feuerwaffen-Ressourcen'!$A$2:$AI$54,17,0)</f>
        <v>12</v>
      </c>
      <c r="R9" s="50">
        <f>VLOOKUP(B9,'Feuerwaffen-Ressourcen'!$A$2:$AI$54,18,0)+VLOOKUP(C9,'Feuerwaffen-Ressourcen'!$A$2:$AI$54,18,0)+VLOOKUP(D9,'Feuerwaffen-Ressourcen'!$A$2:$AI$54,18,0)+VLOOKUP(F9,'Feuerwaffen-Ressourcen'!$A$2:$AI$54,18,0)+VLOOKUP(G9,'Feuerwaffen-Ressourcen'!$A$2:$AI$54,18,0)+VLOOKUP(I9,'Feuerwaffen-Ressourcen'!$A$2:$AI$54,18,0)+VLOOKUP(J9,'Feuerwaffen-Ressourcen'!$A$2:$AI$54,18,0)</f>
        <v>11</v>
      </c>
      <c r="S9" s="50">
        <f>VLOOKUP(B9,'Feuerwaffen-Ressourcen'!$A$2:$AI$54,19,0)+VLOOKUP(C9,'Feuerwaffen-Ressourcen'!$A$2:$AI$54,19,0)+VLOOKUP(D9,'Feuerwaffen-Ressourcen'!$A$2:$AI$54,19,0)+VLOOKUP(F9,'Feuerwaffen-Ressourcen'!$A$2:$AI$54,19,0)+VLOOKUP(G9,'Feuerwaffen-Ressourcen'!$A$2:$AI$54,19,0)+VLOOKUP(I9,'Feuerwaffen-Ressourcen'!$A$2:$AI$54,19,0)+VLOOKUP(J9,'Feuerwaffen-Ressourcen'!$A$2:$AI$54,19,0)</f>
        <v>4</v>
      </c>
      <c r="T9" s="50">
        <f>VLOOKUP(B9,'Feuerwaffen-Ressourcen'!$A$2:$AI$54,20,0)+VLOOKUP(C9,'Feuerwaffen-Ressourcen'!$A$2:$AI$54,20,0)+VLOOKUP(D9,'Feuerwaffen-Ressourcen'!$A$2:$AI$54,20,0)+VLOOKUP(F9,'Feuerwaffen-Ressourcen'!$A$2:$AI$54,20,0)+VLOOKUP(G9,'Feuerwaffen-Ressourcen'!$A$2:$AI$54,20,0)+VLOOKUP(I9,'Feuerwaffen-Ressourcen'!$A$2:$AI$54,20,0)+VLOOKUP(J9,'Feuerwaffen-Ressourcen'!$A$2:$AI$54,20,0)</f>
        <v>-4</v>
      </c>
      <c r="U9" s="50">
        <f>VLOOKUP(B9,'Feuerwaffen-Ressourcen'!$A$2:$AI$54,21,0)+VLOOKUP(C9,'Feuerwaffen-Ressourcen'!$A$2:$AI$54,21,0)+VLOOKUP(D9,'Feuerwaffen-Ressourcen'!$A$2:$AI$54,21,0)+VLOOKUP(F9,'Feuerwaffen-Ressourcen'!$A$2:$AI$54,21,0)+VLOOKUP(G9,'Feuerwaffen-Ressourcen'!$A$2:$AI$54,21,0)+VLOOKUP(I9,'Feuerwaffen-Ressourcen'!$A$2:$AI$54,21,0)+VLOOKUP(J9,'Feuerwaffen-Ressourcen'!$A$2:$AI$54,21,0)</f>
        <v>-13</v>
      </c>
      <c r="V9" s="50">
        <f>VLOOKUP(B9,'Feuerwaffen-Ressourcen'!$A$2:$AI$54,22,0)+VLOOKUP(C9,'Feuerwaffen-Ressourcen'!$A$2:$AI$54,22,0)+VLOOKUP(D9,'Feuerwaffen-Ressourcen'!$A$2:$AI$54,22,0)+VLOOKUP(F9,'Feuerwaffen-Ressourcen'!$A$2:$AI$54,22,0)+VLOOKUP(G9,'Feuerwaffen-Ressourcen'!$A$2:$AI$54,22,0)+VLOOKUP(I9,'Feuerwaffen-Ressourcen'!$A$2:$AI$54,22,0)+VLOOKUP(J9,'Feuerwaffen-Ressourcen'!$A$2:$AI$54,22,0)</f>
        <v>-24</v>
      </c>
      <c r="W9" s="50">
        <f>VLOOKUP(B9,'Feuerwaffen-Ressourcen'!$A$2:$AI$54,23,0)+VLOOKUP(C9,'Feuerwaffen-Ressourcen'!$A$2:$AI$54,23,0)+VLOOKUP(D9,'Feuerwaffen-Ressourcen'!$A$2:$AI$54,23,0)+VLOOKUP(F9,'Feuerwaffen-Ressourcen'!$A$2:$AI$54,23,0)+VLOOKUP(G9,'Feuerwaffen-Ressourcen'!$A$2:$AI$54,23,0)+VLOOKUP(I9,'Feuerwaffen-Ressourcen'!$A$2:$AI$54,23,0)+VLOOKUP(J9,'Feuerwaffen-Ressourcen'!$A$2:$AI$54,23,0)</f>
        <v>-35</v>
      </c>
      <c r="X9" s="50">
        <f>VLOOKUP(B9,'Feuerwaffen-Ressourcen'!$A$2:$AI$54,24,0)+VLOOKUP(C9,'Feuerwaffen-Ressourcen'!$A$2:$AI$54,24,0)+VLOOKUP(D9,'Feuerwaffen-Ressourcen'!$A$2:$AI$54,24,0)+VLOOKUP(G9,'Feuerwaffen-Ressourcen'!$A$2:$AI$54,24,0)</f>
        <v>60</v>
      </c>
      <c r="Y9" s="50">
        <f>VLOOKUP(D9,'Feuerwaffen-Ressourcen'!$A$2:$AI$54,25,0)+VLOOKUP(E9,'Feuerwaffen-Ressourcen'!$A$2:$AI$54,25,0)+VLOOKUP(F9,'Feuerwaffen-Ressourcen'!$A$2:$AI$54,25,0)</f>
        <v>9</v>
      </c>
      <c r="Z9" s="50">
        <f>VLOOKUP(E9,'Feuerwaffen-Ressourcen'!$A$2:$AI$54,26,0)</f>
        <v>6</v>
      </c>
      <c r="AA9" s="50">
        <f>VLOOKUP(B9,'Feuerwaffen-Ressourcen'!$A$2:$AI$54,27,0)+VLOOKUP(D9,'Feuerwaffen-Ressourcen'!$A$2:$AI$54,27,0)+VLOOKUP(F9,'Feuerwaffen-Ressourcen'!$A$2:$AI$54,27,0)+VLOOKUP(I9,'Feuerwaffen-Ressourcen'!$A$2:$AI$54,27,0)</f>
        <v>-2</v>
      </c>
      <c r="AB9" s="50">
        <f>VLOOKUP(B9,'Feuerwaffen-Ressourcen'!$A$2:$AI$54,28,0)+VLOOKUP(C9,'Feuerwaffen-Ressourcen'!$A$2:$AI$54,28,0)+VLOOKUP(D9,'Feuerwaffen-Ressourcen'!$A$2:$AI$54,28,0)+VLOOKUP(E9,'Feuerwaffen-Ressourcen'!$A$2:$AI$54,28,0)+VLOOKUP(F9,'Feuerwaffen-Ressourcen'!$A$2:$AI$54,28,0)+VLOOKUP(G9,'Feuerwaffen-Ressourcen'!$A$2:$AI$54,28,0)+VLOOKUP(I9,'Feuerwaffen-Ressourcen'!$A$2:$AI$54,28,0)+VLOOKUP(J9,'Feuerwaffen-Ressourcen'!$A$2:$AI$54,28,0)</f>
        <v>30</v>
      </c>
      <c r="AC9" s="53">
        <f>VLOOKUP(I9,'Feuerwaffen-Ressourcen'!$A$2:$AI$54,31,0)*AD9+AE9</f>
        <v>326.59999999999991</v>
      </c>
      <c r="AD9" s="54">
        <f>VLOOKUP(B9,'Feuerwaffen-Ressourcen'!$A$2:$AI$54,30,0)+VLOOKUP(C9,'Feuerwaffen-Ressourcen'!$A$2:$AI$54,30,0)+VLOOKUP(D9,'Feuerwaffen-Ressourcen'!$A$2:$AI$54,30,0)+VLOOKUP(F9,'Feuerwaffen-Ressourcen'!$A$2:$AI$54,30,0)+VLOOKUP(G9,'Feuerwaffen-Ressourcen'!$A$2:$AI$54,30,0)+VLOOKUP(I9,'Feuerwaffen-Ressourcen'!$A$2:$AI$54,30,0)+VLOOKUP(J9,'Feuerwaffen-Ressourcen'!$A$2:$AI$54,30,0)</f>
        <v>10.7</v>
      </c>
      <c r="AE9" s="53">
        <f>(VLOOKUP(C9,'Feuerwaffen-Ressourcen'!$A$2:$AI$54,32,0)+VLOOKUP(I9,'Feuerwaffen-Ressourcen'!$A$2:$AI$54,32,0))*(VLOOKUP(B9,'Feuerwaffen-Ressourcen'!$A$2:$AI$54,34,0)+VLOOKUP(C9,'Feuerwaffen-Ressourcen'!$A$2:$AI$54,34,0)+VLOOKUP(D9,'Feuerwaffen-Ressourcen'!$A$2:$AI$54,34,0)+VLOOKUP(E9,'Feuerwaffen-Ressourcen'!$A$2:$AI$54,34,0)+VLOOKUP(G9,'Feuerwaffen-Ressourcen'!$A$2:$AI$54,34,0))+VLOOKUP(B9,'Feuerwaffen-Ressourcen'!$A$2:$AI$54,35,0)+VLOOKUP(C9,'Feuerwaffen-Ressourcen'!$A$2:$AI$54,35,0)+VLOOKUP(D9,'Feuerwaffen-Ressourcen'!$A$2:$AI$54,35,0)</f>
        <v>283.7999999999999</v>
      </c>
      <c r="AF9" s="55">
        <f>VLOOKUP(AB9,'Feuerwaffen-Ressourcen'!$AO$3:$AP$9,2,1)</f>
        <v>7</v>
      </c>
      <c r="AG9" s="55">
        <v>0</v>
      </c>
      <c r="AH9" s="28" t="s">
        <v>1420</v>
      </c>
      <c r="AI9" s="28" t="s">
        <v>8657</v>
      </c>
      <c r="AJ9" s="56">
        <v>3</v>
      </c>
      <c r="AK9" s="56" t="s">
        <v>5497</v>
      </c>
      <c r="AL9" s="56" t="s">
        <v>5486</v>
      </c>
      <c r="AM9" s="56">
        <v>3</v>
      </c>
      <c r="AN9" s="56">
        <v>5</v>
      </c>
      <c r="AO9" s="56">
        <v>4</v>
      </c>
      <c r="AP9" s="56">
        <v>4</v>
      </c>
      <c r="AQ9" s="56">
        <v>10</v>
      </c>
      <c r="AR9" s="56">
        <v>10</v>
      </c>
      <c r="AS9" s="56">
        <v>5</v>
      </c>
      <c r="AT9" s="56">
        <v>6</v>
      </c>
    </row>
    <row r="10" spans="1:46">
      <c r="A10" s="49" t="s">
        <v>8831</v>
      </c>
      <c r="B10" s="49" t="s">
        <v>1174</v>
      </c>
      <c r="C10" s="49" t="s">
        <v>8921</v>
      </c>
      <c r="D10" s="49" t="s">
        <v>8912</v>
      </c>
      <c r="E10" s="49" t="s">
        <v>8258</v>
      </c>
      <c r="F10" s="49" t="s">
        <v>8928</v>
      </c>
      <c r="G10" s="49" t="s">
        <v>8923</v>
      </c>
      <c r="H10" s="49" t="s">
        <v>8271</v>
      </c>
      <c r="I10" s="49" t="s">
        <v>7341</v>
      </c>
      <c r="J10" s="49" t="s">
        <v>7320</v>
      </c>
      <c r="K10" s="51">
        <f>VLOOKUP(B10,'Feuerwaffen-Ressourcen'!$A$2:$AI$54,11,0)+VLOOKUP(C10,'Feuerwaffen-Ressourcen'!$A$2:$AI$54,11,0)+VLOOKUP(D10,'Feuerwaffen-Ressourcen'!$A$2:$AI$54,11,0)+VLOOKUP(E10,'Feuerwaffen-Ressourcen'!$A$2:$AI$54,11,0)+VLOOKUP(G10,'Feuerwaffen-Ressourcen'!$A$2:$AI$54,11,0)</f>
        <v>4.8</v>
      </c>
      <c r="L10" s="50">
        <f>VLOOKUP(B10,'Feuerwaffen-Ressourcen'!$A$2:$AI$54,12,0)+VLOOKUP(C10,'Feuerwaffen-Ressourcen'!$A$2:$AI$54,12,0)+VLOOKUP(D10,'Feuerwaffen-Ressourcen'!$A$2:$AI$54,12,0)+VLOOKUP(J10,'Feuerwaffen-Ressourcen'!$A$2:$AI$54,12,0)</f>
        <v>11</v>
      </c>
      <c r="M10" s="50" t="str">
        <f>VLOOKUP(VLOOKUP(B10,'Feuerwaffen-Ressourcen'!$A$2:$AI$54,13,0)+VLOOKUP(C10,'Feuerwaffen-Ressourcen'!$A$2:$AI$54,13,0)+VLOOKUP(D10,'Feuerwaffen-Ressourcen'!$A$2:$AI$54,13,0),'Feuerwaffen-Ressourcen'!$AJ$3:$AK$12,2,0)</f>
        <v>W12</v>
      </c>
      <c r="N10" s="50" t="str">
        <f>VLOOKUP(VLOOKUP(B10,'Feuerwaffen-Ressourcen'!$A$2:$AI$54,14,0)+VLOOKUP(C10,'Feuerwaffen-Ressourcen'!$A$2:$AI$54,14,0)+VLOOKUP(D10,'Feuerwaffen-Ressourcen'!$A$2:$AI$54,14,0),'Feuerwaffen-Ressourcen'!$AJ$3:$AK$12,2,0)</f>
        <v>W10</v>
      </c>
      <c r="O10" s="50">
        <f>VLOOKUP(B10,'Feuerwaffen-Ressourcen'!$A$2:$AI$54,15,0)+VLOOKUP(C10,'Feuerwaffen-Ressourcen'!$A$2:$AI$54,15,0)+VLOOKUP(D10,'Feuerwaffen-Ressourcen'!$A$2:$AI$54,15,0)</f>
        <v>1</v>
      </c>
      <c r="P10" s="50">
        <f>VLOOKUP(B10,'Feuerwaffen-Ressourcen'!$A$2:$AI$54,16,0)+VLOOKUP(C10,'Feuerwaffen-Ressourcen'!$A$2:$AI$54,16,0)+VLOOKUP(D10,'Feuerwaffen-Ressourcen'!$A$2:$AI$54,16,0)+VLOOKUP(E10,'Feuerwaffen-Ressourcen'!$A$2:$AI$54,16,0)</f>
        <v>11</v>
      </c>
      <c r="Q10" s="52">
        <f>VLOOKUP(B10,'Feuerwaffen-Ressourcen'!$A$2:$AI$54,17,0)+VLOOKUP(C10,'Feuerwaffen-Ressourcen'!$A$2:$AI$54,17,0)+VLOOKUP(D10,'Feuerwaffen-Ressourcen'!$A$2:$AI$54,17,0)+VLOOKUP(E10,'Feuerwaffen-Ressourcen'!$A$2:$AI$54,17,0)</f>
        <v>18</v>
      </c>
      <c r="R10" s="50">
        <f>VLOOKUP(B10,'Feuerwaffen-Ressourcen'!$A$2:$AI$54,18,0)+VLOOKUP(C10,'Feuerwaffen-Ressourcen'!$A$2:$AI$54,18,0)+VLOOKUP(D10,'Feuerwaffen-Ressourcen'!$A$2:$AI$54,18,0)+VLOOKUP(F10,'Feuerwaffen-Ressourcen'!$A$2:$AI$54,18,0)+VLOOKUP(G10,'Feuerwaffen-Ressourcen'!$A$2:$AI$54,18,0)+VLOOKUP(I10,'Feuerwaffen-Ressourcen'!$A$2:$AI$54,18,0)+VLOOKUP(J10,'Feuerwaffen-Ressourcen'!$A$2:$AI$54,18,0)</f>
        <v>5</v>
      </c>
      <c r="S10" s="50">
        <f>VLOOKUP(B10,'Feuerwaffen-Ressourcen'!$A$2:$AI$54,19,0)+VLOOKUP(C10,'Feuerwaffen-Ressourcen'!$A$2:$AI$54,19,0)+VLOOKUP(D10,'Feuerwaffen-Ressourcen'!$A$2:$AI$54,19,0)+VLOOKUP(F10,'Feuerwaffen-Ressourcen'!$A$2:$AI$54,19,0)+VLOOKUP(G10,'Feuerwaffen-Ressourcen'!$A$2:$AI$54,19,0)+VLOOKUP(I10,'Feuerwaffen-Ressourcen'!$A$2:$AI$54,19,0)+VLOOKUP(J10,'Feuerwaffen-Ressourcen'!$A$2:$AI$54,19,0)</f>
        <v>-1</v>
      </c>
      <c r="T10" s="50">
        <f>VLOOKUP(B10,'Feuerwaffen-Ressourcen'!$A$2:$AI$54,20,0)+VLOOKUP(C10,'Feuerwaffen-Ressourcen'!$A$2:$AI$54,20,0)+VLOOKUP(D10,'Feuerwaffen-Ressourcen'!$A$2:$AI$54,20,0)+VLOOKUP(F10,'Feuerwaffen-Ressourcen'!$A$2:$AI$54,20,0)+VLOOKUP(G10,'Feuerwaffen-Ressourcen'!$A$2:$AI$54,20,0)+VLOOKUP(I10,'Feuerwaffen-Ressourcen'!$A$2:$AI$54,20,0)+VLOOKUP(J10,'Feuerwaffen-Ressourcen'!$A$2:$AI$54,20,0)</f>
        <v>-7</v>
      </c>
      <c r="U10" s="50">
        <f>VLOOKUP(B10,'Feuerwaffen-Ressourcen'!$A$2:$AI$54,21,0)+VLOOKUP(C10,'Feuerwaffen-Ressourcen'!$A$2:$AI$54,21,0)+VLOOKUP(D10,'Feuerwaffen-Ressourcen'!$A$2:$AI$54,21,0)+VLOOKUP(F10,'Feuerwaffen-Ressourcen'!$A$2:$AI$54,21,0)+VLOOKUP(G10,'Feuerwaffen-Ressourcen'!$A$2:$AI$54,21,0)+VLOOKUP(I10,'Feuerwaffen-Ressourcen'!$A$2:$AI$54,21,0)+VLOOKUP(J10,'Feuerwaffen-Ressourcen'!$A$2:$AI$54,21,0)</f>
        <v>-13</v>
      </c>
      <c r="V10" s="50">
        <f>VLOOKUP(B10,'Feuerwaffen-Ressourcen'!$A$2:$AI$54,22,0)+VLOOKUP(C10,'Feuerwaffen-Ressourcen'!$A$2:$AI$54,22,0)+VLOOKUP(D10,'Feuerwaffen-Ressourcen'!$A$2:$AI$54,22,0)+VLOOKUP(F10,'Feuerwaffen-Ressourcen'!$A$2:$AI$54,22,0)+VLOOKUP(G10,'Feuerwaffen-Ressourcen'!$A$2:$AI$54,22,0)+VLOOKUP(I10,'Feuerwaffen-Ressourcen'!$A$2:$AI$54,22,0)+VLOOKUP(J10,'Feuerwaffen-Ressourcen'!$A$2:$AI$54,22,0)</f>
        <v>-21</v>
      </c>
      <c r="W10" s="50">
        <f>VLOOKUP(B10,'Feuerwaffen-Ressourcen'!$A$2:$AI$54,23,0)+VLOOKUP(C10,'Feuerwaffen-Ressourcen'!$A$2:$AI$54,23,0)+VLOOKUP(D10,'Feuerwaffen-Ressourcen'!$A$2:$AI$54,23,0)+VLOOKUP(F10,'Feuerwaffen-Ressourcen'!$A$2:$AI$54,23,0)+VLOOKUP(G10,'Feuerwaffen-Ressourcen'!$A$2:$AI$54,23,0)+VLOOKUP(I10,'Feuerwaffen-Ressourcen'!$A$2:$AI$54,23,0)+VLOOKUP(J10,'Feuerwaffen-Ressourcen'!$A$2:$AI$54,23,0)</f>
        <v>-30</v>
      </c>
      <c r="X10" s="50">
        <f>VLOOKUP(B10,'Feuerwaffen-Ressourcen'!$A$2:$AI$54,24,0)+VLOOKUP(C10,'Feuerwaffen-Ressourcen'!$A$2:$AI$54,24,0)+VLOOKUP(D10,'Feuerwaffen-Ressourcen'!$A$2:$AI$54,24,0)+VLOOKUP(G10,'Feuerwaffen-Ressourcen'!$A$2:$AI$54,24,0)</f>
        <v>40</v>
      </c>
      <c r="Y10" s="50">
        <f>VLOOKUP(D10,'Feuerwaffen-Ressourcen'!$A$2:$AI$54,25,0)+VLOOKUP(E10,'Feuerwaffen-Ressourcen'!$A$2:$AI$54,25,0)+VLOOKUP(F10,'Feuerwaffen-Ressourcen'!$A$2:$AI$54,25,0)</f>
        <v>30</v>
      </c>
      <c r="Z10" s="50">
        <f>VLOOKUP(E10,'Feuerwaffen-Ressourcen'!$A$2:$AI$54,26,0)</f>
        <v>3</v>
      </c>
      <c r="AA10" s="50">
        <f>VLOOKUP(B10,'Feuerwaffen-Ressourcen'!$A$2:$AI$54,27,0)+VLOOKUP(D10,'Feuerwaffen-Ressourcen'!$A$2:$AI$54,27,0)+VLOOKUP(F10,'Feuerwaffen-Ressourcen'!$A$2:$AI$54,27,0)+VLOOKUP(I10,'Feuerwaffen-Ressourcen'!$A$2:$AI$54,27,0)</f>
        <v>1</v>
      </c>
      <c r="AB10" s="50">
        <f>VLOOKUP(B10,'Feuerwaffen-Ressourcen'!$A$2:$AI$54,28,0)+VLOOKUP(C10,'Feuerwaffen-Ressourcen'!$A$2:$AI$54,28,0)+VLOOKUP(D10,'Feuerwaffen-Ressourcen'!$A$2:$AI$54,28,0)+VLOOKUP(E10,'Feuerwaffen-Ressourcen'!$A$2:$AI$54,28,0)+VLOOKUP(F10,'Feuerwaffen-Ressourcen'!$A$2:$AI$54,28,0)+VLOOKUP(G10,'Feuerwaffen-Ressourcen'!$A$2:$AI$54,28,0)+VLOOKUP(I10,'Feuerwaffen-Ressourcen'!$A$2:$AI$54,28,0)+VLOOKUP(J10,'Feuerwaffen-Ressourcen'!$A$2:$AI$54,28,0)</f>
        <v>100</v>
      </c>
      <c r="AC10" s="53">
        <f>VLOOKUP(I10,'Feuerwaffen-Ressourcen'!$A$2:$AI$54,31,0)*AD10+AE10</f>
        <v>374.7</v>
      </c>
      <c r="AD10" s="54">
        <f>VLOOKUP(B10,'Feuerwaffen-Ressourcen'!$A$2:$AI$54,30,0)+VLOOKUP(C10,'Feuerwaffen-Ressourcen'!$A$2:$AI$54,30,0)+VLOOKUP(D10,'Feuerwaffen-Ressourcen'!$A$2:$AI$54,30,0)+VLOOKUP(F10,'Feuerwaffen-Ressourcen'!$A$2:$AI$54,30,0)+VLOOKUP(G10,'Feuerwaffen-Ressourcen'!$A$2:$AI$54,30,0)+VLOOKUP(I10,'Feuerwaffen-Ressourcen'!$A$2:$AI$54,30,0)+VLOOKUP(J10,'Feuerwaffen-Ressourcen'!$A$2:$AI$54,30,0)</f>
        <v>6.1999999999999993</v>
      </c>
      <c r="AE10" s="53">
        <f>(VLOOKUP(C10,'Feuerwaffen-Ressourcen'!$A$2:$AI$54,32,0)+VLOOKUP(I10,'Feuerwaffen-Ressourcen'!$A$2:$AI$54,32,0))*(VLOOKUP(B10,'Feuerwaffen-Ressourcen'!$A$2:$AI$54,34,0)+VLOOKUP(C10,'Feuerwaffen-Ressourcen'!$A$2:$AI$54,34,0)+VLOOKUP(D10,'Feuerwaffen-Ressourcen'!$A$2:$AI$54,34,0)+VLOOKUP(E10,'Feuerwaffen-Ressourcen'!$A$2:$AI$54,34,0)+VLOOKUP(G10,'Feuerwaffen-Ressourcen'!$A$2:$AI$54,34,0))+VLOOKUP(B10,'Feuerwaffen-Ressourcen'!$A$2:$AI$54,35,0)+VLOOKUP(C10,'Feuerwaffen-Ressourcen'!$A$2:$AI$54,35,0)+VLOOKUP(D10,'Feuerwaffen-Ressourcen'!$A$2:$AI$54,35,0)</f>
        <v>349.9</v>
      </c>
      <c r="AF10" s="55">
        <f>VLOOKUP(AB10,'Feuerwaffen-Ressourcen'!$AO$3:$AP$9,2,1)</f>
        <v>5</v>
      </c>
      <c r="AG10" s="55">
        <v>0</v>
      </c>
      <c r="AH10" s="28" t="s">
        <v>1420</v>
      </c>
      <c r="AI10" s="28" t="s">
        <v>8657</v>
      </c>
      <c r="AJ10" s="56">
        <v>3</v>
      </c>
      <c r="AK10" s="56" t="s">
        <v>5497</v>
      </c>
      <c r="AL10" s="56" t="s">
        <v>5486</v>
      </c>
      <c r="AM10" s="56">
        <v>3</v>
      </c>
      <c r="AN10" s="56">
        <v>5</v>
      </c>
      <c r="AO10" s="56">
        <v>4</v>
      </c>
      <c r="AP10" s="56">
        <v>4</v>
      </c>
      <c r="AQ10" s="56">
        <v>11</v>
      </c>
      <c r="AR10" s="56">
        <v>11</v>
      </c>
      <c r="AS10" s="56">
        <v>5</v>
      </c>
      <c r="AT10" s="56">
        <v>6</v>
      </c>
    </row>
    <row r="11" spans="1:46">
      <c r="A11" s="49" t="s">
        <v>8832</v>
      </c>
      <c r="B11" s="49" t="s">
        <v>1174</v>
      </c>
      <c r="C11" s="49" t="s">
        <v>8921</v>
      </c>
      <c r="D11" s="49" t="s">
        <v>8912</v>
      </c>
      <c r="E11" s="49" t="s">
        <v>8262</v>
      </c>
      <c r="F11" s="49" t="s">
        <v>8930</v>
      </c>
      <c r="G11" s="49" t="s">
        <v>8923</v>
      </c>
      <c r="H11" s="49" t="s">
        <v>8827</v>
      </c>
      <c r="I11" s="49" t="s">
        <v>7341</v>
      </c>
      <c r="J11" s="49" t="s">
        <v>7320</v>
      </c>
      <c r="K11" s="51">
        <f>VLOOKUP(B11,'Feuerwaffen-Ressourcen'!$A$2:$AI$54,11,0)+VLOOKUP(C11,'Feuerwaffen-Ressourcen'!$A$2:$AI$54,11,0)+VLOOKUP(D11,'Feuerwaffen-Ressourcen'!$A$2:$AI$54,11,0)+VLOOKUP(E11,'Feuerwaffen-Ressourcen'!$A$2:$AI$54,11,0)+VLOOKUP(G11,'Feuerwaffen-Ressourcen'!$A$2:$AI$54,11,0)</f>
        <v>4.8999999999999995</v>
      </c>
      <c r="L11" s="50">
        <f>VLOOKUP(B11,'Feuerwaffen-Ressourcen'!$A$2:$AI$54,12,0)+VLOOKUP(C11,'Feuerwaffen-Ressourcen'!$A$2:$AI$54,12,0)+VLOOKUP(D11,'Feuerwaffen-Ressourcen'!$A$2:$AI$54,12,0)+VLOOKUP(J11,'Feuerwaffen-Ressourcen'!$A$2:$AI$54,12,0)</f>
        <v>11</v>
      </c>
      <c r="M11" s="50" t="str">
        <f>VLOOKUP(VLOOKUP(B11,'Feuerwaffen-Ressourcen'!$A$2:$AI$54,13,0)+VLOOKUP(C11,'Feuerwaffen-Ressourcen'!$A$2:$AI$54,13,0)+VLOOKUP(D11,'Feuerwaffen-Ressourcen'!$A$2:$AI$54,13,0),'Feuerwaffen-Ressourcen'!$AJ$3:$AK$12,2,0)</f>
        <v>W12</v>
      </c>
      <c r="N11" s="50" t="str">
        <f>VLOOKUP(VLOOKUP(B11,'Feuerwaffen-Ressourcen'!$A$2:$AI$54,14,0)+VLOOKUP(C11,'Feuerwaffen-Ressourcen'!$A$2:$AI$54,14,0)+VLOOKUP(D11,'Feuerwaffen-Ressourcen'!$A$2:$AI$54,14,0),'Feuerwaffen-Ressourcen'!$AJ$3:$AK$12,2,0)</f>
        <v>W10</v>
      </c>
      <c r="O11" s="50">
        <f>VLOOKUP(B11,'Feuerwaffen-Ressourcen'!$A$2:$AI$54,15,0)+VLOOKUP(C11,'Feuerwaffen-Ressourcen'!$A$2:$AI$54,15,0)+VLOOKUP(D11,'Feuerwaffen-Ressourcen'!$A$2:$AI$54,15,0)</f>
        <v>1</v>
      </c>
      <c r="P11" s="50">
        <f>VLOOKUP(B11,'Feuerwaffen-Ressourcen'!$A$2:$AI$54,16,0)+VLOOKUP(C11,'Feuerwaffen-Ressourcen'!$A$2:$AI$54,16,0)+VLOOKUP(D11,'Feuerwaffen-Ressourcen'!$A$2:$AI$54,16,0)+VLOOKUP(E11,'Feuerwaffen-Ressourcen'!$A$2:$AI$54,16,0)</f>
        <v>11</v>
      </c>
      <c r="Q11" s="52">
        <f>VLOOKUP(B11,'Feuerwaffen-Ressourcen'!$A$2:$AI$54,17,0)+VLOOKUP(C11,'Feuerwaffen-Ressourcen'!$A$2:$AI$54,17,0)+VLOOKUP(D11,'Feuerwaffen-Ressourcen'!$A$2:$AI$54,17,0)+VLOOKUP(E11,'Feuerwaffen-Ressourcen'!$A$2:$AI$54,17,0)</f>
        <v>18</v>
      </c>
      <c r="R11" s="50">
        <f>VLOOKUP(B11,'Feuerwaffen-Ressourcen'!$A$2:$AI$54,18,0)+VLOOKUP(C11,'Feuerwaffen-Ressourcen'!$A$2:$AI$54,18,0)+VLOOKUP(D11,'Feuerwaffen-Ressourcen'!$A$2:$AI$54,18,0)+VLOOKUP(F11,'Feuerwaffen-Ressourcen'!$A$2:$AI$54,18,0)+VLOOKUP(G11,'Feuerwaffen-Ressourcen'!$A$2:$AI$54,18,0)+VLOOKUP(I11,'Feuerwaffen-Ressourcen'!$A$2:$AI$54,18,0)+VLOOKUP(J11,'Feuerwaffen-Ressourcen'!$A$2:$AI$54,18,0)</f>
        <v>7</v>
      </c>
      <c r="S11" s="50">
        <f>VLOOKUP(B11,'Feuerwaffen-Ressourcen'!$A$2:$AI$54,19,0)+VLOOKUP(C11,'Feuerwaffen-Ressourcen'!$A$2:$AI$54,19,0)+VLOOKUP(D11,'Feuerwaffen-Ressourcen'!$A$2:$AI$54,19,0)+VLOOKUP(F11,'Feuerwaffen-Ressourcen'!$A$2:$AI$54,19,0)+VLOOKUP(G11,'Feuerwaffen-Ressourcen'!$A$2:$AI$54,19,0)+VLOOKUP(I11,'Feuerwaffen-Ressourcen'!$A$2:$AI$54,19,0)+VLOOKUP(J11,'Feuerwaffen-Ressourcen'!$A$2:$AI$54,19,0)</f>
        <v>1</v>
      </c>
      <c r="T11" s="50">
        <f>VLOOKUP(B11,'Feuerwaffen-Ressourcen'!$A$2:$AI$54,20,0)+VLOOKUP(C11,'Feuerwaffen-Ressourcen'!$A$2:$AI$54,20,0)+VLOOKUP(D11,'Feuerwaffen-Ressourcen'!$A$2:$AI$54,20,0)+VLOOKUP(F11,'Feuerwaffen-Ressourcen'!$A$2:$AI$54,20,0)+VLOOKUP(G11,'Feuerwaffen-Ressourcen'!$A$2:$AI$54,20,0)+VLOOKUP(I11,'Feuerwaffen-Ressourcen'!$A$2:$AI$54,20,0)+VLOOKUP(J11,'Feuerwaffen-Ressourcen'!$A$2:$AI$54,20,0)</f>
        <v>-5</v>
      </c>
      <c r="U11" s="50">
        <f>VLOOKUP(B11,'Feuerwaffen-Ressourcen'!$A$2:$AI$54,21,0)+VLOOKUP(C11,'Feuerwaffen-Ressourcen'!$A$2:$AI$54,21,0)+VLOOKUP(D11,'Feuerwaffen-Ressourcen'!$A$2:$AI$54,21,0)+VLOOKUP(F11,'Feuerwaffen-Ressourcen'!$A$2:$AI$54,21,0)+VLOOKUP(G11,'Feuerwaffen-Ressourcen'!$A$2:$AI$54,21,0)+VLOOKUP(I11,'Feuerwaffen-Ressourcen'!$A$2:$AI$54,21,0)+VLOOKUP(J11,'Feuerwaffen-Ressourcen'!$A$2:$AI$54,21,0)</f>
        <v>-11</v>
      </c>
      <c r="V11" s="50">
        <f>VLOOKUP(B11,'Feuerwaffen-Ressourcen'!$A$2:$AI$54,22,0)+VLOOKUP(C11,'Feuerwaffen-Ressourcen'!$A$2:$AI$54,22,0)+VLOOKUP(D11,'Feuerwaffen-Ressourcen'!$A$2:$AI$54,22,0)+VLOOKUP(F11,'Feuerwaffen-Ressourcen'!$A$2:$AI$54,22,0)+VLOOKUP(G11,'Feuerwaffen-Ressourcen'!$A$2:$AI$54,22,0)+VLOOKUP(I11,'Feuerwaffen-Ressourcen'!$A$2:$AI$54,22,0)+VLOOKUP(J11,'Feuerwaffen-Ressourcen'!$A$2:$AI$54,22,0)</f>
        <v>-19</v>
      </c>
      <c r="W11" s="50">
        <f>VLOOKUP(B11,'Feuerwaffen-Ressourcen'!$A$2:$AI$54,23,0)+VLOOKUP(C11,'Feuerwaffen-Ressourcen'!$A$2:$AI$54,23,0)+VLOOKUP(D11,'Feuerwaffen-Ressourcen'!$A$2:$AI$54,23,0)+VLOOKUP(F11,'Feuerwaffen-Ressourcen'!$A$2:$AI$54,23,0)+VLOOKUP(G11,'Feuerwaffen-Ressourcen'!$A$2:$AI$54,23,0)+VLOOKUP(I11,'Feuerwaffen-Ressourcen'!$A$2:$AI$54,23,0)+VLOOKUP(J11,'Feuerwaffen-Ressourcen'!$A$2:$AI$54,23,0)</f>
        <v>-28</v>
      </c>
      <c r="X11" s="50">
        <f>VLOOKUP(B11,'Feuerwaffen-Ressourcen'!$A$2:$AI$54,24,0)+VLOOKUP(C11,'Feuerwaffen-Ressourcen'!$A$2:$AI$54,24,0)+VLOOKUP(D11,'Feuerwaffen-Ressourcen'!$A$2:$AI$54,24,0)+VLOOKUP(G11,'Feuerwaffen-Ressourcen'!$A$2:$AI$54,24,0)</f>
        <v>40</v>
      </c>
      <c r="Y11" s="50">
        <f>VLOOKUP(D11,'Feuerwaffen-Ressourcen'!$A$2:$AI$54,25,0)+VLOOKUP(E11,'Feuerwaffen-Ressourcen'!$A$2:$AI$54,25,0)+VLOOKUP(F11,'Feuerwaffen-Ressourcen'!$A$2:$AI$54,25,0)</f>
        <v>11</v>
      </c>
      <c r="Z11" s="50">
        <f>VLOOKUP(E11,'Feuerwaffen-Ressourcen'!$A$2:$AI$54,26,0)</f>
        <v>6</v>
      </c>
      <c r="AA11" s="50">
        <f>VLOOKUP(B11,'Feuerwaffen-Ressourcen'!$A$2:$AI$54,27,0)+VLOOKUP(D11,'Feuerwaffen-Ressourcen'!$A$2:$AI$54,27,0)+VLOOKUP(F11,'Feuerwaffen-Ressourcen'!$A$2:$AI$54,27,0)+VLOOKUP(I11,'Feuerwaffen-Ressourcen'!$A$2:$AI$54,27,0)</f>
        <v>-1</v>
      </c>
      <c r="AB11" s="50">
        <f>VLOOKUP(B11,'Feuerwaffen-Ressourcen'!$A$2:$AI$54,28,0)+VLOOKUP(C11,'Feuerwaffen-Ressourcen'!$A$2:$AI$54,28,0)+VLOOKUP(D11,'Feuerwaffen-Ressourcen'!$A$2:$AI$54,28,0)+VLOOKUP(E11,'Feuerwaffen-Ressourcen'!$A$2:$AI$54,28,0)+VLOOKUP(F11,'Feuerwaffen-Ressourcen'!$A$2:$AI$54,28,0)+VLOOKUP(G11,'Feuerwaffen-Ressourcen'!$A$2:$AI$54,28,0)+VLOOKUP(I11,'Feuerwaffen-Ressourcen'!$A$2:$AI$54,28,0)+VLOOKUP(J11,'Feuerwaffen-Ressourcen'!$A$2:$AI$54,28,0)</f>
        <v>80</v>
      </c>
      <c r="AC11" s="53">
        <f>VLOOKUP(I11,'Feuerwaffen-Ressourcen'!$A$2:$AI$54,31,0)*AD11+AE11</f>
        <v>394.7</v>
      </c>
      <c r="AD11" s="54">
        <f>VLOOKUP(B11,'Feuerwaffen-Ressourcen'!$A$2:$AI$54,30,0)+VLOOKUP(C11,'Feuerwaffen-Ressourcen'!$A$2:$AI$54,30,0)+VLOOKUP(D11,'Feuerwaffen-Ressourcen'!$A$2:$AI$54,30,0)+VLOOKUP(F11,'Feuerwaffen-Ressourcen'!$A$2:$AI$54,30,0)+VLOOKUP(G11,'Feuerwaffen-Ressourcen'!$A$2:$AI$54,30,0)+VLOOKUP(I11,'Feuerwaffen-Ressourcen'!$A$2:$AI$54,30,0)+VLOOKUP(J11,'Feuerwaffen-Ressourcen'!$A$2:$AI$54,30,0)</f>
        <v>8.1999999999999993</v>
      </c>
      <c r="AE11" s="53">
        <f>(VLOOKUP(C11,'Feuerwaffen-Ressourcen'!$A$2:$AI$54,32,0)+VLOOKUP(I11,'Feuerwaffen-Ressourcen'!$A$2:$AI$54,32,0))*(VLOOKUP(B11,'Feuerwaffen-Ressourcen'!$A$2:$AI$54,34,0)+VLOOKUP(C11,'Feuerwaffen-Ressourcen'!$A$2:$AI$54,34,0)+VLOOKUP(D11,'Feuerwaffen-Ressourcen'!$A$2:$AI$54,34,0)+VLOOKUP(E11,'Feuerwaffen-Ressourcen'!$A$2:$AI$54,34,0)+VLOOKUP(G11,'Feuerwaffen-Ressourcen'!$A$2:$AI$54,34,0))+VLOOKUP(B11,'Feuerwaffen-Ressourcen'!$A$2:$AI$54,35,0)+VLOOKUP(C11,'Feuerwaffen-Ressourcen'!$A$2:$AI$54,35,0)+VLOOKUP(D11,'Feuerwaffen-Ressourcen'!$A$2:$AI$54,35,0)</f>
        <v>361.9</v>
      </c>
      <c r="AF11" s="55">
        <f>VLOOKUP(AB11,'Feuerwaffen-Ressourcen'!$AO$3:$AP$9,2,1)</f>
        <v>6</v>
      </c>
      <c r="AG11" s="55">
        <v>0</v>
      </c>
      <c r="AH11" s="28" t="s">
        <v>1420</v>
      </c>
      <c r="AI11" s="28" t="s">
        <v>8657</v>
      </c>
      <c r="AJ11" s="56">
        <v>3</v>
      </c>
      <c r="AK11" s="56" t="s">
        <v>5497</v>
      </c>
      <c r="AL11" s="56" t="s">
        <v>5486</v>
      </c>
      <c r="AM11" s="56">
        <v>3</v>
      </c>
      <c r="AN11" s="56">
        <v>5</v>
      </c>
      <c r="AO11" s="56">
        <v>4</v>
      </c>
      <c r="AP11" s="56">
        <v>4</v>
      </c>
      <c r="AQ11" s="56">
        <v>11</v>
      </c>
      <c r="AR11" s="56">
        <v>11</v>
      </c>
      <c r="AS11" s="56">
        <v>5</v>
      </c>
      <c r="AT11" s="56">
        <v>6</v>
      </c>
    </row>
    <row r="12" spans="1:46">
      <c r="A12" s="49" t="s">
        <v>8833</v>
      </c>
      <c r="B12" s="49" t="s">
        <v>1174</v>
      </c>
      <c r="C12" s="49" t="s">
        <v>8824</v>
      </c>
      <c r="D12" s="49" t="s">
        <v>8927</v>
      </c>
      <c r="E12" s="49" t="s">
        <v>8829</v>
      </c>
      <c r="F12" s="49" t="s">
        <v>8931</v>
      </c>
      <c r="G12" s="49" t="s">
        <v>8932</v>
      </c>
      <c r="H12" s="49" t="s">
        <v>8830</v>
      </c>
      <c r="I12" s="49" t="s">
        <v>7341</v>
      </c>
      <c r="J12" s="49" t="s">
        <v>7320</v>
      </c>
      <c r="K12" s="51">
        <f>VLOOKUP(B12,'Feuerwaffen-Ressourcen'!$A$2:$AI$54,11,0)+VLOOKUP(C12,'Feuerwaffen-Ressourcen'!$A$2:$AI$54,11,0)+VLOOKUP(D12,'Feuerwaffen-Ressourcen'!$A$2:$AI$54,11,0)+VLOOKUP(E12,'Feuerwaffen-Ressourcen'!$A$2:$AI$54,11,0)+VLOOKUP(G12,'Feuerwaffen-Ressourcen'!$A$2:$AI$54,11,0)</f>
        <v>2.8</v>
      </c>
      <c r="L12" s="50">
        <f>VLOOKUP(B12,'Feuerwaffen-Ressourcen'!$A$2:$AI$54,12,0)+VLOOKUP(C12,'Feuerwaffen-Ressourcen'!$A$2:$AI$54,12,0)+VLOOKUP(D12,'Feuerwaffen-Ressourcen'!$A$2:$AI$54,12,0)+VLOOKUP(J12,'Feuerwaffen-Ressourcen'!$A$2:$AI$54,12,0)</f>
        <v>8</v>
      </c>
      <c r="M12" s="50" t="str">
        <f>VLOOKUP(VLOOKUP(B12,'Feuerwaffen-Ressourcen'!$A$2:$AI$54,13,0)+VLOOKUP(C12,'Feuerwaffen-Ressourcen'!$A$2:$AI$54,13,0)+VLOOKUP(D12,'Feuerwaffen-Ressourcen'!$A$2:$AI$54,13,0),'Feuerwaffen-Ressourcen'!$AJ$3:$AK$12,2,0)</f>
        <v>W12</v>
      </c>
      <c r="N12" s="50" t="str">
        <f>VLOOKUP(VLOOKUP(B12,'Feuerwaffen-Ressourcen'!$A$2:$AI$54,14,0)+VLOOKUP(C12,'Feuerwaffen-Ressourcen'!$A$2:$AI$54,14,0)+VLOOKUP(D12,'Feuerwaffen-Ressourcen'!$A$2:$AI$54,14,0),'Feuerwaffen-Ressourcen'!$AJ$3:$AK$12,2,0)</f>
        <v>W10</v>
      </c>
      <c r="O12" s="50">
        <f>VLOOKUP(B12,'Feuerwaffen-Ressourcen'!$A$2:$AI$54,15,0)+VLOOKUP(C12,'Feuerwaffen-Ressourcen'!$A$2:$AI$54,15,0)+VLOOKUP(D12,'Feuerwaffen-Ressourcen'!$A$2:$AI$54,15,0)</f>
        <v>0</v>
      </c>
      <c r="P12" s="50">
        <f>VLOOKUP(B12,'Feuerwaffen-Ressourcen'!$A$2:$AI$54,16,0)+VLOOKUP(C12,'Feuerwaffen-Ressourcen'!$A$2:$AI$54,16,0)+VLOOKUP(D12,'Feuerwaffen-Ressourcen'!$A$2:$AI$54,16,0)+VLOOKUP(E12,'Feuerwaffen-Ressourcen'!$A$2:$AI$54,16,0)</f>
        <v>12</v>
      </c>
      <c r="Q12" s="52">
        <f>VLOOKUP(B12,'Feuerwaffen-Ressourcen'!$A$2:$AI$54,17,0)+VLOOKUP(C12,'Feuerwaffen-Ressourcen'!$A$2:$AI$54,17,0)+VLOOKUP(D12,'Feuerwaffen-Ressourcen'!$A$2:$AI$54,17,0)+VLOOKUP(E12,'Feuerwaffen-Ressourcen'!$A$2:$AI$54,17,0)</f>
        <v>9</v>
      </c>
      <c r="R12" s="50">
        <f>VLOOKUP(B12,'Feuerwaffen-Ressourcen'!$A$2:$AI$54,18,0)+VLOOKUP(C12,'Feuerwaffen-Ressourcen'!$A$2:$AI$54,18,0)+VLOOKUP(D12,'Feuerwaffen-Ressourcen'!$A$2:$AI$54,18,0)+VLOOKUP(F12,'Feuerwaffen-Ressourcen'!$A$2:$AI$54,18,0)+VLOOKUP(G12,'Feuerwaffen-Ressourcen'!$A$2:$AI$54,18,0)+VLOOKUP(I12,'Feuerwaffen-Ressourcen'!$A$2:$AI$54,18,0)+VLOOKUP(J12,'Feuerwaffen-Ressourcen'!$A$2:$AI$54,18,0)</f>
        <v>12</v>
      </c>
      <c r="S12" s="50">
        <f>VLOOKUP(B12,'Feuerwaffen-Ressourcen'!$A$2:$AI$54,19,0)+VLOOKUP(C12,'Feuerwaffen-Ressourcen'!$A$2:$AI$54,19,0)+VLOOKUP(D12,'Feuerwaffen-Ressourcen'!$A$2:$AI$54,19,0)+VLOOKUP(F12,'Feuerwaffen-Ressourcen'!$A$2:$AI$54,19,0)+VLOOKUP(G12,'Feuerwaffen-Ressourcen'!$A$2:$AI$54,19,0)+VLOOKUP(I12,'Feuerwaffen-Ressourcen'!$A$2:$AI$54,19,0)+VLOOKUP(J12,'Feuerwaffen-Ressourcen'!$A$2:$AI$54,19,0)</f>
        <v>4</v>
      </c>
      <c r="T12" s="50">
        <f>VLOOKUP(B12,'Feuerwaffen-Ressourcen'!$A$2:$AI$54,20,0)+VLOOKUP(C12,'Feuerwaffen-Ressourcen'!$A$2:$AI$54,20,0)+VLOOKUP(D12,'Feuerwaffen-Ressourcen'!$A$2:$AI$54,20,0)+VLOOKUP(F12,'Feuerwaffen-Ressourcen'!$A$2:$AI$54,20,0)+VLOOKUP(G12,'Feuerwaffen-Ressourcen'!$A$2:$AI$54,20,0)+VLOOKUP(I12,'Feuerwaffen-Ressourcen'!$A$2:$AI$54,20,0)+VLOOKUP(J12,'Feuerwaffen-Ressourcen'!$A$2:$AI$54,20,0)</f>
        <v>-7</v>
      </c>
      <c r="U12" s="50">
        <f>VLOOKUP(B12,'Feuerwaffen-Ressourcen'!$A$2:$AI$54,21,0)+VLOOKUP(C12,'Feuerwaffen-Ressourcen'!$A$2:$AI$54,21,0)+VLOOKUP(D12,'Feuerwaffen-Ressourcen'!$A$2:$AI$54,21,0)+VLOOKUP(F12,'Feuerwaffen-Ressourcen'!$A$2:$AI$54,21,0)+VLOOKUP(G12,'Feuerwaffen-Ressourcen'!$A$2:$AI$54,21,0)+VLOOKUP(I12,'Feuerwaffen-Ressourcen'!$A$2:$AI$54,21,0)+VLOOKUP(J12,'Feuerwaffen-Ressourcen'!$A$2:$AI$54,21,0)</f>
        <v>-20</v>
      </c>
      <c r="V12" s="50">
        <f>VLOOKUP(B12,'Feuerwaffen-Ressourcen'!$A$2:$AI$54,22,0)+VLOOKUP(C12,'Feuerwaffen-Ressourcen'!$A$2:$AI$54,22,0)+VLOOKUP(D12,'Feuerwaffen-Ressourcen'!$A$2:$AI$54,22,0)+VLOOKUP(F12,'Feuerwaffen-Ressourcen'!$A$2:$AI$54,22,0)+VLOOKUP(G12,'Feuerwaffen-Ressourcen'!$A$2:$AI$54,22,0)+VLOOKUP(I12,'Feuerwaffen-Ressourcen'!$A$2:$AI$54,22,0)+VLOOKUP(J12,'Feuerwaffen-Ressourcen'!$A$2:$AI$54,22,0)</f>
        <v>-36</v>
      </c>
      <c r="W12" s="50">
        <f>VLOOKUP(B12,'Feuerwaffen-Ressourcen'!$A$2:$AI$54,23,0)+VLOOKUP(C12,'Feuerwaffen-Ressourcen'!$A$2:$AI$54,23,0)+VLOOKUP(D12,'Feuerwaffen-Ressourcen'!$A$2:$AI$54,23,0)+VLOOKUP(F12,'Feuerwaffen-Ressourcen'!$A$2:$AI$54,23,0)+VLOOKUP(G12,'Feuerwaffen-Ressourcen'!$A$2:$AI$54,23,0)+VLOOKUP(I12,'Feuerwaffen-Ressourcen'!$A$2:$AI$54,23,0)+VLOOKUP(J12,'Feuerwaffen-Ressourcen'!$A$2:$AI$54,23,0)</f>
        <v>-53</v>
      </c>
      <c r="X12" s="50">
        <f>VLOOKUP(B12,'Feuerwaffen-Ressourcen'!$A$2:$AI$54,24,0)+VLOOKUP(C12,'Feuerwaffen-Ressourcen'!$A$2:$AI$54,24,0)+VLOOKUP(D12,'Feuerwaffen-Ressourcen'!$A$2:$AI$54,24,0)+VLOOKUP(G12,'Feuerwaffen-Ressourcen'!$A$2:$AI$54,24,0)</f>
        <v>60</v>
      </c>
      <c r="Y12" s="50">
        <f>VLOOKUP(D12,'Feuerwaffen-Ressourcen'!$A$2:$AI$54,25,0)+VLOOKUP(E12,'Feuerwaffen-Ressourcen'!$A$2:$AI$54,25,0)+VLOOKUP(F12,'Feuerwaffen-Ressourcen'!$A$2:$AI$54,25,0)</f>
        <v>9</v>
      </c>
      <c r="Z12" s="50">
        <f>VLOOKUP(E12,'Feuerwaffen-Ressourcen'!$A$2:$AI$54,26,0)</f>
        <v>6</v>
      </c>
      <c r="AA12" s="50">
        <f>VLOOKUP(B12,'Feuerwaffen-Ressourcen'!$A$2:$AI$54,27,0)+VLOOKUP(D12,'Feuerwaffen-Ressourcen'!$A$2:$AI$54,27,0)+VLOOKUP(F12,'Feuerwaffen-Ressourcen'!$A$2:$AI$54,27,0)+VLOOKUP(I12,'Feuerwaffen-Ressourcen'!$A$2:$AI$54,27,0)</f>
        <v>-2</v>
      </c>
      <c r="AB12" s="50">
        <f>VLOOKUP(B12,'Feuerwaffen-Ressourcen'!$A$2:$AI$54,28,0)+VLOOKUP(C12,'Feuerwaffen-Ressourcen'!$A$2:$AI$54,28,0)+VLOOKUP(D12,'Feuerwaffen-Ressourcen'!$A$2:$AI$54,28,0)+VLOOKUP(E12,'Feuerwaffen-Ressourcen'!$A$2:$AI$54,28,0)+VLOOKUP(F12,'Feuerwaffen-Ressourcen'!$A$2:$AI$54,28,0)+VLOOKUP(G12,'Feuerwaffen-Ressourcen'!$A$2:$AI$54,28,0)+VLOOKUP(I12,'Feuerwaffen-Ressourcen'!$A$2:$AI$54,28,0)+VLOOKUP(J12,'Feuerwaffen-Ressourcen'!$A$2:$AI$54,28,0)</f>
        <v>50</v>
      </c>
      <c r="AC12" s="53">
        <f>VLOOKUP(I12,'Feuerwaffen-Ressourcen'!$A$2:$AI$54,31,0)*AD12+AE12</f>
        <v>312.55</v>
      </c>
      <c r="AD12" s="54">
        <f>VLOOKUP(B12,'Feuerwaffen-Ressourcen'!$A$2:$AI$54,30,0)+VLOOKUP(C12,'Feuerwaffen-Ressourcen'!$A$2:$AI$54,30,0)+VLOOKUP(D12,'Feuerwaffen-Ressourcen'!$A$2:$AI$54,30,0)+VLOOKUP(F12,'Feuerwaffen-Ressourcen'!$A$2:$AI$54,30,0)+VLOOKUP(G12,'Feuerwaffen-Ressourcen'!$A$2:$AI$54,30,0)+VLOOKUP(I12,'Feuerwaffen-Ressourcen'!$A$2:$AI$54,30,0)+VLOOKUP(J12,'Feuerwaffen-Ressourcen'!$A$2:$AI$54,30,0)</f>
        <v>10.5</v>
      </c>
      <c r="AE12" s="53">
        <f>(VLOOKUP(C12,'Feuerwaffen-Ressourcen'!$A$2:$AI$54,32,0)+VLOOKUP(I12,'Feuerwaffen-Ressourcen'!$A$2:$AI$54,32,0))*(VLOOKUP(B12,'Feuerwaffen-Ressourcen'!$A$2:$AI$54,34,0)+VLOOKUP(C12,'Feuerwaffen-Ressourcen'!$A$2:$AI$54,34,0)+VLOOKUP(D12,'Feuerwaffen-Ressourcen'!$A$2:$AI$54,34,0)+VLOOKUP(E12,'Feuerwaffen-Ressourcen'!$A$2:$AI$54,34,0)+VLOOKUP(G12,'Feuerwaffen-Ressourcen'!$A$2:$AI$54,34,0))+VLOOKUP(B12,'Feuerwaffen-Ressourcen'!$A$2:$AI$54,35,0)+VLOOKUP(C12,'Feuerwaffen-Ressourcen'!$A$2:$AI$54,35,0)+VLOOKUP(D12,'Feuerwaffen-Ressourcen'!$A$2:$AI$54,35,0)</f>
        <v>270.55</v>
      </c>
      <c r="AF12" s="55">
        <f>VLOOKUP(AB12,'Feuerwaffen-Ressourcen'!$AO$3:$AP$9,2,1)</f>
        <v>7</v>
      </c>
      <c r="AG12" s="55">
        <v>0</v>
      </c>
      <c r="AH12" s="28" t="s">
        <v>1415</v>
      </c>
      <c r="AI12" s="28" t="s">
        <v>8926</v>
      </c>
      <c r="AJ12" s="56">
        <v>1.5</v>
      </c>
      <c r="AK12" s="56" t="s">
        <v>5497</v>
      </c>
      <c r="AL12" s="56" t="s">
        <v>7946</v>
      </c>
      <c r="AM12" s="56">
        <v>3</v>
      </c>
      <c r="AN12" s="56">
        <v>5</v>
      </c>
      <c r="AO12" s="56">
        <v>-2</v>
      </c>
      <c r="AP12" s="56">
        <v>-7</v>
      </c>
      <c r="AQ12" s="56">
        <v>8</v>
      </c>
      <c r="AR12" s="56" t="s">
        <v>7946</v>
      </c>
      <c r="AS12" s="56">
        <v>2</v>
      </c>
      <c r="AT12" s="56">
        <v>10</v>
      </c>
    </row>
    <row r="13" spans="1:46">
      <c r="A13" s="49" t="s">
        <v>8834</v>
      </c>
      <c r="B13" s="49" t="s">
        <v>1174</v>
      </c>
      <c r="C13" s="49" t="s">
        <v>8824</v>
      </c>
      <c r="D13" s="49" t="s">
        <v>8933</v>
      </c>
      <c r="E13" s="49" t="s">
        <v>8829</v>
      </c>
      <c r="F13" s="49" t="s">
        <v>8931</v>
      </c>
      <c r="G13" s="49" t="s">
        <v>8932</v>
      </c>
      <c r="H13" s="49" t="s">
        <v>8830</v>
      </c>
      <c r="I13" s="49" t="s">
        <v>7341</v>
      </c>
      <c r="J13" s="49" t="s">
        <v>7320</v>
      </c>
      <c r="K13" s="51">
        <f>VLOOKUP(B13,'Feuerwaffen-Ressourcen'!$A$2:$AI$54,11,0)+VLOOKUP(C13,'Feuerwaffen-Ressourcen'!$A$2:$AI$54,11,0)+VLOOKUP(D13,'Feuerwaffen-Ressourcen'!$A$2:$AI$54,11,0)+VLOOKUP(E13,'Feuerwaffen-Ressourcen'!$A$2:$AI$54,11,0)+VLOOKUP(G13,'Feuerwaffen-Ressourcen'!$A$2:$AI$54,11,0)</f>
        <v>3.3</v>
      </c>
      <c r="L13" s="50">
        <f>VLOOKUP(B13,'Feuerwaffen-Ressourcen'!$A$2:$AI$54,12,0)+VLOOKUP(C13,'Feuerwaffen-Ressourcen'!$A$2:$AI$54,12,0)+VLOOKUP(D13,'Feuerwaffen-Ressourcen'!$A$2:$AI$54,12,0)+VLOOKUP(J13,'Feuerwaffen-Ressourcen'!$A$2:$AI$54,12,0)</f>
        <v>10</v>
      </c>
      <c r="M13" s="50" t="str">
        <f>VLOOKUP(VLOOKUP(B13,'Feuerwaffen-Ressourcen'!$A$2:$AI$54,13,0)+VLOOKUP(C13,'Feuerwaffen-Ressourcen'!$A$2:$AI$54,13,0)+VLOOKUP(D13,'Feuerwaffen-Ressourcen'!$A$2:$AI$54,13,0),'Feuerwaffen-Ressourcen'!$AJ$3:$AK$12,2,0)</f>
        <v>W15</v>
      </c>
      <c r="N13" s="50" t="str">
        <f>VLOOKUP(VLOOKUP(B13,'Feuerwaffen-Ressourcen'!$A$2:$AI$54,14,0)+VLOOKUP(C13,'Feuerwaffen-Ressourcen'!$A$2:$AI$54,14,0)+VLOOKUP(D13,'Feuerwaffen-Ressourcen'!$A$2:$AI$54,14,0),'Feuerwaffen-Ressourcen'!$AJ$3:$AK$12,2,0)</f>
        <v>W12</v>
      </c>
      <c r="O13" s="50">
        <f>VLOOKUP(B13,'Feuerwaffen-Ressourcen'!$A$2:$AI$54,15,0)+VLOOKUP(C13,'Feuerwaffen-Ressourcen'!$A$2:$AI$54,15,0)+VLOOKUP(D13,'Feuerwaffen-Ressourcen'!$A$2:$AI$54,15,0)</f>
        <v>1</v>
      </c>
      <c r="P13" s="50">
        <f>VLOOKUP(B13,'Feuerwaffen-Ressourcen'!$A$2:$AI$54,16,0)+VLOOKUP(C13,'Feuerwaffen-Ressourcen'!$A$2:$AI$54,16,0)+VLOOKUP(D13,'Feuerwaffen-Ressourcen'!$A$2:$AI$54,16,0)+VLOOKUP(E13,'Feuerwaffen-Ressourcen'!$A$2:$AI$54,16,0)</f>
        <v>13</v>
      </c>
      <c r="Q13" s="52">
        <f>VLOOKUP(B13,'Feuerwaffen-Ressourcen'!$A$2:$AI$54,17,0)+VLOOKUP(C13,'Feuerwaffen-Ressourcen'!$A$2:$AI$54,17,0)+VLOOKUP(D13,'Feuerwaffen-Ressourcen'!$A$2:$AI$54,17,0)+VLOOKUP(E13,'Feuerwaffen-Ressourcen'!$A$2:$AI$54,17,0)</f>
        <v>10</v>
      </c>
      <c r="R13" s="50">
        <f>VLOOKUP(B13,'Feuerwaffen-Ressourcen'!$A$2:$AI$54,18,0)+VLOOKUP(C13,'Feuerwaffen-Ressourcen'!$A$2:$AI$54,18,0)+VLOOKUP(D13,'Feuerwaffen-Ressourcen'!$A$2:$AI$54,18,0)+VLOOKUP(F13,'Feuerwaffen-Ressourcen'!$A$2:$AI$54,18,0)+VLOOKUP(G13,'Feuerwaffen-Ressourcen'!$A$2:$AI$54,18,0)+VLOOKUP(I13,'Feuerwaffen-Ressourcen'!$A$2:$AI$54,18,0)+VLOOKUP(J13,'Feuerwaffen-Ressourcen'!$A$2:$AI$54,18,0)</f>
        <v>10</v>
      </c>
      <c r="S13" s="50">
        <f>VLOOKUP(B13,'Feuerwaffen-Ressourcen'!$A$2:$AI$54,19,0)+VLOOKUP(C13,'Feuerwaffen-Ressourcen'!$A$2:$AI$54,19,0)+VLOOKUP(D13,'Feuerwaffen-Ressourcen'!$A$2:$AI$54,19,0)+VLOOKUP(F13,'Feuerwaffen-Ressourcen'!$A$2:$AI$54,19,0)+VLOOKUP(G13,'Feuerwaffen-Ressourcen'!$A$2:$AI$54,19,0)+VLOOKUP(I13,'Feuerwaffen-Ressourcen'!$A$2:$AI$54,19,0)+VLOOKUP(J13,'Feuerwaffen-Ressourcen'!$A$2:$AI$54,19,0)</f>
        <v>3</v>
      </c>
      <c r="T13" s="50">
        <f>VLOOKUP(B13,'Feuerwaffen-Ressourcen'!$A$2:$AI$54,20,0)+VLOOKUP(C13,'Feuerwaffen-Ressourcen'!$A$2:$AI$54,20,0)+VLOOKUP(D13,'Feuerwaffen-Ressourcen'!$A$2:$AI$54,20,0)+VLOOKUP(F13,'Feuerwaffen-Ressourcen'!$A$2:$AI$54,20,0)+VLOOKUP(G13,'Feuerwaffen-Ressourcen'!$A$2:$AI$54,20,0)+VLOOKUP(I13,'Feuerwaffen-Ressourcen'!$A$2:$AI$54,20,0)+VLOOKUP(J13,'Feuerwaffen-Ressourcen'!$A$2:$AI$54,20,0)</f>
        <v>-7</v>
      </c>
      <c r="U13" s="50">
        <f>VLOOKUP(B13,'Feuerwaffen-Ressourcen'!$A$2:$AI$54,21,0)+VLOOKUP(C13,'Feuerwaffen-Ressourcen'!$A$2:$AI$54,21,0)+VLOOKUP(D13,'Feuerwaffen-Ressourcen'!$A$2:$AI$54,21,0)+VLOOKUP(F13,'Feuerwaffen-Ressourcen'!$A$2:$AI$54,21,0)+VLOOKUP(G13,'Feuerwaffen-Ressourcen'!$A$2:$AI$54,21,0)+VLOOKUP(I13,'Feuerwaffen-Ressourcen'!$A$2:$AI$54,21,0)+VLOOKUP(J13,'Feuerwaffen-Ressourcen'!$A$2:$AI$54,21,0)</f>
        <v>-20</v>
      </c>
      <c r="V13" s="50">
        <f>VLOOKUP(B13,'Feuerwaffen-Ressourcen'!$A$2:$AI$54,22,0)+VLOOKUP(C13,'Feuerwaffen-Ressourcen'!$A$2:$AI$54,22,0)+VLOOKUP(D13,'Feuerwaffen-Ressourcen'!$A$2:$AI$54,22,0)+VLOOKUP(F13,'Feuerwaffen-Ressourcen'!$A$2:$AI$54,22,0)+VLOOKUP(G13,'Feuerwaffen-Ressourcen'!$A$2:$AI$54,22,0)+VLOOKUP(I13,'Feuerwaffen-Ressourcen'!$A$2:$AI$54,22,0)+VLOOKUP(J13,'Feuerwaffen-Ressourcen'!$A$2:$AI$54,22,0)</f>
        <v>-36</v>
      </c>
      <c r="W13" s="50">
        <f>VLOOKUP(B13,'Feuerwaffen-Ressourcen'!$A$2:$AI$54,23,0)+VLOOKUP(C13,'Feuerwaffen-Ressourcen'!$A$2:$AI$54,23,0)+VLOOKUP(D13,'Feuerwaffen-Ressourcen'!$A$2:$AI$54,23,0)+VLOOKUP(F13,'Feuerwaffen-Ressourcen'!$A$2:$AI$54,23,0)+VLOOKUP(G13,'Feuerwaffen-Ressourcen'!$A$2:$AI$54,23,0)+VLOOKUP(I13,'Feuerwaffen-Ressourcen'!$A$2:$AI$54,23,0)+VLOOKUP(J13,'Feuerwaffen-Ressourcen'!$A$2:$AI$54,23,0)</f>
        <v>-53</v>
      </c>
      <c r="X13" s="50">
        <f>VLOOKUP(B13,'Feuerwaffen-Ressourcen'!$A$2:$AI$54,24,0)+VLOOKUP(C13,'Feuerwaffen-Ressourcen'!$A$2:$AI$54,24,0)+VLOOKUP(D13,'Feuerwaffen-Ressourcen'!$A$2:$AI$54,24,0)+VLOOKUP(G13,'Feuerwaffen-Ressourcen'!$A$2:$AI$54,24,0)</f>
        <v>80</v>
      </c>
      <c r="Y13" s="50">
        <f>VLOOKUP(D13,'Feuerwaffen-Ressourcen'!$A$2:$AI$54,25,0)+VLOOKUP(E13,'Feuerwaffen-Ressourcen'!$A$2:$AI$54,25,0)+VLOOKUP(F13,'Feuerwaffen-Ressourcen'!$A$2:$AI$54,25,0)</f>
        <v>11</v>
      </c>
      <c r="Z13" s="50">
        <f>VLOOKUP(E13,'Feuerwaffen-Ressourcen'!$A$2:$AI$54,26,0)</f>
        <v>6</v>
      </c>
      <c r="AA13" s="50">
        <f>VLOOKUP(B13,'Feuerwaffen-Ressourcen'!$A$2:$AI$54,27,0)+VLOOKUP(D13,'Feuerwaffen-Ressourcen'!$A$2:$AI$54,27,0)+VLOOKUP(F13,'Feuerwaffen-Ressourcen'!$A$2:$AI$54,27,0)+VLOOKUP(I13,'Feuerwaffen-Ressourcen'!$A$2:$AI$54,27,0)</f>
        <v>-2</v>
      </c>
      <c r="AB13" s="50">
        <f>VLOOKUP(B13,'Feuerwaffen-Ressourcen'!$A$2:$AI$54,28,0)+VLOOKUP(C13,'Feuerwaffen-Ressourcen'!$A$2:$AI$54,28,0)+VLOOKUP(D13,'Feuerwaffen-Ressourcen'!$A$2:$AI$54,28,0)+VLOOKUP(E13,'Feuerwaffen-Ressourcen'!$A$2:$AI$54,28,0)+VLOOKUP(F13,'Feuerwaffen-Ressourcen'!$A$2:$AI$54,28,0)+VLOOKUP(G13,'Feuerwaffen-Ressourcen'!$A$2:$AI$54,28,0)+VLOOKUP(I13,'Feuerwaffen-Ressourcen'!$A$2:$AI$54,28,0)+VLOOKUP(J13,'Feuerwaffen-Ressourcen'!$A$2:$AI$54,28,0)</f>
        <v>40</v>
      </c>
      <c r="AC13" s="53">
        <f>VLOOKUP(I13,'Feuerwaffen-Ressourcen'!$A$2:$AI$54,31,0)*AD13+AE13</f>
        <v>374.55</v>
      </c>
      <c r="AD13" s="54">
        <f>VLOOKUP(B13,'Feuerwaffen-Ressourcen'!$A$2:$AI$54,30,0)+VLOOKUP(C13,'Feuerwaffen-Ressourcen'!$A$2:$AI$54,30,0)+VLOOKUP(D13,'Feuerwaffen-Ressourcen'!$A$2:$AI$54,30,0)+VLOOKUP(F13,'Feuerwaffen-Ressourcen'!$A$2:$AI$54,30,0)+VLOOKUP(G13,'Feuerwaffen-Ressourcen'!$A$2:$AI$54,30,0)+VLOOKUP(I13,'Feuerwaffen-Ressourcen'!$A$2:$AI$54,30,0)+VLOOKUP(J13,'Feuerwaffen-Ressourcen'!$A$2:$AI$54,30,0)</f>
        <v>11</v>
      </c>
      <c r="AE13" s="53">
        <f>(VLOOKUP(C13,'Feuerwaffen-Ressourcen'!$A$2:$AI$54,32,0)+VLOOKUP(I13,'Feuerwaffen-Ressourcen'!$A$2:$AI$54,32,0))*(VLOOKUP(B13,'Feuerwaffen-Ressourcen'!$A$2:$AI$54,34,0)+VLOOKUP(C13,'Feuerwaffen-Ressourcen'!$A$2:$AI$54,34,0)+VLOOKUP(D13,'Feuerwaffen-Ressourcen'!$A$2:$AI$54,34,0)+VLOOKUP(E13,'Feuerwaffen-Ressourcen'!$A$2:$AI$54,34,0)+VLOOKUP(G13,'Feuerwaffen-Ressourcen'!$A$2:$AI$54,34,0))+VLOOKUP(B13,'Feuerwaffen-Ressourcen'!$A$2:$AI$54,35,0)+VLOOKUP(C13,'Feuerwaffen-Ressourcen'!$A$2:$AI$54,35,0)+VLOOKUP(D13,'Feuerwaffen-Ressourcen'!$A$2:$AI$54,35,0)</f>
        <v>330.55</v>
      </c>
      <c r="AF13" s="55">
        <f>VLOOKUP(AB13,'Feuerwaffen-Ressourcen'!$AO$3:$AP$9,2,1)</f>
        <v>7</v>
      </c>
      <c r="AG13" s="55">
        <v>0</v>
      </c>
      <c r="AH13" s="28" t="s">
        <v>1415</v>
      </c>
      <c r="AI13" s="28" t="s">
        <v>8926</v>
      </c>
      <c r="AJ13" s="56">
        <v>1.5</v>
      </c>
      <c r="AK13" s="56" t="s">
        <v>5497</v>
      </c>
      <c r="AL13" s="56" t="s">
        <v>7946</v>
      </c>
      <c r="AM13" s="56">
        <v>3</v>
      </c>
      <c r="AN13" s="56">
        <v>5</v>
      </c>
      <c r="AO13" s="56">
        <v>-2</v>
      </c>
      <c r="AP13" s="56">
        <v>-7</v>
      </c>
      <c r="AQ13" s="56">
        <v>10</v>
      </c>
      <c r="AR13" s="56" t="s">
        <v>7946</v>
      </c>
      <c r="AS13" s="56">
        <v>2</v>
      </c>
      <c r="AT13" s="56">
        <v>10</v>
      </c>
    </row>
    <row r="14" spans="1:46">
      <c r="A14" s="49" t="s">
        <v>8835</v>
      </c>
      <c r="B14" s="49" t="s">
        <v>1174</v>
      </c>
      <c r="C14" s="49" t="s">
        <v>8824</v>
      </c>
      <c r="D14" s="49" t="s">
        <v>8927</v>
      </c>
      <c r="E14" s="49" t="s">
        <v>8258</v>
      </c>
      <c r="F14" s="49" t="s">
        <v>8928</v>
      </c>
      <c r="G14" s="49" t="s">
        <v>8923</v>
      </c>
      <c r="H14" s="49" t="s">
        <v>8271</v>
      </c>
      <c r="I14" s="49" t="s">
        <v>7341</v>
      </c>
      <c r="J14" s="49" t="s">
        <v>7320</v>
      </c>
      <c r="K14" s="51">
        <f>VLOOKUP(B14,'Feuerwaffen-Ressourcen'!$A$2:$AI$54,11,0)+VLOOKUP(C14,'Feuerwaffen-Ressourcen'!$A$2:$AI$54,11,0)+VLOOKUP(D14,'Feuerwaffen-Ressourcen'!$A$2:$AI$54,11,0)+VLOOKUP(E14,'Feuerwaffen-Ressourcen'!$A$2:$AI$54,11,0)+VLOOKUP(G14,'Feuerwaffen-Ressourcen'!$A$2:$AI$54,11,0)</f>
        <v>2.5499999999999998</v>
      </c>
      <c r="L14" s="50">
        <f>VLOOKUP(B14,'Feuerwaffen-Ressourcen'!$A$2:$AI$54,12,0)+VLOOKUP(C14,'Feuerwaffen-Ressourcen'!$A$2:$AI$54,12,0)+VLOOKUP(D14,'Feuerwaffen-Ressourcen'!$A$2:$AI$54,12,0)+VLOOKUP(J14,'Feuerwaffen-Ressourcen'!$A$2:$AI$54,12,0)</f>
        <v>8</v>
      </c>
      <c r="M14" s="50" t="str">
        <f>VLOOKUP(VLOOKUP(B14,'Feuerwaffen-Ressourcen'!$A$2:$AI$54,13,0)+VLOOKUP(C14,'Feuerwaffen-Ressourcen'!$A$2:$AI$54,13,0)+VLOOKUP(D14,'Feuerwaffen-Ressourcen'!$A$2:$AI$54,13,0),'Feuerwaffen-Ressourcen'!$AJ$3:$AK$12,2,0)</f>
        <v>W12</v>
      </c>
      <c r="N14" s="50" t="str">
        <f>VLOOKUP(VLOOKUP(B14,'Feuerwaffen-Ressourcen'!$A$2:$AI$54,14,0)+VLOOKUP(C14,'Feuerwaffen-Ressourcen'!$A$2:$AI$54,14,0)+VLOOKUP(D14,'Feuerwaffen-Ressourcen'!$A$2:$AI$54,14,0),'Feuerwaffen-Ressourcen'!$AJ$3:$AK$12,2,0)</f>
        <v>W10</v>
      </c>
      <c r="O14" s="50">
        <f>VLOOKUP(B14,'Feuerwaffen-Ressourcen'!$A$2:$AI$54,15,0)+VLOOKUP(C14,'Feuerwaffen-Ressourcen'!$A$2:$AI$54,15,0)+VLOOKUP(D14,'Feuerwaffen-Ressourcen'!$A$2:$AI$54,15,0)</f>
        <v>0</v>
      </c>
      <c r="P14" s="50">
        <f>VLOOKUP(B14,'Feuerwaffen-Ressourcen'!$A$2:$AI$54,16,0)+VLOOKUP(C14,'Feuerwaffen-Ressourcen'!$A$2:$AI$54,16,0)+VLOOKUP(D14,'Feuerwaffen-Ressourcen'!$A$2:$AI$54,16,0)+VLOOKUP(E14,'Feuerwaffen-Ressourcen'!$A$2:$AI$54,16,0)</f>
        <v>6</v>
      </c>
      <c r="Q14" s="52">
        <f>VLOOKUP(B14,'Feuerwaffen-Ressourcen'!$A$2:$AI$54,17,0)+VLOOKUP(C14,'Feuerwaffen-Ressourcen'!$A$2:$AI$54,17,0)+VLOOKUP(D14,'Feuerwaffen-Ressourcen'!$A$2:$AI$54,17,0)+VLOOKUP(E14,'Feuerwaffen-Ressourcen'!$A$2:$AI$54,17,0)</f>
        <v>15</v>
      </c>
      <c r="R14" s="50">
        <f>VLOOKUP(B14,'Feuerwaffen-Ressourcen'!$A$2:$AI$54,18,0)+VLOOKUP(C14,'Feuerwaffen-Ressourcen'!$A$2:$AI$54,18,0)+VLOOKUP(D14,'Feuerwaffen-Ressourcen'!$A$2:$AI$54,18,0)+VLOOKUP(F14,'Feuerwaffen-Ressourcen'!$A$2:$AI$54,18,0)+VLOOKUP(G14,'Feuerwaffen-Ressourcen'!$A$2:$AI$54,18,0)+VLOOKUP(I14,'Feuerwaffen-Ressourcen'!$A$2:$AI$54,18,0)+VLOOKUP(J14,'Feuerwaffen-Ressourcen'!$A$2:$AI$54,18,0)</f>
        <v>8</v>
      </c>
      <c r="S14" s="50">
        <f>VLOOKUP(B14,'Feuerwaffen-Ressourcen'!$A$2:$AI$54,19,0)+VLOOKUP(C14,'Feuerwaffen-Ressourcen'!$A$2:$AI$54,19,0)+VLOOKUP(D14,'Feuerwaffen-Ressourcen'!$A$2:$AI$54,19,0)+VLOOKUP(F14,'Feuerwaffen-Ressourcen'!$A$2:$AI$54,19,0)+VLOOKUP(G14,'Feuerwaffen-Ressourcen'!$A$2:$AI$54,19,0)+VLOOKUP(I14,'Feuerwaffen-Ressourcen'!$A$2:$AI$54,19,0)+VLOOKUP(J14,'Feuerwaffen-Ressourcen'!$A$2:$AI$54,19,0)</f>
        <v>-1</v>
      </c>
      <c r="T14" s="50">
        <f>VLOOKUP(B14,'Feuerwaffen-Ressourcen'!$A$2:$AI$54,20,0)+VLOOKUP(C14,'Feuerwaffen-Ressourcen'!$A$2:$AI$54,20,0)+VLOOKUP(D14,'Feuerwaffen-Ressourcen'!$A$2:$AI$54,20,0)+VLOOKUP(F14,'Feuerwaffen-Ressourcen'!$A$2:$AI$54,20,0)+VLOOKUP(G14,'Feuerwaffen-Ressourcen'!$A$2:$AI$54,20,0)+VLOOKUP(I14,'Feuerwaffen-Ressourcen'!$A$2:$AI$54,20,0)+VLOOKUP(J14,'Feuerwaffen-Ressourcen'!$A$2:$AI$54,20,0)</f>
        <v>-12</v>
      </c>
      <c r="U14" s="50">
        <f>VLOOKUP(B14,'Feuerwaffen-Ressourcen'!$A$2:$AI$54,21,0)+VLOOKUP(C14,'Feuerwaffen-Ressourcen'!$A$2:$AI$54,21,0)+VLOOKUP(D14,'Feuerwaffen-Ressourcen'!$A$2:$AI$54,21,0)+VLOOKUP(F14,'Feuerwaffen-Ressourcen'!$A$2:$AI$54,21,0)+VLOOKUP(G14,'Feuerwaffen-Ressourcen'!$A$2:$AI$54,21,0)+VLOOKUP(I14,'Feuerwaffen-Ressourcen'!$A$2:$AI$54,21,0)+VLOOKUP(J14,'Feuerwaffen-Ressourcen'!$A$2:$AI$54,21,0)</f>
        <v>-24</v>
      </c>
      <c r="V14" s="50">
        <f>VLOOKUP(B14,'Feuerwaffen-Ressourcen'!$A$2:$AI$54,22,0)+VLOOKUP(C14,'Feuerwaffen-Ressourcen'!$A$2:$AI$54,22,0)+VLOOKUP(D14,'Feuerwaffen-Ressourcen'!$A$2:$AI$54,22,0)+VLOOKUP(F14,'Feuerwaffen-Ressourcen'!$A$2:$AI$54,22,0)+VLOOKUP(G14,'Feuerwaffen-Ressourcen'!$A$2:$AI$54,22,0)+VLOOKUP(I14,'Feuerwaffen-Ressourcen'!$A$2:$AI$54,22,0)+VLOOKUP(J14,'Feuerwaffen-Ressourcen'!$A$2:$AI$54,22,0)</f>
        <v>-39</v>
      </c>
      <c r="W14" s="50">
        <f>VLOOKUP(B14,'Feuerwaffen-Ressourcen'!$A$2:$AI$54,23,0)+VLOOKUP(C14,'Feuerwaffen-Ressourcen'!$A$2:$AI$54,23,0)+VLOOKUP(D14,'Feuerwaffen-Ressourcen'!$A$2:$AI$54,23,0)+VLOOKUP(F14,'Feuerwaffen-Ressourcen'!$A$2:$AI$54,23,0)+VLOOKUP(G14,'Feuerwaffen-Ressourcen'!$A$2:$AI$54,23,0)+VLOOKUP(I14,'Feuerwaffen-Ressourcen'!$A$2:$AI$54,23,0)+VLOOKUP(J14,'Feuerwaffen-Ressourcen'!$A$2:$AI$54,23,0)</f>
        <v>-56</v>
      </c>
      <c r="X14" s="50">
        <f>VLOOKUP(B14,'Feuerwaffen-Ressourcen'!$A$2:$AI$54,24,0)+VLOOKUP(C14,'Feuerwaffen-Ressourcen'!$A$2:$AI$54,24,0)+VLOOKUP(D14,'Feuerwaffen-Ressourcen'!$A$2:$AI$54,24,0)+VLOOKUP(G14,'Feuerwaffen-Ressourcen'!$A$2:$AI$54,24,0)</f>
        <v>30</v>
      </c>
      <c r="Y14" s="50">
        <f>VLOOKUP(D14,'Feuerwaffen-Ressourcen'!$A$2:$AI$54,25,0)+VLOOKUP(E14,'Feuerwaffen-Ressourcen'!$A$2:$AI$54,25,0)+VLOOKUP(F14,'Feuerwaffen-Ressourcen'!$A$2:$AI$54,25,0)</f>
        <v>30</v>
      </c>
      <c r="Z14" s="50">
        <f>VLOOKUP(E14,'Feuerwaffen-Ressourcen'!$A$2:$AI$54,26,0)</f>
        <v>3</v>
      </c>
      <c r="AA14" s="50">
        <f>VLOOKUP(B14,'Feuerwaffen-Ressourcen'!$A$2:$AI$54,27,0)+VLOOKUP(D14,'Feuerwaffen-Ressourcen'!$A$2:$AI$54,27,0)+VLOOKUP(F14,'Feuerwaffen-Ressourcen'!$A$2:$AI$54,27,0)+VLOOKUP(I14,'Feuerwaffen-Ressourcen'!$A$2:$AI$54,27,0)</f>
        <v>1</v>
      </c>
      <c r="AB14" s="50">
        <f>VLOOKUP(B14,'Feuerwaffen-Ressourcen'!$A$2:$AI$54,28,0)+VLOOKUP(C14,'Feuerwaffen-Ressourcen'!$A$2:$AI$54,28,0)+VLOOKUP(D14,'Feuerwaffen-Ressourcen'!$A$2:$AI$54,28,0)+VLOOKUP(E14,'Feuerwaffen-Ressourcen'!$A$2:$AI$54,28,0)+VLOOKUP(F14,'Feuerwaffen-Ressourcen'!$A$2:$AI$54,28,0)+VLOOKUP(G14,'Feuerwaffen-Ressourcen'!$A$2:$AI$54,28,0)+VLOOKUP(I14,'Feuerwaffen-Ressourcen'!$A$2:$AI$54,28,0)+VLOOKUP(J14,'Feuerwaffen-Ressourcen'!$A$2:$AI$54,28,0)</f>
        <v>100</v>
      </c>
      <c r="AC14" s="53">
        <f>VLOOKUP(I14,'Feuerwaffen-Ressourcen'!$A$2:$AI$54,31,0)*AD14+AE14</f>
        <v>264.55</v>
      </c>
      <c r="AD14" s="54">
        <f>VLOOKUP(B14,'Feuerwaffen-Ressourcen'!$A$2:$AI$54,30,0)+VLOOKUP(C14,'Feuerwaffen-Ressourcen'!$A$2:$AI$54,30,0)+VLOOKUP(D14,'Feuerwaffen-Ressourcen'!$A$2:$AI$54,30,0)+VLOOKUP(F14,'Feuerwaffen-Ressourcen'!$A$2:$AI$54,30,0)+VLOOKUP(G14,'Feuerwaffen-Ressourcen'!$A$2:$AI$54,30,0)+VLOOKUP(I14,'Feuerwaffen-Ressourcen'!$A$2:$AI$54,30,0)+VLOOKUP(J14,'Feuerwaffen-Ressourcen'!$A$2:$AI$54,30,0)</f>
        <v>6</v>
      </c>
      <c r="AE14" s="53">
        <f>(VLOOKUP(C14,'Feuerwaffen-Ressourcen'!$A$2:$AI$54,32,0)+VLOOKUP(I14,'Feuerwaffen-Ressourcen'!$A$2:$AI$54,32,0))*(VLOOKUP(B14,'Feuerwaffen-Ressourcen'!$A$2:$AI$54,34,0)+VLOOKUP(C14,'Feuerwaffen-Ressourcen'!$A$2:$AI$54,34,0)+VLOOKUP(D14,'Feuerwaffen-Ressourcen'!$A$2:$AI$54,34,0)+VLOOKUP(E14,'Feuerwaffen-Ressourcen'!$A$2:$AI$54,34,0)+VLOOKUP(G14,'Feuerwaffen-Ressourcen'!$A$2:$AI$54,34,0))+VLOOKUP(B14,'Feuerwaffen-Ressourcen'!$A$2:$AI$54,35,0)+VLOOKUP(C14,'Feuerwaffen-Ressourcen'!$A$2:$AI$54,35,0)+VLOOKUP(D14,'Feuerwaffen-Ressourcen'!$A$2:$AI$54,35,0)</f>
        <v>240.55</v>
      </c>
      <c r="AF14" s="55">
        <f>VLOOKUP(AB14,'Feuerwaffen-Ressourcen'!$AO$3:$AP$9,2,1)</f>
        <v>5</v>
      </c>
      <c r="AG14" s="55">
        <v>0</v>
      </c>
      <c r="AH14" s="28" t="s">
        <v>1415</v>
      </c>
      <c r="AI14" s="28" t="s">
        <v>8926</v>
      </c>
      <c r="AJ14" s="56">
        <v>1.5</v>
      </c>
      <c r="AK14" s="56" t="s">
        <v>5497</v>
      </c>
      <c r="AL14" s="56" t="s">
        <v>7946</v>
      </c>
      <c r="AM14" s="56">
        <v>3</v>
      </c>
      <c r="AN14" s="56">
        <v>5</v>
      </c>
      <c r="AO14" s="56">
        <v>-2</v>
      </c>
      <c r="AP14" s="56">
        <v>-7</v>
      </c>
      <c r="AQ14" s="56">
        <v>8</v>
      </c>
      <c r="AR14" s="56" t="s">
        <v>7946</v>
      </c>
      <c r="AS14" s="56">
        <v>2</v>
      </c>
      <c r="AT14" s="56">
        <v>10</v>
      </c>
    </row>
    <row r="15" spans="1:46">
      <c r="A15" s="49" t="s">
        <v>8836</v>
      </c>
      <c r="B15" s="49" t="s">
        <v>1174</v>
      </c>
      <c r="C15" s="49" t="s">
        <v>8824</v>
      </c>
      <c r="D15" s="49" t="s">
        <v>8934</v>
      </c>
      <c r="E15" s="49" t="s">
        <v>8829</v>
      </c>
      <c r="F15" s="49" t="s">
        <v>8931</v>
      </c>
      <c r="G15" s="49" t="s">
        <v>8932</v>
      </c>
      <c r="H15" s="49" t="s">
        <v>8830</v>
      </c>
      <c r="I15" s="49" t="s">
        <v>7341</v>
      </c>
      <c r="J15" s="49" t="s">
        <v>7320</v>
      </c>
      <c r="K15" s="51">
        <f>VLOOKUP(B15,'Feuerwaffen-Ressourcen'!$A$2:$AI$54,11,0)+VLOOKUP(C15,'Feuerwaffen-Ressourcen'!$A$2:$AI$54,11,0)+VLOOKUP(D15,'Feuerwaffen-Ressourcen'!$A$2:$AI$54,11,0)+VLOOKUP(E15,'Feuerwaffen-Ressourcen'!$A$2:$AI$54,11,0)+VLOOKUP(G15,'Feuerwaffen-Ressourcen'!$A$2:$AI$54,11,0)</f>
        <v>2.1</v>
      </c>
      <c r="L15" s="50">
        <f>VLOOKUP(B15,'Feuerwaffen-Ressourcen'!$A$2:$AI$54,12,0)+VLOOKUP(C15,'Feuerwaffen-Ressourcen'!$A$2:$AI$54,12,0)+VLOOKUP(D15,'Feuerwaffen-Ressourcen'!$A$2:$AI$54,12,0)+VLOOKUP(J15,'Feuerwaffen-Ressourcen'!$A$2:$AI$54,12,0)</f>
        <v>6</v>
      </c>
      <c r="M15" s="50" t="str">
        <f>VLOOKUP(VLOOKUP(B15,'Feuerwaffen-Ressourcen'!$A$2:$AI$54,13,0)+VLOOKUP(C15,'Feuerwaffen-Ressourcen'!$A$2:$AI$54,13,0)+VLOOKUP(D15,'Feuerwaffen-Ressourcen'!$A$2:$AI$54,13,0),'Feuerwaffen-Ressourcen'!$AJ$3:$AK$12,2,0)</f>
        <v>W8</v>
      </c>
      <c r="N15" s="50" t="str">
        <f>VLOOKUP(VLOOKUP(B15,'Feuerwaffen-Ressourcen'!$A$2:$AI$54,14,0)+VLOOKUP(C15,'Feuerwaffen-Ressourcen'!$A$2:$AI$54,14,0)+VLOOKUP(D15,'Feuerwaffen-Ressourcen'!$A$2:$AI$54,14,0),'Feuerwaffen-Ressourcen'!$AJ$3:$AK$12,2,0)</f>
        <v>W6</v>
      </c>
      <c r="O15" s="50">
        <f>VLOOKUP(B15,'Feuerwaffen-Ressourcen'!$A$2:$AI$54,15,0)+VLOOKUP(C15,'Feuerwaffen-Ressourcen'!$A$2:$AI$54,15,0)+VLOOKUP(D15,'Feuerwaffen-Ressourcen'!$A$2:$AI$54,15,0)</f>
        <v>0</v>
      </c>
      <c r="P15" s="50">
        <f>VLOOKUP(B15,'Feuerwaffen-Ressourcen'!$A$2:$AI$54,16,0)+VLOOKUP(C15,'Feuerwaffen-Ressourcen'!$A$2:$AI$54,16,0)+VLOOKUP(D15,'Feuerwaffen-Ressourcen'!$A$2:$AI$54,16,0)+VLOOKUP(E15,'Feuerwaffen-Ressourcen'!$A$2:$AI$54,16,0)</f>
        <v>15</v>
      </c>
      <c r="Q15" s="52">
        <f>VLOOKUP(B15,'Feuerwaffen-Ressourcen'!$A$2:$AI$54,17,0)+VLOOKUP(C15,'Feuerwaffen-Ressourcen'!$A$2:$AI$54,17,0)+VLOOKUP(D15,'Feuerwaffen-Ressourcen'!$A$2:$AI$54,17,0)+VLOOKUP(E15,'Feuerwaffen-Ressourcen'!$A$2:$AI$54,17,0)</f>
        <v>7</v>
      </c>
      <c r="R15" s="50">
        <f>VLOOKUP(B15,'Feuerwaffen-Ressourcen'!$A$2:$AI$54,18,0)+VLOOKUP(C15,'Feuerwaffen-Ressourcen'!$A$2:$AI$54,18,0)+VLOOKUP(D15,'Feuerwaffen-Ressourcen'!$A$2:$AI$54,18,0)+VLOOKUP(F15,'Feuerwaffen-Ressourcen'!$A$2:$AI$54,18,0)+VLOOKUP(G15,'Feuerwaffen-Ressourcen'!$A$2:$AI$54,18,0)+VLOOKUP(I15,'Feuerwaffen-Ressourcen'!$A$2:$AI$54,18,0)+VLOOKUP(J15,'Feuerwaffen-Ressourcen'!$A$2:$AI$54,18,0)</f>
        <v>16</v>
      </c>
      <c r="S15" s="50">
        <f>VLOOKUP(B15,'Feuerwaffen-Ressourcen'!$A$2:$AI$54,19,0)+VLOOKUP(C15,'Feuerwaffen-Ressourcen'!$A$2:$AI$54,19,0)+VLOOKUP(D15,'Feuerwaffen-Ressourcen'!$A$2:$AI$54,19,0)+VLOOKUP(F15,'Feuerwaffen-Ressourcen'!$A$2:$AI$54,19,0)+VLOOKUP(G15,'Feuerwaffen-Ressourcen'!$A$2:$AI$54,19,0)+VLOOKUP(I15,'Feuerwaffen-Ressourcen'!$A$2:$AI$54,19,0)+VLOOKUP(J15,'Feuerwaffen-Ressourcen'!$A$2:$AI$54,19,0)</f>
        <v>-1</v>
      </c>
      <c r="T15" s="50">
        <f>VLOOKUP(B15,'Feuerwaffen-Ressourcen'!$A$2:$AI$54,20,0)+VLOOKUP(C15,'Feuerwaffen-Ressourcen'!$A$2:$AI$54,20,0)+VLOOKUP(D15,'Feuerwaffen-Ressourcen'!$A$2:$AI$54,20,0)+VLOOKUP(F15,'Feuerwaffen-Ressourcen'!$A$2:$AI$54,20,0)+VLOOKUP(G15,'Feuerwaffen-Ressourcen'!$A$2:$AI$54,20,0)+VLOOKUP(I15,'Feuerwaffen-Ressourcen'!$A$2:$AI$54,20,0)+VLOOKUP(J15,'Feuerwaffen-Ressourcen'!$A$2:$AI$54,20,0)</f>
        <v>-17</v>
      </c>
      <c r="U15" s="50">
        <f>VLOOKUP(B15,'Feuerwaffen-Ressourcen'!$A$2:$AI$54,21,0)+VLOOKUP(C15,'Feuerwaffen-Ressourcen'!$A$2:$AI$54,21,0)+VLOOKUP(D15,'Feuerwaffen-Ressourcen'!$A$2:$AI$54,21,0)+VLOOKUP(F15,'Feuerwaffen-Ressourcen'!$A$2:$AI$54,21,0)+VLOOKUP(G15,'Feuerwaffen-Ressourcen'!$A$2:$AI$54,21,0)+VLOOKUP(I15,'Feuerwaffen-Ressourcen'!$A$2:$AI$54,21,0)+VLOOKUP(J15,'Feuerwaffen-Ressourcen'!$A$2:$AI$54,21,0)</f>
        <v>-40</v>
      </c>
      <c r="V15" s="50">
        <f>VLOOKUP(B15,'Feuerwaffen-Ressourcen'!$A$2:$AI$54,22,0)+VLOOKUP(C15,'Feuerwaffen-Ressourcen'!$A$2:$AI$54,22,0)+VLOOKUP(D15,'Feuerwaffen-Ressourcen'!$A$2:$AI$54,22,0)+VLOOKUP(F15,'Feuerwaffen-Ressourcen'!$A$2:$AI$54,22,0)+VLOOKUP(G15,'Feuerwaffen-Ressourcen'!$A$2:$AI$54,22,0)+VLOOKUP(I15,'Feuerwaffen-Ressourcen'!$A$2:$AI$54,22,0)+VLOOKUP(J15,'Feuerwaffen-Ressourcen'!$A$2:$AI$54,22,0)</f>
        <v>-76</v>
      </c>
      <c r="W15" s="50">
        <f>VLOOKUP(B15,'Feuerwaffen-Ressourcen'!$A$2:$AI$54,23,0)+VLOOKUP(C15,'Feuerwaffen-Ressourcen'!$A$2:$AI$54,23,0)+VLOOKUP(D15,'Feuerwaffen-Ressourcen'!$A$2:$AI$54,23,0)+VLOOKUP(F15,'Feuerwaffen-Ressourcen'!$A$2:$AI$54,23,0)+VLOOKUP(G15,'Feuerwaffen-Ressourcen'!$A$2:$AI$54,23,0)+VLOOKUP(I15,'Feuerwaffen-Ressourcen'!$A$2:$AI$54,23,0)+VLOOKUP(J15,'Feuerwaffen-Ressourcen'!$A$2:$AI$54,23,0)</f>
        <v>-133</v>
      </c>
      <c r="X15" s="50">
        <f>VLOOKUP(B15,'Feuerwaffen-Ressourcen'!$A$2:$AI$54,24,0)+VLOOKUP(C15,'Feuerwaffen-Ressourcen'!$A$2:$AI$54,24,0)+VLOOKUP(D15,'Feuerwaffen-Ressourcen'!$A$2:$AI$54,24,0)+VLOOKUP(G15,'Feuerwaffen-Ressourcen'!$A$2:$AI$54,24,0)</f>
        <v>50</v>
      </c>
      <c r="Y15" s="50">
        <f>VLOOKUP(D15,'Feuerwaffen-Ressourcen'!$A$2:$AI$54,25,0)+VLOOKUP(E15,'Feuerwaffen-Ressourcen'!$A$2:$AI$54,25,0)+VLOOKUP(F15,'Feuerwaffen-Ressourcen'!$A$2:$AI$54,25,0)</f>
        <v>8</v>
      </c>
      <c r="Z15" s="50">
        <f>VLOOKUP(E15,'Feuerwaffen-Ressourcen'!$A$2:$AI$54,26,0)</f>
        <v>6</v>
      </c>
      <c r="AA15" s="50">
        <f>VLOOKUP(B15,'Feuerwaffen-Ressourcen'!$A$2:$AI$54,27,0)+VLOOKUP(D15,'Feuerwaffen-Ressourcen'!$A$2:$AI$54,27,0)+VLOOKUP(F15,'Feuerwaffen-Ressourcen'!$A$2:$AI$54,27,0)+VLOOKUP(I15,'Feuerwaffen-Ressourcen'!$A$2:$AI$54,27,0)</f>
        <v>-4</v>
      </c>
      <c r="AB15" s="50">
        <f>VLOOKUP(B15,'Feuerwaffen-Ressourcen'!$A$2:$AI$54,28,0)+VLOOKUP(C15,'Feuerwaffen-Ressourcen'!$A$2:$AI$54,28,0)+VLOOKUP(D15,'Feuerwaffen-Ressourcen'!$A$2:$AI$54,28,0)+VLOOKUP(E15,'Feuerwaffen-Ressourcen'!$A$2:$AI$54,28,0)+VLOOKUP(F15,'Feuerwaffen-Ressourcen'!$A$2:$AI$54,28,0)+VLOOKUP(G15,'Feuerwaffen-Ressourcen'!$A$2:$AI$54,28,0)+VLOOKUP(I15,'Feuerwaffen-Ressourcen'!$A$2:$AI$54,28,0)+VLOOKUP(J15,'Feuerwaffen-Ressourcen'!$A$2:$AI$54,28,0)</f>
        <v>35</v>
      </c>
      <c r="AC15" s="53">
        <f>VLOOKUP(I15,'Feuerwaffen-Ressourcen'!$A$2:$AI$54,31,0)*AD15+AE15</f>
        <v>268.35000000000002</v>
      </c>
      <c r="AD15" s="54">
        <f>VLOOKUP(B15,'Feuerwaffen-Ressourcen'!$A$2:$AI$54,30,0)+VLOOKUP(C15,'Feuerwaffen-Ressourcen'!$A$2:$AI$54,30,0)+VLOOKUP(D15,'Feuerwaffen-Ressourcen'!$A$2:$AI$54,30,0)+VLOOKUP(F15,'Feuerwaffen-Ressourcen'!$A$2:$AI$54,30,0)+VLOOKUP(G15,'Feuerwaffen-Ressourcen'!$A$2:$AI$54,30,0)+VLOOKUP(I15,'Feuerwaffen-Ressourcen'!$A$2:$AI$54,30,0)+VLOOKUP(J15,'Feuerwaffen-Ressourcen'!$A$2:$AI$54,30,0)</f>
        <v>14.5</v>
      </c>
      <c r="AE15" s="53">
        <f>(VLOOKUP(C15,'Feuerwaffen-Ressourcen'!$A$2:$AI$54,32,0)+VLOOKUP(I15,'Feuerwaffen-Ressourcen'!$A$2:$AI$54,32,0))*(VLOOKUP(B15,'Feuerwaffen-Ressourcen'!$A$2:$AI$54,34,0)+VLOOKUP(C15,'Feuerwaffen-Ressourcen'!$A$2:$AI$54,34,0)+VLOOKUP(D15,'Feuerwaffen-Ressourcen'!$A$2:$AI$54,34,0)+VLOOKUP(E15,'Feuerwaffen-Ressourcen'!$A$2:$AI$54,34,0)+VLOOKUP(G15,'Feuerwaffen-Ressourcen'!$A$2:$AI$54,34,0))+VLOOKUP(B15,'Feuerwaffen-Ressourcen'!$A$2:$AI$54,35,0)+VLOOKUP(C15,'Feuerwaffen-Ressourcen'!$A$2:$AI$54,35,0)+VLOOKUP(D15,'Feuerwaffen-Ressourcen'!$A$2:$AI$54,35,0)</f>
        <v>210.35000000000002</v>
      </c>
      <c r="AF15" s="55">
        <f>VLOOKUP(AB15,'Feuerwaffen-Ressourcen'!$AO$3:$AP$9,2,1)</f>
        <v>7</v>
      </c>
      <c r="AG15" s="55">
        <v>0</v>
      </c>
      <c r="AH15" s="28" t="s">
        <v>1415</v>
      </c>
      <c r="AI15" s="28" t="s">
        <v>8926</v>
      </c>
      <c r="AJ15" s="56">
        <v>1.5</v>
      </c>
      <c r="AK15" s="56" t="s">
        <v>5497</v>
      </c>
      <c r="AL15" s="56" t="s">
        <v>7946</v>
      </c>
      <c r="AM15" s="56">
        <v>3</v>
      </c>
      <c r="AN15" s="56">
        <v>5</v>
      </c>
      <c r="AO15" s="56">
        <v>-2</v>
      </c>
      <c r="AP15" s="56">
        <v>-7</v>
      </c>
      <c r="AQ15" s="56">
        <v>6</v>
      </c>
      <c r="AR15" s="56" t="s">
        <v>7946</v>
      </c>
      <c r="AS15" s="56">
        <v>2</v>
      </c>
      <c r="AT15" s="56">
        <v>10</v>
      </c>
    </row>
    <row r="16" spans="1:46">
      <c r="A16" s="49" t="s">
        <v>8837</v>
      </c>
      <c r="B16" s="49" t="s">
        <v>1176</v>
      </c>
      <c r="C16" s="49" t="s">
        <v>8921</v>
      </c>
      <c r="D16" s="49" t="s">
        <v>8912</v>
      </c>
      <c r="E16" s="49" t="s">
        <v>8258</v>
      </c>
      <c r="F16" s="49" t="s">
        <v>8928</v>
      </c>
      <c r="G16" s="49" t="s">
        <v>8923</v>
      </c>
      <c r="H16" s="49" t="s">
        <v>8271</v>
      </c>
      <c r="I16" s="49" t="s">
        <v>7341</v>
      </c>
      <c r="J16" s="49" t="s">
        <v>7320</v>
      </c>
      <c r="K16" s="51">
        <f>VLOOKUP(B16,'Feuerwaffen-Ressourcen'!$A$2:$AI$54,11,0)+VLOOKUP(C16,'Feuerwaffen-Ressourcen'!$A$2:$AI$54,11,0)+VLOOKUP(D16,'Feuerwaffen-Ressourcen'!$A$2:$AI$54,11,0)+VLOOKUP(E16,'Feuerwaffen-Ressourcen'!$A$2:$AI$54,11,0)+VLOOKUP(G16,'Feuerwaffen-Ressourcen'!$A$2:$AI$54,11,0)</f>
        <v>3.8</v>
      </c>
      <c r="L16" s="50">
        <f>VLOOKUP(B16,'Feuerwaffen-Ressourcen'!$A$2:$AI$54,12,0)+VLOOKUP(C16,'Feuerwaffen-Ressourcen'!$A$2:$AI$54,12,0)+VLOOKUP(D16,'Feuerwaffen-Ressourcen'!$A$2:$AI$54,12,0)+VLOOKUP(J16,'Feuerwaffen-Ressourcen'!$A$2:$AI$54,12,0)</f>
        <v>10</v>
      </c>
      <c r="M16" s="50" t="str">
        <f>VLOOKUP(VLOOKUP(B16,'Feuerwaffen-Ressourcen'!$A$2:$AI$54,13,0)+VLOOKUP(C16,'Feuerwaffen-Ressourcen'!$A$2:$AI$54,13,0)+VLOOKUP(D16,'Feuerwaffen-Ressourcen'!$A$2:$AI$54,13,0),'Feuerwaffen-Ressourcen'!$AJ$3:$AK$12,2,0)</f>
        <v>W8</v>
      </c>
      <c r="N16" s="50" t="str">
        <f>VLOOKUP(VLOOKUP(B16,'Feuerwaffen-Ressourcen'!$A$2:$AI$54,14,0)+VLOOKUP(C16,'Feuerwaffen-Ressourcen'!$A$2:$AI$54,14,0)+VLOOKUP(D16,'Feuerwaffen-Ressourcen'!$A$2:$AI$54,14,0),'Feuerwaffen-Ressourcen'!$AJ$3:$AK$12,2,0)</f>
        <v>W8</v>
      </c>
      <c r="O16" s="50">
        <f>VLOOKUP(B16,'Feuerwaffen-Ressourcen'!$A$2:$AI$54,15,0)+VLOOKUP(C16,'Feuerwaffen-Ressourcen'!$A$2:$AI$54,15,0)+VLOOKUP(D16,'Feuerwaffen-Ressourcen'!$A$2:$AI$54,15,0)</f>
        <v>1</v>
      </c>
      <c r="P16" s="50">
        <f>VLOOKUP(B16,'Feuerwaffen-Ressourcen'!$A$2:$AI$54,16,0)+VLOOKUP(C16,'Feuerwaffen-Ressourcen'!$A$2:$AI$54,16,0)+VLOOKUP(D16,'Feuerwaffen-Ressourcen'!$A$2:$AI$54,16,0)+VLOOKUP(E16,'Feuerwaffen-Ressourcen'!$A$2:$AI$54,16,0)</f>
        <v>11</v>
      </c>
      <c r="Q16" s="52">
        <f>VLOOKUP(B16,'Feuerwaffen-Ressourcen'!$A$2:$AI$54,17,0)+VLOOKUP(C16,'Feuerwaffen-Ressourcen'!$A$2:$AI$54,17,0)+VLOOKUP(D16,'Feuerwaffen-Ressourcen'!$A$2:$AI$54,17,0)+VLOOKUP(E16,'Feuerwaffen-Ressourcen'!$A$2:$AI$54,17,0)</f>
        <v>17</v>
      </c>
      <c r="R16" s="50">
        <f>VLOOKUP(B16,'Feuerwaffen-Ressourcen'!$A$2:$AI$54,18,0)+VLOOKUP(C16,'Feuerwaffen-Ressourcen'!$A$2:$AI$54,18,0)+VLOOKUP(D16,'Feuerwaffen-Ressourcen'!$A$2:$AI$54,18,0)+VLOOKUP(F16,'Feuerwaffen-Ressourcen'!$A$2:$AI$54,18,0)+VLOOKUP(G16,'Feuerwaffen-Ressourcen'!$A$2:$AI$54,18,0)+VLOOKUP(I16,'Feuerwaffen-Ressourcen'!$A$2:$AI$54,18,0)+VLOOKUP(J16,'Feuerwaffen-Ressourcen'!$A$2:$AI$54,18,0)</f>
        <v>6</v>
      </c>
      <c r="S16" s="50">
        <f>VLOOKUP(B16,'Feuerwaffen-Ressourcen'!$A$2:$AI$54,19,0)+VLOOKUP(C16,'Feuerwaffen-Ressourcen'!$A$2:$AI$54,19,0)+VLOOKUP(D16,'Feuerwaffen-Ressourcen'!$A$2:$AI$54,19,0)+VLOOKUP(F16,'Feuerwaffen-Ressourcen'!$A$2:$AI$54,19,0)+VLOOKUP(G16,'Feuerwaffen-Ressourcen'!$A$2:$AI$54,19,0)+VLOOKUP(I16,'Feuerwaffen-Ressourcen'!$A$2:$AI$54,19,0)+VLOOKUP(J16,'Feuerwaffen-Ressourcen'!$A$2:$AI$54,19,0)</f>
        <v>1</v>
      </c>
      <c r="T16" s="50">
        <f>VLOOKUP(B16,'Feuerwaffen-Ressourcen'!$A$2:$AI$54,20,0)+VLOOKUP(C16,'Feuerwaffen-Ressourcen'!$A$2:$AI$54,20,0)+VLOOKUP(D16,'Feuerwaffen-Ressourcen'!$A$2:$AI$54,20,0)+VLOOKUP(F16,'Feuerwaffen-Ressourcen'!$A$2:$AI$54,20,0)+VLOOKUP(G16,'Feuerwaffen-Ressourcen'!$A$2:$AI$54,20,0)+VLOOKUP(I16,'Feuerwaffen-Ressourcen'!$A$2:$AI$54,20,0)+VLOOKUP(J16,'Feuerwaffen-Ressourcen'!$A$2:$AI$54,20,0)</f>
        <v>-4</v>
      </c>
      <c r="U16" s="50">
        <f>VLOOKUP(B16,'Feuerwaffen-Ressourcen'!$A$2:$AI$54,21,0)+VLOOKUP(C16,'Feuerwaffen-Ressourcen'!$A$2:$AI$54,21,0)+VLOOKUP(D16,'Feuerwaffen-Ressourcen'!$A$2:$AI$54,21,0)+VLOOKUP(F16,'Feuerwaffen-Ressourcen'!$A$2:$AI$54,21,0)+VLOOKUP(G16,'Feuerwaffen-Ressourcen'!$A$2:$AI$54,21,0)+VLOOKUP(I16,'Feuerwaffen-Ressourcen'!$A$2:$AI$54,21,0)+VLOOKUP(J16,'Feuerwaffen-Ressourcen'!$A$2:$AI$54,21,0)</f>
        <v>-10</v>
      </c>
      <c r="V16" s="50">
        <f>VLOOKUP(B16,'Feuerwaffen-Ressourcen'!$A$2:$AI$54,22,0)+VLOOKUP(C16,'Feuerwaffen-Ressourcen'!$A$2:$AI$54,22,0)+VLOOKUP(D16,'Feuerwaffen-Ressourcen'!$A$2:$AI$54,22,0)+VLOOKUP(F16,'Feuerwaffen-Ressourcen'!$A$2:$AI$54,22,0)+VLOOKUP(G16,'Feuerwaffen-Ressourcen'!$A$2:$AI$54,22,0)+VLOOKUP(I16,'Feuerwaffen-Ressourcen'!$A$2:$AI$54,22,0)+VLOOKUP(J16,'Feuerwaffen-Ressourcen'!$A$2:$AI$54,22,0)</f>
        <v>-17</v>
      </c>
      <c r="W16" s="50">
        <f>VLOOKUP(B16,'Feuerwaffen-Ressourcen'!$A$2:$AI$54,23,0)+VLOOKUP(C16,'Feuerwaffen-Ressourcen'!$A$2:$AI$54,23,0)+VLOOKUP(D16,'Feuerwaffen-Ressourcen'!$A$2:$AI$54,23,0)+VLOOKUP(F16,'Feuerwaffen-Ressourcen'!$A$2:$AI$54,23,0)+VLOOKUP(G16,'Feuerwaffen-Ressourcen'!$A$2:$AI$54,23,0)+VLOOKUP(I16,'Feuerwaffen-Ressourcen'!$A$2:$AI$54,23,0)+VLOOKUP(J16,'Feuerwaffen-Ressourcen'!$A$2:$AI$54,23,0)</f>
        <v>-25</v>
      </c>
      <c r="X16" s="50">
        <f>VLOOKUP(B16,'Feuerwaffen-Ressourcen'!$A$2:$AI$54,24,0)+VLOOKUP(C16,'Feuerwaffen-Ressourcen'!$A$2:$AI$54,24,0)+VLOOKUP(D16,'Feuerwaffen-Ressourcen'!$A$2:$AI$54,24,0)+VLOOKUP(G16,'Feuerwaffen-Ressourcen'!$A$2:$AI$54,24,0)</f>
        <v>60</v>
      </c>
      <c r="Y16" s="50">
        <f>VLOOKUP(D16,'Feuerwaffen-Ressourcen'!$A$2:$AI$54,25,0)+VLOOKUP(E16,'Feuerwaffen-Ressourcen'!$A$2:$AI$54,25,0)+VLOOKUP(F16,'Feuerwaffen-Ressourcen'!$A$2:$AI$54,25,0)</f>
        <v>30</v>
      </c>
      <c r="Z16" s="50">
        <f>VLOOKUP(E16,'Feuerwaffen-Ressourcen'!$A$2:$AI$54,26,0)</f>
        <v>3</v>
      </c>
      <c r="AA16" s="50">
        <f>VLOOKUP(B16,'Feuerwaffen-Ressourcen'!$A$2:$AI$54,27,0)+VLOOKUP(D16,'Feuerwaffen-Ressourcen'!$A$2:$AI$54,27,0)+VLOOKUP(F16,'Feuerwaffen-Ressourcen'!$A$2:$AI$54,27,0)+VLOOKUP(I16,'Feuerwaffen-Ressourcen'!$A$2:$AI$54,27,0)</f>
        <v>1</v>
      </c>
      <c r="AB16" s="50">
        <f>VLOOKUP(B16,'Feuerwaffen-Ressourcen'!$A$2:$AI$54,28,0)+VLOOKUP(C16,'Feuerwaffen-Ressourcen'!$A$2:$AI$54,28,0)+VLOOKUP(D16,'Feuerwaffen-Ressourcen'!$A$2:$AI$54,28,0)+VLOOKUP(E16,'Feuerwaffen-Ressourcen'!$A$2:$AI$54,28,0)+VLOOKUP(F16,'Feuerwaffen-Ressourcen'!$A$2:$AI$54,28,0)+VLOOKUP(G16,'Feuerwaffen-Ressourcen'!$A$2:$AI$54,28,0)+VLOOKUP(I16,'Feuerwaffen-Ressourcen'!$A$2:$AI$54,28,0)+VLOOKUP(J16,'Feuerwaffen-Ressourcen'!$A$2:$AI$54,28,0)</f>
        <v>120</v>
      </c>
      <c r="AC16" s="53">
        <f>VLOOKUP(I16,'Feuerwaffen-Ressourcen'!$A$2:$AI$54,31,0)*AD16+AE16</f>
        <v>254.7</v>
      </c>
      <c r="AD16" s="54">
        <f>VLOOKUP(B16,'Feuerwaffen-Ressourcen'!$A$2:$AI$54,30,0)+VLOOKUP(C16,'Feuerwaffen-Ressourcen'!$A$2:$AI$54,30,0)+VLOOKUP(D16,'Feuerwaffen-Ressourcen'!$A$2:$AI$54,30,0)+VLOOKUP(F16,'Feuerwaffen-Ressourcen'!$A$2:$AI$54,30,0)+VLOOKUP(G16,'Feuerwaffen-Ressourcen'!$A$2:$AI$54,30,0)+VLOOKUP(I16,'Feuerwaffen-Ressourcen'!$A$2:$AI$54,30,0)+VLOOKUP(J16,'Feuerwaffen-Ressourcen'!$A$2:$AI$54,30,0)</f>
        <v>6.1999999999999993</v>
      </c>
      <c r="AE16" s="53">
        <f>(VLOOKUP(C16,'Feuerwaffen-Ressourcen'!$A$2:$AI$54,32,0)+VLOOKUP(I16,'Feuerwaffen-Ressourcen'!$A$2:$AI$54,32,0))*(VLOOKUP(B16,'Feuerwaffen-Ressourcen'!$A$2:$AI$54,34,0)+VLOOKUP(C16,'Feuerwaffen-Ressourcen'!$A$2:$AI$54,34,0)+VLOOKUP(D16,'Feuerwaffen-Ressourcen'!$A$2:$AI$54,34,0)+VLOOKUP(E16,'Feuerwaffen-Ressourcen'!$A$2:$AI$54,34,0)+VLOOKUP(G16,'Feuerwaffen-Ressourcen'!$A$2:$AI$54,34,0))+VLOOKUP(B16,'Feuerwaffen-Ressourcen'!$A$2:$AI$54,35,0)+VLOOKUP(C16,'Feuerwaffen-Ressourcen'!$A$2:$AI$54,35,0)+VLOOKUP(D16,'Feuerwaffen-Ressourcen'!$A$2:$AI$54,35,0)</f>
        <v>229.9</v>
      </c>
      <c r="AF16" s="55">
        <f>VLOOKUP(AB16,'Feuerwaffen-Ressourcen'!$AO$3:$AP$9,2,1)</f>
        <v>4</v>
      </c>
      <c r="AG16" s="55">
        <v>0</v>
      </c>
      <c r="AH16" s="28" t="s">
        <v>1420</v>
      </c>
      <c r="AI16" s="28" t="s">
        <v>8657</v>
      </c>
      <c r="AJ16" s="56">
        <v>3</v>
      </c>
      <c r="AK16" s="56" t="s">
        <v>5497</v>
      </c>
      <c r="AL16" s="56" t="s">
        <v>5486</v>
      </c>
      <c r="AM16" s="56">
        <v>3</v>
      </c>
      <c r="AN16" s="56">
        <v>5</v>
      </c>
      <c r="AO16" s="56">
        <v>4</v>
      </c>
      <c r="AP16" s="56">
        <v>4</v>
      </c>
      <c r="AQ16" s="56">
        <v>10</v>
      </c>
      <c r="AR16" s="56">
        <v>10</v>
      </c>
      <c r="AS16" s="56">
        <v>5</v>
      </c>
      <c r="AT16" s="56">
        <v>6</v>
      </c>
    </row>
    <row r="17" spans="1:46">
      <c r="A17" s="49" t="s">
        <v>8838</v>
      </c>
      <c r="B17" s="49" t="s">
        <v>1176</v>
      </c>
      <c r="C17" s="49" t="s">
        <v>8921</v>
      </c>
      <c r="D17" s="49" t="s">
        <v>8929</v>
      </c>
      <c r="E17" s="49" t="s">
        <v>8829</v>
      </c>
      <c r="F17" s="49" t="s">
        <v>8931</v>
      </c>
      <c r="G17" s="49" t="s">
        <v>8932</v>
      </c>
      <c r="H17" s="49" t="s">
        <v>8830</v>
      </c>
      <c r="I17" s="49" t="s">
        <v>7341</v>
      </c>
      <c r="J17" s="49" t="s">
        <v>7320</v>
      </c>
      <c r="K17" s="51">
        <f>VLOOKUP(B17,'Feuerwaffen-Ressourcen'!$A$2:$AI$54,11,0)+VLOOKUP(C17,'Feuerwaffen-Ressourcen'!$A$2:$AI$54,11,0)+VLOOKUP(D17,'Feuerwaffen-Ressourcen'!$A$2:$AI$54,11,0)+VLOOKUP(E17,'Feuerwaffen-Ressourcen'!$A$2:$AI$54,11,0)+VLOOKUP(G17,'Feuerwaffen-Ressourcen'!$A$2:$AI$54,11,0)</f>
        <v>3.15</v>
      </c>
      <c r="L17" s="50">
        <f>VLOOKUP(B17,'Feuerwaffen-Ressourcen'!$A$2:$AI$54,12,0)+VLOOKUP(C17,'Feuerwaffen-Ressourcen'!$A$2:$AI$54,12,0)+VLOOKUP(D17,'Feuerwaffen-Ressourcen'!$A$2:$AI$54,12,0)+VLOOKUP(J17,'Feuerwaffen-Ressourcen'!$A$2:$AI$54,12,0)</f>
        <v>9</v>
      </c>
      <c r="M17" s="50" t="str">
        <f>VLOOKUP(VLOOKUP(B17,'Feuerwaffen-Ressourcen'!$A$2:$AI$54,13,0)+VLOOKUP(C17,'Feuerwaffen-Ressourcen'!$A$2:$AI$54,13,0)+VLOOKUP(D17,'Feuerwaffen-Ressourcen'!$A$2:$AI$54,13,0),'Feuerwaffen-Ressourcen'!$AJ$3:$AK$12,2,0)</f>
        <v>W8</v>
      </c>
      <c r="N17" s="50" t="str">
        <f>VLOOKUP(VLOOKUP(B17,'Feuerwaffen-Ressourcen'!$A$2:$AI$54,14,0)+VLOOKUP(C17,'Feuerwaffen-Ressourcen'!$A$2:$AI$54,14,0)+VLOOKUP(D17,'Feuerwaffen-Ressourcen'!$A$2:$AI$54,14,0),'Feuerwaffen-Ressourcen'!$AJ$3:$AK$12,2,0)</f>
        <v>W8</v>
      </c>
      <c r="O17" s="50">
        <f>VLOOKUP(B17,'Feuerwaffen-Ressourcen'!$A$2:$AI$54,15,0)+VLOOKUP(C17,'Feuerwaffen-Ressourcen'!$A$2:$AI$54,15,0)+VLOOKUP(D17,'Feuerwaffen-Ressourcen'!$A$2:$AI$54,15,0)</f>
        <v>1</v>
      </c>
      <c r="P17" s="50">
        <f>VLOOKUP(B17,'Feuerwaffen-Ressourcen'!$A$2:$AI$54,16,0)+VLOOKUP(C17,'Feuerwaffen-Ressourcen'!$A$2:$AI$54,16,0)+VLOOKUP(D17,'Feuerwaffen-Ressourcen'!$A$2:$AI$54,16,0)+VLOOKUP(E17,'Feuerwaffen-Ressourcen'!$A$2:$AI$54,16,0)</f>
        <v>17</v>
      </c>
      <c r="Q17" s="52">
        <f>VLOOKUP(B17,'Feuerwaffen-Ressourcen'!$A$2:$AI$54,17,0)+VLOOKUP(C17,'Feuerwaffen-Ressourcen'!$A$2:$AI$54,17,0)+VLOOKUP(D17,'Feuerwaffen-Ressourcen'!$A$2:$AI$54,17,0)+VLOOKUP(E17,'Feuerwaffen-Ressourcen'!$A$2:$AI$54,17,0)</f>
        <v>11</v>
      </c>
      <c r="R17" s="50">
        <f>VLOOKUP(B17,'Feuerwaffen-Ressourcen'!$A$2:$AI$54,18,0)+VLOOKUP(C17,'Feuerwaffen-Ressourcen'!$A$2:$AI$54,18,0)+VLOOKUP(D17,'Feuerwaffen-Ressourcen'!$A$2:$AI$54,18,0)+VLOOKUP(F17,'Feuerwaffen-Ressourcen'!$A$2:$AI$54,18,0)+VLOOKUP(G17,'Feuerwaffen-Ressourcen'!$A$2:$AI$54,18,0)+VLOOKUP(I17,'Feuerwaffen-Ressourcen'!$A$2:$AI$54,18,0)+VLOOKUP(J17,'Feuerwaffen-Ressourcen'!$A$2:$AI$54,18,0)</f>
        <v>12</v>
      </c>
      <c r="S17" s="50">
        <f>VLOOKUP(B17,'Feuerwaffen-Ressourcen'!$A$2:$AI$54,19,0)+VLOOKUP(C17,'Feuerwaffen-Ressourcen'!$A$2:$AI$54,19,0)+VLOOKUP(D17,'Feuerwaffen-Ressourcen'!$A$2:$AI$54,19,0)+VLOOKUP(F17,'Feuerwaffen-Ressourcen'!$A$2:$AI$54,19,0)+VLOOKUP(G17,'Feuerwaffen-Ressourcen'!$A$2:$AI$54,19,0)+VLOOKUP(I17,'Feuerwaffen-Ressourcen'!$A$2:$AI$54,19,0)+VLOOKUP(J17,'Feuerwaffen-Ressourcen'!$A$2:$AI$54,19,0)</f>
        <v>6</v>
      </c>
      <c r="T17" s="50">
        <f>VLOOKUP(B17,'Feuerwaffen-Ressourcen'!$A$2:$AI$54,20,0)+VLOOKUP(C17,'Feuerwaffen-Ressourcen'!$A$2:$AI$54,20,0)+VLOOKUP(D17,'Feuerwaffen-Ressourcen'!$A$2:$AI$54,20,0)+VLOOKUP(F17,'Feuerwaffen-Ressourcen'!$A$2:$AI$54,20,0)+VLOOKUP(G17,'Feuerwaffen-Ressourcen'!$A$2:$AI$54,20,0)+VLOOKUP(I17,'Feuerwaffen-Ressourcen'!$A$2:$AI$54,20,0)+VLOOKUP(J17,'Feuerwaffen-Ressourcen'!$A$2:$AI$54,20,0)</f>
        <v>-1</v>
      </c>
      <c r="U17" s="50">
        <f>VLOOKUP(B17,'Feuerwaffen-Ressourcen'!$A$2:$AI$54,21,0)+VLOOKUP(C17,'Feuerwaffen-Ressourcen'!$A$2:$AI$54,21,0)+VLOOKUP(D17,'Feuerwaffen-Ressourcen'!$A$2:$AI$54,21,0)+VLOOKUP(F17,'Feuerwaffen-Ressourcen'!$A$2:$AI$54,21,0)+VLOOKUP(G17,'Feuerwaffen-Ressourcen'!$A$2:$AI$54,21,0)+VLOOKUP(I17,'Feuerwaffen-Ressourcen'!$A$2:$AI$54,21,0)+VLOOKUP(J17,'Feuerwaffen-Ressourcen'!$A$2:$AI$54,21,0)</f>
        <v>-10</v>
      </c>
      <c r="V17" s="50">
        <f>VLOOKUP(B17,'Feuerwaffen-Ressourcen'!$A$2:$AI$54,22,0)+VLOOKUP(C17,'Feuerwaffen-Ressourcen'!$A$2:$AI$54,22,0)+VLOOKUP(D17,'Feuerwaffen-Ressourcen'!$A$2:$AI$54,22,0)+VLOOKUP(F17,'Feuerwaffen-Ressourcen'!$A$2:$AI$54,22,0)+VLOOKUP(G17,'Feuerwaffen-Ressourcen'!$A$2:$AI$54,22,0)+VLOOKUP(I17,'Feuerwaffen-Ressourcen'!$A$2:$AI$54,22,0)+VLOOKUP(J17,'Feuerwaffen-Ressourcen'!$A$2:$AI$54,22,0)</f>
        <v>-20</v>
      </c>
      <c r="W17" s="50">
        <f>VLOOKUP(B17,'Feuerwaffen-Ressourcen'!$A$2:$AI$54,23,0)+VLOOKUP(C17,'Feuerwaffen-Ressourcen'!$A$2:$AI$54,23,0)+VLOOKUP(D17,'Feuerwaffen-Ressourcen'!$A$2:$AI$54,23,0)+VLOOKUP(F17,'Feuerwaffen-Ressourcen'!$A$2:$AI$54,23,0)+VLOOKUP(G17,'Feuerwaffen-Ressourcen'!$A$2:$AI$54,23,0)+VLOOKUP(I17,'Feuerwaffen-Ressourcen'!$A$2:$AI$54,23,0)+VLOOKUP(J17,'Feuerwaffen-Ressourcen'!$A$2:$AI$54,23,0)</f>
        <v>-30</v>
      </c>
      <c r="X17" s="50">
        <f>VLOOKUP(B17,'Feuerwaffen-Ressourcen'!$A$2:$AI$54,24,0)+VLOOKUP(C17,'Feuerwaffen-Ressourcen'!$A$2:$AI$54,24,0)+VLOOKUP(D17,'Feuerwaffen-Ressourcen'!$A$2:$AI$54,24,0)+VLOOKUP(G17,'Feuerwaffen-Ressourcen'!$A$2:$AI$54,24,0)</f>
        <v>80</v>
      </c>
      <c r="Y17" s="50">
        <f>VLOOKUP(D17,'Feuerwaffen-Ressourcen'!$A$2:$AI$54,25,0)+VLOOKUP(E17,'Feuerwaffen-Ressourcen'!$A$2:$AI$54,25,0)+VLOOKUP(F17,'Feuerwaffen-Ressourcen'!$A$2:$AI$54,25,0)</f>
        <v>9</v>
      </c>
      <c r="Z17" s="50">
        <f>VLOOKUP(E17,'Feuerwaffen-Ressourcen'!$A$2:$AI$54,26,0)</f>
        <v>6</v>
      </c>
      <c r="AA17" s="50">
        <f>VLOOKUP(B17,'Feuerwaffen-Ressourcen'!$A$2:$AI$54,27,0)+VLOOKUP(D17,'Feuerwaffen-Ressourcen'!$A$2:$AI$54,27,0)+VLOOKUP(F17,'Feuerwaffen-Ressourcen'!$A$2:$AI$54,27,0)+VLOOKUP(I17,'Feuerwaffen-Ressourcen'!$A$2:$AI$54,27,0)</f>
        <v>-2</v>
      </c>
      <c r="AB17" s="50">
        <f>VLOOKUP(B17,'Feuerwaffen-Ressourcen'!$A$2:$AI$54,28,0)+VLOOKUP(C17,'Feuerwaffen-Ressourcen'!$A$2:$AI$54,28,0)+VLOOKUP(D17,'Feuerwaffen-Ressourcen'!$A$2:$AI$54,28,0)+VLOOKUP(E17,'Feuerwaffen-Ressourcen'!$A$2:$AI$54,28,0)+VLOOKUP(F17,'Feuerwaffen-Ressourcen'!$A$2:$AI$54,28,0)+VLOOKUP(G17,'Feuerwaffen-Ressourcen'!$A$2:$AI$54,28,0)+VLOOKUP(I17,'Feuerwaffen-Ressourcen'!$A$2:$AI$54,28,0)+VLOOKUP(J17,'Feuerwaffen-Ressourcen'!$A$2:$AI$54,28,0)</f>
        <v>50</v>
      </c>
      <c r="AC17" s="53">
        <f>VLOOKUP(I17,'Feuerwaffen-Ressourcen'!$A$2:$AI$54,31,0)*AD17+AE17</f>
        <v>206.59999999999997</v>
      </c>
      <c r="AD17" s="54">
        <f>VLOOKUP(B17,'Feuerwaffen-Ressourcen'!$A$2:$AI$54,30,0)+VLOOKUP(C17,'Feuerwaffen-Ressourcen'!$A$2:$AI$54,30,0)+VLOOKUP(D17,'Feuerwaffen-Ressourcen'!$A$2:$AI$54,30,0)+VLOOKUP(F17,'Feuerwaffen-Ressourcen'!$A$2:$AI$54,30,0)+VLOOKUP(G17,'Feuerwaffen-Ressourcen'!$A$2:$AI$54,30,0)+VLOOKUP(I17,'Feuerwaffen-Ressourcen'!$A$2:$AI$54,30,0)+VLOOKUP(J17,'Feuerwaffen-Ressourcen'!$A$2:$AI$54,30,0)</f>
        <v>10.7</v>
      </c>
      <c r="AE17" s="53">
        <f>(VLOOKUP(C17,'Feuerwaffen-Ressourcen'!$A$2:$AI$54,32,0)+VLOOKUP(I17,'Feuerwaffen-Ressourcen'!$A$2:$AI$54,32,0))*(VLOOKUP(B17,'Feuerwaffen-Ressourcen'!$A$2:$AI$54,34,0)+VLOOKUP(C17,'Feuerwaffen-Ressourcen'!$A$2:$AI$54,34,0)+VLOOKUP(D17,'Feuerwaffen-Ressourcen'!$A$2:$AI$54,34,0)+VLOOKUP(E17,'Feuerwaffen-Ressourcen'!$A$2:$AI$54,34,0)+VLOOKUP(G17,'Feuerwaffen-Ressourcen'!$A$2:$AI$54,34,0))+VLOOKUP(B17,'Feuerwaffen-Ressourcen'!$A$2:$AI$54,35,0)+VLOOKUP(C17,'Feuerwaffen-Ressourcen'!$A$2:$AI$54,35,0)+VLOOKUP(D17,'Feuerwaffen-Ressourcen'!$A$2:$AI$54,35,0)</f>
        <v>163.79999999999998</v>
      </c>
      <c r="AF17" s="55">
        <f>VLOOKUP(AB17,'Feuerwaffen-Ressourcen'!$AO$3:$AP$9,2,1)</f>
        <v>7</v>
      </c>
      <c r="AG17" s="55">
        <v>0</v>
      </c>
      <c r="AH17" s="28" t="s">
        <v>1420</v>
      </c>
      <c r="AI17" s="28" t="s">
        <v>8657</v>
      </c>
      <c r="AJ17" s="56">
        <v>3</v>
      </c>
      <c r="AK17" s="56" t="s">
        <v>5497</v>
      </c>
      <c r="AL17" s="56" t="s">
        <v>5486</v>
      </c>
      <c r="AM17" s="56">
        <v>3</v>
      </c>
      <c r="AN17" s="56">
        <v>5</v>
      </c>
      <c r="AO17" s="56">
        <v>4</v>
      </c>
      <c r="AP17" s="56">
        <v>4</v>
      </c>
      <c r="AQ17" s="56">
        <v>9</v>
      </c>
      <c r="AR17" s="56">
        <v>9</v>
      </c>
      <c r="AS17" s="56">
        <v>5</v>
      </c>
      <c r="AT17" s="56">
        <v>6</v>
      </c>
    </row>
    <row r="18" spans="1:46">
      <c r="A18" s="49" t="s">
        <v>8839</v>
      </c>
      <c r="B18" s="49" t="s">
        <v>1176</v>
      </c>
      <c r="C18" s="49" t="s">
        <v>8921</v>
      </c>
      <c r="D18" s="49" t="s">
        <v>8935</v>
      </c>
      <c r="E18" s="49" t="s">
        <v>8258</v>
      </c>
      <c r="F18" s="49" t="s">
        <v>8936</v>
      </c>
      <c r="G18" s="49" t="s">
        <v>8932</v>
      </c>
      <c r="H18" s="49" t="s">
        <v>8271</v>
      </c>
      <c r="I18" s="49" t="s">
        <v>7341</v>
      </c>
      <c r="J18" s="49" t="s">
        <v>7320</v>
      </c>
      <c r="K18" s="51">
        <f>VLOOKUP(B18,'Feuerwaffen-Ressourcen'!$A$2:$AI$54,11,0)+VLOOKUP(C18,'Feuerwaffen-Ressourcen'!$A$2:$AI$54,11,0)+VLOOKUP(D18,'Feuerwaffen-Ressourcen'!$A$2:$AI$54,11,0)+VLOOKUP(E18,'Feuerwaffen-Ressourcen'!$A$2:$AI$54,11,0)+VLOOKUP(G18,'Feuerwaffen-Ressourcen'!$A$2:$AI$54,11,0)</f>
        <v>3.9499999999999997</v>
      </c>
      <c r="L18" s="50">
        <f>VLOOKUP(B18,'Feuerwaffen-Ressourcen'!$A$2:$AI$54,12,0)+VLOOKUP(C18,'Feuerwaffen-Ressourcen'!$A$2:$AI$54,12,0)+VLOOKUP(D18,'Feuerwaffen-Ressourcen'!$A$2:$AI$54,12,0)+VLOOKUP(J18,'Feuerwaffen-Ressourcen'!$A$2:$AI$54,12,0)</f>
        <v>10</v>
      </c>
      <c r="M18" s="50" t="str">
        <f>VLOOKUP(VLOOKUP(B18,'Feuerwaffen-Ressourcen'!$A$2:$AI$54,13,0)+VLOOKUP(C18,'Feuerwaffen-Ressourcen'!$A$2:$AI$54,13,0)+VLOOKUP(D18,'Feuerwaffen-Ressourcen'!$A$2:$AI$54,13,0),'Feuerwaffen-Ressourcen'!$AJ$3:$AK$12,2,0)</f>
        <v>W8</v>
      </c>
      <c r="N18" s="50" t="str">
        <f>VLOOKUP(VLOOKUP(B18,'Feuerwaffen-Ressourcen'!$A$2:$AI$54,14,0)+VLOOKUP(C18,'Feuerwaffen-Ressourcen'!$A$2:$AI$54,14,0)+VLOOKUP(D18,'Feuerwaffen-Ressourcen'!$A$2:$AI$54,14,0),'Feuerwaffen-Ressourcen'!$AJ$3:$AK$12,2,0)</f>
        <v>W8</v>
      </c>
      <c r="O18" s="50">
        <f>VLOOKUP(B18,'Feuerwaffen-Ressourcen'!$A$2:$AI$54,15,0)+VLOOKUP(C18,'Feuerwaffen-Ressourcen'!$A$2:$AI$54,15,0)+VLOOKUP(D18,'Feuerwaffen-Ressourcen'!$A$2:$AI$54,15,0)</f>
        <v>2</v>
      </c>
      <c r="P18" s="50">
        <f>VLOOKUP(B18,'Feuerwaffen-Ressourcen'!$A$2:$AI$54,16,0)+VLOOKUP(C18,'Feuerwaffen-Ressourcen'!$A$2:$AI$54,16,0)+VLOOKUP(D18,'Feuerwaffen-Ressourcen'!$A$2:$AI$54,16,0)+VLOOKUP(E18,'Feuerwaffen-Ressourcen'!$A$2:$AI$54,16,0)</f>
        <v>11</v>
      </c>
      <c r="Q18" s="52">
        <f>VLOOKUP(B18,'Feuerwaffen-Ressourcen'!$A$2:$AI$54,17,0)+VLOOKUP(C18,'Feuerwaffen-Ressourcen'!$A$2:$AI$54,17,0)+VLOOKUP(D18,'Feuerwaffen-Ressourcen'!$A$2:$AI$54,17,0)+VLOOKUP(E18,'Feuerwaffen-Ressourcen'!$A$2:$AI$54,17,0)</f>
        <v>17</v>
      </c>
      <c r="R18" s="50">
        <f>VLOOKUP(B18,'Feuerwaffen-Ressourcen'!$A$2:$AI$54,18,0)+VLOOKUP(C18,'Feuerwaffen-Ressourcen'!$A$2:$AI$54,18,0)+VLOOKUP(D18,'Feuerwaffen-Ressourcen'!$A$2:$AI$54,18,0)+VLOOKUP(F18,'Feuerwaffen-Ressourcen'!$A$2:$AI$54,18,0)+VLOOKUP(G18,'Feuerwaffen-Ressourcen'!$A$2:$AI$54,18,0)+VLOOKUP(I18,'Feuerwaffen-Ressourcen'!$A$2:$AI$54,18,0)+VLOOKUP(J18,'Feuerwaffen-Ressourcen'!$A$2:$AI$54,18,0)</f>
        <v>8</v>
      </c>
      <c r="S18" s="50">
        <f>VLOOKUP(B18,'Feuerwaffen-Ressourcen'!$A$2:$AI$54,19,0)+VLOOKUP(C18,'Feuerwaffen-Ressourcen'!$A$2:$AI$54,19,0)+VLOOKUP(D18,'Feuerwaffen-Ressourcen'!$A$2:$AI$54,19,0)+VLOOKUP(F18,'Feuerwaffen-Ressourcen'!$A$2:$AI$54,19,0)+VLOOKUP(G18,'Feuerwaffen-Ressourcen'!$A$2:$AI$54,19,0)+VLOOKUP(I18,'Feuerwaffen-Ressourcen'!$A$2:$AI$54,19,0)+VLOOKUP(J18,'Feuerwaffen-Ressourcen'!$A$2:$AI$54,19,0)</f>
        <v>5</v>
      </c>
      <c r="T18" s="50">
        <f>VLOOKUP(B18,'Feuerwaffen-Ressourcen'!$A$2:$AI$54,20,0)+VLOOKUP(C18,'Feuerwaffen-Ressourcen'!$A$2:$AI$54,20,0)+VLOOKUP(D18,'Feuerwaffen-Ressourcen'!$A$2:$AI$54,20,0)+VLOOKUP(F18,'Feuerwaffen-Ressourcen'!$A$2:$AI$54,20,0)+VLOOKUP(G18,'Feuerwaffen-Ressourcen'!$A$2:$AI$54,20,0)+VLOOKUP(I18,'Feuerwaffen-Ressourcen'!$A$2:$AI$54,20,0)+VLOOKUP(J18,'Feuerwaffen-Ressourcen'!$A$2:$AI$54,20,0)</f>
        <v>1</v>
      </c>
      <c r="U18" s="50">
        <f>VLOOKUP(B18,'Feuerwaffen-Ressourcen'!$A$2:$AI$54,21,0)+VLOOKUP(C18,'Feuerwaffen-Ressourcen'!$A$2:$AI$54,21,0)+VLOOKUP(D18,'Feuerwaffen-Ressourcen'!$A$2:$AI$54,21,0)+VLOOKUP(F18,'Feuerwaffen-Ressourcen'!$A$2:$AI$54,21,0)+VLOOKUP(G18,'Feuerwaffen-Ressourcen'!$A$2:$AI$54,21,0)+VLOOKUP(I18,'Feuerwaffen-Ressourcen'!$A$2:$AI$54,21,0)+VLOOKUP(J18,'Feuerwaffen-Ressourcen'!$A$2:$AI$54,21,0)</f>
        <v>-5</v>
      </c>
      <c r="V18" s="50">
        <f>VLOOKUP(B18,'Feuerwaffen-Ressourcen'!$A$2:$AI$54,22,0)+VLOOKUP(C18,'Feuerwaffen-Ressourcen'!$A$2:$AI$54,22,0)+VLOOKUP(D18,'Feuerwaffen-Ressourcen'!$A$2:$AI$54,22,0)+VLOOKUP(F18,'Feuerwaffen-Ressourcen'!$A$2:$AI$54,22,0)+VLOOKUP(G18,'Feuerwaffen-Ressourcen'!$A$2:$AI$54,22,0)+VLOOKUP(I18,'Feuerwaffen-Ressourcen'!$A$2:$AI$54,22,0)+VLOOKUP(J18,'Feuerwaffen-Ressourcen'!$A$2:$AI$54,22,0)</f>
        <v>-12</v>
      </c>
      <c r="W18" s="50">
        <f>VLOOKUP(B18,'Feuerwaffen-Ressourcen'!$A$2:$AI$54,23,0)+VLOOKUP(C18,'Feuerwaffen-Ressourcen'!$A$2:$AI$54,23,0)+VLOOKUP(D18,'Feuerwaffen-Ressourcen'!$A$2:$AI$54,23,0)+VLOOKUP(F18,'Feuerwaffen-Ressourcen'!$A$2:$AI$54,23,0)+VLOOKUP(G18,'Feuerwaffen-Ressourcen'!$A$2:$AI$54,23,0)+VLOOKUP(I18,'Feuerwaffen-Ressourcen'!$A$2:$AI$54,23,0)+VLOOKUP(J18,'Feuerwaffen-Ressourcen'!$A$2:$AI$54,23,0)</f>
        <v>-19</v>
      </c>
      <c r="X18" s="50">
        <f>VLOOKUP(B18,'Feuerwaffen-Ressourcen'!$A$2:$AI$54,24,0)+VLOOKUP(C18,'Feuerwaffen-Ressourcen'!$A$2:$AI$54,24,0)+VLOOKUP(D18,'Feuerwaffen-Ressourcen'!$A$2:$AI$54,24,0)+VLOOKUP(G18,'Feuerwaffen-Ressourcen'!$A$2:$AI$54,24,0)</f>
        <v>100</v>
      </c>
      <c r="Y18" s="50">
        <f>VLOOKUP(D18,'Feuerwaffen-Ressourcen'!$A$2:$AI$54,25,0)+VLOOKUP(E18,'Feuerwaffen-Ressourcen'!$A$2:$AI$54,25,0)+VLOOKUP(F18,'Feuerwaffen-Ressourcen'!$A$2:$AI$54,25,0)</f>
        <v>29</v>
      </c>
      <c r="Z18" s="50">
        <f>VLOOKUP(E18,'Feuerwaffen-Ressourcen'!$A$2:$AI$54,26,0)</f>
        <v>3</v>
      </c>
      <c r="AA18" s="50">
        <f>VLOOKUP(B18,'Feuerwaffen-Ressourcen'!$A$2:$AI$54,27,0)+VLOOKUP(D18,'Feuerwaffen-Ressourcen'!$A$2:$AI$54,27,0)+VLOOKUP(F18,'Feuerwaffen-Ressourcen'!$A$2:$AI$54,27,0)+VLOOKUP(I18,'Feuerwaffen-Ressourcen'!$A$2:$AI$54,27,0)</f>
        <v>0</v>
      </c>
      <c r="AB18" s="50">
        <f>VLOOKUP(B18,'Feuerwaffen-Ressourcen'!$A$2:$AI$54,28,0)+VLOOKUP(C18,'Feuerwaffen-Ressourcen'!$A$2:$AI$54,28,0)+VLOOKUP(D18,'Feuerwaffen-Ressourcen'!$A$2:$AI$54,28,0)+VLOOKUP(E18,'Feuerwaffen-Ressourcen'!$A$2:$AI$54,28,0)+VLOOKUP(F18,'Feuerwaffen-Ressourcen'!$A$2:$AI$54,28,0)+VLOOKUP(G18,'Feuerwaffen-Ressourcen'!$A$2:$AI$54,28,0)+VLOOKUP(I18,'Feuerwaffen-Ressourcen'!$A$2:$AI$54,28,0)+VLOOKUP(J18,'Feuerwaffen-Ressourcen'!$A$2:$AI$54,28,0)</f>
        <v>85</v>
      </c>
      <c r="AC18" s="53">
        <f>VLOOKUP(I18,'Feuerwaffen-Ressourcen'!$A$2:$AI$54,31,0)*AD18+AE18</f>
        <v>290.7</v>
      </c>
      <c r="AD18" s="54">
        <f>VLOOKUP(B18,'Feuerwaffen-Ressourcen'!$A$2:$AI$54,30,0)+VLOOKUP(C18,'Feuerwaffen-Ressourcen'!$A$2:$AI$54,30,0)+VLOOKUP(D18,'Feuerwaffen-Ressourcen'!$A$2:$AI$54,30,0)+VLOOKUP(F18,'Feuerwaffen-Ressourcen'!$A$2:$AI$54,30,0)+VLOOKUP(G18,'Feuerwaffen-Ressourcen'!$A$2:$AI$54,30,0)+VLOOKUP(I18,'Feuerwaffen-Ressourcen'!$A$2:$AI$54,30,0)+VLOOKUP(J18,'Feuerwaffen-Ressourcen'!$A$2:$AI$54,30,0)</f>
        <v>10.7</v>
      </c>
      <c r="AE18" s="53">
        <f>(VLOOKUP(C18,'Feuerwaffen-Ressourcen'!$A$2:$AI$54,32,0)+VLOOKUP(I18,'Feuerwaffen-Ressourcen'!$A$2:$AI$54,32,0))*(VLOOKUP(B18,'Feuerwaffen-Ressourcen'!$A$2:$AI$54,34,0)+VLOOKUP(C18,'Feuerwaffen-Ressourcen'!$A$2:$AI$54,34,0)+VLOOKUP(D18,'Feuerwaffen-Ressourcen'!$A$2:$AI$54,34,0)+VLOOKUP(E18,'Feuerwaffen-Ressourcen'!$A$2:$AI$54,34,0)+VLOOKUP(G18,'Feuerwaffen-Ressourcen'!$A$2:$AI$54,34,0))+VLOOKUP(B18,'Feuerwaffen-Ressourcen'!$A$2:$AI$54,35,0)+VLOOKUP(C18,'Feuerwaffen-Ressourcen'!$A$2:$AI$54,35,0)+VLOOKUP(D18,'Feuerwaffen-Ressourcen'!$A$2:$AI$54,35,0)</f>
        <v>247.89999999999998</v>
      </c>
      <c r="AF18" s="55">
        <f>VLOOKUP(AB18,'Feuerwaffen-Ressourcen'!$AO$3:$AP$9,2,1)</f>
        <v>6</v>
      </c>
      <c r="AG18" s="55">
        <v>0</v>
      </c>
      <c r="AH18" s="28" t="s">
        <v>1420</v>
      </c>
      <c r="AI18" s="28" t="s">
        <v>8657</v>
      </c>
      <c r="AJ18" s="56">
        <v>3</v>
      </c>
      <c r="AK18" s="56" t="s">
        <v>5497</v>
      </c>
      <c r="AL18" s="56" t="s">
        <v>5486</v>
      </c>
      <c r="AM18" s="56">
        <v>3</v>
      </c>
      <c r="AN18" s="56">
        <v>5</v>
      </c>
      <c r="AO18" s="56">
        <v>4</v>
      </c>
      <c r="AP18" s="56">
        <v>4</v>
      </c>
      <c r="AQ18" s="56">
        <v>10</v>
      </c>
      <c r="AR18" s="56">
        <v>10</v>
      </c>
      <c r="AS18" s="56">
        <v>5</v>
      </c>
      <c r="AT18" s="56">
        <v>6</v>
      </c>
    </row>
    <row r="19" spans="1:46">
      <c r="A19" s="49" t="s">
        <v>8840</v>
      </c>
      <c r="B19" s="49" t="s">
        <v>1176</v>
      </c>
      <c r="C19" s="49" t="s">
        <v>8921</v>
      </c>
      <c r="D19" s="49" t="s">
        <v>8937</v>
      </c>
      <c r="E19" s="49" t="s">
        <v>8829</v>
      </c>
      <c r="F19" s="49" t="s">
        <v>8931</v>
      </c>
      <c r="G19" s="49" t="s">
        <v>8932</v>
      </c>
      <c r="H19" s="49" t="s">
        <v>8830</v>
      </c>
      <c r="I19" s="49" t="s">
        <v>7341</v>
      </c>
      <c r="J19" s="49" t="s">
        <v>7320</v>
      </c>
      <c r="K19" s="51">
        <f>VLOOKUP(B19,'Feuerwaffen-Ressourcen'!$A$2:$AI$54,11,0)+VLOOKUP(C19,'Feuerwaffen-Ressourcen'!$A$2:$AI$54,11,0)+VLOOKUP(D19,'Feuerwaffen-Ressourcen'!$A$2:$AI$54,11,0)+VLOOKUP(E19,'Feuerwaffen-Ressourcen'!$A$2:$AI$54,11,0)+VLOOKUP(G19,'Feuerwaffen-Ressourcen'!$A$2:$AI$54,11,0)</f>
        <v>4.75</v>
      </c>
      <c r="L19" s="50">
        <f>VLOOKUP(B19,'Feuerwaffen-Ressourcen'!$A$2:$AI$54,12,0)+VLOOKUP(C19,'Feuerwaffen-Ressourcen'!$A$2:$AI$54,12,0)+VLOOKUP(D19,'Feuerwaffen-Ressourcen'!$A$2:$AI$54,12,0)+VLOOKUP(J19,'Feuerwaffen-Ressourcen'!$A$2:$AI$54,12,0)</f>
        <v>10</v>
      </c>
      <c r="M19" s="50" t="str">
        <f>VLOOKUP(VLOOKUP(B19,'Feuerwaffen-Ressourcen'!$A$2:$AI$54,13,0)+VLOOKUP(C19,'Feuerwaffen-Ressourcen'!$A$2:$AI$54,13,0)+VLOOKUP(D19,'Feuerwaffen-Ressourcen'!$A$2:$AI$54,13,0),'Feuerwaffen-Ressourcen'!$AJ$3:$AK$12,2,0)</f>
        <v>W8</v>
      </c>
      <c r="N19" s="50" t="str">
        <f>VLOOKUP(VLOOKUP(B19,'Feuerwaffen-Ressourcen'!$A$2:$AI$54,14,0)+VLOOKUP(C19,'Feuerwaffen-Ressourcen'!$A$2:$AI$54,14,0)+VLOOKUP(D19,'Feuerwaffen-Ressourcen'!$A$2:$AI$54,14,0),'Feuerwaffen-Ressourcen'!$AJ$3:$AK$12,2,0)</f>
        <v>W8</v>
      </c>
      <c r="O19" s="50">
        <f>VLOOKUP(B19,'Feuerwaffen-Ressourcen'!$A$2:$AI$54,15,0)+VLOOKUP(C19,'Feuerwaffen-Ressourcen'!$A$2:$AI$54,15,0)+VLOOKUP(D19,'Feuerwaffen-Ressourcen'!$A$2:$AI$54,15,0)</f>
        <v>3</v>
      </c>
      <c r="P19" s="50">
        <f>VLOOKUP(B19,'Feuerwaffen-Ressourcen'!$A$2:$AI$54,16,0)+VLOOKUP(C19,'Feuerwaffen-Ressourcen'!$A$2:$AI$54,16,0)+VLOOKUP(D19,'Feuerwaffen-Ressourcen'!$A$2:$AI$54,16,0)+VLOOKUP(E19,'Feuerwaffen-Ressourcen'!$A$2:$AI$54,16,0)</f>
        <v>17</v>
      </c>
      <c r="Q19" s="52">
        <f>VLOOKUP(B19,'Feuerwaffen-Ressourcen'!$A$2:$AI$54,17,0)+VLOOKUP(C19,'Feuerwaffen-Ressourcen'!$A$2:$AI$54,17,0)+VLOOKUP(D19,'Feuerwaffen-Ressourcen'!$A$2:$AI$54,17,0)+VLOOKUP(E19,'Feuerwaffen-Ressourcen'!$A$2:$AI$54,17,0)</f>
        <v>11</v>
      </c>
      <c r="R19" s="50">
        <f>VLOOKUP(B19,'Feuerwaffen-Ressourcen'!$A$2:$AI$54,18,0)+VLOOKUP(C19,'Feuerwaffen-Ressourcen'!$A$2:$AI$54,18,0)+VLOOKUP(D19,'Feuerwaffen-Ressourcen'!$A$2:$AI$54,18,0)+VLOOKUP(F19,'Feuerwaffen-Ressourcen'!$A$2:$AI$54,18,0)+VLOOKUP(G19,'Feuerwaffen-Ressourcen'!$A$2:$AI$54,18,0)+VLOOKUP(I19,'Feuerwaffen-Ressourcen'!$A$2:$AI$54,18,0)+VLOOKUP(J19,'Feuerwaffen-Ressourcen'!$A$2:$AI$54,18,0)</f>
        <v>8</v>
      </c>
      <c r="S19" s="50">
        <f>VLOOKUP(B19,'Feuerwaffen-Ressourcen'!$A$2:$AI$54,19,0)+VLOOKUP(C19,'Feuerwaffen-Ressourcen'!$A$2:$AI$54,19,0)+VLOOKUP(D19,'Feuerwaffen-Ressourcen'!$A$2:$AI$54,19,0)+VLOOKUP(F19,'Feuerwaffen-Ressourcen'!$A$2:$AI$54,19,0)+VLOOKUP(G19,'Feuerwaffen-Ressourcen'!$A$2:$AI$54,19,0)+VLOOKUP(I19,'Feuerwaffen-Ressourcen'!$A$2:$AI$54,19,0)+VLOOKUP(J19,'Feuerwaffen-Ressourcen'!$A$2:$AI$54,19,0)</f>
        <v>6</v>
      </c>
      <c r="T19" s="50">
        <f>VLOOKUP(B19,'Feuerwaffen-Ressourcen'!$A$2:$AI$54,20,0)+VLOOKUP(C19,'Feuerwaffen-Ressourcen'!$A$2:$AI$54,20,0)+VLOOKUP(D19,'Feuerwaffen-Ressourcen'!$A$2:$AI$54,20,0)+VLOOKUP(F19,'Feuerwaffen-Ressourcen'!$A$2:$AI$54,20,0)+VLOOKUP(G19,'Feuerwaffen-Ressourcen'!$A$2:$AI$54,20,0)+VLOOKUP(I19,'Feuerwaffen-Ressourcen'!$A$2:$AI$54,20,0)+VLOOKUP(J19,'Feuerwaffen-Ressourcen'!$A$2:$AI$54,20,0)</f>
        <v>3</v>
      </c>
      <c r="U19" s="50">
        <f>VLOOKUP(B19,'Feuerwaffen-Ressourcen'!$A$2:$AI$54,21,0)+VLOOKUP(C19,'Feuerwaffen-Ressourcen'!$A$2:$AI$54,21,0)+VLOOKUP(D19,'Feuerwaffen-Ressourcen'!$A$2:$AI$54,21,0)+VLOOKUP(F19,'Feuerwaffen-Ressourcen'!$A$2:$AI$54,21,0)+VLOOKUP(G19,'Feuerwaffen-Ressourcen'!$A$2:$AI$54,21,0)+VLOOKUP(I19,'Feuerwaffen-Ressourcen'!$A$2:$AI$54,21,0)+VLOOKUP(J19,'Feuerwaffen-Ressourcen'!$A$2:$AI$54,21,0)</f>
        <v>-3</v>
      </c>
      <c r="V19" s="50">
        <f>VLOOKUP(B19,'Feuerwaffen-Ressourcen'!$A$2:$AI$54,22,0)+VLOOKUP(C19,'Feuerwaffen-Ressourcen'!$A$2:$AI$54,22,0)+VLOOKUP(D19,'Feuerwaffen-Ressourcen'!$A$2:$AI$54,22,0)+VLOOKUP(F19,'Feuerwaffen-Ressourcen'!$A$2:$AI$54,22,0)+VLOOKUP(G19,'Feuerwaffen-Ressourcen'!$A$2:$AI$54,22,0)+VLOOKUP(I19,'Feuerwaffen-Ressourcen'!$A$2:$AI$54,22,0)+VLOOKUP(J19,'Feuerwaffen-Ressourcen'!$A$2:$AI$54,22,0)</f>
        <v>-10</v>
      </c>
      <c r="W19" s="50">
        <f>VLOOKUP(B19,'Feuerwaffen-Ressourcen'!$A$2:$AI$54,23,0)+VLOOKUP(C19,'Feuerwaffen-Ressourcen'!$A$2:$AI$54,23,0)+VLOOKUP(D19,'Feuerwaffen-Ressourcen'!$A$2:$AI$54,23,0)+VLOOKUP(F19,'Feuerwaffen-Ressourcen'!$A$2:$AI$54,23,0)+VLOOKUP(G19,'Feuerwaffen-Ressourcen'!$A$2:$AI$54,23,0)+VLOOKUP(I19,'Feuerwaffen-Ressourcen'!$A$2:$AI$54,23,0)+VLOOKUP(J19,'Feuerwaffen-Ressourcen'!$A$2:$AI$54,23,0)</f>
        <v>-17</v>
      </c>
      <c r="X19" s="50">
        <f>VLOOKUP(B19,'Feuerwaffen-Ressourcen'!$A$2:$AI$54,24,0)+VLOOKUP(C19,'Feuerwaffen-Ressourcen'!$A$2:$AI$54,24,0)+VLOOKUP(D19,'Feuerwaffen-Ressourcen'!$A$2:$AI$54,24,0)+VLOOKUP(G19,'Feuerwaffen-Ressourcen'!$A$2:$AI$54,24,0)</f>
        <v>120</v>
      </c>
      <c r="Y19" s="50">
        <f>VLOOKUP(D19,'Feuerwaffen-Ressourcen'!$A$2:$AI$54,25,0)+VLOOKUP(E19,'Feuerwaffen-Ressourcen'!$A$2:$AI$54,25,0)+VLOOKUP(F19,'Feuerwaffen-Ressourcen'!$A$2:$AI$54,25,0)</f>
        <v>10</v>
      </c>
      <c r="Z19" s="50">
        <f>VLOOKUP(E19,'Feuerwaffen-Ressourcen'!$A$2:$AI$54,26,0)</f>
        <v>6</v>
      </c>
      <c r="AA19" s="50">
        <f>VLOOKUP(B19,'Feuerwaffen-Ressourcen'!$A$2:$AI$54,27,0)+VLOOKUP(D19,'Feuerwaffen-Ressourcen'!$A$2:$AI$54,27,0)+VLOOKUP(F19,'Feuerwaffen-Ressourcen'!$A$2:$AI$54,27,0)+VLOOKUP(I19,'Feuerwaffen-Ressourcen'!$A$2:$AI$54,27,0)</f>
        <v>-2</v>
      </c>
      <c r="AB19" s="50">
        <f>VLOOKUP(B19,'Feuerwaffen-Ressourcen'!$A$2:$AI$54,28,0)+VLOOKUP(C19,'Feuerwaffen-Ressourcen'!$A$2:$AI$54,28,0)+VLOOKUP(D19,'Feuerwaffen-Ressourcen'!$A$2:$AI$54,28,0)+VLOOKUP(E19,'Feuerwaffen-Ressourcen'!$A$2:$AI$54,28,0)+VLOOKUP(F19,'Feuerwaffen-Ressourcen'!$A$2:$AI$54,28,0)+VLOOKUP(G19,'Feuerwaffen-Ressourcen'!$A$2:$AI$54,28,0)+VLOOKUP(I19,'Feuerwaffen-Ressourcen'!$A$2:$AI$54,28,0)+VLOOKUP(J19,'Feuerwaffen-Ressourcen'!$A$2:$AI$54,28,0)</f>
        <v>40</v>
      </c>
      <c r="AC19" s="53">
        <f>VLOOKUP(I19,'Feuerwaffen-Ressourcen'!$A$2:$AI$54,31,0)*AD19+AE19</f>
        <v>398.69999999999993</v>
      </c>
      <c r="AD19" s="54">
        <f>VLOOKUP(B19,'Feuerwaffen-Ressourcen'!$A$2:$AI$54,30,0)+VLOOKUP(C19,'Feuerwaffen-Ressourcen'!$A$2:$AI$54,30,0)+VLOOKUP(D19,'Feuerwaffen-Ressourcen'!$A$2:$AI$54,30,0)+VLOOKUP(F19,'Feuerwaffen-Ressourcen'!$A$2:$AI$54,30,0)+VLOOKUP(G19,'Feuerwaffen-Ressourcen'!$A$2:$AI$54,30,0)+VLOOKUP(I19,'Feuerwaffen-Ressourcen'!$A$2:$AI$54,30,0)+VLOOKUP(J19,'Feuerwaffen-Ressourcen'!$A$2:$AI$54,30,0)</f>
        <v>13.7</v>
      </c>
      <c r="AE19" s="53">
        <f>(VLOOKUP(C19,'Feuerwaffen-Ressourcen'!$A$2:$AI$54,32,0)+VLOOKUP(I19,'Feuerwaffen-Ressourcen'!$A$2:$AI$54,32,0))*(VLOOKUP(B19,'Feuerwaffen-Ressourcen'!$A$2:$AI$54,34,0)+VLOOKUP(C19,'Feuerwaffen-Ressourcen'!$A$2:$AI$54,34,0)+VLOOKUP(D19,'Feuerwaffen-Ressourcen'!$A$2:$AI$54,34,0)+VLOOKUP(E19,'Feuerwaffen-Ressourcen'!$A$2:$AI$54,34,0)+VLOOKUP(G19,'Feuerwaffen-Ressourcen'!$A$2:$AI$54,34,0))+VLOOKUP(B19,'Feuerwaffen-Ressourcen'!$A$2:$AI$54,35,0)+VLOOKUP(C19,'Feuerwaffen-Ressourcen'!$A$2:$AI$54,35,0)+VLOOKUP(D19,'Feuerwaffen-Ressourcen'!$A$2:$AI$54,35,0)</f>
        <v>343.89999999999992</v>
      </c>
      <c r="AF19" s="55">
        <f>VLOOKUP(AB19,'Feuerwaffen-Ressourcen'!$AO$3:$AP$9,2,1)</f>
        <v>7</v>
      </c>
      <c r="AG19" s="55">
        <v>0</v>
      </c>
      <c r="AH19" s="28" t="s">
        <v>1420</v>
      </c>
      <c r="AI19" s="28" t="s">
        <v>8657</v>
      </c>
      <c r="AJ19" s="56">
        <v>3</v>
      </c>
      <c r="AK19" s="56" t="s">
        <v>5497</v>
      </c>
      <c r="AL19" s="56" t="s">
        <v>5486</v>
      </c>
      <c r="AM19" s="56">
        <v>3</v>
      </c>
      <c r="AN19" s="56">
        <v>5</v>
      </c>
      <c r="AO19" s="56">
        <v>4</v>
      </c>
      <c r="AP19" s="56">
        <v>4</v>
      </c>
      <c r="AQ19" s="56">
        <v>10</v>
      </c>
      <c r="AR19" s="56">
        <v>10</v>
      </c>
      <c r="AS19" s="56">
        <v>5</v>
      </c>
      <c r="AT19" s="56">
        <v>6</v>
      </c>
    </row>
    <row r="20" spans="1:46">
      <c r="A20" s="49" t="s">
        <v>8841</v>
      </c>
      <c r="B20" s="49" t="s">
        <v>1176</v>
      </c>
      <c r="C20" s="49" t="s">
        <v>8921</v>
      </c>
      <c r="D20" s="49" t="s">
        <v>8935</v>
      </c>
      <c r="E20" s="49" t="s">
        <v>8829</v>
      </c>
      <c r="F20" s="49" t="s">
        <v>8931</v>
      </c>
      <c r="G20" s="49" t="s">
        <v>8932</v>
      </c>
      <c r="H20" s="49" t="s">
        <v>8830</v>
      </c>
      <c r="I20" s="49" t="s">
        <v>7341</v>
      </c>
      <c r="J20" s="49" t="s">
        <v>7320</v>
      </c>
      <c r="K20" s="51">
        <f>VLOOKUP(B20,'Feuerwaffen-Ressourcen'!$A$2:$AI$54,11,0)+VLOOKUP(C20,'Feuerwaffen-Ressourcen'!$A$2:$AI$54,11,0)+VLOOKUP(D20,'Feuerwaffen-Ressourcen'!$A$2:$AI$54,11,0)+VLOOKUP(E20,'Feuerwaffen-Ressourcen'!$A$2:$AI$54,11,0)+VLOOKUP(G20,'Feuerwaffen-Ressourcen'!$A$2:$AI$54,11,0)</f>
        <v>4.05</v>
      </c>
      <c r="L20" s="50">
        <f>VLOOKUP(B20,'Feuerwaffen-Ressourcen'!$A$2:$AI$54,12,0)+VLOOKUP(C20,'Feuerwaffen-Ressourcen'!$A$2:$AI$54,12,0)+VLOOKUP(D20,'Feuerwaffen-Ressourcen'!$A$2:$AI$54,12,0)+VLOOKUP(J20,'Feuerwaffen-Ressourcen'!$A$2:$AI$54,12,0)</f>
        <v>10</v>
      </c>
      <c r="M20" s="50" t="str">
        <f>VLOOKUP(VLOOKUP(B20,'Feuerwaffen-Ressourcen'!$A$2:$AI$54,13,0)+VLOOKUP(C20,'Feuerwaffen-Ressourcen'!$A$2:$AI$54,13,0)+VLOOKUP(D20,'Feuerwaffen-Ressourcen'!$A$2:$AI$54,13,0),'Feuerwaffen-Ressourcen'!$AJ$3:$AK$12,2,0)</f>
        <v>W8</v>
      </c>
      <c r="N20" s="50" t="str">
        <f>VLOOKUP(VLOOKUP(B20,'Feuerwaffen-Ressourcen'!$A$2:$AI$54,14,0)+VLOOKUP(C20,'Feuerwaffen-Ressourcen'!$A$2:$AI$54,14,0)+VLOOKUP(D20,'Feuerwaffen-Ressourcen'!$A$2:$AI$54,14,0),'Feuerwaffen-Ressourcen'!$AJ$3:$AK$12,2,0)</f>
        <v>W8</v>
      </c>
      <c r="O20" s="50">
        <f>VLOOKUP(B20,'Feuerwaffen-Ressourcen'!$A$2:$AI$54,15,0)+VLOOKUP(C20,'Feuerwaffen-Ressourcen'!$A$2:$AI$54,15,0)+VLOOKUP(D20,'Feuerwaffen-Ressourcen'!$A$2:$AI$54,15,0)</f>
        <v>2</v>
      </c>
      <c r="P20" s="50">
        <f>VLOOKUP(B20,'Feuerwaffen-Ressourcen'!$A$2:$AI$54,16,0)+VLOOKUP(C20,'Feuerwaffen-Ressourcen'!$A$2:$AI$54,16,0)+VLOOKUP(D20,'Feuerwaffen-Ressourcen'!$A$2:$AI$54,16,0)+VLOOKUP(E20,'Feuerwaffen-Ressourcen'!$A$2:$AI$54,16,0)</f>
        <v>17</v>
      </c>
      <c r="Q20" s="52">
        <f>VLOOKUP(B20,'Feuerwaffen-Ressourcen'!$A$2:$AI$54,17,0)+VLOOKUP(C20,'Feuerwaffen-Ressourcen'!$A$2:$AI$54,17,0)+VLOOKUP(D20,'Feuerwaffen-Ressourcen'!$A$2:$AI$54,17,0)+VLOOKUP(E20,'Feuerwaffen-Ressourcen'!$A$2:$AI$54,17,0)</f>
        <v>11</v>
      </c>
      <c r="R20" s="50">
        <f>VLOOKUP(B20,'Feuerwaffen-Ressourcen'!$A$2:$AI$54,18,0)+VLOOKUP(C20,'Feuerwaffen-Ressourcen'!$A$2:$AI$54,18,0)+VLOOKUP(D20,'Feuerwaffen-Ressourcen'!$A$2:$AI$54,18,0)+VLOOKUP(F20,'Feuerwaffen-Ressourcen'!$A$2:$AI$54,18,0)+VLOOKUP(G20,'Feuerwaffen-Ressourcen'!$A$2:$AI$54,18,0)+VLOOKUP(I20,'Feuerwaffen-Ressourcen'!$A$2:$AI$54,18,0)+VLOOKUP(J20,'Feuerwaffen-Ressourcen'!$A$2:$AI$54,18,0)</f>
        <v>9</v>
      </c>
      <c r="S20" s="50">
        <f>VLOOKUP(B20,'Feuerwaffen-Ressourcen'!$A$2:$AI$54,19,0)+VLOOKUP(C20,'Feuerwaffen-Ressourcen'!$A$2:$AI$54,19,0)+VLOOKUP(D20,'Feuerwaffen-Ressourcen'!$A$2:$AI$54,19,0)+VLOOKUP(F20,'Feuerwaffen-Ressourcen'!$A$2:$AI$54,19,0)+VLOOKUP(G20,'Feuerwaffen-Ressourcen'!$A$2:$AI$54,19,0)+VLOOKUP(I20,'Feuerwaffen-Ressourcen'!$A$2:$AI$54,19,0)+VLOOKUP(J20,'Feuerwaffen-Ressourcen'!$A$2:$AI$54,19,0)</f>
        <v>6</v>
      </c>
      <c r="T20" s="50">
        <f>VLOOKUP(B20,'Feuerwaffen-Ressourcen'!$A$2:$AI$54,20,0)+VLOOKUP(C20,'Feuerwaffen-Ressourcen'!$A$2:$AI$54,20,0)+VLOOKUP(D20,'Feuerwaffen-Ressourcen'!$A$2:$AI$54,20,0)+VLOOKUP(F20,'Feuerwaffen-Ressourcen'!$A$2:$AI$54,20,0)+VLOOKUP(G20,'Feuerwaffen-Ressourcen'!$A$2:$AI$54,20,0)+VLOOKUP(I20,'Feuerwaffen-Ressourcen'!$A$2:$AI$54,20,0)+VLOOKUP(J20,'Feuerwaffen-Ressourcen'!$A$2:$AI$54,20,0)</f>
        <v>2</v>
      </c>
      <c r="U20" s="50">
        <f>VLOOKUP(B20,'Feuerwaffen-Ressourcen'!$A$2:$AI$54,21,0)+VLOOKUP(C20,'Feuerwaffen-Ressourcen'!$A$2:$AI$54,21,0)+VLOOKUP(D20,'Feuerwaffen-Ressourcen'!$A$2:$AI$54,21,0)+VLOOKUP(F20,'Feuerwaffen-Ressourcen'!$A$2:$AI$54,21,0)+VLOOKUP(G20,'Feuerwaffen-Ressourcen'!$A$2:$AI$54,21,0)+VLOOKUP(I20,'Feuerwaffen-Ressourcen'!$A$2:$AI$54,21,0)+VLOOKUP(J20,'Feuerwaffen-Ressourcen'!$A$2:$AI$54,21,0)</f>
        <v>-4</v>
      </c>
      <c r="V20" s="50">
        <f>VLOOKUP(B20,'Feuerwaffen-Ressourcen'!$A$2:$AI$54,22,0)+VLOOKUP(C20,'Feuerwaffen-Ressourcen'!$A$2:$AI$54,22,0)+VLOOKUP(D20,'Feuerwaffen-Ressourcen'!$A$2:$AI$54,22,0)+VLOOKUP(F20,'Feuerwaffen-Ressourcen'!$A$2:$AI$54,22,0)+VLOOKUP(G20,'Feuerwaffen-Ressourcen'!$A$2:$AI$54,22,0)+VLOOKUP(I20,'Feuerwaffen-Ressourcen'!$A$2:$AI$54,22,0)+VLOOKUP(J20,'Feuerwaffen-Ressourcen'!$A$2:$AI$54,22,0)</f>
        <v>-11</v>
      </c>
      <c r="W20" s="50">
        <f>VLOOKUP(B20,'Feuerwaffen-Ressourcen'!$A$2:$AI$54,23,0)+VLOOKUP(C20,'Feuerwaffen-Ressourcen'!$A$2:$AI$54,23,0)+VLOOKUP(D20,'Feuerwaffen-Ressourcen'!$A$2:$AI$54,23,0)+VLOOKUP(F20,'Feuerwaffen-Ressourcen'!$A$2:$AI$54,23,0)+VLOOKUP(G20,'Feuerwaffen-Ressourcen'!$A$2:$AI$54,23,0)+VLOOKUP(I20,'Feuerwaffen-Ressourcen'!$A$2:$AI$54,23,0)+VLOOKUP(J20,'Feuerwaffen-Ressourcen'!$A$2:$AI$54,23,0)</f>
        <v>-18</v>
      </c>
      <c r="X20" s="50">
        <f>VLOOKUP(B20,'Feuerwaffen-Ressourcen'!$A$2:$AI$54,24,0)+VLOOKUP(C20,'Feuerwaffen-Ressourcen'!$A$2:$AI$54,24,0)+VLOOKUP(D20,'Feuerwaffen-Ressourcen'!$A$2:$AI$54,24,0)+VLOOKUP(G20,'Feuerwaffen-Ressourcen'!$A$2:$AI$54,24,0)</f>
        <v>100</v>
      </c>
      <c r="Y20" s="50">
        <f>VLOOKUP(D20,'Feuerwaffen-Ressourcen'!$A$2:$AI$54,25,0)+VLOOKUP(E20,'Feuerwaffen-Ressourcen'!$A$2:$AI$54,25,0)+VLOOKUP(F20,'Feuerwaffen-Ressourcen'!$A$2:$AI$54,25,0)</f>
        <v>9</v>
      </c>
      <c r="Z20" s="50">
        <f>VLOOKUP(E20,'Feuerwaffen-Ressourcen'!$A$2:$AI$54,26,0)</f>
        <v>6</v>
      </c>
      <c r="AA20" s="50">
        <f>VLOOKUP(B20,'Feuerwaffen-Ressourcen'!$A$2:$AI$54,27,0)+VLOOKUP(D20,'Feuerwaffen-Ressourcen'!$A$2:$AI$54,27,0)+VLOOKUP(F20,'Feuerwaffen-Ressourcen'!$A$2:$AI$54,27,0)+VLOOKUP(I20,'Feuerwaffen-Ressourcen'!$A$2:$AI$54,27,0)</f>
        <v>-2</v>
      </c>
      <c r="AB20" s="50">
        <f>VLOOKUP(B20,'Feuerwaffen-Ressourcen'!$A$2:$AI$54,28,0)+VLOOKUP(C20,'Feuerwaffen-Ressourcen'!$A$2:$AI$54,28,0)+VLOOKUP(D20,'Feuerwaffen-Ressourcen'!$A$2:$AI$54,28,0)+VLOOKUP(E20,'Feuerwaffen-Ressourcen'!$A$2:$AI$54,28,0)+VLOOKUP(F20,'Feuerwaffen-Ressourcen'!$A$2:$AI$54,28,0)+VLOOKUP(G20,'Feuerwaffen-Ressourcen'!$A$2:$AI$54,28,0)+VLOOKUP(I20,'Feuerwaffen-Ressourcen'!$A$2:$AI$54,28,0)+VLOOKUP(J20,'Feuerwaffen-Ressourcen'!$A$2:$AI$54,28,0)</f>
        <v>55</v>
      </c>
      <c r="AC20" s="53">
        <f>VLOOKUP(I20,'Feuerwaffen-Ressourcen'!$A$2:$AI$54,31,0)*AD20+AE20</f>
        <v>310.7</v>
      </c>
      <c r="AD20" s="54">
        <f>VLOOKUP(B20,'Feuerwaffen-Ressourcen'!$A$2:$AI$54,30,0)+VLOOKUP(C20,'Feuerwaffen-Ressourcen'!$A$2:$AI$54,30,0)+VLOOKUP(D20,'Feuerwaffen-Ressourcen'!$A$2:$AI$54,30,0)+VLOOKUP(F20,'Feuerwaffen-Ressourcen'!$A$2:$AI$54,30,0)+VLOOKUP(G20,'Feuerwaffen-Ressourcen'!$A$2:$AI$54,30,0)+VLOOKUP(I20,'Feuerwaffen-Ressourcen'!$A$2:$AI$54,30,0)+VLOOKUP(J20,'Feuerwaffen-Ressourcen'!$A$2:$AI$54,30,0)</f>
        <v>12.7</v>
      </c>
      <c r="AE20" s="53">
        <f>(VLOOKUP(C20,'Feuerwaffen-Ressourcen'!$A$2:$AI$54,32,0)+VLOOKUP(I20,'Feuerwaffen-Ressourcen'!$A$2:$AI$54,32,0))*(VLOOKUP(B20,'Feuerwaffen-Ressourcen'!$A$2:$AI$54,34,0)+VLOOKUP(C20,'Feuerwaffen-Ressourcen'!$A$2:$AI$54,34,0)+VLOOKUP(D20,'Feuerwaffen-Ressourcen'!$A$2:$AI$54,34,0)+VLOOKUP(E20,'Feuerwaffen-Ressourcen'!$A$2:$AI$54,34,0)+VLOOKUP(G20,'Feuerwaffen-Ressourcen'!$A$2:$AI$54,34,0))+VLOOKUP(B20,'Feuerwaffen-Ressourcen'!$A$2:$AI$54,35,0)+VLOOKUP(C20,'Feuerwaffen-Ressourcen'!$A$2:$AI$54,35,0)+VLOOKUP(D20,'Feuerwaffen-Ressourcen'!$A$2:$AI$54,35,0)</f>
        <v>259.89999999999998</v>
      </c>
      <c r="AF20" s="55">
        <f>VLOOKUP(AB20,'Feuerwaffen-Ressourcen'!$AO$3:$AP$9,2,1)</f>
        <v>7</v>
      </c>
      <c r="AG20" s="55">
        <v>0</v>
      </c>
      <c r="AH20" s="28" t="s">
        <v>1420</v>
      </c>
      <c r="AI20" s="28" t="s">
        <v>8657</v>
      </c>
      <c r="AJ20" s="56">
        <v>3</v>
      </c>
      <c r="AK20" s="56" t="s">
        <v>5497</v>
      </c>
      <c r="AL20" s="56" t="s">
        <v>5486</v>
      </c>
      <c r="AM20" s="56">
        <v>3</v>
      </c>
      <c r="AN20" s="56">
        <v>5</v>
      </c>
      <c r="AO20" s="56">
        <v>4</v>
      </c>
      <c r="AP20" s="56">
        <v>4</v>
      </c>
      <c r="AQ20" s="56">
        <v>10</v>
      </c>
      <c r="AR20" s="56">
        <v>10</v>
      </c>
      <c r="AS20" s="56">
        <v>5</v>
      </c>
      <c r="AT20" s="56">
        <v>6</v>
      </c>
    </row>
    <row r="21" spans="1:46">
      <c r="A21" s="49" t="s">
        <v>8842</v>
      </c>
      <c r="B21" s="49" t="s">
        <v>1176</v>
      </c>
      <c r="C21" s="49" t="s">
        <v>8921</v>
      </c>
      <c r="D21" s="49" t="s">
        <v>8938</v>
      </c>
      <c r="E21" s="49" t="s">
        <v>8258</v>
      </c>
      <c r="F21" s="49" t="s">
        <v>8936</v>
      </c>
      <c r="G21" s="49" t="s">
        <v>8932</v>
      </c>
      <c r="H21" s="49" t="s">
        <v>8271</v>
      </c>
      <c r="I21" s="49" t="s">
        <v>7341</v>
      </c>
      <c r="J21" s="49" t="s">
        <v>7320</v>
      </c>
      <c r="K21" s="51">
        <f>VLOOKUP(B21,'Feuerwaffen-Ressourcen'!$A$2:$AI$54,11,0)+VLOOKUP(C21,'Feuerwaffen-Ressourcen'!$A$2:$AI$54,11,0)+VLOOKUP(D21,'Feuerwaffen-Ressourcen'!$A$2:$AI$54,11,0)+VLOOKUP(E21,'Feuerwaffen-Ressourcen'!$A$2:$AI$54,11,0)+VLOOKUP(G21,'Feuerwaffen-Ressourcen'!$A$2:$AI$54,11,0)</f>
        <v>3.05</v>
      </c>
      <c r="L21" s="50">
        <f>VLOOKUP(B21,'Feuerwaffen-Ressourcen'!$A$2:$AI$54,12,0)+VLOOKUP(C21,'Feuerwaffen-Ressourcen'!$A$2:$AI$54,12,0)+VLOOKUP(D21,'Feuerwaffen-Ressourcen'!$A$2:$AI$54,12,0)+VLOOKUP(J21,'Feuerwaffen-Ressourcen'!$A$2:$AI$54,12,0)</f>
        <v>9</v>
      </c>
      <c r="M21" s="50" t="str">
        <f>VLOOKUP(VLOOKUP(B21,'Feuerwaffen-Ressourcen'!$A$2:$AI$54,13,0)+VLOOKUP(C21,'Feuerwaffen-Ressourcen'!$A$2:$AI$54,13,0)+VLOOKUP(D21,'Feuerwaffen-Ressourcen'!$A$2:$AI$54,13,0),'Feuerwaffen-Ressourcen'!$AJ$3:$AK$12,2,0)</f>
        <v>W8</v>
      </c>
      <c r="N21" s="50" t="str">
        <f>VLOOKUP(VLOOKUP(B21,'Feuerwaffen-Ressourcen'!$A$2:$AI$54,14,0)+VLOOKUP(C21,'Feuerwaffen-Ressourcen'!$A$2:$AI$54,14,0)+VLOOKUP(D21,'Feuerwaffen-Ressourcen'!$A$2:$AI$54,14,0),'Feuerwaffen-Ressourcen'!$AJ$3:$AK$12,2,0)</f>
        <v>W8</v>
      </c>
      <c r="O21" s="50">
        <f>VLOOKUP(B21,'Feuerwaffen-Ressourcen'!$A$2:$AI$54,15,0)+VLOOKUP(C21,'Feuerwaffen-Ressourcen'!$A$2:$AI$54,15,0)+VLOOKUP(D21,'Feuerwaffen-Ressourcen'!$A$2:$AI$54,15,0)</f>
        <v>1</v>
      </c>
      <c r="P21" s="50">
        <f>VLOOKUP(B21,'Feuerwaffen-Ressourcen'!$A$2:$AI$54,16,0)+VLOOKUP(C21,'Feuerwaffen-Ressourcen'!$A$2:$AI$54,16,0)+VLOOKUP(D21,'Feuerwaffen-Ressourcen'!$A$2:$AI$54,16,0)+VLOOKUP(E21,'Feuerwaffen-Ressourcen'!$A$2:$AI$54,16,0)</f>
        <v>11</v>
      </c>
      <c r="Q21" s="52">
        <f>VLOOKUP(B21,'Feuerwaffen-Ressourcen'!$A$2:$AI$54,17,0)+VLOOKUP(C21,'Feuerwaffen-Ressourcen'!$A$2:$AI$54,17,0)+VLOOKUP(D21,'Feuerwaffen-Ressourcen'!$A$2:$AI$54,17,0)+VLOOKUP(E21,'Feuerwaffen-Ressourcen'!$A$2:$AI$54,17,0)</f>
        <v>17</v>
      </c>
      <c r="R21" s="50">
        <f>VLOOKUP(B21,'Feuerwaffen-Ressourcen'!$A$2:$AI$54,18,0)+VLOOKUP(C21,'Feuerwaffen-Ressourcen'!$A$2:$AI$54,18,0)+VLOOKUP(D21,'Feuerwaffen-Ressourcen'!$A$2:$AI$54,18,0)+VLOOKUP(F21,'Feuerwaffen-Ressourcen'!$A$2:$AI$54,18,0)+VLOOKUP(G21,'Feuerwaffen-Ressourcen'!$A$2:$AI$54,18,0)+VLOOKUP(I21,'Feuerwaffen-Ressourcen'!$A$2:$AI$54,18,0)+VLOOKUP(J21,'Feuerwaffen-Ressourcen'!$A$2:$AI$54,18,0)</f>
        <v>11</v>
      </c>
      <c r="S21" s="50">
        <f>VLOOKUP(B21,'Feuerwaffen-Ressourcen'!$A$2:$AI$54,19,0)+VLOOKUP(C21,'Feuerwaffen-Ressourcen'!$A$2:$AI$54,19,0)+VLOOKUP(D21,'Feuerwaffen-Ressourcen'!$A$2:$AI$54,19,0)+VLOOKUP(F21,'Feuerwaffen-Ressourcen'!$A$2:$AI$54,19,0)+VLOOKUP(G21,'Feuerwaffen-Ressourcen'!$A$2:$AI$54,19,0)+VLOOKUP(I21,'Feuerwaffen-Ressourcen'!$A$2:$AI$54,19,0)+VLOOKUP(J21,'Feuerwaffen-Ressourcen'!$A$2:$AI$54,19,0)</f>
        <v>5</v>
      </c>
      <c r="T21" s="50">
        <f>VLOOKUP(B21,'Feuerwaffen-Ressourcen'!$A$2:$AI$54,20,0)+VLOOKUP(C21,'Feuerwaffen-Ressourcen'!$A$2:$AI$54,20,0)+VLOOKUP(D21,'Feuerwaffen-Ressourcen'!$A$2:$AI$54,20,0)+VLOOKUP(F21,'Feuerwaffen-Ressourcen'!$A$2:$AI$54,20,0)+VLOOKUP(G21,'Feuerwaffen-Ressourcen'!$A$2:$AI$54,20,0)+VLOOKUP(I21,'Feuerwaffen-Ressourcen'!$A$2:$AI$54,20,0)+VLOOKUP(J21,'Feuerwaffen-Ressourcen'!$A$2:$AI$54,20,0)</f>
        <v>-2</v>
      </c>
      <c r="U21" s="50">
        <f>VLOOKUP(B21,'Feuerwaffen-Ressourcen'!$A$2:$AI$54,21,0)+VLOOKUP(C21,'Feuerwaffen-Ressourcen'!$A$2:$AI$54,21,0)+VLOOKUP(D21,'Feuerwaffen-Ressourcen'!$A$2:$AI$54,21,0)+VLOOKUP(F21,'Feuerwaffen-Ressourcen'!$A$2:$AI$54,21,0)+VLOOKUP(G21,'Feuerwaffen-Ressourcen'!$A$2:$AI$54,21,0)+VLOOKUP(I21,'Feuerwaffen-Ressourcen'!$A$2:$AI$54,21,0)+VLOOKUP(J21,'Feuerwaffen-Ressourcen'!$A$2:$AI$54,21,0)</f>
        <v>-11</v>
      </c>
      <c r="V21" s="50">
        <f>VLOOKUP(B21,'Feuerwaffen-Ressourcen'!$A$2:$AI$54,22,0)+VLOOKUP(C21,'Feuerwaffen-Ressourcen'!$A$2:$AI$54,22,0)+VLOOKUP(D21,'Feuerwaffen-Ressourcen'!$A$2:$AI$54,22,0)+VLOOKUP(F21,'Feuerwaffen-Ressourcen'!$A$2:$AI$54,22,0)+VLOOKUP(G21,'Feuerwaffen-Ressourcen'!$A$2:$AI$54,22,0)+VLOOKUP(I21,'Feuerwaffen-Ressourcen'!$A$2:$AI$54,22,0)+VLOOKUP(J21,'Feuerwaffen-Ressourcen'!$A$2:$AI$54,22,0)</f>
        <v>-21</v>
      </c>
      <c r="W21" s="50">
        <f>VLOOKUP(B21,'Feuerwaffen-Ressourcen'!$A$2:$AI$54,23,0)+VLOOKUP(C21,'Feuerwaffen-Ressourcen'!$A$2:$AI$54,23,0)+VLOOKUP(D21,'Feuerwaffen-Ressourcen'!$A$2:$AI$54,23,0)+VLOOKUP(F21,'Feuerwaffen-Ressourcen'!$A$2:$AI$54,23,0)+VLOOKUP(G21,'Feuerwaffen-Ressourcen'!$A$2:$AI$54,23,0)+VLOOKUP(I21,'Feuerwaffen-Ressourcen'!$A$2:$AI$54,23,0)+VLOOKUP(J21,'Feuerwaffen-Ressourcen'!$A$2:$AI$54,23,0)</f>
        <v>-31</v>
      </c>
      <c r="X21" s="50">
        <f>VLOOKUP(B21,'Feuerwaffen-Ressourcen'!$A$2:$AI$54,24,0)+VLOOKUP(C21,'Feuerwaffen-Ressourcen'!$A$2:$AI$54,24,0)+VLOOKUP(D21,'Feuerwaffen-Ressourcen'!$A$2:$AI$54,24,0)+VLOOKUP(G21,'Feuerwaffen-Ressourcen'!$A$2:$AI$54,24,0)</f>
        <v>80</v>
      </c>
      <c r="Y21" s="50">
        <f>VLOOKUP(D21,'Feuerwaffen-Ressourcen'!$A$2:$AI$54,25,0)+VLOOKUP(E21,'Feuerwaffen-Ressourcen'!$A$2:$AI$54,25,0)+VLOOKUP(F21,'Feuerwaffen-Ressourcen'!$A$2:$AI$54,25,0)</f>
        <v>28</v>
      </c>
      <c r="Z21" s="50">
        <f>VLOOKUP(E21,'Feuerwaffen-Ressourcen'!$A$2:$AI$54,26,0)</f>
        <v>3</v>
      </c>
      <c r="AA21" s="50">
        <f>VLOOKUP(B21,'Feuerwaffen-Ressourcen'!$A$2:$AI$54,27,0)+VLOOKUP(D21,'Feuerwaffen-Ressourcen'!$A$2:$AI$54,27,0)+VLOOKUP(F21,'Feuerwaffen-Ressourcen'!$A$2:$AI$54,27,0)+VLOOKUP(I21,'Feuerwaffen-Ressourcen'!$A$2:$AI$54,27,0)</f>
        <v>0</v>
      </c>
      <c r="AB21" s="50">
        <f>VLOOKUP(B21,'Feuerwaffen-Ressourcen'!$A$2:$AI$54,28,0)+VLOOKUP(C21,'Feuerwaffen-Ressourcen'!$A$2:$AI$54,28,0)+VLOOKUP(D21,'Feuerwaffen-Ressourcen'!$A$2:$AI$54,28,0)+VLOOKUP(E21,'Feuerwaffen-Ressourcen'!$A$2:$AI$54,28,0)+VLOOKUP(F21,'Feuerwaffen-Ressourcen'!$A$2:$AI$54,28,0)+VLOOKUP(G21,'Feuerwaffen-Ressourcen'!$A$2:$AI$54,28,0)+VLOOKUP(I21,'Feuerwaffen-Ressourcen'!$A$2:$AI$54,28,0)+VLOOKUP(J21,'Feuerwaffen-Ressourcen'!$A$2:$AI$54,28,0)</f>
        <v>90</v>
      </c>
      <c r="AC21" s="53">
        <f>VLOOKUP(I21,'Feuerwaffen-Ressourcen'!$A$2:$AI$54,31,0)*AD21+AE21</f>
        <v>186.59999999999997</v>
      </c>
      <c r="AD21" s="54">
        <f>VLOOKUP(B21,'Feuerwaffen-Ressourcen'!$A$2:$AI$54,30,0)+VLOOKUP(C21,'Feuerwaffen-Ressourcen'!$A$2:$AI$54,30,0)+VLOOKUP(D21,'Feuerwaffen-Ressourcen'!$A$2:$AI$54,30,0)+VLOOKUP(F21,'Feuerwaffen-Ressourcen'!$A$2:$AI$54,30,0)+VLOOKUP(G21,'Feuerwaffen-Ressourcen'!$A$2:$AI$54,30,0)+VLOOKUP(I21,'Feuerwaffen-Ressourcen'!$A$2:$AI$54,30,0)+VLOOKUP(J21,'Feuerwaffen-Ressourcen'!$A$2:$AI$54,30,0)</f>
        <v>8.6999999999999993</v>
      </c>
      <c r="AE21" s="53">
        <f>(VLOOKUP(C21,'Feuerwaffen-Ressourcen'!$A$2:$AI$54,32,0)+VLOOKUP(I21,'Feuerwaffen-Ressourcen'!$A$2:$AI$54,32,0))*(VLOOKUP(B21,'Feuerwaffen-Ressourcen'!$A$2:$AI$54,34,0)+VLOOKUP(C21,'Feuerwaffen-Ressourcen'!$A$2:$AI$54,34,0)+VLOOKUP(D21,'Feuerwaffen-Ressourcen'!$A$2:$AI$54,34,0)+VLOOKUP(E21,'Feuerwaffen-Ressourcen'!$A$2:$AI$54,34,0)+VLOOKUP(G21,'Feuerwaffen-Ressourcen'!$A$2:$AI$54,34,0))+VLOOKUP(B21,'Feuerwaffen-Ressourcen'!$A$2:$AI$54,35,0)+VLOOKUP(C21,'Feuerwaffen-Ressourcen'!$A$2:$AI$54,35,0)+VLOOKUP(D21,'Feuerwaffen-Ressourcen'!$A$2:$AI$54,35,0)</f>
        <v>151.79999999999998</v>
      </c>
      <c r="AF21" s="55">
        <f>VLOOKUP(AB21,'Feuerwaffen-Ressourcen'!$AO$3:$AP$9,2,1)</f>
        <v>5</v>
      </c>
      <c r="AG21" s="55">
        <v>0</v>
      </c>
      <c r="AH21" s="28" t="s">
        <v>1420</v>
      </c>
      <c r="AI21" s="28" t="s">
        <v>8657</v>
      </c>
      <c r="AJ21" s="56">
        <v>3</v>
      </c>
      <c r="AK21" s="56" t="s">
        <v>5497</v>
      </c>
      <c r="AL21" s="56" t="s">
        <v>5486</v>
      </c>
      <c r="AM21" s="56">
        <v>3</v>
      </c>
      <c r="AN21" s="56">
        <v>5</v>
      </c>
      <c r="AO21" s="56">
        <v>4</v>
      </c>
      <c r="AP21" s="56">
        <v>4</v>
      </c>
      <c r="AQ21" s="56">
        <v>9</v>
      </c>
      <c r="AR21" s="56">
        <v>9</v>
      </c>
      <c r="AS21" s="56">
        <v>5</v>
      </c>
      <c r="AT21" s="56">
        <v>6</v>
      </c>
    </row>
    <row r="22" spans="1:46">
      <c r="A22" s="49" t="s">
        <v>8629</v>
      </c>
      <c r="B22" s="49" t="s">
        <v>1176</v>
      </c>
      <c r="C22" s="49" t="s">
        <v>8824</v>
      </c>
      <c r="D22" s="49" t="s">
        <v>8927</v>
      </c>
      <c r="E22" s="49" t="s">
        <v>8829</v>
      </c>
      <c r="F22" s="49" t="s">
        <v>8931</v>
      </c>
      <c r="G22" s="49" t="s">
        <v>8932</v>
      </c>
      <c r="H22" s="49" t="s">
        <v>8830</v>
      </c>
      <c r="I22" s="49" t="s">
        <v>7341</v>
      </c>
      <c r="J22" s="49" t="s">
        <v>7320</v>
      </c>
      <c r="K22" s="51">
        <f>VLOOKUP(B22,'Feuerwaffen-Ressourcen'!$A$2:$AI$54,11,0)+VLOOKUP(C22,'Feuerwaffen-Ressourcen'!$A$2:$AI$54,11,0)+VLOOKUP(D22,'Feuerwaffen-Ressourcen'!$A$2:$AI$54,11,0)+VLOOKUP(E22,'Feuerwaffen-Ressourcen'!$A$2:$AI$54,11,0)+VLOOKUP(G22,'Feuerwaffen-Ressourcen'!$A$2:$AI$54,11,0)</f>
        <v>1.8</v>
      </c>
      <c r="L22" s="50">
        <f>VLOOKUP(B22,'Feuerwaffen-Ressourcen'!$A$2:$AI$54,12,0)+VLOOKUP(C22,'Feuerwaffen-Ressourcen'!$A$2:$AI$54,12,0)+VLOOKUP(D22,'Feuerwaffen-Ressourcen'!$A$2:$AI$54,12,0)+VLOOKUP(J22,'Feuerwaffen-Ressourcen'!$A$2:$AI$54,12,0)</f>
        <v>7</v>
      </c>
      <c r="M22" s="50" t="str">
        <f>VLOOKUP(VLOOKUP(B22,'Feuerwaffen-Ressourcen'!$A$2:$AI$54,13,0)+VLOOKUP(C22,'Feuerwaffen-Ressourcen'!$A$2:$AI$54,13,0)+VLOOKUP(D22,'Feuerwaffen-Ressourcen'!$A$2:$AI$54,13,0),'Feuerwaffen-Ressourcen'!$AJ$3:$AK$12,2,0)</f>
        <v>W8</v>
      </c>
      <c r="N22" s="50" t="str">
        <f>VLOOKUP(VLOOKUP(B22,'Feuerwaffen-Ressourcen'!$A$2:$AI$54,14,0)+VLOOKUP(C22,'Feuerwaffen-Ressourcen'!$A$2:$AI$54,14,0)+VLOOKUP(D22,'Feuerwaffen-Ressourcen'!$A$2:$AI$54,14,0),'Feuerwaffen-Ressourcen'!$AJ$3:$AK$12,2,0)</f>
        <v>W8</v>
      </c>
      <c r="O22" s="50">
        <f>VLOOKUP(B22,'Feuerwaffen-Ressourcen'!$A$2:$AI$54,15,0)+VLOOKUP(C22,'Feuerwaffen-Ressourcen'!$A$2:$AI$54,15,0)+VLOOKUP(D22,'Feuerwaffen-Ressourcen'!$A$2:$AI$54,15,0)</f>
        <v>0</v>
      </c>
      <c r="P22" s="50">
        <f>VLOOKUP(B22,'Feuerwaffen-Ressourcen'!$A$2:$AI$54,16,0)+VLOOKUP(C22,'Feuerwaffen-Ressourcen'!$A$2:$AI$54,16,0)+VLOOKUP(D22,'Feuerwaffen-Ressourcen'!$A$2:$AI$54,16,0)+VLOOKUP(E22,'Feuerwaffen-Ressourcen'!$A$2:$AI$54,16,0)</f>
        <v>12</v>
      </c>
      <c r="Q22" s="52">
        <f>VLOOKUP(B22,'Feuerwaffen-Ressourcen'!$A$2:$AI$54,17,0)+VLOOKUP(C22,'Feuerwaffen-Ressourcen'!$A$2:$AI$54,17,0)+VLOOKUP(D22,'Feuerwaffen-Ressourcen'!$A$2:$AI$54,17,0)+VLOOKUP(E22,'Feuerwaffen-Ressourcen'!$A$2:$AI$54,17,0)</f>
        <v>8</v>
      </c>
      <c r="R22" s="50">
        <f>VLOOKUP(B22,'Feuerwaffen-Ressourcen'!$A$2:$AI$54,18,0)+VLOOKUP(C22,'Feuerwaffen-Ressourcen'!$A$2:$AI$54,18,0)+VLOOKUP(D22,'Feuerwaffen-Ressourcen'!$A$2:$AI$54,18,0)+VLOOKUP(F22,'Feuerwaffen-Ressourcen'!$A$2:$AI$54,18,0)+VLOOKUP(G22,'Feuerwaffen-Ressourcen'!$A$2:$AI$54,18,0)+VLOOKUP(I22,'Feuerwaffen-Ressourcen'!$A$2:$AI$54,18,0)+VLOOKUP(J22,'Feuerwaffen-Ressourcen'!$A$2:$AI$54,18,0)</f>
        <v>13</v>
      </c>
      <c r="S22" s="50">
        <f>VLOOKUP(B22,'Feuerwaffen-Ressourcen'!$A$2:$AI$54,19,0)+VLOOKUP(C22,'Feuerwaffen-Ressourcen'!$A$2:$AI$54,19,0)+VLOOKUP(D22,'Feuerwaffen-Ressourcen'!$A$2:$AI$54,19,0)+VLOOKUP(F22,'Feuerwaffen-Ressourcen'!$A$2:$AI$54,19,0)+VLOOKUP(G22,'Feuerwaffen-Ressourcen'!$A$2:$AI$54,19,0)+VLOOKUP(I22,'Feuerwaffen-Ressourcen'!$A$2:$AI$54,19,0)+VLOOKUP(J22,'Feuerwaffen-Ressourcen'!$A$2:$AI$54,19,0)</f>
        <v>6</v>
      </c>
      <c r="T22" s="50">
        <f>VLOOKUP(B22,'Feuerwaffen-Ressourcen'!$A$2:$AI$54,20,0)+VLOOKUP(C22,'Feuerwaffen-Ressourcen'!$A$2:$AI$54,20,0)+VLOOKUP(D22,'Feuerwaffen-Ressourcen'!$A$2:$AI$54,20,0)+VLOOKUP(F22,'Feuerwaffen-Ressourcen'!$A$2:$AI$54,20,0)+VLOOKUP(G22,'Feuerwaffen-Ressourcen'!$A$2:$AI$54,20,0)+VLOOKUP(I22,'Feuerwaffen-Ressourcen'!$A$2:$AI$54,20,0)+VLOOKUP(J22,'Feuerwaffen-Ressourcen'!$A$2:$AI$54,20,0)</f>
        <v>-4</v>
      </c>
      <c r="U22" s="50">
        <f>VLOOKUP(B22,'Feuerwaffen-Ressourcen'!$A$2:$AI$54,21,0)+VLOOKUP(C22,'Feuerwaffen-Ressourcen'!$A$2:$AI$54,21,0)+VLOOKUP(D22,'Feuerwaffen-Ressourcen'!$A$2:$AI$54,21,0)+VLOOKUP(F22,'Feuerwaffen-Ressourcen'!$A$2:$AI$54,21,0)+VLOOKUP(G22,'Feuerwaffen-Ressourcen'!$A$2:$AI$54,21,0)+VLOOKUP(I22,'Feuerwaffen-Ressourcen'!$A$2:$AI$54,21,0)+VLOOKUP(J22,'Feuerwaffen-Ressourcen'!$A$2:$AI$54,21,0)</f>
        <v>-17</v>
      </c>
      <c r="V22" s="50">
        <f>VLOOKUP(B22,'Feuerwaffen-Ressourcen'!$A$2:$AI$54,22,0)+VLOOKUP(C22,'Feuerwaffen-Ressourcen'!$A$2:$AI$54,22,0)+VLOOKUP(D22,'Feuerwaffen-Ressourcen'!$A$2:$AI$54,22,0)+VLOOKUP(F22,'Feuerwaffen-Ressourcen'!$A$2:$AI$54,22,0)+VLOOKUP(G22,'Feuerwaffen-Ressourcen'!$A$2:$AI$54,22,0)+VLOOKUP(I22,'Feuerwaffen-Ressourcen'!$A$2:$AI$54,22,0)+VLOOKUP(J22,'Feuerwaffen-Ressourcen'!$A$2:$AI$54,22,0)</f>
        <v>-32</v>
      </c>
      <c r="W22" s="50">
        <f>VLOOKUP(B22,'Feuerwaffen-Ressourcen'!$A$2:$AI$54,23,0)+VLOOKUP(C22,'Feuerwaffen-Ressourcen'!$A$2:$AI$54,23,0)+VLOOKUP(D22,'Feuerwaffen-Ressourcen'!$A$2:$AI$54,23,0)+VLOOKUP(F22,'Feuerwaffen-Ressourcen'!$A$2:$AI$54,23,0)+VLOOKUP(G22,'Feuerwaffen-Ressourcen'!$A$2:$AI$54,23,0)+VLOOKUP(I22,'Feuerwaffen-Ressourcen'!$A$2:$AI$54,23,0)+VLOOKUP(J22,'Feuerwaffen-Ressourcen'!$A$2:$AI$54,23,0)</f>
        <v>-48</v>
      </c>
      <c r="X22" s="50">
        <f>VLOOKUP(B22,'Feuerwaffen-Ressourcen'!$A$2:$AI$54,24,0)+VLOOKUP(C22,'Feuerwaffen-Ressourcen'!$A$2:$AI$54,24,0)+VLOOKUP(D22,'Feuerwaffen-Ressourcen'!$A$2:$AI$54,24,0)+VLOOKUP(G22,'Feuerwaffen-Ressourcen'!$A$2:$AI$54,24,0)</f>
        <v>80</v>
      </c>
      <c r="Y22" s="50">
        <f>VLOOKUP(D22,'Feuerwaffen-Ressourcen'!$A$2:$AI$54,25,0)+VLOOKUP(E22,'Feuerwaffen-Ressourcen'!$A$2:$AI$54,25,0)+VLOOKUP(F22,'Feuerwaffen-Ressourcen'!$A$2:$AI$54,25,0)</f>
        <v>9</v>
      </c>
      <c r="Z22" s="50">
        <f>VLOOKUP(E22,'Feuerwaffen-Ressourcen'!$A$2:$AI$54,26,0)</f>
        <v>6</v>
      </c>
      <c r="AA22" s="50">
        <f>VLOOKUP(B22,'Feuerwaffen-Ressourcen'!$A$2:$AI$54,27,0)+VLOOKUP(D22,'Feuerwaffen-Ressourcen'!$A$2:$AI$54,27,0)+VLOOKUP(F22,'Feuerwaffen-Ressourcen'!$A$2:$AI$54,27,0)+VLOOKUP(I22,'Feuerwaffen-Ressourcen'!$A$2:$AI$54,27,0)</f>
        <v>-2</v>
      </c>
      <c r="AB22" s="50">
        <f>VLOOKUP(B22,'Feuerwaffen-Ressourcen'!$A$2:$AI$54,28,0)+VLOOKUP(C22,'Feuerwaffen-Ressourcen'!$A$2:$AI$54,28,0)+VLOOKUP(D22,'Feuerwaffen-Ressourcen'!$A$2:$AI$54,28,0)+VLOOKUP(E22,'Feuerwaffen-Ressourcen'!$A$2:$AI$54,28,0)+VLOOKUP(F22,'Feuerwaffen-Ressourcen'!$A$2:$AI$54,28,0)+VLOOKUP(G22,'Feuerwaffen-Ressourcen'!$A$2:$AI$54,28,0)+VLOOKUP(I22,'Feuerwaffen-Ressourcen'!$A$2:$AI$54,28,0)+VLOOKUP(J22,'Feuerwaffen-Ressourcen'!$A$2:$AI$54,28,0)</f>
        <v>70</v>
      </c>
      <c r="AC22" s="53">
        <f>VLOOKUP(I22,'Feuerwaffen-Ressourcen'!$A$2:$AI$54,31,0)*AD22+AE22</f>
        <v>192.55</v>
      </c>
      <c r="AD22" s="54">
        <f>VLOOKUP(B22,'Feuerwaffen-Ressourcen'!$A$2:$AI$54,30,0)+VLOOKUP(C22,'Feuerwaffen-Ressourcen'!$A$2:$AI$54,30,0)+VLOOKUP(D22,'Feuerwaffen-Ressourcen'!$A$2:$AI$54,30,0)+VLOOKUP(F22,'Feuerwaffen-Ressourcen'!$A$2:$AI$54,30,0)+VLOOKUP(G22,'Feuerwaffen-Ressourcen'!$A$2:$AI$54,30,0)+VLOOKUP(I22,'Feuerwaffen-Ressourcen'!$A$2:$AI$54,30,0)+VLOOKUP(J22,'Feuerwaffen-Ressourcen'!$A$2:$AI$54,30,0)</f>
        <v>10.5</v>
      </c>
      <c r="AE22" s="53">
        <f>(VLOOKUP(C22,'Feuerwaffen-Ressourcen'!$A$2:$AI$54,32,0)+VLOOKUP(I22,'Feuerwaffen-Ressourcen'!$A$2:$AI$54,32,0))*(VLOOKUP(B22,'Feuerwaffen-Ressourcen'!$A$2:$AI$54,34,0)+VLOOKUP(C22,'Feuerwaffen-Ressourcen'!$A$2:$AI$54,34,0)+VLOOKUP(D22,'Feuerwaffen-Ressourcen'!$A$2:$AI$54,34,0)+VLOOKUP(E22,'Feuerwaffen-Ressourcen'!$A$2:$AI$54,34,0)+VLOOKUP(G22,'Feuerwaffen-Ressourcen'!$A$2:$AI$54,34,0))+VLOOKUP(B22,'Feuerwaffen-Ressourcen'!$A$2:$AI$54,35,0)+VLOOKUP(C22,'Feuerwaffen-Ressourcen'!$A$2:$AI$54,35,0)+VLOOKUP(D22,'Feuerwaffen-Ressourcen'!$A$2:$AI$54,35,0)</f>
        <v>150.55000000000001</v>
      </c>
      <c r="AF22" s="55">
        <f>VLOOKUP(AB22,'Feuerwaffen-Ressourcen'!$AO$3:$AP$9,2,1)</f>
        <v>6</v>
      </c>
      <c r="AG22" s="55">
        <v>0</v>
      </c>
      <c r="AH22" s="28" t="s">
        <v>1415</v>
      </c>
      <c r="AI22" s="28" t="s">
        <v>8926</v>
      </c>
      <c r="AJ22" s="56">
        <v>1.5</v>
      </c>
      <c r="AK22" s="56" t="s">
        <v>5497</v>
      </c>
      <c r="AL22" s="56" t="s">
        <v>7946</v>
      </c>
      <c r="AM22" s="56">
        <v>3</v>
      </c>
      <c r="AN22" s="56">
        <v>5</v>
      </c>
      <c r="AO22" s="56">
        <v>-2</v>
      </c>
      <c r="AP22" s="56">
        <v>-7</v>
      </c>
      <c r="AQ22" s="56">
        <v>7</v>
      </c>
      <c r="AR22" s="56" t="s">
        <v>7946</v>
      </c>
      <c r="AS22" s="56">
        <v>2</v>
      </c>
      <c r="AT22" s="56">
        <v>10</v>
      </c>
    </row>
    <row r="23" spans="1:46">
      <c r="A23" s="49" t="s">
        <v>8843</v>
      </c>
      <c r="B23" s="49" t="s">
        <v>1176</v>
      </c>
      <c r="C23" s="49" t="s">
        <v>8824</v>
      </c>
      <c r="D23" s="49" t="s">
        <v>8925</v>
      </c>
      <c r="E23" s="49" t="s">
        <v>8258</v>
      </c>
      <c r="F23" s="49" t="s">
        <v>8939</v>
      </c>
      <c r="G23" s="49" t="s">
        <v>8932</v>
      </c>
      <c r="H23" s="49" t="s">
        <v>8271</v>
      </c>
      <c r="I23" s="49" t="s">
        <v>7341</v>
      </c>
      <c r="J23" s="49" t="s">
        <v>7320</v>
      </c>
      <c r="K23" s="51">
        <f>VLOOKUP(B23,'Feuerwaffen-Ressourcen'!$A$2:$AI$54,11,0)+VLOOKUP(C23,'Feuerwaffen-Ressourcen'!$A$2:$AI$54,11,0)+VLOOKUP(D23,'Feuerwaffen-Ressourcen'!$A$2:$AI$54,11,0)+VLOOKUP(E23,'Feuerwaffen-Ressourcen'!$A$2:$AI$54,11,0)+VLOOKUP(G23,'Feuerwaffen-Ressourcen'!$A$2:$AI$54,11,0)</f>
        <v>2</v>
      </c>
      <c r="L23" s="50">
        <f>VLOOKUP(B23,'Feuerwaffen-Ressourcen'!$A$2:$AI$54,12,0)+VLOOKUP(C23,'Feuerwaffen-Ressourcen'!$A$2:$AI$54,12,0)+VLOOKUP(D23,'Feuerwaffen-Ressourcen'!$A$2:$AI$54,12,0)+VLOOKUP(J23,'Feuerwaffen-Ressourcen'!$A$2:$AI$54,12,0)</f>
        <v>7</v>
      </c>
      <c r="M23" s="50" t="str">
        <f>VLOOKUP(VLOOKUP(B23,'Feuerwaffen-Ressourcen'!$A$2:$AI$54,13,0)+VLOOKUP(C23,'Feuerwaffen-Ressourcen'!$A$2:$AI$54,13,0)+VLOOKUP(D23,'Feuerwaffen-Ressourcen'!$A$2:$AI$54,13,0),'Feuerwaffen-Ressourcen'!$AJ$3:$AK$12,2,0)</f>
        <v>W8</v>
      </c>
      <c r="N23" s="50" t="str">
        <f>VLOOKUP(VLOOKUP(B23,'Feuerwaffen-Ressourcen'!$A$2:$AI$54,14,0)+VLOOKUP(C23,'Feuerwaffen-Ressourcen'!$A$2:$AI$54,14,0)+VLOOKUP(D23,'Feuerwaffen-Ressourcen'!$A$2:$AI$54,14,0),'Feuerwaffen-Ressourcen'!$AJ$3:$AK$12,2,0)</f>
        <v>W10</v>
      </c>
      <c r="O23" s="50">
        <f>VLOOKUP(B23,'Feuerwaffen-Ressourcen'!$A$2:$AI$54,15,0)+VLOOKUP(C23,'Feuerwaffen-Ressourcen'!$A$2:$AI$54,15,0)+VLOOKUP(D23,'Feuerwaffen-Ressourcen'!$A$2:$AI$54,15,0)</f>
        <v>1</v>
      </c>
      <c r="P23" s="50">
        <f>VLOOKUP(B23,'Feuerwaffen-Ressourcen'!$A$2:$AI$54,16,0)+VLOOKUP(C23,'Feuerwaffen-Ressourcen'!$A$2:$AI$54,16,0)+VLOOKUP(D23,'Feuerwaffen-Ressourcen'!$A$2:$AI$54,16,0)+VLOOKUP(E23,'Feuerwaffen-Ressourcen'!$A$2:$AI$54,16,0)</f>
        <v>6</v>
      </c>
      <c r="Q23" s="52">
        <f>VLOOKUP(B23,'Feuerwaffen-Ressourcen'!$A$2:$AI$54,17,0)+VLOOKUP(C23,'Feuerwaffen-Ressourcen'!$A$2:$AI$54,17,0)+VLOOKUP(D23,'Feuerwaffen-Ressourcen'!$A$2:$AI$54,17,0)+VLOOKUP(E23,'Feuerwaffen-Ressourcen'!$A$2:$AI$54,17,0)</f>
        <v>14</v>
      </c>
      <c r="R23" s="50">
        <f>VLOOKUP(B23,'Feuerwaffen-Ressourcen'!$A$2:$AI$54,18,0)+VLOOKUP(C23,'Feuerwaffen-Ressourcen'!$A$2:$AI$54,18,0)+VLOOKUP(D23,'Feuerwaffen-Ressourcen'!$A$2:$AI$54,18,0)+VLOOKUP(F23,'Feuerwaffen-Ressourcen'!$A$2:$AI$54,18,0)+VLOOKUP(G23,'Feuerwaffen-Ressourcen'!$A$2:$AI$54,18,0)+VLOOKUP(I23,'Feuerwaffen-Ressourcen'!$A$2:$AI$54,18,0)+VLOOKUP(J23,'Feuerwaffen-Ressourcen'!$A$2:$AI$54,18,0)</f>
        <v>12</v>
      </c>
      <c r="S23" s="50">
        <f>VLOOKUP(B23,'Feuerwaffen-Ressourcen'!$A$2:$AI$54,19,0)+VLOOKUP(C23,'Feuerwaffen-Ressourcen'!$A$2:$AI$54,19,0)+VLOOKUP(D23,'Feuerwaffen-Ressourcen'!$A$2:$AI$54,19,0)+VLOOKUP(F23,'Feuerwaffen-Ressourcen'!$A$2:$AI$54,19,0)+VLOOKUP(G23,'Feuerwaffen-Ressourcen'!$A$2:$AI$54,19,0)+VLOOKUP(I23,'Feuerwaffen-Ressourcen'!$A$2:$AI$54,19,0)+VLOOKUP(J23,'Feuerwaffen-Ressourcen'!$A$2:$AI$54,19,0)</f>
        <v>8</v>
      </c>
      <c r="T23" s="50">
        <f>VLOOKUP(B23,'Feuerwaffen-Ressourcen'!$A$2:$AI$54,20,0)+VLOOKUP(C23,'Feuerwaffen-Ressourcen'!$A$2:$AI$54,20,0)+VLOOKUP(D23,'Feuerwaffen-Ressourcen'!$A$2:$AI$54,20,0)+VLOOKUP(F23,'Feuerwaffen-Ressourcen'!$A$2:$AI$54,20,0)+VLOOKUP(G23,'Feuerwaffen-Ressourcen'!$A$2:$AI$54,20,0)+VLOOKUP(I23,'Feuerwaffen-Ressourcen'!$A$2:$AI$54,20,0)+VLOOKUP(J23,'Feuerwaffen-Ressourcen'!$A$2:$AI$54,20,0)</f>
        <v>-3</v>
      </c>
      <c r="U23" s="50">
        <f>VLOOKUP(B23,'Feuerwaffen-Ressourcen'!$A$2:$AI$54,21,0)+VLOOKUP(C23,'Feuerwaffen-Ressourcen'!$A$2:$AI$54,21,0)+VLOOKUP(D23,'Feuerwaffen-Ressourcen'!$A$2:$AI$54,21,0)+VLOOKUP(F23,'Feuerwaffen-Ressourcen'!$A$2:$AI$54,21,0)+VLOOKUP(G23,'Feuerwaffen-Ressourcen'!$A$2:$AI$54,21,0)+VLOOKUP(I23,'Feuerwaffen-Ressourcen'!$A$2:$AI$54,21,0)+VLOOKUP(J23,'Feuerwaffen-Ressourcen'!$A$2:$AI$54,21,0)</f>
        <v>-16</v>
      </c>
      <c r="V23" s="50">
        <f>VLOOKUP(B23,'Feuerwaffen-Ressourcen'!$A$2:$AI$54,22,0)+VLOOKUP(C23,'Feuerwaffen-Ressourcen'!$A$2:$AI$54,22,0)+VLOOKUP(D23,'Feuerwaffen-Ressourcen'!$A$2:$AI$54,22,0)+VLOOKUP(F23,'Feuerwaffen-Ressourcen'!$A$2:$AI$54,22,0)+VLOOKUP(G23,'Feuerwaffen-Ressourcen'!$A$2:$AI$54,22,0)+VLOOKUP(I23,'Feuerwaffen-Ressourcen'!$A$2:$AI$54,22,0)+VLOOKUP(J23,'Feuerwaffen-Ressourcen'!$A$2:$AI$54,22,0)</f>
        <v>-31</v>
      </c>
      <c r="W23" s="50">
        <f>VLOOKUP(B23,'Feuerwaffen-Ressourcen'!$A$2:$AI$54,23,0)+VLOOKUP(C23,'Feuerwaffen-Ressourcen'!$A$2:$AI$54,23,0)+VLOOKUP(D23,'Feuerwaffen-Ressourcen'!$A$2:$AI$54,23,0)+VLOOKUP(F23,'Feuerwaffen-Ressourcen'!$A$2:$AI$54,23,0)+VLOOKUP(G23,'Feuerwaffen-Ressourcen'!$A$2:$AI$54,23,0)+VLOOKUP(I23,'Feuerwaffen-Ressourcen'!$A$2:$AI$54,23,0)+VLOOKUP(J23,'Feuerwaffen-Ressourcen'!$A$2:$AI$54,23,0)</f>
        <v>-47</v>
      </c>
      <c r="X23" s="50">
        <f>VLOOKUP(B23,'Feuerwaffen-Ressourcen'!$A$2:$AI$54,24,0)+VLOOKUP(C23,'Feuerwaffen-Ressourcen'!$A$2:$AI$54,24,0)+VLOOKUP(D23,'Feuerwaffen-Ressourcen'!$A$2:$AI$54,24,0)+VLOOKUP(G23,'Feuerwaffen-Ressourcen'!$A$2:$AI$54,24,0)</f>
        <v>90</v>
      </c>
      <c r="Y23" s="50">
        <f>VLOOKUP(D23,'Feuerwaffen-Ressourcen'!$A$2:$AI$54,25,0)+VLOOKUP(E23,'Feuerwaffen-Ressourcen'!$A$2:$AI$54,25,0)+VLOOKUP(F23,'Feuerwaffen-Ressourcen'!$A$2:$AI$54,25,0)</f>
        <v>33</v>
      </c>
      <c r="Z23" s="50">
        <f>VLOOKUP(E23,'Feuerwaffen-Ressourcen'!$A$2:$AI$54,26,0)</f>
        <v>3</v>
      </c>
      <c r="AA23" s="50">
        <f>VLOOKUP(B23,'Feuerwaffen-Ressourcen'!$A$2:$AI$54,27,0)+VLOOKUP(D23,'Feuerwaffen-Ressourcen'!$A$2:$AI$54,27,0)+VLOOKUP(F23,'Feuerwaffen-Ressourcen'!$A$2:$AI$54,27,0)+VLOOKUP(I23,'Feuerwaffen-Ressourcen'!$A$2:$AI$54,27,0)</f>
        <v>1</v>
      </c>
      <c r="AB23" s="50">
        <f>VLOOKUP(B23,'Feuerwaffen-Ressourcen'!$A$2:$AI$54,28,0)+VLOOKUP(C23,'Feuerwaffen-Ressourcen'!$A$2:$AI$54,28,0)+VLOOKUP(D23,'Feuerwaffen-Ressourcen'!$A$2:$AI$54,28,0)+VLOOKUP(E23,'Feuerwaffen-Ressourcen'!$A$2:$AI$54,28,0)+VLOOKUP(F23,'Feuerwaffen-Ressourcen'!$A$2:$AI$54,28,0)+VLOOKUP(G23,'Feuerwaffen-Ressourcen'!$A$2:$AI$54,28,0)+VLOOKUP(I23,'Feuerwaffen-Ressourcen'!$A$2:$AI$54,28,0)+VLOOKUP(J23,'Feuerwaffen-Ressourcen'!$A$2:$AI$54,28,0)</f>
        <v>65</v>
      </c>
      <c r="AC23" s="53">
        <f>VLOOKUP(I23,'Feuerwaffen-Ressourcen'!$A$2:$AI$54,31,0)*AD23+AE23</f>
        <v>246.55</v>
      </c>
      <c r="AD23" s="54">
        <f>VLOOKUP(B23,'Feuerwaffen-Ressourcen'!$A$2:$AI$54,30,0)+VLOOKUP(C23,'Feuerwaffen-Ressourcen'!$A$2:$AI$54,30,0)+VLOOKUP(D23,'Feuerwaffen-Ressourcen'!$A$2:$AI$54,30,0)+VLOOKUP(F23,'Feuerwaffen-Ressourcen'!$A$2:$AI$54,30,0)+VLOOKUP(G23,'Feuerwaffen-Ressourcen'!$A$2:$AI$54,30,0)+VLOOKUP(I23,'Feuerwaffen-Ressourcen'!$A$2:$AI$54,30,0)+VLOOKUP(J23,'Feuerwaffen-Ressourcen'!$A$2:$AI$54,30,0)</f>
        <v>18</v>
      </c>
      <c r="AE23" s="53">
        <f>(VLOOKUP(C23,'Feuerwaffen-Ressourcen'!$A$2:$AI$54,32,0)+VLOOKUP(I23,'Feuerwaffen-Ressourcen'!$A$2:$AI$54,32,0))*(VLOOKUP(B23,'Feuerwaffen-Ressourcen'!$A$2:$AI$54,34,0)+VLOOKUP(C23,'Feuerwaffen-Ressourcen'!$A$2:$AI$54,34,0)+VLOOKUP(D23,'Feuerwaffen-Ressourcen'!$A$2:$AI$54,34,0)+VLOOKUP(E23,'Feuerwaffen-Ressourcen'!$A$2:$AI$54,34,0)+VLOOKUP(G23,'Feuerwaffen-Ressourcen'!$A$2:$AI$54,34,0))+VLOOKUP(B23,'Feuerwaffen-Ressourcen'!$A$2:$AI$54,35,0)+VLOOKUP(C23,'Feuerwaffen-Ressourcen'!$A$2:$AI$54,35,0)+VLOOKUP(D23,'Feuerwaffen-Ressourcen'!$A$2:$AI$54,35,0)</f>
        <v>174.55</v>
      </c>
      <c r="AF23" s="55">
        <f>VLOOKUP(AB23,'Feuerwaffen-Ressourcen'!$AO$3:$AP$9,2,1)</f>
        <v>7</v>
      </c>
      <c r="AG23" s="55">
        <v>0</v>
      </c>
      <c r="AH23" s="28" t="s">
        <v>1415</v>
      </c>
      <c r="AI23" s="28" t="s">
        <v>8926</v>
      </c>
      <c r="AJ23" s="56">
        <v>1.5</v>
      </c>
      <c r="AK23" s="56" t="s">
        <v>5497</v>
      </c>
      <c r="AL23" s="56" t="s">
        <v>7946</v>
      </c>
      <c r="AM23" s="56">
        <v>3</v>
      </c>
      <c r="AN23" s="56">
        <v>5</v>
      </c>
      <c r="AO23" s="56">
        <v>-2</v>
      </c>
      <c r="AP23" s="56">
        <v>-7</v>
      </c>
      <c r="AQ23" s="56">
        <v>7</v>
      </c>
      <c r="AR23" s="56" t="s">
        <v>7946</v>
      </c>
      <c r="AS23" s="56">
        <v>2</v>
      </c>
      <c r="AT23" s="56">
        <v>10</v>
      </c>
    </row>
    <row r="24" spans="1:46">
      <c r="A24" s="49" t="s">
        <v>8844</v>
      </c>
      <c r="B24" s="49" t="s">
        <v>1176</v>
      </c>
      <c r="C24" s="49" t="s">
        <v>8824</v>
      </c>
      <c r="D24" s="49" t="s">
        <v>8925</v>
      </c>
      <c r="E24" s="49" t="s">
        <v>8829</v>
      </c>
      <c r="F24" s="49" t="s">
        <v>8931</v>
      </c>
      <c r="G24" s="49" t="s">
        <v>8932</v>
      </c>
      <c r="H24" s="49" t="s">
        <v>8830</v>
      </c>
      <c r="I24" s="49" t="s">
        <v>7341</v>
      </c>
      <c r="J24" s="49" t="s">
        <v>7320</v>
      </c>
      <c r="K24" s="51">
        <f>VLOOKUP(B24,'Feuerwaffen-Ressourcen'!$A$2:$AI$54,11,0)+VLOOKUP(C24,'Feuerwaffen-Ressourcen'!$A$2:$AI$54,11,0)+VLOOKUP(D24,'Feuerwaffen-Ressourcen'!$A$2:$AI$54,11,0)+VLOOKUP(E24,'Feuerwaffen-Ressourcen'!$A$2:$AI$54,11,0)+VLOOKUP(G24,'Feuerwaffen-Ressourcen'!$A$2:$AI$54,11,0)</f>
        <v>2.1</v>
      </c>
      <c r="L24" s="50">
        <f>VLOOKUP(B24,'Feuerwaffen-Ressourcen'!$A$2:$AI$54,12,0)+VLOOKUP(C24,'Feuerwaffen-Ressourcen'!$A$2:$AI$54,12,0)+VLOOKUP(D24,'Feuerwaffen-Ressourcen'!$A$2:$AI$54,12,0)+VLOOKUP(J24,'Feuerwaffen-Ressourcen'!$A$2:$AI$54,12,0)</f>
        <v>7</v>
      </c>
      <c r="M24" s="50" t="str">
        <f>VLOOKUP(VLOOKUP(B24,'Feuerwaffen-Ressourcen'!$A$2:$AI$54,13,0)+VLOOKUP(C24,'Feuerwaffen-Ressourcen'!$A$2:$AI$54,13,0)+VLOOKUP(D24,'Feuerwaffen-Ressourcen'!$A$2:$AI$54,13,0),'Feuerwaffen-Ressourcen'!$AJ$3:$AK$12,2,0)</f>
        <v>W8</v>
      </c>
      <c r="N24" s="50" t="str">
        <f>VLOOKUP(VLOOKUP(B24,'Feuerwaffen-Ressourcen'!$A$2:$AI$54,14,0)+VLOOKUP(C24,'Feuerwaffen-Ressourcen'!$A$2:$AI$54,14,0)+VLOOKUP(D24,'Feuerwaffen-Ressourcen'!$A$2:$AI$54,14,0),'Feuerwaffen-Ressourcen'!$AJ$3:$AK$12,2,0)</f>
        <v>W10</v>
      </c>
      <c r="O24" s="50">
        <f>VLOOKUP(B24,'Feuerwaffen-Ressourcen'!$A$2:$AI$54,15,0)+VLOOKUP(C24,'Feuerwaffen-Ressourcen'!$A$2:$AI$54,15,0)+VLOOKUP(D24,'Feuerwaffen-Ressourcen'!$A$2:$AI$54,15,0)</f>
        <v>1</v>
      </c>
      <c r="P24" s="50">
        <f>VLOOKUP(B24,'Feuerwaffen-Ressourcen'!$A$2:$AI$54,16,0)+VLOOKUP(C24,'Feuerwaffen-Ressourcen'!$A$2:$AI$54,16,0)+VLOOKUP(D24,'Feuerwaffen-Ressourcen'!$A$2:$AI$54,16,0)+VLOOKUP(E24,'Feuerwaffen-Ressourcen'!$A$2:$AI$54,16,0)</f>
        <v>12</v>
      </c>
      <c r="Q24" s="52">
        <f>VLOOKUP(B24,'Feuerwaffen-Ressourcen'!$A$2:$AI$54,17,0)+VLOOKUP(C24,'Feuerwaffen-Ressourcen'!$A$2:$AI$54,17,0)+VLOOKUP(D24,'Feuerwaffen-Ressourcen'!$A$2:$AI$54,17,0)+VLOOKUP(E24,'Feuerwaffen-Ressourcen'!$A$2:$AI$54,17,0)</f>
        <v>8</v>
      </c>
      <c r="R24" s="50">
        <f>VLOOKUP(B24,'Feuerwaffen-Ressourcen'!$A$2:$AI$54,18,0)+VLOOKUP(C24,'Feuerwaffen-Ressourcen'!$A$2:$AI$54,18,0)+VLOOKUP(D24,'Feuerwaffen-Ressourcen'!$A$2:$AI$54,18,0)+VLOOKUP(F24,'Feuerwaffen-Ressourcen'!$A$2:$AI$54,18,0)+VLOOKUP(G24,'Feuerwaffen-Ressourcen'!$A$2:$AI$54,18,0)+VLOOKUP(I24,'Feuerwaffen-Ressourcen'!$A$2:$AI$54,18,0)+VLOOKUP(J24,'Feuerwaffen-Ressourcen'!$A$2:$AI$54,18,0)</f>
        <v>12</v>
      </c>
      <c r="S24" s="50">
        <f>VLOOKUP(B24,'Feuerwaffen-Ressourcen'!$A$2:$AI$54,19,0)+VLOOKUP(C24,'Feuerwaffen-Ressourcen'!$A$2:$AI$54,19,0)+VLOOKUP(D24,'Feuerwaffen-Ressourcen'!$A$2:$AI$54,19,0)+VLOOKUP(F24,'Feuerwaffen-Ressourcen'!$A$2:$AI$54,19,0)+VLOOKUP(G24,'Feuerwaffen-Ressourcen'!$A$2:$AI$54,19,0)+VLOOKUP(I24,'Feuerwaffen-Ressourcen'!$A$2:$AI$54,19,0)+VLOOKUP(J24,'Feuerwaffen-Ressourcen'!$A$2:$AI$54,19,0)</f>
        <v>8</v>
      </c>
      <c r="T24" s="50">
        <f>VLOOKUP(B24,'Feuerwaffen-Ressourcen'!$A$2:$AI$54,20,0)+VLOOKUP(C24,'Feuerwaffen-Ressourcen'!$A$2:$AI$54,20,0)+VLOOKUP(D24,'Feuerwaffen-Ressourcen'!$A$2:$AI$54,20,0)+VLOOKUP(F24,'Feuerwaffen-Ressourcen'!$A$2:$AI$54,20,0)+VLOOKUP(G24,'Feuerwaffen-Ressourcen'!$A$2:$AI$54,20,0)+VLOOKUP(I24,'Feuerwaffen-Ressourcen'!$A$2:$AI$54,20,0)+VLOOKUP(J24,'Feuerwaffen-Ressourcen'!$A$2:$AI$54,20,0)</f>
        <v>-3</v>
      </c>
      <c r="U24" s="50">
        <f>VLOOKUP(B24,'Feuerwaffen-Ressourcen'!$A$2:$AI$54,21,0)+VLOOKUP(C24,'Feuerwaffen-Ressourcen'!$A$2:$AI$54,21,0)+VLOOKUP(D24,'Feuerwaffen-Ressourcen'!$A$2:$AI$54,21,0)+VLOOKUP(F24,'Feuerwaffen-Ressourcen'!$A$2:$AI$54,21,0)+VLOOKUP(G24,'Feuerwaffen-Ressourcen'!$A$2:$AI$54,21,0)+VLOOKUP(I24,'Feuerwaffen-Ressourcen'!$A$2:$AI$54,21,0)+VLOOKUP(J24,'Feuerwaffen-Ressourcen'!$A$2:$AI$54,21,0)</f>
        <v>-16</v>
      </c>
      <c r="V24" s="50">
        <f>VLOOKUP(B24,'Feuerwaffen-Ressourcen'!$A$2:$AI$54,22,0)+VLOOKUP(C24,'Feuerwaffen-Ressourcen'!$A$2:$AI$54,22,0)+VLOOKUP(D24,'Feuerwaffen-Ressourcen'!$A$2:$AI$54,22,0)+VLOOKUP(F24,'Feuerwaffen-Ressourcen'!$A$2:$AI$54,22,0)+VLOOKUP(G24,'Feuerwaffen-Ressourcen'!$A$2:$AI$54,22,0)+VLOOKUP(I24,'Feuerwaffen-Ressourcen'!$A$2:$AI$54,22,0)+VLOOKUP(J24,'Feuerwaffen-Ressourcen'!$A$2:$AI$54,22,0)</f>
        <v>-31</v>
      </c>
      <c r="W24" s="50">
        <f>VLOOKUP(B24,'Feuerwaffen-Ressourcen'!$A$2:$AI$54,23,0)+VLOOKUP(C24,'Feuerwaffen-Ressourcen'!$A$2:$AI$54,23,0)+VLOOKUP(D24,'Feuerwaffen-Ressourcen'!$A$2:$AI$54,23,0)+VLOOKUP(F24,'Feuerwaffen-Ressourcen'!$A$2:$AI$54,23,0)+VLOOKUP(G24,'Feuerwaffen-Ressourcen'!$A$2:$AI$54,23,0)+VLOOKUP(I24,'Feuerwaffen-Ressourcen'!$A$2:$AI$54,23,0)+VLOOKUP(J24,'Feuerwaffen-Ressourcen'!$A$2:$AI$54,23,0)</f>
        <v>-47</v>
      </c>
      <c r="X24" s="50">
        <f>VLOOKUP(B24,'Feuerwaffen-Ressourcen'!$A$2:$AI$54,24,0)+VLOOKUP(C24,'Feuerwaffen-Ressourcen'!$A$2:$AI$54,24,0)+VLOOKUP(D24,'Feuerwaffen-Ressourcen'!$A$2:$AI$54,24,0)+VLOOKUP(G24,'Feuerwaffen-Ressourcen'!$A$2:$AI$54,24,0)</f>
        <v>90</v>
      </c>
      <c r="Y24" s="50">
        <f>VLOOKUP(D24,'Feuerwaffen-Ressourcen'!$A$2:$AI$54,25,0)+VLOOKUP(E24,'Feuerwaffen-Ressourcen'!$A$2:$AI$54,25,0)+VLOOKUP(F24,'Feuerwaffen-Ressourcen'!$A$2:$AI$54,25,0)</f>
        <v>9</v>
      </c>
      <c r="Z24" s="50">
        <f>VLOOKUP(E24,'Feuerwaffen-Ressourcen'!$A$2:$AI$54,26,0)</f>
        <v>6</v>
      </c>
      <c r="AA24" s="50">
        <f>VLOOKUP(B24,'Feuerwaffen-Ressourcen'!$A$2:$AI$54,27,0)+VLOOKUP(D24,'Feuerwaffen-Ressourcen'!$A$2:$AI$54,27,0)+VLOOKUP(F24,'Feuerwaffen-Ressourcen'!$A$2:$AI$54,27,0)+VLOOKUP(I24,'Feuerwaffen-Ressourcen'!$A$2:$AI$54,27,0)</f>
        <v>-2</v>
      </c>
      <c r="AB24" s="50">
        <f>VLOOKUP(B24,'Feuerwaffen-Ressourcen'!$A$2:$AI$54,28,0)+VLOOKUP(C24,'Feuerwaffen-Ressourcen'!$A$2:$AI$54,28,0)+VLOOKUP(D24,'Feuerwaffen-Ressourcen'!$A$2:$AI$54,28,0)+VLOOKUP(E24,'Feuerwaffen-Ressourcen'!$A$2:$AI$54,28,0)+VLOOKUP(F24,'Feuerwaffen-Ressourcen'!$A$2:$AI$54,28,0)+VLOOKUP(G24,'Feuerwaffen-Ressourcen'!$A$2:$AI$54,28,0)+VLOOKUP(I24,'Feuerwaffen-Ressourcen'!$A$2:$AI$54,28,0)+VLOOKUP(J24,'Feuerwaffen-Ressourcen'!$A$2:$AI$54,28,0)</f>
        <v>55</v>
      </c>
      <c r="AC24" s="53">
        <f>VLOOKUP(I24,'Feuerwaffen-Ressourcen'!$A$2:$AI$54,31,0)*AD24+AE24</f>
        <v>230.55</v>
      </c>
      <c r="AD24" s="54">
        <f>VLOOKUP(B24,'Feuerwaffen-Ressourcen'!$A$2:$AI$54,30,0)+VLOOKUP(C24,'Feuerwaffen-Ressourcen'!$A$2:$AI$54,30,0)+VLOOKUP(D24,'Feuerwaffen-Ressourcen'!$A$2:$AI$54,30,0)+VLOOKUP(F24,'Feuerwaffen-Ressourcen'!$A$2:$AI$54,30,0)+VLOOKUP(G24,'Feuerwaffen-Ressourcen'!$A$2:$AI$54,30,0)+VLOOKUP(I24,'Feuerwaffen-Ressourcen'!$A$2:$AI$54,30,0)+VLOOKUP(J24,'Feuerwaffen-Ressourcen'!$A$2:$AI$54,30,0)</f>
        <v>11</v>
      </c>
      <c r="AE24" s="53">
        <f>(VLOOKUP(C24,'Feuerwaffen-Ressourcen'!$A$2:$AI$54,32,0)+VLOOKUP(I24,'Feuerwaffen-Ressourcen'!$A$2:$AI$54,32,0))*(VLOOKUP(B24,'Feuerwaffen-Ressourcen'!$A$2:$AI$54,34,0)+VLOOKUP(C24,'Feuerwaffen-Ressourcen'!$A$2:$AI$54,34,0)+VLOOKUP(D24,'Feuerwaffen-Ressourcen'!$A$2:$AI$54,34,0)+VLOOKUP(E24,'Feuerwaffen-Ressourcen'!$A$2:$AI$54,34,0)+VLOOKUP(G24,'Feuerwaffen-Ressourcen'!$A$2:$AI$54,34,0))+VLOOKUP(B24,'Feuerwaffen-Ressourcen'!$A$2:$AI$54,35,0)+VLOOKUP(C24,'Feuerwaffen-Ressourcen'!$A$2:$AI$54,35,0)+VLOOKUP(D24,'Feuerwaffen-Ressourcen'!$A$2:$AI$54,35,0)</f>
        <v>186.55</v>
      </c>
      <c r="AF24" s="55">
        <f>VLOOKUP(AB24,'Feuerwaffen-Ressourcen'!$AO$3:$AP$9,2,1)</f>
        <v>7</v>
      </c>
      <c r="AG24" s="55">
        <v>0</v>
      </c>
      <c r="AH24" s="28" t="s">
        <v>1415</v>
      </c>
      <c r="AI24" s="28" t="s">
        <v>8926</v>
      </c>
      <c r="AJ24" s="56">
        <v>1.5</v>
      </c>
      <c r="AK24" s="56" t="s">
        <v>5497</v>
      </c>
      <c r="AL24" s="56" t="s">
        <v>7946</v>
      </c>
      <c r="AM24" s="56">
        <v>3</v>
      </c>
      <c r="AN24" s="56">
        <v>5</v>
      </c>
      <c r="AO24" s="56">
        <v>-2</v>
      </c>
      <c r="AP24" s="56">
        <v>-7</v>
      </c>
      <c r="AQ24" s="56">
        <v>7</v>
      </c>
      <c r="AR24" s="56" t="s">
        <v>7946</v>
      </c>
      <c r="AS24" s="56">
        <v>2</v>
      </c>
      <c r="AT24" s="56">
        <v>10</v>
      </c>
    </row>
    <row r="25" spans="1:46">
      <c r="A25" s="49" t="s">
        <v>8845</v>
      </c>
      <c r="B25" s="49" t="s">
        <v>1176</v>
      </c>
      <c r="C25" s="49" t="s">
        <v>8824</v>
      </c>
      <c r="D25" s="49" t="s">
        <v>8927</v>
      </c>
      <c r="E25" s="49" t="s">
        <v>8258</v>
      </c>
      <c r="F25" s="49" t="s">
        <v>8928</v>
      </c>
      <c r="G25" s="49" t="s">
        <v>8923</v>
      </c>
      <c r="H25" s="49" t="s">
        <v>8271</v>
      </c>
      <c r="I25" s="49" t="s">
        <v>7341</v>
      </c>
      <c r="J25" s="49" t="s">
        <v>7320</v>
      </c>
      <c r="K25" s="51">
        <f>VLOOKUP(B25,'Feuerwaffen-Ressourcen'!$A$2:$AI$54,11,0)+VLOOKUP(C25,'Feuerwaffen-Ressourcen'!$A$2:$AI$54,11,0)+VLOOKUP(D25,'Feuerwaffen-Ressourcen'!$A$2:$AI$54,11,0)+VLOOKUP(E25,'Feuerwaffen-Ressourcen'!$A$2:$AI$54,11,0)+VLOOKUP(G25,'Feuerwaffen-Ressourcen'!$A$2:$AI$54,11,0)</f>
        <v>1.55</v>
      </c>
      <c r="L25" s="50">
        <f>VLOOKUP(B25,'Feuerwaffen-Ressourcen'!$A$2:$AI$54,12,0)+VLOOKUP(C25,'Feuerwaffen-Ressourcen'!$A$2:$AI$54,12,0)+VLOOKUP(D25,'Feuerwaffen-Ressourcen'!$A$2:$AI$54,12,0)+VLOOKUP(J25,'Feuerwaffen-Ressourcen'!$A$2:$AI$54,12,0)</f>
        <v>7</v>
      </c>
      <c r="M25" s="50" t="str">
        <f>VLOOKUP(VLOOKUP(B25,'Feuerwaffen-Ressourcen'!$A$2:$AI$54,13,0)+VLOOKUP(C25,'Feuerwaffen-Ressourcen'!$A$2:$AI$54,13,0)+VLOOKUP(D25,'Feuerwaffen-Ressourcen'!$A$2:$AI$54,13,0),'Feuerwaffen-Ressourcen'!$AJ$3:$AK$12,2,0)</f>
        <v>W8</v>
      </c>
      <c r="N25" s="50" t="str">
        <f>VLOOKUP(VLOOKUP(B25,'Feuerwaffen-Ressourcen'!$A$2:$AI$54,14,0)+VLOOKUP(C25,'Feuerwaffen-Ressourcen'!$A$2:$AI$54,14,0)+VLOOKUP(D25,'Feuerwaffen-Ressourcen'!$A$2:$AI$54,14,0),'Feuerwaffen-Ressourcen'!$AJ$3:$AK$12,2,0)</f>
        <v>W8</v>
      </c>
      <c r="O25" s="50">
        <f>VLOOKUP(B25,'Feuerwaffen-Ressourcen'!$A$2:$AI$54,15,0)+VLOOKUP(C25,'Feuerwaffen-Ressourcen'!$A$2:$AI$54,15,0)+VLOOKUP(D25,'Feuerwaffen-Ressourcen'!$A$2:$AI$54,15,0)</f>
        <v>0</v>
      </c>
      <c r="P25" s="50">
        <f>VLOOKUP(B25,'Feuerwaffen-Ressourcen'!$A$2:$AI$54,16,0)+VLOOKUP(C25,'Feuerwaffen-Ressourcen'!$A$2:$AI$54,16,0)+VLOOKUP(D25,'Feuerwaffen-Ressourcen'!$A$2:$AI$54,16,0)+VLOOKUP(E25,'Feuerwaffen-Ressourcen'!$A$2:$AI$54,16,0)</f>
        <v>6</v>
      </c>
      <c r="Q25" s="52">
        <f>VLOOKUP(B25,'Feuerwaffen-Ressourcen'!$A$2:$AI$54,17,0)+VLOOKUP(C25,'Feuerwaffen-Ressourcen'!$A$2:$AI$54,17,0)+VLOOKUP(D25,'Feuerwaffen-Ressourcen'!$A$2:$AI$54,17,0)+VLOOKUP(E25,'Feuerwaffen-Ressourcen'!$A$2:$AI$54,17,0)</f>
        <v>14</v>
      </c>
      <c r="R25" s="50">
        <f>VLOOKUP(B25,'Feuerwaffen-Ressourcen'!$A$2:$AI$54,18,0)+VLOOKUP(C25,'Feuerwaffen-Ressourcen'!$A$2:$AI$54,18,0)+VLOOKUP(D25,'Feuerwaffen-Ressourcen'!$A$2:$AI$54,18,0)+VLOOKUP(F25,'Feuerwaffen-Ressourcen'!$A$2:$AI$54,18,0)+VLOOKUP(G25,'Feuerwaffen-Ressourcen'!$A$2:$AI$54,18,0)+VLOOKUP(I25,'Feuerwaffen-Ressourcen'!$A$2:$AI$54,18,0)+VLOOKUP(J25,'Feuerwaffen-Ressourcen'!$A$2:$AI$54,18,0)</f>
        <v>9</v>
      </c>
      <c r="S25" s="50">
        <f>VLOOKUP(B25,'Feuerwaffen-Ressourcen'!$A$2:$AI$54,19,0)+VLOOKUP(C25,'Feuerwaffen-Ressourcen'!$A$2:$AI$54,19,0)+VLOOKUP(D25,'Feuerwaffen-Ressourcen'!$A$2:$AI$54,19,0)+VLOOKUP(F25,'Feuerwaffen-Ressourcen'!$A$2:$AI$54,19,0)+VLOOKUP(G25,'Feuerwaffen-Ressourcen'!$A$2:$AI$54,19,0)+VLOOKUP(I25,'Feuerwaffen-Ressourcen'!$A$2:$AI$54,19,0)+VLOOKUP(J25,'Feuerwaffen-Ressourcen'!$A$2:$AI$54,19,0)</f>
        <v>1</v>
      </c>
      <c r="T25" s="50">
        <f>VLOOKUP(B25,'Feuerwaffen-Ressourcen'!$A$2:$AI$54,20,0)+VLOOKUP(C25,'Feuerwaffen-Ressourcen'!$A$2:$AI$54,20,0)+VLOOKUP(D25,'Feuerwaffen-Ressourcen'!$A$2:$AI$54,20,0)+VLOOKUP(F25,'Feuerwaffen-Ressourcen'!$A$2:$AI$54,20,0)+VLOOKUP(G25,'Feuerwaffen-Ressourcen'!$A$2:$AI$54,20,0)+VLOOKUP(I25,'Feuerwaffen-Ressourcen'!$A$2:$AI$54,20,0)+VLOOKUP(J25,'Feuerwaffen-Ressourcen'!$A$2:$AI$54,20,0)</f>
        <v>-9</v>
      </c>
      <c r="U25" s="50">
        <f>VLOOKUP(B25,'Feuerwaffen-Ressourcen'!$A$2:$AI$54,21,0)+VLOOKUP(C25,'Feuerwaffen-Ressourcen'!$A$2:$AI$54,21,0)+VLOOKUP(D25,'Feuerwaffen-Ressourcen'!$A$2:$AI$54,21,0)+VLOOKUP(F25,'Feuerwaffen-Ressourcen'!$A$2:$AI$54,21,0)+VLOOKUP(G25,'Feuerwaffen-Ressourcen'!$A$2:$AI$54,21,0)+VLOOKUP(I25,'Feuerwaffen-Ressourcen'!$A$2:$AI$54,21,0)+VLOOKUP(J25,'Feuerwaffen-Ressourcen'!$A$2:$AI$54,21,0)</f>
        <v>-21</v>
      </c>
      <c r="V25" s="50">
        <f>VLOOKUP(B25,'Feuerwaffen-Ressourcen'!$A$2:$AI$54,22,0)+VLOOKUP(C25,'Feuerwaffen-Ressourcen'!$A$2:$AI$54,22,0)+VLOOKUP(D25,'Feuerwaffen-Ressourcen'!$A$2:$AI$54,22,0)+VLOOKUP(F25,'Feuerwaffen-Ressourcen'!$A$2:$AI$54,22,0)+VLOOKUP(G25,'Feuerwaffen-Ressourcen'!$A$2:$AI$54,22,0)+VLOOKUP(I25,'Feuerwaffen-Ressourcen'!$A$2:$AI$54,22,0)+VLOOKUP(J25,'Feuerwaffen-Ressourcen'!$A$2:$AI$54,22,0)</f>
        <v>-35</v>
      </c>
      <c r="W25" s="50">
        <f>VLOOKUP(B25,'Feuerwaffen-Ressourcen'!$A$2:$AI$54,23,0)+VLOOKUP(C25,'Feuerwaffen-Ressourcen'!$A$2:$AI$54,23,0)+VLOOKUP(D25,'Feuerwaffen-Ressourcen'!$A$2:$AI$54,23,0)+VLOOKUP(F25,'Feuerwaffen-Ressourcen'!$A$2:$AI$54,23,0)+VLOOKUP(G25,'Feuerwaffen-Ressourcen'!$A$2:$AI$54,23,0)+VLOOKUP(I25,'Feuerwaffen-Ressourcen'!$A$2:$AI$54,23,0)+VLOOKUP(J25,'Feuerwaffen-Ressourcen'!$A$2:$AI$54,23,0)</f>
        <v>-51</v>
      </c>
      <c r="X25" s="50">
        <f>VLOOKUP(B25,'Feuerwaffen-Ressourcen'!$A$2:$AI$54,24,0)+VLOOKUP(C25,'Feuerwaffen-Ressourcen'!$A$2:$AI$54,24,0)+VLOOKUP(D25,'Feuerwaffen-Ressourcen'!$A$2:$AI$54,24,0)+VLOOKUP(G25,'Feuerwaffen-Ressourcen'!$A$2:$AI$54,24,0)</f>
        <v>50</v>
      </c>
      <c r="Y25" s="50">
        <f>VLOOKUP(D25,'Feuerwaffen-Ressourcen'!$A$2:$AI$54,25,0)+VLOOKUP(E25,'Feuerwaffen-Ressourcen'!$A$2:$AI$54,25,0)+VLOOKUP(F25,'Feuerwaffen-Ressourcen'!$A$2:$AI$54,25,0)</f>
        <v>30</v>
      </c>
      <c r="Z25" s="50">
        <f>VLOOKUP(E25,'Feuerwaffen-Ressourcen'!$A$2:$AI$54,26,0)</f>
        <v>3</v>
      </c>
      <c r="AA25" s="50">
        <f>VLOOKUP(B25,'Feuerwaffen-Ressourcen'!$A$2:$AI$54,27,0)+VLOOKUP(D25,'Feuerwaffen-Ressourcen'!$A$2:$AI$54,27,0)+VLOOKUP(F25,'Feuerwaffen-Ressourcen'!$A$2:$AI$54,27,0)+VLOOKUP(I25,'Feuerwaffen-Ressourcen'!$A$2:$AI$54,27,0)</f>
        <v>1</v>
      </c>
      <c r="AB25" s="50">
        <f>VLOOKUP(B25,'Feuerwaffen-Ressourcen'!$A$2:$AI$54,28,0)+VLOOKUP(C25,'Feuerwaffen-Ressourcen'!$A$2:$AI$54,28,0)+VLOOKUP(D25,'Feuerwaffen-Ressourcen'!$A$2:$AI$54,28,0)+VLOOKUP(E25,'Feuerwaffen-Ressourcen'!$A$2:$AI$54,28,0)+VLOOKUP(F25,'Feuerwaffen-Ressourcen'!$A$2:$AI$54,28,0)+VLOOKUP(G25,'Feuerwaffen-Ressourcen'!$A$2:$AI$54,28,0)+VLOOKUP(I25,'Feuerwaffen-Ressourcen'!$A$2:$AI$54,28,0)+VLOOKUP(J25,'Feuerwaffen-Ressourcen'!$A$2:$AI$54,28,0)</f>
        <v>120</v>
      </c>
      <c r="AC25" s="53">
        <f>VLOOKUP(I25,'Feuerwaffen-Ressourcen'!$A$2:$AI$54,31,0)*AD25+AE25</f>
        <v>144.55000000000001</v>
      </c>
      <c r="AD25" s="54">
        <f>VLOOKUP(B25,'Feuerwaffen-Ressourcen'!$A$2:$AI$54,30,0)+VLOOKUP(C25,'Feuerwaffen-Ressourcen'!$A$2:$AI$54,30,0)+VLOOKUP(D25,'Feuerwaffen-Ressourcen'!$A$2:$AI$54,30,0)+VLOOKUP(F25,'Feuerwaffen-Ressourcen'!$A$2:$AI$54,30,0)+VLOOKUP(G25,'Feuerwaffen-Ressourcen'!$A$2:$AI$54,30,0)+VLOOKUP(I25,'Feuerwaffen-Ressourcen'!$A$2:$AI$54,30,0)+VLOOKUP(J25,'Feuerwaffen-Ressourcen'!$A$2:$AI$54,30,0)</f>
        <v>6</v>
      </c>
      <c r="AE25" s="53">
        <f>(VLOOKUP(C25,'Feuerwaffen-Ressourcen'!$A$2:$AI$54,32,0)+VLOOKUP(I25,'Feuerwaffen-Ressourcen'!$A$2:$AI$54,32,0))*(VLOOKUP(B25,'Feuerwaffen-Ressourcen'!$A$2:$AI$54,34,0)+VLOOKUP(C25,'Feuerwaffen-Ressourcen'!$A$2:$AI$54,34,0)+VLOOKUP(D25,'Feuerwaffen-Ressourcen'!$A$2:$AI$54,34,0)+VLOOKUP(E25,'Feuerwaffen-Ressourcen'!$A$2:$AI$54,34,0)+VLOOKUP(G25,'Feuerwaffen-Ressourcen'!$A$2:$AI$54,34,0))+VLOOKUP(B25,'Feuerwaffen-Ressourcen'!$A$2:$AI$54,35,0)+VLOOKUP(C25,'Feuerwaffen-Ressourcen'!$A$2:$AI$54,35,0)+VLOOKUP(D25,'Feuerwaffen-Ressourcen'!$A$2:$AI$54,35,0)</f>
        <v>120.55</v>
      </c>
      <c r="AF25" s="55">
        <f>VLOOKUP(AB25,'Feuerwaffen-Ressourcen'!$AO$3:$AP$9,2,1)</f>
        <v>4</v>
      </c>
      <c r="AG25" s="55">
        <v>0</v>
      </c>
      <c r="AH25" s="28" t="s">
        <v>1415</v>
      </c>
      <c r="AI25" s="28" t="s">
        <v>8926</v>
      </c>
      <c r="AJ25" s="56">
        <v>1.5</v>
      </c>
      <c r="AK25" s="56" t="s">
        <v>5497</v>
      </c>
      <c r="AL25" s="56" t="s">
        <v>7946</v>
      </c>
      <c r="AM25" s="56">
        <v>3</v>
      </c>
      <c r="AN25" s="56">
        <v>5</v>
      </c>
      <c r="AO25" s="56">
        <v>-2</v>
      </c>
      <c r="AP25" s="56">
        <v>-7</v>
      </c>
      <c r="AQ25" s="56">
        <v>7</v>
      </c>
      <c r="AR25" s="56" t="s">
        <v>7946</v>
      </c>
      <c r="AS25" s="56">
        <v>2</v>
      </c>
      <c r="AT25" s="56">
        <v>10</v>
      </c>
    </row>
    <row r="26" spans="1:46">
      <c r="A26" s="49" t="s">
        <v>8846</v>
      </c>
      <c r="B26" s="49" t="s">
        <v>1180</v>
      </c>
      <c r="C26" s="49" t="s">
        <v>8921</v>
      </c>
      <c r="D26" s="49" t="s">
        <v>8912</v>
      </c>
      <c r="E26" s="49" t="s">
        <v>8847</v>
      </c>
      <c r="F26" s="49" t="s">
        <v>8931</v>
      </c>
      <c r="G26" s="49" t="s">
        <v>8932</v>
      </c>
      <c r="H26" s="49" t="s">
        <v>8830</v>
      </c>
      <c r="I26" s="49" t="s">
        <v>7341</v>
      </c>
      <c r="J26" s="49" t="s">
        <v>7320</v>
      </c>
      <c r="K26" s="51">
        <f>VLOOKUP(B26,'Feuerwaffen-Ressourcen'!$A$2:$AI$54,11,0)+VLOOKUP(C26,'Feuerwaffen-Ressourcen'!$A$2:$AI$54,11,0)+VLOOKUP(D26,'Feuerwaffen-Ressourcen'!$A$2:$AI$54,11,0)+VLOOKUP(E26,'Feuerwaffen-Ressourcen'!$A$2:$AI$54,11,0)+VLOOKUP(G26,'Feuerwaffen-Ressourcen'!$A$2:$AI$54,11,0)</f>
        <v>3.3499999999999996</v>
      </c>
      <c r="L26" s="50">
        <f>VLOOKUP(B26,'Feuerwaffen-Ressourcen'!$A$2:$AI$54,12,0)+VLOOKUP(C26,'Feuerwaffen-Ressourcen'!$A$2:$AI$54,12,0)+VLOOKUP(D26,'Feuerwaffen-Ressourcen'!$A$2:$AI$54,12,0)+VLOOKUP(J26,'Feuerwaffen-Ressourcen'!$A$2:$AI$54,12,0)</f>
        <v>7</v>
      </c>
      <c r="M26" s="50" t="str">
        <f>VLOOKUP(VLOOKUP(B26,'Feuerwaffen-Ressourcen'!$A$2:$AI$54,13,0)+VLOOKUP(C26,'Feuerwaffen-Ressourcen'!$A$2:$AI$54,13,0)+VLOOKUP(D26,'Feuerwaffen-Ressourcen'!$A$2:$AI$54,13,0),'Feuerwaffen-Ressourcen'!$AJ$3:$AK$12,2,0)</f>
        <v>W8</v>
      </c>
      <c r="N26" s="50" t="str">
        <f>VLOOKUP(VLOOKUP(B26,'Feuerwaffen-Ressourcen'!$A$2:$AI$54,14,0)+VLOOKUP(C26,'Feuerwaffen-Ressourcen'!$A$2:$AI$54,14,0)+VLOOKUP(D26,'Feuerwaffen-Ressourcen'!$A$2:$AI$54,14,0),'Feuerwaffen-Ressourcen'!$AJ$3:$AK$12,2,0)</f>
        <v>W8</v>
      </c>
      <c r="O26" s="50">
        <f>VLOOKUP(B26,'Feuerwaffen-Ressourcen'!$A$2:$AI$54,15,0)+VLOOKUP(C26,'Feuerwaffen-Ressourcen'!$A$2:$AI$54,15,0)+VLOOKUP(D26,'Feuerwaffen-Ressourcen'!$A$2:$AI$54,15,0)</f>
        <v>1</v>
      </c>
      <c r="P26" s="50">
        <f>VLOOKUP(B26,'Feuerwaffen-Ressourcen'!$A$2:$AI$54,16,0)+VLOOKUP(C26,'Feuerwaffen-Ressourcen'!$A$2:$AI$54,16,0)+VLOOKUP(D26,'Feuerwaffen-Ressourcen'!$A$2:$AI$54,16,0)+VLOOKUP(E26,'Feuerwaffen-Ressourcen'!$A$2:$AI$54,16,0)</f>
        <v>20</v>
      </c>
      <c r="Q26" s="52">
        <f>VLOOKUP(B26,'Feuerwaffen-Ressourcen'!$A$2:$AI$54,17,0)+VLOOKUP(C26,'Feuerwaffen-Ressourcen'!$A$2:$AI$54,17,0)+VLOOKUP(D26,'Feuerwaffen-Ressourcen'!$A$2:$AI$54,17,0)+VLOOKUP(E26,'Feuerwaffen-Ressourcen'!$A$2:$AI$54,17,0)</f>
        <v>10</v>
      </c>
      <c r="R26" s="50">
        <f>VLOOKUP(B26,'Feuerwaffen-Ressourcen'!$A$2:$AI$54,18,0)+VLOOKUP(C26,'Feuerwaffen-Ressourcen'!$A$2:$AI$54,18,0)+VLOOKUP(D26,'Feuerwaffen-Ressourcen'!$A$2:$AI$54,18,0)+VLOOKUP(F26,'Feuerwaffen-Ressourcen'!$A$2:$AI$54,18,0)+VLOOKUP(G26,'Feuerwaffen-Ressourcen'!$A$2:$AI$54,18,0)+VLOOKUP(I26,'Feuerwaffen-Ressourcen'!$A$2:$AI$54,18,0)+VLOOKUP(J26,'Feuerwaffen-Ressourcen'!$A$2:$AI$54,18,0)</f>
        <v>6</v>
      </c>
      <c r="S26" s="50">
        <f>VLOOKUP(B26,'Feuerwaffen-Ressourcen'!$A$2:$AI$54,19,0)+VLOOKUP(C26,'Feuerwaffen-Ressourcen'!$A$2:$AI$54,19,0)+VLOOKUP(D26,'Feuerwaffen-Ressourcen'!$A$2:$AI$54,19,0)+VLOOKUP(F26,'Feuerwaffen-Ressourcen'!$A$2:$AI$54,19,0)+VLOOKUP(G26,'Feuerwaffen-Ressourcen'!$A$2:$AI$54,19,0)+VLOOKUP(I26,'Feuerwaffen-Ressourcen'!$A$2:$AI$54,19,0)+VLOOKUP(J26,'Feuerwaffen-Ressourcen'!$A$2:$AI$54,19,0)</f>
        <v>2</v>
      </c>
      <c r="T26" s="50">
        <f>VLOOKUP(B26,'Feuerwaffen-Ressourcen'!$A$2:$AI$54,20,0)+VLOOKUP(C26,'Feuerwaffen-Ressourcen'!$A$2:$AI$54,20,0)+VLOOKUP(D26,'Feuerwaffen-Ressourcen'!$A$2:$AI$54,20,0)+VLOOKUP(F26,'Feuerwaffen-Ressourcen'!$A$2:$AI$54,20,0)+VLOOKUP(G26,'Feuerwaffen-Ressourcen'!$A$2:$AI$54,20,0)+VLOOKUP(I26,'Feuerwaffen-Ressourcen'!$A$2:$AI$54,20,0)+VLOOKUP(J26,'Feuerwaffen-Ressourcen'!$A$2:$AI$54,20,0)</f>
        <v>-3</v>
      </c>
      <c r="U26" s="50">
        <f>VLOOKUP(B26,'Feuerwaffen-Ressourcen'!$A$2:$AI$54,21,0)+VLOOKUP(C26,'Feuerwaffen-Ressourcen'!$A$2:$AI$54,21,0)+VLOOKUP(D26,'Feuerwaffen-Ressourcen'!$A$2:$AI$54,21,0)+VLOOKUP(F26,'Feuerwaffen-Ressourcen'!$A$2:$AI$54,21,0)+VLOOKUP(G26,'Feuerwaffen-Ressourcen'!$A$2:$AI$54,21,0)+VLOOKUP(I26,'Feuerwaffen-Ressourcen'!$A$2:$AI$54,21,0)+VLOOKUP(J26,'Feuerwaffen-Ressourcen'!$A$2:$AI$54,21,0)</f>
        <v>-11</v>
      </c>
      <c r="V26" s="50">
        <f>VLOOKUP(B26,'Feuerwaffen-Ressourcen'!$A$2:$AI$54,22,0)+VLOOKUP(C26,'Feuerwaffen-Ressourcen'!$A$2:$AI$54,22,0)+VLOOKUP(D26,'Feuerwaffen-Ressourcen'!$A$2:$AI$54,22,0)+VLOOKUP(F26,'Feuerwaffen-Ressourcen'!$A$2:$AI$54,22,0)+VLOOKUP(G26,'Feuerwaffen-Ressourcen'!$A$2:$AI$54,22,0)+VLOOKUP(I26,'Feuerwaffen-Ressourcen'!$A$2:$AI$54,22,0)+VLOOKUP(J26,'Feuerwaffen-Ressourcen'!$A$2:$AI$54,22,0)</f>
        <v>-19</v>
      </c>
      <c r="W26" s="50">
        <f>VLOOKUP(B26,'Feuerwaffen-Ressourcen'!$A$2:$AI$54,23,0)+VLOOKUP(C26,'Feuerwaffen-Ressourcen'!$A$2:$AI$54,23,0)+VLOOKUP(D26,'Feuerwaffen-Ressourcen'!$A$2:$AI$54,23,0)+VLOOKUP(F26,'Feuerwaffen-Ressourcen'!$A$2:$AI$54,23,0)+VLOOKUP(G26,'Feuerwaffen-Ressourcen'!$A$2:$AI$54,23,0)+VLOOKUP(I26,'Feuerwaffen-Ressourcen'!$A$2:$AI$54,23,0)+VLOOKUP(J26,'Feuerwaffen-Ressourcen'!$A$2:$AI$54,23,0)</f>
        <v>-27</v>
      </c>
      <c r="X26" s="50">
        <f>VLOOKUP(B26,'Feuerwaffen-Ressourcen'!$A$2:$AI$54,24,0)+VLOOKUP(C26,'Feuerwaffen-Ressourcen'!$A$2:$AI$54,24,0)+VLOOKUP(D26,'Feuerwaffen-Ressourcen'!$A$2:$AI$54,24,0)+VLOOKUP(G26,'Feuerwaffen-Ressourcen'!$A$2:$AI$54,24,0)</f>
        <v>70</v>
      </c>
      <c r="Y26" s="50">
        <f>VLOOKUP(D26,'Feuerwaffen-Ressourcen'!$A$2:$AI$54,25,0)+VLOOKUP(E26,'Feuerwaffen-Ressourcen'!$A$2:$AI$54,25,0)+VLOOKUP(F26,'Feuerwaffen-Ressourcen'!$A$2:$AI$54,25,0)</f>
        <v>8</v>
      </c>
      <c r="Z26" s="50">
        <f>VLOOKUP(E26,'Feuerwaffen-Ressourcen'!$A$2:$AI$54,26,0)</f>
        <v>6</v>
      </c>
      <c r="AA26" s="50">
        <f>VLOOKUP(B26,'Feuerwaffen-Ressourcen'!$A$2:$AI$54,27,0)+VLOOKUP(D26,'Feuerwaffen-Ressourcen'!$A$2:$AI$54,27,0)+VLOOKUP(F26,'Feuerwaffen-Ressourcen'!$A$2:$AI$54,27,0)+VLOOKUP(I26,'Feuerwaffen-Ressourcen'!$A$2:$AI$54,27,0)</f>
        <v>1</v>
      </c>
      <c r="AB26" s="50">
        <f>VLOOKUP(B26,'Feuerwaffen-Ressourcen'!$A$2:$AI$54,28,0)+VLOOKUP(C26,'Feuerwaffen-Ressourcen'!$A$2:$AI$54,28,0)+VLOOKUP(D26,'Feuerwaffen-Ressourcen'!$A$2:$AI$54,28,0)+VLOOKUP(E26,'Feuerwaffen-Ressourcen'!$A$2:$AI$54,28,0)+VLOOKUP(F26,'Feuerwaffen-Ressourcen'!$A$2:$AI$54,28,0)+VLOOKUP(G26,'Feuerwaffen-Ressourcen'!$A$2:$AI$54,28,0)+VLOOKUP(I26,'Feuerwaffen-Ressourcen'!$A$2:$AI$54,28,0)+VLOOKUP(J26,'Feuerwaffen-Ressourcen'!$A$2:$AI$54,28,0)</f>
        <v>80</v>
      </c>
      <c r="AC26" s="53">
        <f>VLOOKUP(I26,'Feuerwaffen-Ressourcen'!$A$2:$AI$54,31,0)*AD26+AE26</f>
        <v>222.5</v>
      </c>
      <c r="AD26" s="54">
        <f>VLOOKUP(B26,'Feuerwaffen-Ressourcen'!$A$2:$AI$54,30,0)+VLOOKUP(C26,'Feuerwaffen-Ressourcen'!$A$2:$AI$54,30,0)+VLOOKUP(D26,'Feuerwaffen-Ressourcen'!$A$2:$AI$54,30,0)+VLOOKUP(F26,'Feuerwaffen-Ressourcen'!$A$2:$AI$54,30,0)+VLOOKUP(G26,'Feuerwaffen-Ressourcen'!$A$2:$AI$54,30,0)+VLOOKUP(I26,'Feuerwaffen-Ressourcen'!$A$2:$AI$54,30,0)+VLOOKUP(J26,'Feuerwaffen-Ressourcen'!$A$2:$AI$54,30,0)</f>
        <v>5.6999999999999993</v>
      </c>
      <c r="AE26" s="53">
        <f>(VLOOKUP(C26,'Feuerwaffen-Ressourcen'!$A$2:$AI$54,32,0)+VLOOKUP(I26,'Feuerwaffen-Ressourcen'!$A$2:$AI$54,32,0))*(VLOOKUP(B26,'Feuerwaffen-Ressourcen'!$A$2:$AI$54,34,0)+VLOOKUP(C26,'Feuerwaffen-Ressourcen'!$A$2:$AI$54,34,0)+VLOOKUP(D26,'Feuerwaffen-Ressourcen'!$A$2:$AI$54,34,0)+VLOOKUP(E26,'Feuerwaffen-Ressourcen'!$A$2:$AI$54,34,0)+VLOOKUP(G26,'Feuerwaffen-Ressourcen'!$A$2:$AI$54,34,0))+VLOOKUP(B26,'Feuerwaffen-Ressourcen'!$A$2:$AI$54,35,0)+VLOOKUP(C26,'Feuerwaffen-Ressourcen'!$A$2:$AI$54,35,0)+VLOOKUP(D26,'Feuerwaffen-Ressourcen'!$A$2:$AI$54,35,0)</f>
        <v>199.70000000000002</v>
      </c>
      <c r="AF26" s="55">
        <f>VLOOKUP(AB26,'Feuerwaffen-Ressourcen'!$AO$3:$AP$9,2,1)</f>
        <v>6</v>
      </c>
      <c r="AG26" s="55">
        <v>0</v>
      </c>
      <c r="AH26" s="28" t="s">
        <v>1420</v>
      </c>
      <c r="AI26" s="28" t="s">
        <v>8657</v>
      </c>
      <c r="AJ26" s="56">
        <v>3</v>
      </c>
      <c r="AK26" s="56" t="s">
        <v>5497</v>
      </c>
      <c r="AL26" s="56" t="s">
        <v>5486</v>
      </c>
      <c r="AM26" s="56">
        <v>3</v>
      </c>
      <c r="AN26" s="56">
        <v>5</v>
      </c>
      <c r="AO26" s="56">
        <v>4</v>
      </c>
      <c r="AP26" s="56">
        <v>4</v>
      </c>
      <c r="AQ26" s="56">
        <v>7</v>
      </c>
      <c r="AR26" s="56">
        <v>7</v>
      </c>
      <c r="AS26" s="56">
        <v>5</v>
      </c>
      <c r="AT26" s="56">
        <v>6</v>
      </c>
    </row>
    <row r="27" spans="1:46">
      <c r="A27" s="49" t="s">
        <v>8848</v>
      </c>
      <c r="B27" s="49" t="s">
        <v>1180</v>
      </c>
      <c r="C27" s="49" t="s">
        <v>8921</v>
      </c>
      <c r="D27" s="49" t="s">
        <v>8940</v>
      </c>
      <c r="E27" s="49" t="s">
        <v>8258</v>
      </c>
      <c r="F27" s="49" t="s">
        <v>8928</v>
      </c>
      <c r="G27" s="49" t="s">
        <v>8923</v>
      </c>
      <c r="H27" s="49" t="s">
        <v>8271</v>
      </c>
      <c r="I27" s="49" t="s">
        <v>7341</v>
      </c>
      <c r="J27" s="49" t="s">
        <v>7320</v>
      </c>
      <c r="K27" s="51">
        <f>VLOOKUP(B27,'Feuerwaffen-Ressourcen'!$A$2:$AI$54,11,0)+VLOOKUP(C27,'Feuerwaffen-Ressourcen'!$A$2:$AI$54,11,0)+VLOOKUP(D27,'Feuerwaffen-Ressourcen'!$A$2:$AI$54,11,0)+VLOOKUP(E27,'Feuerwaffen-Ressourcen'!$A$2:$AI$54,11,0)+VLOOKUP(G27,'Feuerwaffen-Ressourcen'!$A$2:$AI$54,11,0)</f>
        <v>4.0999999999999996</v>
      </c>
      <c r="L27" s="50">
        <f>VLOOKUP(B27,'Feuerwaffen-Ressourcen'!$A$2:$AI$54,12,0)+VLOOKUP(C27,'Feuerwaffen-Ressourcen'!$A$2:$AI$54,12,0)+VLOOKUP(D27,'Feuerwaffen-Ressourcen'!$A$2:$AI$54,12,0)+VLOOKUP(J27,'Feuerwaffen-Ressourcen'!$A$2:$AI$54,12,0)</f>
        <v>9</v>
      </c>
      <c r="M27" s="50" t="str">
        <f>VLOOKUP(VLOOKUP(B27,'Feuerwaffen-Ressourcen'!$A$2:$AI$54,13,0)+VLOOKUP(C27,'Feuerwaffen-Ressourcen'!$A$2:$AI$54,13,0)+VLOOKUP(D27,'Feuerwaffen-Ressourcen'!$A$2:$AI$54,13,0),'Feuerwaffen-Ressourcen'!$AJ$3:$AK$12,2,0)</f>
        <v>W10</v>
      </c>
      <c r="N27" s="50" t="str">
        <f>VLOOKUP(VLOOKUP(B27,'Feuerwaffen-Ressourcen'!$A$2:$AI$54,14,0)+VLOOKUP(C27,'Feuerwaffen-Ressourcen'!$A$2:$AI$54,14,0)+VLOOKUP(D27,'Feuerwaffen-Ressourcen'!$A$2:$AI$54,14,0),'Feuerwaffen-Ressourcen'!$AJ$3:$AK$12,2,0)</f>
        <v>W10</v>
      </c>
      <c r="O27" s="50">
        <f>VLOOKUP(B27,'Feuerwaffen-Ressourcen'!$A$2:$AI$54,15,0)+VLOOKUP(C27,'Feuerwaffen-Ressourcen'!$A$2:$AI$54,15,0)+VLOOKUP(D27,'Feuerwaffen-Ressourcen'!$A$2:$AI$54,15,0)</f>
        <v>4</v>
      </c>
      <c r="P27" s="50">
        <f>VLOOKUP(B27,'Feuerwaffen-Ressourcen'!$A$2:$AI$54,16,0)+VLOOKUP(C27,'Feuerwaffen-Ressourcen'!$A$2:$AI$54,16,0)+VLOOKUP(D27,'Feuerwaffen-Ressourcen'!$A$2:$AI$54,16,0)+VLOOKUP(E27,'Feuerwaffen-Ressourcen'!$A$2:$AI$54,16,0)</f>
        <v>11</v>
      </c>
      <c r="Q27" s="52">
        <f>VLOOKUP(B27,'Feuerwaffen-Ressourcen'!$A$2:$AI$54,17,0)+VLOOKUP(C27,'Feuerwaffen-Ressourcen'!$A$2:$AI$54,17,0)+VLOOKUP(D27,'Feuerwaffen-Ressourcen'!$A$2:$AI$54,17,0)+VLOOKUP(E27,'Feuerwaffen-Ressourcen'!$A$2:$AI$54,17,0)</f>
        <v>19</v>
      </c>
      <c r="R27" s="50">
        <f>VLOOKUP(B27,'Feuerwaffen-Ressourcen'!$A$2:$AI$54,18,0)+VLOOKUP(C27,'Feuerwaffen-Ressourcen'!$A$2:$AI$54,18,0)+VLOOKUP(D27,'Feuerwaffen-Ressourcen'!$A$2:$AI$54,18,0)+VLOOKUP(F27,'Feuerwaffen-Ressourcen'!$A$2:$AI$54,18,0)+VLOOKUP(G27,'Feuerwaffen-Ressourcen'!$A$2:$AI$54,18,0)+VLOOKUP(I27,'Feuerwaffen-Ressourcen'!$A$2:$AI$54,18,0)+VLOOKUP(J27,'Feuerwaffen-Ressourcen'!$A$2:$AI$54,18,0)</f>
        <v>2</v>
      </c>
      <c r="S27" s="50">
        <f>VLOOKUP(B27,'Feuerwaffen-Ressourcen'!$A$2:$AI$54,19,0)+VLOOKUP(C27,'Feuerwaffen-Ressourcen'!$A$2:$AI$54,19,0)+VLOOKUP(D27,'Feuerwaffen-Ressourcen'!$A$2:$AI$54,19,0)+VLOOKUP(F27,'Feuerwaffen-Ressourcen'!$A$2:$AI$54,19,0)+VLOOKUP(G27,'Feuerwaffen-Ressourcen'!$A$2:$AI$54,19,0)+VLOOKUP(I27,'Feuerwaffen-Ressourcen'!$A$2:$AI$54,19,0)+VLOOKUP(J27,'Feuerwaffen-Ressourcen'!$A$2:$AI$54,19,0)</f>
        <v>-8</v>
      </c>
      <c r="T27" s="50">
        <f>VLOOKUP(B27,'Feuerwaffen-Ressourcen'!$A$2:$AI$54,20,0)+VLOOKUP(C27,'Feuerwaffen-Ressourcen'!$A$2:$AI$54,20,0)+VLOOKUP(D27,'Feuerwaffen-Ressourcen'!$A$2:$AI$54,20,0)+VLOOKUP(F27,'Feuerwaffen-Ressourcen'!$A$2:$AI$54,20,0)+VLOOKUP(G27,'Feuerwaffen-Ressourcen'!$A$2:$AI$54,20,0)+VLOOKUP(I27,'Feuerwaffen-Ressourcen'!$A$2:$AI$54,20,0)+VLOOKUP(J27,'Feuerwaffen-Ressourcen'!$A$2:$AI$54,20,0)</f>
        <v>-18</v>
      </c>
      <c r="U27" s="50">
        <f>VLOOKUP(B27,'Feuerwaffen-Ressourcen'!$A$2:$AI$54,21,0)+VLOOKUP(C27,'Feuerwaffen-Ressourcen'!$A$2:$AI$54,21,0)+VLOOKUP(D27,'Feuerwaffen-Ressourcen'!$A$2:$AI$54,21,0)+VLOOKUP(F27,'Feuerwaffen-Ressourcen'!$A$2:$AI$54,21,0)+VLOOKUP(G27,'Feuerwaffen-Ressourcen'!$A$2:$AI$54,21,0)+VLOOKUP(I27,'Feuerwaffen-Ressourcen'!$A$2:$AI$54,21,0)+VLOOKUP(J27,'Feuerwaffen-Ressourcen'!$A$2:$AI$54,21,0)</f>
        <v>-30</v>
      </c>
      <c r="V27" s="50">
        <f>VLOOKUP(B27,'Feuerwaffen-Ressourcen'!$A$2:$AI$54,22,0)+VLOOKUP(C27,'Feuerwaffen-Ressourcen'!$A$2:$AI$54,22,0)+VLOOKUP(D27,'Feuerwaffen-Ressourcen'!$A$2:$AI$54,22,0)+VLOOKUP(F27,'Feuerwaffen-Ressourcen'!$A$2:$AI$54,22,0)+VLOOKUP(G27,'Feuerwaffen-Ressourcen'!$A$2:$AI$54,22,0)+VLOOKUP(I27,'Feuerwaffen-Ressourcen'!$A$2:$AI$54,22,0)+VLOOKUP(J27,'Feuerwaffen-Ressourcen'!$A$2:$AI$54,22,0)</f>
        <v>-42</v>
      </c>
      <c r="W27" s="50">
        <f>VLOOKUP(B27,'Feuerwaffen-Ressourcen'!$A$2:$AI$54,23,0)+VLOOKUP(C27,'Feuerwaffen-Ressourcen'!$A$2:$AI$54,23,0)+VLOOKUP(D27,'Feuerwaffen-Ressourcen'!$A$2:$AI$54,23,0)+VLOOKUP(F27,'Feuerwaffen-Ressourcen'!$A$2:$AI$54,23,0)+VLOOKUP(G27,'Feuerwaffen-Ressourcen'!$A$2:$AI$54,23,0)+VLOOKUP(I27,'Feuerwaffen-Ressourcen'!$A$2:$AI$54,23,0)+VLOOKUP(J27,'Feuerwaffen-Ressourcen'!$A$2:$AI$54,23,0)</f>
        <v>-55</v>
      </c>
      <c r="X27" s="50">
        <f>VLOOKUP(B27,'Feuerwaffen-Ressourcen'!$A$2:$AI$54,24,0)+VLOOKUP(C27,'Feuerwaffen-Ressourcen'!$A$2:$AI$54,24,0)+VLOOKUP(D27,'Feuerwaffen-Ressourcen'!$A$2:$AI$54,24,0)+VLOOKUP(G27,'Feuerwaffen-Ressourcen'!$A$2:$AI$54,24,0)</f>
        <v>20</v>
      </c>
      <c r="Y27" s="50">
        <f>VLOOKUP(D27,'Feuerwaffen-Ressourcen'!$A$2:$AI$54,25,0)+VLOOKUP(E27,'Feuerwaffen-Ressourcen'!$A$2:$AI$54,25,0)+VLOOKUP(F27,'Feuerwaffen-Ressourcen'!$A$2:$AI$54,25,0)</f>
        <v>32</v>
      </c>
      <c r="Z27" s="50">
        <f>VLOOKUP(E27,'Feuerwaffen-Ressourcen'!$A$2:$AI$54,26,0)</f>
        <v>3</v>
      </c>
      <c r="AA27" s="50">
        <f>VLOOKUP(B27,'Feuerwaffen-Ressourcen'!$A$2:$AI$54,27,0)+VLOOKUP(D27,'Feuerwaffen-Ressourcen'!$A$2:$AI$54,27,0)+VLOOKUP(F27,'Feuerwaffen-Ressourcen'!$A$2:$AI$54,27,0)+VLOOKUP(I27,'Feuerwaffen-Ressourcen'!$A$2:$AI$54,27,0)</f>
        <v>4</v>
      </c>
      <c r="AB27" s="50">
        <f>VLOOKUP(B27,'Feuerwaffen-Ressourcen'!$A$2:$AI$54,28,0)+VLOOKUP(C27,'Feuerwaffen-Ressourcen'!$A$2:$AI$54,28,0)+VLOOKUP(D27,'Feuerwaffen-Ressourcen'!$A$2:$AI$54,28,0)+VLOOKUP(E27,'Feuerwaffen-Ressourcen'!$A$2:$AI$54,28,0)+VLOOKUP(F27,'Feuerwaffen-Ressourcen'!$A$2:$AI$54,28,0)+VLOOKUP(G27,'Feuerwaffen-Ressourcen'!$A$2:$AI$54,28,0)+VLOOKUP(I27,'Feuerwaffen-Ressourcen'!$A$2:$AI$54,28,0)+VLOOKUP(J27,'Feuerwaffen-Ressourcen'!$A$2:$AI$54,28,0)</f>
        <v>125</v>
      </c>
      <c r="AC27" s="53">
        <f>VLOOKUP(I27,'Feuerwaffen-Ressourcen'!$A$2:$AI$54,31,0)*AD27+AE27</f>
        <v>298.5</v>
      </c>
      <c r="AD27" s="54">
        <f>VLOOKUP(B27,'Feuerwaffen-Ressourcen'!$A$2:$AI$54,30,0)+VLOOKUP(C27,'Feuerwaffen-Ressourcen'!$A$2:$AI$54,30,0)+VLOOKUP(D27,'Feuerwaffen-Ressourcen'!$A$2:$AI$54,30,0)+VLOOKUP(F27,'Feuerwaffen-Ressourcen'!$A$2:$AI$54,30,0)+VLOOKUP(G27,'Feuerwaffen-Ressourcen'!$A$2:$AI$54,30,0)+VLOOKUP(I27,'Feuerwaffen-Ressourcen'!$A$2:$AI$54,30,0)+VLOOKUP(J27,'Feuerwaffen-Ressourcen'!$A$2:$AI$54,30,0)</f>
        <v>2.2000000000000002</v>
      </c>
      <c r="AE27" s="53">
        <f>(VLOOKUP(C27,'Feuerwaffen-Ressourcen'!$A$2:$AI$54,32,0)+VLOOKUP(I27,'Feuerwaffen-Ressourcen'!$A$2:$AI$54,32,0))*(VLOOKUP(B27,'Feuerwaffen-Ressourcen'!$A$2:$AI$54,34,0)+VLOOKUP(C27,'Feuerwaffen-Ressourcen'!$A$2:$AI$54,34,0)+VLOOKUP(D27,'Feuerwaffen-Ressourcen'!$A$2:$AI$54,34,0)+VLOOKUP(E27,'Feuerwaffen-Ressourcen'!$A$2:$AI$54,34,0)+VLOOKUP(G27,'Feuerwaffen-Ressourcen'!$A$2:$AI$54,34,0))+VLOOKUP(B27,'Feuerwaffen-Ressourcen'!$A$2:$AI$54,35,0)+VLOOKUP(C27,'Feuerwaffen-Ressourcen'!$A$2:$AI$54,35,0)+VLOOKUP(D27,'Feuerwaffen-Ressourcen'!$A$2:$AI$54,35,0)</f>
        <v>289.7</v>
      </c>
      <c r="AF27" s="55">
        <f>VLOOKUP(AB27,'Feuerwaffen-Ressourcen'!$AO$3:$AP$9,2,1)</f>
        <v>4</v>
      </c>
      <c r="AG27" s="55">
        <v>0</v>
      </c>
      <c r="AH27" s="28" t="s">
        <v>1420</v>
      </c>
      <c r="AI27" s="28" t="s">
        <v>8657</v>
      </c>
      <c r="AJ27" s="56">
        <v>3</v>
      </c>
      <c r="AK27" s="56" t="s">
        <v>5497</v>
      </c>
      <c r="AL27" s="56" t="s">
        <v>5486</v>
      </c>
      <c r="AM27" s="56">
        <v>3</v>
      </c>
      <c r="AN27" s="56">
        <v>5</v>
      </c>
      <c r="AO27" s="56">
        <v>4</v>
      </c>
      <c r="AP27" s="56">
        <v>4</v>
      </c>
      <c r="AQ27" s="56">
        <v>9</v>
      </c>
      <c r="AR27" s="56">
        <v>9</v>
      </c>
      <c r="AS27" s="56">
        <v>5</v>
      </c>
      <c r="AT27" s="56">
        <v>6</v>
      </c>
    </row>
    <row r="28" spans="1:46">
      <c r="A28" s="49" t="s">
        <v>8849</v>
      </c>
      <c r="B28" s="49" t="s">
        <v>1180</v>
      </c>
      <c r="C28" s="49" t="s">
        <v>8921</v>
      </c>
      <c r="D28" s="49" t="s">
        <v>8937</v>
      </c>
      <c r="E28" s="49" t="s">
        <v>8829</v>
      </c>
      <c r="F28" s="49" t="s">
        <v>8931</v>
      </c>
      <c r="G28" s="49" t="s">
        <v>8932</v>
      </c>
      <c r="H28" s="49" t="s">
        <v>8830</v>
      </c>
      <c r="I28" s="49" t="s">
        <v>7341</v>
      </c>
      <c r="J28" s="49" t="s">
        <v>7320</v>
      </c>
      <c r="K28" s="51">
        <f>VLOOKUP(B28,'Feuerwaffen-Ressourcen'!$A$2:$AI$54,11,0)+VLOOKUP(C28,'Feuerwaffen-Ressourcen'!$A$2:$AI$54,11,0)+VLOOKUP(D28,'Feuerwaffen-Ressourcen'!$A$2:$AI$54,11,0)+VLOOKUP(E28,'Feuerwaffen-Ressourcen'!$A$2:$AI$54,11,0)+VLOOKUP(G28,'Feuerwaffen-Ressourcen'!$A$2:$AI$54,11,0)</f>
        <v>4.05</v>
      </c>
      <c r="L28" s="50">
        <f>VLOOKUP(B28,'Feuerwaffen-Ressourcen'!$A$2:$AI$54,12,0)+VLOOKUP(C28,'Feuerwaffen-Ressourcen'!$A$2:$AI$54,12,0)+VLOOKUP(D28,'Feuerwaffen-Ressourcen'!$A$2:$AI$54,12,0)+VLOOKUP(J28,'Feuerwaffen-Ressourcen'!$A$2:$AI$54,12,0)</f>
        <v>7</v>
      </c>
      <c r="M28" s="50" t="str">
        <f>VLOOKUP(VLOOKUP(B28,'Feuerwaffen-Ressourcen'!$A$2:$AI$54,13,0)+VLOOKUP(C28,'Feuerwaffen-Ressourcen'!$A$2:$AI$54,13,0)+VLOOKUP(D28,'Feuerwaffen-Ressourcen'!$A$2:$AI$54,13,0),'Feuerwaffen-Ressourcen'!$AJ$3:$AK$12,2,0)</f>
        <v>W8</v>
      </c>
      <c r="N28" s="50" t="str">
        <f>VLOOKUP(VLOOKUP(B28,'Feuerwaffen-Ressourcen'!$A$2:$AI$54,14,0)+VLOOKUP(C28,'Feuerwaffen-Ressourcen'!$A$2:$AI$54,14,0)+VLOOKUP(D28,'Feuerwaffen-Ressourcen'!$A$2:$AI$54,14,0),'Feuerwaffen-Ressourcen'!$AJ$3:$AK$12,2,0)</f>
        <v>W8</v>
      </c>
      <c r="O28" s="50">
        <f>VLOOKUP(B28,'Feuerwaffen-Ressourcen'!$A$2:$AI$54,15,0)+VLOOKUP(C28,'Feuerwaffen-Ressourcen'!$A$2:$AI$54,15,0)+VLOOKUP(D28,'Feuerwaffen-Ressourcen'!$A$2:$AI$54,15,0)</f>
        <v>3</v>
      </c>
      <c r="P28" s="50">
        <f>VLOOKUP(B28,'Feuerwaffen-Ressourcen'!$A$2:$AI$54,16,0)+VLOOKUP(C28,'Feuerwaffen-Ressourcen'!$A$2:$AI$54,16,0)+VLOOKUP(D28,'Feuerwaffen-Ressourcen'!$A$2:$AI$54,16,0)+VLOOKUP(E28,'Feuerwaffen-Ressourcen'!$A$2:$AI$54,16,0)</f>
        <v>20</v>
      </c>
      <c r="Q28" s="52">
        <f>VLOOKUP(B28,'Feuerwaffen-Ressourcen'!$A$2:$AI$54,17,0)+VLOOKUP(C28,'Feuerwaffen-Ressourcen'!$A$2:$AI$54,17,0)+VLOOKUP(D28,'Feuerwaffen-Ressourcen'!$A$2:$AI$54,17,0)+VLOOKUP(E28,'Feuerwaffen-Ressourcen'!$A$2:$AI$54,17,0)</f>
        <v>10</v>
      </c>
      <c r="R28" s="50">
        <f>VLOOKUP(B28,'Feuerwaffen-Ressourcen'!$A$2:$AI$54,18,0)+VLOOKUP(C28,'Feuerwaffen-Ressourcen'!$A$2:$AI$54,18,0)+VLOOKUP(D28,'Feuerwaffen-Ressourcen'!$A$2:$AI$54,18,0)+VLOOKUP(F28,'Feuerwaffen-Ressourcen'!$A$2:$AI$54,18,0)+VLOOKUP(G28,'Feuerwaffen-Ressourcen'!$A$2:$AI$54,18,0)+VLOOKUP(I28,'Feuerwaffen-Ressourcen'!$A$2:$AI$54,18,0)+VLOOKUP(J28,'Feuerwaffen-Ressourcen'!$A$2:$AI$54,18,0)</f>
        <v>4</v>
      </c>
      <c r="S28" s="50">
        <f>VLOOKUP(B28,'Feuerwaffen-Ressourcen'!$A$2:$AI$54,19,0)+VLOOKUP(C28,'Feuerwaffen-Ressourcen'!$A$2:$AI$54,19,0)+VLOOKUP(D28,'Feuerwaffen-Ressourcen'!$A$2:$AI$54,19,0)+VLOOKUP(F28,'Feuerwaffen-Ressourcen'!$A$2:$AI$54,19,0)+VLOOKUP(G28,'Feuerwaffen-Ressourcen'!$A$2:$AI$54,19,0)+VLOOKUP(I28,'Feuerwaffen-Ressourcen'!$A$2:$AI$54,19,0)+VLOOKUP(J28,'Feuerwaffen-Ressourcen'!$A$2:$AI$54,19,0)</f>
        <v>2</v>
      </c>
      <c r="T28" s="50">
        <f>VLOOKUP(B28,'Feuerwaffen-Ressourcen'!$A$2:$AI$54,20,0)+VLOOKUP(C28,'Feuerwaffen-Ressourcen'!$A$2:$AI$54,20,0)+VLOOKUP(D28,'Feuerwaffen-Ressourcen'!$A$2:$AI$54,20,0)+VLOOKUP(F28,'Feuerwaffen-Ressourcen'!$A$2:$AI$54,20,0)+VLOOKUP(G28,'Feuerwaffen-Ressourcen'!$A$2:$AI$54,20,0)+VLOOKUP(I28,'Feuerwaffen-Ressourcen'!$A$2:$AI$54,20,0)+VLOOKUP(J28,'Feuerwaffen-Ressourcen'!$A$2:$AI$54,20,0)</f>
        <v>-1</v>
      </c>
      <c r="U28" s="50">
        <f>VLOOKUP(B28,'Feuerwaffen-Ressourcen'!$A$2:$AI$54,21,0)+VLOOKUP(C28,'Feuerwaffen-Ressourcen'!$A$2:$AI$54,21,0)+VLOOKUP(D28,'Feuerwaffen-Ressourcen'!$A$2:$AI$54,21,0)+VLOOKUP(F28,'Feuerwaffen-Ressourcen'!$A$2:$AI$54,21,0)+VLOOKUP(G28,'Feuerwaffen-Ressourcen'!$A$2:$AI$54,21,0)+VLOOKUP(I28,'Feuerwaffen-Ressourcen'!$A$2:$AI$54,21,0)+VLOOKUP(J28,'Feuerwaffen-Ressourcen'!$A$2:$AI$54,21,0)</f>
        <v>-8</v>
      </c>
      <c r="V28" s="50">
        <f>VLOOKUP(B28,'Feuerwaffen-Ressourcen'!$A$2:$AI$54,22,0)+VLOOKUP(C28,'Feuerwaffen-Ressourcen'!$A$2:$AI$54,22,0)+VLOOKUP(D28,'Feuerwaffen-Ressourcen'!$A$2:$AI$54,22,0)+VLOOKUP(F28,'Feuerwaffen-Ressourcen'!$A$2:$AI$54,22,0)+VLOOKUP(G28,'Feuerwaffen-Ressourcen'!$A$2:$AI$54,22,0)+VLOOKUP(I28,'Feuerwaffen-Ressourcen'!$A$2:$AI$54,22,0)+VLOOKUP(J28,'Feuerwaffen-Ressourcen'!$A$2:$AI$54,22,0)</f>
        <v>-15</v>
      </c>
      <c r="W28" s="50">
        <f>VLOOKUP(B28,'Feuerwaffen-Ressourcen'!$A$2:$AI$54,23,0)+VLOOKUP(C28,'Feuerwaffen-Ressourcen'!$A$2:$AI$54,23,0)+VLOOKUP(D28,'Feuerwaffen-Ressourcen'!$A$2:$AI$54,23,0)+VLOOKUP(F28,'Feuerwaffen-Ressourcen'!$A$2:$AI$54,23,0)+VLOOKUP(G28,'Feuerwaffen-Ressourcen'!$A$2:$AI$54,23,0)+VLOOKUP(I28,'Feuerwaffen-Ressourcen'!$A$2:$AI$54,23,0)+VLOOKUP(J28,'Feuerwaffen-Ressourcen'!$A$2:$AI$54,23,0)</f>
        <v>-22</v>
      </c>
      <c r="X28" s="50">
        <f>VLOOKUP(B28,'Feuerwaffen-Ressourcen'!$A$2:$AI$54,24,0)+VLOOKUP(C28,'Feuerwaffen-Ressourcen'!$A$2:$AI$54,24,0)+VLOOKUP(D28,'Feuerwaffen-Ressourcen'!$A$2:$AI$54,24,0)+VLOOKUP(G28,'Feuerwaffen-Ressourcen'!$A$2:$AI$54,24,0)</f>
        <v>100</v>
      </c>
      <c r="Y28" s="50">
        <f>VLOOKUP(D28,'Feuerwaffen-Ressourcen'!$A$2:$AI$54,25,0)+VLOOKUP(E28,'Feuerwaffen-Ressourcen'!$A$2:$AI$54,25,0)+VLOOKUP(F28,'Feuerwaffen-Ressourcen'!$A$2:$AI$54,25,0)</f>
        <v>10</v>
      </c>
      <c r="Z28" s="50">
        <f>VLOOKUP(E28,'Feuerwaffen-Ressourcen'!$A$2:$AI$54,26,0)</f>
        <v>6</v>
      </c>
      <c r="AA28" s="50">
        <f>VLOOKUP(B28,'Feuerwaffen-Ressourcen'!$A$2:$AI$54,27,0)+VLOOKUP(D28,'Feuerwaffen-Ressourcen'!$A$2:$AI$54,27,0)+VLOOKUP(F28,'Feuerwaffen-Ressourcen'!$A$2:$AI$54,27,0)+VLOOKUP(I28,'Feuerwaffen-Ressourcen'!$A$2:$AI$54,27,0)</f>
        <v>1</v>
      </c>
      <c r="AB28" s="50">
        <f>VLOOKUP(B28,'Feuerwaffen-Ressourcen'!$A$2:$AI$54,28,0)+VLOOKUP(C28,'Feuerwaffen-Ressourcen'!$A$2:$AI$54,28,0)+VLOOKUP(D28,'Feuerwaffen-Ressourcen'!$A$2:$AI$54,28,0)+VLOOKUP(E28,'Feuerwaffen-Ressourcen'!$A$2:$AI$54,28,0)+VLOOKUP(F28,'Feuerwaffen-Ressourcen'!$A$2:$AI$54,28,0)+VLOOKUP(G28,'Feuerwaffen-Ressourcen'!$A$2:$AI$54,28,0)+VLOOKUP(I28,'Feuerwaffen-Ressourcen'!$A$2:$AI$54,28,0)+VLOOKUP(J28,'Feuerwaffen-Ressourcen'!$A$2:$AI$54,28,0)</f>
        <v>60</v>
      </c>
      <c r="AC28" s="53">
        <f>VLOOKUP(I28,'Feuerwaffen-Ressourcen'!$A$2:$AI$54,31,0)*AD28+AE28</f>
        <v>318.49999999999994</v>
      </c>
      <c r="AD28" s="54">
        <f>VLOOKUP(B28,'Feuerwaffen-Ressourcen'!$A$2:$AI$54,30,0)+VLOOKUP(C28,'Feuerwaffen-Ressourcen'!$A$2:$AI$54,30,0)+VLOOKUP(D28,'Feuerwaffen-Ressourcen'!$A$2:$AI$54,30,0)+VLOOKUP(F28,'Feuerwaffen-Ressourcen'!$A$2:$AI$54,30,0)+VLOOKUP(G28,'Feuerwaffen-Ressourcen'!$A$2:$AI$54,30,0)+VLOOKUP(I28,'Feuerwaffen-Ressourcen'!$A$2:$AI$54,30,0)+VLOOKUP(J28,'Feuerwaffen-Ressourcen'!$A$2:$AI$54,30,0)</f>
        <v>8.6999999999999993</v>
      </c>
      <c r="AE28" s="53">
        <f>(VLOOKUP(C28,'Feuerwaffen-Ressourcen'!$A$2:$AI$54,32,0)+VLOOKUP(I28,'Feuerwaffen-Ressourcen'!$A$2:$AI$54,32,0))*(VLOOKUP(B28,'Feuerwaffen-Ressourcen'!$A$2:$AI$54,34,0)+VLOOKUP(C28,'Feuerwaffen-Ressourcen'!$A$2:$AI$54,34,0)+VLOOKUP(D28,'Feuerwaffen-Ressourcen'!$A$2:$AI$54,34,0)+VLOOKUP(E28,'Feuerwaffen-Ressourcen'!$A$2:$AI$54,34,0)+VLOOKUP(G28,'Feuerwaffen-Ressourcen'!$A$2:$AI$54,34,0))+VLOOKUP(B28,'Feuerwaffen-Ressourcen'!$A$2:$AI$54,35,0)+VLOOKUP(C28,'Feuerwaffen-Ressourcen'!$A$2:$AI$54,35,0)+VLOOKUP(D28,'Feuerwaffen-Ressourcen'!$A$2:$AI$54,35,0)</f>
        <v>283.69999999999993</v>
      </c>
      <c r="AF28" s="55">
        <f>VLOOKUP(AB28,'Feuerwaffen-Ressourcen'!$AO$3:$AP$9,2,1)</f>
        <v>7</v>
      </c>
      <c r="AG28" s="55">
        <v>0</v>
      </c>
      <c r="AH28" s="28" t="s">
        <v>1420</v>
      </c>
      <c r="AI28" s="28" t="s">
        <v>8657</v>
      </c>
      <c r="AJ28" s="56">
        <v>3</v>
      </c>
      <c r="AK28" s="56" t="s">
        <v>5497</v>
      </c>
      <c r="AL28" s="56" t="s">
        <v>5486</v>
      </c>
      <c r="AM28" s="56">
        <v>3</v>
      </c>
      <c r="AN28" s="56">
        <v>5</v>
      </c>
      <c r="AO28" s="56">
        <v>4</v>
      </c>
      <c r="AP28" s="56">
        <v>4</v>
      </c>
      <c r="AQ28" s="56">
        <v>7</v>
      </c>
      <c r="AR28" s="56">
        <v>7</v>
      </c>
      <c r="AS28" s="56">
        <v>5</v>
      </c>
      <c r="AT28" s="56">
        <v>6</v>
      </c>
    </row>
    <row r="29" spans="1:46">
      <c r="A29" s="49" t="s">
        <v>8850</v>
      </c>
      <c r="B29" s="49" t="s">
        <v>1180</v>
      </c>
      <c r="C29" s="49" t="s">
        <v>8921</v>
      </c>
      <c r="D29" s="49" t="s">
        <v>8941</v>
      </c>
      <c r="E29" s="49" t="s">
        <v>8258</v>
      </c>
      <c r="F29" s="49" t="s">
        <v>8928</v>
      </c>
      <c r="G29" s="49" t="s">
        <v>8923</v>
      </c>
      <c r="H29" s="49" t="s">
        <v>8271</v>
      </c>
      <c r="I29" s="49" t="s">
        <v>7341</v>
      </c>
      <c r="J29" s="49" t="s">
        <v>7320</v>
      </c>
      <c r="K29" s="51">
        <f>VLOOKUP(B29,'Feuerwaffen-Ressourcen'!$A$2:$AI$54,11,0)+VLOOKUP(C29,'Feuerwaffen-Ressourcen'!$A$2:$AI$54,11,0)+VLOOKUP(D29,'Feuerwaffen-Ressourcen'!$A$2:$AI$54,11,0)+VLOOKUP(E29,'Feuerwaffen-Ressourcen'!$A$2:$AI$54,11,0)+VLOOKUP(G29,'Feuerwaffen-Ressourcen'!$A$2:$AI$54,11,0)</f>
        <v>4.5999999999999996</v>
      </c>
      <c r="L29" s="50">
        <f>VLOOKUP(B29,'Feuerwaffen-Ressourcen'!$A$2:$AI$54,12,0)+VLOOKUP(C29,'Feuerwaffen-Ressourcen'!$A$2:$AI$54,12,0)+VLOOKUP(D29,'Feuerwaffen-Ressourcen'!$A$2:$AI$54,12,0)+VLOOKUP(J29,'Feuerwaffen-Ressourcen'!$A$2:$AI$54,12,0)</f>
        <v>8</v>
      </c>
      <c r="M29" s="50" t="str">
        <f>VLOOKUP(VLOOKUP(B29,'Feuerwaffen-Ressourcen'!$A$2:$AI$54,13,0)+VLOOKUP(C29,'Feuerwaffen-Ressourcen'!$A$2:$AI$54,13,0)+VLOOKUP(D29,'Feuerwaffen-Ressourcen'!$A$2:$AI$54,13,0),'Feuerwaffen-Ressourcen'!$AJ$3:$AK$12,2,0)</f>
        <v>W8</v>
      </c>
      <c r="N29" s="50" t="str">
        <f>VLOOKUP(VLOOKUP(B29,'Feuerwaffen-Ressourcen'!$A$2:$AI$54,14,0)+VLOOKUP(C29,'Feuerwaffen-Ressourcen'!$A$2:$AI$54,14,0)+VLOOKUP(D29,'Feuerwaffen-Ressourcen'!$A$2:$AI$54,14,0),'Feuerwaffen-Ressourcen'!$AJ$3:$AK$12,2,0)</f>
        <v>W6</v>
      </c>
      <c r="O29" s="50">
        <f>VLOOKUP(B29,'Feuerwaffen-Ressourcen'!$A$2:$AI$54,15,0)+VLOOKUP(C29,'Feuerwaffen-Ressourcen'!$A$2:$AI$54,15,0)+VLOOKUP(D29,'Feuerwaffen-Ressourcen'!$A$2:$AI$54,15,0)</f>
        <v>1</v>
      </c>
      <c r="P29" s="50">
        <f>VLOOKUP(B29,'Feuerwaffen-Ressourcen'!$A$2:$AI$54,16,0)+VLOOKUP(C29,'Feuerwaffen-Ressourcen'!$A$2:$AI$54,16,0)+VLOOKUP(D29,'Feuerwaffen-Ressourcen'!$A$2:$AI$54,16,0)+VLOOKUP(E29,'Feuerwaffen-Ressourcen'!$A$2:$AI$54,16,0)</f>
        <v>14</v>
      </c>
      <c r="Q29" s="52">
        <f>VLOOKUP(B29,'Feuerwaffen-Ressourcen'!$A$2:$AI$54,17,0)+VLOOKUP(C29,'Feuerwaffen-Ressourcen'!$A$2:$AI$54,17,0)+VLOOKUP(D29,'Feuerwaffen-Ressourcen'!$A$2:$AI$54,17,0)+VLOOKUP(E29,'Feuerwaffen-Ressourcen'!$A$2:$AI$54,17,0)</f>
        <v>15</v>
      </c>
      <c r="R29" s="50">
        <f>VLOOKUP(B29,'Feuerwaffen-Ressourcen'!$A$2:$AI$54,18,0)+VLOOKUP(C29,'Feuerwaffen-Ressourcen'!$A$2:$AI$54,18,0)+VLOOKUP(D29,'Feuerwaffen-Ressourcen'!$A$2:$AI$54,18,0)+VLOOKUP(F29,'Feuerwaffen-Ressourcen'!$A$2:$AI$54,18,0)+VLOOKUP(G29,'Feuerwaffen-Ressourcen'!$A$2:$AI$54,18,0)+VLOOKUP(I29,'Feuerwaffen-Ressourcen'!$A$2:$AI$54,18,0)+VLOOKUP(J29,'Feuerwaffen-Ressourcen'!$A$2:$AI$54,18,0)</f>
        <v>1</v>
      </c>
      <c r="S29" s="50">
        <f>VLOOKUP(B29,'Feuerwaffen-Ressourcen'!$A$2:$AI$54,19,0)+VLOOKUP(C29,'Feuerwaffen-Ressourcen'!$A$2:$AI$54,19,0)+VLOOKUP(D29,'Feuerwaffen-Ressourcen'!$A$2:$AI$54,19,0)+VLOOKUP(F29,'Feuerwaffen-Ressourcen'!$A$2:$AI$54,19,0)+VLOOKUP(G29,'Feuerwaffen-Ressourcen'!$A$2:$AI$54,19,0)+VLOOKUP(I29,'Feuerwaffen-Ressourcen'!$A$2:$AI$54,19,0)+VLOOKUP(J29,'Feuerwaffen-Ressourcen'!$A$2:$AI$54,19,0)</f>
        <v>-4</v>
      </c>
      <c r="T29" s="50">
        <f>VLOOKUP(B29,'Feuerwaffen-Ressourcen'!$A$2:$AI$54,20,0)+VLOOKUP(C29,'Feuerwaffen-Ressourcen'!$A$2:$AI$54,20,0)+VLOOKUP(D29,'Feuerwaffen-Ressourcen'!$A$2:$AI$54,20,0)+VLOOKUP(F29,'Feuerwaffen-Ressourcen'!$A$2:$AI$54,20,0)+VLOOKUP(G29,'Feuerwaffen-Ressourcen'!$A$2:$AI$54,20,0)+VLOOKUP(I29,'Feuerwaffen-Ressourcen'!$A$2:$AI$54,20,0)+VLOOKUP(J29,'Feuerwaffen-Ressourcen'!$A$2:$AI$54,20,0)</f>
        <v>-9</v>
      </c>
      <c r="U29" s="50">
        <f>VLOOKUP(B29,'Feuerwaffen-Ressourcen'!$A$2:$AI$54,21,0)+VLOOKUP(C29,'Feuerwaffen-Ressourcen'!$A$2:$AI$54,21,0)+VLOOKUP(D29,'Feuerwaffen-Ressourcen'!$A$2:$AI$54,21,0)+VLOOKUP(F29,'Feuerwaffen-Ressourcen'!$A$2:$AI$54,21,0)+VLOOKUP(G29,'Feuerwaffen-Ressourcen'!$A$2:$AI$54,21,0)+VLOOKUP(I29,'Feuerwaffen-Ressourcen'!$A$2:$AI$54,21,0)+VLOOKUP(J29,'Feuerwaffen-Ressourcen'!$A$2:$AI$54,21,0)</f>
        <v>-16</v>
      </c>
      <c r="V29" s="50">
        <f>VLOOKUP(B29,'Feuerwaffen-Ressourcen'!$A$2:$AI$54,22,0)+VLOOKUP(C29,'Feuerwaffen-Ressourcen'!$A$2:$AI$54,22,0)+VLOOKUP(D29,'Feuerwaffen-Ressourcen'!$A$2:$AI$54,22,0)+VLOOKUP(F29,'Feuerwaffen-Ressourcen'!$A$2:$AI$54,22,0)+VLOOKUP(G29,'Feuerwaffen-Ressourcen'!$A$2:$AI$54,22,0)+VLOOKUP(I29,'Feuerwaffen-Ressourcen'!$A$2:$AI$54,22,0)+VLOOKUP(J29,'Feuerwaffen-Ressourcen'!$A$2:$AI$54,22,0)</f>
        <v>-23</v>
      </c>
      <c r="W29" s="50">
        <f>VLOOKUP(B29,'Feuerwaffen-Ressourcen'!$A$2:$AI$54,23,0)+VLOOKUP(C29,'Feuerwaffen-Ressourcen'!$A$2:$AI$54,23,0)+VLOOKUP(D29,'Feuerwaffen-Ressourcen'!$A$2:$AI$54,23,0)+VLOOKUP(F29,'Feuerwaffen-Ressourcen'!$A$2:$AI$54,23,0)+VLOOKUP(G29,'Feuerwaffen-Ressourcen'!$A$2:$AI$54,23,0)+VLOOKUP(I29,'Feuerwaffen-Ressourcen'!$A$2:$AI$54,23,0)+VLOOKUP(J29,'Feuerwaffen-Ressourcen'!$A$2:$AI$54,23,0)</f>
        <v>-31</v>
      </c>
      <c r="X29" s="50">
        <f>VLOOKUP(B29,'Feuerwaffen-Ressourcen'!$A$2:$AI$54,24,0)+VLOOKUP(C29,'Feuerwaffen-Ressourcen'!$A$2:$AI$54,24,0)+VLOOKUP(D29,'Feuerwaffen-Ressourcen'!$A$2:$AI$54,24,0)+VLOOKUP(G29,'Feuerwaffen-Ressourcen'!$A$2:$AI$54,24,0)</f>
        <v>40</v>
      </c>
      <c r="Y29" s="50">
        <f>VLOOKUP(D29,'Feuerwaffen-Ressourcen'!$A$2:$AI$54,25,0)+VLOOKUP(E29,'Feuerwaffen-Ressourcen'!$A$2:$AI$54,25,0)+VLOOKUP(F29,'Feuerwaffen-Ressourcen'!$A$2:$AI$54,25,0)</f>
        <v>34</v>
      </c>
      <c r="Z29" s="50">
        <f>VLOOKUP(E29,'Feuerwaffen-Ressourcen'!$A$2:$AI$54,26,0)</f>
        <v>3</v>
      </c>
      <c r="AA29" s="50">
        <f>VLOOKUP(B29,'Feuerwaffen-Ressourcen'!$A$2:$AI$54,27,0)+VLOOKUP(D29,'Feuerwaffen-Ressourcen'!$A$2:$AI$54,27,0)+VLOOKUP(F29,'Feuerwaffen-Ressourcen'!$A$2:$AI$54,27,0)+VLOOKUP(I29,'Feuerwaffen-Ressourcen'!$A$2:$AI$54,27,0)</f>
        <v>4</v>
      </c>
      <c r="AB29" s="50">
        <f>VLOOKUP(B29,'Feuerwaffen-Ressourcen'!$A$2:$AI$54,28,0)+VLOOKUP(C29,'Feuerwaffen-Ressourcen'!$A$2:$AI$54,28,0)+VLOOKUP(D29,'Feuerwaffen-Ressourcen'!$A$2:$AI$54,28,0)+VLOOKUP(E29,'Feuerwaffen-Ressourcen'!$A$2:$AI$54,28,0)+VLOOKUP(F29,'Feuerwaffen-Ressourcen'!$A$2:$AI$54,28,0)+VLOOKUP(G29,'Feuerwaffen-Ressourcen'!$A$2:$AI$54,28,0)+VLOOKUP(I29,'Feuerwaffen-Ressourcen'!$A$2:$AI$54,28,0)+VLOOKUP(J29,'Feuerwaffen-Ressourcen'!$A$2:$AI$54,28,0)</f>
        <v>110</v>
      </c>
      <c r="AC29" s="53">
        <f>VLOOKUP(I29,'Feuerwaffen-Ressourcen'!$A$2:$AI$54,31,0)*AD29+AE29</f>
        <v>362.5</v>
      </c>
      <c r="AD29" s="54">
        <f>VLOOKUP(B29,'Feuerwaffen-Ressourcen'!$A$2:$AI$54,30,0)+VLOOKUP(C29,'Feuerwaffen-Ressourcen'!$A$2:$AI$54,30,0)+VLOOKUP(D29,'Feuerwaffen-Ressourcen'!$A$2:$AI$54,30,0)+VLOOKUP(F29,'Feuerwaffen-Ressourcen'!$A$2:$AI$54,30,0)+VLOOKUP(G29,'Feuerwaffen-Ressourcen'!$A$2:$AI$54,30,0)+VLOOKUP(I29,'Feuerwaffen-Ressourcen'!$A$2:$AI$54,30,0)+VLOOKUP(J29,'Feuerwaffen-Ressourcen'!$A$2:$AI$54,30,0)</f>
        <v>3.2</v>
      </c>
      <c r="AE29" s="53">
        <f>(VLOOKUP(C29,'Feuerwaffen-Ressourcen'!$A$2:$AI$54,32,0)+VLOOKUP(I29,'Feuerwaffen-Ressourcen'!$A$2:$AI$54,32,0))*(VLOOKUP(B29,'Feuerwaffen-Ressourcen'!$A$2:$AI$54,34,0)+VLOOKUP(C29,'Feuerwaffen-Ressourcen'!$A$2:$AI$54,34,0)+VLOOKUP(D29,'Feuerwaffen-Ressourcen'!$A$2:$AI$54,34,0)+VLOOKUP(E29,'Feuerwaffen-Ressourcen'!$A$2:$AI$54,34,0)+VLOOKUP(G29,'Feuerwaffen-Ressourcen'!$A$2:$AI$54,34,0))+VLOOKUP(B29,'Feuerwaffen-Ressourcen'!$A$2:$AI$54,35,0)+VLOOKUP(C29,'Feuerwaffen-Ressourcen'!$A$2:$AI$54,35,0)+VLOOKUP(D29,'Feuerwaffen-Ressourcen'!$A$2:$AI$54,35,0)</f>
        <v>349.7</v>
      </c>
      <c r="AF29" s="55">
        <f>VLOOKUP(AB29,'Feuerwaffen-Ressourcen'!$AO$3:$AP$9,2,1)</f>
        <v>4</v>
      </c>
      <c r="AG29" s="55">
        <v>0</v>
      </c>
      <c r="AH29" s="28" t="s">
        <v>1420</v>
      </c>
      <c r="AI29" s="28" t="s">
        <v>8657</v>
      </c>
      <c r="AJ29" s="56">
        <v>3</v>
      </c>
      <c r="AK29" s="56" t="s">
        <v>5497</v>
      </c>
      <c r="AL29" s="56" t="s">
        <v>5486</v>
      </c>
      <c r="AM29" s="56">
        <v>3</v>
      </c>
      <c r="AN29" s="56">
        <v>5</v>
      </c>
      <c r="AO29" s="56">
        <v>4</v>
      </c>
      <c r="AP29" s="56">
        <v>4</v>
      </c>
      <c r="AQ29" s="56">
        <v>8</v>
      </c>
      <c r="AR29" s="56">
        <v>8</v>
      </c>
      <c r="AS29" s="56">
        <v>5</v>
      </c>
      <c r="AT29" s="56">
        <v>6</v>
      </c>
    </row>
    <row r="30" spans="1:46">
      <c r="A30" s="49" t="s">
        <v>8851</v>
      </c>
      <c r="B30" s="49" t="s">
        <v>1180</v>
      </c>
      <c r="C30" s="49" t="s">
        <v>8921</v>
      </c>
      <c r="D30" s="49" t="s">
        <v>8929</v>
      </c>
      <c r="E30" s="49" t="s">
        <v>8262</v>
      </c>
      <c r="F30" s="49" t="s">
        <v>8930</v>
      </c>
      <c r="G30" s="49" t="s">
        <v>8932</v>
      </c>
      <c r="H30" s="49" t="s">
        <v>8827</v>
      </c>
      <c r="I30" s="49" t="s">
        <v>7341</v>
      </c>
      <c r="J30" s="49" t="s">
        <v>7320</v>
      </c>
      <c r="K30" s="51">
        <f>VLOOKUP(B30,'Feuerwaffen-Ressourcen'!$A$2:$AI$54,11,0)+VLOOKUP(C30,'Feuerwaffen-Ressourcen'!$A$2:$AI$54,11,0)+VLOOKUP(D30,'Feuerwaffen-Ressourcen'!$A$2:$AI$54,11,0)+VLOOKUP(E30,'Feuerwaffen-Ressourcen'!$A$2:$AI$54,11,0)+VLOOKUP(G30,'Feuerwaffen-Ressourcen'!$A$2:$AI$54,11,0)</f>
        <v>2.4499999999999997</v>
      </c>
      <c r="L30" s="50">
        <f>VLOOKUP(B30,'Feuerwaffen-Ressourcen'!$A$2:$AI$54,12,0)+VLOOKUP(C30,'Feuerwaffen-Ressourcen'!$A$2:$AI$54,12,0)+VLOOKUP(D30,'Feuerwaffen-Ressourcen'!$A$2:$AI$54,12,0)+VLOOKUP(J30,'Feuerwaffen-Ressourcen'!$A$2:$AI$54,12,0)</f>
        <v>6</v>
      </c>
      <c r="M30" s="50" t="str">
        <f>VLOOKUP(VLOOKUP(B30,'Feuerwaffen-Ressourcen'!$A$2:$AI$54,13,0)+VLOOKUP(C30,'Feuerwaffen-Ressourcen'!$A$2:$AI$54,13,0)+VLOOKUP(D30,'Feuerwaffen-Ressourcen'!$A$2:$AI$54,13,0),'Feuerwaffen-Ressourcen'!$AJ$3:$AK$12,2,0)</f>
        <v>W8</v>
      </c>
      <c r="N30" s="50" t="str">
        <f>VLOOKUP(VLOOKUP(B30,'Feuerwaffen-Ressourcen'!$A$2:$AI$54,14,0)+VLOOKUP(C30,'Feuerwaffen-Ressourcen'!$A$2:$AI$54,14,0)+VLOOKUP(D30,'Feuerwaffen-Ressourcen'!$A$2:$AI$54,14,0),'Feuerwaffen-Ressourcen'!$AJ$3:$AK$12,2,0)</f>
        <v>W8</v>
      </c>
      <c r="O30" s="50">
        <f>VLOOKUP(B30,'Feuerwaffen-Ressourcen'!$A$2:$AI$54,15,0)+VLOOKUP(C30,'Feuerwaffen-Ressourcen'!$A$2:$AI$54,15,0)+VLOOKUP(D30,'Feuerwaffen-Ressourcen'!$A$2:$AI$54,15,0)</f>
        <v>1</v>
      </c>
      <c r="P30" s="50">
        <f>VLOOKUP(B30,'Feuerwaffen-Ressourcen'!$A$2:$AI$54,16,0)+VLOOKUP(C30,'Feuerwaffen-Ressourcen'!$A$2:$AI$54,16,0)+VLOOKUP(D30,'Feuerwaffen-Ressourcen'!$A$2:$AI$54,16,0)+VLOOKUP(E30,'Feuerwaffen-Ressourcen'!$A$2:$AI$54,16,0)</f>
        <v>14</v>
      </c>
      <c r="Q30" s="52">
        <f>VLOOKUP(B30,'Feuerwaffen-Ressourcen'!$A$2:$AI$54,17,0)+VLOOKUP(C30,'Feuerwaffen-Ressourcen'!$A$2:$AI$54,17,0)+VLOOKUP(D30,'Feuerwaffen-Ressourcen'!$A$2:$AI$54,17,0)+VLOOKUP(E30,'Feuerwaffen-Ressourcen'!$A$2:$AI$54,17,0)</f>
        <v>16</v>
      </c>
      <c r="R30" s="50">
        <f>VLOOKUP(B30,'Feuerwaffen-Ressourcen'!$A$2:$AI$54,18,0)+VLOOKUP(C30,'Feuerwaffen-Ressourcen'!$A$2:$AI$54,18,0)+VLOOKUP(D30,'Feuerwaffen-Ressourcen'!$A$2:$AI$54,18,0)+VLOOKUP(F30,'Feuerwaffen-Ressourcen'!$A$2:$AI$54,18,0)+VLOOKUP(G30,'Feuerwaffen-Ressourcen'!$A$2:$AI$54,18,0)+VLOOKUP(I30,'Feuerwaffen-Ressourcen'!$A$2:$AI$54,18,0)+VLOOKUP(J30,'Feuerwaffen-Ressourcen'!$A$2:$AI$54,18,0)</f>
        <v>8</v>
      </c>
      <c r="S30" s="50">
        <f>VLOOKUP(B30,'Feuerwaffen-Ressourcen'!$A$2:$AI$54,19,0)+VLOOKUP(C30,'Feuerwaffen-Ressourcen'!$A$2:$AI$54,19,0)+VLOOKUP(D30,'Feuerwaffen-Ressourcen'!$A$2:$AI$54,19,0)+VLOOKUP(F30,'Feuerwaffen-Ressourcen'!$A$2:$AI$54,19,0)+VLOOKUP(G30,'Feuerwaffen-Ressourcen'!$A$2:$AI$54,19,0)+VLOOKUP(I30,'Feuerwaffen-Ressourcen'!$A$2:$AI$54,19,0)+VLOOKUP(J30,'Feuerwaffen-Ressourcen'!$A$2:$AI$54,19,0)</f>
        <v>2</v>
      </c>
      <c r="T30" s="50">
        <f>VLOOKUP(B30,'Feuerwaffen-Ressourcen'!$A$2:$AI$54,20,0)+VLOOKUP(C30,'Feuerwaffen-Ressourcen'!$A$2:$AI$54,20,0)+VLOOKUP(D30,'Feuerwaffen-Ressourcen'!$A$2:$AI$54,20,0)+VLOOKUP(F30,'Feuerwaffen-Ressourcen'!$A$2:$AI$54,20,0)+VLOOKUP(G30,'Feuerwaffen-Ressourcen'!$A$2:$AI$54,20,0)+VLOOKUP(I30,'Feuerwaffen-Ressourcen'!$A$2:$AI$54,20,0)+VLOOKUP(J30,'Feuerwaffen-Ressourcen'!$A$2:$AI$54,20,0)</f>
        <v>-5</v>
      </c>
      <c r="U30" s="50">
        <f>VLOOKUP(B30,'Feuerwaffen-Ressourcen'!$A$2:$AI$54,21,0)+VLOOKUP(C30,'Feuerwaffen-Ressourcen'!$A$2:$AI$54,21,0)+VLOOKUP(D30,'Feuerwaffen-Ressourcen'!$A$2:$AI$54,21,0)+VLOOKUP(F30,'Feuerwaffen-Ressourcen'!$A$2:$AI$54,21,0)+VLOOKUP(G30,'Feuerwaffen-Ressourcen'!$A$2:$AI$54,21,0)+VLOOKUP(I30,'Feuerwaffen-Ressourcen'!$A$2:$AI$54,21,0)+VLOOKUP(J30,'Feuerwaffen-Ressourcen'!$A$2:$AI$54,21,0)</f>
        <v>-15</v>
      </c>
      <c r="V30" s="50">
        <f>VLOOKUP(B30,'Feuerwaffen-Ressourcen'!$A$2:$AI$54,22,0)+VLOOKUP(C30,'Feuerwaffen-Ressourcen'!$A$2:$AI$54,22,0)+VLOOKUP(D30,'Feuerwaffen-Ressourcen'!$A$2:$AI$54,22,0)+VLOOKUP(F30,'Feuerwaffen-Ressourcen'!$A$2:$AI$54,22,0)+VLOOKUP(G30,'Feuerwaffen-Ressourcen'!$A$2:$AI$54,22,0)+VLOOKUP(I30,'Feuerwaffen-Ressourcen'!$A$2:$AI$54,22,0)+VLOOKUP(J30,'Feuerwaffen-Ressourcen'!$A$2:$AI$54,22,0)</f>
        <v>-25</v>
      </c>
      <c r="W30" s="50">
        <f>VLOOKUP(B30,'Feuerwaffen-Ressourcen'!$A$2:$AI$54,23,0)+VLOOKUP(C30,'Feuerwaffen-Ressourcen'!$A$2:$AI$54,23,0)+VLOOKUP(D30,'Feuerwaffen-Ressourcen'!$A$2:$AI$54,23,0)+VLOOKUP(F30,'Feuerwaffen-Ressourcen'!$A$2:$AI$54,23,0)+VLOOKUP(G30,'Feuerwaffen-Ressourcen'!$A$2:$AI$54,23,0)+VLOOKUP(I30,'Feuerwaffen-Ressourcen'!$A$2:$AI$54,23,0)+VLOOKUP(J30,'Feuerwaffen-Ressourcen'!$A$2:$AI$54,23,0)</f>
        <v>-35</v>
      </c>
      <c r="X30" s="50">
        <f>VLOOKUP(B30,'Feuerwaffen-Ressourcen'!$A$2:$AI$54,24,0)+VLOOKUP(C30,'Feuerwaffen-Ressourcen'!$A$2:$AI$54,24,0)+VLOOKUP(D30,'Feuerwaffen-Ressourcen'!$A$2:$AI$54,24,0)+VLOOKUP(G30,'Feuerwaffen-Ressourcen'!$A$2:$AI$54,24,0)</f>
        <v>60</v>
      </c>
      <c r="Y30" s="50">
        <f>VLOOKUP(D30,'Feuerwaffen-Ressourcen'!$A$2:$AI$54,25,0)+VLOOKUP(E30,'Feuerwaffen-Ressourcen'!$A$2:$AI$54,25,0)+VLOOKUP(F30,'Feuerwaffen-Ressourcen'!$A$2:$AI$54,25,0)</f>
        <v>11</v>
      </c>
      <c r="Z30" s="50">
        <f>VLOOKUP(E30,'Feuerwaffen-Ressourcen'!$A$2:$AI$54,26,0)</f>
        <v>6</v>
      </c>
      <c r="AA30" s="50">
        <f>VLOOKUP(B30,'Feuerwaffen-Ressourcen'!$A$2:$AI$54,27,0)+VLOOKUP(D30,'Feuerwaffen-Ressourcen'!$A$2:$AI$54,27,0)+VLOOKUP(F30,'Feuerwaffen-Ressourcen'!$A$2:$AI$54,27,0)+VLOOKUP(I30,'Feuerwaffen-Ressourcen'!$A$2:$AI$54,27,0)</f>
        <v>2</v>
      </c>
      <c r="AB30" s="50">
        <f>VLOOKUP(B30,'Feuerwaffen-Ressourcen'!$A$2:$AI$54,28,0)+VLOOKUP(C30,'Feuerwaffen-Ressourcen'!$A$2:$AI$54,28,0)+VLOOKUP(D30,'Feuerwaffen-Ressourcen'!$A$2:$AI$54,28,0)+VLOOKUP(E30,'Feuerwaffen-Ressourcen'!$A$2:$AI$54,28,0)+VLOOKUP(F30,'Feuerwaffen-Ressourcen'!$A$2:$AI$54,28,0)+VLOOKUP(G30,'Feuerwaffen-Ressourcen'!$A$2:$AI$54,28,0)+VLOOKUP(I30,'Feuerwaffen-Ressourcen'!$A$2:$AI$54,28,0)+VLOOKUP(J30,'Feuerwaffen-Ressourcen'!$A$2:$AI$54,28,0)</f>
        <v>90</v>
      </c>
      <c r="AC30" s="53">
        <f>VLOOKUP(I30,'Feuerwaffen-Ressourcen'!$A$2:$AI$54,31,0)*AD30+AE30</f>
        <v>122.39999999999999</v>
      </c>
      <c r="AD30" s="54">
        <f>VLOOKUP(B30,'Feuerwaffen-Ressourcen'!$A$2:$AI$54,30,0)+VLOOKUP(C30,'Feuerwaffen-Ressourcen'!$A$2:$AI$54,30,0)+VLOOKUP(D30,'Feuerwaffen-Ressourcen'!$A$2:$AI$54,30,0)+VLOOKUP(F30,'Feuerwaffen-Ressourcen'!$A$2:$AI$54,30,0)+VLOOKUP(G30,'Feuerwaffen-Ressourcen'!$A$2:$AI$54,30,0)+VLOOKUP(I30,'Feuerwaffen-Ressourcen'!$A$2:$AI$54,30,0)+VLOOKUP(J30,'Feuerwaffen-Ressourcen'!$A$2:$AI$54,30,0)</f>
        <v>4.7</v>
      </c>
      <c r="AE30" s="53">
        <f>(VLOOKUP(C30,'Feuerwaffen-Ressourcen'!$A$2:$AI$54,32,0)+VLOOKUP(I30,'Feuerwaffen-Ressourcen'!$A$2:$AI$54,32,0))*(VLOOKUP(B30,'Feuerwaffen-Ressourcen'!$A$2:$AI$54,34,0)+VLOOKUP(C30,'Feuerwaffen-Ressourcen'!$A$2:$AI$54,34,0)+VLOOKUP(D30,'Feuerwaffen-Ressourcen'!$A$2:$AI$54,34,0)+VLOOKUP(E30,'Feuerwaffen-Ressourcen'!$A$2:$AI$54,34,0)+VLOOKUP(G30,'Feuerwaffen-Ressourcen'!$A$2:$AI$54,34,0))+VLOOKUP(B30,'Feuerwaffen-Ressourcen'!$A$2:$AI$54,35,0)+VLOOKUP(C30,'Feuerwaffen-Ressourcen'!$A$2:$AI$54,35,0)+VLOOKUP(D30,'Feuerwaffen-Ressourcen'!$A$2:$AI$54,35,0)</f>
        <v>103.6</v>
      </c>
      <c r="AF30" s="55">
        <f>VLOOKUP(AB30,'Feuerwaffen-Ressourcen'!$AO$3:$AP$9,2,1)</f>
        <v>5</v>
      </c>
      <c r="AG30" s="55">
        <v>0</v>
      </c>
      <c r="AH30" s="28" t="s">
        <v>1420</v>
      </c>
      <c r="AI30" s="28" t="s">
        <v>8657</v>
      </c>
      <c r="AJ30" s="56">
        <v>3</v>
      </c>
      <c r="AK30" s="56" t="s">
        <v>5497</v>
      </c>
      <c r="AL30" s="56" t="s">
        <v>5486</v>
      </c>
      <c r="AM30" s="56">
        <v>3</v>
      </c>
      <c r="AN30" s="56">
        <v>5</v>
      </c>
      <c r="AO30" s="56">
        <v>4</v>
      </c>
      <c r="AP30" s="56">
        <v>4</v>
      </c>
      <c r="AQ30" s="56">
        <v>6</v>
      </c>
      <c r="AR30" s="56">
        <v>6</v>
      </c>
      <c r="AS30" s="56">
        <v>5</v>
      </c>
      <c r="AT30" s="56">
        <v>6</v>
      </c>
    </row>
    <row r="31" spans="1:46">
      <c r="A31" s="49" t="s">
        <v>8852</v>
      </c>
      <c r="B31" s="49" t="s">
        <v>1180</v>
      </c>
      <c r="C31" s="49" t="s">
        <v>8921</v>
      </c>
      <c r="D31" s="49" t="s">
        <v>8912</v>
      </c>
      <c r="E31" s="49" t="s">
        <v>8262</v>
      </c>
      <c r="F31" s="49" t="s">
        <v>8930</v>
      </c>
      <c r="G31" s="49" t="s">
        <v>8932</v>
      </c>
      <c r="H31" s="49" t="s">
        <v>8827</v>
      </c>
      <c r="I31" s="49" t="s">
        <v>7341</v>
      </c>
      <c r="J31" s="49" t="s">
        <v>7320</v>
      </c>
      <c r="K31" s="51">
        <f>VLOOKUP(B31,'Feuerwaffen-Ressourcen'!$A$2:$AI$54,11,0)+VLOOKUP(C31,'Feuerwaffen-Ressourcen'!$A$2:$AI$54,11,0)+VLOOKUP(D31,'Feuerwaffen-Ressourcen'!$A$2:$AI$54,11,0)+VLOOKUP(E31,'Feuerwaffen-Ressourcen'!$A$2:$AI$54,11,0)+VLOOKUP(G31,'Feuerwaffen-Ressourcen'!$A$2:$AI$54,11,0)</f>
        <v>3.3499999999999996</v>
      </c>
      <c r="L31" s="50">
        <f>VLOOKUP(B31,'Feuerwaffen-Ressourcen'!$A$2:$AI$54,12,0)+VLOOKUP(C31,'Feuerwaffen-Ressourcen'!$A$2:$AI$54,12,0)+VLOOKUP(D31,'Feuerwaffen-Ressourcen'!$A$2:$AI$54,12,0)+VLOOKUP(J31,'Feuerwaffen-Ressourcen'!$A$2:$AI$54,12,0)</f>
        <v>7</v>
      </c>
      <c r="M31" s="50" t="str">
        <f>VLOOKUP(VLOOKUP(B31,'Feuerwaffen-Ressourcen'!$A$2:$AI$54,13,0)+VLOOKUP(C31,'Feuerwaffen-Ressourcen'!$A$2:$AI$54,13,0)+VLOOKUP(D31,'Feuerwaffen-Ressourcen'!$A$2:$AI$54,13,0),'Feuerwaffen-Ressourcen'!$AJ$3:$AK$12,2,0)</f>
        <v>W8</v>
      </c>
      <c r="N31" s="50" t="str">
        <f>VLOOKUP(VLOOKUP(B31,'Feuerwaffen-Ressourcen'!$A$2:$AI$54,14,0)+VLOOKUP(C31,'Feuerwaffen-Ressourcen'!$A$2:$AI$54,14,0)+VLOOKUP(D31,'Feuerwaffen-Ressourcen'!$A$2:$AI$54,14,0),'Feuerwaffen-Ressourcen'!$AJ$3:$AK$12,2,0)</f>
        <v>W8</v>
      </c>
      <c r="O31" s="50">
        <f>VLOOKUP(B31,'Feuerwaffen-Ressourcen'!$A$2:$AI$54,15,0)+VLOOKUP(C31,'Feuerwaffen-Ressourcen'!$A$2:$AI$54,15,0)+VLOOKUP(D31,'Feuerwaffen-Ressourcen'!$A$2:$AI$54,15,0)</f>
        <v>1</v>
      </c>
      <c r="P31" s="50">
        <f>VLOOKUP(B31,'Feuerwaffen-Ressourcen'!$A$2:$AI$54,16,0)+VLOOKUP(C31,'Feuerwaffen-Ressourcen'!$A$2:$AI$54,16,0)+VLOOKUP(D31,'Feuerwaffen-Ressourcen'!$A$2:$AI$54,16,0)+VLOOKUP(E31,'Feuerwaffen-Ressourcen'!$A$2:$AI$54,16,0)</f>
        <v>14</v>
      </c>
      <c r="Q31" s="52">
        <f>VLOOKUP(B31,'Feuerwaffen-Ressourcen'!$A$2:$AI$54,17,0)+VLOOKUP(C31,'Feuerwaffen-Ressourcen'!$A$2:$AI$54,17,0)+VLOOKUP(D31,'Feuerwaffen-Ressourcen'!$A$2:$AI$54,17,0)+VLOOKUP(E31,'Feuerwaffen-Ressourcen'!$A$2:$AI$54,17,0)</f>
        <v>16</v>
      </c>
      <c r="R31" s="50">
        <f>VLOOKUP(B31,'Feuerwaffen-Ressourcen'!$A$2:$AI$54,18,0)+VLOOKUP(C31,'Feuerwaffen-Ressourcen'!$A$2:$AI$54,18,0)+VLOOKUP(D31,'Feuerwaffen-Ressourcen'!$A$2:$AI$54,18,0)+VLOOKUP(F31,'Feuerwaffen-Ressourcen'!$A$2:$AI$54,18,0)+VLOOKUP(G31,'Feuerwaffen-Ressourcen'!$A$2:$AI$54,18,0)+VLOOKUP(I31,'Feuerwaffen-Ressourcen'!$A$2:$AI$54,18,0)+VLOOKUP(J31,'Feuerwaffen-Ressourcen'!$A$2:$AI$54,18,0)</f>
        <v>6</v>
      </c>
      <c r="S31" s="50">
        <f>VLOOKUP(B31,'Feuerwaffen-Ressourcen'!$A$2:$AI$54,19,0)+VLOOKUP(C31,'Feuerwaffen-Ressourcen'!$A$2:$AI$54,19,0)+VLOOKUP(D31,'Feuerwaffen-Ressourcen'!$A$2:$AI$54,19,0)+VLOOKUP(F31,'Feuerwaffen-Ressourcen'!$A$2:$AI$54,19,0)+VLOOKUP(G31,'Feuerwaffen-Ressourcen'!$A$2:$AI$54,19,0)+VLOOKUP(I31,'Feuerwaffen-Ressourcen'!$A$2:$AI$54,19,0)+VLOOKUP(J31,'Feuerwaffen-Ressourcen'!$A$2:$AI$54,19,0)</f>
        <v>2</v>
      </c>
      <c r="T31" s="50">
        <f>VLOOKUP(B31,'Feuerwaffen-Ressourcen'!$A$2:$AI$54,20,0)+VLOOKUP(C31,'Feuerwaffen-Ressourcen'!$A$2:$AI$54,20,0)+VLOOKUP(D31,'Feuerwaffen-Ressourcen'!$A$2:$AI$54,20,0)+VLOOKUP(F31,'Feuerwaffen-Ressourcen'!$A$2:$AI$54,20,0)+VLOOKUP(G31,'Feuerwaffen-Ressourcen'!$A$2:$AI$54,20,0)+VLOOKUP(I31,'Feuerwaffen-Ressourcen'!$A$2:$AI$54,20,0)+VLOOKUP(J31,'Feuerwaffen-Ressourcen'!$A$2:$AI$54,20,0)</f>
        <v>-3</v>
      </c>
      <c r="U31" s="50">
        <f>VLOOKUP(B31,'Feuerwaffen-Ressourcen'!$A$2:$AI$54,21,0)+VLOOKUP(C31,'Feuerwaffen-Ressourcen'!$A$2:$AI$54,21,0)+VLOOKUP(D31,'Feuerwaffen-Ressourcen'!$A$2:$AI$54,21,0)+VLOOKUP(F31,'Feuerwaffen-Ressourcen'!$A$2:$AI$54,21,0)+VLOOKUP(G31,'Feuerwaffen-Ressourcen'!$A$2:$AI$54,21,0)+VLOOKUP(I31,'Feuerwaffen-Ressourcen'!$A$2:$AI$54,21,0)+VLOOKUP(J31,'Feuerwaffen-Ressourcen'!$A$2:$AI$54,21,0)</f>
        <v>-11</v>
      </c>
      <c r="V31" s="50">
        <f>VLOOKUP(B31,'Feuerwaffen-Ressourcen'!$A$2:$AI$54,22,0)+VLOOKUP(C31,'Feuerwaffen-Ressourcen'!$A$2:$AI$54,22,0)+VLOOKUP(D31,'Feuerwaffen-Ressourcen'!$A$2:$AI$54,22,0)+VLOOKUP(F31,'Feuerwaffen-Ressourcen'!$A$2:$AI$54,22,0)+VLOOKUP(G31,'Feuerwaffen-Ressourcen'!$A$2:$AI$54,22,0)+VLOOKUP(I31,'Feuerwaffen-Ressourcen'!$A$2:$AI$54,22,0)+VLOOKUP(J31,'Feuerwaffen-Ressourcen'!$A$2:$AI$54,22,0)</f>
        <v>-19</v>
      </c>
      <c r="W31" s="50">
        <f>VLOOKUP(B31,'Feuerwaffen-Ressourcen'!$A$2:$AI$54,23,0)+VLOOKUP(C31,'Feuerwaffen-Ressourcen'!$A$2:$AI$54,23,0)+VLOOKUP(D31,'Feuerwaffen-Ressourcen'!$A$2:$AI$54,23,0)+VLOOKUP(F31,'Feuerwaffen-Ressourcen'!$A$2:$AI$54,23,0)+VLOOKUP(G31,'Feuerwaffen-Ressourcen'!$A$2:$AI$54,23,0)+VLOOKUP(I31,'Feuerwaffen-Ressourcen'!$A$2:$AI$54,23,0)+VLOOKUP(J31,'Feuerwaffen-Ressourcen'!$A$2:$AI$54,23,0)</f>
        <v>-27</v>
      </c>
      <c r="X31" s="50">
        <f>VLOOKUP(B31,'Feuerwaffen-Ressourcen'!$A$2:$AI$54,24,0)+VLOOKUP(C31,'Feuerwaffen-Ressourcen'!$A$2:$AI$54,24,0)+VLOOKUP(D31,'Feuerwaffen-Ressourcen'!$A$2:$AI$54,24,0)+VLOOKUP(G31,'Feuerwaffen-Ressourcen'!$A$2:$AI$54,24,0)</f>
        <v>70</v>
      </c>
      <c r="Y31" s="50">
        <f>VLOOKUP(D31,'Feuerwaffen-Ressourcen'!$A$2:$AI$54,25,0)+VLOOKUP(E31,'Feuerwaffen-Ressourcen'!$A$2:$AI$54,25,0)+VLOOKUP(F31,'Feuerwaffen-Ressourcen'!$A$2:$AI$54,25,0)</f>
        <v>11</v>
      </c>
      <c r="Z31" s="50">
        <f>VLOOKUP(E31,'Feuerwaffen-Ressourcen'!$A$2:$AI$54,26,0)</f>
        <v>6</v>
      </c>
      <c r="AA31" s="50">
        <f>VLOOKUP(B31,'Feuerwaffen-Ressourcen'!$A$2:$AI$54,27,0)+VLOOKUP(D31,'Feuerwaffen-Ressourcen'!$A$2:$AI$54,27,0)+VLOOKUP(F31,'Feuerwaffen-Ressourcen'!$A$2:$AI$54,27,0)+VLOOKUP(I31,'Feuerwaffen-Ressourcen'!$A$2:$AI$54,27,0)</f>
        <v>2</v>
      </c>
      <c r="AB31" s="50">
        <f>VLOOKUP(B31,'Feuerwaffen-Ressourcen'!$A$2:$AI$54,28,0)+VLOOKUP(C31,'Feuerwaffen-Ressourcen'!$A$2:$AI$54,28,0)+VLOOKUP(D31,'Feuerwaffen-Ressourcen'!$A$2:$AI$54,28,0)+VLOOKUP(E31,'Feuerwaffen-Ressourcen'!$A$2:$AI$54,28,0)+VLOOKUP(F31,'Feuerwaffen-Ressourcen'!$A$2:$AI$54,28,0)+VLOOKUP(G31,'Feuerwaffen-Ressourcen'!$A$2:$AI$54,28,0)+VLOOKUP(I31,'Feuerwaffen-Ressourcen'!$A$2:$AI$54,28,0)+VLOOKUP(J31,'Feuerwaffen-Ressourcen'!$A$2:$AI$54,28,0)</f>
        <v>110</v>
      </c>
      <c r="AC31" s="53">
        <f>VLOOKUP(I31,'Feuerwaffen-Ressourcen'!$A$2:$AI$54,31,0)*AD31+AE31</f>
        <v>218.50000000000003</v>
      </c>
      <c r="AD31" s="54">
        <f>VLOOKUP(B31,'Feuerwaffen-Ressourcen'!$A$2:$AI$54,30,0)+VLOOKUP(C31,'Feuerwaffen-Ressourcen'!$A$2:$AI$54,30,0)+VLOOKUP(D31,'Feuerwaffen-Ressourcen'!$A$2:$AI$54,30,0)+VLOOKUP(F31,'Feuerwaffen-Ressourcen'!$A$2:$AI$54,30,0)+VLOOKUP(G31,'Feuerwaffen-Ressourcen'!$A$2:$AI$54,30,0)+VLOOKUP(I31,'Feuerwaffen-Ressourcen'!$A$2:$AI$54,30,0)+VLOOKUP(J31,'Feuerwaffen-Ressourcen'!$A$2:$AI$54,30,0)</f>
        <v>4.7</v>
      </c>
      <c r="AE31" s="53">
        <f>(VLOOKUP(C31,'Feuerwaffen-Ressourcen'!$A$2:$AI$54,32,0)+VLOOKUP(I31,'Feuerwaffen-Ressourcen'!$A$2:$AI$54,32,0))*(VLOOKUP(B31,'Feuerwaffen-Ressourcen'!$A$2:$AI$54,34,0)+VLOOKUP(C31,'Feuerwaffen-Ressourcen'!$A$2:$AI$54,34,0)+VLOOKUP(D31,'Feuerwaffen-Ressourcen'!$A$2:$AI$54,34,0)+VLOOKUP(E31,'Feuerwaffen-Ressourcen'!$A$2:$AI$54,34,0)+VLOOKUP(G31,'Feuerwaffen-Ressourcen'!$A$2:$AI$54,34,0))+VLOOKUP(B31,'Feuerwaffen-Ressourcen'!$A$2:$AI$54,35,0)+VLOOKUP(C31,'Feuerwaffen-Ressourcen'!$A$2:$AI$54,35,0)+VLOOKUP(D31,'Feuerwaffen-Ressourcen'!$A$2:$AI$54,35,0)</f>
        <v>199.70000000000002</v>
      </c>
      <c r="AF31" s="55">
        <f>VLOOKUP(AB31,'Feuerwaffen-Ressourcen'!$AO$3:$AP$9,2,1)</f>
        <v>4</v>
      </c>
      <c r="AG31" s="55">
        <v>0</v>
      </c>
      <c r="AH31" s="28" t="s">
        <v>1420</v>
      </c>
      <c r="AI31" s="28" t="s">
        <v>8657</v>
      </c>
      <c r="AJ31" s="56">
        <v>3</v>
      </c>
      <c r="AK31" s="56" t="s">
        <v>5497</v>
      </c>
      <c r="AL31" s="56" t="s">
        <v>5486</v>
      </c>
      <c r="AM31" s="56">
        <v>3</v>
      </c>
      <c r="AN31" s="56">
        <v>5</v>
      </c>
      <c r="AO31" s="56">
        <v>4</v>
      </c>
      <c r="AP31" s="56">
        <v>4</v>
      </c>
      <c r="AQ31" s="56">
        <v>7</v>
      </c>
      <c r="AR31" s="56">
        <v>7</v>
      </c>
      <c r="AS31" s="56">
        <v>5</v>
      </c>
      <c r="AT31" s="56">
        <v>6</v>
      </c>
    </row>
    <row r="32" spans="1:46">
      <c r="A32" s="49" t="s">
        <v>8853</v>
      </c>
      <c r="B32" s="49" t="s">
        <v>1180</v>
      </c>
      <c r="C32" s="49" t="s">
        <v>8921</v>
      </c>
      <c r="D32" s="49" t="s">
        <v>8942</v>
      </c>
      <c r="E32" s="49" t="s">
        <v>8258</v>
      </c>
      <c r="F32" s="49" t="s">
        <v>8928</v>
      </c>
      <c r="G32" s="49" t="s">
        <v>8923</v>
      </c>
      <c r="H32" s="49" t="s">
        <v>8271</v>
      </c>
      <c r="I32" s="49" t="s">
        <v>7341</v>
      </c>
      <c r="J32" s="49" t="s">
        <v>7320</v>
      </c>
      <c r="K32" s="51">
        <f>VLOOKUP(B32,'Feuerwaffen-Ressourcen'!$A$2:$AI$54,11,0)+VLOOKUP(C32,'Feuerwaffen-Ressourcen'!$A$2:$AI$54,11,0)+VLOOKUP(D32,'Feuerwaffen-Ressourcen'!$A$2:$AI$54,11,0)+VLOOKUP(E32,'Feuerwaffen-Ressourcen'!$A$2:$AI$54,11,0)+VLOOKUP(G32,'Feuerwaffen-Ressourcen'!$A$2:$AI$54,11,0)</f>
        <v>2.5999999999999996</v>
      </c>
      <c r="L32" s="50">
        <f>VLOOKUP(B32,'Feuerwaffen-Ressourcen'!$A$2:$AI$54,12,0)+VLOOKUP(C32,'Feuerwaffen-Ressourcen'!$A$2:$AI$54,12,0)+VLOOKUP(D32,'Feuerwaffen-Ressourcen'!$A$2:$AI$54,12,0)+VLOOKUP(J32,'Feuerwaffen-Ressourcen'!$A$2:$AI$54,12,0)</f>
        <v>6</v>
      </c>
      <c r="M32" s="50" t="str">
        <f>VLOOKUP(VLOOKUP(B32,'Feuerwaffen-Ressourcen'!$A$2:$AI$54,13,0)+VLOOKUP(C32,'Feuerwaffen-Ressourcen'!$A$2:$AI$54,13,0)+VLOOKUP(D32,'Feuerwaffen-Ressourcen'!$A$2:$AI$54,13,0),'Feuerwaffen-Ressourcen'!$AJ$3:$AK$12,2,0)</f>
        <v>W8</v>
      </c>
      <c r="N32" s="50" t="str">
        <f>VLOOKUP(VLOOKUP(B32,'Feuerwaffen-Ressourcen'!$A$2:$AI$54,14,0)+VLOOKUP(C32,'Feuerwaffen-Ressourcen'!$A$2:$AI$54,14,0)+VLOOKUP(D32,'Feuerwaffen-Ressourcen'!$A$2:$AI$54,14,0),'Feuerwaffen-Ressourcen'!$AJ$3:$AK$12,2,0)</f>
        <v>W8</v>
      </c>
      <c r="O32" s="50">
        <f>VLOOKUP(B32,'Feuerwaffen-Ressourcen'!$A$2:$AI$54,15,0)+VLOOKUP(C32,'Feuerwaffen-Ressourcen'!$A$2:$AI$54,15,0)+VLOOKUP(D32,'Feuerwaffen-Ressourcen'!$A$2:$AI$54,15,0)</f>
        <v>1</v>
      </c>
      <c r="P32" s="50">
        <f>VLOOKUP(B32,'Feuerwaffen-Ressourcen'!$A$2:$AI$54,16,0)+VLOOKUP(C32,'Feuerwaffen-Ressourcen'!$A$2:$AI$54,16,0)+VLOOKUP(D32,'Feuerwaffen-Ressourcen'!$A$2:$AI$54,16,0)+VLOOKUP(E32,'Feuerwaffen-Ressourcen'!$A$2:$AI$54,16,0)</f>
        <v>14</v>
      </c>
      <c r="Q32" s="52">
        <f>VLOOKUP(B32,'Feuerwaffen-Ressourcen'!$A$2:$AI$54,17,0)+VLOOKUP(C32,'Feuerwaffen-Ressourcen'!$A$2:$AI$54,17,0)+VLOOKUP(D32,'Feuerwaffen-Ressourcen'!$A$2:$AI$54,17,0)+VLOOKUP(E32,'Feuerwaffen-Ressourcen'!$A$2:$AI$54,17,0)</f>
        <v>16</v>
      </c>
      <c r="R32" s="50">
        <f>VLOOKUP(B32,'Feuerwaffen-Ressourcen'!$A$2:$AI$54,18,0)+VLOOKUP(C32,'Feuerwaffen-Ressourcen'!$A$2:$AI$54,18,0)+VLOOKUP(D32,'Feuerwaffen-Ressourcen'!$A$2:$AI$54,18,0)+VLOOKUP(F32,'Feuerwaffen-Ressourcen'!$A$2:$AI$54,18,0)+VLOOKUP(G32,'Feuerwaffen-Ressourcen'!$A$2:$AI$54,18,0)+VLOOKUP(I32,'Feuerwaffen-Ressourcen'!$A$2:$AI$54,18,0)+VLOOKUP(J32,'Feuerwaffen-Ressourcen'!$A$2:$AI$54,18,0)</f>
        <v>1</v>
      </c>
      <c r="S32" s="50">
        <f>VLOOKUP(B32,'Feuerwaffen-Ressourcen'!$A$2:$AI$54,19,0)+VLOOKUP(C32,'Feuerwaffen-Ressourcen'!$A$2:$AI$54,19,0)+VLOOKUP(D32,'Feuerwaffen-Ressourcen'!$A$2:$AI$54,19,0)+VLOOKUP(F32,'Feuerwaffen-Ressourcen'!$A$2:$AI$54,19,0)+VLOOKUP(G32,'Feuerwaffen-Ressourcen'!$A$2:$AI$54,19,0)+VLOOKUP(I32,'Feuerwaffen-Ressourcen'!$A$2:$AI$54,19,0)+VLOOKUP(J32,'Feuerwaffen-Ressourcen'!$A$2:$AI$54,19,0)</f>
        <v>-4</v>
      </c>
      <c r="T32" s="50">
        <f>VLOOKUP(B32,'Feuerwaffen-Ressourcen'!$A$2:$AI$54,20,0)+VLOOKUP(C32,'Feuerwaffen-Ressourcen'!$A$2:$AI$54,20,0)+VLOOKUP(D32,'Feuerwaffen-Ressourcen'!$A$2:$AI$54,20,0)+VLOOKUP(F32,'Feuerwaffen-Ressourcen'!$A$2:$AI$54,20,0)+VLOOKUP(G32,'Feuerwaffen-Ressourcen'!$A$2:$AI$54,20,0)+VLOOKUP(I32,'Feuerwaffen-Ressourcen'!$A$2:$AI$54,20,0)+VLOOKUP(J32,'Feuerwaffen-Ressourcen'!$A$2:$AI$54,20,0)</f>
        <v>-10</v>
      </c>
      <c r="U32" s="50">
        <f>VLOOKUP(B32,'Feuerwaffen-Ressourcen'!$A$2:$AI$54,21,0)+VLOOKUP(C32,'Feuerwaffen-Ressourcen'!$A$2:$AI$54,21,0)+VLOOKUP(D32,'Feuerwaffen-Ressourcen'!$A$2:$AI$54,21,0)+VLOOKUP(F32,'Feuerwaffen-Ressourcen'!$A$2:$AI$54,21,0)+VLOOKUP(G32,'Feuerwaffen-Ressourcen'!$A$2:$AI$54,21,0)+VLOOKUP(I32,'Feuerwaffen-Ressourcen'!$A$2:$AI$54,21,0)+VLOOKUP(J32,'Feuerwaffen-Ressourcen'!$A$2:$AI$54,21,0)</f>
        <v>-17</v>
      </c>
      <c r="V32" s="50">
        <f>VLOOKUP(B32,'Feuerwaffen-Ressourcen'!$A$2:$AI$54,22,0)+VLOOKUP(C32,'Feuerwaffen-Ressourcen'!$A$2:$AI$54,22,0)+VLOOKUP(D32,'Feuerwaffen-Ressourcen'!$A$2:$AI$54,22,0)+VLOOKUP(F32,'Feuerwaffen-Ressourcen'!$A$2:$AI$54,22,0)+VLOOKUP(G32,'Feuerwaffen-Ressourcen'!$A$2:$AI$54,22,0)+VLOOKUP(I32,'Feuerwaffen-Ressourcen'!$A$2:$AI$54,22,0)+VLOOKUP(J32,'Feuerwaffen-Ressourcen'!$A$2:$AI$54,22,0)</f>
        <v>-25</v>
      </c>
      <c r="W32" s="50">
        <f>VLOOKUP(B32,'Feuerwaffen-Ressourcen'!$A$2:$AI$54,23,0)+VLOOKUP(C32,'Feuerwaffen-Ressourcen'!$A$2:$AI$54,23,0)+VLOOKUP(D32,'Feuerwaffen-Ressourcen'!$A$2:$AI$54,23,0)+VLOOKUP(F32,'Feuerwaffen-Ressourcen'!$A$2:$AI$54,23,0)+VLOOKUP(G32,'Feuerwaffen-Ressourcen'!$A$2:$AI$54,23,0)+VLOOKUP(I32,'Feuerwaffen-Ressourcen'!$A$2:$AI$54,23,0)+VLOOKUP(J32,'Feuerwaffen-Ressourcen'!$A$2:$AI$54,23,0)</f>
        <v>-33</v>
      </c>
      <c r="X32" s="50">
        <f>VLOOKUP(B32,'Feuerwaffen-Ressourcen'!$A$2:$AI$54,24,0)+VLOOKUP(C32,'Feuerwaffen-Ressourcen'!$A$2:$AI$54,24,0)+VLOOKUP(D32,'Feuerwaffen-Ressourcen'!$A$2:$AI$54,24,0)+VLOOKUP(G32,'Feuerwaffen-Ressourcen'!$A$2:$AI$54,24,0)</f>
        <v>30</v>
      </c>
      <c r="Y32" s="50">
        <f>VLOOKUP(D32,'Feuerwaffen-Ressourcen'!$A$2:$AI$54,25,0)+VLOOKUP(E32,'Feuerwaffen-Ressourcen'!$A$2:$AI$54,25,0)+VLOOKUP(F32,'Feuerwaffen-Ressourcen'!$A$2:$AI$54,25,0)</f>
        <v>30</v>
      </c>
      <c r="Z32" s="50">
        <f>VLOOKUP(E32,'Feuerwaffen-Ressourcen'!$A$2:$AI$54,26,0)</f>
        <v>3</v>
      </c>
      <c r="AA32" s="50">
        <f>VLOOKUP(B32,'Feuerwaffen-Ressourcen'!$A$2:$AI$54,27,0)+VLOOKUP(D32,'Feuerwaffen-Ressourcen'!$A$2:$AI$54,27,0)+VLOOKUP(F32,'Feuerwaffen-Ressourcen'!$A$2:$AI$54,27,0)+VLOOKUP(I32,'Feuerwaffen-Ressourcen'!$A$2:$AI$54,27,0)</f>
        <v>5</v>
      </c>
      <c r="AB32" s="50">
        <f>VLOOKUP(B32,'Feuerwaffen-Ressourcen'!$A$2:$AI$54,28,0)+VLOOKUP(C32,'Feuerwaffen-Ressourcen'!$A$2:$AI$54,28,0)+VLOOKUP(D32,'Feuerwaffen-Ressourcen'!$A$2:$AI$54,28,0)+VLOOKUP(E32,'Feuerwaffen-Ressourcen'!$A$2:$AI$54,28,0)+VLOOKUP(F32,'Feuerwaffen-Ressourcen'!$A$2:$AI$54,28,0)+VLOOKUP(G32,'Feuerwaffen-Ressourcen'!$A$2:$AI$54,28,0)+VLOOKUP(I32,'Feuerwaffen-Ressourcen'!$A$2:$AI$54,28,0)+VLOOKUP(J32,'Feuerwaffen-Ressourcen'!$A$2:$AI$54,28,0)</f>
        <v>150</v>
      </c>
      <c r="AC32" s="53">
        <f>VLOOKUP(I32,'Feuerwaffen-Ressourcen'!$A$2:$AI$54,31,0)*AD32+AE32</f>
        <v>112.49999999999999</v>
      </c>
      <c r="AD32" s="54">
        <f>VLOOKUP(B32,'Feuerwaffen-Ressourcen'!$A$2:$AI$54,30,0)+VLOOKUP(C32,'Feuerwaffen-Ressourcen'!$A$2:$AI$54,30,0)+VLOOKUP(D32,'Feuerwaffen-Ressourcen'!$A$2:$AI$54,30,0)+VLOOKUP(F32,'Feuerwaffen-Ressourcen'!$A$2:$AI$54,30,0)+VLOOKUP(G32,'Feuerwaffen-Ressourcen'!$A$2:$AI$54,30,0)+VLOOKUP(I32,'Feuerwaffen-Ressourcen'!$A$2:$AI$54,30,0)+VLOOKUP(J32,'Feuerwaffen-Ressourcen'!$A$2:$AI$54,30,0)</f>
        <v>0.70000000000000018</v>
      </c>
      <c r="AE32" s="53">
        <f>(VLOOKUP(C32,'Feuerwaffen-Ressourcen'!$A$2:$AI$54,32,0)+VLOOKUP(I32,'Feuerwaffen-Ressourcen'!$A$2:$AI$54,32,0))*(VLOOKUP(B32,'Feuerwaffen-Ressourcen'!$A$2:$AI$54,34,0)+VLOOKUP(C32,'Feuerwaffen-Ressourcen'!$A$2:$AI$54,34,0)+VLOOKUP(D32,'Feuerwaffen-Ressourcen'!$A$2:$AI$54,34,0)+VLOOKUP(E32,'Feuerwaffen-Ressourcen'!$A$2:$AI$54,34,0)+VLOOKUP(G32,'Feuerwaffen-Ressourcen'!$A$2:$AI$54,34,0))+VLOOKUP(B32,'Feuerwaffen-Ressourcen'!$A$2:$AI$54,35,0)+VLOOKUP(C32,'Feuerwaffen-Ressourcen'!$A$2:$AI$54,35,0)+VLOOKUP(D32,'Feuerwaffen-Ressourcen'!$A$2:$AI$54,35,0)</f>
        <v>109.69999999999999</v>
      </c>
      <c r="AF32" s="55">
        <f>VLOOKUP(AB32,'Feuerwaffen-Ressourcen'!$AO$3:$AP$9,2,1)</f>
        <v>2</v>
      </c>
      <c r="AG32" s="55">
        <v>0</v>
      </c>
      <c r="AH32" s="28" t="s">
        <v>1420</v>
      </c>
      <c r="AI32" s="28" t="s">
        <v>8657</v>
      </c>
      <c r="AJ32" s="56">
        <v>3</v>
      </c>
      <c r="AK32" s="56" t="s">
        <v>5497</v>
      </c>
      <c r="AL32" s="56" t="s">
        <v>5486</v>
      </c>
      <c r="AM32" s="56">
        <v>3</v>
      </c>
      <c r="AN32" s="56">
        <v>5</v>
      </c>
      <c r="AO32" s="56">
        <v>4</v>
      </c>
      <c r="AP32" s="56">
        <v>4</v>
      </c>
      <c r="AQ32" s="56">
        <v>6</v>
      </c>
      <c r="AR32" s="56">
        <v>6</v>
      </c>
      <c r="AS32" s="56">
        <v>5</v>
      </c>
      <c r="AT32" s="56">
        <v>6</v>
      </c>
    </row>
    <row r="33" spans="1:46">
      <c r="A33" s="49" t="s">
        <v>8854</v>
      </c>
      <c r="B33" s="49" t="s">
        <v>1180</v>
      </c>
      <c r="C33" s="49" t="s">
        <v>8921</v>
      </c>
      <c r="D33" s="49" t="s">
        <v>8912</v>
      </c>
      <c r="E33" s="49" t="s">
        <v>8258</v>
      </c>
      <c r="F33" s="49" t="s">
        <v>8928</v>
      </c>
      <c r="G33" s="49" t="s">
        <v>8923</v>
      </c>
      <c r="H33" s="49" t="s">
        <v>8271</v>
      </c>
      <c r="I33" s="49" t="s">
        <v>7341</v>
      </c>
      <c r="J33" s="49" t="s">
        <v>7320</v>
      </c>
      <c r="K33" s="51">
        <f>VLOOKUP(B33,'Feuerwaffen-Ressourcen'!$A$2:$AI$54,11,0)+VLOOKUP(C33,'Feuerwaffen-Ressourcen'!$A$2:$AI$54,11,0)+VLOOKUP(D33,'Feuerwaffen-Ressourcen'!$A$2:$AI$54,11,0)+VLOOKUP(E33,'Feuerwaffen-Ressourcen'!$A$2:$AI$54,11,0)+VLOOKUP(G33,'Feuerwaffen-Ressourcen'!$A$2:$AI$54,11,0)</f>
        <v>3.0999999999999996</v>
      </c>
      <c r="L33" s="50">
        <f>VLOOKUP(B33,'Feuerwaffen-Ressourcen'!$A$2:$AI$54,12,0)+VLOOKUP(C33,'Feuerwaffen-Ressourcen'!$A$2:$AI$54,12,0)+VLOOKUP(D33,'Feuerwaffen-Ressourcen'!$A$2:$AI$54,12,0)+VLOOKUP(J33,'Feuerwaffen-Ressourcen'!$A$2:$AI$54,12,0)</f>
        <v>7</v>
      </c>
      <c r="M33" s="50" t="str">
        <f>VLOOKUP(VLOOKUP(B33,'Feuerwaffen-Ressourcen'!$A$2:$AI$54,13,0)+VLOOKUP(C33,'Feuerwaffen-Ressourcen'!$A$2:$AI$54,13,0)+VLOOKUP(D33,'Feuerwaffen-Ressourcen'!$A$2:$AI$54,13,0),'Feuerwaffen-Ressourcen'!$AJ$3:$AK$12,2,0)</f>
        <v>W8</v>
      </c>
      <c r="N33" s="50" t="str">
        <f>VLOOKUP(VLOOKUP(B33,'Feuerwaffen-Ressourcen'!$A$2:$AI$54,14,0)+VLOOKUP(C33,'Feuerwaffen-Ressourcen'!$A$2:$AI$54,14,0)+VLOOKUP(D33,'Feuerwaffen-Ressourcen'!$A$2:$AI$54,14,0),'Feuerwaffen-Ressourcen'!$AJ$3:$AK$12,2,0)</f>
        <v>W8</v>
      </c>
      <c r="O33" s="50">
        <f>VLOOKUP(B33,'Feuerwaffen-Ressourcen'!$A$2:$AI$54,15,0)+VLOOKUP(C33,'Feuerwaffen-Ressourcen'!$A$2:$AI$54,15,0)+VLOOKUP(D33,'Feuerwaffen-Ressourcen'!$A$2:$AI$54,15,0)</f>
        <v>1</v>
      </c>
      <c r="P33" s="50">
        <f>VLOOKUP(B33,'Feuerwaffen-Ressourcen'!$A$2:$AI$54,16,0)+VLOOKUP(C33,'Feuerwaffen-Ressourcen'!$A$2:$AI$54,16,0)+VLOOKUP(D33,'Feuerwaffen-Ressourcen'!$A$2:$AI$54,16,0)+VLOOKUP(E33,'Feuerwaffen-Ressourcen'!$A$2:$AI$54,16,0)</f>
        <v>14</v>
      </c>
      <c r="Q33" s="52">
        <f>VLOOKUP(B33,'Feuerwaffen-Ressourcen'!$A$2:$AI$54,17,0)+VLOOKUP(C33,'Feuerwaffen-Ressourcen'!$A$2:$AI$54,17,0)+VLOOKUP(D33,'Feuerwaffen-Ressourcen'!$A$2:$AI$54,17,0)+VLOOKUP(E33,'Feuerwaffen-Ressourcen'!$A$2:$AI$54,17,0)</f>
        <v>16</v>
      </c>
      <c r="R33" s="50">
        <f>VLOOKUP(B33,'Feuerwaffen-Ressourcen'!$A$2:$AI$54,18,0)+VLOOKUP(C33,'Feuerwaffen-Ressourcen'!$A$2:$AI$54,18,0)+VLOOKUP(D33,'Feuerwaffen-Ressourcen'!$A$2:$AI$54,18,0)+VLOOKUP(F33,'Feuerwaffen-Ressourcen'!$A$2:$AI$54,18,0)+VLOOKUP(G33,'Feuerwaffen-Ressourcen'!$A$2:$AI$54,18,0)+VLOOKUP(I33,'Feuerwaffen-Ressourcen'!$A$2:$AI$54,18,0)+VLOOKUP(J33,'Feuerwaffen-Ressourcen'!$A$2:$AI$54,18,0)</f>
        <v>2</v>
      </c>
      <c r="S33" s="50">
        <f>VLOOKUP(B33,'Feuerwaffen-Ressourcen'!$A$2:$AI$54,19,0)+VLOOKUP(C33,'Feuerwaffen-Ressourcen'!$A$2:$AI$54,19,0)+VLOOKUP(D33,'Feuerwaffen-Ressourcen'!$A$2:$AI$54,19,0)+VLOOKUP(F33,'Feuerwaffen-Ressourcen'!$A$2:$AI$54,19,0)+VLOOKUP(G33,'Feuerwaffen-Ressourcen'!$A$2:$AI$54,19,0)+VLOOKUP(I33,'Feuerwaffen-Ressourcen'!$A$2:$AI$54,19,0)+VLOOKUP(J33,'Feuerwaffen-Ressourcen'!$A$2:$AI$54,19,0)</f>
        <v>-3</v>
      </c>
      <c r="T33" s="50">
        <f>VLOOKUP(B33,'Feuerwaffen-Ressourcen'!$A$2:$AI$54,20,0)+VLOOKUP(C33,'Feuerwaffen-Ressourcen'!$A$2:$AI$54,20,0)+VLOOKUP(D33,'Feuerwaffen-Ressourcen'!$A$2:$AI$54,20,0)+VLOOKUP(F33,'Feuerwaffen-Ressourcen'!$A$2:$AI$54,20,0)+VLOOKUP(G33,'Feuerwaffen-Ressourcen'!$A$2:$AI$54,20,0)+VLOOKUP(I33,'Feuerwaffen-Ressourcen'!$A$2:$AI$54,20,0)+VLOOKUP(J33,'Feuerwaffen-Ressourcen'!$A$2:$AI$54,20,0)</f>
        <v>-8</v>
      </c>
      <c r="U33" s="50">
        <f>VLOOKUP(B33,'Feuerwaffen-Ressourcen'!$A$2:$AI$54,21,0)+VLOOKUP(C33,'Feuerwaffen-Ressourcen'!$A$2:$AI$54,21,0)+VLOOKUP(D33,'Feuerwaffen-Ressourcen'!$A$2:$AI$54,21,0)+VLOOKUP(F33,'Feuerwaffen-Ressourcen'!$A$2:$AI$54,21,0)+VLOOKUP(G33,'Feuerwaffen-Ressourcen'!$A$2:$AI$54,21,0)+VLOOKUP(I33,'Feuerwaffen-Ressourcen'!$A$2:$AI$54,21,0)+VLOOKUP(J33,'Feuerwaffen-Ressourcen'!$A$2:$AI$54,21,0)</f>
        <v>-15</v>
      </c>
      <c r="V33" s="50">
        <f>VLOOKUP(B33,'Feuerwaffen-Ressourcen'!$A$2:$AI$54,22,0)+VLOOKUP(C33,'Feuerwaffen-Ressourcen'!$A$2:$AI$54,22,0)+VLOOKUP(D33,'Feuerwaffen-Ressourcen'!$A$2:$AI$54,22,0)+VLOOKUP(F33,'Feuerwaffen-Ressourcen'!$A$2:$AI$54,22,0)+VLOOKUP(G33,'Feuerwaffen-Ressourcen'!$A$2:$AI$54,22,0)+VLOOKUP(I33,'Feuerwaffen-Ressourcen'!$A$2:$AI$54,22,0)+VLOOKUP(J33,'Feuerwaffen-Ressourcen'!$A$2:$AI$54,22,0)</f>
        <v>-22</v>
      </c>
      <c r="W33" s="50">
        <f>VLOOKUP(B33,'Feuerwaffen-Ressourcen'!$A$2:$AI$54,23,0)+VLOOKUP(C33,'Feuerwaffen-Ressourcen'!$A$2:$AI$54,23,0)+VLOOKUP(D33,'Feuerwaffen-Ressourcen'!$A$2:$AI$54,23,0)+VLOOKUP(F33,'Feuerwaffen-Ressourcen'!$A$2:$AI$54,23,0)+VLOOKUP(G33,'Feuerwaffen-Ressourcen'!$A$2:$AI$54,23,0)+VLOOKUP(I33,'Feuerwaffen-Ressourcen'!$A$2:$AI$54,23,0)+VLOOKUP(J33,'Feuerwaffen-Ressourcen'!$A$2:$AI$54,23,0)</f>
        <v>-30</v>
      </c>
      <c r="X33" s="50">
        <f>VLOOKUP(B33,'Feuerwaffen-Ressourcen'!$A$2:$AI$54,24,0)+VLOOKUP(C33,'Feuerwaffen-Ressourcen'!$A$2:$AI$54,24,0)+VLOOKUP(D33,'Feuerwaffen-Ressourcen'!$A$2:$AI$54,24,0)+VLOOKUP(G33,'Feuerwaffen-Ressourcen'!$A$2:$AI$54,24,0)</f>
        <v>40</v>
      </c>
      <c r="Y33" s="50">
        <f>VLOOKUP(D33,'Feuerwaffen-Ressourcen'!$A$2:$AI$54,25,0)+VLOOKUP(E33,'Feuerwaffen-Ressourcen'!$A$2:$AI$54,25,0)+VLOOKUP(F33,'Feuerwaffen-Ressourcen'!$A$2:$AI$54,25,0)</f>
        <v>30</v>
      </c>
      <c r="Z33" s="50">
        <f>VLOOKUP(E33,'Feuerwaffen-Ressourcen'!$A$2:$AI$54,26,0)</f>
        <v>3</v>
      </c>
      <c r="AA33" s="50">
        <f>VLOOKUP(B33,'Feuerwaffen-Ressourcen'!$A$2:$AI$54,27,0)+VLOOKUP(D33,'Feuerwaffen-Ressourcen'!$A$2:$AI$54,27,0)+VLOOKUP(F33,'Feuerwaffen-Ressourcen'!$A$2:$AI$54,27,0)+VLOOKUP(I33,'Feuerwaffen-Ressourcen'!$A$2:$AI$54,27,0)</f>
        <v>4</v>
      </c>
      <c r="AB33" s="50">
        <f>VLOOKUP(B33,'Feuerwaffen-Ressourcen'!$A$2:$AI$54,28,0)+VLOOKUP(C33,'Feuerwaffen-Ressourcen'!$A$2:$AI$54,28,0)+VLOOKUP(D33,'Feuerwaffen-Ressourcen'!$A$2:$AI$54,28,0)+VLOOKUP(E33,'Feuerwaffen-Ressourcen'!$A$2:$AI$54,28,0)+VLOOKUP(F33,'Feuerwaffen-Ressourcen'!$A$2:$AI$54,28,0)+VLOOKUP(G33,'Feuerwaffen-Ressourcen'!$A$2:$AI$54,28,0)+VLOOKUP(I33,'Feuerwaffen-Ressourcen'!$A$2:$AI$54,28,0)+VLOOKUP(J33,'Feuerwaffen-Ressourcen'!$A$2:$AI$54,28,0)</f>
        <v>140</v>
      </c>
      <c r="AC33" s="53">
        <f>VLOOKUP(I33,'Feuerwaffen-Ressourcen'!$A$2:$AI$54,31,0)*AD33+AE33</f>
        <v>174.50000000000003</v>
      </c>
      <c r="AD33" s="54">
        <f>VLOOKUP(B33,'Feuerwaffen-Ressourcen'!$A$2:$AI$54,30,0)+VLOOKUP(C33,'Feuerwaffen-Ressourcen'!$A$2:$AI$54,30,0)+VLOOKUP(D33,'Feuerwaffen-Ressourcen'!$A$2:$AI$54,30,0)+VLOOKUP(F33,'Feuerwaffen-Ressourcen'!$A$2:$AI$54,30,0)+VLOOKUP(G33,'Feuerwaffen-Ressourcen'!$A$2:$AI$54,30,0)+VLOOKUP(I33,'Feuerwaffen-Ressourcen'!$A$2:$AI$54,30,0)+VLOOKUP(J33,'Feuerwaffen-Ressourcen'!$A$2:$AI$54,30,0)</f>
        <v>1.2000000000000002</v>
      </c>
      <c r="AE33" s="53">
        <f>(VLOOKUP(C33,'Feuerwaffen-Ressourcen'!$A$2:$AI$54,32,0)+VLOOKUP(I33,'Feuerwaffen-Ressourcen'!$A$2:$AI$54,32,0))*(VLOOKUP(B33,'Feuerwaffen-Ressourcen'!$A$2:$AI$54,34,0)+VLOOKUP(C33,'Feuerwaffen-Ressourcen'!$A$2:$AI$54,34,0)+VLOOKUP(D33,'Feuerwaffen-Ressourcen'!$A$2:$AI$54,34,0)+VLOOKUP(E33,'Feuerwaffen-Ressourcen'!$A$2:$AI$54,34,0)+VLOOKUP(G33,'Feuerwaffen-Ressourcen'!$A$2:$AI$54,34,0))+VLOOKUP(B33,'Feuerwaffen-Ressourcen'!$A$2:$AI$54,35,0)+VLOOKUP(C33,'Feuerwaffen-Ressourcen'!$A$2:$AI$54,35,0)+VLOOKUP(D33,'Feuerwaffen-Ressourcen'!$A$2:$AI$54,35,0)</f>
        <v>169.70000000000002</v>
      </c>
      <c r="AF33" s="55">
        <f>VLOOKUP(AB33,'Feuerwaffen-Ressourcen'!$AO$3:$AP$9,2,1)</f>
        <v>3</v>
      </c>
      <c r="AG33" s="55">
        <v>0</v>
      </c>
      <c r="AH33" s="28" t="s">
        <v>1420</v>
      </c>
      <c r="AI33" s="28" t="s">
        <v>8657</v>
      </c>
      <c r="AJ33" s="56">
        <v>3</v>
      </c>
      <c r="AK33" s="56" t="s">
        <v>5497</v>
      </c>
      <c r="AL33" s="56" t="s">
        <v>5486</v>
      </c>
      <c r="AM33" s="56">
        <v>3</v>
      </c>
      <c r="AN33" s="56">
        <v>5</v>
      </c>
      <c r="AO33" s="56">
        <v>4</v>
      </c>
      <c r="AP33" s="56">
        <v>4</v>
      </c>
      <c r="AQ33" s="56">
        <v>7</v>
      </c>
      <c r="AR33" s="56">
        <v>7</v>
      </c>
      <c r="AS33" s="56">
        <v>5</v>
      </c>
      <c r="AT33" s="56">
        <v>6</v>
      </c>
    </row>
    <row r="34" spans="1:46">
      <c r="A34" s="49" t="s">
        <v>8855</v>
      </c>
      <c r="B34" s="49" t="s">
        <v>1180</v>
      </c>
      <c r="C34" s="49" t="s">
        <v>8921</v>
      </c>
      <c r="D34" s="49" t="s">
        <v>8912</v>
      </c>
      <c r="E34" s="49" t="s">
        <v>8829</v>
      </c>
      <c r="F34" s="49" t="s">
        <v>8931</v>
      </c>
      <c r="G34" s="49" t="s">
        <v>8932</v>
      </c>
      <c r="H34" s="49" t="s">
        <v>8830</v>
      </c>
      <c r="I34" s="49" t="s">
        <v>7341</v>
      </c>
      <c r="J34" s="49" t="s">
        <v>7320</v>
      </c>
      <c r="K34" s="51">
        <f>VLOOKUP(B34,'Feuerwaffen-Ressourcen'!$A$2:$AI$54,11,0)+VLOOKUP(C34,'Feuerwaffen-Ressourcen'!$A$2:$AI$54,11,0)+VLOOKUP(D34,'Feuerwaffen-Ressourcen'!$A$2:$AI$54,11,0)+VLOOKUP(E34,'Feuerwaffen-Ressourcen'!$A$2:$AI$54,11,0)+VLOOKUP(G34,'Feuerwaffen-Ressourcen'!$A$2:$AI$54,11,0)</f>
        <v>3.3499999999999996</v>
      </c>
      <c r="L34" s="50">
        <f>VLOOKUP(B34,'Feuerwaffen-Ressourcen'!$A$2:$AI$54,12,0)+VLOOKUP(C34,'Feuerwaffen-Ressourcen'!$A$2:$AI$54,12,0)+VLOOKUP(D34,'Feuerwaffen-Ressourcen'!$A$2:$AI$54,12,0)+VLOOKUP(J34,'Feuerwaffen-Ressourcen'!$A$2:$AI$54,12,0)</f>
        <v>7</v>
      </c>
      <c r="M34" s="50" t="str">
        <f>VLOOKUP(VLOOKUP(B34,'Feuerwaffen-Ressourcen'!$A$2:$AI$54,13,0)+VLOOKUP(C34,'Feuerwaffen-Ressourcen'!$A$2:$AI$54,13,0)+VLOOKUP(D34,'Feuerwaffen-Ressourcen'!$A$2:$AI$54,13,0),'Feuerwaffen-Ressourcen'!$AJ$3:$AK$12,2,0)</f>
        <v>W8</v>
      </c>
      <c r="N34" s="50" t="str">
        <f>VLOOKUP(VLOOKUP(B34,'Feuerwaffen-Ressourcen'!$A$2:$AI$54,14,0)+VLOOKUP(C34,'Feuerwaffen-Ressourcen'!$A$2:$AI$54,14,0)+VLOOKUP(D34,'Feuerwaffen-Ressourcen'!$A$2:$AI$54,14,0),'Feuerwaffen-Ressourcen'!$AJ$3:$AK$12,2,0)</f>
        <v>W8</v>
      </c>
      <c r="O34" s="50">
        <f>VLOOKUP(B34,'Feuerwaffen-Ressourcen'!$A$2:$AI$54,15,0)+VLOOKUP(C34,'Feuerwaffen-Ressourcen'!$A$2:$AI$54,15,0)+VLOOKUP(D34,'Feuerwaffen-Ressourcen'!$A$2:$AI$54,15,0)</f>
        <v>1</v>
      </c>
      <c r="P34" s="50">
        <f>VLOOKUP(B34,'Feuerwaffen-Ressourcen'!$A$2:$AI$54,16,0)+VLOOKUP(C34,'Feuerwaffen-Ressourcen'!$A$2:$AI$54,16,0)+VLOOKUP(D34,'Feuerwaffen-Ressourcen'!$A$2:$AI$54,16,0)+VLOOKUP(E34,'Feuerwaffen-Ressourcen'!$A$2:$AI$54,16,0)</f>
        <v>20</v>
      </c>
      <c r="Q34" s="52">
        <f>VLOOKUP(B34,'Feuerwaffen-Ressourcen'!$A$2:$AI$54,17,0)+VLOOKUP(C34,'Feuerwaffen-Ressourcen'!$A$2:$AI$54,17,0)+VLOOKUP(D34,'Feuerwaffen-Ressourcen'!$A$2:$AI$54,17,0)+VLOOKUP(E34,'Feuerwaffen-Ressourcen'!$A$2:$AI$54,17,0)</f>
        <v>10</v>
      </c>
      <c r="R34" s="50">
        <f>VLOOKUP(B34,'Feuerwaffen-Ressourcen'!$A$2:$AI$54,18,0)+VLOOKUP(C34,'Feuerwaffen-Ressourcen'!$A$2:$AI$54,18,0)+VLOOKUP(D34,'Feuerwaffen-Ressourcen'!$A$2:$AI$54,18,0)+VLOOKUP(F34,'Feuerwaffen-Ressourcen'!$A$2:$AI$54,18,0)+VLOOKUP(G34,'Feuerwaffen-Ressourcen'!$A$2:$AI$54,18,0)+VLOOKUP(I34,'Feuerwaffen-Ressourcen'!$A$2:$AI$54,18,0)+VLOOKUP(J34,'Feuerwaffen-Ressourcen'!$A$2:$AI$54,18,0)</f>
        <v>6</v>
      </c>
      <c r="S34" s="50">
        <f>VLOOKUP(B34,'Feuerwaffen-Ressourcen'!$A$2:$AI$54,19,0)+VLOOKUP(C34,'Feuerwaffen-Ressourcen'!$A$2:$AI$54,19,0)+VLOOKUP(D34,'Feuerwaffen-Ressourcen'!$A$2:$AI$54,19,0)+VLOOKUP(F34,'Feuerwaffen-Ressourcen'!$A$2:$AI$54,19,0)+VLOOKUP(G34,'Feuerwaffen-Ressourcen'!$A$2:$AI$54,19,0)+VLOOKUP(I34,'Feuerwaffen-Ressourcen'!$A$2:$AI$54,19,0)+VLOOKUP(J34,'Feuerwaffen-Ressourcen'!$A$2:$AI$54,19,0)</f>
        <v>2</v>
      </c>
      <c r="T34" s="50">
        <f>VLOOKUP(B34,'Feuerwaffen-Ressourcen'!$A$2:$AI$54,20,0)+VLOOKUP(C34,'Feuerwaffen-Ressourcen'!$A$2:$AI$54,20,0)+VLOOKUP(D34,'Feuerwaffen-Ressourcen'!$A$2:$AI$54,20,0)+VLOOKUP(F34,'Feuerwaffen-Ressourcen'!$A$2:$AI$54,20,0)+VLOOKUP(G34,'Feuerwaffen-Ressourcen'!$A$2:$AI$54,20,0)+VLOOKUP(I34,'Feuerwaffen-Ressourcen'!$A$2:$AI$54,20,0)+VLOOKUP(J34,'Feuerwaffen-Ressourcen'!$A$2:$AI$54,20,0)</f>
        <v>-3</v>
      </c>
      <c r="U34" s="50">
        <f>VLOOKUP(B34,'Feuerwaffen-Ressourcen'!$A$2:$AI$54,21,0)+VLOOKUP(C34,'Feuerwaffen-Ressourcen'!$A$2:$AI$54,21,0)+VLOOKUP(D34,'Feuerwaffen-Ressourcen'!$A$2:$AI$54,21,0)+VLOOKUP(F34,'Feuerwaffen-Ressourcen'!$A$2:$AI$54,21,0)+VLOOKUP(G34,'Feuerwaffen-Ressourcen'!$A$2:$AI$54,21,0)+VLOOKUP(I34,'Feuerwaffen-Ressourcen'!$A$2:$AI$54,21,0)+VLOOKUP(J34,'Feuerwaffen-Ressourcen'!$A$2:$AI$54,21,0)</f>
        <v>-11</v>
      </c>
      <c r="V34" s="50">
        <f>VLOOKUP(B34,'Feuerwaffen-Ressourcen'!$A$2:$AI$54,22,0)+VLOOKUP(C34,'Feuerwaffen-Ressourcen'!$A$2:$AI$54,22,0)+VLOOKUP(D34,'Feuerwaffen-Ressourcen'!$A$2:$AI$54,22,0)+VLOOKUP(F34,'Feuerwaffen-Ressourcen'!$A$2:$AI$54,22,0)+VLOOKUP(G34,'Feuerwaffen-Ressourcen'!$A$2:$AI$54,22,0)+VLOOKUP(I34,'Feuerwaffen-Ressourcen'!$A$2:$AI$54,22,0)+VLOOKUP(J34,'Feuerwaffen-Ressourcen'!$A$2:$AI$54,22,0)</f>
        <v>-19</v>
      </c>
      <c r="W34" s="50">
        <f>VLOOKUP(B34,'Feuerwaffen-Ressourcen'!$A$2:$AI$54,23,0)+VLOOKUP(C34,'Feuerwaffen-Ressourcen'!$A$2:$AI$54,23,0)+VLOOKUP(D34,'Feuerwaffen-Ressourcen'!$A$2:$AI$54,23,0)+VLOOKUP(F34,'Feuerwaffen-Ressourcen'!$A$2:$AI$54,23,0)+VLOOKUP(G34,'Feuerwaffen-Ressourcen'!$A$2:$AI$54,23,0)+VLOOKUP(I34,'Feuerwaffen-Ressourcen'!$A$2:$AI$54,23,0)+VLOOKUP(J34,'Feuerwaffen-Ressourcen'!$A$2:$AI$54,23,0)</f>
        <v>-27</v>
      </c>
      <c r="X34" s="50">
        <f>VLOOKUP(B34,'Feuerwaffen-Ressourcen'!$A$2:$AI$54,24,0)+VLOOKUP(C34,'Feuerwaffen-Ressourcen'!$A$2:$AI$54,24,0)+VLOOKUP(D34,'Feuerwaffen-Ressourcen'!$A$2:$AI$54,24,0)+VLOOKUP(G34,'Feuerwaffen-Ressourcen'!$A$2:$AI$54,24,0)</f>
        <v>70</v>
      </c>
      <c r="Y34" s="50">
        <f>VLOOKUP(D34,'Feuerwaffen-Ressourcen'!$A$2:$AI$54,25,0)+VLOOKUP(E34,'Feuerwaffen-Ressourcen'!$A$2:$AI$54,25,0)+VLOOKUP(F34,'Feuerwaffen-Ressourcen'!$A$2:$AI$54,25,0)</f>
        <v>9</v>
      </c>
      <c r="Z34" s="50">
        <f>VLOOKUP(E34,'Feuerwaffen-Ressourcen'!$A$2:$AI$54,26,0)</f>
        <v>6</v>
      </c>
      <c r="AA34" s="50">
        <f>VLOOKUP(B34,'Feuerwaffen-Ressourcen'!$A$2:$AI$54,27,0)+VLOOKUP(D34,'Feuerwaffen-Ressourcen'!$A$2:$AI$54,27,0)+VLOOKUP(F34,'Feuerwaffen-Ressourcen'!$A$2:$AI$54,27,0)+VLOOKUP(I34,'Feuerwaffen-Ressourcen'!$A$2:$AI$54,27,0)</f>
        <v>1</v>
      </c>
      <c r="AB34" s="50">
        <f>VLOOKUP(B34,'Feuerwaffen-Ressourcen'!$A$2:$AI$54,28,0)+VLOOKUP(C34,'Feuerwaffen-Ressourcen'!$A$2:$AI$54,28,0)+VLOOKUP(D34,'Feuerwaffen-Ressourcen'!$A$2:$AI$54,28,0)+VLOOKUP(E34,'Feuerwaffen-Ressourcen'!$A$2:$AI$54,28,0)+VLOOKUP(F34,'Feuerwaffen-Ressourcen'!$A$2:$AI$54,28,0)+VLOOKUP(G34,'Feuerwaffen-Ressourcen'!$A$2:$AI$54,28,0)+VLOOKUP(I34,'Feuerwaffen-Ressourcen'!$A$2:$AI$54,28,0)+VLOOKUP(J34,'Feuerwaffen-Ressourcen'!$A$2:$AI$54,28,0)</f>
        <v>90</v>
      </c>
      <c r="AC34" s="53">
        <f>VLOOKUP(I34,'Feuerwaffen-Ressourcen'!$A$2:$AI$54,31,0)*AD34+AE34</f>
        <v>222.5</v>
      </c>
      <c r="AD34" s="54">
        <f>VLOOKUP(B34,'Feuerwaffen-Ressourcen'!$A$2:$AI$54,30,0)+VLOOKUP(C34,'Feuerwaffen-Ressourcen'!$A$2:$AI$54,30,0)+VLOOKUP(D34,'Feuerwaffen-Ressourcen'!$A$2:$AI$54,30,0)+VLOOKUP(F34,'Feuerwaffen-Ressourcen'!$A$2:$AI$54,30,0)+VLOOKUP(G34,'Feuerwaffen-Ressourcen'!$A$2:$AI$54,30,0)+VLOOKUP(I34,'Feuerwaffen-Ressourcen'!$A$2:$AI$54,30,0)+VLOOKUP(J34,'Feuerwaffen-Ressourcen'!$A$2:$AI$54,30,0)</f>
        <v>5.6999999999999993</v>
      </c>
      <c r="AE34" s="53">
        <f>(VLOOKUP(C34,'Feuerwaffen-Ressourcen'!$A$2:$AI$54,32,0)+VLOOKUP(I34,'Feuerwaffen-Ressourcen'!$A$2:$AI$54,32,0))*(VLOOKUP(B34,'Feuerwaffen-Ressourcen'!$A$2:$AI$54,34,0)+VLOOKUP(C34,'Feuerwaffen-Ressourcen'!$A$2:$AI$54,34,0)+VLOOKUP(D34,'Feuerwaffen-Ressourcen'!$A$2:$AI$54,34,0)+VLOOKUP(E34,'Feuerwaffen-Ressourcen'!$A$2:$AI$54,34,0)+VLOOKUP(G34,'Feuerwaffen-Ressourcen'!$A$2:$AI$54,34,0))+VLOOKUP(B34,'Feuerwaffen-Ressourcen'!$A$2:$AI$54,35,0)+VLOOKUP(C34,'Feuerwaffen-Ressourcen'!$A$2:$AI$54,35,0)+VLOOKUP(D34,'Feuerwaffen-Ressourcen'!$A$2:$AI$54,35,0)</f>
        <v>199.70000000000002</v>
      </c>
      <c r="AF34" s="55">
        <f>VLOOKUP(AB34,'Feuerwaffen-Ressourcen'!$AO$3:$AP$9,2,1)</f>
        <v>5</v>
      </c>
      <c r="AG34" s="55">
        <v>0</v>
      </c>
      <c r="AH34" s="28" t="s">
        <v>1420</v>
      </c>
      <c r="AI34" s="28" t="s">
        <v>8657</v>
      </c>
      <c r="AJ34" s="56">
        <v>3</v>
      </c>
      <c r="AK34" s="56" t="s">
        <v>5497</v>
      </c>
      <c r="AL34" s="56" t="s">
        <v>5486</v>
      </c>
      <c r="AM34" s="56">
        <v>3</v>
      </c>
      <c r="AN34" s="56">
        <v>5</v>
      </c>
      <c r="AO34" s="56">
        <v>4</v>
      </c>
      <c r="AP34" s="56">
        <v>4</v>
      </c>
      <c r="AQ34" s="56">
        <v>7</v>
      </c>
      <c r="AR34" s="56">
        <v>7</v>
      </c>
      <c r="AS34" s="56">
        <v>5</v>
      </c>
      <c r="AT34" s="56">
        <v>6</v>
      </c>
    </row>
    <row r="35" spans="1:46">
      <c r="A35" s="49" t="s">
        <v>8856</v>
      </c>
      <c r="B35" s="49" t="s">
        <v>1180</v>
      </c>
      <c r="C35" s="49" t="s">
        <v>8921</v>
      </c>
      <c r="D35" s="49" t="s">
        <v>8819</v>
      </c>
      <c r="E35" s="49" t="s">
        <v>8258</v>
      </c>
      <c r="F35" s="49" t="s">
        <v>8928</v>
      </c>
      <c r="G35" s="49" t="s">
        <v>8923</v>
      </c>
      <c r="H35" s="49" t="s">
        <v>8271</v>
      </c>
      <c r="I35" s="49" t="s">
        <v>7341</v>
      </c>
      <c r="J35" s="49" t="s">
        <v>7320</v>
      </c>
      <c r="K35" s="51">
        <f>VLOOKUP(B35,'Feuerwaffen-Ressourcen'!$A$2:$AI$54,11,0)+VLOOKUP(C35,'Feuerwaffen-Ressourcen'!$A$2:$AI$54,11,0)+VLOOKUP(D35,'Feuerwaffen-Ressourcen'!$A$2:$AI$54,11,0)+VLOOKUP(E35,'Feuerwaffen-Ressourcen'!$A$2:$AI$54,11,0)+VLOOKUP(G35,'Feuerwaffen-Ressourcen'!$A$2:$AI$54,11,0)</f>
        <v>6.1</v>
      </c>
      <c r="L35" s="50">
        <f>VLOOKUP(B35,'Feuerwaffen-Ressourcen'!$A$2:$AI$54,12,0)+VLOOKUP(C35,'Feuerwaffen-Ressourcen'!$A$2:$AI$54,12,0)+VLOOKUP(D35,'Feuerwaffen-Ressourcen'!$A$2:$AI$54,12,0)+VLOOKUP(J35,'Feuerwaffen-Ressourcen'!$A$2:$AI$54,12,0)</f>
        <v>11</v>
      </c>
      <c r="M35" s="50" t="str">
        <f>VLOOKUP(VLOOKUP(B35,'Feuerwaffen-Ressourcen'!$A$2:$AI$54,13,0)+VLOOKUP(C35,'Feuerwaffen-Ressourcen'!$A$2:$AI$54,13,0)+VLOOKUP(D35,'Feuerwaffen-Ressourcen'!$A$2:$AI$54,13,0),'Feuerwaffen-Ressourcen'!$AJ$3:$AK$12,2,0)</f>
        <v>W12</v>
      </c>
      <c r="N35" s="50" t="str">
        <f>VLOOKUP(VLOOKUP(B35,'Feuerwaffen-Ressourcen'!$A$2:$AI$54,14,0)+VLOOKUP(C35,'Feuerwaffen-Ressourcen'!$A$2:$AI$54,14,0)+VLOOKUP(D35,'Feuerwaffen-Ressourcen'!$A$2:$AI$54,14,0),'Feuerwaffen-Ressourcen'!$AJ$3:$AK$12,2,0)</f>
        <v>W10</v>
      </c>
      <c r="O35" s="50">
        <f>VLOOKUP(B35,'Feuerwaffen-Ressourcen'!$A$2:$AI$54,15,0)+VLOOKUP(C35,'Feuerwaffen-Ressourcen'!$A$2:$AI$54,15,0)+VLOOKUP(D35,'Feuerwaffen-Ressourcen'!$A$2:$AI$54,15,0)</f>
        <v>2</v>
      </c>
      <c r="P35" s="50">
        <f>VLOOKUP(B35,'Feuerwaffen-Ressourcen'!$A$2:$AI$54,16,0)+VLOOKUP(C35,'Feuerwaffen-Ressourcen'!$A$2:$AI$54,16,0)+VLOOKUP(D35,'Feuerwaffen-Ressourcen'!$A$2:$AI$54,16,0)+VLOOKUP(E35,'Feuerwaffen-Ressourcen'!$A$2:$AI$54,16,0)</f>
        <v>17</v>
      </c>
      <c r="Q35" s="52">
        <f>VLOOKUP(B35,'Feuerwaffen-Ressourcen'!$A$2:$AI$54,17,0)+VLOOKUP(C35,'Feuerwaffen-Ressourcen'!$A$2:$AI$54,17,0)+VLOOKUP(D35,'Feuerwaffen-Ressourcen'!$A$2:$AI$54,17,0)+VLOOKUP(E35,'Feuerwaffen-Ressourcen'!$A$2:$AI$54,17,0)</f>
        <v>18</v>
      </c>
      <c r="R35" s="50">
        <f>VLOOKUP(B35,'Feuerwaffen-Ressourcen'!$A$2:$AI$54,18,0)+VLOOKUP(C35,'Feuerwaffen-Ressourcen'!$A$2:$AI$54,18,0)+VLOOKUP(D35,'Feuerwaffen-Ressourcen'!$A$2:$AI$54,18,0)+VLOOKUP(F35,'Feuerwaffen-Ressourcen'!$A$2:$AI$54,18,0)+VLOOKUP(G35,'Feuerwaffen-Ressourcen'!$A$2:$AI$54,18,0)+VLOOKUP(I35,'Feuerwaffen-Ressourcen'!$A$2:$AI$54,18,0)+VLOOKUP(J35,'Feuerwaffen-Ressourcen'!$A$2:$AI$54,18,0)</f>
        <v>-2</v>
      </c>
      <c r="S35" s="50">
        <f>VLOOKUP(B35,'Feuerwaffen-Ressourcen'!$A$2:$AI$54,19,0)+VLOOKUP(C35,'Feuerwaffen-Ressourcen'!$A$2:$AI$54,19,0)+VLOOKUP(D35,'Feuerwaffen-Ressourcen'!$A$2:$AI$54,19,0)+VLOOKUP(F35,'Feuerwaffen-Ressourcen'!$A$2:$AI$54,19,0)+VLOOKUP(G35,'Feuerwaffen-Ressourcen'!$A$2:$AI$54,19,0)+VLOOKUP(I35,'Feuerwaffen-Ressourcen'!$A$2:$AI$54,19,0)+VLOOKUP(J35,'Feuerwaffen-Ressourcen'!$A$2:$AI$54,19,0)</f>
        <v>-5</v>
      </c>
      <c r="T35" s="50">
        <f>VLOOKUP(B35,'Feuerwaffen-Ressourcen'!$A$2:$AI$54,20,0)+VLOOKUP(C35,'Feuerwaffen-Ressourcen'!$A$2:$AI$54,20,0)+VLOOKUP(D35,'Feuerwaffen-Ressourcen'!$A$2:$AI$54,20,0)+VLOOKUP(F35,'Feuerwaffen-Ressourcen'!$A$2:$AI$54,20,0)+VLOOKUP(G35,'Feuerwaffen-Ressourcen'!$A$2:$AI$54,20,0)+VLOOKUP(I35,'Feuerwaffen-Ressourcen'!$A$2:$AI$54,20,0)+VLOOKUP(J35,'Feuerwaffen-Ressourcen'!$A$2:$AI$54,20,0)</f>
        <v>-8</v>
      </c>
      <c r="U35" s="50">
        <f>VLOOKUP(B35,'Feuerwaffen-Ressourcen'!$A$2:$AI$54,21,0)+VLOOKUP(C35,'Feuerwaffen-Ressourcen'!$A$2:$AI$54,21,0)+VLOOKUP(D35,'Feuerwaffen-Ressourcen'!$A$2:$AI$54,21,0)+VLOOKUP(F35,'Feuerwaffen-Ressourcen'!$A$2:$AI$54,21,0)+VLOOKUP(G35,'Feuerwaffen-Ressourcen'!$A$2:$AI$54,21,0)+VLOOKUP(I35,'Feuerwaffen-Ressourcen'!$A$2:$AI$54,21,0)+VLOOKUP(J35,'Feuerwaffen-Ressourcen'!$A$2:$AI$54,21,0)</f>
        <v>-15</v>
      </c>
      <c r="V35" s="50">
        <f>VLOOKUP(B35,'Feuerwaffen-Ressourcen'!$A$2:$AI$54,22,0)+VLOOKUP(C35,'Feuerwaffen-Ressourcen'!$A$2:$AI$54,22,0)+VLOOKUP(D35,'Feuerwaffen-Ressourcen'!$A$2:$AI$54,22,0)+VLOOKUP(F35,'Feuerwaffen-Ressourcen'!$A$2:$AI$54,22,0)+VLOOKUP(G35,'Feuerwaffen-Ressourcen'!$A$2:$AI$54,22,0)+VLOOKUP(I35,'Feuerwaffen-Ressourcen'!$A$2:$AI$54,22,0)+VLOOKUP(J35,'Feuerwaffen-Ressourcen'!$A$2:$AI$54,22,0)</f>
        <v>-22</v>
      </c>
      <c r="W35" s="50">
        <f>VLOOKUP(B35,'Feuerwaffen-Ressourcen'!$A$2:$AI$54,23,0)+VLOOKUP(C35,'Feuerwaffen-Ressourcen'!$A$2:$AI$54,23,0)+VLOOKUP(D35,'Feuerwaffen-Ressourcen'!$A$2:$AI$54,23,0)+VLOOKUP(F35,'Feuerwaffen-Ressourcen'!$A$2:$AI$54,23,0)+VLOOKUP(G35,'Feuerwaffen-Ressourcen'!$A$2:$AI$54,23,0)+VLOOKUP(I35,'Feuerwaffen-Ressourcen'!$A$2:$AI$54,23,0)+VLOOKUP(J35,'Feuerwaffen-Ressourcen'!$A$2:$AI$54,23,0)</f>
        <v>-30</v>
      </c>
      <c r="X35" s="50">
        <f>VLOOKUP(B35,'Feuerwaffen-Ressourcen'!$A$2:$AI$54,24,0)+VLOOKUP(C35,'Feuerwaffen-Ressourcen'!$A$2:$AI$54,24,0)+VLOOKUP(D35,'Feuerwaffen-Ressourcen'!$A$2:$AI$54,24,0)+VLOOKUP(G35,'Feuerwaffen-Ressourcen'!$A$2:$AI$54,24,0)</f>
        <v>60</v>
      </c>
      <c r="Y35" s="50">
        <f>VLOOKUP(D35,'Feuerwaffen-Ressourcen'!$A$2:$AI$54,25,0)+VLOOKUP(E35,'Feuerwaffen-Ressourcen'!$A$2:$AI$54,25,0)+VLOOKUP(F35,'Feuerwaffen-Ressourcen'!$A$2:$AI$54,25,0)</f>
        <v>38</v>
      </c>
      <c r="Z35" s="50">
        <f>VLOOKUP(E35,'Feuerwaffen-Ressourcen'!$A$2:$AI$54,26,0)</f>
        <v>3</v>
      </c>
      <c r="AA35" s="50">
        <f>VLOOKUP(B35,'Feuerwaffen-Ressourcen'!$A$2:$AI$54,27,0)+VLOOKUP(D35,'Feuerwaffen-Ressourcen'!$A$2:$AI$54,27,0)+VLOOKUP(F35,'Feuerwaffen-Ressourcen'!$A$2:$AI$54,27,0)+VLOOKUP(I35,'Feuerwaffen-Ressourcen'!$A$2:$AI$54,27,0)</f>
        <v>4</v>
      </c>
      <c r="AB35" s="50">
        <f>VLOOKUP(B35,'Feuerwaffen-Ressourcen'!$A$2:$AI$54,28,0)+VLOOKUP(C35,'Feuerwaffen-Ressourcen'!$A$2:$AI$54,28,0)+VLOOKUP(D35,'Feuerwaffen-Ressourcen'!$A$2:$AI$54,28,0)+VLOOKUP(E35,'Feuerwaffen-Ressourcen'!$A$2:$AI$54,28,0)+VLOOKUP(F35,'Feuerwaffen-Ressourcen'!$A$2:$AI$54,28,0)+VLOOKUP(G35,'Feuerwaffen-Ressourcen'!$A$2:$AI$54,28,0)+VLOOKUP(I35,'Feuerwaffen-Ressourcen'!$A$2:$AI$54,28,0)+VLOOKUP(J35,'Feuerwaffen-Ressourcen'!$A$2:$AI$54,28,0)</f>
        <v>115</v>
      </c>
      <c r="AC35" s="53">
        <f>VLOOKUP(I35,'Feuerwaffen-Ressourcen'!$A$2:$AI$54,31,0)*AD35+AE35</f>
        <v>546.49999999999989</v>
      </c>
      <c r="AD35" s="54">
        <f>VLOOKUP(B35,'Feuerwaffen-Ressourcen'!$A$2:$AI$54,30,0)+VLOOKUP(C35,'Feuerwaffen-Ressourcen'!$A$2:$AI$54,30,0)+VLOOKUP(D35,'Feuerwaffen-Ressourcen'!$A$2:$AI$54,30,0)+VLOOKUP(F35,'Feuerwaffen-Ressourcen'!$A$2:$AI$54,30,0)+VLOOKUP(G35,'Feuerwaffen-Ressourcen'!$A$2:$AI$54,30,0)+VLOOKUP(I35,'Feuerwaffen-Ressourcen'!$A$2:$AI$54,30,0)+VLOOKUP(J35,'Feuerwaffen-Ressourcen'!$A$2:$AI$54,30,0)</f>
        <v>4.2</v>
      </c>
      <c r="AE35" s="53">
        <f>(VLOOKUP(C35,'Feuerwaffen-Ressourcen'!$A$2:$AI$54,32,0)+VLOOKUP(I35,'Feuerwaffen-Ressourcen'!$A$2:$AI$54,32,0))*(VLOOKUP(B35,'Feuerwaffen-Ressourcen'!$A$2:$AI$54,34,0)+VLOOKUP(C35,'Feuerwaffen-Ressourcen'!$A$2:$AI$54,34,0)+VLOOKUP(D35,'Feuerwaffen-Ressourcen'!$A$2:$AI$54,34,0)+VLOOKUP(E35,'Feuerwaffen-Ressourcen'!$A$2:$AI$54,34,0)+VLOOKUP(G35,'Feuerwaffen-Ressourcen'!$A$2:$AI$54,34,0))+VLOOKUP(B35,'Feuerwaffen-Ressourcen'!$A$2:$AI$54,35,0)+VLOOKUP(C35,'Feuerwaffen-Ressourcen'!$A$2:$AI$54,35,0)+VLOOKUP(D35,'Feuerwaffen-Ressourcen'!$A$2:$AI$54,35,0)</f>
        <v>529.69999999999993</v>
      </c>
      <c r="AF35" s="55">
        <f>VLOOKUP(AB35,'Feuerwaffen-Ressourcen'!$AO$3:$AP$9,2,1)</f>
        <v>4</v>
      </c>
      <c r="AG35" s="55">
        <v>0</v>
      </c>
      <c r="AH35" s="28" t="s">
        <v>1420</v>
      </c>
      <c r="AI35" s="28" t="s">
        <v>8657</v>
      </c>
      <c r="AJ35" s="56">
        <v>3</v>
      </c>
      <c r="AK35" s="56" t="s">
        <v>5497</v>
      </c>
      <c r="AL35" s="56" t="s">
        <v>5486</v>
      </c>
      <c r="AM35" s="56">
        <v>3</v>
      </c>
      <c r="AN35" s="56">
        <v>5</v>
      </c>
      <c r="AO35" s="56">
        <v>4</v>
      </c>
      <c r="AP35" s="56">
        <v>4</v>
      </c>
      <c r="AQ35" s="56">
        <v>11</v>
      </c>
      <c r="AR35" s="56">
        <v>11</v>
      </c>
      <c r="AS35" s="56">
        <v>5</v>
      </c>
      <c r="AT35" s="56">
        <v>6</v>
      </c>
    </row>
    <row r="36" spans="1:46">
      <c r="A36" s="49" t="s">
        <v>8857</v>
      </c>
      <c r="B36" s="49" t="s">
        <v>1180</v>
      </c>
      <c r="C36" s="49" t="s">
        <v>8921</v>
      </c>
      <c r="D36" s="49" t="s">
        <v>8924</v>
      </c>
      <c r="E36" s="49" t="s">
        <v>8847</v>
      </c>
      <c r="F36" s="49" t="s">
        <v>8931</v>
      </c>
      <c r="G36" s="49" t="s">
        <v>8932</v>
      </c>
      <c r="H36" s="49" t="s">
        <v>8830</v>
      </c>
      <c r="I36" s="49" t="s">
        <v>7341</v>
      </c>
      <c r="J36" s="49" t="s">
        <v>7320</v>
      </c>
      <c r="K36" s="51">
        <f>VLOOKUP(B36,'Feuerwaffen-Ressourcen'!$A$2:$AI$54,11,0)+VLOOKUP(C36,'Feuerwaffen-Ressourcen'!$A$2:$AI$54,11,0)+VLOOKUP(D36,'Feuerwaffen-Ressourcen'!$A$2:$AI$54,11,0)+VLOOKUP(E36,'Feuerwaffen-Ressourcen'!$A$2:$AI$54,11,0)+VLOOKUP(G36,'Feuerwaffen-Ressourcen'!$A$2:$AI$54,11,0)</f>
        <v>4.3499999999999996</v>
      </c>
      <c r="L36" s="50">
        <f>VLOOKUP(B36,'Feuerwaffen-Ressourcen'!$A$2:$AI$54,12,0)+VLOOKUP(C36,'Feuerwaffen-Ressourcen'!$A$2:$AI$54,12,0)+VLOOKUP(D36,'Feuerwaffen-Ressourcen'!$A$2:$AI$54,12,0)+VLOOKUP(J36,'Feuerwaffen-Ressourcen'!$A$2:$AI$54,12,0)</f>
        <v>9</v>
      </c>
      <c r="M36" s="50" t="str">
        <f>VLOOKUP(VLOOKUP(B36,'Feuerwaffen-Ressourcen'!$A$2:$AI$54,13,0)+VLOOKUP(C36,'Feuerwaffen-Ressourcen'!$A$2:$AI$54,13,0)+VLOOKUP(D36,'Feuerwaffen-Ressourcen'!$A$2:$AI$54,13,0),'Feuerwaffen-Ressourcen'!$AJ$3:$AK$12,2,0)</f>
        <v>W10</v>
      </c>
      <c r="N36" s="50" t="str">
        <f>VLOOKUP(VLOOKUP(B36,'Feuerwaffen-Ressourcen'!$A$2:$AI$54,14,0)+VLOOKUP(C36,'Feuerwaffen-Ressourcen'!$A$2:$AI$54,14,0)+VLOOKUP(D36,'Feuerwaffen-Ressourcen'!$A$2:$AI$54,14,0),'Feuerwaffen-Ressourcen'!$AJ$3:$AK$12,2,0)</f>
        <v>W10</v>
      </c>
      <c r="O36" s="50">
        <f>VLOOKUP(B36,'Feuerwaffen-Ressourcen'!$A$2:$AI$54,15,0)+VLOOKUP(C36,'Feuerwaffen-Ressourcen'!$A$2:$AI$54,15,0)+VLOOKUP(D36,'Feuerwaffen-Ressourcen'!$A$2:$AI$54,15,0)</f>
        <v>2</v>
      </c>
      <c r="P36" s="50">
        <f>VLOOKUP(B36,'Feuerwaffen-Ressourcen'!$A$2:$AI$54,16,0)+VLOOKUP(C36,'Feuerwaffen-Ressourcen'!$A$2:$AI$54,16,0)+VLOOKUP(D36,'Feuerwaffen-Ressourcen'!$A$2:$AI$54,16,0)+VLOOKUP(E36,'Feuerwaffen-Ressourcen'!$A$2:$AI$54,16,0)</f>
        <v>21</v>
      </c>
      <c r="Q36" s="52">
        <f>VLOOKUP(B36,'Feuerwaffen-Ressourcen'!$A$2:$AI$54,17,0)+VLOOKUP(C36,'Feuerwaffen-Ressourcen'!$A$2:$AI$54,17,0)+VLOOKUP(D36,'Feuerwaffen-Ressourcen'!$A$2:$AI$54,17,0)+VLOOKUP(E36,'Feuerwaffen-Ressourcen'!$A$2:$AI$54,17,0)</f>
        <v>11</v>
      </c>
      <c r="R36" s="50">
        <f>VLOOKUP(B36,'Feuerwaffen-Ressourcen'!$A$2:$AI$54,18,0)+VLOOKUP(C36,'Feuerwaffen-Ressourcen'!$A$2:$AI$54,18,0)+VLOOKUP(D36,'Feuerwaffen-Ressourcen'!$A$2:$AI$54,18,0)+VLOOKUP(F36,'Feuerwaffen-Ressourcen'!$A$2:$AI$54,18,0)+VLOOKUP(G36,'Feuerwaffen-Ressourcen'!$A$2:$AI$54,18,0)+VLOOKUP(I36,'Feuerwaffen-Ressourcen'!$A$2:$AI$54,18,0)+VLOOKUP(J36,'Feuerwaffen-Ressourcen'!$A$2:$AI$54,18,0)</f>
        <v>4</v>
      </c>
      <c r="S36" s="50">
        <f>VLOOKUP(B36,'Feuerwaffen-Ressourcen'!$A$2:$AI$54,19,0)+VLOOKUP(C36,'Feuerwaffen-Ressourcen'!$A$2:$AI$54,19,0)+VLOOKUP(D36,'Feuerwaffen-Ressourcen'!$A$2:$AI$54,19,0)+VLOOKUP(F36,'Feuerwaffen-Ressourcen'!$A$2:$AI$54,19,0)+VLOOKUP(G36,'Feuerwaffen-Ressourcen'!$A$2:$AI$54,19,0)+VLOOKUP(I36,'Feuerwaffen-Ressourcen'!$A$2:$AI$54,19,0)+VLOOKUP(J36,'Feuerwaffen-Ressourcen'!$A$2:$AI$54,19,0)</f>
        <v>1</v>
      </c>
      <c r="T36" s="50">
        <f>VLOOKUP(B36,'Feuerwaffen-Ressourcen'!$A$2:$AI$54,20,0)+VLOOKUP(C36,'Feuerwaffen-Ressourcen'!$A$2:$AI$54,20,0)+VLOOKUP(D36,'Feuerwaffen-Ressourcen'!$A$2:$AI$54,20,0)+VLOOKUP(F36,'Feuerwaffen-Ressourcen'!$A$2:$AI$54,20,0)+VLOOKUP(G36,'Feuerwaffen-Ressourcen'!$A$2:$AI$54,20,0)+VLOOKUP(I36,'Feuerwaffen-Ressourcen'!$A$2:$AI$54,20,0)+VLOOKUP(J36,'Feuerwaffen-Ressourcen'!$A$2:$AI$54,20,0)</f>
        <v>-3</v>
      </c>
      <c r="U36" s="50">
        <f>VLOOKUP(B36,'Feuerwaffen-Ressourcen'!$A$2:$AI$54,21,0)+VLOOKUP(C36,'Feuerwaffen-Ressourcen'!$A$2:$AI$54,21,0)+VLOOKUP(D36,'Feuerwaffen-Ressourcen'!$A$2:$AI$54,21,0)+VLOOKUP(F36,'Feuerwaffen-Ressourcen'!$A$2:$AI$54,21,0)+VLOOKUP(G36,'Feuerwaffen-Ressourcen'!$A$2:$AI$54,21,0)+VLOOKUP(I36,'Feuerwaffen-Ressourcen'!$A$2:$AI$54,21,0)+VLOOKUP(J36,'Feuerwaffen-Ressourcen'!$A$2:$AI$54,21,0)</f>
        <v>-11</v>
      </c>
      <c r="V36" s="50">
        <f>VLOOKUP(B36,'Feuerwaffen-Ressourcen'!$A$2:$AI$54,22,0)+VLOOKUP(C36,'Feuerwaffen-Ressourcen'!$A$2:$AI$54,22,0)+VLOOKUP(D36,'Feuerwaffen-Ressourcen'!$A$2:$AI$54,22,0)+VLOOKUP(F36,'Feuerwaffen-Ressourcen'!$A$2:$AI$54,22,0)+VLOOKUP(G36,'Feuerwaffen-Ressourcen'!$A$2:$AI$54,22,0)+VLOOKUP(I36,'Feuerwaffen-Ressourcen'!$A$2:$AI$54,22,0)+VLOOKUP(J36,'Feuerwaffen-Ressourcen'!$A$2:$AI$54,22,0)</f>
        <v>-19</v>
      </c>
      <c r="W36" s="50">
        <f>VLOOKUP(B36,'Feuerwaffen-Ressourcen'!$A$2:$AI$54,23,0)+VLOOKUP(C36,'Feuerwaffen-Ressourcen'!$A$2:$AI$54,23,0)+VLOOKUP(D36,'Feuerwaffen-Ressourcen'!$A$2:$AI$54,23,0)+VLOOKUP(F36,'Feuerwaffen-Ressourcen'!$A$2:$AI$54,23,0)+VLOOKUP(G36,'Feuerwaffen-Ressourcen'!$A$2:$AI$54,23,0)+VLOOKUP(I36,'Feuerwaffen-Ressourcen'!$A$2:$AI$54,23,0)+VLOOKUP(J36,'Feuerwaffen-Ressourcen'!$A$2:$AI$54,23,0)</f>
        <v>-27</v>
      </c>
      <c r="X36" s="50">
        <f>VLOOKUP(B36,'Feuerwaffen-Ressourcen'!$A$2:$AI$54,24,0)+VLOOKUP(C36,'Feuerwaffen-Ressourcen'!$A$2:$AI$54,24,0)+VLOOKUP(D36,'Feuerwaffen-Ressourcen'!$A$2:$AI$54,24,0)+VLOOKUP(G36,'Feuerwaffen-Ressourcen'!$A$2:$AI$54,24,0)</f>
        <v>90</v>
      </c>
      <c r="Y36" s="50">
        <f>VLOOKUP(D36,'Feuerwaffen-Ressourcen'!$A$2:$AI$54,25,0)+VLOOKUP(E36,'Feuerwaffen-Ressourcen'!$A$2:$AI$54,25,0)+VLOOKUP(F36,'Feuerwaffen-Ressourcen'!$A$2:$AI$54,25,0)</f>
        <v>10</v>
      </c>
      <c r="Z36" s="50">
        <f>VLOOKUP(E36,'Feuerwaffen-Ressourcen'!$A$2:$AI$54,26,0)</f>
        <v>6</v>
      </c>
      <c r="AA36" s="50">
        <f>VLOOKUP(B36,'Feuerwaffen-Ressourcen'!$A$2:$AI$54,27,0)+VLOOKUP(D36,'Feuerwaffen-Ressourcen'!$A$2:$AI$54,27,0)+VLOOKUP(F36,'Feuerwaffen-Ressourcen'!$A$2:$AI$54,27,0)+VLOOKUP(I36,'Feuerwaffen-Ressourcen'!$A$2:$AI$54,27,0)</f>
        <v>1</v>
      </c>
      <c r="AB36" s="50">
        <f>VLOOKUP(B36,'Feuerwaffen-Ressourcen'!$A$2:$AI$54,28,0)+VLOOKUP(C36,'Feuerwaffen-Ressourcen'!$A$2:$AI$54,28,0)+VLOOKUP(D36,'Feuerwaffen-Ressourcen'!$A$2:$AI$54,28,0)+VLOOKUP(E36,'Feuerwaffen-Ressourcen'!$A$2:$AI$54,28,0)+VLOOKUP(F36,'Feuerwaffen-Ressourcen'!$A$2:$AI$54,28,0)+VLOOKUP(G36,'Feuerwaffen-Ressourcen'!$A$2:$AI$54,28,0)+VLOOKUP(I36,'Feuerwaffen-Ressourcen'!$A$2:$AI$54,28,0)+VLOOKUP(J36,'Feuerwaffen-Ressourcen'!$A$2:$AI$54,28,0)</f>
        <v>70</v>
      </c>
      <c r="AC36" s="53">
        <f>VLOOKUP(I36,'Feuerwaffen-Ressourcen'!$A$2:$AI$54,31,0)*AD36+AE36</f>
        <v>346.5</v>
      </c>
      <c r="AD36" s="54">
        <f>VLOOKUP(B36,'Feuerwaffen-Ressourcen'!$A$2:$AI$54,30,0)+VLOOKUP(C36,'Feuerwaffen-Ressourcen'!$A$2:$AI$54,30,0)+VLOOKUP(D36,'Feuerwaffen-Ressourcen'!$A$2:$AI$54,30,0)+VLOOKUP(F36,'Feuerwaffen-Ressourcen'!$A$2:$AI$54,30,0)+VLOOKUP(G36,'Feuerwaffen-Ressourcen'!$A$2:$AI$54,30,0)+VLOOKUP(I36,'Feuerwaffen-Ressourcen'!$A$2:$AI$54,30,0)+VLOOKUP(J36,'Feuerwaffen-Ressourcen'!$A$2:$AI$54,30,0)</f>
        <v>6.6999999999999993</v>
      </c>
      <c r="AE36" s="53">
        <f>(VLOOKUP(C36,'Feuerwaffen-Ressourcen'!$A$2:$AI$54,32,0)+VLOOKUP(I36,'Feuerwaffen-Ressourcen'!$A$2:$AI$54,32,0))*(VLOOKUP(B36,'Feuerwaffen-Ressourcen'!$A$2:$AI$54,34,0)+VLOOKUP(C36,'Feuerwaffen-Ressourcen'!$A$2:$AI$54,34,0)+VLOOKUP(D36,'Feuerwaffen-Ressourcen'!$A$2:$AI$54,34,0)+VLOOKUP(E36,'Feuerwaffen-Ressourcen'!$A$2:$AI$54,34,0)+VLOOKUP(G36,'Feuerwaffen-Ressourcen'!$A$2:$AI$54,34,0))+VLOOKUP(B36,'Feuerwaffen-Ressourcen'!$A$2:$AI$54,35,0)+VLOOKUP(C36,'Feuerwaffen-Ressourcen'!$A$2:$AI$54,35,0)+VLOOKUP(D36,'Feuerwaffen-Ressourcen'!$A$2:$AI$54,35,0)</f>
        <v>319.7</v>
      </c>
      <c r="AF36" s="55">
        <f>VLOOKUP(AB36,'Feuerwaffen-Ressourcen'!$AO$3:$AP$9,2,1)</f>
        <v>6</v>
      </c>
      <c r="AG36" s="55">
        <v>0</v>
      </c>
      <c r="AH36" s="28" t="s">
        <v>1420</v>
      </c>
      <c r="AI36" s="28" t="s">
        <v>8657</v>
      </c>
      <c r="AJ36" s="56">
        <v>3</v>
      </c>
      <c r="AK36" s="56" t="s">
        <v>5497</v>
      </c>
      <c r="AL36" s="56" t="s">
        <v>5486</v>
      </c>
      <c r="AM36" s="56">
        <v>3</v>
      </c>
      <c r="AN36" s="56">
        <v>5</v>
      </c>
      <c r="AO36" s="56">
        <v>4</v>
      </c>
      <c r="AP36" s="56">
        <v>4</v>
      </c>
      <c r="AQ36" s="56">
        <v>9</v>
      </c>
      <c r="AR36" s="56">
        <v>9</v>
      </c>
      <c r="AS36" s="56">
        <v>5</v>
      </c>
      <c r="AT36" s="56">
        <v>6</v>
      </c>
    </row>
    <row r="37" spans="1:46">
      <c r="A37" s="49" t="s">
        <v>8858</v>
      </c>
      <c r="B37" s="49" t="s">
        <v>1180</v>
      </c>
      <c r="C37" s="49" t="s">
        <v>8921</v>
      </c>
      <c r="D37" s="49" t="s">
        <v>8935</v>
      </c>
      <c r="E37" s="49" t="s">
        <v>8829</v>
      </c>
      <c r="F37" s="49" t="s">
        <v>8931</v>
      </c>
      <c r="G37" s="49" t="s">
        <v>8932</v>
      </c>
      <c r="H37" s="49" t="s">
        <v>8830</v>
      </c>
      <c r="I37" s="49" t="s">
        <v>7341</v>
      </c>
      <c r="J37" s="49" t="s">
        <v>7320</v>
      </c>
      <c r="K37" s="51">
        <f>VLOOKUP(B37,'Feuerwaffen-Ressourcen'!$A$2:$AI$54,11,0)+VLOOKUP(C37,'Feuerwaffen-Ressourcen'!$A$2:$AI$54,11,0)+VLOOKUP(D37,'Feuerwaffen-Ressourcen'!$A$2:$AI$54,11,0)+VLOOKUP(E37,'Feuerwaffen-Ressourcen'!$A$2:$AI$54,11,0)+VLOOKUP(G37,'Feuerwaffen-Ressourcen'!$A$2:$AI$54,11,0)</f>
        <v>3.3499999999999996</v>
      </c>
      <c r="L37" s="50">
        <f>VLOOKUP(B37,'Feuerwaffen-Ressourcen'!$A$2:$AI$54,12,0)+VLOOKUP(C37,'Feuerwaffen-Ressourcen'!$A$2:$AI$54,12,0)+VLOOKUP(D37,'Feuerwaffen-Ressourcen'!$A$2:$AI$54,12,0)+VLOOKUP(J37,'Feuerwaffen-Ressourcen'!$A$2:$AI$54,12,0)</f>
        <v>7</v>
      </c>
      <c r="M37" s="50" t="str">
        <f>VLOOKUP(VLOOKUP(B37,'Feuerwaffen-Ressourcen'!$A$2:$AI$54,13,0)+VLOOKUP(C37,'Feuerwaffen-Ressourcen'!$A$2:$AI$54,13,0)+VLOOKUP(D37,'Feuerwaffen-Ressourcen'!$A$2:$AI$54,13,0),'Feuerwaffen-Ressourcen'!$AJ$3:$AK$12,2,0)</f>
        <v>W8</v>
      </c>
      <c r="N37" s="50" t="str">
        <f>VLOOKUP(VLOOKUP(B37,'Feuerwaffen-Ressourcen'!$A$2:$AI$54,14,0)+VLOOKUP(C37,'Feuerwaffen-Ressourcen'!$A$2:$AI$54,14,0)+VLOOKUP(D37,'Feuerwaffen-Ressourcen'!$A$2:$AI$54,14,0),'Feuerwaffen-Ressourcen'!$AJ$3:$AK$12,2,0)</f>
        <v>W8</v>
      </c>
      <c r="O37" s="50">
        <f>VLOOKUP(B37,'Feuerwaffen-Ressourcen'!$A$2:$AI$54,15,0)+VLOOKUP(C37,'Feuerwaffen-Ressourcen'!$A$2:$AI$54,15,0)+VLOOKUP(D37,'Feuerwaffen-Ressourcen'!$A$2:$AI$54,15,0)</f>
        <v>2</v>
      </c>
      <c r="P37" s="50">
        <f>VLOOKUP(B37,'Feuerwaffen-Ressourcen'!$A$2:$AI$54,16,0)+VLOOKUP(C37,'Feuerwaffen-Ressourcen'!$A$2:$AI$54,16,0)+VLOOKUP(D37,'Feuerwaffen-Ressourcen'!$A$2:$AI$54,16,0)+VLOOKUP(E37,'Feuerwaffen-Ressourcen'!$A$2:$AI$54,16,0)</f>
        <v>20</v>
      </c>
      <c r="Q37" s="52">
        <f>VLOOKUP(B37,'Feuerwaffen-Ressourcen'!$A$2:$AI$54,17,0)+VLOOKUP(C37,'Feuerwaffen-Ressourcen'!$A$2:$AI$54,17,0)+VLOOKUP(D37,'Feuerwaffen-Ressourcen'!$A$2:$AI$54,17,0)+VLOOKUP(E37,'Feuerwaffen-Ressourcen'!$A$2:$AI$54,17,0)</f>
        <v>10</v>
      </c>
      <c r="R37" s="50">
        <f>VLOOKUP(B37,'Feuerwaffen-Ressourcen'!$A$2:$AI$54,18,0)+VLOOKUP(C37,'Feuerwaffen-Ressourcen'!$A$2:$AI$54,18,0)+VLOOKUP(D37,'Feuerwaffen-Ressourcen'!$A$2:$AI$54,18,0)+VLOOKUP(F37,'Feuerwaffen-Ressourcen'!$A$2:$AI$54,18,0)+VLOOKUP(G37,'Feuerwaffen-Ressourcen'!$A$2:$AI$54,18,0)+VLOOKUP(I37,'Feuerwaffen-Ressourcen'!$A$2:$AI$54,18,0)+VLOOKUP(J37,'Feuerwaffen-Ressourcen'!$A$2:$AI$54,18,0)</f>
        <v>5</v>
      </c>
      <c r="S37" s="50">
        <f>VLOOKUP(B37,'Feuerwaffen-Ressourcen'!$A$2:$AI$54,19,0)+VLOOKUP(C37,'Feuerwaffen-Ressourcen'!$A$2:$AI$54,19,0)+VLOOKUP(D37,'Feuerwaffen-Ressourcen'!$A$2:$AI$54,19,0)+VLOOKUP(F37,'Feuerwaffen-Ressourcen'!$A$2:$AI$54,19,0)+VLOOKUP(G37,'Feuerwaffen-Ressourcen'!$A$2:$AI$54,19,0)+VLOOKUP(I37,'Feuerwaffen-Ressourcen'!$A$2:$AI$54,19,0)+VLOOKUP(J37,'Feuerwaffen-Ressourcen'!$A$2:$AI$54,19,0)</f>
        <v>2</v>
      </c>
      <c r="T37" s="50">
        <f>VLOOKUP(B37,'Feuerwaffen-Ressourcen'!$A$2:$AI$54,20,0)+VLOOKUP(C37,'Feuerwaffen-Ressourcen'!$A$2:$AI$54,20,0)+VLOOKUP(D37,'Feuerwaffen-Ressourcen'!$A$2:$AI$54,20,0)+VLOOKUP(F37,'Feuerwaffen-Ressourcen'!$A$2:$AI$54,20,0)+VLOOKUP(G37,'Feuerwaffen-Ressourcen'!$A$2:$AI$54,20,0)+VLOOKUP(I37,'Feuerwaffen-Ressourcen'!$A$2:$AI$54,20,0)+VLOOKUP(J37,'Feuerwaffen-Ressourcen'!$A$2:$AI$54,20,0)</f>
        <v>-2</v>
      </c>
      <c r="U37" s="50">
        <f>VLOOKUP(B37,'Feuerwaffen-Ressourcen'!$A$2:$AI$54,21,0)+VLOOKUP(C37,'Feuerwaffen-Ressourcen'!$A$2:$AI$54,21,0)+VLOOKUP(D37,'Feuerwaffen-Ressourcen'!$A$2:$AI$54,21,0)+VLOOKUP(F37,'Feuerwaffen-Ressourcen'!$A$2:$AI$54,21,0)+VLOOKUP(G37,'Feuerwaffen-Ressourcen'!$A$2:$AI$54,21,0)+VLOOKUP(I37,'Feuerwaffen-Ressourcen'!$A$2:$AI$54,21,0)+VLOOKUP(J37,'Feuerwaffen-Ressourcen'!$A$2:$AI$54,21,0)</f>
        <v>-9</v>
      </c>
      <c r="V37" s="50">
        <f>VLOOKUP(B37,'Feuerwaffen-Ressourcen'!$A$2:$AI$54,22,0)+VLOOKUP(C37,'Feuerwaffen-Ressourcen'!$A$2:$AI$54,22,0)+VLOOKUP(D37,'Feuerwaffen-Ressourcen'!$A$2:$AI$54,22,0)+VLOOKUP(F37,'Feuerwaffen-Ressourcen'!$A$2:$AI$54,22,0)+VLOOKUP(G37,'Feuerwaffen-Ressourcen'!$A$2:$AI$54,22,0)+VLOOKUP(I37,'Feuerwaffen-Ressourcen'!$A$2:$AI$54,22,0)+VLOOKUP(J37,'Feuerwaffen-Ressourcen'!$A$2:$AI$54,22,0)</f>
        <v>-16</v>
      </c>
      <c r="W37" s="50">
        <f>VLOOKUP(B37,'Feuerwaffen-Ressourcen'!$A$2:$AI$54,23,0)+VLOOKUP(C37,'Feuerwaffen-Ressourcen'!$A$2:$AI$54,23,0)+VLOOKUP(D37,'Feuerwaffen-Ressourcen'!$A$2:$AI$54,23,0)+VLOOKUP(F37,'Feuerwaffen-Ressourcen'!$A$2:$AI$54,23,0)+VLOOKUP(G37,'Feuerwaffen-Ressourcen'!$A$2:$AI$54,23,0)+VLOOKUP(I37,'Feuerwaffen-Ressourcen'!$A$2:$AI$54,23,0)+VLOOKUP(J37,'Feuerwaffen-Ressourcen'!$A$2:$AI$54,23,0)</f>
        <v>-23</v>
      </c>
      <c r="X37" s="50">
        <f>VLOOKUP(B37,'Feuerwaffen-Ressourcen'!$A$2:$AI$54,24,0)+VLOOKUP(C37,'Feuerwaffen-Ressourcen'!$A$2:$AI$54,24,0)+VLOOKUP(D37,'Feuerwaffen-Ressourcen'!$A$2:$AI$54,24,0)+VLOOKUP(G37,'Feuerwaffen-Ressourcen'!$A$2:$AI$54,24,0)</f>
        <v>80</v>
      </c>
      <c r="Y37" s="50">
        <f>VLOOKUP(D37,'Feuerwaffen-Ressourcen'!$A$2:$AI$54,25,0)+VLOOKUP(E37,'Feuerwaffen-Ressourcen'!$A$2:$AI$54,25,0)+VLOOKUP(F37,'Feuerwaffen-Ressourcen'!$A$2:$AI$54,25,0)</f>
        <v>9</v>
      </c>
      <c r="Z37" s="50">
        <f>VLOOKUP(E37,'Feuerwaffen-Ressourcen'!$A$2:$AI$54,26,0)</f>
        <v>6</v>
      </c>
      <c r="AA37" s="50">
        <f>VLOOKUP(B37,'Feuerwaffen-Ressourcen'!$A$2:$AI$54,27,0)+VLOOKUP(D37,'Feuerwaffen-Ressourcen'!$A$2:$AI$54,27,0)+VLOOKUP(F37,'Feuerwaffen-Ressourcen'!$A$2:$AI$54,27,0)+VLOOKUP(I37,'Feuerwaffen-Ressourcen'!$A$2:$AI$54,27,0)</f>
        <v>1</v>
      </c>
      <c r="AB37" s="50">
        <f>VLOOKUP(B37,'Feuerwaffen-Ressourcen'!$A$2:$AI$54,28,0)+VLOOKUP(C37,'Feuerwaffen-Ressourcen'!$A$2:$AI$54,28,0)+VLOOKUP(D37,'Feuerwaffen-Ressourcen'!$A$2:$AI$54,28,0)+VLOOKUP(E37,'Feuerwaffen-Ressourcen'!$A$2:$AI$54,28,0)+VLOOKUP(F37,'Feuerwaffen-Ressourcen'!$A$2:$AI$54,28,0)+VLOOKUP(G37,'Feuerwaffen-Ressourcen'!$A$2:$AI$54,28,0)+VLOOKUP(I37,'Feuerwaffen-Ressourcen'!$A$2:$AI$54,28,0)+VLOOKUP(J37,'Feuerwaffen-Ressourcen'!$A$2:$AI$54,28,0)</f>
        <v>75</v>
      </c>
      <c r="AC37" s="53">
        <f>VLOOKUP(I37,'Feuerwaffen-Ressourcen'!$A$2:$AI$54,31,0)*AD37+AE37</f>
        <v>230.5</v>
      </c>
      <c r="AD37" s="54">
        <f>VLOOKUP(B37,'Feuerwaffen-Ressourcen'!$A$2:$AI$54,30,0)+VLOOKUP(C37,'Feuerwaffen-Ressourcen'!$A$2:$AI$54,30,0)+VLOOKUP(D37,'Feuerwaffen-Ressourcen'!$A$2:$AI$54,30,0)+VLOOKUP(F37,'Feuerwaffen-Ressourcen'!$A$2:$AI$54,30,0)+VLOOKUP(G37,'Feuerwaffen-Ressourcen'!$A$2:$AI$54,30,0)+VLOOKUP(I37,'Feuerwaffen-Ressourcen'!$A$2:$AI$54,30,0)+VLOOKUP(J37,'Feuerwaffen-Ressourcen'!$A$2:$AI$54,30,0)</f>
        <v>7.6999999999999993</v>
      </c>
      <c r="AE37" s="53">
        <f>(VLOOKUP(C37,'Feuerwaffen-Ressourcen'!$A$2:$AI$54,32,0)+VLOOKUP(I37,'Feuerwaffen-Ressourcen'!$A$2:$AI$54,32,0))*(VLOOKUP(B37,'Feuerwaffen-Ressourcen'!$A$2:$AI$54,34,0)+VLOOKUP(C37,'Feuerwaffen-Ressourcen'!$A$2:$AI$54,34,0)+VLOOKUP(D37,'Feuerwaffen-Ressourcen'!$A$2:$AI$54,34,0)+VLOOKUP(E37,'Feuerwaffen-Ressourcen'!$A$2:$AI$54,34,0)+VLOOKUP(G37,'Feuerwaffen-Ressourcen'!$A$2:$AI$54,34,0))+VLOOKUP(B37,'Feuerwaffen-Ressourcen'!$A$2:$AI$54,35,0)+VLOOKUP(C37,'Feuerwaffen-Ressourcen'!$A$2:$AI$54,35,0)+VLOOKUP(D37,'Feuerwaffen-Ressourcen'!$A$2:$AI$54,35,0)</f>
        <v>199.70000000000002</v>
      </c>
      <c r="AF37" s="55">
        <f>VLOOKUP(AB37,'Feuerwaffen-Ressourcen'!$AO$3:$AP$9,2,1)</f>
        <v>6</v>
      </c>
      <c r="AG37" s="55">
        <v>0</v>
      </c>
      <c r="AH37" s="28" t="s">
        <v>1420</v>
      </c>
      <c r="AI37" s="28" t="s">
        <v>8657</v>
      </c>
      <c r="AJ37" s="56">
        <v>3</v>
      </c>
      <c r="AK37" s="56" t="s">
        <v>5497</v>
      </c>
      <c r="AL37" s="56" t="s">
        <v>5486</v>
      </c>
      <c r="AM37" s="56">
        <v>3</v>
      </c>
      <c r="AN37" s="56">
        <v>5</v>
      </c>
      <c r="AO37" s="56">
        <v>4</v>
      </c>
      <c r="AP37" s="56">
        <v>4</v>
      </c>
      <c r="AQ37" s="56">
        <v>7</v>
      </c>
      <c r="AR37" s="56">
        <v>7</v>
      </c>
      <c r="AS37" s="56">
        <v>5</v>
      </c>
      <c r="AT37" s="56">
        <v>6</v>
      </c>
    </row>
    <row r="38" spans="1:46">
      <c r="A38" s="49" t="s">
        <v>8859</v>
      </c>
      <c r="B38" s="49" t="s">
        <v>1180</v>
      </c>
      <c r="C38" s="49" t="s">
        <v>8921</v>
      </c>
      <c r="D38" s="49" t="s">
        <v>8943</v>
      </c>
      <c r="E38" s="49" t="s">
        <v>8258</v>
      </c>
      <c r="F38" s="49" t="s">
        <v>8928</v>
      </c>
      <c r="G38" s="49" t="s">
        <v>8923</v>
      </c>
      <c r="H38" s="49" t="s">
        <v>8271</v>
      </c>
      <c r="I38" s="49" t="s">
        <v>7341</v>
      </c>
      <c r="J38" s="49" t="s">
        <v>7320</v>
      </c>
      <c r="K38" s="51">
        <f>VLOOKUP(B38,'Feuerwaffen-Ressourcen'!$A$2:$AI$54,11,0)+VLOOKUP(C38,'Feuerwaffen-Ressourcen'!$A$2:$AI$54,11,0)+VLOOKUP(D38,'Feuerwaffen-Ressourcen'!$A$2:$AI$54,11,0)+VLOOKUP(E38,'Feuerwaffen-Ressourcen'!$A$2:$AI$54,11,0)+VLOOKUP(G38,'Feuerwaffen-Ressourcen'!$A$2:$AI$54,11,0)</f>
        <v>11.1</v>
      </c>
      <c r="L38" s="50">
        <f>VLOOKUP(B38,'Feuerwaffen-Ressourcen'!$A$2:$AI$54,12,0)+VLOOKUP(C38,'Feuerwaffen-Ressourcen'!$A$2:$AI$54,12,0)+VLOOKUP(D38,'Feuerwaffen-Ressourcen'!$A$2:$AI$54,12,0)+VLOOKUP(J38,'Feuerwaffen-Ressourcen'!$A$2:$AI$54,12,0)</f>
        <v>15</v>
      </c>
      <c r="M38" s="50" t="str">
        <f>VLOOKUP(VLOOKUP(B38,'Feuerwaffen-Ressourcen'!$A$2:$AI$54,13,0)+VLOOKUP(C38,'Feuerwaffen-Ressourcen'!$A$2:$AI$54,13,0)+VLOOKUP(D38,'Feuerwaffen-Ressourcen'!$A$2:$AI$54,13,0),'Feuerwaffen-Ressourcen'!$AJ$3:$AK$12,2,0)</f>
        <v>W12</v>
      </c>
      <c r="N38" s="50" t="str">
        <f>VLOOKUP(VLOOKUP(B38,'Feuerwaffen-Ressourcen'!$A$2:$AI$54,14,0)+VLOOKUP(C38,'Feuerwaffen-Ressourcen'!$A$2:$AI$54,14,0)+VLOOKUP(D38,'Feuerwaffen-Ressourcen'!$A$2:$AI$54,14,0),'Feuerwaffen-Ressourcen'!$AJ$3:$AK$12,2,0)</f>
        <v>W12</v>
      </c>
      <c r="O38" s="50">
        <f>VLOOKUP(B38,'Feuerwaffen-Ressourcen'!$A$2:$AI$54,15,0)+VLOOKUP(C38,'Feuerwaffen-Ressourcen'!$A$2:$AI$54,15,0)+VLOOKUP(D38,'Feuerwaffen-Ressourcen'!$A$2:$AI$54,15,0)</f>
        <v>3</v>
      </c>
      <c r="P38" s="50">
        <f>VLOOKUP(B38,'Feuerwaffen-Ressourcen'!$A$2:$AI$54,16,0)+VLOOKUP(C38,'Feuerwaffen-Ressourcen'!$A$2:$AI$54,16,0)+VLOOKUP(D38,'Feuerwaffen-Ressourcen'!$A$2:$AI$54,16,0)+VLOOKUP(E38,'Feuerwaffen-Ressourcen'!$A$2:$AI$54,16,0)</f>
        <v>18</v>
      </c>
      <c r="Q38" s="52">
        <f>VLOOKUP(B38,'Feuerwaffen-Ressourcen'!$A$2:$AI$54,17,0)+VLOOKUP(C38,'Feuerwaffen-Ressourcen'!$A$2:$AI$54,17,0)+VLOOKUP(D38,'Feuerwaffen-Ressourcen'!$A$2:$AI$54,17,0)+VLOOKUP(E38,'Feuerwaffen-Ressourcen'!$A$2:$AI$54,17,0)</f>
        <v>20</v>
      </c>
      <c r="R38" s="50">
        <f>VLOOKUP(B38,'Feuerwaffen-Ressourcen'!$A$2:$AI$54,18,0)+VLOOKUP(C38,'Feuerwaffen-Ressourcen'!$A$2:$AI$54,18,0)+VLOOKUP(D38,'Feuerwaffen-Ressourcen'!$A$2:$AI$54,18,0)+VLOOKUP(F38,'Feuerwaffen-Ressourcen'!$A$2:$AI$54,18,0)+VLOOKUP(G38,'Feuerwaffen-Ressourcen'!$A$2:$AI$54,18,0)+VLOOKUP(I38,'Feuerwaffen-Ressourcen'!$A$2:$AI$54,18,0)+VLOOKUP(J38,'Feuerwaffen-Ressourcen'!$A$2:$AI$54,18,0)</f>
        <v>-4</v>
      </c>
      <c r="S38" s="50">
        <f>VLOOKUP(B38,'Feuerwaffen-Ressourcen'!$A$2:$AI$54,19,0)+VLOOKUP(C38,'Feuerwaffen-Ressourcen'!$A$2:$AI$54,19,0)+VLOOKUP(D38,'Feuerwaffen-Ressourcen'!$A$2:$AI$54,19,0)+VLOOKUP(F38,'Feuerwaffen-Ressourcen'!$A$2:$AI$54,19,0)+VLOOKUP(G38,'Feuerwaffen-Ressourcen'!$A$2:$AI$54,19,0)+VLOOKUP(I38,'Feuerwaffen-Ressourcen'!$A$2:$AI$54,19,0)+VLOOKUP(J38,'Feuerwaffen-Ressourcen'!$A$2:$AI$54,19,0)</f>
        <v>-6</v>
      </c>
      <c r="T38" s="50">
        <f>VLOOKUP(B38,'Feuerwaffen-Ressourcen'!$A$2:$AI$54,20,0)+VLOOKUP(C38,'Feuerwaffen-Ressourcen'!$A$2:$AI$54,20,0)+VLOOKUP(D38,'Feuerwaffen-Ressourcen'!$A$2:$AI$54,20,0)+VLOOKUP(F38,'Feuerwaffen-Ressourcen'!$A$2:$AI$54,20,0)+VLOOKUP(G38,'Feuerwaffen-Ressourcen'!$A$2:$AI$54,20,0)+VLOOKUP(I38,'Feuerwaffen-Ressourcen'!$A$2:$AI$54,20,0)+VLOOKUP(J38,'Feuerwaffen-Ressourcen'!$A$2:$AI$54,20,0)</f>
        <v>-9</v>
      </c>
      <c r="U38" s="50">
        <f>VLOOKUP(B38,'Feuerwaffen-Ressourcen'!$A$2:$AI$54,21,0)+VLOOKUP(C38,'Feuerwaffen-Ressourcen'!$A$2:$AI$54,21,0)+VLOOKUP(D38,'Feuerwaffen-Ressourcen'!$A$2:$AI$54,21,0)+VLOOKUP(F38,'Feuerwaffen-Ressourcen'!$A$2:$AI$54,21,0)+VLOOKUP(G38,'Feuerwaffen-Ressourcen'!$A$2:$AI$54,21,0)+VLOOKUP(I38,'Feuerwaffen-Ressourcen'!$A$2:$AI$54,21,0)+VLOOKUP(J38,'Feuerwaffen-Ressourcen'!$A$2:$AI$54,21,0)</f>
        <v>-15</v>
      </c>
      <c r="V38" s="50">
        <f>VLOOKUP(B38,'Feuerwaffen-Ressourcen'!$A$2:$AI$54,22,0)+VLOOKUP(C38,'Feuerwaffen-Ressourcen'!$A$2:$AI$54,22,0)+VLOOKUP(D38,'Feuerwaffen-Ressourcen'!$A$2:$AI$54,22,0)+VLOOKUP(F38,'Feuerwaffen-Ressourcen'!$A$2:$AI$54,22,0)+VLOOKUP(G38,'Feuerwaffen-Ressourcen'!$A$2:$AI$54,22,0)+VLOOKUP(I38,'Feuerwaffen-Ressourcen'!$A$2:$AI$54,22,0)+VLOOKUP(J38,'Feuerwaffen-Ressourcen'!$A$2:$AI$54,22,0)</f>
        <v>-22</v>
      </c>
      <c r="W38" s="50">
        <f>VLOOKUP(B38,'Feuerwaffen-Ressourcen'!$A$2:$AI$54,23,0)+VLOOKUP(C38,'Feuerwaffen-Ressourcen'!$A$2:$AI$54,23,0)+VLOOKUP(D38,'Feuerwaffen-Ressourcen'!$A$2:$AI$54,23,0)+VLOOKUP(F38,'Feuerwaffen-Ressourcen'!$A$2:$AI$54,23,0)+VLOOKUP(G38,'Feuerwaffen-Ressourcen'!$A$2:$AI$54,23,0)+VLOOKUP(I38,'Feuerwaffen-Ressourcen'!$A$2:$AI$54,23,0)+VLOOKUP(J38,'Feuerwaffen-Ressourcen'!$A$2:$AI$54,23,0)</f>
        <v>-30</v>
      </c>
      <c r="X38" s="50">
        <f>VLOOKUP(B38,'Feuerwaffen-Ressourcen'!$A$2:$AI$54,24,0)+VLOOKUP(C38,'Feuerwaffen-Ressourcen'!$A$2:$AI$54,24,0)+VLOOKUP(D38,'Feuerwaffen-Ressourcen'!$A$2:$AI$54,24,0)+VLOOKUP(G38,'Feuerwaffen-Ressourcen'!$A$2:$AI$54,24,0)</f>
        <v>90</v>
      </c>
      <c r="Y38" s="50">
        <f>VLOOKUP(D38,'Feuerwaffen-Ressourcen'!$A$2:$AI$54,25,0)+VLOOKUP(E38,'Feuerwaffen-Ressourcen'!$A$2:$AI$54,25,0)+VLOOKUP(F38,'Feuerwaffen-Ressourcen'!$A$2:$AI$54,25,0)</f>
        <v>42</v>
      </c>
      <c r="Z38" s="50">
        <f>VLOOKUP(E38,'Feuerwaffen-Ressourcen'!$A$2:$AI$54,26,0)</f>
        <v>3</v>
      </c>
      <c r="AA38" s="50">
        <f>VLOOKUP(B38,'Feuerwaffen-Ressourcen'!$A$2:$AI$54,27,0)+VLOOKUP(D38,'Feuerwaffen-Ressourcen'!$A$2:$AI$54,27,0)+VLOOKUP(F38,'Feuerwaffen-Ressourcen'!$A$2:$AI$54,27,0)+VLOOKUP(I38,'Feuerwaffen-Ressourcen'!$A$2:$AI$54,27,0)</f>
        <v>4</v>
      </c>
      <c r="AB38" s="50">
        <f>VLOOKUP(B38,'Feuerwaffen-Ressourcen'!$A$2:$AI$54,28,0)+VLOOKUP(C38,'Feuerwaffen-Ressourcen'!$A$2:$AI$54,28,0)+VLOOKUP(D38,'Feuerwaffen-Ressourcen'!$A$2:$AI$54,28,0)+VLOOKUP(E38,'Feuerwaffen-Ressourcen'!$A$2:$AI$54,28,0)+VLOOKUP(F38,'Feuerwaffen-Ressourcen'!$A$2:$AI$54,28,0)+VLOOKUP(G38,'Feuerwaffen-Ressourcen'!$A$2:$AI$54,28,0)+VLOOKUP(I38,'Feuerwaffen-Ressourcen'!$A$2:$AI$54,28,0)+VLOOKUP(J38,'Feuerwaffen-Ressourcen'!$A$2:$AI$54,28,0)</f>
        <v>115</v>
      </c>
      <c r="AC38" s="53">
        <f>VLOOKUP(I38,'Feuerwaffen-Ressourcen'!$A$2:$AI$54,31,0)*AD38+AE38</f>
        <v>1158.5</v>
      </c>
      <c r="AD38" s="54">
        <f>VLOOKUP(B38,'Feuerwaffen-Ressourcen'!$A$2:$AI$54,30,0)+VLOOKUP(C38,'Feuerwaffen-Ressourcen'!$A$2:$AI$54,30,0)+VLOOKUP(D38,'Feuerwaffen-Ressourcen'!$A$2:$AI$54,30,0)+VLOOKUP(F38,'Feuerwaffen-Ressourcen'!$A$2:$AI$54,30,0)+VLOOKUP(G38,'Feuerwaffen-Ressourcen'!$A$2:$AI$54,30,0)+VLOOKUP(I38,'Feuerwaffen-Ressourcen'!$A$2:$AI$54,30,0)+VLOOKUP(J38,'Feuerwaffen-Ressourcen'!$A$2:$AI$54,30,0)</f>
        <v>7.1999999999999993</v>
      </c>
      <c r="AE38" s="53">
        <f>(VLOOKUP(C38,'Feuerwaffen-Ressourcen'!$A$2:$AI$54,32,0)+VLOOKUP(I38,'Feuerwaffen-Ressourcen'!$A$2:$AI$54,32,0))*(VLOOKUP(B38,'Feuerwaffen-Ressourcen'!$A$2:$AI$54,34,0)+VLOOKUP(C38,'Feuerwaffen-Ressourcen'!$A$2:$AI$54,34,0)+VLOOKUP(D38,'Feuerwaffen-Ressourcen'!$A$2:$AI$54,34,0)+VLOOKUP(E38,'Feuerwaffen-Ressourcen'!$A$2:$AI$54,34,0)+VLOOKUP(G38,'Feuerwaffen-Ressourcen'!$A$2:$AI$54,34,0))+VLOOKUP(B38,'Feuerwaffen-Ressourcen'!$A$2:$AI$54,35,0)+VLOOKUP(C38,'Feuerwaffen-Ressourcen'!$A$2:$AI$54,35,0)+VLOOKUP(D38,'Feuerwaffen-Ressourcen'!$A$2:$AI$54,35,0)</f>
        <v>1129.7</v>
      </c>
      <c r="AF38" s="55">
        <f>VLOOKUP(AB38,'Feuerwaffen-Ressourcen'!$AO$3:$AP$9,2,1)</f>
        <v>4</v>
      </c>
      <c r="AG38" s="55">
        <v>0</v>
      </c>
      <c r="AH38" s="28" t="s">
        <v>1420</v>
      </c>
      <c r="AI38" s="28" t="s">
        <v>8657</v>
      </c>
      <c r="AJ38" s="56">
        <v>3</v>
      </c>
      <c r="AK38" s="56" t="s">
        <v>5497</v>
      </c>
      <c r="AL38" s="56" t="s">
        <v>5486</v>
      </c>
      <c r="AM38" s="56">
        <v>3</v>
      </c>
      <c r="AN38" s="56">
        <v>5</v>
      </c>
      <c r="AO38" s="56">
        <v>4</v>
      </c>
      <c r="AP38" s="56">
        <v>4</v>
      </c>
      <c r="AQ38" s="56">
        <v>15</v>
      </c>
      <c r="AR38" s="56">
        <v>15</v>
      </c>
      <c r="AS38" s="56">
        <v>5</v>
      </c>
      <c r="AT38" s="56">
        <v>6</v>
      </c>
    </row>
    <row r="39" spans="1:46">
      <c r="A39" s="49" t="s">
        <v>8860</v>
      </c>
      <c r="B39" s="49" t="s">
        <v>1180</v>
      </c>
      <c r="C39" s="49" t="s">
        <v>8921</v>
      </c>
      <c r="D39" s="49" t="s">
        <v>8941</v>
      </c>
      <c r="E39" s="49" t="s">
        <v>8829</v>
      </c>
      <c r="F39" s="49" t="s">
        <v>8931</v>
      </c>
      <c r="G39" s="49" t="s">
        <v>8932</v>
      </c>
      <c r="H39" s="49" t="s">
        <v>8830</v>
      </c>
      <c r="I39" s="49" t="s">
        <v>7341</v>
      </c>
      <c r="J39" s="49" t="s">
        <v>7320</v>
      </c>
      <c r="K39" s="51">
        <f>VLOOKUP(B39,'Feuerwaffen-Ressourcen'!$A$2:$AI$54,11,0)+VLOOKUP(C39,'Feuerwaffen-Ressourcen'!$A$2:$AI$54,11,0)+VLOOKUP(D39,'Feuerwaffen-Ressourcen'!$A$2:$AI$54,11,0)+VLOOKUP(E39,'Feuerwaffen-Ressourcen'!$A$2:$AI$54,11,0)+VLOOKUP(G39,'Feuerwaffen-Ressourcen'!$A$2:$AI$54,11,0)</f>
        <v>4.8499999999999996</v>
      </c>
      <c r="L39" s="50">
        <f>VLOOKUP(B39,'Feuerwaffen-Ressourcen'!$A$2:$AI$54,12,0)+VLOOKUP(C39,'Feuerwaffen-Ressourcen'!$A$2:$AI$54,12,0)+VLOOKUP(D39,'Feuerwaffen-Ressourcen'!$A$2:$AI$54,12,0)+VLOOKUP(J39,'Feuerwaffen-Ressourcen'!$A$2:$AI$54,12,0)</f>
        <v>8</v>
      </c>
      <c r="M39" s="50" t="str">
        <f>VLOOKUP(VLOOKUP(B39,'Feuerwaffen-Ressourcen'!$A$2:$AI$54,13,0)+VLOOKUP(C39,'Feuerwaffen-Ressourcen'!$A$2:$AI$54,13,0)+VLOOKUP(D39,'Feuerwaffen-Ressourcen'!$A$2:$AI$54,13,0),'Feuerwaffen-Ressourcen'!$AJ$3:$AK$12,2,0)</f>
        <v>W8</v>
      </c>
      <c r="N39" s="50" t="str">
        <f>VLOOKUP(VLOOKUP(B39,'Feuerwaffen-Ressourcen'!$A$2:$AI$54,14,0)+VLOOKUP(C39,'Feuerwaffen-Ressourcen'!$A$2:$AI$54,14,0)+VLOOKUP(D39,'Feuerwaffen-Ressourcen'!$A$2:$AI$54,14,0),'Feuerwaffen-Ressourcen'!$AJ$3:$AK$12,2,0)</f>
        <v>W6</v>
      </c>
      <c r="O39" s="50">
        <f>VLOOKUP(B39,'Feuerwaffen-Ressourcen'!$A$2:$AI$54,15,0)+VLOOKUP(C39,'Feuerwaffen-Ressourcen'!$A$2:$AI$54,15,0)+VLOOKUP(D39,'Feuerwaffen-Ressourcen'!$A$2:$AI$54,15,0)</f>
        <v>1</v>
      </c>
      <c r="P39" s="50">
        <f>VLOOKUP(B39,'Feuerwaffen-Ressourcen'!$A$2:$AI$54,16,0)+VLOOKUP(C39,'Feuerwaffen-Ressourcen'!$A$2:$AI$54,16,0)+VLOOKUP(D39,'Feuerwaffen-Ressourcen'!$A$2:$AI$54,16,0)+VLOOKUP(E39,'Feuerwaffen-Ressourcen'!$A$2:$AI$54,16,0)</f>
        <v>20</v>
      </c>
      <c r="Q39" s="52">
        <f>VLOOKUP(B39,'Feuerwaffen-Ressourcen'!$A$2:$AI$54,17,0)+VLOOKUP(C39,'Feuerwaffen-Ressourcen'!$A$2:$AI$54,17,0)+VLOOKUP(D39,'Feuerwaffen-Ressourcen'!$A$2:$AI$54,17,0)+VLOOKUP(E39,'Feuerwaffen-Ressourcen'!$A$2:$AI$54,17,0)</f>
        <v>9</v>
      </c>
      <c r="R39" s="50">
        <f>VLOOKUP(B39,'Feuerwaffen-Ressourcen'!$A$2:$AI$54,18,0)+VLOOKUP(C39,'Feuerwaffen-Ressourcen'!$A$2:$AI$54,18,0)+VLOOKUP(D39,'Feuerwaffen-Ressourcen'!$A$2:$AI$54,18,0)+VLOOKUP(F39,'Feuerwaffen-Ressourcen'!$A$2:$AI$54,18,0)+VLOOKUP(G39,'Feuerwaffen-Ressourcen'!$A$2:$AI$54,18,0)+VLOOKUP(I39,'Feuerwaffen-Ressourcen'!$A$2:$AI$54,18,0)+VLOOKUP(J39,'Feuerwaffen-Ressourcen'!$A$2:$AI$54,18,0)</f>
        <v>5</v>
      </c>
      <c r="S39" s="50">
        <f>VLOOKUP(B39,'Feuerwaffen-Ressourcen'!$A$2:$AI$54,19,0)+VLOOKUP(C39,'Feuerwaffen-Ressourcen'!$A$2:$AI$54,19,0)+VLOOKUP(D39,'Feuerwaffen-Ressourcen'!$A$2:$AI$54,19,0)+VLOOKUP(F39,'Feuerwaffen-Ressourcen'!$A$2:$AI$54,19,0)+VLOOKUP(G39,'Feuerwaffen-Ressourcen'!$A$2:$AI$54,19,0)+VLOOKUP(I39,'Feuerwaffen-Ressourcen'!$A$2:$AI$54,19,0)+VLOOKUP(J39,'Feuerwaffen-Ressourcen'!$A$2:$AI$54,19,0)</f>
        <v>1</v>
      </c>
      <c r="T39" s="50">
        <f>VLOOKUP(B39,'Feuerwaffen-Ressourcen'!$A$2:$AI$54,20,0)+VLOOKUP(C39,'Feuerwaffen-Ressourcen'!$A$2:$AI$54,20,0)+VLOOKUP(D39,'Feuerwaffen-Ressourcen'!$A$2:$AI$54,20,0)+VLOOKUP(F39,'Feuerwaffen-Ressourcen'!$A$2:$AI$54,20,0)+VLOOKUP(G39,'Feuerwaffen-Ressourcen'!$A$2:$AI$54,20,0)+VLOOKUP(I39,'Feuerwaffen-Ressourcen'!$A$2:$AI$54,20,0)+VLOOKUP(J39,'Feuerwaffen-Ressourcen'!$A$2:$AI$54,20,0)</f>
        <v>-4</v>
      </c>
      <c r="U39" s="50">
        <f>VLOOKUP(B39,'Feuerwaffen-Ressourcen'!$A$2:$AI$54,21,0)+VLOOKUP(C39,'Feuerwaffen-Ressourcen'!$A$2:$AI$54,21,0)+VLOOKUP(D39,'Feuerwaffen-Ressourcen'!$A$2:$AI$54,21,0)+VLOOKUP(F39,'Feuerwaffen-Ressourcen'!$A$2:$AI$54,21,0)+VLOOKUP(G39,'Feuerwaffen-Ressourcen'!$A$2:$AI$54,21,0)+VLOOKUP(I39,'Feuerwaffen-Ressourcen'!$A$2:$AI$54,21,0)+VLOOKUP(J39,'Feuerwaffen-Ressourcen'!$A$2:$AI$54,21,0)</f>
        <v>-12</v>
      </c>
      <c r="V39" s="50">
        <f>VLOOKUP(B39,'Feuerwaffen-Ressourcen'!$A$2:$AI$54,22,0)+VLOOKUP(C39,'Feuerwaffen-Ressourcen'!$A$2:$AI$54,22,0)+VLOOKUP(D39,'Feuerwaffen-Ressourcen'!$A$2:$AI$54,22,0)+VLOOKUP(F39,'Feuerwaffen-Ressourcen'!$A$2:$AI$54,22,0)+VLOOKUP(G39,'Feuerwaffen-Ressourcen'!$A$2:$AI$54,22,0)+VLOOKUP(I39,'Feuerwaffen-Ressourcen'!$A$2:$AI$54,22,0)+VLOOKUP(J39,'Feuerwaffen-Ressourcen'!$A$2:$AI$54,22,0)</f>
        <v>-20</v>
      </c>
      <c r="W39" s="50">
        <f>VLOOKUP(B39,'Feuerwaffen-Ressourcen'!$A$2:$AI$54,23,0)+VLOOKUP(C39,'Feuerwaffen-Ressourcen'!$A$2:$AI$54,23,0)+VLOOKUP(D39,'Feuerwaffen-Ressourcen'!$A$2:$AI$54,23,0)+VLOOKUP(F39,'Feuerwaffen-Ressourcen'!$A$2:$AI$54,23,0)+VLOOKUP(G39,'Feuerwaffen-Ressourcen'!$A$2:$AI$54,23,0)+VLOOKUP(I39,'Feuerwaffen-Ressourcen'!$A$2:$AI$54,23,0)+VLOOKUP(J39,'Feuerwaffen-Ressourcen'!$A$2:$AI$54,23,0)</f>
        <v>-28</v>
      </c>
      <c r="X39" s="50">
        <f>VLOOKUP(B39,'Feuerwaffen-Ressourcen'!$A$2:$AI$54,24,0)+VLOOKUP(C39,'Feuerwaffen-Ressourcen'!$A$2:$AI$54,24,0)+VLOOKUP(D39,'Feuerwaffen-Ressourcen'!$A$2:$AI$54,24,0)+VLOOKUP(G39,'Feuerwaffen-Ressourcen'!$A$2:$AI$54,24,0)</f>
        <v>70</v>
      </c>
      <c r="Y39" s="50">
        <f>VLOOKUP(D39,'Feuerwaffen-Ressourcen'!$A$2:$AI$54,25,0)+VLOOKUP(E39,'Feuerwaffen-Ressourcen'!$A$2:$AI$54,25,0)+VLOOKUP(F39,'Feuerwaffen-Ressourcen'!$A$2:$AI$54,25,0)</f>
        <v>13</v>
      </c>
      <c r="Z39" s="50">
        <f>VLOOKUP(E39,'Feuerwaffen-Ressourcen'!$A$2:$AI$54,26,0)</f>
        <v>6</v>
      </c>
      <c r="AA39" s="50">
        <f>VLOOKUP(B39,'Feuerwaffen-Ressourcen'!$A$2:$AI$54,27,0)+VLOOKUP(D39,'Feuerwaffen-Ressourcen'!$A$2:$AI$54,27,0)+VLOOKUP(F39,'Feuerwaffen-Ressourcen'!$A$2:$AI$54,27,0)+VLOOKUP(I39,'Feuerwaffen-Ressourcen'!$A$2:$AI$54,27,0)</f>
        <v>1</v>
      </c>
      <c r="AB39" s="50">
        <f>VLOOKUP(B39,'Feuerwaffen-Ressourcen'!$A$2:$AI$54,28,0)+VLOOKUP(C39,'Feuerwaffen-Ressourcen'!$A$2:$AI$54,28,0)+VLOOKUP(D39,'Feuerwaffen-Ressourcen'!$A$2:$AI$54,28,0)+VLOOKUP(E39,'Feuerwaffen-Ressourcen'!$A$2:$AI$54,28,0)+VLOOKUP(F39,'Feuerwaffen-Ressourcen'!$A$2:$AI$54,28,0)+VLOOKUP(G39,'Feuerwaffen-Ressourcen'!$A$2:$AI$54,28,0)+VLOOKUP(I39,'Feuerwaffen-Ressourcen'!$A$2:$AI$54,28,0)+VLOOKUP(J39,'Feuerwaffen-Ressourcen'!$A$2:$AI$54,28,0)</f>
        <v>60</v>
      </c>
      <c r="AC39" s="53">
        <f>VLOOKUP(I39,'Feuerwaffen-Ressourcen'!$A$2:$AI$54,31,0)*AD39+AE39</f>
        <v>410.5</v>
      </c>
      <c r="AD39" s="54">
        <f>VLOOKUP(B39,'Feuerwaffen-Ressourcen'!$A$2:$AI$54,30,0)+VLOOKUP(C39,'Feuerwaffen-Ressourcen'!$A$2:$AI$54,30,0)+VLOOKUP(D39,'Feuerwaffen-Ressourcen'!$A$2:$AI$54,30,0)+VLOOKUP(F39,'Feuerwaffen-Ressourcen'!$A$2:$AI$54,30,0)+VLOOKUP(G39,'Feuerwaffen-Ressourcen'!$A$2:$AI$54,30,0)+VLOOKUP(I39,'Feuerwaffen-Ressourcen'!$A$2:$AI$54,30,0)+VLOOKUP(J39,'Feuerwaffen-Ressourcen'!$A$2:$AI$54,30,0)</f>
        <v>7.6999999999999993</v>
      </c>
      <c r="AE39" s="53">
        <f>(VLOOKUP(C39,'Feuerwaffen-Ressourcen'!$A$2:$AI$54,32,0)+VLOOKUP(I39,'Feuerwaffen-Ressourcen'!$A$2:$AI$54,32,0))*(VLOOKUP(B39,'Feuerwaffen-Ressourcen'!$A$2:$AI$54,34,0)+VLOOKUP(C39,'Feuerwaffen-Ressourcen'!$A$2:$AI$54,34,0)+VLOOKUP(D39,'Feuerwaffen-Ressourcen'!$A$2:$AI$54,34,0)+VLOOKUP(E39,'Feuerwaffen-Ressourcen'!$A$2:$AI$54,34,0)+VLOOKUP(G39,'Feuerwaffen-Ressourcen'!$A$2:$AI$54,34,0))+VLOOKUP(B39,'Feuerwaffen-Ressourcen'!$A$2:$AI$54,35,0)+VLOOKUP(C39,'Feuerwaffen-Ressourcen'!$A$2:$AI$54,35,0)+VLOOKUP(D39,'Feuerwaffen-Ressourcen'!$A$2:$AI$54,35,0)</f>
        <v>379.7</v>
      </c>
      <c r="AF39" s="55">
        <f>VLOOKUP(AB39,'Feuerwaffen-Ressourcen'!$AO$3:$AP$9,2,1)</f>
        <v>7</v>
      </c>
      <c r="AG39" s="55">
        <v>0</v>
      </c>
      <c r="AH39" s="28" t="s">
        <v>1420</v>
      </c>
      <c r="AI39" s="28" t="s">
        <v>8657</v>
      </c>
      <c r="AJ39" s="56">
        <v>3</v>
      </c>
      <c r="AK39" s="56" t="s">
        <v>5497</v>
      </c>
      <c r="AL39" s="56" t="s">
        <v>5486</v>
      </c>
      <c r="AM39" s="56">
        <v>3</v>
      </c>
      <c r="AN39" s="56">
        <v>5</v>
      </c>
      <c r="AO39" s="56">
        <v>4</v>
      </c>
      <c r="AP39" s="56">
        <v>4</v>
      </c>
      <c r="AQ39" s="56">
        <f>VLOOKUP(B39,'Feuerwaffen-Ressourcen'!$A$2:$AI$54,12,0)+VLOOKUP(C39,'Feuerwaffen-Ressourcen'!$A$2:$AI$54,12,0)+VLOOKUP(D39,'Feuerwaffen-Ressourcen'!$A$2:$AI$54,12,0)+VLOOKUP(J39,'Feuerwaffen-Ressourcen'!$A$2:$AI$54,12,0)</f>
        <v>8</v>
      </c>
      <c r="AR39" s="56">
        <f>VLOOKUP(B39,'Feuerwaffen-Ressourcen'!$A$2:$AI$54,12,0)+VLOOKUP(C39,'Feuerwaffen-Ressourcen'!$A$2:$AI$54,12,0)+VLOOKUP(D39,'Feuerwaffen-Ressourcen'!$A$2:$AI$54,12,0)+VLOOKUP(J39,'Feuerwaffen-Ressourcen'!$A$2:$AI$54,12,0)</f>
        <v>8</v>
      </c>
      <c r="AS39" s="56">
        <v>5</v>
      </c>
      <c r="AT39" s="56">
        <v>6</v>
      </c>
    </row>
    <row r="40" spans="1:46">
      <c r="A40" s="49" t="s">
        <v>8861</v>
      </c>
      <c r="B40" s="49" t="s">
        <v>1180</v>
      </c>
      <c r="C40" s="49" t="s">
        <v>8921</v>
      </c>
      <c r="D40" s="49" t="s">
        <v>8935</v>
      </c>
      <c r="E40" s="49" t="s">
        <v>8258</v>
      </c>
      <c r="F40" s="49" t="s">
        <v>8928</v>
      </c>
      <c r="G40" s="49" t="s">
        <v>8923</v>
      </c>
      <c r="H40" s="49" t="s">
        <v>8271</v>
      </c>
      <c r="I40" s="49" t="s">
        <v>7341</v>
      </c>
      <c r="J40" s="49" t="s">
        <v>7320</v>
      </c>
      <c r="K40" s="51">
        <f>VLOOKUP(B40,'Feuerwaffen-Ressourcen'!$A$2:$AI$54,11,0)+VLOOKUP(C40,'Feuerwaffen-Ressourcen'!$A$2:$AI$54,11,0)+VLOOKUP(D40,'Feuerwaffen-Ressourcen'!$A$2:$AI$54,11,0)+VLOOKUP(E40,'Feuerwaffen-Ressourcen'!$A$2:$AI$54,11,0)+VLOOKUP(G40,'Feuerwaffen-Ressourcen'!$A$2:$AI$54,11,0)</f>
        <v>3.0999999999999996</v>
      </c>
      <c r="L40" s="50">
        <f>VLOOKUP(B40,'Feuerwaffen-Ressourcen'!$A$2:$AI$54,12,0)+VLOOKUP(C40,'Feuerwaffen-Ressourcen'!$A$2:$AI$54,12,0)+VLOOKUP(D40,'Feuerwaffen-Ressourcen'!$A$2:$AI$54,12,0)+VLOOKUP(J40,'Feuerwaffen-Ressourcen'!$A$2:$AI$54,12,0)</f>
        <v>7</v>
      </c>
      <c r="M40" s="50" t="str">
        <f>VLOOKUP(VLOOKUP(B40,'Feuerwaffen-Ressourcen'!$A$2:$AI$54,13,0)+VLOOKUP(C40,'Feuerwaffen-Ressourcen'!$A$2:$AI$54,13,0)+VLOOKUP(D40,'Feuerwaffen-Ressourcen'!$A$2:$AI$54,13,0),'Feuerwaffen-Ressourcen'!$AJ$3:$AK$12,2,0)</f>
        <v>W8</v>
      </c>
      <c r="N40" s="50" t="str">
        <f>VLOOKUP(VLOOKUP(B40,'Feuerwaffen-Ressourcen'!$A$2:$AI$54,14,0)+VLOOKUP(C40,'Feuerwaffen-Ressourcen'!$A$2:$AI$54,14,0)+VLOOKUP(D40,'Feuerwaffen-Ressourcen'!$A$2:$AI$54,14,0),'Feuerwaffen-Ressourcen'!$AJ$3:$AK$12,2,0)</f>
        <v>W8</v>
      </c>
      <c r="O40" s="50">
        <f>VLOOKUP(B40,'Feuerwaffen-Ressourcen'!$A$2:$AI$54,15,0)+VLOOKUP(C40,'Feuerwaffen-Ressourcen'!$A$2:$AI$54,15,0)+VLOOKUP(D40,'Feuerwaffen-Ressourcen'!$A$2:$AI$54,15,0)</f>
        <v>2</v>
      </c>
      <c r="P40" s="50">
        <f>VLOOKUP(B40,'Feuerwaffen-Ressourcen'!$A$2:$AI$54,16,0)+VLOOKUP(C40,'Feuerwaffen-Ressourcen'!$A$2:$AI$54,16,0)+VLOOKUP(D40,'Feuerwaffen-Ressourcen'!$A$2:$AI$54,16,0)+VLOOKUP(E40,'Feuerwaffen-Ressourcen'!$A$2:$AI$54,16,0)</f>
        <v>14</v>
      </c>
      <c r="Q40" s="52">
        <f>VLOOKUP(B40,'Feuerwaffen-Ressourcen'!$A$2:$AI$54,17,0)+VLOOKUP(C40,'Feuerwaffen-Ressourcen'!$A$2:$AI$54,17,0)+VLOOKUP(D40,'Feuerwaffen-Ressourcen'!$A$2:$AI$54,17,0)+VLOOKUP(E40,'Feuerwaffen-Ressourcen'!$A$2:$AI$54,17,0)</f>
        <v>16</v>
      </c>
      <c r="R40" s="50">
        <f>VLOOKUP(B40,'Feuerwaffen-Ressourcen'!$A$2:$AI$54,18,0)+VLOOKUP(C40,'Feuerwaffen-Ressourcen'!$A$2:$AI$54,18,0)+VLOOKUP(D40,'Feuerwaffen-Ressourcen'!$A$2:$AI$54,18,0)+VLOOKUP(F40,'Feuerwaffen-Ressourcen'!$A$2:$AI$54,18,0)+VLOOKUP(G40,'Feuerwaffen-Ressourcen'!$A$2:$AI$54,18,0)+VLOOKUP(I40,'Feuerwaffen-Ressourcen'!$A$2:$AI$54,18,0)+VLOOKUP(J40,'Feuerwaffen-Ressourcen'!$A$2:$AI$54,18,0)</f>
        <v>1</v>
      </c>
      <c r="S40" s="50">
        <f>VLOOKUP(B40,'Feuerwaffen-Ressourcen'!$A$2:$AI$54,19,0)+VLOOKUP(C40,'Feuerwaffen-Ressourcen'!$A$2:$AI$54,19,0)+VLOOKUP(D40,'Feuerwaffen-Ressourcen'!$A$2:$AI$54,19,0)+VLOOKUP(F40,'Feuerwaffen-Ressourcen'!$A$2:$AI$54,19,0)+VLOOKUP(G40,'Feuerwaffen-Ressourcen'!$A$2:$AI$54,19,0)+VLOOKUP(I40,'Feuerwaffen-Ressourcen'!$A$2:$AI$54,19,0)+VLOOKUP(J40,'Feuerwaffen-Ressourcen'!$A$2:$AI$54,19,0)</f>
        <v>-3</v>
      </c>
      <c r="T40" s="50">
        <f>VLOOKUP(B40,'Feuerwaffen-Ressourcen'!$A$2:$AI$54,20,0)+VLOOKUP(C40,'Feuerwaffen-Ressourcen'!$A$2:$AI$54,20,0)+VLOOKUP(D40,'Feuerwaffen-Ressourcen'!$A$2:$AI$54,20,0)+VLOOKUP(F40,'Feuerwaffen-Ressourcen'!$A$2:$AI$54,20,0)+VLOOKUP(G40,'Feuerwaffen-Ressourcen'!$A$2:$AI$54,20,0)+VLOOKUP(I40,'Feuerwaffen-Ressourcen'!$A$2:$AI$54,20,0)+VLOOKUP(J40,'Feuerwaffen-Ressourcen'!$A$2:$AI$54,20,0)</f>
        <v>-7</v>
      </c>
      <c r="U40" s="50">
        <f>VLOOKUP(B40,'Feuerwaffen-Ressourcen'!$A$2:$AI$54,21,0)+VLOOKUP(C40,'Feuerwaffen-Ressourcen'!$A$2:$AI$54,21,0)+VLOOKUP(D40,'Feuerwaffen-Ressourcen'!$A$2:$AI$54,21,0)+VLOOKUP(F40,'Feuerwaffen-Ressourcen'!$A$2:$AI$54,21,0)+VLOOKUP(G40,'Feuerwaffen-Ressourcen'!$A$2:$AI$54,21,0)+VLOOKUP(I40,'Feuerwaffen-Ressourcen'!$A$2:$AI$54,21,0)+VLOOKUP(J40,'Feuerwaffen-Ressourcen'!$A$2:$AI$54,21,0)</f>
        <v>-13</v>
      </c>
      <c r="V40" s="50">
        <f>VLOOKUP(B40,'Feuerwaffen-Ressourcen'!$A$2:$AI$54,22,0)+VLOOKUP(C40,'Feuerwaffen-Ressourcen'!$A$2:$AI$54,22,0)+VLOOKUP(D40,'Feuerwaffen-Ressourcen'!$A$2:$AI$54,22,0)+VLOOKUP(F40,'Feuerwaffen-Ressourcen'!$A$2:$AI$54,22,0)+VLOOKUP(G40,'Feuerwaffen-Ressourcen'!$A$2:$AI$54,22,0)+VLOOKUP(I40,'Feuerwaffen-Ressourcen'!$A$2:$AI$54,22,0)+VLOOKUP(J40,'Feuerwaffen-Ressourcen'!$A$2:$AI$54,22,0)</f>
        <v>-19</v>
      </c>
      <c r="W40" s="50">
        <f>VLOOKUP(B40,'Feuerwaffen-Ressourcen'!$A$2:$AI$54,23,0)+VLOOKUP(C40,'Feuerwaffen-Ressourcen'!$A$2:$AI$54,23,0)+VLOOKUP(D40,'Feuerwaffen-Ressourcen'!$A$2:$AI$54,23,0)+VLOOKUP(F40,'Feuerwaffen-Ressourcen'!$A$2:$AI$54,23,0)+VLOOKUP(G40,'Feuerwaffen-Ressourcen'!$A$2:$AI$54,23,0)+VLOOKUP(I40,'Feuerwaffen-Ressourcen'!$A$2:$AI$54,23,0)+VLOOKUP(J40,'Feuerwaffen-Ressourcen'!$A$2:$AI$54,23,0)</f>
        <v>-26</v>
      </c>
      <c r="X40" s="50">
        <f>VLOOKUP(B40,'Feuerwaffen-Ressourcen'!$A$2:$AI$54,24,0)+VLOOKUP(C40,'Feuerwaffen-Ressourcen'!$A$2:$AI$54,24,0)+VLOOKUP(D40,'Feuerwaffen-Ressourcen'!$A$2:$AI$54,24,0)+VLOOKUP(G40,'Feuerwaffen-Ressourcen'!$A$2:$AI$54,24,0)</f>
        <v>50</v>
      </c>
      <c r="Y40" s="50">
        <f>VLOOKUP(D40,'Feuerwaffen-Ressourcen'!$A$2:$AI$54,25,0)+VLOOKUP(E40,'Feuerwaffen-Ressourcen'!$A$2:$AI$54,25,0)+VLOOKUP(F40,'Feuerwaffen-Ressourcen'!$A$2:$AI$54,25,0)</f>
        <v>30</v>
      </c>
      <c r="Z40" s="50">
        <f>VLOOKUP(E40,'Feuerwaffen-Ressourcen'!$A$2:$AI$54,26,0)</f>
        <v>3</v>
      </c>
      <c r="AA40" s="50">
        <f>VLOOKUP(B40,'Feuerwaffen-Ressourcen'!$A$2:$AI$54,27,0)+VLOOKUP(D40,'Feuerwaffen-Ressourcen'!$A$2:$AI$54,27,0)+VLOOKUP(F40,'Feuerwaffen-Ressourcen'!$A$2:$AI$54,27,0)+VLOOKUP(I40,'Feuerwaffen-Ressourcen'!$A$2:$AI$54,27,0)</f>
        <v>4</v>
      </c>
      <c r="AB40" s="50">
        <f>VLOOKUP(B40,'Feuerwaffen-Ressourcen'!$A$2:$AI$54,28,0)+VLOOKUP(C40,'Feuerwaffen-Ressourcen'!$A$2:$AI$54,28,0)+VLOOKUP(D40,'Feuerwaffen-Ressourcen'!$A$2:$AI$54,28,0)+VLOOKUP(E40,'Feuerwaffen-Ressourcen'!$A$2:$AI$54,28,0)+VLOOKUP(F40,'Feuerwaffen-Ressourcen'!$A$2:$AI$54,28,0)+VLOOKUP(G40,'Feuerwaffen-Ressourcen'!$A$2:$AI$54,28,0)+VLOOKUP(I40,'Feuerwaffen-Ressourcen'!$A$2:$AI$54,28,0)+VLOOKUP(J40,'Feuerwaffen-Ressourcen'!$A$2:$AI$54,28,0)</f>
        <v>125</v>
      </c>
      <c r="AC40" s="53">
        <f>VLOOKUP(I40,'Feuerwaffen-Ressourcen'!$A$2:$AI$54,31,0)*AD40+AE40</f>
        <v>182.50000000000003</v>
      </c>
      <c r="AD40" s="54">
        <f>VLOOKUP(B40,'Feuerwaffen-Ressourcen'!$A$2:$AI$54,30,0)+VLOOKUP(C40,'Feuerwaffen-Ressourcen'!$A$2:$AI$54,30,0)+VLOOKUP(D40,'Feuerwaffen-Ressourcen'!$A$2:$AI$54,30,0)+VLOOKUP(F40,'Feuerwaffen-Ressourcen'!$A$2:$AI$54,30,0)+VLOOKUP(G40,'Feuerwaffen-Ressourcen'!$A$2:$AI$54,30,0)+VLOOKUP(I40,'Feuerwaffen-Ressourcen'!$A$2:$AI$54,30,0)+VLOOKUP(J40,'Feuerwaffen-Ressourcen'!$A$2:$AI$54,30,0)</f>
        <v>3.2</v>
      </c>
      <c r="AE40" s="53">
        <f>(VLOOKUP(C40,'Feuerwaffen-Ressourcen'!$A$2:$AI$54,32,0)+VLOOKUP(I40,'Feuerwaffen-Ressourcen'!$A$2:$AI$54,32,0))*(VLOOKUP(B40,'Feuerwaffen-Ressourcen'!$A$2:$AI$54,34,0)+VLOOKUP(C40,'Feuerwaffen-Ressourcen'!$A$2:$AI$54,34,0)+VLOOKUP(D40,'Feuerwaffen-Ressourcen'!$A$2:$AI$54,34,0)+VLOOKUP(E40,'Feuerwaffen-Ressourcen'!$A$2:$AI$54,34,0)+VLOOKUP(G40,'Feuerwaffen-Ressourcen'!$A$2:$AI$54,34,0))+VLOOKUP(B40,'Feuerwaffen-Ressourcen'!$A$2:$AI$54,35,0)+VLOOKUP(C40,'Feuerwaffen-Ressourcen'!$A$2:$AI$54,35,0)+VLOOKUP(D40,'Feuerwaffen-Ressourcen'!$A$2:$AI$54,35,0)</f>
        <v>169.70000000000002</v>
      </c>
      <c r="AF40" s="55">
        <f>VLOOKUP(AB40,'Feuerwaffen-Ressourcen'!$AO$3:$AP$9,2,1)</f>
        <v>4</v>
      </c>
      <c r="AG40" s="55">
        <v>0</v>
      </c>
      <c r="AH40" s="28" t="s">
        <v>1420</v>
      </c>
      <c r="AI40" s="28" t="s">
        <v>8657</v>
      </c>
      <c r="AJ40" s="56">
        <v>3</v>
      </c>
      <c r="AK40" s="56" t="s">
        <v>5497</v>
      </c>
      <c r="AL40" s="56" t="s">
        <v>5486</v>
      </c>
      <c r="AM40" s="56">
        <v>3</v>
      </c>
      <c r="AN40" s="56">
        <v>5</v>
      </c>
      <c r="AO40" s="56">
        <v>4</v>
      </c>
      <c r="AP40" s="56">
        <v>4</v>
      </c>
      <c r="AQ40" s="56">
        <f>VLOOKUP(B40,'Feuerwaffen-Ressourcen'!$A$2:$AI$54,12,0)+VLOOKUP(C40,'Feuerwaffen-Ressourcen'!$A$2:$AI$54,12,0)+VLOOKUP(D40,'Feuerwaffen-Ressourcen'!$A$2:$AI$54,12,0)+VLOOKUP(J40,'Feuerwaffen-Ressourcen'!$A$2:$AI$54,12,0)</f>
        <v>7</v>
      </c>
      <c r="AR40" s="56">
        <f>VLOOKUP(B40,'Feuerwaffen-Ressourcen'!$A$2:$AI$54,12,0)+VLOOKUP(C40,'Feuerwaffen-Ressourcen'!$A$2:$AI$54,12,0)+VLOOKUP(D40,'Feuerwaffen-Ressourcen'!$A$2:$AI$54,12,0)+VLOOKUP(J40,'Feuerwaffen-Ressourcen'!$A$2:$AI$54,12,0)</f>
        <v>7</v>
      </c>
      <c r="AS40" s="56">
        <v>5</v>
      </c>
      <c r="AT40" s="56">
        <v>6</v>
      </c>
    </row>
    <row r="41" spans="1:46">
      <c r="A41" s="49" t="s">
        <v>8862</v>
      </c>
      <c r="B41" s="49" t="s">
        <v>1180</v>
      </c>
      <c r="C41" s="49" t="s">
        <v>8921</v>
      </c>
      <c r="D41" s="49" t="s">
        <v>8266</v>
      </c>
      <c r="E41" s="49" t="s">
        <v>8258</v>
      </c>
      <c r="F41" s="49" t="s">
        <v>8939</v>
      </c>
      <c r="G41" s="49" t="s">
        <v>8923</v>
      </c>
      <c r="H41" s="49" t="s">
        <v>8267</v>
      </c>
      <c r="I41" s="49" t="s">
        <v>7341</v>
      </c>
      <c r="J41" s="49" t="s">
        <v>7320</v>
      </c>
      <c r="K41" s="51">
        <f>VLOOKUP(B41,'Feuerwaffen-Ressourcen'!$A$2:$AI$54,11,0)+VLOOKUP(C41,'Feuerwaffen-Ressourcen'!$A$2:$AI$54,11,0)+VLOOKUP(D41,'Feuerwaffen-Ressourcen'!$A$2:$AI$54,11,0)+VLOOKUP(E41,'Feuerwaffen-Ressourcen'!$A$2:$AI$54,11,0)+VLOOKUP(G41,'Feuerwaffen-Ressourcen'!$A$2:$AI$54,11,0)</f>
        <v>3.0999999999999996</v>
      </c>
      <c r="L41" s="50">
        <f>VLOOKUP(B41,'Feuerwaffen-Ressourcen'!$A$2:$AI$54,12,0)+VLOOKUP(C41,'Feuerwaffen-Ressourcen'!$A$2:$AI$54,12,0)+VLOOKUP(D41,'Feuerwaffen-Ressourcen'!$A$2:$AI$54,12,0)+VLOOKUP(J41,'Feuerwaffen-Ressourcen'!$A$2:$AI$54,12,0)</f>
        <v>7</v>
      </c>
      <c r="M41" s="50" t="str">
        <f>VLOOKUP(VLOOKUP(B41,'Feuerwaffen-Ressourcen'!$A$2:$AI$54,13,0)+VLOOKUP(C41,'Feuerwaffen-Ressourcen'!$A$2:$AI$54,13,0)+VLOOKUP(D41,'Feuerwaffen-Ressourcen'!$A$2:$AI$54,13,0),'Feuerwaffen-Ressourcen'!$AJ$3:$AK$12,2,0)</f>
        <v>W8</v>
      </c>
      <c r="N41" s="50" t="str">
        <f>VLOOKUP(VLOOKUP(B41,'Feuerwaffen-Ressourcen'!$A$2:$AI$54,14,0)+VLOOKUP(C41,'Feuerwaffen-Ressourcen'!$A$2:$AI$54,14,0)+VLOOKUP(D41,'Feuerwaffen-Ressourcen'!$A$2:$AI$54,14,0),'Feuerwaffen-Ressourcen'!$AJ$3:$AK$12,2,0)</f>
        <v>W8</v>
      </c>
      <c r="O41" s="50">
        <f>VLOOKUP(B41,'Feuerwaffen-Ressourcen'!$A$2:$AI$54,15,0)+VLOOKUP(C41,'Feuerwaffen-Ressourcen'!$A$2:$AI$54,15,0)+VLOOKUP(D41,'Feuerwaffen-Ressourcen'!$A$2:$AI$54,15,0)</f>
        <v>1</v>
      </c>
      <c r="P41" s="50">
        <f>VLOOKUP(B41,'Feuerwaffen-Ressourcen'!$A$2:$AI$54,16,0)+VLOOKUP(C41,'Feuerwaffen-Ressourcen'!$A$2:$AI$54,16,0)+VLOOKUP(D41,'Feuerwaffen-Ressourcen'!$A$2:$AI$54,16,0)+VLOOKUP(E41,'Feuerwaffen-Ressourcen'!$A$2:$AI$54,16,0)</f>
        <v>14</v>
      </c>
      <c r="Q41" s="52">
        <f>VLOOKUP(B41,'Feuerwaffen-Ressourcen'!$A$2:$AI$54,17,0)+VLOOKUP(C41,'Feuerwaffen-Ressourcen'!$A$2:$AI$54,17,0)+VLOOKUP(D41,'Feuerwaffen-Ressourcen'!$A$2:$AI$54,17,0)+VLOOKUP(E41,'Feuerwaffen-Ressourcen'!$A$2:$AI$54,17,0)</f>
        <v>16</v>
      </c>
      <c r="R41" s="50">
        <f>VLOOKUP(B41,'Feuerwaffen-Ressourcen'!$A$2:$AI$54,18,0)+VLOOKUP(C41,'Feuerwaffen-Ressourcen'!$A$2:$AI$54,18,0)+VLOOKUP(D41,'Feuerwaffen-Ressourcen'!$A$2:$AI$54,18,0)+VLOOKUP(F41,'Feuerwaffen-Ressourcen'!$A$2:$AI$54,18,0)+VLOOKUP(G41,'Feuerwaffen-Ressourcen'!$A$2:$AI$54,18,0)+VLOOKUP(I41,'Feuerwaffen-Ressourcen'!$A$2:$AI$54,18,0)+VLOOKUP(J41,'Feuerwaffen-Ressourcen'!$A$2:$AI$54,18,0)</f>
        <v>4</v>
      </c>
      <c r="S41" s="50">
        <f>VLOOKUP(B41,'Feuerwaffen-Ressourcen'!$A$2:$AI$54,19,0)+VLOOKUP(C41,'Feuerwaffen-Ressourcen'!$A$2:$AI$54,19,0)+VLOOKUP(D41,'Feuerwaffen-Ressourcen'!$A$2:$AI$54,19,0)+VLOOKUP(F41,'Feuerwaffen-Ressourcen'!$A$2:$AI$54,19,0)+VLOOKUP(G41,'Feuerwaffen-Ressourcen'!$A$2:$AI$54,19,0)+VLOOKUP(I41,'Feuerwaffen-Ressourcen'!$A$2:$AI$54,19,0)+VLOOKUP(J41,'Feuerwaffen-Ressourcen'!$A$2:$AI$54,19,0)</f>
        <v>-1</v>
      </c>
      <c r="T41" s="50">
        <f>VLOOKUP(B41,'Feuerwaffen-Ressourcen'!$A$2:$AI$54,20,0)+VLOOKUP(C41,'Feuerwaffen-Ressourcen'!$A$2:$AI$54,20,0)+VLOOKUP(D41,'Feuerwaffen-Ressourcen'!$A$2:$AI$54,20,0)+VLOOKUP(F41,'Feuerwaffen-Ressourcen'!$A$2:$AI$54,20,0)+VLOOKUP(G41,'Feuerwaffen-Ressourcen'!$A$2:$AI$54,20,0)+VLOOKUP(I41,'Feuerwaffen-Ressourcen'!$A$2:$AI$54,20,0)+VLOOKUP(J41,'Feuerwaffen-Ressourcen'!$A$2:$AI$54,20,0)</f>
        <v>-6</v>
      </c>
      <c r="U41" s="50">
        <f>VLOOKUP(B41,'Feuerwaffen-Ressourcen'!$A$2:$AI$54,21,0)+VLOOKUP(C41,'Feuerwaffen-Ressourcen'!$A$2:$AI$54,21,0)+VLOOKUP(D41,'Feuerwaffen-Ressourcen'!$A$2:$AI$54,21,0)+VLOOKUP(F41,'Feuerwaffen-Ressourcen'!$A$2:$AI$54,21,0)+VLOOKUP(G41,'Feuerwaffen-Ressourcen'!$A$2:$AI$54,21,0)+VLOOKUP(I41,'Feuerwaffen-Ressourcen'!$A$2:$AI$54,21,0)+VLOOKUP(J41,'Feuerwaffen-Ressourcen'!$A$2:$AI$54,21,0)</f>
        <v>-13</v>
      </c>
      <c r="V41" s="50">
        <f>VLOOKUP(B41,'Feuerwaffen-Ressourcen'!$A$2:$AI$54,22,0)+VLOOKUP(C41,'Feuerwaffen-Ressourcen'!$A$2:$AI$54,22,0)+VLOOKUP(D41,'Feuerwaffen-Ressourcen'!$A$2:$AI$54,22,0)+VLOOKUP(F41,'Feuerwaffen-Ressourcen'!$A$2:$AI$54,22,0)+VLOOKUP(G41,'Feuerwaffen-Ressourcen'!$A$2:$AI$54,22,0)+VLOOKUP(I41,'Feuerwaffen-Ressourcen'!$A$2:$AI$54,22,0)+VLOOKUP(J41,'Feuerwaffen-Ressourcen'!$A$2:$AI$54,22,0)</f>
        <v>-20</v>
      </c>
      <c r="W41" s="50">
        <f>VLOOKUP(B41,'Feuerwaffen-Ressourcen'!$A$2:$AI$54,23,0)+VLOOKUP(C41,'Feuerwaffen-Ressourcen'!$A$2:$AI$54,23,0)+VLOOKUP(D41,'Feuerwaffen-Ressourcen'!$A$2:$AI$54,23,0)+VLOOKUP(F41,'Feuerwaffen-Ressourcen'!$A$2:$AI$54,23,0)+VLOOKUP(G41,'Feuerwaffen-Ressourcen'!$A$2:$AI$54,23,0)+VLOOKUP(I41,'Feuerwaffen-Ressourcen'!$A$2:$AI$54,23,0)+VLOOKUP(J41,'Feuerwaffen-Ressourcen'!$A$2:$AI$54,23,0)</f>
        <v>-28</v>
      </c>
      <c r="X41" s="50">
        <f>VLOOKUP(B41,'Feuerwaffen-Ressourcen'!$A$2:$AI$54,24,0)+VLOOKUP(C41,'Feuerwaffen-Ressourcen'!$A$2:$AI$54,24,0)+VLOOKUP(D41,'Feuerwaffen-Ressourcen'!$A$2:$AI$54,24,0)+VLOOKUP(G41,'Feuerwaffen-Ressourcen'!$A$2:$AI$54,24,0)</f>
        <v>40</v>
      </c>
      <c r="Y41" s="50">
        <f>VLOOKUP(D41,'Feuerwaffen-Ressourcen'!$A$2:$AI$54,25,0)+VLOOKUP(E41,'Feuerwaffen-Ressourcen'!$A$2:$AI$54,25,0)+VLOOKUP(F41,'Feuerwaffen-Ressourcen'!$A$2:$AI$54,25,0)</f>
        <v>33</v>
      </c>
      <c r="Z41" s="50">
        <f>VLOOKUP(E41,'Feuerwaffen-Ressourcen'!$A$2:$AI$54,26,0)</f>
        <v>3</v>
      </c>
      <c r="AA41" s="50">
        <f>VLOOKUP(B41,'Feuerwaffen-Ressourcen'!$A$2:$AI$54,27,0)+VLOOKUP(D41,'Feuerwaffen-Ressourcen'!$A$2:$AI$54,27,0)+VLOOKUP(F41,'Feuerwaffen-Ressourcen'!$A$2:$AI$54,27,0)+VLOOKUP(I41,'Feuerwaffen-Ressourcen'!$A$2:$AI$54,27,0)</f>
        <v>4</v>
      </c>
      <c r="AB41" s="50">
        <f>VLOOKUP(B41,'Feuerwaffen-Ressourcen'!$A$2:$AI$54,28,0)+VLOOKUP(C41,'Feuerwaffen-Ressourcen'!$A$2:$AI$54,28,0)+VLOOKUP(D41,'Feuerwaffen-Ressourcen'!$A$2:$AI$54,28,0)+VLOOKUP(E41,'Feuerwaffen-Ressourcen'!$A$2:$AI$54,28,0)+VLOOKUP(F41,'Feuerwaffen-Ressourcen'!$A$2:$AI$54,28,0)+VLOOKUP(G41,'Feuerwaffen-Ressourcen'!$A$2:$AI$54,28,0)+VLOOKUP(I41,'Feuerwaffen-Ressourcen'!$A$2:$AI$54,28,0)+VLOOKUP(J41,'Feuerwaffen-Ressourcen'!$A$2:$AI$54,28,0)</f>
        <v>60</v>
      </c>
      <c r="AC41" s="53">
        <f>VLOOKUP(I41,'Feuerwaffen-Ressourcen'!$A$2:$AI$54,31,0)*AD41+AE41</f>
        <v>214.5</v>
      </c>
      <c r="AD41" s="54">
        <f>VLOOKUP(B41,'Feuerwaffen-Ressourcen'!$A$2:$AI$54,30,0)+VLOOKUP(C41,'Feuerwaffen-Ressourcen'!$A$2:$AI$54,30,0)+VLOOKUP(D41,'Feuerwaffen-Ressourcen'!$A$2:$AI$54,30,0)+VLOOKUP(F41,'Feuerwaffen-Ressourcen'!$A$2:$AI$54,30,0)+VLOOKUP(G41,'Feuerwaffen-Ressourcen'!$A$2:$AI$54,30,0)+VLOOKUP(I41,'Feuerwaffen-Ressourcen'!$A$2:$AI$54,30,0)+VLOOKUP(J41,'Feuerwaffen-Ressourcen'!$A$2:$AI$54,30,0)</f>
        <v>11.2</v>
      </c>
      <c r="AE41" s="53">
        <f>(VLOOKUP(C41,'Feuerwaffen-Ressourcen'!$A$2:$AI$54,32,0)+VLOOKUP(I41,'Feuerwaffen-Ressourcen'!$A$2:$AI$54,32,0))*(VLOOKUP(B41,'Feuerwaffen-Ressourcen'!$A$2:$AI$54,34,0)+VLOOKUP(C41,'Feuerwaffen-Ressourcen'!$A$2:$AI$54,34,0)+VLOOKUP(D41,'Feuerwaffen-Ressourcen'!$A$2:$AI$54,34,0)+VLOOKUP(E41,'Feuerwaffen-Ressourcen'!$A$2:$AI$54,34,0)+VLOOKUP(G41,'Feuerwaffen-Ressourcen'!$A$2:$AI$54,34,0))+VLOOKUP(B41,'Feuerwaffen-Ressourcen'!$A$2:$AI$54,35,0)+VLOOKUP(C41,'Feuerwaffen-Ressourcen'!$A$2:$AI$54,35,0)+VLOOKUP(D41,'Feuerwaffen-Ressourcen'!$A$2:$AI$54,35,0)</f>
        <v>169.70000000000002</v>
      </c>
      <c r="AF41" s="55">
        <f>VLOOKUP(AB41,'Feuerwaffen-Ressourcen'!$AO$3:$AP$9,2,1)</f>
        <v>7</v>
      </c>
      <c r="AG41" s="55">
        <v>0</v>
      </c>
      <c r="AH41" s="28" t="s">
        <v>1420</v>
      </c>
      <c r="AI41" s="28" t="s">
        <v>8657</v>
      </c>
      <c r="AJ41" s="56">
        <v>3</v>
      </c>
      <c r="AK41" s="56" t="s">
        <v>5497</v>
      </c>
      <c r="AL41" s="56" t="s">
        <v>5486</v>
      </c>
      <c r="AM41" s="56">
        <v>3</v>
      </c>
      <c r="AN41" s="56">
        <v>5</v>
      </c>
      <c r="AO41" s="56">
        <v>4</v>
      </c>
      <c r="AP41" s="56">
        <v>4</v>
      </c>
      <c r="AQ41" s="56">
        <f>VLOOKUP(B41,'Feuerwaffen-Ressourcen'!$A$2:$AI$54,12,0)+VLOOKUP(C41,'Feuerwaffen-Ressourcen'!$A$2:$AI$54,12,0)+VLOOKUP(D41,'Feuerwaffen-Ressourcen'!$A$2:$AI$54,12,0)+VLOOKUP(J41,'Feuerwaffen-Ressourcen'!$A$2:$AI$54,12,0)</f>
        <v>7</v>
      </c>
      <c r="AR41" s="56">
        <f>VLOOKUP(B41,'Feuerwaffen-Ressourcen'!$A$2:$AI$54,12,0)+VLOOKUP(C41,'Feuerwaffen-Ressourcen'!$A$2:$AI$54,12,0)+VLOOKUP(D41,'Feuerwaffen-Ressourcen'!$A$2:$AI$54,12,0)+VLOOKUP(J41,'Feuerwaffen-Ressourcen'!$A$2:$AI$54,12,0)</f>
        <v>7</v>
      </c>
      <c r="AS41" s="56">
        <v>5</v>
      </c>
      <c r="AT41" s="56">
        <v>6</v>
      </c>
    </row>
    <row r="42" spans="1:46">
      <c r="A42" s="49" t="s">
        <v>8864</v>
      </c>
      <c r="B42" s="49" t="s">
        <v>1180</v>
      </c>
      <c r="C42" s="49" t="s">
        <v>8921</v>
      </c>
      <c r="D42" s="49" t="s">
        <v>8929</v>
      </c>
      <c r="E42" s="49" t="s">
        <v>8847</v>
      </c>
      <c r="F42" s="49" t="s">
        <v>8931</v>
      </c>
      <c r="G42" s="49" t="s">
        <v>8932</v>
      </c>
      <c r="H42" s="49" t="s">
        <v>8830</v>
      </c>
      <c r="I42" s="49" t="s">
        <v>7341</v>
      </c>
      <c r="J42" s="49" t="s">
        <v>7320</v>
      </c>
      <c r="K42" s="51">
        <f>VLOOKUP(B42,'Feuerwaffen-Ressourcen'!$A$2:$AI$54,11,0)+VLOOKUP(C42,'Feuerwaffen-Ressourcen'!$A$2:$AI$54,11,0)+VLOOKUP(D42,'Feuerwaffen-Ressourcen'!$A$2:$AI$54,11,0)+VLOOKUP(E42,'Feuerwaffen-Ressourcen'!$A$2:$AI$54,11,0)+VLOOKUP(G42,'Feuerwaffen-Ressourcen'!$A$2:$AI$54,11,0)</f>
        <v>2.4499999999999997</v>
      </c>
      <c r="L42" s="50">
        <f>VLOOKUP(B42,'Feuerwaffen-Ressourcen'!$A$2:$AI$54,12,0)+VLOOKUP(C42,'Feuerwaffen-Ressourcen'!$A$2:$AI$54,12,0)+VLOOKUP(D42,'Feuerwaffen-Ressourcen'!$A$2:$AI$54,12,0)+VLOOKUP(J42,'Feuerwaffen-Ressourcen'!$A$2:$AI$54,12,0)</f>
        <v>6</v>
      </c>
      <c r="M42" s="50" t="str">
        <f>VLOOKUP(VLOOKUP(B42,'Feuerwaffen-Ressourcen'!$A$2:$AI$54,13,0)+VLOOKUP(C42,'Feuerwaffen-Ressourcen'!$A$2:$AI$54,13,0)+VLOOKUP(D42,'Feuerwaffen-Ressourcen'!$A$2:$AI$54,13,0),'Feuerwaffen-Ressourcen'!$AJ$3:$AK$12,2,0)</f>
        <v>W8</v>
      </c>
      <c r="N42" s="50" t="str">
        <f>VLOOKUP(VLOOKUP(B42,'Feuerwaffen-Ressourcen'!$A$2:$AI$54,14,0)+VLOOKUP(C42,'Feuerwaffen-Ressourcen'!$A$2:$AI$54,14,0)+VLOOKUP(D42,'Feuerwaffen-Ressourcen'!$A$2:$AI$54,14,0),'Feuerwaffen-Ressourcen'!$AJ$3:$AK$12,2,0)</f>
        <v>W8</v>
      </c>
      <c r="O42" s="50">
        <f>VLOOKUP(B42,'Feuerwaffen-Ressourcen'!$A$2:$AI$54,15,0)+VLOOKUP(C42,'Feuerwaffen-Ressourcen'!$A$2:$AI$54,15,0)+VLOOKUP(D42,'Feuerwaffen-Ressourcen'!$A$2:$AI$54,15,0)</f>
        <v>1</v>
      </c>
      <c r="P42" s="50">
        <f>VLOOKUP(B42,'Feuerwaffen-Ressourcen'!$A$2:$AI$54,16,0)+VLOOKUP(C42,'Feuerwaffen-Ressourcen'!$A$2:$AI$54,16,0)+VLOOKUP(D42,'Feuerwaffen-Ressourcen'!$A$2:$AI$54,16,0)+VLOOKUP(E42,'Feuerwaffen-Ressourcen'!$A$2:$AI$54,16,0)</f>
        <v>20</v>
      </c>
      <c r="Q42" s="52">
        <f>VLOOKUP(B42,'Feuerwaffen-Ressourcen'!$A$2:$AI$54,17,0)+VLOOKUP(C42,'Feuerwaffen-Ressourcen'!$A$2:$AI$54,17,0)+VLOOKUP(D42,'Feuerwaffen-Ressourcen'!$A$2:$AI$54,17,0)+VLOOKUP(E42,'Feuerwaffen-Ressourcen'!$A$2:$AI$54,17,0)</f>
        <v>10</v>
      </c>
      <c r="R42" s="50">
        <f>VLOOKUP(B42,'Feuerwaffen-Ressourcen'!$A$2:$AI$54,18,0)+VLOOKUP(C42,'Feuerwaffen-Ressourcen'!$A$2:$AI$54,18,0)+VLOOKUP(D42,'Feuerwaffen-Ressourcen'!$A$2:$AI$54,18,0)+VLOOKUP(F42,'Feuerwaffen-Ressourcen'!$A$2:$AI$54,18,0)+VLOOKUP(G42,'Feuerwaffen-Ressourcen'!$A$2:$AI$54,18,0)+VLOOKUP(I42,'Feuerwaffen-Ressourcen'!$A$2:$AI$54,18,0)+VLOOKUP(J42,'Feuerwaffen-Ressourcen'!$A$2:$AI$54,18,0)</f>
        <v>8</v>
      </c>
      <c r="S42" s="50">
        <f>VLOOKUP(B42,'Feuerwaffen-Ressourcen'!$A$2:$AI$54,19,0)+VLOOKUP(C42,'Feuerwaffen-Ressourcen'!$A$2:$AI$54,19,0)+VLOOKUP(D42,'Feuerwaffen-Ressourcen'!$A$2:$AI$54,19,0)+VLOOKUP(F42,'Feuerwaffen-Ressourcen'!$A$2:$AI$54,19,0)+VLOOKUP(G42,'Feuerwaffen-Ressourcen'!$A$2:$AI$54,19,0)+VLOOKUP(I42,'Feuerwaffen-Ressourcen'!$A$2:$AI$54,19,0)+VLOOKUP(J42,'Feuerwaffen-Ressourcen'!$A$2:$AI$54,19,0)</f>
        <v>2</v>
      </c>
      <c r="T42" s="50">
        <f>VLOOKUP(B42,'Feuerwaffen-Ressourcen'!$A$2:$AI$54,20,0)+VLOOKUP(C42,'Feuerwaffen-Ressourcen'!$A$2:$AI$54,20,0)+VLOOKUP(D42,'Feuerwaffen-Ressourcen'!$A$2:$AI$54,20,0)+VLOOKUP(F42,'Feuerwaffen-Ressourcen'!$A$2:$AI$54,20,0)+VLOOKUP(G42,'Feuerwaffen-Ressourcen'!$A$2:$AI$54,20,0)+VLOOKUP(I42,'Feuerwaffen-Ressourcen'!$A$2:$AI$54,20,0)+VLOOKUP(J42,'Feuerwaffen-Ressourcen'!$A$2:$AI$54,20,0)</f>
        <v>-5</v>
      </c>
      <c r="U42" s="50">
        <f>VLOOKUP(B42,'Feuerwaffen-Ressourcen'!$A$2:$AI$54,21,0)+VLOOKUP(C42,'Feuerwaffen-Ressourcen'!$A$2:$AI$54,21,0)+VLOOKUP(D42,'Feuerwaffen-Ressourcen'!$A$2:$AI$54,21,0)+VLOOKUP(F42,'Feuerwaffen-Ressourcen'!$A$2:$AI$54,21,0)+VLOOKUP(G42,'Feuerwaffen-Ressourcen'!$A$2:$AI$54,21,0)+VLOOKUP(I42,'Feuerwaffen-Ressourcen'!$A$2:$AI$54,21,0)+VLOOKUP(J42,'Feuerwaffen-Ressourcen'!$A$2:$AI$54,21,0)</f>
        <v>-15</v>
      </c>
      <c r="V42" s="50">
        <f>VLOOKUP(B42,'Feuerwaffen-Ressourcen'!$A$2:$AI$54,22,0)+VLOOKUP(C42,'Feuerwaffen-Ressourcen'!$A$2:$AI$54,22,0)+VLOOKUP(D42,'Feuerwaffen-Ressourcen'!$A$2:$AI$54,22,0)+VLOOKUP(F42,'Feuerwaffen-Ressourcen'!$A$2:$AI$54,22,0)+VLOOKUP(G42,'Feuerwaffen-Ressourcen'!$A$2:$AI$54,22,0)+VLOOKUP(I42,'Feuerwaffen-Ressourcen'!$A$2:$AI$54,22,0)+VLOOKUP(J42,'Feuerwaffen-Ressourcen'!$A$2:$AI$54,22,0)</f>
        <v>-25</v>
      </c>
      <c r="W42" s="50">
        <f>VLOOKUP(B42,'Feuerwaffen-Ressourcen'!$A$2:$AI$54,23,0)+VLOOKUP(C42,'Feuerwaffen-Ressourcen'!$A$2:$AI$54,23,0)+VLOOKUP(D42,'Feuerwaffen-Ressourcen'!$A$2:$AI$54,23,0)+VLOOKUP(F42,'Feuerwaffen-Ressourcen'!$A$2:$AI$54,23,0)+VLOOKUP(G42,'Feuerwaffen-Ressourcen'!$A$2:$AI$54,23,0)+VLOOKUP(I42,'Feuerwaffen-Ressourcen'!$A$2:$AI$54,23,0)+VLOOKUP(J42,'Feuerwaffen-Ressourcen'!$A$2:$AI$54,23,0)</f>
        <v>-35</v>
      </c>
      <c r="X42" s="50">
        <f>VLOOKUP(B42,'Feuerwaffen-Ressourcen'!$A$2:$AI$54,24,0)+VLOOKUP(C42,'Feuerwaffen-Ressourcen'!$A$2:$AI$54,24,0)+VLOOKUP(D42,'Feuerwaffen-Ressourcen'!$A$2:$AI$54,24,0)+VLOOKUP(G42,'Feuerwaffen-Ressourcen'!$A$2:$AI$54,24,0)</f>
        <v>60</v>
      </c>
      <c r="Y42" s="50">
        <f>VLOOKUP(D42,'Feuerwaffen-Ressourcen'!$A$2:$AI$54,25,0)+VLOOKUP(E42,'Feuerwaffen-Ressourcen'!$A$2:$AI$54,25,0)+VLOOKUP(F42,'Feuerwaffen-Ressourcen'!$A$2:$AI$54,25,0)</f>
        <v>8</v>
      </c>
      <c r="Z42" s="50">
        <f>VLOOKUP(E42,'Feuerwaffen-Ressourcen'!$A$2:$AI$54,26,0)</f>
        <v>6</v>
      </c>
      <c r="AA42" s="50">
        <f>VLOOKUP(B42,'Feuerwaffen-Ressourcen'!$A$2:$AI$54,27,0)+VLOOKUP(D42,'Feuerwaffen-Ressourcen'!$A$2:$AI$54,27,0)+VLOOKUP(F42,'Feuerwaffen-Ressourcen'!$A$2:$AI$54,27,0)+VLOOKUP(I42,'Feuerwaffen-Ressourcen'!$A$2:$AI$54,27,0)</f>
        <v>1</v>
      </c>
      <c r="AB42" s="50">
        <f>VLOOKUP(B42,'Feuerwaffen-Ressourcen'!$A$2:$AI$54,28,0)+VLOOKUP(C42,'Feuerwaffen-Ressourcen'!$A$2:$AI$54,28,0)+VLOOKUP(D42,'Feuerwaffen-Ressourcen'!$A$2:$AI$54,28,0)+VLOOKUP(E42,'Feuerwaffen-Ressourcen'!$A$2:$AI$54,28,0)+VLOOKUP(F42,'Feuerwaffen-Ressourcen'!$A$2:$AI$54,28,0)+VLOOKUP(G42,'Feuerwaffen-Ressourcen'!$A$2:$AI$54,28,0)+VLOOKUP(I42,'Feuerwaffen-Ressourcen'!$A$2:$AI$54,28,0)+VLOOKUP(J42,'Feuerwaffen-Ressourcen'!$A$2:$AI$54,28,0)</f>
        <v>60</v>
      </c>
      <c r="AC42" s="53">
        <f>VLOOKUP(I42,'Feuerwaffen-Ressourcen'!$A$2:$AI$54,31,0)*AD42+AE42</f>
        <v>126.39999999999999</v>
      </c>
      <c r="AD42" s="54">
        <f>VLOOKUP(B42,'Feuerwaffen-Ressourcen'!$A$2:$AI$54,30,0)+VLOOKUP(C42,'Feuerwaffen-Ressourcen'!$A$2:$AI$54,30,0)+VLOOKUP(D42,'Feuerwaffen-Ressourcen'!$A$2:$AI$54,30,0)+VLOOKUP(F42,'Feuerwaffen-Ressourcen'!$A$2:$AI$54,30,0)+VLOOKUP(G42,'Feuerwaffen-Ressourcen'!$A$2:$AI$54,30,0)+VLOOKUP(I42,'Feuerwaffen-Ressourcen'!$A$2:$AI$54,30,0)+VLOOKUP(J42,'Feuerwaffen-Ressourcen'!$A$2:$AI$54,30,0)</f>
        <v>5.6999999999999993</v>
      </c>
      <c r="AE42" s="53">
        <f>(VLOOKUP(C42,'Feuerwaffen-Ressourcen'!$A$2:$AI$54,32,0)+VLOOKUP(I42,'Feuerwaffen-Ressourcen'!$A$2:$AI$54,32,0))*(VLOOKUP(B42,'Feuerwaffen-Ressourcen'!$A$2:$AI$54,34,0)+VLOOKUP(C42,'Feuerwaffen-Ressourcen'!$A$2:$AI$54,34,0)+VLOOKUP(D42,'Feuerwaffen-Ressourcen'!$A$2:$AI$54,34,0)+VLOOKUP(E42,'Feuerwaffen-Ressourcen'!$A$2:$AI$54,34,0)+VLOOKUP(G42,'Feuerwaffen-Ressourcen'!$A$2:$AI$54,34,0))+VLOOKUP(B42,'Feuerwaffen-Ressourcen'!$A$2:$AI$54,35,0)+VLOOKUP(C42,'Feuerwaffen-Ressourcen'!$A$2:$AI$54,35,0)+VLOOKUP(D42,'Feuerwaffen-Ressourcen'!$A$2:$AI$54,35,0)</f>
        <v>103.6</v>
      </c>
      <c r="AF42" s="55">
        <f>VLOOKUP(AB42,'Feuerwaffen-Ressourcen'!$AO$3:$AP$9,2,1)</f>
        <v>7</v>
      </c>
      <c r="AG42" s="55">
        <v>0</v>
      </c>
      <c r="AH42" s="28" t="s">
        <v>1420</v>
      </c>
      <c r="AI42" s="28" t="s">
        <v>8657</v>
      </c>
      <c r="AJ42" s="56">
        <v>3</v>
      </c>
      <c r="AK42" s="56" t="s">
        <v>5497</v>
      </c>
      <c r="AL42" s="56" t="s">
        <v>5486</v>
      </c>
      <c r="AM42" s="56">
        <v>3</v>
      </c>
      <c r="AN42" s="56">
        <v>5</v>
      </c>
      <c r="AO42" s="56">
        <v>4</v>
      </c>
      <c r="AP42" s="56">
        <v>4</v>
      </c>
      <c r="AQ42" s="56">
        <v>6</v>
      </c>
      <c r="AR42" s="56">
        <v>6</v>
      </c>
      <c r="AS42" s="56">
        <v>5</v>
      </c>
      <c r="AT42" s="56">
        <v>6</v>
      </c>
    </row>
    <row r="43" spans="1:46">
      <c r="A43" s="49" t="s">
        <v>8865</v>
      </c>
      <c r="B43" s="49" t="s">
        <v>1180</v>
      </c>
      <c r="C43" s="49" t="s">
        <v>8921</v>
      </c>
      <c r="D43" s="49" t="s">
        <v>8938</v>
      </c>
      <c r="E43" s="49" t="s">
        <v>8258</v>
      </c>
      <c r="F43" s="49" t="s">
        <v>8936</v>
      </c>
      <c r="G43" s="49" t="s">
        <v>8932</v>
      </c>
      <c r="H43" s="49" t="s">
        <v>8271</v>
      </c>
      <c r="I43" s="49" t="s">
        <v>7341</v>
      </c>
      <c r="J43" s="49" t="s">
        <v>7320</v>
      </c>
      <c r="K43" s="51">
        <f>VLOOKUP(B43,'Feuerwaffen-Ressourcen'!$A$2:$AI$54,11,0)+VLOOKUP(C43,'Feuerwaffen-Ressourcen'!$A$2:$AI$54,11,0)+VLOOKUP(D43,'Feuerwaffen-Ressourcen'!$A$2:$AI$54,11,0)+VLOOKUP(E43,'Feuerwaffen-Ressourcen'!$A$2:$AI$54,11,0)+VLOOKUP(G43,'Feuerwaffen-Ressourcen'!$A$2:$AI$54,11,0)</f>
        <v>2.3499999999999996</v>
      </c>
      <c r="L43" s="50">
        <f>VLOOKUP(B43,'Feuerwaffen-Ressourcen'!$A$2:$AI$54,12,0)+VLOOKUP(C43,'Feuerwaffen-Ressourcen'!$A$2:$AI$54,12,0)+VLOOKUP(D43,'Feuerwaffen-Ressourcen'!$A$2:$AI$54,12,0)+VLOOKUP(J43,'Feuerwaffen-Ressourcen'!$A$2:$AI$54,12,0)</f>
        <v>6</v>
      </c>
      <c r="M43" s="50" t="str">
        <f>VLOOKUP(VLOOKUP(B43,'Feuerwaffen-Ressourcen'!$A$2:$AI$54,13,0)+VLOOKUP(C43,'Feuerwaffen-Ressourcen'!$A$2:$AI$54,13,0)+VLOOKUP(D43,'Feuerwaffen-Ressourcen'!$A$2:$AI$54,13,0),'Feuerwaffen-Ressourcen'!$AJ$3:$AK$12,2,0)</f>
        <v>W8</v>
      </c>
      <c r="N43" s="50" t="str">
        <f>VLOOKUP(VLOOKUP(B43,'Feuerwaffen-Ressourcen'!$A$2:$AI$54,14,0)+VLOOKUP(C43,'Feuerwaffen-Ressourcen'!$A$2:$AI$54,14,0)+VLOOKUP(D43,'Feuerwaffen-Ressourcen'!$A$2:$AI$54,14,0),'Feuerwaffen-Ressourcen'!$AJ$3:$AK$12,2,0)</f>
        <v>W8</v>
      </c>
      <c r="O43" s="50">
        <f>VLOOKUP(B43,'Feuerwaffen-Ressourcen'!$A$2:$AI$54,15,0)+VLOOKUP(C43,'Feuerwaffen-Ressourcen'!$A$2:$AI$54,15,0)+VLOOKUP(D43,'Feuerwaffen-Ressourcen'!$A$2:$AI$54,15,0)</f>
        <v>1</v>
      </c>
      <c r="P43" s="50">
        <f>VLOOKUP(B43,'Feuerwaffen-Ressourcen'!$A$2:$AI$54,16,0)+VLOOKUP(C43,'Feuerwaffen-Ressourcen'!$A$2:$AI$54,16,0)+VLOOKUP(D43,'Feuerwaffen-Ressourcen'!$A$2:$AI$54,16,0)+VLOOKUP(E43,'Feuerwaffen-Ressourcen'!$A$2:$AI$54,16,0)</f>
        <v>14</v>
      </c>
      <c r="Q43" s="52">
        <f>VLOOKUP(B43,'Feuerwaffen-Ressourcen'!$A$2:$AI$54,17,0)+VLOOKUP(C43,'Feuerwaffen-Ressourcen'!$A$2:$AI$54,17,0)+VLOOKUP(D43,'Feuerwaffen-Ressourcen'!$A$2:$AI$54,17,0)+VLOOKUP(E43,'Feuerwaffen-Ressourcen'!$A$2:$AI$54,17,0)</f>
        <v>16</v>
      </c>
      <c r="R43" s="50">
        <f>VLOOKUP(B43,'Feuerwaffen-Ressourcen'!$A$2:$AI$54,18,0)+VLOOKUP(C43,'Feuerwaffen-Ressourcen'!$A$2:$AI$54,18,0)+VLOOKUP(D43,'Feuerwaffen-Ressourcen'!$A$2:$AI$54,18,0)+VLOOKUP(F43,'Feuerwaffen-Ressourcen'!$A$2:$AI$54,18,0)+VLOOKUP(G43,'Feuerwaffen-Ressourcen'!$A$2:$AI$54,18,0)+VLOOKUP(I43,'Feuerwaffen-Ressourcen'!$A$2:$AI$54,18,0)+VLOOKUP(J43,'Feuerwaffen-Ressourcen'!$A$2:$AI$54,18,0)</f>
        <v>7</v>
      </c>
      <c r="S43" s="50">
        <f>VLOOKUP(B43,'Feuerwaffen-Ressourcen'!$A$2:$AI$54,19,0)+VLOOKUP(C43,'Feuerwaffen-Ressourcen'!$A$2:$AI$54,19,0)+VLOOKUP(D43,'Feuerwaffen-Ressourcen'!$A$2:$AI$54,19,0)+VLOOKUP(F43,'Feuerwaffen-Ressourcen'!$A$2:$AI$54,19,0)+VLOOKUP(G43,'Feuerwaffen-Ressourcen'!$A$2:$AI$54,19,0)+VLOOKUP(I43,'Feuerwaffen-Ressourcen'!$A$2:$AI$54,19,0)+VLOOKUP(J43,'Feuerwaffen-Ressourcen'!$A$2:$AI$54,19,0)</f>
        <v>1</v>
      </c>
      <c r="T43" s="50">
        <f>VLOOKUP(B43,'Feuerwaffen-Ressourcen'!$A$2:$AI$54,20,0)+VLOOKUP(C43,'Feuerwaffen-Ressourcen'!$A$2:$AI$54,20,0)+VLOOKUP(D43,'Feuerwaffen-Ressourcen'!$A$2:$AI$54,20,0)+VLOOKUP(F43,'Feuerwaffen-Ressourcen'!$A$2:$AI$54,20,0)+VLOOKUP(G43,'Feuerwaffen-Ressourcen'!$A$2:$AI$54,20,0)+VLOOKUP(I43,'Feuerwaffen-Ressourcen'!$A$2:$AI$54,20,0)+VLOOKUP(J43,'Feuerwaffen-Ressourcen'!$A$2:$AI$54,20,0)</f>
        <v>-6</v>
      </c>
      <c r="U43" s="50">
        <f>VLOOKUP(B43,'Feuerwaffen-Ressourcen'!$A$2:$AI$54,21,0)+VLOOKUP(C43,'Feuerwaffen-Ressourcen'!$A$2:$AI$54,21,0)+VLOOKUP(D43,'Feuerwaffen-Ressourcen'!$A$2:$AI$54,21,0)+VLOOKUP(F43,'Feuerwaffen-Ressourcen'!$A$2:$AI$54,21,0)+VLOOKUP(G43,'Feuerwaffen-Ressourcen'!$A$2:$AI$54,21,0)+VLOOKUP(I43,'Feuerwaffen-Ressourcen'!$A$2:$AI$54,21,0)+VLOOKUP(J43,'Feuerwaffen-Ressourcen'!$A$2:$AI$54,21,0)</f>
        <v>-16</v>
      </c>
      <c r="V43" s="50">
        <f>VLOOKUP(B43,'Feuerwaffen-Ressourcen'!$A$2:$AI$54,22,0)+VLOOKUP(C43,'Feuerwaffen-Ressourcen'!$A$2:$AI$54,22,0)+VLOOKUP(D43,'Feuerwaffen-Ressourcen'!$A$2:$AI$54,22,0)+VLOOKUP(F43,'Feuerwaffen-Ressourcen'!$A$2:$AI$54,22,0)+VLOOKUP(G43,'Feuerwaffen-Ressourcen'!$A$2:$AI$54,22,0)+VLOOKUP(I43,'Feuerwaffen-Ressourcen'!$A$2:$AI$54,22,0)+VLOOKUP(J43,'Feuerwaffen-Ressourcen'!$A$2:$AI$54,22,0)</f>
        <v>-26</v>
      </c>
      <c r="W43" s="50">
        <f>VLOOKUP(B43,'Feuerwaffen-Ressourcen'!$A$2:$AI$54,23,0)+VLOOKUP(C43,'Feuerwaffen-Ressourcen'!$A$2:$AI$54,23,0)+VLOOKUP(D43,'Feuerwaffen-Ressourcen'!$A$2:$AI$54,23,0)+VLOOKUP(F43,'Feuerwaffen-Ressourcen'!$A$2:$AI$54,23,0)+VLOOKUP(G43,'Feuerwaffen-Ressourcen'!$A$2:$AI$54,23,0)+VLOOKUP(I43,'Feuerwaffen-Ressourcen'!$A$2:$AI$54,23,0)+VLOOKUP(J43,'Feuerwaffen-Ressourcen'!$A$2:$AI$54,23,0)</f>
        <v>-36</v>
      </c>
      <c r="X43" s="50">
        <f>VLOOKUP(B43,'Feuerwaffen-Ressourcen'!$A$2:$AI$54,24,0)+VLOOKUP(C43,'Feuerwaffen-Ressourcen'!$A$2:$AI$54,24,0)+VLOOKUP(D43,'Feuerwaffen-Ressourcen'!$A$2:$AI$54,24,0)+VLOOKUP(G43,'Feuerwaffen-Ressourcen'!$A$2:$AI$54,24,0)</f>
        <v>60</v>
      </c>
      <c r="Y43" s="50">
        <f>VLOOKUP(D43,'Feuerwaffen-Ressourcen'!$A$2:$AI$54,25,0)+VLOOKUP(E43,'Feuerwaffen-Ressourcen'!$A$2:$AI$54,25,0)+VLOOKUP(F43,'Feuerwaffen-Ressourcen'!$A$2:$AI$54,25,0)</f>
        <v>28</v>
      </c>
      <c r="Z43" s="50">
        <f>VLOOKUP(E43,'Feuerwaffen-Ressourcen'!$A$2:$AI$54,26,0)</f>
        <v>3</v>
      </c>
      <c r="AA43" s="50">
        <f>VLOOKUP(B43,'Feuerwaffen-Ressourcen'!$A$2:$AI$54,27,0)+VLOOKUP(D43,'Feuerwaffen-Ressourcen'!$A$2:$AI$54,27,0)+VLOOKUP(F43,'Feuerwaffen-Ressourcen'!$A$2:$AI$54,27,0)+VLOOKUP(I43,'Feuerwaffen-Ressourcen'!$A$2:$AI$54,27,0)</f>
        <v>3</v>
      </c>
      <c r="AB43" s="50">
        <f>VLOOKUP(B43,'Feuerwaffen-Ressourcen'!$A$2:$AI$54,28,0)+VLOOKUP(C43,'Feuerwaffen-Ressourcen'!$A$2:$AI$54,28,0)+VLOOKUP(D43,'Feuerwaffen-Ressourcen'!$A$2:$AI$54,28,0)+VLOOKUP(E43,'Feuerwaffen-Ressourcen'!$A$2:$AI$54,28,0)+VLOOKUP(F43,'Feuerwaffen-Ressourcen'!$A$2:$AI$54,28,0)+VLOOKUP(G43,'Feuerwaffen-Ressourcen'!$A$2:$AI$54,28,0)+VLOOKUP(I43,'Feuerwaffen-Ressourcen'!$A$2:$AI$54,28,0)+VLOOKUP(J43,'Feuerwaffen-Ressourcen'!$A$2:$AI$54,28,0)</f>
        <v>110</v>
      </c>
      <c r="AC43" s="53">
        <f>VLOOKUP(I43,'Feuerwaffen-Ressourcen'!$A$2:$AI$54,31,0)*AD43+AE43</f>
        <v>106.39999999999999</v>
      </c>
      <c r="AD43" s="54">
        <f>VLOOKUP(B43,'Feuerwaffen-Ressourcen'!$A$2:$AI$54,30,0)+VLOOKUP(C43,'Feuerwaffen-Ressourcen'!$A$2:$AI$54,30,0)+VLOOKUP(D43,'Feuerwaffen-Ressourcen'!$A$2:$AI$54,30,0)+VLOOKUP(F43,'Feuerwaffen-Ressourcen'!$A$2:$AI$54,30,0)+VLOOKUP(G43,'Feuerwaffen-Ressourcen'!$A$2:$AI$54,30,0)+VLOOKUP(I43,'Feuerwaffen-Ressourcen'!$A$2:$AI$54,30,0)+VLOOKUP(J43,'Feuerwaffen-Ressourcen'!$A$2:$AI$54,30,0)</f>
        <v>3.7</v>
      </c>
      <c r="AE43" s="53">
        <f>(VLOOKUP(C43,'Feuerwaffen-Ressourcen'!$A$2:$AI$54,32,0)+VLOOKUP(I43,'Feuerwaffen-Ressourcen'!$A$2:$AI$54,32,0))*(VLOOKUP(B43,'Feuerwaffen-Ressourcen'!$A$2:$AI$54,34,0)+VLOOKUP(C43,'Feuerwaffen-Ressourcen'!$A$2:$AI$54,34,0)+VLOOKUP(D43,'Feuerwaffen-Ressourcen'!$A$2:$AI$54,34,0)+VLOOKUP(E43,'Feuerwaffen-Ressourcen'!$A$2:$AI$54,34,0)+VLOOKUP(G43,'Feuerwaffen-Ressourcen'!$A$2:$AI$54,34,0))+VLOOKUP(B43,'Feuerwaffen-Ressourcen'!$A$2:$AI$54,35,0)+VLOOKUP(C43,'Feuerwaffen-Ressourcen'!$A$2:$AI$54,35,0)+VLOOKUP(D43,'Feuerwaffen-Ressourcen'!$A$2:$AI$54,35,0)</f>
        <v>91.6</v>
      </c>
      <c r="AF43" s="55">
        <f>VLOOKUP(AB43,'Feuerwaffen-Ressourcen'!$AO$3:$AP$9,2,1)</f>
        <v>4</v>
      </c>
      <c r="AG43" s="55">
        <v>0</v>
      </c>
      <c r="AH43" s="28" t="s">
        <v>1420</v>
      </c>
      <c r="AI43" s="28" t="s">
        <v>8657</v>
      </c>
      <c r="AJ43" s="56">
        <v>3</v>
      </c>
      <c r="AK43" s="56" t="s">
        <v>5497</v>
      </c>
      <c r="AL43" s="56" t="s">
        <v>5486</v>
      </c>
      <c r="AM43" s="56">
        <v>3</v>
      </c>
      <c r="AN43" s="56">
        <v>5</v>
      </c>
      <c r="AO43" s="56">
        <v>4</v>
      </c>
      <c r="AP43" s="56">
        <v>4</v>
      </c>
      <c r="AQ43" s="56">
        <v>6</v>
      </c>
      <c r="AR43" s="56">
        <v>6</v>
      </c>
      <c r="AS43" s="56">
        <v>5</v>
      </c>
      <c r="AT43" s="56">
        <v>6</v>
      </c>
    </row>
    <row r="44" spans="1:46">
      <c r="A44" s="49" t="s">
        <v>8866</v>
      </c>
      <c r="B44" s="49" t="s">
        <v>1180</v>
      </c>
      <c r="C44" s="49" t="s">
        <v>8921</v>
      </c>
      <c r="D44" s="49" t="s">
        <v>8924</v>
      </c>
      <c r="E44" s="49" t="s">
        <v>8258</v>
      </c>
      <c r="F44" s="49" t="s">
        <v>8928</v>
      </c>
      <c r="G44" s="49" t="s">
        <v>8923</v>
      </c>
      <c r="H44" s="49" t="s">
        <v>8271</v>
      </c>
      <c r="I44" s="49" t="s">
        <v>7341</v>
      </c>
      <c r="J44" s="49" t="s">
        <v>7320</v>
      </c>
      <c r="K44" s="51">
        <f>VLOOKUP(B44,'Feuerwaffen-Ressourcen'!$A$2:$AI$54,11,0)+VLOOKUP(C44,'Feuerwaffen-Ressourcen'!$A$2:$AI$54,11,0)+VLOOKUP(D44,'Feuerwaffen-Ressourcen'!$A$2:$AI$54,11,0)+VLOOKUP(E44,'Feuerwaffen-Ressourcen'!$A$2:$AI$54,11,0)+VLOOKUP(G44,'Feuerwaffen-Ressourcen'!$A$2:$AI$54,11,0)</f>
        <v>4.0999999999999996</v>
      </c>
      <c r="L44" s="50">
        <f>VLOOKUP(B44,'Feuerwaffen-Ressourcen'!$A$2:$AI$54,12,0)+VLOOKUP(C44,'Feuerwaffen-Ressourcen'!$A$2:$AI$54,12,0)+VLOOKUP(D44,'Feuerwaffen-Ressourcen'!$A$2:$AI$54,12,0)+VLOOKUP(J44,'Feuerwaffen-Ressourcen'!$A$2:$AI$54,12,0)</f>
        <v>9</v>
      </c>
      <c r="M44" s="50" t="str">
        <f>VLOOKUP(VLOOKUP(B44,'Feuerwaffen-Ressourcen'!$A$2:$AI$54,13,0)+VLOOKUP(C44,'Feuerwaffen-Ressourcen'!$A$2:$AI$54,13,0)+VLOOKUP(D44,'Feuerwaffen-Ressourcen'!$A$2:$AI$54,13,0),'Feuerwaffen-Ressourcen'!$AJ$3:$AK$12,2,0)</f>
        <v>W10</v>
      </c>
      <c r="N44" s="50" t="str">
        <f>VLOOKUP(VLOOKUP(B44,'Feuerwaffen-Ressourcen'!$A$2:$AI$54,14,0)+VLOOKUP(C44,'Feuerwaffen-Ressourcen'!$A$2:$AI$54,14,0)+VLOOKUP(D44,'Feuerwaffen-Ressourcen'!$A$2:$AI$54,14,0),'Feuerwaffen-Ressourcen'!$AJ$3:$AK$12,2,0)</f>
        <v>W10</v>
      </c>
      <c r="O44" s="50">
        <f>VLOOKUP(B44,'Feuerwaffen-Ressourcen'!$A$2:$AI$54,15,0)+VLOOKUP(C44,'Feuerwaffen-Ressourcen'!$A$2:$AI$54,15,0)+VLOOKUP(D44,'Feuerwaffen-Ressourcen'!$A$2:$AI$54,15,0)</f>
        <v>2</v>
      </c>
      <c r="P44" s="50">
        <f>VLOOKUP(B44,'Feuerwaffen-Ressourcen'!$A$2:$AI$54,16,0)+VLOOKUP(C44,'Feuerwaffen-Ressourcen'!$A$2:$AI$54,16,0)+VLOOKUP(D44,'Feuerwaffen-Ressourcen'!$A$2:$AI$54,16,0)+VLOOKUP(E44,'Feuerwaffen-Ressourcen'!$A$2:$AI$54,16,0)</f>
        <v>15</v>
      </c>
      <c r="Q44" s="52">
        <f>VLOOKUP(B44,'Feuerwaffen-Ressourcen'!$A$2:$AI$54,17,0)+VLOOKUP(C44,'Feuerwaffen-Ressourcen'!$A$2:$AI$54,17,0)+VLOOKUP(D44,'Feuerwaffen-Ressourcen'!$A$2:$AI$54,17,0)+VLOOKUP(E44,'Feuerwaffen-Ressourcen'!$A$2:$AI$54,17,0)</f>
        <v>17</v>
      </c>
      <c r="R44" s="50">
        <f>VLOOKUP(B44,'Feuerwaffen-Ressourcen'!$A$2:$AI$54,18,0)+VLOOKUP(C44,'Feuerwaffen-Ressourcen'!$A$2:$AI$54,18,0)+VLOOKUP(D44,'Feuerwaffen-Ressourcen'!$A$2:$AI$54,18,0)+VLOOKUP(F44,'Feuerwaffen-Ressourcen'!$A$2:$AI$54,18,0)+VLOOKUP(G44,'Feuerwaffen-Ressourcen'!$A$2:$AI$54,18,0)+VLOOKUP(I44,'Feuerwaffen-Ressourcen'!$A$2:$AI$54,18,0)+VLOOKUP(J44,'Feuerwaffen-Ressourcen'!$A$2:$AI$54,18,0)</f>
        <v>0</v>
      </c>
      <c r="S44" s="50">
        <f>VLOOKUP(B44,'Feuerwaffen-Ressourcen'!$A$2:$AI$54,19,0)+VLOOKUP(C44,'Feuerwaffen-Ressourcen'!$A$2:$AI$54,19,0)+VLOOKUP(D44,'Feuerwaffen-Ressourcen'!$A$2:$AI$54,19,0)+VLOOKUP(F44,'Feuerwaffen-Ressourcen'!$A$2:$AI$54,19,0)+VLOOKUP(G44,'Feuerwaffen-Ressourcen'!$A$2:$AI$54,19,0)+VLOOKUP(I44,'Feuerwaffen-Ressourcen'!$A$2:$AI$54,19,0)+VLOOKUP(J44,'Feuerwaffen-Ressourcen'!$A$2:$AI$54,19,0)</f>
        <v>-4</v>
      </c>
      <c r="T44" s="50">
        <f>VLOOKUP(B44,'Feuerwaffen-Ressourcen'!$A$2:$AI$54,20,0)+VLOOKUP(C44,'Feuerwaffen-Ressourcen'!$A$2:$AI$54,20,0)+VLOOKUP(D44,'Feuerwaffen-Ressourcen'!$A$2:$AI$54,20,0)+VLOOKUP(F44,'Feuerwaffen-Ressourcen'!$A$2:$AI$54,20,0)+VLOOKUP(G44,'Feuerwaffen-Ressourcen'!$A$2:$AI$54,20,0)+VLOOKUP(I44,'Feuerwaffen-Ressourcen'!$A$2:$AI$54,20,0)+VLOOKUP(J44,'Feuerwaffen-Ressourcen'!$A$2:$AI$54,20,0)</f>
        <v>-8</v>
      </c>
      <c r="U44" s="50">
        <f>VLOOKUP(B44,'Feuerwaffen-Ressourcen'!$A$2:$AI$54,21,0)+VLOOKUP(C44,'Feuerwaffen-Ressourcen'!$A$2:$AI$54,21,0)+VLOOKUP(D44,'Feuerwaffen-Ressourcen'!$A$2:$AI$54,21,0)+VLOOKUP(F44,'Feuerwaffen-Ressourcen'!$A$2:$AI$54,21,0)+VLOOKUP(G44,'Feuerwaffen-Ressourcen'!$A$2:$AI$54,21,0)+VLOOKUP(I44,'Feuerwaffen-Ressourcen'!$A$2:$AI$54,21,0)+VLOOKUP(J44,'Feuerwaffen-Ressourcen'!$A$2:$AI$54,21,0)</f>
        <v>-15</v>
      </c>
      <c r="V44" s="50">
        <f>VLOOKUP(B44,'Feuerwaffen-Ressourcen'!$A$2:$AI$54,22,0)+VLOOKUP(C44,'Feuerwaffen-Ressourcen'!$A$2:$AI$54,22,0)+VLOOKUP(D44,'Feuerwaffen-Ressourcen'!$A$2:$AI$54,22,0)+VLOOKUP(F44,'Feuerwaffen-Ressourcen'!$A$2:$AI$54,22,0)+VLOOKUP(G44,'Feuerwaffen-Ressourcen'!$A$2:$AI$54,22,0)+VLOOKUP(I44,'Feuerwaffen-Ressourcen'!$A$2:$AI$54,22,0)+VLOOKUP(J44,'Feuerwaffen-Ressourcen'!$A$2:$AI$54,22,0)</f>
        <v>-22</v>
      </c>
      <c r="W44" s="50">
        <f>VLOOKUP(B44,'Feuerwaffen-Ressourcen'!$A$2:$AI$54,23,0)+VLOOKUP(C44,'Feuerwaffen-Ressourcen'!$A$2:$AI$54,23,0)+VLOOKUP(D44,'Feuerwaffen-Ressourcen'!$A$2:$AI$54,23,0)+VLOOKUP(F44,'Feuerwaffen-Ressourcen'!$A$2:$AI$54,23,0)+VLOOKUP(G44,'Feuerwaffen-Ressourcen'!$A$2:$AI$54,23,0)+VLOOKUP(I44,'Feuerwaffen-Ressourcen'!$A$2:$AI$54,23,0)+VLOOKUP(J44,'Feuerwaffen-Ressourcen'!$A$2:$AI$54,23,0)</f>
        <v>-30</v>
      </c>
      <c r="X44" s="50">
        <f>VLOOKUP(B44,'Feuerwaffen-Ressourcen'!$A$2:$AI$54,24,0)+VLOOKUP(C44,'Feuerwaffen-Ressourcen'!$A$2:$AI$54,24,0)+VLOOKUP(D44,'Feuerwaffen-Ressourcen'!$A$2:$AI$54,24,0)+VLOOKUP(G44,'Feuerwaffen-Ressourcen'!$A$2:$AI$54,24,0)</f>
        <v>60</v>
      </c>
      <c r="Y44" s="50">
        <f>VLOOKUP(D44,'Feuerwaffen-Ressourcen'!$A$2:$AI$54,25,0)+VLOOKUP(E44,'Feuerwaffen-Ressourcen'!$A$2:$AI$54,25,0)+VLOOKUP(F44,'Feuerwaffen-Ressourcen'!$A$2:$AI$54,25,0)</f>
        <v>32</v>
      </c>
      <c r="Z44" s="50">
        <f>VLOOKUP(E44,'Feuerwaffen-Ressourcen'!$A$2:$AI$54,26,0)</f>
        <v>3</v>
      </c>
      <c r="AA44" s="50">
        <f>VLOOKUP(B44,'Feuerwaffen-Ressourcen'!$A$2:$AI$54,27,0)+VLOOKUP(D44,'Feuerwaffen-Ressourcen'!$A$2:$AI$54,27,0)+VLOOKUP(F44,'Feuerwaffen-Ressourcen'!$A$2:$AI$54,27,0)+VLOOKUP(I44,'Feuerwaffen-Ressourcen'!$A$2:$AI$54,27,0)</f>
        <v>4</v>
      </c>
      <c r="AB44" s="50">
        <f>VLOOKUP(B44,'Feuerwaffen-Ressourcen'!$A$2:$AI$54,28,0)+VLOOKUP(C44,'Feuerwaffen-Ressourcen'!$A$2:$AI$54,28,0)+VLOOKUP(D44,'Feuerwaffen-Ressourcen'!$A$2:$AI$54,28,0)+VLOOKUP(E44,'Feuerwaffen-Ressourcen'!$A$2:$AI$54,28,0)+VLOOKUP(F44,'Feuerwaffen-Ressourcen'!$A$2:$AI$54,28,0)+VLOOKUP(G44,'Feuerwaffen-Ressourcen'!$A$2:$AI$54,28,0)+VLOOKUP(I44,'Feuerwaffen-Ressourcen'!$A$2:$AI$54,28,0)+VLOOKUP(J44,'Feuerwaffen-Ressourcen'!$A$2:$AI$54,28,0)</f>
        <v>130</v>
      </c>
      <c r="AC44" s="53">
        <f>VLOOKUP(I44,'Feuerwaffen-Ressourcen'!$A$2:$AI$54,31,0)*AD44+AE44</f>
        <v>298.5</v>
      </c>
      <c r="AD44" s="54">
        <f>VLOOKUP(B44,'Feuerwaffen-Ressourcen'!$A$2:$AI$54,30,0)+VLOOKUP(C44,'Feuerwaffen-Ressourcen'!$A$2:$AI$54,30,0)+VLOOKUP(D44,'Feuerwaffen-Ressourcen'!$A$2:$AI$54,30,0)+VLOOKUP(F44,'Feuerwaffen-Ressourcen'!$A$2:$AI$54,30,0)+VLOOKUP(G44,'Feuerwaffen-Ressourcen'!$A$2:$AI$54,30,0)+VLOOKUP(I44,'Feuerwaffen-Ressourcen'!$A$2:$AI$54,30,0)+VLOOKUP(J44,'Feuerwaffen-Ressourcen'!$A$2:$AI$54,30,0)</f>
        <v>2.2000000000000002</v>
      </c>
      <c r="AE44" s="53">
        <f>(VLOOKUP(C44,'Feuerwaffen-Ressourcen'!$A$2:$AI$54,32,0)+VLOOKUP(I44,'Feuerwaffen-Ressourcen'!$A$2:$AI$54,32,0))*(VLOOKUP(B44,'Feuerwaffen-Ressourcen'!$A$2:$AI$54,34,0)+VLOOKUP(C44,'Feuerwaffen-Ressourcen'!$A$2:$AI$54,34,0)+VLOOKUP(D44,'Feuerwaffen-Ressourcen'!$A$2:$AI$54,34,0)+VLOOKUP(E44,'Feuerwaffen-Ressourcen'!$A$2:$AI$54,34,0)+VLOOKUP(G44,'Feuerwaffen-Ressourcen'!$A$2:$AI$54,34,0))+VLOOKUP(B44,'Feuerwaffen-Ressourcen'!$A$2:$AI$54,35,0)+VLOOKUP(C44,'Feuerwaffen-Ressourcen'!$A$2:$AI$54,35,0)+VLOOKUP(D44,'Feuerwaffen-Ressourcen'!$A$2:$AI$54,35,0)</f>
        <v>289.7</v>
      </c>
      <c r="AF44" s="55">
        <f>VLOOKUP(AB44,'Feuerwaffen-Ressourcen'!$AO$3:$AP$9,2,1)</f>
        <v>3</v>
      </c>
      <c r="AG44" s="55">
        <v>0</v>
      </c>
      <c r="AH44" s="28" t="s">
        <v>1420</v>
      </c>
      <c r="AI44" s="28" t="s">
        <v>8657</v>
      </c>
      <c r="AJ44" s="56">
        <v>3</v>
      </c>
      <c r="AK44" s="56" t="s">
        <v>5497</v>
      </c>
      <c r="AL44" s="56" t="s">
        <v>5486</v>
      </c>
      <c r="AM44" s="56">
        <v>3</v>
      </c>
      <c r="AN44" s="56">
        <v>5</v>
      </c>
      <c r="AO44" s="56">
        <v>4</v>
      </c>
      <c r="AP44" s="56">
        <v>4</v>
      </c>
      <c r="AQ44" s="56">
        <v>9</v>
      </c>
      <c r="AR44" s="56">
        <v>9</v>
      </c>
      <c r="AS44" s="56">
        <v>5</v>
      </c>
      <c r="AT44" s="56">
        <v>6</v>
      </c>
    </row>
    <row r="45" spans="1:46">
      <c r="A45" s="49" t="s">
        <v>8867</v>
      </c>
      <c r="B45" s="49" t="s">
        <v>1180</v>
      </c>
      <c r="C45" s="49" t="s">
        <v>8824</v>
      </c>
      <c r="D45" s="49" t="s">
        <v>8925</v>
      </c>
      <c r="E45" s="49" t="s">
        <v>8829</v>
      </c>
      <c r="F45" s="49" t="s">
        <v>8931</v>
      </c>
      <c r="G45" s="49" t="s">
        <v>8932</v>
      </c>
      <c r="H45" s="49" t="s">
        <v>8830</v>
      </c>
      <c r="I45" s="49" t="s">
        <v>7341</v>
      </c>
      <c r="J45" s="49" t="s">
        <v>7320</v>
      </c>
      <c r="K45" s="51">
        <f>VLOOKUP(B45,'Feuerwaffen-Ressourcen'!$A$2:$AI$54,11,0)+VLOOKUP(C45,'Feuerwaffen-Ressourcen'!$A$2:$AI$54,11,0)+VLOOKUP(D45,'Feuerwaffen-Ressourcen'!$A$2:$AI$54,11,0)+VLOOKUP(E45,'Feuerwaffen-Ressourcen'!$A$2:$AI$54,11,0)+VLOOKUP(G45,'Feuerwaffen-Ressourcen'!$A$2:$AI$54,11,0)</f>
        <v>1.4000000000000001</v>
      </c>
      <c r="L45" s="50">
        <f>VLOOKUP(B45,'Feuerwaffen-Ressourcen'!$A$2:$AI$54,12,0)+VLOOKUP(C45,'Feuerwaffen-Ressourcen'!$A$2:$AI$54,12,0)+VLOOKUP(D45,'Feuerwaffen-Ressourcen'!$A$2:$AI$54,12,0)+VLOOKUP(J45,'Feuerwaffen-Ressourcen'!$A$2:$AI$54,12,0)</f>
        <v>4</v>
      </c>
      <c r="M45" s="50" t="str">
        <f>VLOOKUP(VLOOKUP(B45,'Feuerwaffen-Ressourcen'!$A$2:$AI$54,13,0)+VLOOKUP(C45,'Feuerwaffen-Ressourcen'!$A$2:$AI$54,13,0)+VLOOKUP(D45,'Feuerwaffen-Ressourcen'!$A$2:$AI$54,13,0),'Feuerwaffen-Ressourcen'!$AJ$3:$AK$12,2,0)</f>
        <v>W8</v>
      </c>
      <c r="N45" s="50" t="str">
        <f>VLOOKUP(VLOOKUP(B45,'Feuerwaffen-Ressourcen'!$A$2:$AI$54,14,0)+VLOOKUP(C45,'Feuerwaffen-Ressourcen'!$A$2:$AI$54,14,0)+VLOOKUP(D45,'Feuerwaffen-Ressourcen'!$A$2:$AI$54,14,0),'Feuerwaffen-Ressourcen'!$AJ$3:$AK$12,2,0)</f>
        <v>W10</v>
      </c>
      <c r="O45" s="50">
        <f>VLOOKUP(B45,'Feuerwaffen-Ressourcen'!$A$2:$AI$54,15,0)+VLOOKUP(C45,'Feuerwaffen-Ressourcen'!$A$2:$AI$54,15,0)+VLOOKUP(D45,'Feuerwaffen-Ressourcen'!$A$2:$AI$54,15,0)</f>
        <v>1</v>
      </c>
      <c r="P45" s="50">
        <f>VLOOKUP(B45,'Feuerwaffen-Ressourcen'!$A$2:$AI$54,16,0)+VLOOKUP(C45,'Feuerwaffen-Ressourcen'!$A$2:$AI$54,16,0)+VLOOKUP(D45,'Feuerwaffen-Ressourcen'!$A$2:$AI$54,16,0)+VLOOKUP(E45,'Feuerwaffen-Ressourcen'!$A$2:$AI$54,16,0)</f>
        <v>15</v>
      </c>
      <c r="Q45" s="52">
        <f>VLOOKUP(B45,'Feuerwaffen-Ressourcen'!$A$2:$AI$54,17,0)+VLOOKUP(C45,'Feuerwaffen-Ressourcen'!$A$2:$AI$54,17,0)+VLOOKUP(D45,'Feuerwaffen-Ressourcen'!$A$2:$AI$54,17,0)+VLOOKUP(E45,'Feuerwaffen-Ressourcen'!$A$2:$AI$54,17,0)</f>
        <v>7</v>
      </c>
      <c r="R45" s="50">
        <f>VLOOKUP(B45,'Feuerwaffen-Ressourcen'!$A$2:$AI$54,18,0)+VLOOKUP(C45,'Feuerwaffen-Ressourcen'!$A$2:$AI$54,18,0)+VLOOKUP(D45,'Feuerwaffen-Ressourcen'!$A$2:$AI$54,18,0)+VLOOKUP(F45,'Feuerwaffen-Ressourcen'!$A$2:$AI$54,18,0)+VLOOKUP(G45,'Feuerwaffen-Ressourcen'!$A$2:$AI$54,18,0)+VLOOKUP(I45,'Feuerwaffen-Ressourcen'!$A$2:$AI$54,18,0)+VLOOKUP(J45,'Feuerwaffen-Ressourcen'!$A$2:$AI$54,18,0)</f>
        <v>8</v>
      </c>
      <c r="S45" s="50">
        <f>VLOOKUP(B45,'Feuerwaffen-Ressourcen'!$A$2:$AI$54,19,0)+VLOOKUP(C45,'Feuerwaffen-Ressourcen'!$A$2:$AI$54,19,0)+VLOOKUP(D45,'Feuerwaffen-Ressourcen'!$A$2:$AI$54,19,0)+VLOOKUP(F45,'Feuerwaffen-Ressourcen'!$A$2:$AI$54,19,0)+VLOOKUP(G45,'Feuerwaffen-Ressourcen'!$A$2:$AI$54,19,0)+VLOOKUP(I45,'Feuerwaffen-Ressourcen'!$A$2:$AI$54,19,0)+VLOOKUP(J45,'Feuerwaffen-Ressourcen'!$A$2:$AI$54,19,0)</f>
        <v>4</v>
      </c>
      <c r="T45" s="50">
        <f>VLOOKUP(B45,'Feuerwaffen-Ressourcen'!$A$2:$AI$54,20,0)+VLOOKUP(C45,'Feuerwaffen-Ressourcen'!$A$2:$AI$54,20,0)+VLOOKUP(D45,'Feuerwaffen-Ressourcen'!$A$2:$AI$54,20,0)+VLOOKUP(F45,'Feuerwaffen-Ressourcen'!$A$2:$AI$54,20,0)+VLOOKUP(G45,'Feuerwaffen-Ressourcen'!$A$2:$AI$54,20,0)+VLOOKUP(I45,'Feuerwaffen-Ressourcen'!$A$2:$AI$54,20,0)+VLOOKUP(J45,'Feuerwaffen-Ressourcen'!$A$2:$AI$54,20,0)</f>
        <v>-7</v>
      </c>
      <c r="U45" s="50">
        <f>VLOOKUP(B45,'Feuerwaffen-Ressourcen'!$A$2:$AI$54,21,0)+VLOOKUP(C45,'Feuerwaffen-Ressourcen'!$A$2:$AI$54,21,0)+VLOOKUP(D45,'Feuerwaffen-Ressourcen'!$A$2:$AI$54,21,0)+VLOOKUP(F45,'Feuerwaffen-Ressourcen'!$A$2:$AI$54,21,0)+VLOOKUP(G45,'Feuerwaffen-Ressourcen'!$A$2:$AI$54,21,0)+VLOOKUP(I45,'Feuerwaffen-Ressourcen'!$A$2:$AI$54,21,0)+VLOOKUP(J45,'Feuerwaffen-Ressourcen'!$A$2:$AI$54,21,0)</f>
        <v>-21</v>
      </c>
      <c r="V45" s="50">
        <f>VLOOKUP(B45,'Feuerwaffen-Ressourcen'!$A$2:$AI$54,22,0)+VLOOKUP(C45,'Feuerwaffen-Ressourcen'!$A$2:$AI$54,22,0)+VLOOKUP(D45,'Feuerwaffen-Ressourcen'!$A$2:$AI$54,22,0)+VLOOKUP(F45,'Feuerwaffen-Ressourcen'!$A$2:$AI$54,22,0)+VLOOKUP(G45,'Feuerwaffen-Ressourcen'!$A$2:$AI$54,22,0)+VLOOKUP(I45,'Feuerwaffen-Ressourcen'!$A$2:$AI$54,22,0)+VLOOKUP(J45,'Feuerwaffen-Ressourcen'!$A$2:$AI$54,22,0)</f>
        <v>-36</v>
      </c>
      <c r="W45" s="50">
        <f>VLOOKUP(B45,'Feuerwaffen-Ressourcen'!$A$2:$AI$54,23,0)+VLOOKUP(C45,'Feuerwaffen-Ressourcen'!$A$2:$AI$54,23,0)+VLOOKUP(D45,'Feuerwaffen-Ressourcen'!$A$2:$AI$54,23,0)+VLOOKUP(F45,'Feuerwaffen-Ressourcen'!$A$2:$AI$54,23,0)+VLOOKUP(G45,'Feuerwaffen-Ressourcen'!$A$2:$AI$54,23,0)+VLOOKUP(I45,'Feuerwaffen-Ressourcen'!$A$2:$AI$54,23,0)+VLOOKUP(J45,'Feuerwaffen-Ressourcen'!$A$2:$AI$54,23,0)</f>
        <v>-52</v>
      </c>
      <c r="X45" s="50">
        <f>VLOOKUP(B45,'Feuerwaffen-Ressourcen'!$A$2:$AI$54,24,0)+VLOOKUP(C45,'Feuerwaffen-Ressourcen'!$A$2:$AI$54,24,0)+VLOOKUP(D45,'Feuerwaffen-Ressourcen'!$A$2:$AI$54,24,0)+VLOOKUP(G45,'Feuerwaffen-Ressourcen'!$A$2:$AI$54,24,0)</f>
        <v>70</v>
      </c>
      <c r="Y45" s="50">
        <f>VLOOKUP(D45,'Feuerwaffen-Ressourcen'!$A$2:$AI$54,25,0)+VLOOKUP(E45,'Feuerwaffen-Ressourcen'!$A$2:$AI$54,25,0)+VLOOKUP(F45,'Feuerwaffen-Ressourcen'!$A$2:$AI$54,25,0)</f>
        <v>9</v>
      </c>
      <c r="Z45" s="50">
        <f>VLOOKUP(E45,'Feuerwaffen-Ressourcen'!$A$2:$AI$54,26,0)</f>
        <v>6</v>
      </c>
      <c r="AA45" s="50">
        <f>VLOOKUP(B45,'Feuerwaffen-Ressourcen'!$A$2:$AI$54,27,0)+VLOOKUP(D45,'Feuerwaffen-Ressourcen'!$A$2:$AI$54,27,0)+VLOOKUP(F45,'Feuerwaffen-Ressourcen'!$A$2:$AI$54,27,0)+VLOOKUP(I45,'Feuerwaffen-Ressourcen'!$A$2:$AI$54,27,0)</f>
        <v>1</v>
      </c>
      <c r="AB45" s="50">
        <f>VLOOKUP(B45,'Feuerwaffen-Ressourcen'!$A$2:$AI$54,28,0)+VLOOKUP(C45,'Feuerwaffen-Ressourcen'!$A$2:$AI$54,28,0)+VLOOKUP(D45,'Feuerwaffen-Ressourcen'!$A$2:$AI$54,28,0)+VLOOKUP(E45,'Feuerwaffen-Ressourcen'!$A$2:$AI$54,28,0)+VLOOKUP(F45,'Feuerwaffen-Ressourcen'!$A$2:$AI$54,28,0)+VLOOKUP(G45,'Feuerwaffen-Ressourcen'!$A$2:$AI$54,28,0)+VLOOKUP(I45,'Feuerwaffen-Ressourcen'!$A$2:$AI$54,28,0)+VLOOKUP(J45,'Feuerwaffen-Ressourcen'!$A$2:$AI$54,28,0)</f>
        <v>75</v>
      </c>
      <c r="AC45" s="53">
        <f>VLOOKUP(I45,'Feuerwaffen-Ressourcen'!$A$2:$AI$54,31,0)*AD45+AE45</f>
        <v>150.35</v>
      </c>
      <c r="AD45" s="54">
        <f>VLOOKUP(B45,'Feuerwaffen-Ressourcen'!$A$2:$AI$54,30,0)+VLOOKUP(C45,'Feuerwaffen-Ressourcen'!$A$2:$AI$54,30,0)+VLOOKUP(D45,'Feuerwaffen-Ressourcen'!$A$2:$AI$54,30,0)+VLOOKUP(F45,'Feuerwaffen-Ressourcen'!$A$2:$AI$54,30,0)+VLOOKUP(G45,'Feuerwaffen-Ressourcen'!$A$2:$AI$54,30,0)+VLOOKUP(I45,'Feuerwaffen-Ressourcen'!$A$2:$AI$54,30,0)+VLOOKUP(J45,'Feuerwaffen-Ressourcen'!$A$2:$AI$54,30,0)</f>
        <v>6</v>
      </c>
      <c r="AE45" s="53">
        <f>(VLOOKUP(C45,'Feuerwaffen-Ressourcen'!$A$2:$AI$54,32,0)+VLOOKUP(I45,'Feuerwaffen-Ressourcen'!$A$2:$AI$54,32,0))*(VLOOKUP(B45,'Feuerwaffen-Ressourcen'!$A$2:$AI$54,34,0)+VLOOKUP(C45,'Feuerwaffen-Ressourcen'!$A$2:$AI$54,34,0)+VLOOKUP(D45,'Feuerwaffen-Ressourcen'!$A$2:$AI$54,34,0)+VLOOKUP(E45,'Feuerwaffen-Ressourcen'!$A$2:$AI$54,34,0)+VLOOKUP(G45,'Feuerwaffen-Ressourcen'!$A$2:$AI$54,34,0))+VLOOKUP(B45,'Feuerwaffen-Ressourcen'!$A$2:$AI$54,35,0)+VLOOKUP(C45,'Feuerwaffen-Ressourcen'!$A$2:$AI$54,35,0)+VLOOKUP(D45,'Feuerwaffen-Ressourcen'!$A$2:$AI$54,35,0)</f>
        <v>126.35</v>
      </c>
      <c r="AF45" s="55">
        <f>VLOOKUP(AB45,'Feuerwaffen-Ressourcen'!$AO$3:$AP$9,2,1)</f>
        <v>6</v>
      </c>
      <c r="AG45" s="55">
        <v>0</v>
      </c>
      <c r="AH45" s="28" t="s">
        <v>1415</v>
      </c>
      <c r="AI45" s="28" t="s">
        <v>8926</v>
      </c>
      <c r="AJ45" s="56">
        <v>1.5</v>
      </c>
      <c r="AK45" s="56" t="s">
        <v>5497</v>
      </c>
      <c r="AL45" s="56" t="s">
        <v>7946</v>
      </c>
      <c r="AM45" s="56">
        <v>3</v>
      </c>
      <c r="AN45" s="56">
        <v>5</v>
      </c>
      <c r="AO45" s="56">
        <v>-2</v>
      </c>
      <c r="AP45" s="56">
        <v>-7</v>
      </c>
      <c r="AQ45" s="56">
        <f>VLOOKUP(B45,'Feuerwaffen-Ressourcen'!$A$2:$AI$54,12,0)+VLOOKUP(C45,'Feuerwaffen-Ressourcen'!$A$2:$AI$54,12,0)+VLOOKUP(D45,'Feuerwaffen-Ressourcen'!$A$2:$AI$54,12,0)+VLOOKUP(J45,'Feuerwaffen-Ressourcen'!$A$2:$AI$54,12,0)</f>
        <v>4</v>
      </c>
      <c r="AR45" s="56" t="s">
        <v>7946</v>
      </c>
      <c r="AS45" s="56">
        <v>2</v>
      </c>
      <c r="AT45" s="56">
        <v>10</v>
      </c>
    </row>
    <row r="46" spans="1:46">
      <c r="A46" s="49" t="s">
        <v>8868</v>
      </c>
      <c r="B46" s="49" t="s">
        <v>1180</v>
      </c>
      <c r="C46" s="49" t="s">
        <v>8824</v>
      </c>
      <c r="D46" s="49" t="s">
        <v>8925</v>
      </c>
      <c r="E46" s="49" t="s">
        <v>8258</v>
      </c>
      <c r="F46" s="49" t="s">
        <v>8936</v>
      </c>
      <c r="G46" s="49" t="s">
        <v>8932</v>
      </c>
      <c r="H46" s="49" t="s">
        <v>8271</v>
      </c>
      <c r="I46" s="49" t="s">
        <v>7341</v>
      </c>
      <c r="J46" s="49" t="s">
        <v>7320</v>
      </c>
      <c r="K46" s="51">
        <f>VLOOKUP(B46,'Feuerwaffen-Ressourcen'!$A$2:$AI$54,11,0)+VLOOKUP(C46,'Feuerwaffen-Ressourcen'!$A$2:$AI$54,11,0)+VLOOKUP(D46,'Feuerwaffen-Ressourcen'!$A$2:$AI$54,11,0)+VLOOKUP(E46,'Feuerwaffen-Ressourcen'!$A$2:$AI$54,11,0)+VLOOKUP(G46,'Feuerwaffen-Ressourcen'!$A$2:$AI$54,11,0)</f>
        <v>1.3</v>
      </c>
      <c r="L46" s="50">
        <f>VLOOKUP(B46,'Feuerwaffen-Ressourcen'!$A$2:$AI$54,12,0)+VLOOKUP(C46,'Feuerwaffen-Ressourcen'!$A$2:$AI$54,12,0)+VLOOKUP(D46,'Feuerwaffen-Ressourcen'!$A$2:$AI$54,12,0)+VLOOKUP(J46,'Feuerwaffen-Ressourcen'!$A$2:$AI$54,12,0)</f>
        <v>4</v>
      </c>
      <c r="M46" s="50" t="str">
        <f>VLOOKUP(VLOOKUP(B46,'Feuerwaffen-Ressourcen'!$A$2:$AI$54,13,0)+VLOOKUP(C46,'Feuerwaffen-Ressourcen'!$A$2:$AI$54,13,0)+VLOOKUP(D46,'Feuerwaffen-Ressourcen'!$A$2:$AI$54,13,0),'Feuerwaffen-Ressourcen'!$AJ$3:$AK$12,2,0)</f>
        <v>W8</v>
      </c>
      <c r="N46" s="50" t="str">
        <f>VLOOKUP(VLOOKUP(B46,'Feuerwaffen-Ressourcen'!$A$2:$AI$54,14,0)+VLOOKUP(C46,'Feuerwaffen-Ressourcen'!$A$2:$AI$54,14,0)+VLOOKUP(D46,'Feuerwaffen-Ressourcen'!$A$2:$AI$54,14,0),'Feuerwaffen-Ressourcen'!$AJ$3:$AK$12,2,0)</f>
        <v>W10</v>
      </c>
      <c r="O46" s="50">
        <f>VLOOKUP(B46,'Feuerwaffen-Ressourcen'!$A$2:$AI$54,15,0)+VLOOKUP(C46,'Feuerwaffen-Ressourcen'!$A$2:$AI$54,15,0)+VLOOKUP(D46,'Feuerwaffen-Ressourcen'!$A$2:$AI$54,15,0)</f>
        <v>1</v>
      </c>
      <c r="P46" s="50">
        <f>VLOOKUP(B46,'Feuerwaffen-Ressourcen'!$A$2:$AI$54,16,0)+VLOOKUP(C46,'Feuerwaffen-Ressourcen'!$A$2:$AI$54,16,0)+VLOOKUP(D46,'Feuerwaffen-Ressourcen'!$A$2:$AI$54,16,0)+VLOOKUP(E46,'Feuerwaffen-Ressourcen'!$A$2:$AI$54,16,0)</f>
        <v>9</v>
      </c>
      <c r="Q46" s="52">
        <f>VLOOKUP(B46,'Feuerwaffen-Ressourcen'!$A$2:$AI$54,17,0)+VLOOKUP(C46,'Feuerwaffen-Ressourcen'!$A$2:$AI$54,17,0)+VLOOKUP(D46,'Feuerwaffen-Ressourcen'!$A$2:$AI$54,17,0)+VLOOKUP(E46,'Feuerwaffen-Ressourcen'!$A$2:$AI$54,17,0)</f>
        <v>13</v>
      </c>
      <c r="R46" s="50">
        <f>VLOOKUP(B46,'Feuerwaffen-Ressourcen'!$A$2:$AI$54,18,0)+VLOOKUP(C46,'Feuerwaffen-Ressourcen'!$A$2:$AI$54,18,0)+VLOOKUP(D46,'Feuerwaffen-Ressourcen'!$A$2:$AI$54,18,0)+VLOOKUP(F46,'Feuerwaffen-Ressourcen'!$A$2:$AI$54,18,0)+VLOOKUP(G46,'Feuerwaffen-Ressourcen'!$A$2:$AI$54,18,0)+VLOOKUP(I46,'Feuerwaffen-Ressourcen'!$A$2:$AI$54,18,0)+VLOOKUP(J46,'Feuerwaffen-Ressourcen'!$A$2:$AI$54,18,0)</f>
        <v>7</v>
      </c>
      <c r="S46" s="50">
        <f>VLOOKUP(B46,'Feuerwaffen-Ressourcen'!$A$2:$AI$54,19,0)+VLOOKUP(C46,'Feuerwaffen-Ressourcen'!$A$2:$AI$54,19,0)+VLOOKUP(D46,'Feuerwaffen-Ressourcen'!$A$2:$AI$54,19,0)+VLOOKUP(F46,'Feuerwaffen-Ressourcen'!$A$2:$AI$54,19,0)+VLOOKUP(G46,'Feuerwaffen-Ressourcen'!$A$2:$AI$54,19,0)+VLOOKUP(I46,'Feuerwaffen-Ressourcen'!$A$2:$AI$54,19,0)+VLOOKUP(J46,'Feuerwaffen-Ressourcen'!$A$2:$AI$54,19,0)</f>
        <v>3</v>
      </c>
      <c r="T46" s="50">
        <f>VLOOKUP(B46,'Feuerwaffen-Ressourcen'!$A$2:$AI$54,20,0)+VLOOKUP(C46,'Feuerwaffen-Ressourcen'!$A$2:$AI$54,20,0)+VLOOKUP(D46,'Feuerwaffen-Ressourcen'!$A$2:$AI$54,20,0)+VLOOKUP(F46,'Feuerwaffen-Ressourcen'!$A$2:$AI$54,20,0)+VLOOKUP(G46,'Feuerwaffen-Ressourcen'!$A$2:$AI$54,20,0)+VLOOKUP(I46,'Feuerwaffen-Ressourcen'!$A$2:$AI$54,20,0)+VLOOKUP(J46,'Feuerwaffen-Ressourcen'!$A$2:$AI$54,20,0)</f>
        <v>-8</v>
      </c>
      <c r="U46" s="50">
        <f>VLOOKUP(B46,'Feuerwaffen-Ressourcen'!$A$2:$AI$54,21,0)+VLOOKUP(C46,'Feuerwaffen-Ressourcen'!$A$2:$AI$54,21,0)+VLOOKUP(D46,'Feuerwaffen-Ressourcen'!$A$2:$AI$54,21,0)+VLOOKUP(F46,'Feuerwaffen-Ressourcen'!$A$2:$AI$54,21,0)+VLOOKUP(G46,'Feuerwaffen-Ressourcen'!$A$2:$AI$54,21,0)+VLOOKUP(I46,'Feuerwaffen-Ressourcen'!$A$2:$AI$54,21,0)+VLOOKUP(J46,'Feuerwaffen-Ressourcen'!$A$2:$AI$54,21,0)</f>
        <v>-22</v>
      </c>
      <c r="V46" s="50">
        <f>VLOOKUP(B46,'Feuerwaffen-Ressourcen'!$A$2:$AI$54,22,0)+VLOOKUP(C46,'Feuerwaffen-Ressourcen'!$A$2:$AI$54,22,0)+VLOOKUP(D46,'Feuerwaffen-Ressourcen'!$A$2:$AI$54,22,0)+VLOOKUP(F46,'Feuerwaffen-Ressourcen'!$A$2:$AI$54,22,0)+VLOOKUP(G46,'Feuerwaffen-Ressourcen'!$A$2:$AI$54,22,0)+VLOOKUP(I46,'Feuerwaffen-Ressourcen'!$A$2:$AI$54,22,0)+VLOOKUP(J46,'Feuerwaffen-Ressourcen'!$A$2:$AI$54,22,0)</f>
        <v>-37</v>
      </c>
      <c r="W46" s="50">
        <f>VLOOKUP(B46,'Feuerwaffen-Ressourcen'!$A$2:$AI$54,23,0)+VLOOKUP(C46,'Feuerwaffen-Ressourcen'!$A$2:$AI$54,23,0)+VLOOKUP(D46,'Feuerwaffen-Ressourcen'!$A$2:$AI$54,23,0)+VLOOKUP(F46,'Feuerwaffen-Ressourcen'!$A$2:$AI$54,23,0)+VLOOKUP(G46,'Feuerwaffen-Ressourcen'!$A$2:$AI$54,23,0)+VLOOKUP(I46,'Feuerwaffen-Ressourcen'!$A$2:$AI$54,23,0)+VLOOKUP(J46,'Feuerwaffen-Ressourcen'!$A$2:$AI$54,23,0)</f>
        <v>-53</v>
      </c>
      <c r="X46" s="50">
        <f>VLOOKUP(B46,'Feuerwaffen-Ressourcen'!$A$2:$AI$54,24,0)+VLOOKUP(C46,'Feuerwaffen-Ressourcen'!$A$2:$AI$54,24,0)+VLOOKUP(D46,'Feuerwaffen-Ressourcen'!$A$2:$AI$54,24,0)+VLOOKUP(G46,'Feuerwaffen-Ressourcen'!$A$2:$AI$54,24,0)</f>
        <v>70</v>
      </c>
      <c r="Y46" s="50">
        <f>VLOOKUP(D46,'Feuerwaffen-Ressourcen'!$A$2:$AI$54,25,0)+VLOOKUP(E46,'Feuerwaffen-Ressourcen'!$A$2:$AI$54,25,0)+VLOOKUP(F46,'Feuerwaffen-Ressourcen'!$A$2:$AI$54,25,0)</f>
        <v>29</v>
      </c>
      <c r="Z46" s="50">
        <f>VLOOKUP(E46,'Feuerwaffen-Ressourcen'!$A$2:$AI$54,26,0)</f>
        <v>3</v>
      </c>
      <c r="AA46" s="50">
        <f>VLOOKUP(B46,'Feuerwaffen-Ressourcen'!$A$2:$AI$54,27,0)+VLOOKUP(D46,'Feuerwaffen-Ressourcen'!$A$2:$AI$54,27,0)+VLOOKUP(F46,'Feuerwaffen-Ressourcen'!$A$2:$AI$54,27,0)+VLOOKUP(I46,'Feuerwaffen-Ressourcen'!$A$2:$AI$54,27,0)</f>
        <v>3</v>
      </c>
      <c r="AB46" s="50">
        <f>VLOOKUP(B46,'Feuerwaffen-Ressourcen'!$A$2:$AI$54,28,0)+VLOOKUP(C46,'Feuerwaffen-Ressourcen'!$A$2:$AI$54,28,0)+VLOOKUP(D46,'Feuerwaffen-Ressourcen'!$A$2:$AI$54,28,0)+VLOOKUP(E46,'Feuerwaffen-Ressourcen'!$A$2:$AI$54,28,0)+VLOOKUP(F46,'Feuerwaffen-Ressourcen'!$A$2:$AI$54,28,0)+VLOOKUP(G46,'Feuerwaffen-Ressourcen'!$A$2:$AI$54,28,0)+VLOOKUP(I46,'Feuerwaffen-Ressourcen'!$A$2:$AI$54,28,0)+VLOOKUP(J46,'Feuerwaffen-Ressourcen'!$A$2:$AI$54,28,0)</f>
        <v>105</v>
      </c>
      <c r="AC46" s="53">
        <f>VLOOKUP(I46,'Feuerwaffen-Ressourcen'!$A$2:$AI$54,31,0)*AD46+AE46</f>
        <v>130.35000000000002</v>
      </c>
      <c r="AD46" s="54">
        <f>VLOOKUP(B46,'Feuerwaffen-Ressourcen'!$A$2:$AI$54,30,0)+VLOOKUP(C46,'Feuerwaffen-Ressourcen'!$A$2:$AI$54,30,0)+VLOOKUP(D46,'Feuerwaffen-Ressourcen'!$A$2:$AI$54,30,0)+VLOOKUP(F46,'Feuerwaffen-Ressourcen'!$A$2:$AI$54,30,0)+VLOOKUP(G46,'Feuerwaffen-Ressourcen'!$A$2:$AI$54,30,0)+VLOOKUP(I46,'Feuerwaffen-Ressourcen'!$A$2:$AI$54,30,0)+VLOOKUP(J46,'Feuerwaffen-Ressourcen'!$A$2:$AI$54,30,0)</f>
        <v>4</v>
      </c>
      <c r="AE46" s="53">
        <f>(VLOOKUP(C46,'Feuerwaffen-Ressourcen'!$A$2:$AI$54,32,0)+VLOOKUP(I46,'Feuerwaffen-Ressourcen'!$A$2:$AI$54,32,0))*(VLOOKUP(B46,'Feuerwaffen-Ressourcen'!$A$2:$AI$54,34,0)+VLOOKUP(C46,'Feuerwaffen-Ressourcen'!$A$2:$AI$54,34,0)+VLOOKUP(D46,'Feuerwaffen-Ressourcen'!$A$2:$AI$54,34,0)+VLOOKUP(E46,'Feuerwaffen-Ressourcen'!$A$2:$AI$54,34,0)+VLOOKUP(G46,'Feuerwaffen-Ressourcen'!$A$2:$AI$54,34,0))+VLOOKUP(B46,'Feuerwaffen-Ressourcen'!$A$2:$AI$54,35,0)+VLOOKUP(C46,'Feuerwaffen-Ressourcen'!$A$2:$AI$54,35,0)+VLOOKUP(D46,'Feuerwaffen-Ressourcen'!$A$2:$AI$54,35,0)</f>
        <v>114.35000000000001</v>
      </c>
      <c r="AF46" s="55">
        <f>VLOOKUP(AB46,'Feuerwaffen-Ressourcen'!$AO$3:$AP$9,2,1)</f>
        <v>5</v>
      </c>
      <c r="AG46" s="55">
        <v>0</v>
      </c>
      <c r="AH46" s="28" t="s">
        <v>1415</v>
      </c>
      <c r="AI46" s="28" t="s">
        <v>8926</v>
      </c>
      <c r="AJ46" s="56">
        <v>1.5</v>
      </c>
      <c r="AK46" s="56" t="s">
        <v>5497</v>
      </c>
      <c r="AL46" s="56" t="s">
        <v>7946</v>
      </c>
      <c r="AM46" s="56">
        <v>3</v>
      </c>
      <c r="AN46" s="56">
        <v>5</v>
      </c>
      <c r="AO46" s="56">
        <v>-2</v>
      </c>
      <c r="AP46" s="56">
        <v>-7</v>
      </c>
      <c r="AQ46" s="56">
        <v>4</v>
      </c>
      <c r="AR46" s="56" t="s">
        <v>7946</v>
      </c>
      <c r="AS46" s="56">
        <v>2</v>
      </c>
      <c r="AT46" s="56">
        <v>10</v>
      </c>
    </row>
    <row r="47" spans="1:46">
      <c r="A47" s="49" t="s">
        <v>8869</v>
      </c>
      <c r="B47" s="49" t="s">
        <v>1180</v>
      </c>
      <c r="C47" s="49" t="s">
        <v>8824</v>
      </c>
      <c r="D47" s="49" t="s">
        <v>8944</v>
      </c>
      <c r="E47" s="49" t="s">
        <v>8258</v>
      </c>
      <c r="F47" s="49" t="s">
        <v>8928</v>
      </c>
      <c r="G47" s="49" t="s">
        <v>8923</v>
      </c>
      <c r="H47" s="49" t="s">
        <v>8271</v>
      </c>
      <c r="I47" s="49" t="s">
        <v>7341</v>
      </c>
      <c r="J47" s="49" t="s">
        <v>7320</v>
      </c>
      <c r="K47" s="51">
        <f>VLOOKUP(B47,'Feuerwaffen-Ressourcen'!$A$2:$AI$54,11,0)+VLOOKUP(C47,'Feuerwaffen-Ressourcen'!$A$2:$AI$54,11,0)+VLOOKUP(D47,'Feuerwaffen-Ressourcen'!$A$2:$AI$54,11,0)+VLOOKUP(E47,'Feuerwaffen-Ressourcen'!$A$2:$AI$54,11,0)+VLOOKUP(G47,'Feuerwaffen-Ressourcen'!$A$2:$AI$54,11,0)</f>
        <v>1.1500000000000001</v>
      </c>
      <c r="L47" s="50">
        <f>VLOOKUP(B47,'Feuerwaffen-Ressourcen'!$A$2:$AI$54,12,0)+VLOOKUP(C47,'Feuerwaffen-Ressourcen'!$A$2:$AI$54,12,0)+VLOOKUP(D47,'Feuerwaffen-Ressourcen'!$A$2:$AI$54,12,0)+VLOOKUP(J47,'Feuerwaffen-Ressourcen'!$A$2:$AI$54,12,0)</f>
        <v>6</v>
      </c>
      <c r="M47" s="50" t="str">
        <f>VLOOKUP(VLOOKUP(B47,'Feuerwaffen-Ressourcen'!$A$2:$AI$54,13,0)+VLOOKUP(C47,'Feuerwaffen-Ressourcen'!$A$2:$AI$54,13,0)+VLOOKUP(D47,'Feuerwaffen-Ressourcen'!$A$2:$AI$54,13,0),'Feuerwaffen-Ressourcen'!$AJ$3:$AK$12,2,0)</f>
        <v>W10</v>
      </c>
      <c r="N47" s="50" t="str">
        <f>VLOOKUP(VLOOKUP(B47,'Feuerwaffen-Ressourcen'!$A$2:$AI$54,14,0)+VLOOKUP(C47,'Feuerwaffen-Ressourcen'!$A$2:$AI$54,14,0)+VLOOKUP(D47,'Feuerwaffen-Ressourcen'!$A$2:$AI$54,14,0),'Feuerwaffen-Ressourcen'!$AJ$3:$AK$12,2,0)</f>
        <v>W10</v>
      </c>
      <c r="O47" s="50">
        <f>VLOOKUP(B47,'Feuerwaffen-Ressourcen'!$A$2:$AI$54,15,0)+VLOOKUP(C47,'Feuerwaffen-Ressourcen'!$A$2:$AI$54,15,0)+VLOOKUP(D47,'Feuerwaffen-Ressourcen'!$A$2:$AI$54,15,0)</f>
        <v>3</v>
      </c>
      <c r="P47" s="50">
        <f>VLOOKUP(B47,'Feuerwaffen-Ressourcen'!$A$2:$AI$54,16,0)+VLOOKUP(C47,'Feuerwaffen-Ressourcen'!$A$2:$AI$54,16,0)+VLOOKUP(D47,'Feuerwaffen-Ressourcen'!$A$2:$AI$54,16,0)+VLOOKUP(E47,'Feuerwaffen-Ressourcen'!$A$2:$AI$54,16,0)</f>
        <v>6</v>
      </c>
      <c r="Q47" s="52">
        <f>VLOOKUP(B47,'Feuerwaffen-Ressourcen'!$A$2:$AI$54,17,0)+VLOOKUP(C47,'Feuerwaffen-Ressourcen'!$A$2:$AI$54,17,0)+VLOOKUP(D47,'Feuerwaffen-Ressourcen'!$A$2:$AI$54,17,0)+VLOOKUP(E47,'Feuerwaffen-Ressourcen'!$A$2:$AI$54,17,0)</f>
        <v>16</v>
      </c>
      <c r="R47" s="50">
        <f>VLOOKUP(B47,'Feuerwaffen-Ressourcen'!$A$2:$AI$54,18,0)+VLOOKUP(C47,'Feuerwaffen-Ressourcen'!$A$2:$AI$54,18,0)+VLOOKUP(D47,'Feuerwaffen-Ressourcen'!$A$2:$AI$54,18,0)+VLOOKUP(F47,'Feuerwaffen-Ressourcen'!$A$2:$AI$54,18,0)+VLOOKUP(G47,'Feuerwaffen-Ressourcen'!$A$2:$AI$54,18,0)+VLOOKUP(I47,'Feuerwaffen-Ressourcen'!$A$2:$AI$54,18,0)+VLOOKUP(J47,'Feuerwaffen-Ressourcen'!$A$2:$AI$54,18,0)</f>
        <v>5</v>
      </c>
      <c r="S47" s="50">
        <f>VLOOKUP(B47,'Feuerwaffen-Ressourcen'!$A$2:$AI$54,19,0)+VLOOKUP(C47,'Feuerwaffen-Ressourcen'!$A$2:$AI$54,19,0)+VLOOKUP(D47,'Feuerwaffen-Ressourcen'!$A$2:$AI$54,19,0)+VLOOKUP(F47,'Feuerwaffen-Ressourcen'!$A$2:$AI$54,19,0)+VLOOKUP(G47,'Feuerwaffen-Ressourcen'!$A$2:$AI$54,19,0)+VLOOKUP(I47,'Feuerwaffen-Ressourcen'!$A$2:$AI$54,19,0)+VLOOKUP(J47,'Feuerwaffen-Ressourcen'!$A$2:$AI$54,19,0)</f>
        <v>-8</v>
      </c>
      <c r="T47" s="50">
        <f>VLOOKUP(B47,'Feuerwaffen-Ressourcen'!$A$2:$AI$54,20,0)+VLOOKUP(C47,'Feuerwaffen-Ressourcen'!$A$2:$AI$54,20,0)+VLOOKUP(D47,'Feuerwaffen-Ressourcen'!$A$2:$AI$54,20,0)+VLOOKUP(F47,'Feuerwaffen-Ressourcen'!$A$2:$AI$54,20,0)+VLOOKUP(G47,'Feuerwaffen-Ressourcen'!$A$2:$AI$54,20,0)+VLOOKUP(I47,'Feuerwaffen-Ressourcen'!$A$2:$AI$54,20,0)+VLOOKUP(J47,'Feuerwaffen-Ressourcen'!$A$2:$AI$54,20,0)</f>
        <v>-23</v>
      </c>
      <c r="U47" s="50">
        <f>VLOOKUP(B47,'Feuerwaffen-Ressourcen'!$A$2:$AI$54,21,0)+VLOOKUP(C47,'Feuerwaffen-Ressourcen'!$A$2:$AI$54,21,0)+VLOOKUP(D47,'Feuerwaffen-Ressourcen'!$A$2:$AI$54,21,0)+VLOOKUP(F47,'Feuerwaffen-Ressourcen'!$A$2:$AI$54,21,0)+VLOOKUP(G47,'Feuerwaffen-Ressourcen'!$A$2:$AI$54,21,0)+VLOOKUP(I47,'Feuerwaffen-Ressourcen'!$A$2:$AI$54,21,0)+VLOOKUP(J47,'Feuerwaffen-Ressourcen'!$A$2:$AI$54,21,0)</f>
        <v>-41</v>
      </c>
      <c r="V47" s="50">
        <f>VLOOKUP(B47,'Feuerwaffen-Ressourcen'!$A$2:$AI$54,22,0)+VLOOKUP(C47,'Feuerwaffen-Ressourcen'!$A$2:$AI$54,22,0)+VLOOKUP(D47,'Feuerwaffen-Ressourcen'!$A$2:$AI$54,22,0)+VLOOKUP(F47,'Feuerwaffen-Ressourcen'!$A$2:$AI$54,22,0)+VLOOKUP(G47,'Feuerwaffen-Ressourcen'!$A$2:$AI$54,22,0)+VLOOKUP(I47,'Feuerwaffen-Ressourcen'!$A$2:$AI$54,22,0)+VLOOKUP(J47,'Feuerwaffen-Ressourcen'!$A$2:$AI$54,22,0)</f>
        <v>-60</v>
      </c>
      <c r="W47" s="50">
        <f>VLOOKUP(B47,'Feuerwaffen-Ressourcen'!$A$2:$AI$54,23,0)+VLOOKUP(C47,'Feuerwaffen-Ressourcen'!$A$2:$AI$54,23,0)+VLOOKUP(D47,'Feuerwaffen-Ressourcen'!$A$2:$AI$54,23,0)+VLOOKUP(F47,'Feuerwaffen-Ressourcen'!$A$2:$AI$54,23,0)+VLOOKUP(G47,'Feuerwaffen-Ressourcen'!$A$2:$AI$54,23,0)+VLOOKUP(I47,'Feuerwaffen-Ressourcen'!$A$2:$AI$54,23,0)+VLOOKUP(J47,'Feuerwaffen-Ressourcen'!$A$2:$AI$54,23,0)</f>
        <v>-81</v>
      </c>
      <c r="X47" s="50">
        <f>VLOOKUP(B47,'Feuerwaffen-Ressourcen'!$A$2:$AI$54,24,0)+VLOOKUP(C47,'Feuerwaffen-Ressourcen'!$A$2:$AI$54,24,0)+VLOOKUP(D47,'Feuerwaffen-Ressourcen'!$A$2:$AI$54,24,0)+VLOOKUP(G47,'Feuerwaffen-Ressourcen'!$A$2:$AI$54,24,0)</f>
        <v>20</v>
      </c>
      <c r="Y47" s="50">
        <f>VLOOKUP(D47,'Feuerwaffen-Ressourcen'!$A$2:$AI$54,25,0)+VLOOKUP(E47,'Feuerwaffen-Ressourcen'!$A$2:$AI$54,25,0)+VLOOKUP(F47,'Feuerwaffen-Ressourcen'!$A$2:$AI$54,25,0)</f>
        <v>32</v>
      </c>
      <c r="Z47" s="50">
        <f>VLOOKUP(E47,'Feuerwaffen-Ressourcen'!$A$2:$AI$54,26,0)</f>
        <v>3</v>
      </c>
      <c r="AA47" s="50">
        <f>VLOOKUP(B47,'Feuerwaffen-Ressourcen'!$A$2:$AI$54,27,0)+VLOOKUP(D47,'Feuerwaffen-Ressourcen'!$A$2:$AI$54,27,0)+VLOOKUP(F47,'Feuerwaffen-Ressourcen'!$A$2:$AI$54,27,0)+VLOOKUP(I47,'Feuerwaffen-Ressourcen'!$A$2:$AI$54,27,0)</f>
        <v>4</v>
      </c>
      <c r="AB47" s="50">
        <f>VLOOKUP(B47,'Feuerwaffen-Ressourcen'!$A$2:$AI$54,28,0)+VLOOKUP(C47,'Feuerwaffen-Ressourcen'!$A$2:$AI$54,28,0)+VLOOKUP(D47,'Feuerwaffen-Ressourcen'!$A$2:$AI$54,28,0)+VLOOKUP(E47,'Feuerwaffen-Ressourcen'!$A$2:$AI$54,28,0)+VLOOKUP(F47,'Feuerwaffen-Ressourcen'!$A$2:$AI$54,28,0)+VLOOKUP(G47,'Feuerwaffen-Ressourcen'!$A$2:$AI$54,28,0)+VLOOKUP(I47,'Feuerwaffen-Ressourcen'!$A$2:$AI$54,28,0)+VLOOKUP(J47,'Feuerwaffen-Ressourcen'!$A$2:$AI$54,28,0)</f>
        <v>130</v>
      </c>
      <c r="AC47" s="53">
        <f>VLOOKUP(I47,'Feuerwaffen-Ressourcen'!$A$2:$AI$54,31,0)*AD47+AE47</f>
        <v>104.35</v>
      </c>
      <c r="AD47" s="54">
        <f>VLOOKUP(B47,'Feuerwaffen-Ressourcen'!$A$2:$AI$54,30,0)+VLOOKUP(C47,'Feuerwaffen-Ressourcen'!$A$2:$AI$54,30,0)+VLOOKUP(D47,'Feuerwaffen-Ressourcen'!$A$2:$AI$54,30,0)+VLOOKUP(F47,'Feuerwaffen-Ressourcen'!$A$2:$AI$54,30,0)+VLOOKUP(G47,'Feuerwaffen-Ressourcen'!$A$2:$AI$54,30,0)+VLOOKUP(I47,'Feuerwaffen-Ressourcen'!$A$2:$AI$54,30,0)+VLOOKUP(J47,'Feuerwaffen-Ressourcen'!$A$2:$AI$54,30,0)</f>
        <v>2</v>
      </c>
      <c r="AE47" s="53">
        <f>(VLOOKUP(C47,'Feuerwaffen-Ressourcen'!$A$2:$AI$54,32,0)+VLOOKUP(I47,'Feuerwaffen-Ressourcen'!$A$2:$AI$54,32,0))*(VLOOKUP(B47,'Feuerwaffen-Ressourcen'!$A$2:$AI$54,34,0)+VLOOKUP(C47,'Feuerwaffen-Ressourcen'!$A$2:$AI$54,34,0)+VLOOKUP(D47,'Feuerwaffen-Ressourcen'!$A$2:$AI$54,34,0)+VLOOKUP(E47,'Feuerwaffen-Ressourcen'!$A$2:$AI$54,34,0)+VLOOKUP(G47,'Feuerwaffen-Ressourcen'!$A$2:$AI$54,34,0))+VLOOKUP(B47,'Feuerwaffen-Ressourcen'!$A$2:$AI$54,35,0)+VLOOKUP(C47,'Feuerwaffen-Ressourcen'!$A$2:$AI$54,35,0)+VLOOKUP(D47,'Feuerwaffen-Ressourcen'!$A$2:$AI$54,35,0)</f>
        <v>96.35</v>
      </c>
      <c r="AF47" s="55">
        <f>VLOOKUP(AB47,'Feuerwaffen-Ressourcen'!$AO$3:$AP$9,2,1)</f>
        <v>3</v>
      </c>
      <c r="AG47" s="55">
        <v>0</v>
      </c>
      <c r="AH47" s="28" t="s">
        <v>1415</v>
      </c>
      <c r="AI47" s="28" t="s">
        <v>8926</v>
      </c>
      <c r="AJ47" s="56">
        <v>1.5</v>
      </c>
      <c r="AK47" s="56" t="s">
        <v>5497</v>
      </c>
      <c r="AL47" s="56" t="s">
        <v>7946</v>
      </c>
      <c r="AM47" s="56">
        <v>3</v>
      </c>
      <c r="AN47" s="56">
        <v>5</v>
      </c>
      <c r="AO47" s="56">
        <v>-2</v>
      </c>
      <c r="AP47" s="56">
        <v>-7</v>
      </c>
      <c r="AQ47" s="56">
        <v>6</v>
      </c>
      <c r="AR47" s="56" t="s">
        <v>7946</v>
      </c>
      <c r="AS47" s="56">
        <v>2</v>
      </c>
      <c r="AT47" s="56">
        <v>10</v>
      </c>
    </row>
    <row r="48" spans="1:46">
      <c r="A48" s="49" t="s">
        <v>8870</v>
      </c>
      <c r="B48" s="49" t="s">
        <v>1180</v>
      </c>
      <c r="C48" s="49" t="s">
        <v>8824</v>
      </c>
      <c r="D48" s="49" t="s">
        <v>8945</v>
      </c>
      <c r="E48" s="49" t="s">
        <v>8258</v>
      </c>
      <c r="F48" s="49" t="s">
        <v>8928</v>
      </c>
      <c r="G48" s="49" t="s">
        <v>8923</v>
      </c>
      <c r="H48" s="49" t="s">
        <v>8271</v>
      </c>
      <c r="I48" s="49" t="s">
        <v>7341</v>
      </c>
      <c r="J48" s="49" t="s">
        <v>7320</v>
      </c>
      <c r="K48" s="51">
        <f>VLOOKUP(B48,'Feuerwaffen-Ressourcen'!$A$2:$AI$54,11,0)+VLOOKUP(C48,'Feuerwaffen-Ressourcen'!$A$2:$AI$54,11,0)+VLOOKUP(D48,'Feuerwaffen-Ressourcen'!$A$2:$AI$54,11,0)+VLOOKUP(E48,'Feuerwaffen-Ressourcen'!$A$2:$AI$54,11,0)+VLOOKUP(G48,'Feuerwaffen-Ressourcen'!$A$2:$AI$54,11,0)</f>
        <v>1.4500000000000002</v>
      </c>
      <c r="L48" s="50">
        <f>VLOOKUP(B48,'Feuerwaffen-Ressourcen'!$A$2:$AI$54,12,0)+VLOOKUP(C48,'Feuerwaffen-Ressourcen'!$A$2:$AI$54,12,0)+VLOOKUP(D48,'Feuerwaffen-Ressourcen'!$A$2:$AI$54,12,0)+VLOOKUP(J48,'Feuerwaffen-Ressourcen'!$A$2:$AI$54,12,0)</f>
        <v>5</v>
      </c>
      <c r="M48" s="50" t="str">
        <f>VLOOKUP(VLOOKUP(B48,'Feuerwaffen-Ressourcen'!$A$2:$AI$54,13,0)+VLOOKUP(C48,'Feuerwaffen-Ressourcen'!$A$2:$AI$54,13,0)+VLOOKUP(D48,'Feuerwaffen-Ressourcen'!$A$2:$AI$54,13,0),'Feuerwaffen-Ressourcen'!$AJ$3:$AK$12,2,0)</f>
        <v>W8</v>
      </c>
      <c r="N48" s="50" t="str">
        <f>VLOOKUP(VLOOKUP(B48,'Feuerwaffen-Ressourcen'!$A$2:$AI$54,14,0)+VLOOKUP(C48,'Feuerwaffen-Ressourcen'!$A$2:$AI$54,14,0)+VLOOKUP(D48,'Feuerwaffen-Ressourcen'!$A$2:$AI$54,14,0),'Feuerwaffen-Ressourcen'!$AJ$3:$AK$12,2,0)</f>
        <v>W6</v>
      </c>
      <c r="O48" s="50">
        <f>VLOOKUP(B48,'Feuerwaffen-Ressourcen'!$A$2:$AI$54,15,0)+VLOOKUP(C48,'Feuerwaffen-Ressourcen'!$A$2:$AI$54,15,0)+VLOOKUP(D48,'Feuerwaffen-Ressourcen'!$A$2:$AI$54,15,0)</f>
        <v>0</v>
      </c>
      <c r="P48" s="50">
        <f>VLOOKUP(B48,'Feuerwaffen-Ressourcen'!$A$2:$AI$54,16,0)+VLOOKUP(C48,'Feuerwaffen-Ressourcen'!$A$2:$AI$54,16,0)+VLOOKUP(D48,'Feuerwaffen-Ressourcen'!$A$2:$AI$54,16,0)+VLOOKUP(E48,'Feuerwaffen-Ressourcen'!$A$2:$AI$54,16,0)</f>
        <v>9</v>
      </c>
      <c r="Q48" s="52">
        <f>VLOOKUP(B48,'Feuerwaffen-Ressourcen'!$A$2:$AI$54,17,0)+VLOOKUP(C48,'Feuerwaffen-Ressourcen'!$A$2:$AI$54,17,0)+VLOOKUP(D48,'Feuerwaffen-Ressourcen'!$A$2:$AI$54,17,0)+VLOOKUP(E48,'Feuerwaffen-Ressourcen'!$A$2:$AI$54,17,0)</f>
        <v>12</v>
      </c>
      <c r="R48" s="50">
        <f>VLOOKUP(B48,'Feuerwaffen-Ressourcen'!$A$2:$AI$54,18,0)+VLOOKUP(C48,'Feuerwaffen-Ressourcen'!$A$2:$AI$54,18,0)+VLOOKUP(D48,'Feuerwaffen-Ressourcen'!$A$2:$AI$54,18,0)+VLOOKUP(F48,'Feuerwaffen-Ressourcen'!$A$2:$AI$54,18,0)+VLOOKUP(G48,'Feuerwaffen-Ressourcen'!$A$2:$AI$54,18,0)+VLOOKUP(I48,'Feuerwaffen-Ressourcen'!$A$2:$AI$54,18,0)+VLOOKUP(J48,'Feuerwaffen-Ressourcen'!$A$2:$AI$54,18,0)</f>
        <v>4</v>
      </c>
      <c r="S48" s="50">
        <f>VLOOKUP(B48,'Feuerwaffen-Ressourcen'!$A$2:$AI$54,19,0)+VLOOKUP(C48,'Feuerwaffen-Ressourcen'!$A$2:$AI$54,19,0)+VLOOKUP(D48,'Feuerwaffen-Ressourcen'!$A$2:$AI$54,19,0)+VLOOKUP(F48,'Feuerwaffen-Ressourcen'!$A$2:$AI$54,19,0)+VLOOKUP(G48,'Feuerwaffen-Ressourcen'!$A$2:$AI$54,19,0)+VLOOKUP(I48,'Feuerwaffen-Ressourcen'!$A$2:$AI$54,19,0)+VLOOKUP(J48,'Feuerwaffen-Ressourcen'!$A$2:$AI$54,19,0)</f>
        <v>-4</v>
      </c>
      <c r="T48" s="50">
        <f>VLOOKUP(B48,'Feuerwaffen-Ressourcen'!$A$2:$AI$54,20,0)+VLOOKUP(C48,'Feuerwaffen-Ressourcen'!$A$2:$AI$54,20,0)+VLOOKUP(D48,'Feuerwaffen-Ressourcen'!$A$2:$AI$54,20,0)+VLOOKUP(F48,'Feuerwaffen-Ressourcen'!$A$2:$AI$54,20,0)+VLOOKUP(G48,'Feuerwaffen-Ressourcen'!$A$2:$AI$54,20,0)+VLOOKUP(I48,'Feuerwaffen-Ressourcen'!$A$2:$AI$54,20,0)+VLOOKUP(J48,'Feuerwaffen-Ressourcen'!$A$2:$AI$54,20,0)</f>
        <v>-14</v>
      </c>
      <c r="U48" s="50">
        <f>VLOOKUP(B48,'Feuerwaffen-Ressourcen'!$A$2:$AI$54,21,0)+VLOOKUP(C48,'Feuerwaffen-Ressourcen'!$A$2:$AI$54,21,0)+VLOOKUP(D48,'Feuerwaffen-Ressourcen'!$A$2:$AI$54,21,0)+VLOOKUP(F48,'Feuerwaffen-Ressourcen'!$A$2:$AI$54,21,0)+VLOOKUP(G48,'Feuerwaffen-Ressourcen'!$A$2:$AI$54,21,0)+VLOOKUP(I48,'Feuerwaffen-Ressourcen'!$A$2:$AI$54,21,0)+VLOOKUP(J48,'Feuerwaffen-Ressourcen'!$A$2:$AI$54,21,0)</f>
        <v>-27</v>
      </c>
      <c r="V48" s="50">
        <f>VLOOKUP(B48,'Feuerwaffen-Ressourcen'!$A$2:$AI$54,22,0)+VLOOKUP(C48,'Feuerwaffen-Ressourcen'!$A$2:$AI$54,22,0)+VLOOKUP(D48,'Feuerwaffen-Ressourcen'!$A$2:$AI$54,22,0)+VLOOKUP(F48,'Feuerwaffen-Ressourcen'!$A$2:$AI$54,22,0)+VLOOKUP(G48,'Feuerwaffen-Ressourcen'!$A$2:$AI$54,22,0)+VLOOKUP(I48,'Feuerwaffen-Ressourcen'!$A$2:$AI$54,22,0)+VLOOKUP(J48,'Feuerwaffen-Ressourcen'!$A$2:$AI$54,22,0)</f>
        <v>-41</v>
      </c>
      <c r="W48" s="50">
        <f>VLOOKUP(B48,'Feuerwaffen-Ressourcen'!$A$2:$AI$54,23,0)+VLOOKUP(C48,'Feuerwaffen-Ressourcen'!$A$2:$AI$54,23,0)+VLOOKUP(D48,'Feuerwaffen-Ressourcen'!$A$2:$AI$54,23,0)+VLOOKUP(F48,'Feuerwaffen-Ressourcen'!$A$2:$AI$54,23,0)+VLOOKUP(G48,'Feuerwaffen-Ressourcen'!$A$2:$AI$54,23,0)+VLOOKUP(I48,'Feuerwaffen-Ressourcen'!$A$2:$AI$54,23,0)+VLOOKUP(J48,'Feuerwaffen-Ressourcen'!$A$2:$AI$54,23,0)</f>
        <v>-57</v>
      </c>
      <c r="X48" s="50">
        <f>VLOOKUP(B48,'Feuerwaffen-Ressourcen'!$A$2:$AI$54,24,0)+VLOOKUP(C48,'Feuerwaffen-Ressourcen'!$A$2:$AI$54,24,0)+VLOOKUP(D48,'Feuerwaffen-Ressourcen'!$A$2:$AI$54,24,0)+VLOOKUP(G48,'Feuerwaffen-Ressourcen'!$A$2:$AI$54,24,0)</f>
        <v>30</v>
      </c>
      <c r="Y48" s="50">
        <f>VLOOKUP(D48,'Feuerwaffen-Ressourcen'!$A$2:$AI$54,25,0)+VLOOKUP(E48,'Feuerwaffen-Ressourcen'!$A$2:$AI$54,25,0)+VLOOKUP(F48,'Feuerwaffen-Ressourcen'!$A$2:$AI$54,25,0)</f>
        <v>33</v>
      </c>
      <c r="Z48" s="50">
        <f>VLOOKUP(E48,'Feuerwaffen-Ressourcen'!$A$2:$AI$54,26,0)</f>
        <v>3</v>
      </c>
      <c r="AA48" s="50">
        <f>VLOOKUP(B48,'Feuerwaffen-Ressourcen'!$A$2:$AI$54,27,0)+VLOOKUP(D48,'Feuerwaffen-Ressourcen'!$A$2:$AI$54,27,0)+VLOOKUP(F48,'Feuerwaffen-Ressourcen'!$A$2:$AI$54,27,0)+VLOOKUP(I48,'Feuerwaffen-Ressourcen'!$A$2:$AI$54,27,0)</f>
        <v>4</v>
      </c>
      <c r="AB48" s="50">
        <f>VLOOKUP(B48,'Feuerwaffen-Ressourcen'!$A$2:$AI$54,28,0)+VLOOKUP(C48,'Feuerwaffen-Ressourcen'!$A$2:$AI$54,28,0)+VLOOKUP(D48,'Feuerwaffen-Ressourcen'!$A$2:$AI$54,28,0)+VLOOKUP(E48,'Feuerwaffen-Ressourcen'!$A$2:$AI$54,28,0)+VLOOKUP(F48,'Feuerwaffen-Ressourcen'!$A$2:$AI$54,28,0)+VLOOKUP(G48,'Feuerwaffen-Ressourcen'!$A$2:$AI$54,28,0)+VLOOKUP(I48,'Feuerwaffen-Ressourcen'!$A$2:$AI$54,28,0)+VLOOKUP(J48,'Feuerwaffen-Ressourcen'!$A$2:$AI$54,28,0)</f>
        <v>110</v>
      </c>
      <c r="AC48" s="53">
        <f>VLOOKUP(I48,'Feuerwaffen-Ressourcen'!$A$2:$AI$54,31,0)*AD48+AE48</f>
        <v>140.35000000000002</v>
      </c>
      <c r="AD48" s="54">
        <f>VLOOKUP(B48,'Feuerwaffen-Ressourcen'!$A$2:$AI$54,30,0)+VLOOKUP(C48,'Feuerwaffen-Ressourcen'!$A$2:$AI$54,30,0)+VLOOKUP(D48,'Feuerwaffen-Ressourcen'!$A$2:$AI$54,30,0)+VLOOKUP(F48,'Feuerwaffen-Ressourcen'!$A$2:$AI$54,30,0)+VLOOKUP(G48,'Feuerwaffen-Ressourcen'!$A$2:$AI$54,30,0)+VLOOKUP(I48,'Feuerwaffen-Ressourcen'!$A$2:$AI$54,30,0)+VLOOKUP(J48,'Feuerwaffen-Ressourcen'!$A$2:$AI$54,30,0)</f>
        <v>2</v>
      </c>
      <c r="AE48" s="53">
        <f>(VLOOKUP(C48,'Feuerwaffen-Ressourcen'!$A$2:$AI$54,32,0)+VLOOKUP(I48,'Feuerwaffen-Ressourcen'!$A$2:$AI$54,32,0))*(VLOOKUP(B48,'Feuerwaffen-Ressourcen'!$A$2:$AI$54,34,0)+VLOOKUP(C48,'Feuerwaffen-Ressourcen'!$A$2:$AI$54,34,0)+VLOOKUP(D48,'Feuerwaffen-Ressourcen'!$A$2:$AI$54,34,0)+VLOOKUP(E48,'Feuerwaffen-Ressourcen'!$A$2:$AI$54,34,0)+VLOOKUP(G48,'Feuerwaffen-Ressourcen'!$A$2:$AI$54,34,0))+VLOOKUP(B48,'Feuerwaffen-Ressourcen'!$A$2:$AI$54,35,0)+VLOOKUP(C48,'Feuerwaffen-Ressourcen'!$A$2:$AI$54,35,0)+VLOOKUP(D48,'Feuerwaffen-Ressourcen'!$A$2:$AI$54,35,0)</f>
        <v>132.35000000000002</v>
      </c>
      <c r="AF48" s="55">
        <f>VLOOKUP(AB48,'Feuerwaffen-Ressourcen'!$AO$3:$AP$9,2,1)</f>
        <v>4</v>
      </c>
      <c r="AG48" s="55">
        <v>0</v>
      </c>
      <c r="AH48" s="28" t="s">
        <v>1415</v>
      </c>
      <c r="AI48" s="28" t="s">
        <v>8926</v>
      </c>
      <c r="AJ48" s="56">
        <v>1.5</v>
      </c>
      <c r="AK48" s="56" t="s">
        <v>5497</v>
      </c>
      <c r="AL48" s="56" t="s">
        <v>7946</v>
      </c>
      <c r="AM48" s="56">
        <v>3</v>
      </c>
      <c r="AN48" s="56">
        <v>5</v>
      </c>
      <c r="AO48" s="56">
        <v>-2</v>
      </c>
      <c r="AP48" s="56">
        <v>-7</v>
      </c>
      <c r="AQ48" s="56">
        <v>5</v>
      </c>
      <c r="AR48" s="56" t="s">
        <v>7946</v>
      </c>
      <c r="AS48" s="56">
        <v>2</v>
      </c>
      <c r="AT48" s="56">
        <v>10</v>
      </c>
    </row>
    <row r="49" spans="1:46">
      <c r="A49" s="49" t="s">
        <v>8871</v>
      </c>
      <c r="B49" s="49" t="s">
        <v>1180</v>
      </c>
      <c r="C49" s="49" t="s">
        <v>8824</v>
      </c>
      <c r="D49" s="49" t="s">
        <v>8945</v>
      </c>
      <c r="E49" s="49" t="s">
        <v>8829</v>
      </c>
      <c r="F49" s="49" t="s">
        <v>8931</v>
      </c>
      <c r="G49" s="49" t="s">
        <v>8932</v>
      </c>
      <c r="H49" s="49" t="s">
        <v>8830</v>
      </c>
      <c r="I49" s="49" t="s">
        <v>7341</v>
      </c>
      <c r="J49" s="49" t="s">
        <v>7320</v>
      </c>
      <c r="K49" s="51">
        <f>VLOOKUP(B49,'Feuerwaffen-Ressourcen'!$A$2:$AI$54,11,0)+VLOOKUP(C49,'Feuerwaffen-Ressourcen'!$A$2:$AI$54,11,0)+VLOOKUP(D49,'Feuerwaffen-Ressourcen'!$A$2:$AI$54,11,0)+VLOOKUP(E49,'Feuerwaffen-Ressourcen'!$A$2:$AI$54,11,0)+VLOOKUP(G49,'Feuerwaffen-Ressourcen'!$A$2:$AI$54,11,0)</f>
        <v>1.7000000000000002</v>
      </c>
      <c r="L49" s="50">
        <f>VLOOKUP(B49,'Feuerwaffen-Ressourcen'!$A$2:$AI$54,12,0)+VLOOKUP(C49,'Feuerwaffen-Ressourcen'!$A$2:$AI$54,12,0)+VLOOKUP(D49,'Feuerwaffen-Ressourcen'!$A$2:$AI$54,12,0)+VLOOKUP(J49,'Feuerwaffen-Ressourcen'!$A$2:$AI$54,12,0)</f>
        <v>5</v>
      </c>
      <c r="M49" s="50" t="str">
        <f>VLOOKUP(VLOOKUP(B49,'Feuerwaffen-Ressourcen'!$A$2:$AI$54,13,0)+VLOOKUP(C49,'Feuerwaffen-Ressourcen'!$A$2:$AI$54,13,0)+VLOOKUP(D49,'Feuerwaffen-Ressourcen'!$A$2:$AI$54,13,0),'Feuerwaffen-Ressourcen'!$AJ$3:$AK$12,2,0)</f>
        <v>W8</v>
      </c>
      <c r="N49" s="50" t="str">
        <f>VLOOKUP(VLOOKUP(B49,'Feuerwaffen-Ressourcen'!$A$2:$AI$54,14,0)+VLOOKUP(C49,'Feuerwaffen-Ressourcen'!$A$2:$AI$54,14,0)+VLOOKUP(D49,'Feuerwaffen-Ressourcen'!$A$2:$AI$54,14,0),'Feuerwaffen-Ressourcen'!$AJ$3:$AK$12,2,0)</f>
        <v>W6</v>
      </c>
      <c r="O49" s="50">
        <f>VLOOKUP(B49,'Feuerwaffen-Ressourcen'!$A$2:$AI$54,15,0)+VLOOKUP(C49,'Feuerwaffen-Ressourcen'!$A$2:$AI$54,15,0)+VLOOKUP(D49,'Feuerwaffen-Ressourcen'!$A$2:$AI$54,15,0)</f>
        <v>0</v>
      </c>
      <c r="P49" s="50">
        <f>VLOOKUP(B49,'Feuerwaffen-Ressourcen'!$A$2:$AI$54,16,0)+VLOOKUP(C49,'Feuerwaffen-Ressourcen'!$A$2:$AI$54,16,0)+VLOOKUP(D49,'Feuerwaffen-Ressourcen'!$A$2:$AI$54,16,0)+VLOOKUP(E49,'Feuerwaffen-Ressourcen'!$A$2:$AI$54,16,0)</f>
        <v>15</v>
      </c>
      <c r="Q49" s="52">
        <f>VLOOKUP(B49,'Feuerwaffen-Ressourcen'!$A$2:$AI$54,17,0)+VLOOKUP(C49,'Feuerwaffen-Ressourcen'!$A$2:$AI$54,17,0)+VLOOKUP(D49,'Feuerwaffen-Ressourcen'!$A$2:$AI$54,17,0)+VLOOKUP(E49,'Feuerwaffen-Ressourcen'!$A$2:$AI$54,17,0)</f>
        <v>6</v>
      </c>
      <c r="R49" s="50">
        <f>VLOOKUP(B49,'Feuerwaffen-Ressourcen'!$A$2:$AI$54,18,0)+VLOOKUP(C49,'Feuerwaffen-Ressourcen'!$A$2:$AI$54,18,0)+VLOOKUP(D49,'Feuerwaffen-Ressourcen'!$A$2:$AI$54,18,0)+VLOOKUP(F49,'Feuerwaffen-Ressourcen'!$A$2:$AI$54,18,0)+VLOOKUP(G49,'Feuerwaffen-Ressourcen'!$A$2:$AI$54,18,0)+VLOOKUP(I49,'Feuerwaffen-Ressourcen'!$A$2:$AI$54,18,0)+VLOOKUP(J49,'Feuerwaffen-Ressourcen'!$A$2:$AI$54,18,0)</f>
        <v>8</v>
      </c>
      <c r="S49" s="50">
        <f>VLOOKUP(B49,'Feuerwaffen-Ressourcen'!$A$2:$AI$54,19,0)+VLOOKUP(C49,'Feuerwaffen-Ressourcen'!$A$2:$AI$54,19,0)+VLOOKUP(D49,'Feuerwaffen-Ressourcen'!$A$2:$AI$54,19,0)+VLOOKUP(F49,'Feuerwaffen-Ressourcen'!$A$2:$AI$54,19,0)+VLOOKUP(G49,'Feuerwaffen-Ressourcen'!$A$2:$AI$54,19,0)+VLOOKUP(I49,'Feuerwaffen-Ressourcen'!$A$2:$AI$54,19,0)+VLOOKUP(J49,'Feuerwaffen-Ressourcen'!$A$2:$AI$54,19,0)</f>
        <v>1</v>
      </c>
      <c r="T49" s="50">
        <f>VLOOKUP(B49,'Feuerwaffen-Ressourcen'!$A$2:$AI$54,20,0)+VLOOKUP(C49,'Feuerwaffen-Ressourcen'!$A$2:$AI$54,20,0)+VLOOKUP(D49,'Feuerwaffen-Ressourcen'!$A$2:$AI$54,20,0)+VLOOKUP(F49,'Feuerwaffen-Ressourcen'!$A$2:$AI$54,20,0)+VLOOKUP(G49,'Feuerwaffen-Ressourcen'!$A$2:$AI$54,20,0)+VLOOKUP(I49,'Feuerwaffen-Ressourcen'!$A$2:$AI$54,20,0)+VLOOKUP(J49,'Feuerwaffen-Ressourcen'!$A$2:$AI$54,20,0)</f>
        <v>-9</v>
      </c>
      <c r="U49" s="50">
        <f>VLOOKUP(B49,'Feuerwaffen-Ressourcen'!$A$2:$AI$54,21,0)+VLOOKUP(C49,'Feuerwaffen-Ressourcen'!$A$2:$AI$54,21,0)+VLOOKUP(D49,'Feuerwaffen-Ressourcen'!$A$2:$AI$54,21,0)+VLOOKUP(F49,'Feuerwaffen-Ressourcen'!$A$2:$AI$54,21,0)+VLOOKUP(G49,'Feuerwaffen-Ressourcen'!$A$2:$AI$54,21,0)+VLOOKUP(I49,'Feuerwaffen-Ressourcen'!$A$2:$AI$54,21,0)+VLOOKUP(J49,'Feuerwaffen-Ressourcen'!$A$2:$AI$54,21,0)</f>
        <v>-23</v>
      </c>
      <c r="V49" s="50">
        <f>VLOOKUP(B49,'Feuerwaffen-Ressourcen'!$A$2:$AI$54,22,0)+VLOOKUP(C49,'Feuerwaffen-Ressourcen'!$A$2:$AI$54,22,0)+VLOOKUP(D49,'Feuerwaffen-Ressourcen'!$A$2:$AI$54,22,0)+VLOOKUP(F49,'Feuerwaffen-Ressourcen'!$A$2:$AI$54,22,0)+VLOOKUP(G49,'Feuerwaffen-Ressourcen'!$A$2:$AI$54,22,0)+VLOOKUP(I49,'Feuerwaffen-Ressourcen'!$A$2:$AI$54,22,0)+VLOOKUP(J49,'Feuerwaffen-Ressourcen'!$A$2:$AI$54,22,0)</f>
        <v>-38</v>
      </c>
      <c r="W49" s="50">
        <f>VLOOKUP(B49,'Feuerwaffen-Ressourcen'!$A$2:$AI$54,23,0)+VLOOKUP(C49,'Feuerwaffen-Ressourcen'!$A$2:$AI$54,23,0)+VLOOKUP(D49,'Feuerwaffen-Ressourcen'!$A$2:$AI$54,23,0)+VLOOKUP(F49,'Feuerwaffen-Ressourcen'!$A$2:$AI$54,23,0)+VLOOKUP(G49,'Feuerwaffen-Ressourcen'!$A$2:$AI$54,23,0)+VLOOKUP(I49,'Feuerwaffen-Ressourcen'!$A$2:$AI$54,23,0)+VLOOKUP(J49,'Feuerwaffen-Ressourcen'!$A$2:$AI$54,23,0)</f>
        <v>-54</v>
      </c>
      <c r="X49" s="50">
        <f>VLOOKUP(B49,'Feuerwaffen-Ressourcen'!$A$2:$AI$54,24,0)+VLOOKUP(C49,'Feuerwaffen-Ressourcen'!$A$2:$AI$54,24,0)+VLOOKUP(D49,'Feuerwaffen-Ressourcen'!$A$2:$AI$54,24,0)+VLOOKUP(G49,'Feuerwaffen-Ressourcen'!$A$2:$AI$54,24,0)</f>
        <v>60</v>
      </c>
      <c r="Y49" s="50">
        <f>VLOOKUP(D49,'Feuerwaffen-Ressourcen'!$A$2:$AI$54,25,0)+VLOOKUP(E49,'Feuerwaffen-Ressourcen'!$A$2:$AI$54,25,0)+VLOOKUP(F49,'Feuerwaffen-Ressourcen'!$A$2:$AI$54,25,0)</f>
        <v>12</v>
      </c>
      <c r="Z49" s="50">
        <f>VLOOKUP(E49,'Feuerwaffen-Ressourcen'!$A$2:$AI$54,26,0)</f>
        <v>6</v>
      </c>
      <c r="AA49" s="50">
        <f>VLOOKUP(B49,'Feuerwaffen-Ressourcen'!$A$2:$AI$54,27,0)+VLOOKUP(D49,'Feuerwaffen-Ressourcen'!$A$2:$AI$54,27,0)+VLOOKUP(F49,'Feuerwaffen-Ressourcen'!$A$2:$AI$54,27,0)+VLOOKUP(I49,'Feuerwaffen-Ressourcen'!$A$2:$AI$54,27,0)</f>
        <v>1</v>
      </c>
      <c r="AB49" s="50">
        <f>VLOOKUP(B49,'Feuerwaffen-Ressourcen'!$A$2:$AI$54,28,0)+VLOOKUP(C49,'Feuerwaffen-Ressourcen'!$A$2:$AI$54,28,0)+VLOOKUP(D49,'Feuerwaffen-Ressourcen'!$A$2:$AI$54,28,0)+VLOOKUP(E49,'Feuerwaffen-Ressourcen'!$A$2:$AI$54,28,0)+VLOOKUP(F49,'Feuerwaffen-Ressourcen'!$A$2:$AI$54,28,0)+VLOOKUP(G49,'Feuerwaffen-Ressourcen'!$A$2:$AI$54,28,0)+VLOOKUP(I49,'Feuerwaffen-Ressourcen'!$A$2:$AI$54,28,0)+VLOOKUP(J49,'Feuerwaffen-Ressourcen'!$A$2:$AI$54,28,0)</f>
        <v>60</v>
      </c>
      <c r="AC49" s="53">
        <f>VLOOKUP(I49,'Feuerwaffen-Ressourcen'!$A$2:$AI$54,31,0)*AD49+AE49</f>
        <v>188.35000000000002</v>
      </c>
      <c r="AD49" s="54">
        <f>VLOOKUP(B49,'Feuerwaffen-Ressourcen'!$A$2:$AI$54,30,0)+VLOOKUP(C49,'Feuerwaffen-Ressourcen'!$A$2:$AI$54,30,0)+VLOOKUP(D49,'Feuerwaffen-Ressourcen'!$A$2:$AI$54,30,0)+VLOOKUP(F49,'Feuerwaffen-Ressourcen'!$A$2:$AI$54,30,0)+VLOOKUP(G49,'Feuerwaffen-Ressourcen'!$A$2:$AI$54,30,0)+VLOOKUP(I49,'Feuerwaffen-Ressourcen'!$A$2:$AI$54,30,0)+VLOOKUP(J49,'Feuerwaffen-Ressourcen'!$A$2:$AI$54,30,0)</f>
        <v>6.5</v>
      </c>
      <c r="AE49" s="53">
        <f>(VLOOKUP(C49,'Feuerwaffen-Ressourcen'!$A$2:$AI$54,32,0)+VLOOKUP(I49,'Feuerwaffen-Ressourcen'!$A$2:$AI$54,32,0))*(VLOOKUP(B49,'Feuerwaffen-Ressourcen'!$A$2:$AI$54,34,0)+VLOOKUP(C49,'Feuerwaffen-Ressourcen'!$A$2:$AI$54,34,0)+VLOOKUP(D49,'Feuerwaffen-Ressourcen'!$A$2:$AI$54,34,0)+VLOOKUP(E49,'Feuerwaffen-Ressourcen'!$A$2:$AI$54,34,0)+VLOOKUP(G49,'Feuerwaffen-Ressourcen'!$A$2:$AI$54,34,0))+VLOOKUP(B49,'Feuerwaffen-Ressourcen'!$A$2:$AI$54,35,0)+VLOOKUP(C49,'Feuerwaffen-Ressourcen'!$A$2:$AI$54,35,0)+VLOOKUP(D49,'Feuerwaffen-Ressourcen'!$A$2:$AI$54,35,0)</f>
        <v>162.35000000000002</v>
      </c>
      <c r="AF49" s="55">
        <f>VLOOKUP(AB49,'Feuerwaffen-Ressourcen'!$AO$3:$AP$9,2,1)</f>
        <v>7</v>
      </c>
      <c r="AG49" s="55">
        <v>0</v>
      </c>
      <c r="AH49" s="28" t="s">
        <v>1415</v>
      </c>
      <c r="AI49" s="28" t="s">
        <v>8926</v>
      </c>
      <c r="AJ49" s="56">
        <v>1.5</v>
      </c>
      <c r="AK49" s="56" t="s">
        <v>5497</v>
      </c>
      <c r="AL49" s="56" t="s">
        <v>7946</v>
      </c>
      <c r="AM49" s="56">
        <v>3</v>
      </c>
      <c r="AN49" s="56">
        <v>5</v>
      </c>
      <c r="AO49" s="56">
        <v>-2</v>
      </c>
      <c r="AP49" s="56">
        <v>-7</v>
      </c>
      <c r="AQ49" s="56">
        <v>5</v>
      </c>
      <c r="AR49" s="56" t="s">
        <v>7946</v>
      </c>
      <c r="AS49" s="56">
        <v>2</v>
      </c>
      <c r="AT49" s="56">
        <v>10</v>
      </c>
    </row>
    <row r="50" spans="1:46">
      <c r="A50" s="49" t="s">
        <v>8873</v>
      </c>
      <c r="B50" s="49" t="s">
        <v>1180</v>
      </c>
      <c r="C50" s="49" t="s">
        <v>8824</v>
      </c>
      <c r="D50" s="49" t="s">
        <v>8934</v>
      </c>
      <c r="E50" s="49" t="s">
        <v>8829</v>
      </c>
      <c r="F50" s="49" t="s">
        <v>8931</v>
      </c>
      <c r="G50" s="49" t="s">
        <v>8932</v>
      </c>
      <c r="H50" s="49" t="s">
        <v>8830</v>
      </c>
      <c r="I50" s="49" t="s">
        <v>7341</v>
      </c>
      <c r="J50" s="49" t="s">
        <v>7320</v>
      </c>
      <c r="K50" s="51">
        <f>VLOOKUP(B50,'Feuerwaffen-Ressourcen'!$A$2:$AI$54,11,0)+VLOOKUP(C50,'Feuerwaffen-Ressourcen'!$A$2:$AI$54,11,0)+VLOOKUP(D50,'Feuerwaffen-Ressourcen'!$A$2:$AI$54,11,0)+VLOOKUP(E50,'Feuerwaffen-Ressourcen'!$A$2:$AI$54,11,0)+VLOOKUP(G50,'Feuerwaffen-Ressourcen'!$A$2:$AI$54,11,0)</f>
        <v>0.40000000000000013</v>
      </c>
      <c r="L50" s="50">
        <f>VLOOKUP(B50,'Feuerwaffen-Ressourcen'!$A$2:$AI$54,12,0)+VLOOKUP(C50,'Feuerwaffen-Ressourcen'!$A$2:$AI$54,12,0)+VLOOKUP(D50,'Feuerwaffen-Ressourcen'!$A$2:$AI$54,12,0)+VLOOKUP(J50,'Feuerwaffen-Ressourcen'!$A$2:$AI$54,12,0)</f>
        <v>2</v>
      </c>
      <c r="M50" s="50" t="str">
        <f>VLOOKUP(VLOOKUP(B50,'Feuerwaffen-Ressourcen'!$A$2:$AI$54,13,0)+VLOOKUP(C50,'Feuerwaffen-Ressourcen'!$A$2:$AI$54,13,0)+VLOOKUP(D50,'Feuerwaffen-Ressourcen'!$A$2:$AI$54,13,0),'Feuerwaffen-Ressourcen'!$AJ$3:$AK$12,2,0)</f>
        <v>W4</v>
      </c>
      <c r="N50" s="50" t="str">
        <f>VLOOKUP(VLOOKUP(B50,'Feuerwaffen-Ressourcen'!$A$2:$AI$54,14,0)+VLOOKUP(C50,'Feuerwaffen-Ressourcen'!$A$2:$AI$54,14,0)+VLOOKUP(D50,'Feuerwaffen-Ressourcen'!$A$2:$AI$54,14,0),'Feuerwaffen-Ressourcen'!$AJ$3:$AK$12,2,0)</f>
        <v>W4</v>
      </c>
      <c r="O50" s="50">
        <f>VLOOKUP(B50,'Feuerwaffen-Ressourcen'!$A$2:$AI$54,15,0)+VLOOKUP(C50,'Feuerwaffen-Ressourcen'!$A$2:$AI$54,15,0)+VLOOKUP(D50,'Feuerwaffen-Ressourcen'!$A$2:$AI$54,15,0)</f>
        <v>0</v>
      </c>
      <c r="P50" s="50">
        <f>VLOOKUP(B50,'Feuerwaffen-Ressourcen'!$A$2:$AI$54,16,0)+VLOOKUP(C50,'Feuerwaffen-Ressourcen'!$A$2:$AI$54,16,0)+VLOOKUP(D50,'Feuerwaffen-Ressourcen'!$A$2:$AI$54,16,0)+VLOOKUP(E50,'Feuerwaffen-Ressourcen'!$A$2:$AI$54,16,0)</f>
        <v>18</v>
      </c>
      <c r="Q50" s="52">
        <f>VLOOKUP(B50,'Feuerwaffen-Ressourcen'!$A$2:$AI$54,17,0)+VLOOKUP(C50,'Feuerwaffen-Ressourcen'!$A$2:$AI$54,17,0)+VLOOKUP(D50,'Feuerwaffen-Ressourcen'!$A$2:$AI$54,17,0)+VLOOKUP(E50,'Feuerwaffen-Ressourcen'!$A$2:$AI$54,17,0)</f>
        <v>5</v>
      </c>
      <c r="R50" s="50">
        <f>VLOOKUP(B50,'Feuerwaffen-Ressourcen'!$A$2:$AI$54,18,0)+VLOOKUP(C50,'Feuerwaffen-Ressourcen'!$A$2:$AI$54,18,0)+VLOOKUP(D50,'Feuerwaffen-Ressourcen'!$A$2:$AI$54,18,0)+VLOOKUP(F50,'Feuerwaffen-Ressourcen'!$A$2:$AI$54,18,0)+VLOOKUP(G50,'Feuerwaffen-Ressourcen'!$A$2:$AI$54,18,0)+VLOOKUP(I50,'Feuerwaffen-Ressourcen'!$A$2:$AI$54,18,0)+VLOOKUP(J50,'Feuerwaffen-Ressourcen'!$A$2:$AI$54,18,0)</f>
        <v>13</v>
      </c>
      <c r="S50" s="50">
        <f>VLOOKUP(B50,'Feuerwaffen-Ressourcen'!$A$2:$AI$54,19,0)+VLOOKUP(C50,'Feuerwaffen-Ressourcen'!$A$2:$AI$54,19,0)+VLOOKUP(D50,'Feuerwaffen-Ressourcen'!$A$2:$AI$54,19,0)+VLOOKUP(F50,'Feuerwaffen-Ressourcen'!$A$2:$AI$54,19,0)+VLOOKUP(G50,'Feuerwaffen-Ressourcen'!$A$2:$AI$54,19,0)+VLOOKUP(I50,'Feuerwaffen-Ressourcen'!$A$2:$AI$54,19,0)+VLOOKUP(J50,'Feuerwaffen-Ressourcen'!$A$2:$AI$54,19,0)</f>
        <v>-3</v>
      </c>
      <c r="T50" s="50">
        <f>VLOOKUP(B50,'Feuerwaffen-Ressourcen'!$A$2:$AI$54,20,0)+VLOOKUP(C50,'Feuerwaffen-Ressourcen'!$A$2:$AI$54,20,0)+VLOOKUP(D50,'Feuerwaffen-Ressourcen'!$A$2:$AI$54,20,0)+VLOOKUP(F50,'Feuerwaffen-Ressourcen'!$A$2:$AI$54,20,0)+VLOOKUP(G50,'Feuerwaffen-Ressourcen'!$A$2:$AI$54,20,0)+VLOOKUP(I50,'Feuerwaffen-Ressourcen'!$A$2:$AI$54,20,0)+VLOOKUP(J50,'Feuerwaffen-Ressourcen'!$A$2:$AI$54,20,0)</f>
        <v>-18</v>
      </c>
      <c r="U50" s="50">
        <f>VLOOKUP(B50,'Feuerwaffen-Ressourcen'!$A$2:$AI$54,21,0)+VLOOKUP(C50,'Feuerwaffen-Ressourcen'!$A$2:$AI$54,21,0)+VLOOKUP(D50,'Feuerwaffen-Ressourcen'!$A$2:$AI$54,21,0)+VLOOKUP(F50,'Feuerwaffen-Ressourcen'!$A$2:$AI$54,21,0)+VLOOKUP(G50,'Feuerwaffen-Ressourcen'!$A$2:$AI$54,21,0)+VLOOKUP(I50,'Feuerwaffen-Ressourcen'!$A$2:$AI$54,21,0)+VLOOKUP(J50,'Feuerwaffen-Ressourcen'!$A$2:$AI$54,21,0)</f>
        <v>-42</v>
      </c>
      <c r="V50" s="50">
        <f>VLOOKUP(B50,'Feuerwaffen-Ressourcen'!$A$2:$AI$54,22,0)+VLOOKUP(C50,'Feuerwaffen-Ressourcen'!$A$2:$AI$54,22,0)+VLOOKUP(D50,'Feuerwaffen-Ressourcen'!$A$2:$AI$54,22,0)+VLOOKUP(F50,'Feuerwaffen-Ressourcen'!$A$2:$AI$54,22,0)+VLOOKUP(G50,'Feuerwaffen-Ressourcen'!$A$2:$AI$54,22,0)+VLOOKUP(I50,'Feuerwaffen-Ressourcen'!$A$2:$AI$54,22,0)+VLOOKUP(J50,'Feuerwaffen-Ressourcen'!$A$2:$AI$54,22,0)</f>
        <v>-77</v>
      </c>
      <c r="W50" s="50">
        <f>VLOOKUP(B50,'Feuerwaffen-Ressourcen'!$A$2:$AI$54,23,0)+VLOOKUP(C50,'Feuerwaffen-Ressourcen'!$A$2:$AI$54,23,0)+VLOOKUP(D50,'Feuerwaffen-Ressourcen'!$A$2:$AI$54,23,0)+VLOOKUP(F50,'Feuerwaffen-Ressourcen'!$A$2:$AI$54,23,0)+VLOOKUP(G50,'Feuerwaffen-Ressourcen'!$A$2:$AI$54,23,0)+VLOOKUP(I50,'Feuerwaffen-Ressourcen'!$A$2:$AI$54,23,0)+VLOOKUP(J50,'Feuerwaffen-Ressourcen'!$A$2:$AI$54,23,0)</f>
        <v>-133</v>
      </c>
      <c r="X50" s="50">
        <f>VLOOKUP(B50,'Feuerwaffen-Ressourcen'!$A$2:$AI$54,24,0)+VLOOKUP(C50,'Feuerwaffen-Ressourcen'!$A$2:$AI$54,24,0)+VLOOKUP(D50,'Feuerwaffen-Ressourcen'!$A$2:$AI$54,24,0)+VLOOKUP(G50,'Feuerwaffen-Ressourcen'!$A$2:$AI$54,24,0)</f>
        <v>50</v>
      </c>
      <c r="Y50" s="50">
        <f>VLOOKUP(D50,'Feuerwaffen-Ressourcen'!$A$2:$AI$54,25,0)+VLOOKUP(E50,'Feuerwaffen-Ressourcen'!$A$2:$AI$54,25,0)+VLOOKUP(F50,'Feuerwaffen-Ressourcen'!$A$2:$AI$54,25,0)</f>
        <v>8</v>
      </c>
      <c r="Z50" s="50">
        <f>VLOOKUP(E50,'Feuerwaffen-Ressourcen'!$A$2:$AI$54,26,0)</f>
        <v>6</v>
      </c>
      <c r="AA50" s="50">
        <f>VLOOKUP(B50,'Feuerwaffen-Ressourcen'!$A$2:$AI$54,27,0)+VLOOKUP(D50,'Feuerwaffen-Ressourcen'!$A$2:$AI$54,27,0)+VLOOKUP(F50,'Feuerwaffen-Ressourcen'!$A$2:$AI$54,27,0)+VLOOKUP(I50,'Feuerwaffen-Ressourcen'!$A$2:$AI$54,27,0)</f>
        <v>-1</v>
      </c>
      <c r="AB50" s="50">
        <f>VLOOKUP(B50,'Feuerwaffen-Ressourcen'!$A$2:$AI$54,28,0)+VLOOKUP(C50,'Feuerwaffen-Ressourcen'!$A$2:$AI$54,28,0)+VLOOKUP(D50,'Feuerwaffen-Ressourcen'!$A$2:$AI$54,28,0)+VLOOKUP(E50,'Feuerwaffen-Ressourcen'!$A$2:$AI$54,28,0)+VLOOKUP(F50,'Feuerwaffen-Ressourcen'!$A$2:$AI$54,28,0)+VLOOKUP(G50,'Feuerwaffen-Ressourcen'!$A$2:$AI$54,28,0)+VLOOKUP(I50,'Feuerwaffen-Ressourcen'!$A$2:$AI$54,28,0)+VLOOKUP(J50,'Feuerwaffen-Ressourcen'!$A$2:$AI$54,28,0)</f>
        <v>75</v>
      </c>
      <c r="AC50" s="53">
        <f>VLOOKUP(I50,'Feuerwaffen-Ressourcen'!$A$2:$AI$54,31,0)*AD50+AE50</f>
        <v>68.150000000000006</v>
      </c>
      <c r="AD50" s="54">
        <f>VLOOKUP(B50,'Feuerwaffen-Ressourcen'!$A$2:$AI$54,30,0)+VLOOKUP(C50,'Feuerwaffen-Ressourcen'!$A$2:$AI$54,30,0)+VLOOKUP(D50,'Feuerwaffen-Ressourcen'!$A$2:$AI$54,30,0)+VLOOKUP(F50,'Feuerwaffen-Ressourcen'!$A$2:$AI$54,30,0)+VLOOKUP(G50,'Feuerwaffen-Ressourcen'!$A$2:$AI$54,30,0)+VLOOKUP(I50,'Feuerwaffen-Ressourcen'!$A$2:$AI$54,30,0)+VLOOKUP(J50,'Feuerwaffen-Ressourcen'!$A$2:$AI$54,30,0)</f>
        <v>9.5</v>
      </c>
      <c r="AE50" s="53">
        <f>(VLOOKUP(C50,'Feuerwaffen-Ressourcen'!$A$2:$AI$54,32,0)+VLOOKUP(I50,'Feuerwaffen-Ressourcen'!$A$2:$AI$54,32,0))*(VLOOKUP(B50,'Feuerwaffen-Ressourcen'!$A$2:$AI$54,34,0)+VLOOKUP(C50,'Feuerwaffen-Ressourcen'!$A$2:$AI$54,34,0)+VLOOKUP(D50,'Feuerwaffen-Ressourcen'!$A$2:$AI$54,34,0)+VLOOKUP(E50,'Feuerwaffen-Ressourcen'!$A$2:$AI$54,34,0)+VLOOKUP(G50,'Feuerwaffen-Ressourcen'!$A$2:$AI$54,34,0))+VLOOKUP(B50,'Feuerwaffen-Ressourcen'!$A$2:$AI$54,35,0)+VLOOKUP(C50,'Feuerwaffen-Ressourcen'!$A$2:$AI$54,35,0)+VLOOKUP(D50,'Feuerwaffen-Ressourcen'!$A$2:$AI$54,35,0)</f>
        <v>30.150000000000002</v>
      </c>
      <c r="AF50" s="55">
        <f>VLOOKUP(AB50,'Feuerwaffen-Ressourcen'!$AO$3:$AP$9,2,1)</f>
        <v>6</v>
      </c>
      <c r="AG50" s="55">
        <v>0</v>
      </c>
      <c r="AH50" s="28" t="s">
        <v>1415</v>
      </c>
      <c r="AI50" s="28" t="s">
        <v>8926</v>
      </c>
      <c r="AJ50" s="56">
        <v>1.5</v>
      </c>
      <c r="AK50" s="56" t="s">
        <v>5497</v>
      </c>
      <c r="AL50" s="56" t="s">
        <v>7946</v>
      </c>
      <c r="AM50" s="56">
        <v>3</v>
      </c>
      <c r="AN50" s="56">
        <v>5</v>
      </c>
      <c r="AO50" s="56">
        <v>-2</v>
      </c>
      <c r="AP50" s="56">
        <v>-7</v>
      </c>
      <c r="AQ50" s="56">
        <f>VLOOKUP(B50,'Feuerwaffen-Ressourcen'!$A$2:$AI$54,12,0)+VLOOKUP(C50,'Feuerwaffen-Ressourcen'!$A$2:$AI$54,12,0)+VLOOKUP(D50,'Feuerwaffen-Ressourcen'!$A$2:$AI$54,12,0)+VLOOKUP(J50,'Feuerwaffen-Ressourcen'!$A$2:$AI$54,12,0)</f>
        <v>2</v>
      </c>
      <c r="AR50" s="56" t="s">
        <v>7946</v>
      </c>
      <c r="AS50" s="56">
        <v>2</v>
      </c>
      <c r="AT50" s="56">
        <v>10</v>
      </c>
    </row>
    <row r="51" spans="1:46">
      <c r="A51" s="49" t="s">
        <v>8875</v>
      </c>
      <c r="B51" s="49" t="s">
        <v>1180</v>
      </c>
      <c r="C51" s="49" t="s">
        <v>8824</v>
      </c>
      <c r="D51" s="49" t="s">
        <v>8946</v>
      </c>
      <c r="E51" s="49" t="s">
        <v>8258</v>
      </c>
      <c r="F51" s="49" t="s">
        <v>8939</v>
      </c>
      <c r="G51" s="49" t="s">
        <v>8923</v>
      </c>
      <c r="H51" s="49" t="s">
        <v>8271</v>
      </c>
      <c r="I51" s="49" t="s">
        <v>7341</v>
      </c>
      <c r="J51" s="49" t="s">
        <v>7320</v>
      </c>
      <c r="K51" s="51">
        <f>VLOOKUP(B51,'Feuerwaffen-Ressourcen'!$A$2:$AI$54,11,0)+VLOOKUP(C51,'Feuerwaffen-Ressourcen'!$A$2:$AI$54,11,0)+VLOOKUP(D51,'Feuerwaffen-Ressourcen'!$A$2:$AI$54,11,0)+VLOOKUP(E51,'Feuerwaffen-Ressourcen'!$A$2:$AI$54,11,0)+VLOOKUP(G51,'Feuerwaffen-Ressourcen'!$A$2:$AI$54,11,0)</f>
        <v>2.95</v>
      </c>
      <c r="L51" s="50">
        <f>VLOOKUP(B51,'Feuerwaffen-Ressourcen'!$A$2:$AI$54,12,0)+VLOOKUP(C51,'Feuerwaffen-Ressourcen'!$A$2:$AI$54,12,0)+VLOOKUP(D51,'Feuerwaffen-Ressourcen'!$A$2:$AI$54,12,0)+VLOOKUP(J51,'Feuerwaffen-Ressourcen'!$A$2:$AI$54,12,0)</f>
        <v>6</v>
      </c>
      <c r="M51" s="50" t="str">
        <f>VLOOKUP(VLOOKUP(B51,'Feuerwaffen-Ressourcen'!$A$2:$AI$54,13,0)+VLOOKUP(C51,'Feuerwaffen-Ressourcen'!$A$2:$AI$54,13,0)+VLOOKUP(D51,'Feuerwaffen-Ressourcen'!$A$2:$AI$54,13,0),'Feuerwaffen-Ressourcen'!$AJ$3:$AK$12,2,0)</f>
        <v>W6</v>
      </c>
      <c r="N51" s="50" t="str">
        <f>VLOOKUP(VLOOKUP(B51,'Feuerwaffen-Ressourcen'!$A$2:$AI$54,14,0)+VLOOKUP(C51,'Feuerwaffen-Ressourcen'!$A$2:$AI$54,14,0)+VLOOKUP(D51,'Feuerwaffen-Ressourcen'!$A$2:$AI$54,14,0),'Feuerwaffen-Ressourcen'!$AJ$3:$AK$12,2,0)</f>
        <v>W6</v>
      </c>
      <c r="O51" s="50">
        <f>VLOOKUP(B51,'Feuerwaffen-Ressourcen'!$A$2:$AI$54,15,0)+VLOOKUP(C51,'Feuerwaffen-Ressourcen'!$A$2:$AI$54,15,0)+VLOOKUP(D51,'Feuerwaffen-Ressourcen'!$A$2:$AI$54,15,0)</f>
        <v>0</v>
      </c>
      <c r="P51" s="50">
        <f>VLOOKUP(B51,'Feuerwaffen-Ressourcen'!$A$2:$AI$54,16,0)+VLOOKUP(C51,'Feuerwaffen-Ressourcen'!$A$2:$AI$54,16,0)+VLOOKUP(D51,'Feuerwaffen-Ressourcen'!$A$2:$AI$54,16,0)+VLOOKUP(E51,'Feuerwaffen-Ressourcen'!$A$2:$AI$54,16,0)</f>
        <v>9</v>
      </c>
      <c r="Q51" s="52">
        <f>VLOOKUP(B51,'Feuerwaffen-Ressourcen'!$A$2:$AI$54,17,0)+VLOOKUP(C51,'Feuerwaffen-Ressourcen'!$A$2:$AI$54,17,0)+VLOOKUP(D51,'Feuerwaffen-Ressourcen'!$A$2:$AI$54,17,0)+VLOOKUP(E51,'Feuerwaffen-Ressourcen'!$A$2:$AI$54,17,0)</f>
        <v>12</v>
      </c>
      <c r="R51" s="50">
        <f>VLOOKUP(B51,'Feuerwaffen-Ressourcen'!$A$2:$AI$54,18,0)+VLOOKUP(C51,'Feuerwaffen-Ressourcen'!$A$2:$AI$54,18,0)+VLOOKUP(D51,'Feuerwaffen-Ressourcen'!$A$2:$AI$54,18,0)+VLOOKUP(F51,'Feuerwaffen-Ressourcen'!$A$2:$AI$54,18,0)+VLOOKUP(G51,'Feuerwaffen-Ressourcen'!$A$2:$AI$54,18,0)+VLOOKUP(I51,'Feuerwaffen-Ressourcen'!$A$2:$AI$54,18,0)+VLOOKUP(J51,'Feuerwaffen-Ressourcen'!$A$2:$AI$54,18,0)</f>
        <v>5</v>
      </c>
      <c r="S51" s="50">
        <f>VLOOKUP(B51,'Feuerwaffen-Ressourcen'!$A$2:$AI$54,19,0)+VLOOKUP(C51,'Feuerwaffen-Ressourcen'!$A$2:$AI$54,19,0)+VLOOKUP(D51,'Feuerwaffen-Ressourcen'!$A$2:$AI$54,19,0)+VLOOKUP(F51,'Feuerwaffen-Ressourcen'!$A$2:$AI$54,19,0)+VLOOKUP(G51,'Feuerwaffen-Ressourcen'!$A$2:$AI$54,19,0)+VLOOKUP(I51,'Feuerwaffen-Ressourcen'!$A$2:$AI$54,19,0)+VLOOKUP(J51,'Feuerwaffen-Ressourcen'!$A$2:$AI$54,19,0)</f>
        <v>-3</v>
      </c>
      <c r="T51" s="50">
        <f>VLOOKUP(B51,'Feuerwaffen-Ressourcen'!$A$2:$AI$54,20,0)+VLOOKUP(C51,'Feuerwaffen-Ressourcen'!$A$2:$AI$54,20,0)+VLOOKUP(D51,'Feuerwaffen-Ressourcen'!$A$2:$AI$54,20,0)+VLOOKUP(F51,'Feuerwaffen-Ressourcen'!$A$2:$AI$54,20,0)+VLOOKUP(G51,'Feuerwaffen-Ressourcen'!$A$2:$AI$54,20,0)+VLOOKUP(I51,'Feuerwaffen-Ressourcen'!$A$2:$AI$54,20,0)+VLOOKUP(J51,'Feuerwaffen-Ressourcen'!$A$2:$AI$54,20,0)</f>
        <v>-13</v>
      </c>
      <c r="U51" s="50">
        <f>VLOOKUP(B51,'Feuerwaffen-Ressourcen'!$A$2:$AI$54,21,0)+VLOOKUP(C51,'Feuerwaffen-Ressourcen'!$A$2:$AI$54,21,0)+VLOOKUP(D51,'Feuerwaffen-Ressourcen'!$A$2:$AI$54,21,0)+VLOOKUP(F51,'Feuerwaffen-Ressourcen'!$A$2:$AI$54,21,0)+VLOOKUP(G51,'Feuerwaffen-Ressourcen'!$A$2:$AI$54,21,0)+VLOOKUP(I51,'Feuerwaffen-Ressourcen'!$A$2:$AI$54,21,0)+VLOOKUP(J51,'Feuerwaffen-Ressourcen'!$A$2:$AI$54,21,0)</f>
        <v>-26</v>
      </c>
      <c r="V51" s="50">
        <f>VLOOKUP(B51,'Feuerwaffen-Ressourcen'!$A$2:$AI$54,22,0)+VLOOKUP(C51,'Feuerwaffen-Ressourcen'!$A$2:$AI$54,22,0)+VLOOKUP(D51,'Feuerwaffen-Ressourcen'!$A$2:$AI$54,22,0)+VLOOKUP(F51,'Feuerwaffen-Ressourcen'!$A$2:$AI$54,22,0)+VLOOKUP(G51,'Feuerwaffen-Ressourcen'!$A$2:$AI$54,22,0)+VLOOKUP(I51,'Feuerwaffen-Ressourcen'!$A$2:$AI$54,22,0)+VLOOKUP(J51,'Feuerwaffen-Ressourcen'!$A$2:$AI$54,22,0)</f>
        <v>-40</v>
      </c>
      <c r="W51" s="50">
        <f>VLOOKUP(B51,'Feuerwaffen-Ressourcen'!$A$2:$AI$54,23,0)+VLOOKUP(C51,'Feuerwaffen-Ressourcen'!$A$2:$AI$54,23,0)+VLOOKUP(D51,'Feuerwaffen-Ressourcen'!$A$2:$AI$54,23,0)+VLOOKUP(F51,'Feuerwaffen-Ressourcen'!$A$2:$AI$54,23,0)+VLOOKUP(G51,'Feuerwaffen-Ressourcen'!$A$2:$AI$54,23,0)+VLOOKUP(I51,'Feuerwaffen-Ressourcen'!$A$2:$AI$54,23,0)+VLOOKUP(J51,'Feuerwaffen-Ressourcen'!$A$2:$AI$54,23,0)</f>
        <v>-56</v>
      </c>
      <c r="X51" s="50">
        <f>VLOOKUP(B51,'Feuerwaffen-Ressourcen'!$A$2:$AI$54,24,0)+VLOOKUP(C51,'Feuerwaffen-Ressourcen'!$A$2:$AI$54,24,0)+VLOOKUP(D51,'Feuerwaffen-Ressourcen'!$A$2:$AI$54,24,0)+VLOOKUP(G51,'Feuerwaffen-Ressourcen'!$A$2:$AI$54,24,0)</f>
        <v>30</v>
      </c>
      <c r="Y51" s="50">
        <f>VLOOKUP(D51,'Feuerwaffen-Ressourcen'!$A$2:$AI$54,25,0)+VLOOKUP(E51,'Feuerwaffen-Ressourcen'!$A$2:$AI$54,25,0)+VLOOKUP(F51,'Feuerwaffen-Ressourcen'!$A$2:$AI$54,25,0)</f>
        <v>38</v>
      </c>
      <c r="Z51" s="50">
        <f>VLOOKUP(E51,'Feuerwaffen-Ressourcen'!$A$2:$AI$54,26,0)</f>
        <v>3</v>
      </c>
      <c r="AA51" s="50">
        <f>VLOOKUP(B51,'Feuerwaffen-Ressourcen'!$A$2:$AI$54,27,0)+VLOOKUP(D51,'Feuerwaffen-Ressourcen'!$A$2:$AI$54,27,0)+VLOOKUP(F51,'Feuerwaffen-Ressourcen'!$A$2:$AI$54,27,0)+VLOOKUP(I51,'Feuerwaffen-Ressourcen'!$A$2:$AI$54,27,0)</f>
        <v>4</v>
      </c>
      <c r="AB51" s="50">
        <f>VLOOKUP(B51,'Feuerwaffen-Ressourcen'!$A$2:$AI$54,28,0)+VLOOKUP(C51,'Feuerwaffen-Ressourcen'!$A$2:$AI$54,28,0)+VLOOKUP(D51,'Feuerwaffen-Ressourcen'!$A$2:$AI$54,28,0)+VLOOKUP(E51,'Feuerwaffen-Ressourcen'!$A$2:$AI$54,28,0)+VLOOKUP(F51,'Feuerwaffen-Ressourcen'!$A$2:$AI$54,28,0)+VLOOKUP(G51,'Feuerwaffen-Ressourcen'!$A$2:$AI$54,28,0)+VLOOKUP(I51,'Feuerwaffen-Ressourcen'!$A$2:$AI$54,28,0)+VLOOKUP(J51,'Feuerwaffen-Ressourcen'!$A$2:$AI$54,28,0)</f>
        <v>70</v>
      </c>
      <c r="AC51" s="53">
        <f>VLOOKUP(I51,'Feuerwaffen-Ressourcen'!$A$2:$AI$54,31,0)*AD51+AE51</f>
        <v>380.35</v>
      </c>
      <c r="AD51" s="54">
        <f>VLOOKUP(B51,'Feuerwaffen-Ressourcen'!$A$2:$AI$54,30,0)+VLOOKUP(C51,'Feuerwaffen-Ressourcen'!$A$2:$AI$54,30,0)+VLOOKUP(D51,'Feuerwaffen-Ressourcen'!$A$2:$AI$54,30,0)+VLOOKUP(F51,'Feuerwaffen-Ressourcen'!$A$2:$AI$54,30,0)+VLOOKUP(G51,'Feuerwaffen-Ressourcen'!$A$2:$AI$54,30,0)+VLOOKUP(I51,'Feuerwaffen-Ressourcen'!$A$2:$AI$54,30,0)+VLOOKUP(J51,'Feuerwaffen-Ressourcen'!$A$2:$AI$54,30,0)</f>
        <v>17</v>
      </c>
      <c r="AE51" s="53">
        <f>(VLOOKUP(C51,'Feuerwaffen-Ressourcen'!$A$2:$AI$54,32,0)+VLOOKUP(I51,'Feuerwaffen-Ressourcen'!$A$2:$AI$54,32,0))*(VLOOKUP(B51,'Feuerwaffen-Ressourcen'!$A$2:$AI$54,34,0)+VLOOKUP(C51,'Feuerwaffen-Ressourcen'!$A$2:$AI$54,34,0)+VLOOKUP(D51,'Feuerwaffen-Ressourcen'!$A$2:$AI$54,34,0)+VLOOKUP(E51,'Feuerwaffen-Ressourcen'!$A$2:$AI$54,34,0)+VLOOKUP(G51,'Feuerwaffen-Ressourcen'!$A$2:$AI$54,34,0))+VLOOKUP(B51,'Feuerwaffen-Ressourcen'!$A$2:$AI$54,35,0)+VLOOKUP(C51,'Feuerwaffen-Ressourcen'!$A$2:$AI$54,35,0)+VLOOKUP(D51,'Feuerwaffen-Ressourcen'!$A$2:$AI$54,35,0)</f>
        <v>312.35000000000002</v>
      </c>
      <c r="AF51" s="55">
        <f>VLOOKUP(AB51,'Feuerwaffen-Ressourcen'!$AO$3:$AP$9,2,1)</f>
        <v>6</v>
      </c>
      <c r="AG51" s="55">
        <v>0</v>
      </c>
      <c r="AH51" s="28" t="s">
        <v>1415</v>
      </c>
      <c r="AI51" s="28" t="s">
        <v>8926</v>
      </c>
      <c r="AJ51" s="56">
        <v>1.5</v>
      </c>
      <c r="AK51" s="56" t="s">
        <v>5497</v>
      </c>
      <c r="AL51" s="56" t="s">
        <v>7946</v>
      </c>
      <c r="AM51" s="56">
        <v>3</v>
      </c>
      <c r="AN51" s="56">
        <v>5</v>
      </c>
      <c r="AO51" s="56">
        <v>-2</v>
      </c>
      <c r="AP51" s="56">
        <v>-7</v>
      </c>
      <c r="AQ51" s="56">
        <f>VLOOKUP(B51,'Feuerwaffen-Ressourcen'!$A$2:$AI$54,12,0)+VLOOKUP(C51,'Feuerwaffen-Ressourcen'!$A$2:$AI$54,12,0)+VLOOKUP(D51,'Feuerwaffen-Ressourcen'!$A$2:$AI$54,12,0)+VLOOKUP(J51,'Feuerwaffen-Ressourcen'!$A$2:$AI$54,12,0)</f>
        <v>6</v>
      </c>
      <c r="AR51" s="56" t="s">
        <v>7946</v>
      </c>
      <c r="AS51" s="56">
        <v>2</v>
      </c>
      <c r="AT51" s="56">
        <v>10</v>
      </c>
    </row>
    <row r="52" spans="1:46">
      <c r="A52" s="49" t="s">
        <v>8876</v>
      </c>
      <c r="B52" s="49" t="s">
        <v>1180</v>
      </c>
      <c r="C52" s="49" t="s">
        <v>8824</v>
      </c>
      <c r="D52" s="49" t="s">
        <v>8925</v>
      </c>
      <c r="E52" s="49" t="s">
        <v>8258</v>
      </c>
      <c r="F52" s="49" t="s">
        <v>8939</v>
      </c>
      <c r="G52" s="49" t="s">
        <v>8923</v>
      </c>
      <c r="H52" s="49" t="s">
        <v>8271</v>
      </c>
      <c r="I52" s="49" t="s">
        <v>7341</v>
      </c>
      <c r="J52" s="49" t="s">
        <v>7320</v>
      </c>
      <c r="K52" s="51">
        <f>VLOOKUP(B52,'Feuerwaffen-Ressourcen'!$A$2:$AI$54,11,0)+VLOOKUP(C52,'Feuerwaffen-Ressourcen'!$A$2:$AI$54,11,0)+VLOOKUP(D52,'Feuerwaffen-Ressourcen'!$A$2:$AI$54,11,0)+VLOOKUP(E52,'Feuerwaffen-Ressourcen'!$A$2:$AI$54,11,0)+VLOOKUP(G52,'Feuerwaffen-Ressourcen'!$A$2:$AI$54,11,0)</f>
        <v>1.1500000000000001</v>
      </c>
      <c r="L52" s="50">
        <f>VLOOKUP(B52,'Feuerwaffen-Ressourcen'!$A$2:$AI$54,12,0)+VLOOKUP(C52,'Feuerwaffen-Ressourcen'!$A$2:$AI$54,12,0)+VLOOKUP(D52,'Feuerwaffen-Ressourcen'!$A$2:$AI$54,12,0)+VLOOKUP(J52,'Feuerwaffen-Ressourcen'!$A$2:$AI$54,12,0)</f>
        <v>4</v>
      </c>
      <c r="M52" s="50" t="str">
        <f>VLOOKUP(VLOOKUP(B52,'Feuerwaffen-Ressourcen'!$A$2:$AI$54,13,0)+VLOOKUP(C52,'Feuerwaffen-Ressourcen'!$A$2:$AI$54,13,0)+VLOOKUP(D52,'Feuerwaffen-Ressourcen'!$A$2:$AI$54,13,0),'Feuerwaffen-Ressourcen'!$AJ$3:$AK$12,2,0)</f>
        <v>W8</v>
      </c>
      <c r="N52" s="50" t="str">
        <f>VLOOKUP(VLOOKUP(B52,'Feuerwaffen-Ressourcen'!$A$2:$AI$54,14,0)+VLOOKUP(C52,'Feuerwaffen-Ressourcen'!$A$2:$AI$54,14,0)+VLOOKUP(D52,'Feuerwaffen-Ressourcen'!$A$2:$AI$54,14,0),'Feuerwaffen-Ressourcen'!$AJ$3:$AK$12,2,0)</f>
        <v>W10</v>
      </c>
      <c r="O52" s="50">
        <f>VLOOKUP(B52,'Feuerwaffen-Ressourcen'!$A$2:$AI$54,15,0)+VLOOKUP(C52,'Feuerwaffen-Ressourcen'!$A$2:$AI$54,15,0)+VLOOKUP(D52,'Feuerwaffen-Ressourcen'!$A$2:$AI$54,15,0)</f>
        <v>1</v>
      </c>
      <c r="P52" s="50">
        <f>VLOOKUP(B52,'Feuerwaffen-Ressourcen'!$A$2:$AI$54,16,0)+VLOOKUP(C52,'Feuerwaffen-Ressourcen'!$A$2:$AI$54,16,0)+VLOOKUP(D52,'Feuerwaffen-Ressourcen'!$A$2:$AI$54,16,0)+VLOOKUP(E52,'Feuerwaffen-Ressourcen'!$A$2:$AI$54,16,0)</f>
        <v>9</v>
      </c>
      <c r="Q52" s="52">
        <f>VLOOKUP(B52,'Feuerwaffen-Ressourcen'!$A$2:$AI$54,17,0)+VLOOKUP(C52,'Feuerwaffen-Ressourcen'!$A$2:$AI$54,17,0)+VLOOKUP(D52,'Feuerwaffen-Ressourcen'!$A$2:$AI$54,17,0)+VLOOKUP(E52,'Feuerwaffen-Ressourcen'!$A$2:$AI$54,17,0)</f>
        <v>13</v>
      </c>
      <c r="R52" s="50">
        <f>VLOOKUP(B52,'Feuerwaffen-Ressourcen'!$A$2:$AI$54,18,0)+VLOOKUP(C52,'Feuerwaffen-Ressourcen'!$A$2:$AI$54,18,0)+VLOOKUP(D52,'Feuerwaffen-Ressourcen'!$A$2:$AI$54,18,0)+VLOOKUP(F52,'Feuerwaffen-Ressourcen'!$A$2:$AI$54,18,0)+VLOOKUP(G52,'Feuerwaffen-Ressourcen'!$A$2:$AI$54,18,0)+VLOOKUP(I52,'Feuerwaffen-Ressourcen'!$A$2:$AI$54,18,0)+VLOOKUP(J52,'Feuerwaffen-Ressourcen'!$A$2:$AI$54,18,0)</f>
        <v>6</v>
      </c>
      <c r="S52" s="50">
        <f>VLOOKUP(B52,'Feuerwaffen-Ressourcen'!$A$2:$AI$54,19,0)+VLOOKUP(C52,'Feuerwaffen-Ressourcen'!$A$2:$AI$54,19,0)+VLOOKUP(D52,'Feuerwaffen-Ressourcen'!$A$2:$AI$54,19,0)+VLOOKUP(F52,'Feuerwaffen-Ressourcen'!$A$2:$AI$54,19,0)+VLOOKUP(G52,'Feuerwaffen-Ressourcen'!$A$2:$AI$54,19,0)+VLOOKUP(I52,'Feuerwaffen-Ressourcen'!$A$2:$AI$54,19,0)+VLOOKUP(J52,'Feuerwaffen-Ressourcen'!$A$2:$AI$54,19,0)</f>
        <v>1</v>
      </c>
      <c r="T52" s="50">
        <f>VLOOKUP(B52,'Feuerwaffen-Ressourcen'!$A$2:$AI$54,20,0)+VLOOKUP(C52,'Feuerwaffen-Ressourcen'!$A$2:$AI$54,20,0)+VLOOKUP(D52,'Feuerwaffen-Ressourcen'!$A$2:$AI$54,20,0)+VLOOKUP(F52,'Feuerwaffen-Ressourcen'!$A$2:$AI$54,20,0)+VLOOKUP(G52,'Feuerwaffen-Ressourcen'!$A$2:$AI$54,20,0)+VLOOKUP(I52,'Feuerwaffen-Ressourcen'!$A$2:$AI$54,20,0)+VLOOKUP(J52,'Feuerwaffen-Ressourcen'!$A$2:$AI$54,20,0)</f>
        <v>-10</v>
      </c>
      <c r="U52" s="50">
        <f>VLOOKUP(B52,'Feuerwaffen-Ressourcen'!$A$2:$AI$54,21,0)+VLOOKUP(C52,'Feuerwaffen-Ressourcen'!$A$2:$AI$54,21,0)+VLOOKUP(D52,'Feuerwaffen-Ressourcen'!$A$2:$AI$54,21,0)+VLOOKUP(F52,'Feuerwaffen-Ressourcen'!$A$2:$AI$54,21,0)+VLOOKUP(G52,'Feuerwaffen-Ressourcen'!$A$2:$AI$54,21,0)+VLOOKUP(I52,'Feuerwaffen-Ressourcen'!$A$2:$AI$54,21,0)+VLOOKUP(J52,'Feuerwaffen-Ressourcen'!$A$2:$AI$54,21,0)</f>
        <v>-23</v>
      </c>
      <c r="V52" s="50">
        <f>VLOOKUP(B52,'Feuerwaffen-Ressourcen'!$A$2:$AI$54,22,0)+VLOOKUP(C52,'Feuerwaffen-Ressourcen'!$A$2:$AI$54,22,0)+VLOOKUP(D52,'Feuerwaffen-Ressourcen'!$A$2:$AI$54,22,0)+VLOOKUP(F52,'Feuerwaffen-Ressourcen'!$A$2:$AI$54,22,0)+VLOOKUP(G52,'Feuerwaffen-Ressourcen'!$A$2:$AI$54,22,0)+VLOOKUP(I52,'Feuerwaffen-Ressourcen'!$A$2:$AI$54,22,0)+VLOOKUP(J52,'Feuerwaffen-Ressourcen'!$A$2:$AI$54,22,0)</f>
        <v>-37</v>
      </c>
      <c r="W52" s="50">
        <f>VLOOKUP(B52,'Feuerwaffen-Ressourcen'!$A$2:$AI$54,23,0)+VLOOKUP(C52,'Feuerwaffen-Ressourcen'!$A$2:$AI$54,23,0)+VLOOKUP(D52,'Feuerwaffen-Ressourcen'!$A$2:$AI$54,23,0)+VLOOKUP(F52,'Feuerwaffen-Ressourcen'!$A$2:$AI$54,23,0)+VLOOKUP(G52,'Feuerwaffen-Ressourcen'!$A$2:$AI$54,23,0)+VLOOKUP(I52,'Feuerwaffen-Ressourcen'!$A$2:$AI$54,23,0)+VLOOKUP(J52,'Feuerwaffen-Ressourcen'!$A$2:$AI$54,23,0)</f>
        <v>-53</v>
      </c>
      <c r="X52" s="50">
        <f>VLOOKUP(B52,'Feuerwaffen-Ressourcen'!$A$2:$AI$54,24,0)+VLOOKUP(C52,'Feuerwaffen-Ressourcen'!$A$2:$AI$54,24,0)+VLOOKUP(D52,'Feuerwaffen-Ressourcen'!$A$2:$AI$54,24,0)+VLOOKUP(G52,'Feuerwaffen-Ressourcen'!$A$2:$AI$54,24,0)</f>
        <v>40</v>
      </c>
      <c r="Y52" s="50">
        <f>VLOOKUP(D52,'Feuerwaffen-Ressourcen'!$A$2:$AI$54,25,0)+VLOOKUP(E52,'Feuerwaffen-Ressourcen'!$A$2:$AI$54,25,0)+VLOOKUP(F52,'Feuerwaffen-Ressourcen'!$A$2:$AI$54,25,0)</f>
        <v>33</v>
      </c>
      <c r="Z52" s="50">
        <f>VLOOKUP(E52,'Feuerwaffen-Ressourcen'!$A$2:$AI$54,26,0)</f>
        <v>3</v>
      </c>
      <c r="AA52" s="50">
        <f>VLOOKUP(B52,'Feuerwaffen-Ressourcen'!$A$2:$AI$54,27,0)+VLOOKUP(D52,'Feuerwaffen-Ressourcen'!$A$2:$AI$54,27,0)+VLOOKUP(F52,'Feuerwaffen-Ressourcen'!$A$2:$AI$54,27,0)+VLOOKUP(I52,'Feuerwaffen-Ressourcen'!$A$2:$AI$54,27,0)</f>
        <v>4</v>
      </c>
      <c r="AB52" s="50">
        <f>VLOOKUP(B52,'Feuerwaffen-Ressourcen'!$A$2:$AI$54,28,0)+VLOOKUP(C52,'Feuerwaffen-Ressourcen'!$A$2:$AI$54,28,0)+VLOOKUP(D52,'Feuerwaffen-Ressourcen'!$A$2:$AI$54,28,0)+VLOOKUP(E52,'Feuerwaffen-Ressourcen'!$A$2:$AI$54,28,0)+VLOOKUP(F52,'Feuerwaffen-Ressourcen'!$A$2:$AI$54,28,0)+VLOOKUP(G52,'Feuerwaffen-Ressourcen'!$A$2:$AI$54,28,0)+VLOOKUP(I52,'Feuerwaffen-Ressourcen'!$A$2:$AI$54,28,0)+VLOOKUP(J52,'Feuerwaffen-Ressourcen'!$A$2:$AI$54,28,0)</f>
        <v>95</v>
      </c>
      <c r="AC52" s="53">
        <f>VLOOKUP(I52,'Feuerwaffen-Ressourcen'!$A$2:$AI$54,31,0)*AD52+AE52</f>
        <v>142.35</v>
      </c>
      <c r="AD52" s="54">
        <f>VLOOKUP(B52,'Feuerwaffen-Ressourcen'!$A$2:$AI$54,30,0)+VLOOKUP(C52,'Feuerwaffen-Ressourcen'!$A$2:$AI$54,30,0)+VLOOKUP(D52,'Feuerwaffen-Ressourcen'!$A$2:$AI$54,30,0)+VLOOKUP(F52,'Feuerwaffen-Ressourcen'!$A$2:$AI$54,30,0)+VLOOKUP(G52,'Feuerwaffen-Ressourcen'!$A$2:$AI$54,30,0)+VLOOKUP(I52,'Feuerwaffen-Ressourcen'!$A$2:$AI$54,30,0)+VLOOKUP(J52,'Feuerwaffen-Ressourcen'!$A$2:$AI$54,30,0)</f>
        <v>11.5</v>
      </c>
      <c r="AE52" s="53">
        <f>(VLOOKUP(C52,'Feuerwaffen-Ressourcen'!$A$2:$AI$54,32,0)+VLOOKUP(I52,'Feuerwaffen-Ressourcen'!$A$2:$AI$54,32,0))*(VLOOKUP(B52,'Feuerwaffen-Ressourcen'!$A$2:$AI$54,34,0)+VLOOKUP(C52,'Feuerwaffen-Ressourcen'!$A$2:$AI$54,34,0)+VLOOKUP(D52,'Feuerwaffen-Ressourcen'!$A$2:$AI$54,34,0)+VLOOKUP(E52,'Feuerwaffen-Ressourcen'!$A$2:$AI$54,34,0)+VLOOKUP(G52,'Feuerwaffen-Ressourcen'!$A$2:$AI$54,34,0))+VLOOKUP(B52,'Feuerwaffen-Ressourcen'!$A$2:$AI$54,35,0)+VLOOKUP(C52,'Feuerwaffen-Ressourcen'!$A$2:$AI$54,35,0)+VLOOKUP(D52,'Feuerwaffen-Ressourcen'!$A$2:$AI$54,35,0)</f>
        <v>96.35</v>
      </c>
      <c r="AF52" s="55">
        <f>VLOOKUP(AB52,'Feuerwaffen-Ressourcen'!$AO$3:$AP$9,2,1)</f>
        <v>5</v>
      </c>
      <c r="AG52" s="55">
        <v>0</v>
      </c>
      <c r="AH52" s="28" t="s">
        <v>1415</v>
      </c>
      <c r="AI52" s="28" t="s">
        <v>8926</v>
      </c>
      <c r="AJ52" s="56">
        <v>1.5</v>
      </c>
      <c r="AK52" s="56" t="s">
        <v>5497</v>
      </c>
      <c r="AL52" s="56" t="s">
        <v>7946</v>
      </c>
      <c r="AM52" s="56">
        <v>3</v>
      </c>
      <c r="AN52" s="56">
        <v>5</v>
      </c>
      <c r="AO52" s="56">
        <v>-2</v>
      </c>
      <c r="AP52" s="56">
        <v>-7</v>
      </c>
      <c r="AQ52" s="56">
        <f>VLOOKUP(B52,'Feuerwaffen-Ressourcen'!$A$2:$AI$54,12,0)+VLOOKUP(C52,'Feuerwaffen-Ressourcen'!$A$2:$AI$54,12,0)+VLOOKUP(D52,'Feuerwaffen-Ressourcen'!$A$2:$AI$54,12,0)+VLOOKUP(J52,'Feuerwaffen-Ressourcen'!$A$2:$AI$54,12,0)</f>
        <v>4</v>
      </c>
      <c r="AR52" s="56" t="s">
        <v>7946</v>
      </c>
      <c r="AS52" s="56">
        <v>2</v>
      </c>
      <c r="AT52" s="56">
        <v>10</v>
      </c>
    </row>
    <row r="53" spans="1:46">
      <c r="A53" s="49" t="s">
        <v>8877</v>
      </c>
      <c r="B53" s="49" t="s">
        <v>1180</v>
      </c>
      <c r="C53" s="49" t="s">
        <v>8824</v>
      </c>
      <c r="D53" s="49" t="s">
        <v>8927</v>
      </c>
      <c r="E53" s="49" t="s">
        <v>8258</v>
      </c>
      <c r="F53" s="49" t="s">
        <v>8928</v>
      </c>
      <c r="G53" s="49" t="s">
        <v>8923</v>
      </c>
      <c r="H53" s="49" t="s">
        <v>8271</v>
      </c>
      <c r="I53" s="49" t="s">
        <v>7341</v>
      </c>
      <c r="J53" s="49" t="s">
        <v>7320</v>
      </c>
      <c r="K53" s="51">
        <f>VLOOKUP(B53,'Feuerwaffen-Ressourcen'!$A$2:$AI$54,11,0)+VLOOKUP(C53,'Feuerwaffen-Ressourcen'!$A$2:$AI$54,11,0)+VLOOKUP(D53,'Feuerwaffen-Ressourcen'!$A$2:$AI$54,11,0)+VLOOKUP(E53,'Feuerwaffen-Ressourcen'!$A$2:$AI$54,11,0)+VLOOKUP(G53,'Feuerwaffen-Ressourcen'!$A$2:$AI$54,11,0)</f>
        <v>0.85000000000000009</v>
      </c>
      <c r="L53" s="50">
        <f>VLOOKUP(B53,'Feuerwaffen-Ressourcen'!$A$2:$AI$54,12,0)+VLOOKUP(C53,'Feuerwaffen-Ressourcen'!$A$2:$AI$54,12,0)+VLOOKUP(D53,'Feuerwaffen-Ressourcen'!$A$2:$AI$54,12,0)+VLOOKUP(J53,'Feuerwaffen-Ressourcen'!$A$2:$AI$54,12,0)</f>
        <v>4</v>
      </c>
      <c r="M53" s="50" t="str">
        <f>VLOOKUP(VLOOKUP(B53,'Feuerwaffen-Ressourcen'!$A$2:$AI$54,13,0)+VLOOKUP(C53,'Feuerwaffen-Ressourcen'!$A$2:$AI$54,13,0)+VLOOKUP(D53,'Feuerwaffen-Ressourcen'!$A$2:$AI$54,13,0),'Feuerwaffen-Ressourcen'!$AJ$3:$AK$12,2,0)</f>
        <v>W8</v>
      </c>
      <c r="N53" s="50" t="str">
        <f>VLOOKUP(VLOOKUP(B53,'Feuerwaffen-Ressourcen'!$A$2:$AI$54,14,0)+VLOOKUP(C53,'Feuerwaffen-Ressourcen'!$A$2:$AI$54,14,0)+VLOOKUP(D53,'Feuerwaffen-Ressourcen'!$A$2:$AI$54,14,0),'Feuerwaffen-Ressourcen'!$AJ$3:$AK$12,2,0)</f>
        <v>W8</v>
      </c>
      <c r="O53" s="50">
        <f>VLOOKUP(B53,'Feuerwaffen-Ressourcen'!$A$2:$AI$54,15,0)+VLOOKUP(C53,'Feuerwaffen-Ressourcen'!$A$2:$AI$54,15,0)+VLOOKUP(D53,'Feuerwaffen-Ressourcen'!$A$2:$AI$54,15,0)</f>
        <v>0</v>
      </c>
      <c r="P53" s="50">
        <f>VLOOKUP(B53,'Feuerwaffen-Ressourcen'!$A$2:$AI$54,16,0)+VLOOKUP(C53,'Feuerwaffen-Ressourcen'!$A$2:$AI$54,16,0)+VLOOKUP(D53,'Feuerwaffen-Ressourcen'!$A$2:$AI$54,16,0)+VLOOKUP(E53,'Feuerwaffen-Ressourcen'!$A$2:$AI$54,16,0)</f>
        <v>9</v>
      </c>
      <c r="Q53" s="52">
        <f>VLOOKUP(B53,'Feuerwaffen-Ressourcen'!$A$2:$AI$54,17,0)+VLOOKUP(C53,'Feuerwaffen-Ressourcen'!$A$2:$AI$54,17,0)+VLOOKUP(D53,'Feuerwaffen-Ressourcen'!$A$2:$AI$54,17,0)+VLOOKUP(E53,'Feuerwaffen-Ressourcen'!$A$2:$AI$54,17,0)</f>
        <v>13</v>
      </c>
      <c r="R53" s="50">
        <f>VLOOKUP(B53,'Feuerwaffen-Ressourcen'!$A$2:$AI$54,18,0)+VLOOKUP(C53,'Feuerwaffen-Ressourcen'!$A$2:$AI$54,18,0)+VLOOKUP(D53,'Feuerwaffen-Ressourcen'!$A$2:$AI$54,18,0)+VLOOKUP(F53,'Feuerwaffen-Ressourcen'!$A$2:$AI$54,18,0)+VLOOKUP(G53,'Feuerwaffen-Ressourcen'!$A$2:$AI$54,18,0)+VLOOKUP(I53,'Feuerwaffen-Ressourcen'!$A$2:$AI$54,18,0)+VLOOKUP(J53,'Feuerwaffen-Ressourcen'!$A$2:$AI$54,18,0)</f>
        <v>5</v>
      </c>
      <c r="S53" s="50">
        <f>VLOOKUP(B53,'Feuerwaffen-Ressourcen'!$A$2:$AI$54,19,0)+VLOOKUP(C53,'Feuerwaffen-Ressourcen'!$A$2:$AI$54,19,0)+VLOOKUP(D53,'Feuerwaffen-Ressourcen'!$A$2:$AI$54,19,0)+VLOOKUP(F53,'Feuerwaffen-Ressourcen'!$A$2:$AI$54,19,0)+VLOOKUP(G53,'Feuerwaffen-Ressourcen'!$A$2:$AI$54,19,0)+VLOOKUP(I53,'Feuerwaffen-Ressourcen'!$A$2:$AI$54,19,0)+VLOOKUP(J53,'Feuerwaffen-Ressourcen'!$A$2:$AI$54,19,0)</f>
        <v>-3</v>
      </c>
      <c r="T53" s="50">
        <f>VLOOKUP(B53,'Feuerwaffen-Ressourcen'!$A$2:$AI$54,20,0)+VLOOKUP(C53,'Feuerwaffen-Ressourcen'!$A$2:$AI$54,20,0)+VLOOKUP(D53,'Feuerwaffen-Ressourcen'!$A$2:$AI$54,20,0)+VLOOKUP(F53,'Feuerwaffen-Ressourcen'!$A$2:$AI$54,20,0)+VLOOKUP(G53,'Feuerwaffen-Ressourcen'!$A$2:$AI$54,20,0)+VLOOKUP(I53,'Feuerwaffen-Ressourcen'!$A$2:$AI$54,20,0)+VLOOKUP(J53,'Feuerwaffen-Ressourcen'!$A$2:$AI$54,20,0)</f>
        <v>-13</v>
      </c>
      <c r="U53" s="50">
        <f>VLOOKUP(B53,'Feuerwaffen-Ressourcen'!$A$2:$AI$54,21,0)+VLOOKUP(C53,'Feuerwaffen-Ressourcen'!$A$2:$AI$54,21,0)+VLOOKUP(D53,'Feuerwaffen-Ressourcen'!$A$2:$AI$54,21,0)+VLOOKUP(F53,'Feuerwaffen-Ressourcen'!$A$2:$AI$54,21,0)+VLOOKUP(G53,'Feuerwaffen-Ressourcen'!$A$2:$AI$54,21,0)+VLOOKUP(I53,'Feuerwaffen-Ressourcen'!$A$2:$AI$54,21,0)+VLOOKUP(J53,'Feuerwaffen-Ressourcen'!$A$2:$AI$54,21,0)</f>
        <v>-26</v>
      </c>
      <c r="V53" s="50">
        <f>VLOOKUP(B53,'Feuerwaffen-Ressourcen'!$A$2:$AI$54,22,0)+VLOOKUP(C53,'Feuerwaffen-Ressourcen'!$A$2:$AI$54,22,0)+VLOOKUP(D53,'Feuerwaffen-Ressourcen'!$A$2:$AI$54,22,0)+VLOOKUP(F53,'Feuerwaffen-Ressourcen'!$A$2:$AI$54,22,0)+VLOOKUP(G53,'Feuerwaffen-Ressourcen'!$A$2:$AI$54,22,0)+VLOOKUP(I53,'Feuerwaffen-Ressourcen'!$A$2:$AI$54,22,0)+VLOOKUP(J53,'Feuerwaffen-Ressourcen'!$A$2:$AI$54,22,0)</f>
        <v>-40</v>
      </c>
      <c r="W53" s="50">
        <f>VLOOKUP(B53,'Feuerwaffen-Ressourcen'!$A$2:$AI$54,23,0)+VLOOKUP(C53,'Feuerwaffen-Ressourcen'!$A$2:$AI$54,23,0)+VLOOKUP(D53,'Feuerwaffen-Ressourcen'!$A$2:$AI$54,23,0)+VLOOKUP(F53,'Feuerwaffen-Ressourcen'!$A$2:$AI$54,23,0)+VLOOKUP(G53,'Feuerwaffen-Ressourcen'!$A$2:$AI$54,23,0)+VLOOKUP(I53,'Feuerwaffen-Ressourcen'!$A$2:$AI$54,23,0)+VLOOKUP(J53,'Feuerwaffen-Ressourcen'!$A$2:$AI$54,23,0)</f>
        <v>-56</v>
      </c>
      <c r="X53" s="50">
        <f>VLOOKUP(B53,'Feuerwaffen-Ressourcen'!$A$2:$AI$54,24,0)+VLOOKUP(C53,'Feuerwaffen-Ressourcen'!$A$2:$AI$54,24,0)+VLOOKUP(D53,'Feuerwaffen-Ressourcen'!$A$2:$AI$54,24,0)+VLOOKUP(G53,'Feuerwaffen-Ressourcen'!$A$2:$AI$54,24,0)</f>
        <v>30</v>
      </c>
      <c r="Y53" s="50">
        <f>VLOOKUP(D53,'Feuerwaffen-Ressourcen'!$A$2:$AI$54,25,0)+VLOOKUP(E53,'Feuerwaffen-Ressourcen'!$A$2:$AI$54,25,0)+VLOOKUP(F53,'Feuerwaffen-Ressourcen'!$A$2:$AI$54,25,0)</f>
        <v>30</v>
      </c>
      <c r="Z53" s="50">
        <f>VLOOKUP(E53,'Feuerwaffen-Ressourcen'!$A$2:$AI$54,26,0)</f>
        <v>3</v>
      </c>
      <c r="AA53" s="50">
        <f>VLOOKUP(B53,'Feuerwaffen-Ressourcen'!$A$2:$AI$54,27,0)+VLOOKUP(D53,'Feuerwaffen-Ressourcen'!$A$2:$AI$54,27,0)+VLOOKUP(F53,'Feuerwaffen-Ressourcen'!$A$2:$AI$54,27,0)+VLOOKUP(I53,'Feuerwaffen-Ressourcen'!$A$2:$AI$54,27,0)</f>
        <v>4</v>
      </c>
      <c r="AB53" s="50">
        <f>VLOOKUP(B53,'Feuerwaffen-Ressourcen'!$A$2:$AI$54,28,0)+VLOOKUP(C53,'Feuerwaffen-Ressourcen'!$A$2:$AI$54,28,0)+VLOOKUP(D53,'Feuerwaffen-Ressourcen'!$A$2:$AI$54,28,0)+VLOOKUP(E53,'Feuerwaffen-Ressourcen'!$A$2:$AI$54,28,0)+VLOOKUP(F53,'Feuerwaffen-Ressourcen'!$A$2:$AI$54,28,0)+VLOOKUP(G53,'Feuerwaffen-Ressourcen'!$A$2:$AI$54,28,0)+VLOOKUP(I53,'Feuerwaffen-Ressourcen'!$A$2:$AI$54,28,0)+VLOOKUP(J53,'Feuerwaffen-Ressourcen'!$A$2:$AI$54,28,0)</f>
        <v>140</v>
      </c>
      <c r="AC53" s="53">
        <f>VLOOKUP(I53,'Feuerwaffen-Ressourcen'!$A$2:$AI$54,31,0)*AD53+AE53</f>
        <v>64.349999999999994</v>
      </c>
      <c r="AD53" s="54">
        <f>VLOOKUP(B53,'Feuerwaffen-Ressourcen'!$A$2:$AI$54,30,0)+VLOOKUP(C53,'Feuerwaffen-Ressourcen'!$A$2:$AI$54,30,0)+VLOOKUP(D53,'Feuerwaffen-Ressourcen'!$A$2:$AI$54,30,0)+VLOOKUP(F53,'Feuerwaffen-Ressourcen'!$A$2:$AI$54,30,0)+VLOOKUP(G53,'Feuerwaffen-Ressourcen'!$A$2:$AI$54,30,0)+VLOOKUP(I53,'Feuerwaffen-Ressourcen'!$A$2:$AI$54,30,0)+VLOOKUP(J53,'Feuerwaffen-Ressourcen'!$A$2:$AI$54,30,0)</f>
        <v>1</v>
      </c>
      <c r="AE53" s="53">
        <f>(VLOOKUP(C53,'Feuerwaffen-Ressourcen'!$A$2:$AI$54,32,0)+VLOOKUP(I53,'Feuerwaffen-Ressourcen'!$A$2:$AI$54,32,0))*(VLOOKUP(B53,'Feuerwaffen-Ressourcen'!$A$2:$AI$54,34,0)+VLOOKUP(C53,'Feuerwaffen-Ressourcen'!$A$2:$AI$54,34,0)+VLOOKUP(D53,'Feuerwaffen-Ressourcen'!$A$2:$AI$54,34,0)+VLOOKUP(E53,'Feuerwaffen-Ressourcen'!$A$2:$AI$54,34,0)+VLOOKUP(G53,'Feuerwaffen-Ressourcen'!$A$2:$AI$54,34,0))+VLOOKUP(B53,'Feuerwaffen-Ressourcen'!$A$2:$AI$54,35,0)+VLOOKUP(C53,'Feuerwaffen-Ressourcen'!$A$2:$AI$54,35,0)+VLOOKUP(D53,'Feuerwaffen-Ressourcen'!$A$2:$AI$54,35,0)</f>
        <v>60.349999999999994</v>
      </c>
      <c r="AF53" s="55">
        <f>VLOOKUP(AB53,'Feuerwaffen-Ressourcen'!$AO$3:$AP$9,2,1)</f>
        <v>3</v>
      </c>
      <c r="AG53" s="55">
        <v>0</v>
      </c>
      <c r="AH53" s="28" t="s">
        <v>1415</v>
      </c>
      <c r="AI53" s="28" t="s">
        <v>8926</v>
      </c>
      <c r="AJ53" s="56">
        <v>1.5</v>
      </c>
      <c r="AK53" s="56" t="s">
        <v>5497</v>
      </c>
      <c r="AL53" s="56" t="s">
        <v>7946</v>
      </c>
      <c r="AM53" s="56">
        <v>3</v>
      </c>
      <c r="AN53" s="56">
        <v>5</v>
      </c>
      <c r="AO53" s="56">
        <v>-2</v>
      </c>
      <c r="AP53" s="56">
        <v>-7</v>
      </c>
      <c r="AQ53" s="56">
        <f>VLOOKUP(B53,'Feuerwaffen-Ressourcen'!$A$2:$AI$54,12,0)+VLOOKUP(C53,'Feuerwaffen-Ressourcen'!$A$2:$AI$54,12,0)+VLOOKUP(D53,'Feuerwaffen-Ressourcen'!$A$2:$AI$54,12,0)+VLOOKUP(J53,'Feuerwaffen-Ressourcen'!$A$2:$AI$54,12,0)</f>
        <v>4</v>
      </c>
      <c r="AR53" s="56" t="s">
        <v>7946</v>
      </c>
      <c r="AS53" s="56">
        <v>2</v>
      </c>
      <c r="AT53" s="56">
        <v>10</v>
      </c>
    </row>
    <row r="54" spans="1:46">
      <c r="A54" s="49" t="s">
        <v>8878</v>
      </c>
      <c r="B54" s="49" t="s">
        <v>1180</v>
      </c>
      <c r="C54" s="49" t="s">
        <v>8824</v>
      </c>
      <c r="D54" s="49" t="s">
        <v>8927</v>
      </c>
      <c r="E54" s="49" t="s">
        <v>8258</v>
      </c>
      <c r="F54" s="49" t="s">
        <v>8936</v>
      </c>
      <c r="G54" s="49" t="s">
        <v>8932</v>
      </c>
      <c r="H54" s="49" t="s">
        <v>8271</v>
      </c>
      <c r="I54" s="49" t="s">
        <v>7341</v>
      </c>
      <c r="J54" s="49" t="s">
        <v>7320</v>
      </c>
      <c r="K54" s="51">
        <f>VLOOKUP(B54,'Feuerwaffen-Ressourcen'!$A$2:$AI$54,11,0)+VLOOKUP(C54,'Feuerwaffen-Ressourcen'!$A$2:$AI$54,11,0)+VLOOKUP(D54,'Feuerwaffen-Ressourcen'!$A$2:$AI$54,11,0)+VLOOKUP(E54,'Feuerwaffen-Ressourcen'!$A$2:$AI$54,11,0)+VLOOKUP(G54,'Feuerwaffen-Ressourcen'!$A$2:$AI$54,11,0)</f>
        <v>1</v>
      </c>
      <c r="L54" s="50">
        <f>VLOOKUP(B54,'Feuerwaffen-Ressourcen'!$A$2:$AI$54,12,0)+VLOOKUP(C54,'Feuerwaffen-Ressourcen'!$A$2:$AI$54,12,0)+VLOOKUP(D54,'Feuerwaffen-Ressourcen'!$A$2:$AI$54,12,0)+VLOOKUP(J54,'Feuerwaffen-Ressourcen'!$A$2:$AI$54,12,0)</f>
        <v>4</v>
      </c>
      <c r="M54" s="50" t="str">
        <f>VLOOKUP(VLOOKUP(B54,'Feuerwaffen-Ressourcen'!$A$2:$AI$54,13,0)+VLOOKUP(C54,'Feuerwaffen-Ressourcen'!$A$2:$AI$54,13,0)+VLOOKUP(D54,'Feuerwaffen-Ressourcen'!$A$2:$AI$54,13,0),'Feuerwaffen-Ressourcen'!$AJ$3:$AK$12,2,0)</f>
        <v>W8</v>
      </c>
      <c r="N54" s="50" t="str">
        <f>VLOOKUP(VLOOKUP(B54,'Feuerwaffen-Ressourcen'!$A$2:$AI$54,14,0)+VLOOKUP(C54,'Feuerwaffen-Ressourcen'!$A$2:$AI$54,14,0)+VLOOKUP(D54,'Feuerwaffen-Ressourcen'!$A$2:$AI$54,14,0),'Feuerwaffen-Ressourcen'!$AJ$3:$AK$12,2,0)</f>
        <v>W8</v>
      </c>
      <c r="O54" s="50">
        <f>VLOOKUP(B54,'Feuerwaffen-Ressourcen'!$A$2:$AI$54,15,0)+VLOOKUP(C54,'Feuerwaffen-Ressourcen'!$A$2:$AI$54,15,0)+VLOOKUP(D54,'Feuerwaffen-Ressourcen'!$A$2:$AI$54,15,0)</f>
        <v>0</v>
      </c>
      <c r="P54" s="50">
        <f>VLOOKUP(B54,'Feuerwaffen-Ressourcen'!$A$2:$AI$54,16,0)+VLOOKUP(C54,'Feuerwaffen-Ressourcen'!$A$2:$AI$54,16,0)+VLOOKUP(D54,'Feuerwaffen-Ressourcen'!$A$2:$AI$54,16,0)+VLOOKUP(E54,'Feuerwaffen-Ressourcen'!$A$2:$AI$54,16,0)</f>
        <v>9</v>
      </c>
      <c r="Q54" s="52">
        <f>VLOOKUP(B54,'Feuerwaffen-Ressourcen'!$A$2:$AI$54,17,0)+VLOOKUP(C54,'Feuerwaffen-Ressourcen'!$A$2:$AI$54,17,0)+VLOOKUP(D54,'Feuerwaffen-Ressourcen'!$A$2:$AI$54,17,0)+VLOOKUP(E54,'Feuerwaffen-Ressourcen'!$A$2:$AI$54,17,0)</f>
        <v>13</v>
      </c>
      <c r="R54" s="50">
        <f>VLOOKUP(B54,'Feuerwaffen-Ressourcen'!$A$2:$AI$54,18,0)+VLOOKUP(C54,'Feuerwaffen-Ressourcen'!$A$2:$AI$54,18,0)+VLOOKUP(D54,'Feuerwaffen-Ressourcen'!$A$2:$AI$54,18,0)+VLOOKUP(F54,'Feuerwaffen-Ressourcen'!$A$2:$AI$54,18,0)+VLOOKUP(G54,'Feuerwaffen-Ressourcen'!$A$2:$AI$54,18,0)+VLOOKUP(I54,'Feuerwaffen-Ressourcen'!$A$2:$AI$54,18,0)+VLOOKUP(J54,'Feuerwaffen-Ressourcen'!$A$2:$AI$54,18,0)</f>
        <v>8</v>
      </c>
      <c r="S54" s="50">
        <f>VLOOKUP(B54,'Feuerwaffen-Ressourcen'!$A$2:$AI$54,19,0)+VLOOKUP(C54,'Feuerwaffen-Ressourcen'!$A$2:$AI$54,19,0)+VLOOKUP(D54,'Feuerwaffen-Ressourcen'!$A$2:$AI$54,19,0)+VLOOKUP(F54,'Feuerwaffen-Ressourcen'!$A$2:$AI$54,19,0)+VLOOKUP(G54,'Feuerwaffen-Ressourcen'!$A$2:$AI$54,19,0)+VLOOKUP(I54,'Feuerwaffen-Ressourcen'!$A$2:$AI$54,19,0)+VLOOKUP(J54,'Feuerwaffen-Ressourcen'!$A$2:$AI$54,19,0)</f>
        <v>1</v>
      </c>
      <c r="T54" s="50">
        <f>VLOOKUP(B54,'Feuerwaffen-Ressourcen'!$A$2:$AI$54,20,0)+VLOOKUP(C54,'Feuerwaffen-Ressourcen'!$A$2:$AI$54,20,0)+VLOOKUP(D54,'Feuerwaffen-Ressourcen'!$A$2:$AI$54,20,0)+VLOOKUP(F54,'Feuerwaffen-Ressourcen'!$A$2:$AI$54,20,0)+VLOOKUP(G54,'Feuerwaffen-Ressourcen'!$A$2:$AI$54,20,0)+VLOOKUP(I54,'Feuerwaffen-Ressourcen'!$A$2:$AI$54,20,0)+VLOOKUP(J54,'Feuerwaffen-Ressourcen'!$A$2:$AI$54,20,0)</f>
        <v>-9</v>
      </c>
      <c r="U54" s="50">
        <f>VLOOKUP(B54,'Feuerwaffen-Ressourcen'!$A$2:$AI$54,21,0)+VLOOKUP(C54,'Feuerwaffen-Ressourcen'!$A$2:$AI$54,21,0)+VLOOKUP(D54,'Feuerwaffen-Ressourcen'!$A$2:$AI$54,21,0)+VLOOKUP(F54,'Feuerwaffen-Ressourcen'!$A$2:$AI$54,21,0)+VLOOKUP(G54,'Feuerwaffen-Ressourcen'!$A$2:$AI$54,21,0)+VLOOKUP(I54,'Feuerwaffen-Ressourcen'!$A$2:$AI$54,21,0)+VLOOKUP(J54,'Feuerwaffen-Ressourcen'!$A$2:$AI$54,21,0)</f>
        <v>-23</v>
      </c>
      <c r="V54" s="50">
        <f>VLOOKUP(B54,'Feuerwaffen-Ressourcen'!$A$2:$AI$54,22,0)+VLOOKUP(C54,'Feuerwaffen-Ressourcen'!$A$2:$AI$54,22,0)+VLOOKUP(D54,'Feuerwaffen-Ressourcen'!$A$2:$AI$54,22,0)+VLOOKUP(F54,'Feuerwaffen-Ressourcen'!$A$2:$AI$54,22,0)+VLOOKUP(G54,'Feuerwaffen-Ressourcen'!$A$2:$AI$54,22,0)+VLOOKUP(I54,'Feuerwaffen-Ressourcen'!$A$2:$AI$54,22,0)+VLOOKUP(J54,'Feuerwaffen-Ressourcen'!$A$2:$AI$54,22,0)</f>
        <v>-38</v>
      </c>
      <c r="W54" s="50">
        <f>VLOOKUP(B54,'Feuerwaffen-Ressourcen'!$A$2:$AI$54,23,0)+VLOOKUP(C54,'Feuerwaffen-Ressourcen'!$A$2:$AI$54,23,0)+VLOOKUP(D54,'Feuerwaffen-Ressourcen'!$A$2:$AI$54,23,0)+VLOOKUP(F54,'Feuerwaffen-Ressourcen'!$A$2:$AI$54,23,0)+VLOOKUP(G54,'Feuerwaffen-Ressourcen'!$A$2:$AI$54,23,0)+VLOOKUP(I54,'Feuerwaffen-Ressourcen'!$A$2:$AI$54,23,0)+VLOOKUP(J54,'Feuerwaffen-Ressourcen'!$A$2:$AI$54,23,0)</f>
        <v>-54</v>
      </c>
      <c r="X54" s="50">
        <f>VLOOKUP(B54,'Feuerwaffen-Ressourcen'!$A$2:$AI$54,24,0)+VLOOKUP(C54,'Feuerwaffen-Ressourcen'!$A$2:$AI$54,24,0)+VLOOKUP(D54,'Feuerwaffen-Ressourcen'!$A$2:$AI$54,24,0)+VLOOKUP(G54,'Feuerwaffen-Ressourcen'!$A$2:$AI$54,24,0)</f>
        <v>60</v>
      </c>
      <c r="Y54" s="50">
        <f>VLOOKUP(D54,'Feuerwaffen-Ressourcen'!$A$2:$AI$54,25,0)+VLOOKUP(E54,'Feuerwaffen-Ressourcen'!$A$2:$AI$54,25,0)+VLOOKUP(F54,'Feuerwaffen-Ressourcen'!$A$2:$AI$54,25,0)</f>
        <v>29</v>
      </c>
      <c r="Z54" s="50">
        <f>VLOOKUP(E54,'Feuerwaffen-Ressourcen'!$A$2:$AI$54,26,0)</f>
        <v>3</v>
      </c>
      <c r="AA54" s="50">
        <f>VLOOKUP(B54,'Feuerwaffen-Ressourcen'!$A$2:$AI$54,27,0)+VLOOKUP(D54,'Feuerwaffen-Ressourcen'!$A$2:$AI$54,27,0)+VLOOKUP(F54,'Feuerwaffen-Ressourcen'!$A$2:$AI$54,27,0)+VLOOKUP(I54,'Feuerwaffen-Ressourcen'!$A$2:$AI$54,27,0)</f>
        <v>3</v>
      </c>
      <c r="AB54" s="50">
        <f>VLOOKUP(B54,'Feuerwaffen-Ressourcen'!$A$2:$AI$54,28,0)+VLOOKUP(C54,'Feuerwaffen-Ressourcen'!$A$2:$AI$54,28,0)+VLOOKUP(D54,'Feuerwaffen-Ressourcen'!$A$2:$AI$54,28,0)+VLOOKUP(E54,'Feuerwaffen-Ressourcen'!$A$2:$AI$54,28,0)+VLOOKUP(F54,'Feuerwaffen-Ressourcen'!$A$2:$AI$54,28,0)+VLOOKUP(G54,'Feuerwaffen-Ressourcen'!$A$2:$AI$54,28,0)+VLOOKUP(I54,'Feuerwaffen-Ressourcen'!$A$2:$AI$54,28,0)+VLOOKUP(J54,'Feuerwaffen-Ressourcen'!$A$2:$AI$54,28,0)</f>
        <v>120</v>
      </c>
      <c r="AC54" s="53">
        <f>VLOOKUP(I54,'Feuerwaffen-Ressourcen'!$A$2:$AI$54,31,0)*AD54+AE54</f>
        <v>92.35</v>
      </c>
      <c r="AD54" s="54">
        <f>VLOOKUP(B54,'Feuerwaffen-Ressourcen'!$A$2:$AI$54,30,0)+VLOOKUP(C54,'Feuerwaffen-Ressourcen'!$A$2:$AI$54,30,0)+VLOOKUP(D54,'Feuerwaffen-Ressourcen'!$A$2:$AI$54,30,0)+VLOOKUP(F54,'Feuerwaffen-Ressourcen'!$A$2:$AI$54,30,0)+VLOOKUP(G54,'Feuerwaffen-Ressourcen'!$A$2:$AI$54,30,0)+VLOOKUP(I54,'Feuerwaffen-Ressourcen'!$A$2:$AI$54,30,0)+VLOOKUP(J54,'Feuerwaffen-Ressourcen'!$A$2:$AI$54,30,0)</f>
        <v>3.5</v>
      </c>
      <c r="AE54" s="53">
        <f>(VLOOKUP(C54,'Feuerwaffen-Ressourcen'!$A$2:$AI$54,32,0)+VLOOKUP(I54,'Feuerwaffen-Ressourcen'!$A$2:$AI$54,32,0))*(VLOOKUP(B54,'Feuerwaffen-Ressourcen'!$A$2:$AI$54,34,0)+VLOOKUP(C54,'Feuerwaffen-Ressourcen'!$A$2:$AI$54,34,0)+VLOOKUP(D54,'Feuerwaffen-Ressourcen'!$A$2:$AI$54,34,0)+VLOOKUP(E54,'Feuerwaffen-Ressourcen'!$A$2:$AI$54,34,0)+VLOOKUP(G54,'Feuerwaffen-Ressourcen'!$A$2:$AI$54,34,0))+VLOOKUP(B54,'Feuerwaffen-Ressourcen'!$A$2:$AI$54,35,0)+VLOOKUP(C54,'Feuerwaffen-Ressourcen'!$A$2:$AI$54,35,0)+VLOOKUP(D54,'Feuerwaffen-Ressourcen'!$A$2:$AI$54,35,0)</f>
        <v>78.349999999999994</v>
      </c>
      <c r="AF54" s="55">
        <f>VLOOKUP(AB54,'Feuerwaffen-Ressourcen'!$AO$3:$AP$9,2,1)</f>
        <v>4</v>
      </c>
      <c r="AG54" s="55">
        <v>0</v>
      </c>
      <c r="AH54" s="28" t="s">
        <v>1415</v>
      </c>
      <c r="AI54" s="28" t="s">
        <v>8926</v>
      </c>
      <c r="AJ54" s="56">
        <v>1.5</v>
      </c>
      <c r="AK54" s="56" t="s">
        <v>5497</v>
      </c>
      <c r="AL54" s="56" t="s">
        <v>7946</v>
      </c>
      <c r="AM54" s="56">
        <v>3</v>
      </c>
      <c r="AN54" s="56">
        <v>5</v>
      </c>
      <c r="AO54" s="56">
        <v>-2</v>
      </c>
      <c r="AP54" s="56">
        <v>-7</v>
      </c>
      <c r="AQ54" s="56">
        <f>VLOOKUP(B54,'Feuerwaffen-Ressourcen'!$A$2:$AI$54,12,0)+VLOOKUP(C54,'Feuerwaffen-Ressourcen'!$A$2:$AI$54,12,0)+VLOOKUP(D54,'Feuerwaffen-Ressourcen'!$A$2:$AI$54,12,0)+VLOOKUP(J54,'Feuerwaffen-Ressourcen'!$A$2:$AI$54,12,0)</f>
        <v>4</v>
      </c>
      <c r="AR54" s="56" t="s">
        <v>7946</v>
      </c>
      <c r="AS54" s="56">
        <v>2</v>
      </c>
      <c r="AT54" s="56">
        <v>10</v>
      </c>
    </row>
    <row r="55" spans="1:46">
      <c r="A55" s="49" t="s">
        <v>8879</v>
      </c>
      <c r="B55" s="49" t="s">
        <v>1180</v>
      </c>
      <c r="C55" s="49" t="s">
        <v>8824</v>
      </c>
      <c r="D55" s="49" t="s">
        <v>8927</v>
      </c>
      <c r="E55" s="49" t="s">
        <v>8829</v>
      </c>
      <c r="F55" s="49" t="s">
        <v>8931</v>
      </c>
      <c r="G55" s="49" t="s">
        <v>8932</v>
      </c>
      <c r="H55" s="49" t="s">
        <v>8830</v>
      </c>
      <c r="I55" s="49" t="s">
        <v>7341</v>
      </c>
      <c r="J55" s="49" t="s">
        <v>7320</v>
      </c>
      <c r="K55" s="51">
        <f>VLOOKUP(B55,'Feuerwaffen-Ressourcen'!$A$2:$AI$54,11,0)+VLOOKUP(C55,'Feuerwaffen-Ressourcen'!$A$2:$AI$54,11,0)+VLOOKUP(D55,'Feuerwaffen-Ressourcen'!$A$2:$AI$54,11,0)+VLOOKUP(E55,'Feuerwaffen-Ressourcen'!$A$2:$AI$54,11,0)+VLOOKUP(G55,'Feuerwaffen-Ressourcen'!$A$2:$AI$54,11,0)</f>
        <v>1.1000000000000001</v>
      </c>
      <c r="L55" s="50">
        <f>VLOOKUP(B55,'Feuerwaffen-Ressourcen'!$A$2:$AI$54,12,0)+VLOOKUP(C55,'Feuerwaffen-Ressourcen'!$A$2:$AI$54,12,0)+VLOOKUP(D55,'Feuerwaffen-Ressourcen'!$A$2:$AI$54,12,0)+VLOOKUP(J55,'Feuerwaffen-Ressourcen'!$A$2:$AI$54,12,0)</f>
        <v>4</v>
      </c>
      <c r="M55" s="50" t="str">
        <f>VLOOKUP(VLOOKUP(B55,'Feuerwaffen-Ressourcen'!$A$2:$AI$54,13,0)+VLOOKUP(C55,'Feuerwaffen-Ressourcen'!$A$2:$AI$54,13,0)+VLOOKUP(D55,'Feuerwaffen-Ressourcen'!$A$2:$AI$54,13,0),'Feuerwaffen-Ressourcen'!$AJ$3:$AK$12,2,0)</f>
        <v>W8</v>
      </c>
      <c r="N55" s="50" t="str">
        <f>VLOOKUP(VLOOKUP(B55,'Feuerwaffen-Ressourcen'!$A$2:$AI$54,14,0)+VLOOKUP(C55,'Feuerwaffen-Ressourcen'!$A$2:$AI$54,14,0)+VLOOKUP(D55,'Feuerwaffen-Ressourcen'!$A$2:$AI$54,14,0),'Feuerwaffen-Ressourcen'!$AJ$3:$AK$12,2,0)</f>
        <v>W8</v>
      </c>
      <c r="O55" s="50">
        <f>VLOOKUP(B55,'Feuerwaffen-Ressourcen'!$A$2:$AI$54,15,0)+VLOOKUP(C55,'Feuerwaffen-Ressourcen'!$A$2:$AI$54,15,0)+VLOOKUP(D55,'Feuerwaffen-Ressourcen'!$A$2:$AI$54,15,0)</f>
        <v>0</v>
      </c>
      <c r="P55" s="50">
        <f>VLOOKUP(B55,'Feuerwaffen-Ressourcen'!$A$2:$AI$54,16,0)+VLOOKUP(C55,'Feuerwaffen-Ressourcen'!$A$2:$AI$54,16,0)+VLOOKUP(D55,'Feuerwaffen-Ressourcen'!$A$2:$AI$54,16,0)+VLOOKUP(E55,'Feuerwaffen-Ressourcen'!$A$2:$AI$54,16,0)</f>
        <v>15</v>
      </c>
      <c r="Q55" s="52">
        <f>VLOOKUP(B55,'Feuerwaffen-Ressourcen'!$A$2:$AI$54,17,0)+VLOOKUP(C55,'Feuerwaffen-Ressourcen'!$A$2:$AI$54,17,0)+VLOOKUP(D55,'Feuerwaffen-Ressourcen'!$A$2:$AI$54,17,0)+VLOOKUP(E55,'Feuerwaffen-Ressourcen'!$A$2:$AI$54,17,0)</f>
        <v>7</v>
      </c>
      <c r="R55" s="50">
        <f>VLOOKUP(B55,'Feuerwaffen-Ressourcen'!$A$2:$AI$54,18,0)+VLOOKUP(C55,'Feuerwaffen-Ressourcen'!$A$2:$AI$54,18,0)+VLOOKUP(D55,'Feuerwaffen-Ressourcen'!$A$2:$AI$54,18,0)+VLOOKUP(F55,'Feuerwaffen-Ressourcen'!$A$2:$AI$54,18,0)+VLOOKUP(G55,'Feuerwaffen-Ressourcen'!$A$2:$AI$54,18,0)+VLOOKUP(I55,'Feuerwaffen-Ressourcen'!$A$2:$AI$54,18,0)+VLOOKUP(J55,'Feuerwaffen-Ressourcen'!$A$2:$AI$54,18,0)</f>
        <v>9</v>
      </c>
      <c r="S55" s="50">
        <f>VLOOKUP(B55,'Feuerwaffen-Ressourcen'!$A$2:$AI$54,19,0)+VLOOKUP(C55,'Feuerwaffen-Ressourcen'!$A$2:$AI$54,19,0)+VLOOKUP(D55,'Feuerwaffen-Ressourcen'!$A$2:$AI$54,19,0)+VLOOKUP(F55,'Feuerwaffen-Ressourcen'!$A$2:$AI$54,19,0)+VLOOKUP(G55,'Feuerwaffen-Ressourcen'!$A$2:$AI$54,19,0)+VLOOKUP(I55,'Feuerwaffen-Ressourcen'!$A$2:$AI$54,19,0)+VLOOKUP(J55,'Feuerwaffen-Ressourcen'!$A$2:$AI$54,19,0)</f>
        <v>2</v>
      </c>
      <c r="T55" s="50">
        <f>VLOOKUP(B55,'Feuerwaffen-Ressourcen'!$A$2:$AI$54,20,0)+VLOOKUP(C55,'Feuerwaffen-Ressourcen'!$A$2:$AI$54,20,0)+VLOOKUP(D55,'Feuerwaffen-Ressourcen'!$A$2:$AI$54,20,0)+VLOOKUP(F55,'Feuerwaffen-Ressourcen'!$A$2:$AI$54,20,0)+VLOOKUP(G55,'Feuerwaffen-Ressourcen'!$A$2:$AI$54,20,0)+VLOOKUP(I55,'Feuerwaffen-Ressourcen'!$A$2:$AI$54,20,0)+VLOOKUP(J55,'Feuerwaffen-Ressourcen'!$A$2:$AI$54,20,0)</f>
        <v>-8</v>
      </c>
      <c r="U55" s="50">
        <f>VLOOKUP(B55,'Feuerwaffen-Ressourcen'!$A$2:$AI$54,21,0)+VLOOKUP(C55,'Feuerwaffen-Ressourcen'!$A$2:$AI$54,21,0)+VLOOKUP(D55,'Feuerwaffen-Ressourcen'!$A$2:$AI$54,21,0)+VLOOKUP(F55,'Feuerwaffen-Ressourcen'!$A$2:$AI$54,21,0)+VLOOKUP(G55,'Feuerwaffen-Ressourcen'!$A$2:$AI$54,21,0)+VLOOKUP(I55,'Feuerwaffen-Ressourcen'!$A$2:$AI$54,21,0)+VLOOKUP(J55,'Feuerwaffen-Ressourcen'!$A$2:$AI$54,21,0)</f>
        <v>-22</v>
      </c>
      <c r="V55" s="50">
        <f>VLOOKUP(B55,'Feuerwaffen-Ressourcen'!$A$2:$AI$54,22,0)+VLOOKUP(C55,'Feuerwaffen-Ressourcen'!$A$2:$AI$54,22,0)+VLOOKUP(D55,'Feuerwaffen-Ressourcen'!$A$2:$AI$54,22,0)+VLOOKUP(F55,'Feuerwaffen-Ressourcen'!$A$2:$AI$54,22,0)+VLOOKUP(G55,'Feuerwaffen-Ressourcen'!$A$2:$AI$54,22,0)+VLOOKUP(I55,'Feuerwaffen-Ressourcen'!$A$2:$AI$54,22,0)+VLOOKUP(J55,'Feuerwaffen-Ressourcen'!$A$2:$AI$54,22,0)</f>
        <v>-37</v>
      </c>
      <c r="W55" s="50">
        <f>VLOOKUP(B55,'Feuerwaffen-Ressourcen'!$A$2:$AI$54,23,0)+VLOOKUP(C55,'Feuerwaffen-Ressourcen'!$A$2:$AI$54,23,0)+VLOOKUP(D55,'Feuerwaffen-Ressourcen'!$A$2:$AI$54,23,0)+VLOOKUP(F55,'Feuerwaffen-Ressourcen'!$A$2:$AI$54,23,0)+VLOOKUP(G55,'Feuerwaffen-Ressourcen'!$A$2:$AI$54,23,0)+VLOOKUP(I55,'Feuerwaffen-Ressourcen'!$A$2:$AI$54,23,0)+VLOOKUP(J55,'Feuerwaffen-Ressourcen'!$A$2:$AI$54,23,0)</f>
        <v>-53</v>
      </c>
      <c r="X55" s="50">
        <f>VLOOKUP(B55,'Feuerwaffen-Ressourcen'!$A$2:$AI$54,24,0)+VLOOKUP(C55,'Feuerwaffen-Ressourcen'!$A$2:$AI$54,24,0)+VLOOKUP(D55,'Feuerwaffen-Ressourcen'!$A$2:$AI$54,24,0)+VLOOKUP(G55,'Feuerwaffen-Ressourcen'!$A$2:$AI$54,24,0)</f>
        <v>60</v>
      </c>
      <c r="Y55" s="50">
        <f>VLOOKUP(D55,'Feuerwaffen-Ressourcen'!$A$2:$AI$54,25,0)+VLOOKUP(E55,'Feuerwaffen-Ressourcen'!$A$2:$AI$54,25,0)+VLOOKUP(F55,'Feuerwaffen-Ressourcen'!$A$2:$AI$54,25,0)</f>
        <v>9</v>
      </c>
      <c r="Z55" s="50">
        <f>VLOOKUP(E55,'Feuerwaffen-Ressourcen'!$A$2:$AI$54,26,0)</f>
        <v>6</v>
      </c>
      <c r="AA55" s="50">
        <f>VLOOKUP(B55,'Feuerwaffen-Ressourcen'!$A$2:$AI$54,27,0)+VLOOKUP(D55,'Feuerwaffen-Ressourcen'!$A$2:$AI$54,27,0)+VLOOKUP(F55,'Feuerwaffen-Ressourcen'!$A$2:$AI$54,27,0)+VLOOKUP(I55,'Feuerwaffen-Ressourcen'!$A$2:$AI$54,27,0)</f>
        <v>1</v>
      </c>
      <c r="AB55" s="50">
        <f>VLOOKUP(B55,'Feuerwaffen-Ressourcen'!$A$2:$AI$54,28,0)+VLOOKUP(C55,'Feuerwaffen-Ressourcen'!$A$2:$AI$54,28,0)+VLOOKUP(D55,'Feuerwaffen-Ressourcen'!$A$2:$AI$54,28,0)+VLOOKUP(E55,'Feuerwaffen-Ressourcen'!$A$2:$AI$54,28,0)+VLOOKUP(F55,'Feuerwaffen-Ressourcen'!$A$2:$AI$54,28,0)+VLOOKUP(G55,'Feuerwaffen-Ressourcen'!$A$2:$AI$54,28,0)+VLOOKUP(I55,'Feuerwaffen-Ressourcen'!$A$2:$AI$54,28,0)+VLOOKUP(J55,'Feuerwaffen-Ressourcen'!$A$2:$AI$54,28,0)</f>
        <v>90</v>
      </c>
      <c r="AC55" s="53">
        <f>VLOOKUP(I55,'Feuerwaffen-Ressourcen'!$A$2:$AI$54,31,0)*AD55+AE55</f>
        <v>112.35</v>
      </c>
      <c r="AD55" s="54">
        <f>VLOOKUP(B55,'Feuerwaffen-Ressourcen'!$A$2:$AI$54,30,0)+VLOOKUP(C55,'Feuerwaffen-Ressourcen'!$A$2:$AI$54,30,0)+VLOOKUP(D55,'Feuerwaffen-Ressourcen'!$A$2:$AI$54,30,0)+VLOOKUP(F55,'Feuerwaffen-Ressourcen'!$A$2:$AI$54,30,0)+VLOOKUP(G55,'Feuerwaffen-Ressourcen'!$A$2:$AI$54,30,0)+VLOOKUP(I55,'Feuerwaffen-Ressourcen'!$A$2:$AI$54,30,0)+VLOOKUP(J55,'Feuerwaffen-Ressourcen'!$A$2:$AI$54,30,0)</f>
        <v>5.5</v>
      </c>
      <c r="AE55" s="53">
        <f>(VLOOKUP(C55,'Feuerwaffen-Ressourcen'!$A$2:$AI$54,32,0)+VLOOKUP(I55,'Feuerwaffen-Ressourcen'!$A$2:$AI$54,32,0))*(VLOOKUP(B55,'Feuerwaffen-Ressourcen'!$A$2:$AI$54,34,0)+VLOOKUP(C55,'Feuerwaffen-Ressourcen'!$A$2:$AI$54,34,0)+VLOOKUP(D55,'Feuerwaffen-Ressourcen'!$A$2:$AI$54,34,0)+VLOOKUP(E55,'Feuerwaffen-Ressourcen'!$A$2:$AI$54,34,0)+VLOOKUP(G55,'Feuerwaffen-Ressourcen'!$A$2:$AI$54,34,0))+VLOOKUP(B55,'Feuerwaffen-Ressourcen'!$A$2:$AI$54,35,0)+VLOOKUP(C55,'Feuerwaffen-Ressourcen'!$A$2:$AI$54,35,0)+VLOOKUP(D55,'Feuerwaffen-Ressourcen'!$A$2:$AI$54,35,0)</f>
        <v>90.35</v>
      </c>
      <c r="AF55" s="55">
        <f>VLOOKUP(AB55,'Feuerwaffen-Ressourcen'!$AO$3:$AP$9,2,1)</f>
        <v>5</v>
      </c>
      <c r="AG55" s="55">
        <v>0</v>
      </c>
      <c r="AH55" s="28" t="s">
        <v>1415</v>
      </c>
      <c r="AI55" s="28" t="s">
        <v>8926</v>
      </c>
      <c r="AJ55" s="56">
        <v>1.5</v>
      </c>
      <c r="AK55" s="56" t="s">
        <v>5497</v>
      </c>
      <c r="AL55" s="56" t="s">
        <v>7946</v>
      </c>
      <c r="AM55" s="56">
        <v>3</v>
      </c>
      <c r="AN55" s="56">
        <v>5</v>
      </c>
      <c r="AO55" s="56">
        <v>-2</v>
      </c>
      <c r="AP55" s="56">
        <v>-7</v>
      </c>
      <c r="AQ55" s="56">
        <f>VLOOKUP(B55,'Feuerwaffen-Ressourcen'!$A$2:$AI$54,12,0)+VLOOKUP(C55,'Feuerwaffen-Ressourcen'!$A$2:$AI$54,12,0)+VLOOKUP(D55,'Feuerwaffen-Ressourcen'!$A$2:$AI$54,12,0)+VLOOKUP(J55,'Feuerwaffen-Ressourcen'!$A$2:$AI$54,12,0)</f>
        <v>4</v>
      </c>
      <c r="AR55" s="56" t="s">
        <v>7946</v>
      </c>
      <c r="AS55" s="56">
        <v>2</v>
      </c>
      <c r="AT55" s="56">
        <v>10</v>
      </c>
    </row>
    <row r="56" spans="1:46">
      <c r="A56" s="49" t="s">
        <v>8880</v>
      </c>
      <c r="B56" s="49" t="s">
        <v>1200</v>
      </c>
      <c r="C56" s="49" t="s">
        <v>8921</v>
      </c>
      <c r="D56" s="49" t="s">
        <v>8819</v>
      </c>
      <c r="E56" s="49" t="s">
        <v>8258</v>
      </c>
      <c r="F56" s="49" t="s">
        <v>8928</v>
      </c>
      <c r="G56" s="49" t="s">
        <v>8923</v>
      </c>
      <c r="H56" s="49" t="s">
        <v>8271</v>
      </c>
      <c r="I56" s="49" t="s">
        <v>7341</v>
      </c>
      <c r="J56" s="49" t="s">
        <v>7320</v>
      </c>
      <c r="K56" s="51">
        <f>VLOOKUP(B56,'Feuerwaffen-Ressourcen'!$A$2:$AI$54,11,0)+VLOOKUP(C56,'Feuerwaffen-Ressourcen'!$A$2:$AI$54,11,0)+VLOOKUP(D56,'Feuerwaffen-Ressourcen'!$A$2:$AI$54,11,0)+VLOOKUP(E56,'Feuerwaffen-Ressourcen'!$A$2:$AI$54,11,0)+VLOOKUP(G56,'Feuerwaffen-Ressourcen'!$A$2:$AI$54,11,0)</f>
        <v>8.8000000000000007</v>
      </c>
      <c r="L56" s="50">
        <f>VLOOKUP(B56,'Feuerwaffen-Ressourcen'!$A$2:$AI$54,12,0)+VLOOKUP(C56,'Feuerwaffen-Ressourcen'!$A$2:$AI$54,12,0)+VLOOKUP(D56,'Feuerwaffen-Ressourcen'!$A$2:$AI$54,12,0)+VLOOKUP(J56,'Feuerwaffen-Ressourcen'!$A$2:$AI$54,12,0)</f>
        <v>17</v>
      </c>
      <c r="M56" s="50" t="str">
        <f>VLOOKUP(VLOOKUP(B56,'Feuerwaffen-Ressourcen'!$A$2:$AI$54,13,0)+VLOOKUP(C56,'Feuerwaffen-Ressourcen'!$A$2:$AI$54,13,0)+VLOOKUP(D56,'Feuerwaffen-Ressourcen'!$A$2:$AI$54,13,0),'Feuerwaffen-Ressourcen'!$AJ$3:$AK$12,2,0)</f>
        <v>W20</v>
      </c>
      <c r="N56" s="50" t="str">
        <f>VLOOKUP(VLOOKUP(B56,'Feuerwaffen-Ressourcen'!$A$2:$AI$54,14,0)+VLOOKUP(C56,'Feuerwaffen-Ressourcen'!$A$2:$AI$54,14,0)+VLOOKUP(D56,'Feuerwaffen-Ressourcen'!$A$2:$AI$54,14,0),'Feuerwaffen-Ressourcen'!$AJ$3:$AK$12,2,0)</f>
        <v>W15</v>
      </c>
      <c r="O56" s="50">
        <f>VLOOKUP(B56,'Feuerwaffen-Ressourcen'!$A$2:$AI$54,15,0)+VLOOKUP(C56,'Feuerwaffen-Ressourcen'!$A$2:$AI$54,15,0)+VLOOKUP(D56,'Feuerwaffen-Ressourcen'!$A$2:$AI$54,15,0)</f>
        <v>3</v>
      </c>
      <c r="P56" s="50">
        <f>VLOOKUP(B56,'Feuerwaffen-Ressourcen'!$A$2:$AI$54,16,0)+VLOOKUP(C56,'Feuerwaffen-Ressourcen'!$A$2:$AI$54,16,0)+VLOOKUP(D56,'Feuerwaffen-Ressourcen'!$A$2:$AI$54,16,0)+VLOOKUP(E56,'Feuerwaffen-Ressourcen'!$A$2:$AI$54,16,0)</f>
        <v>13</v>
      </c>
      <c r="Q56" s="52">
        <f>VLOOKUP(B56,'Feuerwaffen-Ressourcen'!$A$2:$AI$54,17,0)+VLOOKUP(C56,'Feuerwaffen-Ressourcen'!$A$2:$AI$54,17,0)+VLOOKUP(D56,'Feuerwaffen-Ressourcen'!$A$2:$AI$54,17,0)+VLOOKUP(E56,'Feuerwaffen-Ressourcen'!$A$2:$AI$54,17,0)</f>
        <v>21</v>
      </c>
      <c r="R56" s="50">
        <f>VLOOKUP(B56,'Feuerwaffen-Ressourcen'!$A$2:$AI$54,18,0)+VLOOKUP(C56,'Feuerwaffen-Ressourcen'!$A$2:$AI$54,18,0)+VLOOKUP(D56,'Feuerwaffen-Ressourcen'!$A$2:$AI$54,18,0)+VLOOKUP(F56,'Feuerwaffen-Ressourcen'!$A$2:$AI$54,18,0)+VLOOKUP(G56,'Feuerwaffen-Ressourcen'!$A$2:$AI$54,18,0)+VLOOKUP(I56,'Feuerwaffen-Ressourcen'!$A$2:$AI$54,18,0)+VLOOKUP(J56,'Feuerwaffen-Ressourcen'!$A$2:$AI$54,18,0)</f>
        <v>-1</v>
      </c>
      <c r="S56" s="50">
        <f>VLOOKUP(B56,'Feuerwaffen-Ressourcen'!$A$2:$AI$54,19,0)+VLOOKUP(C56,'Feuerwaffen-Ressourcen'!$A$2:$AI$54,19,0)+VLOOKUP(D56,'Feuerwaffen-Ressourcen'!$A$2:$AI$54,19,0)+VLOOKUP(F56,'Feuerwaffen-Ressourcen'!$A$2:$AI$54,19,0)+VLOOKUP(G56,'Feuerwaffen-Ressourcen'!$A$2:$AI$54,19,0)+VLOOKUP(I56,'Feuerwaffen-Ressourcen'!$A$2:$AI$54,19,0)+VLOOKUP(J56,'Feuerwaffen-Ressourcen'!$A$2:$AI$54,19,0)</f>
        <v>-5</v>
      </c>
      <c r="T56" s="50">
        <f>VLOOKUP(B56,'Feuerwaffen-Ressourcen'!$A$2:$AI$54,20,0)+VLOOKUP(C56,'Feuerwaffen-Ressourcen'!$A$2:$AI$54,20,0)+VLOOKUP(D56,'Feuerwaffen-Ressourcen'!$A$2:$AI$54,20,0)+VLOOKUP(F56,'Feuerwaffen-Ressourcen'!$A$2:$AI$54,20,0)+VLOOKUP(G56,'Feuerwaffen-Ressourcen'!$A$2:$AI$54,20,0)+VLOOKUP(I56,'Feuerwaffen-Ressourcen'!$A$2:$AI$54,20,0)+VLOOKUP(J56,'Feuerwaffen-Ressourcen'!$A$2:$AI$54,20,0)</f>
        <v>-9</v>
      </c>
      <c r="U56" s="50">
        <f>VLOOKUP(B56,'Feuerwaffen-Ressourcen'!$A$2:$AI$54,21,0)+VLOOKUP(C56,'Feuerwaffen-Ressourcen'!$A$2:$AI$54,21,0)+VLOOKUP(D56,'Feuerwaffen-Ressourcen'!$A$2:$AI$54,21,0)+VLOOKUP(F56,'Feuerwaffen-Ressourcen'!$A$2:$AI$54,21,0)+VLOOKUP(G56,'Feuerwaffen-Ressourcen'!$A$2:$AI$54,21,0)+VLOOKUP(I56,'Feuerwaffen-Ressourcen'!$A$2:$AI$54,21,0)+VLOOKUP(J56,'Feuerwaffen-Ressourcen'!$A$2:$AI$54,21,0)</f>
        <v>-16</v>
      </c>
      <c r="V56" s="50">
        <f>VLOOKUP(B56,'Feuerwaffen-Ressourcen'!$A$2:$AI$54,22,0)+VLOOKUP(C56,'Feuerwaffen-Ressourcen'!$A$2:$AI$54,22,0)+VLOOKUP(D56,'Feuerwaffen-Ressourcen'!$A$2:$AI$54,22,0)+VLOOKUP(F56,'Feuerwaffen-Ressourcen'!$A$2:$AI$54,22,0)+VLOOKUP(G56,'Feuerwaffen-Ressourcen'!$A$2:$AI$54,22,0)+VLOOKUP(I56,'Feuerwaffen-Ressourcen'!$A$2:$AI$54,22,0)+VLOOKUP(J56,'Feuerwaffen-Ressourcen'!$A$2:$AI$54,22,0)</f>
        <v>-24</v>
      </c>
      <c r="W56" s="50">
        <f>VLOOKUP(B56,'Feuerwaffen-Ressourcen'!$A$2:$AI$54,23,0)+VLOOKUP(C56,'Feuerwaffen-Ressourcen'!$A$2:$AI$54,23,0)+VLOOKUP(D56,'Feuerwaffen-Ressourcen'!$A$2:$AI$54,23,0)+VLOOKUP(F56,'Feuerwaffen-Ressourcen'!$A$2:$AI$54,23,0)+VLOOKUP(G56,'Feuerwaffen-Ressourcen'!$A$2:$AI$54,23,0)+VLOOKUP(I56,'Feuerwaffen-Ressourcen'!$A$2:$AI$54,23,0)+VLOOKUP(J56,'Feuerwaffen-Ressourcen'!$A$2:$AI$54,23,0)</f>
        <v>-33</v>
      </c>
      <c r="X56" s="50">
        <f>VLOOKUP(B56,'Feuerwaffen-Ressourcen'!$A$2:$AI$54,24,0)+VLOOKUP(C56,'Feuerwaffen-Ressourcen'!$A$2:$AI$54,24,0)+VLOOKUP(D56,'Feuerwaffen-Ressourcen'!$A$2:$AI$54,24,0)+VLOOKUP(G56,'Feuerwaffen-Ressourcen'!$A$2:$AI$54,24,0)</f>
        <v>50</v>
      </c>
      <c r="Y56" s="50">
        <f>VLOOKUP(D56,'Feuerwaffen-Ressourcen'!$A$2:$AI$54,25,0)+VLOOKUP(E56,'Feuerwaffen-Ressourcen'!$A$2:$AI$54,25,0)+VLOOKUP(F56,'Feuerwaffen-Ressourcen'!$A$2:$AI$54,25,0)</f>
        <v>38</v>
      </c>
      <c r="Z56" s="50">
        <f>VLOOKUP(E56,'Feuerwaffen-Ressourcen'!$A$2:$AI$54,26,0)</f>
        <v>3</v>
      </c>
      <c r="AA56" s="50">
        <f>VLOOKUP(B56,'Feuerwaffen-Ressourcen'!$A$2:$AI$54,27,0)+VLOOKUP(D56,'Feuerwaffen-Ressourcen'!$A$2:$AI$54,27,0)+VLOOKUP(F56,'Feuerwaffen-Ressourcen'!$A$2:$AI$54,27,0)+VLOOKUP(I56,'Feuerwaffen-Ressourcen'!$A$2:$AI$54,27,0)</f>
        <v>3</v>
      </c>
      <c r="AB56" s="50">
        <f>VLOOKUP(B56,'Feuerwaffen-Ressourcen'!$A$2:$AI$54,28,0)+VLOOKUP(C56,'Feuerwaffen-Ressourcen'!$A$2:$AI$54,28,0)+VLOOKUP(D56,'Feuerwaffen-Ressourcen'!$A$2:$AI$54,28,0)+VLOOKUP(E56,'Feuerwaffen-Ressourcen'!$A$2:$AI$54,28,0)+VLOOKUP(F56,'Feuerwaffen-Ressourcen'!$A$2:$AI$54,28,0)+VLOOKUP(G56,'Feuerwaffen-Ressourcen'!$A$2:$AI$54,28,0)+VLOOKUP(I56,'Feuerwaffen-Ressourcen'!$A$2:$AI$54,28,0)+VLOOKUP(J56,'Feuerwaffen-Ressourcen'!$A$2:$AI$54,28,0)</f>
        <v>75</v>
      </c>
      <c r="AC56" s="53">
        <f>VLOOKUP(I56,'Feuerwaffen-Ressourcen'!$A$2:$AI$54,31,0)*AD56+AE56</f>
        <v>739.69999999999993</v>
      </c>
      <c r="AD56" s="54">
        <f>VLOOKUP(B56,'Feuerwaffen-Ressourcen'!$A$2:$AI$54,30,0)+VLOOKUP(C56,'Feuerwaffen-Ressourcen'!$A$2:$AI$54,30,0)+VLOOKUP(D56,'Feuerwaffen-Ressourcen'!$A$2:$AI$54,30,0)+VLOOKUP(F56,'Feuerwaffen-Ressourcen'!$A$2:$AI$54,30,0)+VLOOKUP(G56,'Feuerwaffen-Ressourcen'!$A$2:$AI$54,30,0)+VLOOKUP(I56,'Feuerwaffen-Ressourcen'!$A$2:$AI$54,30,0)+VLOOKUP(J56,'Feuerwaffen-Ressourcen'!$A$2:$AI$54,30,0)</f>
        <v>7.1999999999999993</v>
      </c>
      <c r="AE56" s="53">
        <f>(VLOOKUP(C56,'Feuerwaffen-Ressourcen'!$A$2:$AI$54,32,0)+VLOOKUP(I56,'Feuerwaffen-Ressourcen'!$A$2:$AI$54,32,0))*(VLOOKUP(B56,'Feuerwaffen-Ressourcen'!$A$2:$AI$54,34,0)+VLOOKUP(C56,'Feuerwaffen-Ressourcen'!$A$2:$AI$54,34,0)+VLOOKUP(D56,'Feuerwaffen-Ressourcen'!$A$2:$AI$54,34,0)+VLOOKUP(E56,'Feuerwaffen-Ressourcen'!$A$2:$AI$54,34,0)+VLOOKUP(G56,'Feuerwaffen-Ressourcen'!$A$2:$AI$54,34,0))+VLOOKUP(B56,'Feuerwaffen-Ressourcen'!$A$2:$AI$54,35,0)+VLOOKUP(C56,'Feuerwaffen-Ressourcen'!$A$2:$AI$54,35,0)+VLOOKUP(D56,'Feuerwaffen-Ressourcen'!$A$2:$AI$54,35,0)</f>
        <v>710.9</v>
      </c>
      <c r="AF56" s="55">
        <f>VLOOKUP(AB56,'Feuerwaffen-Ressourcen'!$AO$3:$AP$9,2,1)</f>
        <v>6</v>
      </c>
      <c r="AG56" s="55">
        <v>0</v>
      </c>
      <c r="AH56" s="28" t="s">
        <v>1420</v>
      </c>
      <c r="AI56" s="28" t="s">
        <v>8657</v>
      </c>
      <c r="AJ56" s="56">
        <v>3</v>
      </c>
      <c r="AK56" s="56" t="s">
        <v>5497</v>
      </c>
      <c r="AL56" s="56" t="s">
        <v>5486</v>
      </c>
      <c r="AM56" s="56">
        <v>3</v>
      </c>
      <c r="AN56" s="56">
        <v>5</v>
      </c>
      <c r="AO56" s="56">
        <v>4</v>
      </c>
      <c r="AP56" s="56">
        <v>4</v>
      </c>
      <c r="AQ56" s="56">
        <f>VLOOKUP(B56,'Feuerwaffen-Ressourcen'!$A$2:$AI$54,12,0)+VLOOKUP(C56,'Feuerwaffen-Ressourcen'!$A$2:$AI$54,12,0)+VLOOKUP(D56,'Feuerwaffen-Ressourcen'!$A$2:$AI$54,12,0)+VLOOKUP(J56,'Feuerwaffen-Ressourcen'!$A$2:$AI$54,12,0)</f>
        <v>17</v>
      </c>
      <c r="AR56" s="56">
        <f>VLOOKUP(B56,'Feuerwaffen-Ressourcen'!$A$2:$AI$54,12,0)+VLOOKUP(C56,'Feuerwaffen-Ressourcen'!$A$2:$AI$54,12,0)+VLOOKUP(D56,'Feuerwaffen-Ressourcen'!$A$2:$AI$54,12,0)+VLOOKUP(J56,'Feuerwaffen-Ressourcen'!$A$2:$AI$54,12,0)</f>
        <v>17</v>
      </c>
      <c r="AS56" s="56">
        <v>5</v>
      </c>
      <c r="AT56" s="56">
        <v>6</v>
      </c>
    </row>
    <row r="57" spans="1:46">
      <c r="A57" s="49" t="s">
        <v>8881</v>
      </c>
      <c r="B57" s="49" t="s">
        <v>1200</v>
      </c>
      <c r="C57" s="49" t="s">
        <v>8921</v>
      </c>
      <c r="D57" s="49" t="s">
        <v>8940</v>
      </c>
      <c r="E57" s="49" t="s">
        <v>8258</v>
      </c>
      <c r="F57" s="49" t="s">
        <v>8928</v>
      </c>
      <c r="G57" s="49" t="s">
        <v>8923</v>
      </c>
      <c r="H57" s="49" t="s">
        <v>8271</v>
      </c>
      <c r="I57" s="49" t="s">
        <v>7341</v>
      </c>
      <c r="J57" s="49" t="s">
        <v>7320</v>
      </c>
      <c r="K57" s="51">
        <f>VLOOKUP(B57,'Feuerwaffen-Ressourcen'!$A$2:$AI$54,11,0)+VLOOKUP(C57,'Feuerwaffen-Ressourcen'!$A$2:$AI$54,11,0)+VLOOKUP(D57,'Feuerwaffen-Ressourcen'!$A$2:$AI$54,11,0)+VLOOKUP(E57,'Feuerwaffen-Ressourcen'!$A$2:$AI$54,11,0)+VLOOKUP(G57,'Feuerwaffen-Ressourcen'!$A$2:$AI$54,11,0)</f>
        <v>6.8</v>
      </c>
      <c r="L57" s="50">
        <f>VLOOKUP(B57,'Feuerwaffen-Ressourcen'!$A$2:$AI$54,12,0)+VLOOKUP(C57,'Feuerwaffen-Ressourcen'!$A$2:$AI$54,12,0)+VLOOKUP(D57,'Feuerwaffen-Ressourcen'!$A$2:$AI$54,12,0)+VLOOKUP(J57,'Feuerwaffen-Ressourcen'!$A$2:$AI$54,12,0)</f>
        <v>15</v>
      </c>
      <c r="M57" s="50" t="str">
        <f>VLOOKUP(VLOOKUP(B57,'Feuerwaffen-Ressourcen'!$A$2:$AI$54,13,0)+VLOOKUP(C57,'Feuerwaffen-Ressourcen'!$A$2:$AI$54,13,0)+VLOOKUP(D57,'Feuerwaffen-Ressourcen'!$A$2:$AI$54,13,0),'Feuerwaffen-Ressourcen'!$AJ$3:$AK$12,2,0)</f>
        <v>W15</v>
      </c>
      <c r="N57" s="50" t="str">
        <f>VLOOKUP(VLOOKUP(B57,'Feuerwaffen-Ressourcen'!$A$2:$AI$54,14,0)+VLOOKUP(C57,'Feuerwaffen-Ressourcen'!$A$2:$AI$54,14,0)+VLOOKUP(D57,'Feuerwaffen-Ressourcen'!$A$2:$AI$54,14,0),'Feuerwaffen-Ressourcen'!$AJ$3:$AK$12,2,0)</f>
        <v>W15</v>
      </c>
      <c r="O57" s="50">
        <f>VLOOKUP(B57,'Feuerwaffen-Ressourcen'!$A$2:$AI$54,15,0)+VLOOKUP(C57,'Feuerwaffen-Ressourcen'!$A$2:$AI$54,15,0)+VLOOKUP(D57,'Feuerwaffen-Ressourcen'!$A$2:$AI$54,15,0)</f>
        <v>5</v>
      </c>
      <c r="P57" s="50">
        <f>VLOOKUP(B57,'Feuerwaffen-Ressourcen'!$A$2:$AI$54,16,0)+VLOOKUP(C57,'Feuerwaffen-Ressourcen'!$A$2:$AI$54,16,0)+VLOOKUP(D57,'Feuerwaffen-Ressourcen'!$A$2:$AI$54,16,0)+VLOOKUP(E57,'Feuerwaffen-Ressourcen'!$A$2:$AI$54,16,0)</f>
        <v>7</v>
      </c>
      <c r="Q57" s="52">
        <f>VLOOKUP(B57,'Feuerwaffen-Ressourcen'!$A$2:$AI$54,17,0)+VLOOKUP(C57,'Feuerwaffen-Ressourcen'!$A$2:$AI$54,17,0)+VLOOKUP(D57,'Feuerwaffen-Ressourcen'!$A$2:$AI$54,17,0)+VLOOKUP(E57,'Feuerwaffen-Ressourcen'!$A$2:$AI$54,17,0)</f>
        <v>22</v>
      </c>
      <c r="R57" s="50">
        <f>VLOOKUP(B57,'Feuerwaffen-Ressourcen'!$A$2:$AI$54,18,0)+VLOOKUP(C57,'Feuerwaffen-Ressourcen'!$A$2:$AI$54,18,0)+VLOOKUP(D57,'Feuerwaffen-Ressourcen'!$A$2:$AI$54,18,0)+VLOOKUP(F57,'Feuerwaffen-Ressourcen'!$A$2:$AI$54,18,0)+VLOOKUP(G57,'Feuerwaffen-Ressourcen'!$A$2:$AI$54,18,0)+VLOOKUP(I57,'Feuerwaffen-Ressourcen'!$A$2:$AI$54,18,0)+VLOOKUP(J57,'Feuerwaffen-Ressourcen'!$A$2:$AI$54,18,0)</f>
        <v>3</v>
      </c>
      <c r="S57" s="50">
        <f>VLOOKUP(B57,'Feuerwaffen-Ressourcen'!$A$2:$AI$54,19,0)+VLOOKUP(C57,'Feuerwaffen-Ressourcen'!$A$2:$AI$54,19,0)+VLOOKUP(D57,'Feuerwaffen-Ressourcen'!$A$2:$AI$54,19,0)+VLOOKUP(F57,'Feuerwaffen-Ressourcen'!$A$2:$AI$54,19,0)+VLOOKUP(G57,'Feuerwaffen-Ressourcen'!$A$2:$AI$54,19,0)+VLOOKUP(I57,'Feuerwaffen-Ressourcen'!$A$2:$AI$54,19,0)+VLOOKUP(J57,'Feuerwaffen-Ressourcen'!$A$2:$AI$54,19,0)</f>
        <v>-8</v>
      </c>
      <c r="T57" s="50">
        <f>VLOOKUP(B57,'Feuerwaffen-Ressourcen'!$A$2:$AI$54,20,0)+VLOOKUP(C57,'Feuerwaffen-Ressourcen'!$A$2:$AI$54,20,0)+VLOOKUP(D57,'Feuerwaffen-Ressourcen'!$A$2:$AI$54,20,0)+VLOOKUP(F57,'Feuerwaffen-Ressourcen'!$A$2:$AI$54,20,0)+VLOOKUP(G57,'Feuerwaffen-Ressourcen'!$A$2:$AI$54,20,0)+VLOOKUP(I57,'Feuerwaffen-Ressourcen'!$A$2:$AI$54,20,0)+VLOOKUP(J57,'Feuerwaffen-Ressourcen'!$A$2:$AI$54,20,0)</f>
        <v>-19</v>
      </c>
      <c r="U57" s="50">
        <f>VLOOKUP(B57,'Feuerwaffen-Ressourcen'!$A$2:$AI$54,21,0)+VLOOKUP(C57,'Feuerwaffen-Ressourcen'!$A$2:$AI$54,21,0)+VLOOKUP(D57,'Feuerwaffen-Ressourcen'!$A$2:$AI$54,21,0)+VLOOKUP(F57,'Feuerwaffen-Ressourcen'!$A$2:$AI$54,21,0)+VLOOKUP(G57,'Feuerwaffen-Ressourcen'!$A$2:$AI$54,21,0)+VLOOKUP(I57,'Feuerwaffen-Ressourcen'!$A$2:$AI$54,21,0)+VLOOKUP(J57,'Feuerwaffen-Ressourcen'!$A$2:$AI$54,21,0)</f>
        <v>-31</v>
      </c>
      <c r="V57" s="50">
        <f>VLOOKUP(B57,'Feuerwaffen-Ressourcen'!$A$2:$AI$54,22,0)+VLOOKUP(C57,'Feuerwaffen-Ressourcen'!$A$2:$AI$54,22,0)+VLOOKUP(D57,'Feuerwaffen-Ressourcen'!$A$2:$AI$54,22,0)+VLOOKUP(F57,'Feuerwaffen-Ressourcen'!$A$2:$AI$54,22,0)+VLOOKUP(G57,'Feuerwaffen-Ressourcen'!$A$2:$AI$54,22,0)+VLOOKUP(I57,'Feuerwaffen-Ressourcen'!$A$2:$AI$54,22,0)+VLOOKUP(J57,'Feuerwaffen-Ressourcen'!$A$2:$AI$54,22,0)</f>
        <v>-44</v>
      </c>
      <c r="W57" s="50">
        <f>VLOOKUP(B57,'Feuerwaffen-Ressourcen'!$A$2:$AI$54,23,0)+VLOOKUP(C57,'Feuerwaffen-Ressourcen'!$A$2:$AI$54,23,0)+VLOOKUP(D57,'Feuerwaffen-Ressourcen'!$A$2:$AI$54,23,0)+VLOOKUP(F57,'Feuerwaffen-Ressourcen'!$A$2:$AI$54,23,0)+VLOOKUP(G57,'Feuerwaffen-Ressourcen'!$A$2:$AI$54,23,0)+VLOOKUP(I57,'Feuerwaffen-Ressourcen'!$A$2:$AI$54,23,0)+VLOOKUP(J57,'Feuerwaffen-Ressourcen'!$A$2:$AI$54,23,0)</f>
        <v>-58</v>
      </c>
      <c r="X57" s="50">
        <f>VLOOKUP(B57,'Feuerwaffen-Ressourcen'!$A$2:$AI$54,24,0)+VLOOKUP(C57,'Feuerwaffen-Ressourcen'!$A$2:$AI$54,24,0)+VLOOKUP(D57,'Feuerwaffen-Ressourcen'!$A$2:$AI$54,24,0)+VLOOKUP(G57,'Feuerwaffen-Ressourcen'!$A$2:$AI$54,24,0)</f>
        <v>10</v>
      </c>
      <c r="Y57" s="50">
        <f>VLOOKUP(D57,'Feuerwaffen-Ressourcen'!$A$2:$AI$54,25,0)+VLOOKUP(E57,'Feuerwaffen-Ressourcen'!$A$2:$AI$54,25,0)+VLOOKUP(F57,'Feuerwaffen-Ressourcen'!$A$2:$AI$54,25,0)</f>
        <v>32</v>
      </c>
      <c r="Z57" s="50">
        <f>VLOOKUP(E57,'Feuerwaffen-Ressourcen'!$A$2:$AI$54,26,0)</f>
        <v>3</v>
      </c>
      <c r="AA57" s="50">
        <f>VLOOKUP(B57,'Feuerwaffen-Ressourcen'!$A$2:$AI$54,27,0)+VLOOKUP(D57,'Feuerwaffen-Ressourcen'!$A$2:$AI$54,27,0)+VLOOKUP(F57,'Feuerwaffen-Ressourcen'!$A$2:$AI$54,27,0)+VLOOKUP(I57,'Feuerwaffen-Ressourcen'!$A$2:$AI$54,27,0)</f>
        <v>3</v>
      </c>
      <c r="AB57" s="50">
        <f>VLOOKUP(B57,'Feuerwaffen-Ressourcen'!$A$2:$AI$54,28,0)+VLOOKUP(C57,'Feuerwaffen-Ressourcen'!$A$2:$AI$54,28,0)+VLOOKUP(D57,'Feuerwaffen-Ressourcen'!$A$2:$AI$54,28,0)+VLOOKUP(E57,'Feuerwaffen-Ressourcen'!$A$2:$AI$54,28,0)+VLOOKUP(F57,'Feuerwaffen-Ressourcen'!$A$2:$AI$54,28,0)+VLOOKUP(G57,'Feuerwaffen-Ressourcen'!$A$2:$AI$54,28,0)+VLOOKUP(I57,'Feuerwaffen-Ressourcen'!$A$2:$AI$54,28,0)+VLOOKUP(J57,'Feuerwaffen-Ressourcen'!$A$2:$AI$54,28,0)</f>
        <v>85</v>
      </c>
      <c r="AC57" s="53">
        <f>VLOOKUP(I57,'Feuerwaffen-Ressourcen'!$A$2:$AI$54,31,0)*AD57+AE57</f>
        <v>491.7</v>
      </c>
      <c r="AD57" s="54">
        <f>VLOOKUP(B57,'Feuerwaffen-Ressourcen'!$A$2:$AI$54,30,0)+VLOOKUP(C57,'Feuerwaffen-Ressourcen'!$A$2:$AI$54,30,0)+VLOOKUP(D57,'Feuerwaffen-Ressourcen'!$A$2:$AI$54,30,0)+VLOOKUP(F57,'Feuerwaffen-Ressourcen'!$A$2:$AI$54,30,0)+VLOOKUP(G57,'Feuerwaffen-Ressourcen'!$A$2:$AI$54,30,0)+VLOOKUP(I57,'Feuerwaffen-Ressourcen'!$A$2:$AI$54,30,0)+VLOOKUP(J57,'Feuerwaffen-Ressourcen'!$A$2:$AI$54,30,0)</f>
        <v>5.1999999999999993</v>
      </c>
      <c r="AE57" s="53">
        <f>(VLOOKUP(C57,'Feuerwaffen-Ressourcen'!$A$2:$AI$54,32,0)+VLOOKUP(I57,'Feuerwaffen-Ressourcen'!$A$2:$AI$54,32,0))*(VLOOKUP(B57,'Feuerwaffen-Ressourcen'!$A$2:$AI$54,34,0)+VLOOKUP(C57,'Feuerwaffen-Ressourcen'!$A$2:$AI$54,34,0)+VLOOKUP(D57,'Feuerwaffen-Ressourcen'!$A$2:$AI$54,34,0)+VLOOKUP(E57,'Feuerwaffen-Ressourcen'!$A$2:$AI$54,34,0)+VLOOKUP(G57,'Feuerwaffen-Ressourcen'!$A$2:$AI$54,34,0))+VLOOKUP(B57,'Feuerwaffen-Ressourcen'!$A$2:$AI$54,35,0)+VLOOKUP(C57,'Feuerwaffen-Ressourcen'!$A$2:$AI$54,35,0)+VLOOKUP(D57,'Feuerwaffen-Ressourcen'!$A$2:$AI$54,35,0)</f>
        <v>470.9</v>
      </c>
      <c r="AF57" s="55">
        <f>VLOOKUP(AB57,'Feuerwaffen-Ressourcen'!$AO$3:$AP$9,2,1)</f>
        <v>6</v>
      </c>
      <c r="AG57" s="55">
        <v>0</v>
      </c>
      <c r="AH57" s="28" t="s">
        <v>1420</v>
      </c>
      <c r="AI57" s="28" t="s">
        <v>8657</v>
      </c>
      <c r="AJ57" s="56">
        <v>3</v>
      </c>
      <c r="AK57" s="56" t="s">
        <v>5497</v>
      </c>
      <c r="AL57" s="56" t="s">
        <v>5486</v>
      </c>
      <c r="AM57" s="56">
        <v>3</v>
      </c>
      <c r="AN57" s="56">
        <v>5</v>
      </c>
      <c r="AO57" s="56">
        <v>4</v>
      </c>
      <c r="AP57" s="56">
        <v>4</v>
      </c>
      <c r="AQ57" s="56">
        <f>VLOOKUP(B57,'Feuerwaffen-Ressourcen'!$A$2:$AI$54,12,0)+VLOOKUP(C57,'Feuerwaffen-Ressourcen'!$A$2:$AI$54,12,0)+VLOOKUP(D57,'Feuerwaffen-Ressourcen'!$A$2:$AI$54,12,0)+VLOOKUP(J57,'Feuerwaffen-Ressourcen'!$A$2:$AI$54,12,0)</f>
        <v>15</v>
      </c>
      <c r="AR57" s="56">
        <f>VLOOKUP(B57,'Feuerwaffen-Ressourcen'!$A$2:$AI$54,12,0)+VLOOKUP(C57,'Feuerwaffen-Ressourcen'!$A$2:$AI$54,12,0)+VLOOKUP(D57,'Feuerwaffen-Ressourcen'!$A$2:$AI$54,12,0)+VLOOKUP(J57,'Feuerwaffen-Ressourcen'!$A$2:$AI$54,12,0)</f>
        <v>15</v>
      </c>
      <c r="AS57" s="56">
        <v>5</v>
      </c>
      <c r="AT57" s="56">
        <v>6</v>
      </c>
    </row>
    <row r="58" spans="1:46">
      <c r="A58" s="49" t="s">
        <v>8882</v>
      </c>
      <c r="B58" s="49" t="s">
        <v>1200</v>
      </c>
      <c r="C58" s="49" t="s">
        <v>8921</v>
      </c>
      <c r="D58" s="49" t="s">
        <v>8924</v>
      </c>
      <c r="E58" s="49" t="s">
        <v>8258</v>
      </c>
      <c r="F58" s="49" t="s">
        <v>8928</v>
      </c>
      <c r="G58" s="49" t="s">
        <v>8923</v>
      </c>
      <c r="H58" s="49" t="s">
        <v>8271</v>
      </c>
      <c r="I58" s="49" t="s">
        <v>7341</v>
      </c>
      <c r="J58" s="49" t="s">
        <v>7320</v>
      </c>
      <c r="K58" s="51">
        <f>VLOOKUP(B58,'Feuerwaffen-Ressourcen'!$A$2:$AI$54,11,0)+VLOOKUP(C58,'Feuerwaffen-Ressourcen'!$A$2:$AI$54,11,0)+VLOOKUP(D58,'Feuerwaffen-Ressourcen'!$A$2:$AI$54,11,0)+VLOOKUP(E58,'Feuerwaffen-Ressourcen'!$A$2:$AI$54,11,0)+VLOOKUP(G58,'Feuerwaffen-Ressourcen'!$A$2:$AI$54,11,0)</f>
        <v>6.8</v>
      </c>
      <c r="L58" s="50">
        <f>VLOOKUP(B58,'Feuerwaffen-Ressourcen'!$A$2:$AI$54,12,0)+VLOOKUP(C58,'Feuerwaffen-Ressourcen'!$A$2:$AI$54,12,0)+VLOOKUP(D58,'Feuerwaffen-Ressourcen'!$A$2:$AI$54,12,0)+VLOOKUP(J58,'Feuerwaffen-Ressourcen'!$A$2:$AI$54,12,0)</f>
        <v>15</v>
      </c>
      <c r="M58" s="50" t="str">
        <f>VLOOKUP(VLOOKUP(B58,'Feuerwaffen-Ressourcen'!$A$2:$AI$54,13,0)+VLOOKUP(C58,'Feuerwaffen-Ressourcen'!$A$2:$AI$54,13,0)+VLOOKUP(D58,'Feuerwaffen-Ressourcen'!$A$2:$AI$54,13,0),'Feuerwaffen-Ressourcen'!$AJ$3:$AK$12,2,0)</f>
        <v>W15</v>
      </c>
      <c r="N58" s="50" t="str">
        <f>VLOOKUP(VLOOKUP(B58,'Feuerwaffen-Ressourcen'!$A$2:$AI$54,14,0)+VLOOKUP(C58,'Feuerwaffen-Ressourcen'!$A$2:$AI$54,14,0)+VLOOKUP(D58,'Feuerwaffen-Ressourcen'!$A$2:$AI$54,14,0),'Feuerwaffen-Ressourcen'!$AJ$3:$AK$12,2,0)</f>
        <v>W15</v>
      </c>
      <c r="O58" s="50">
        <f>VLOOKUP(B58,'Feuerwaffen-Ressourcen'!$A$2:$AI$54,15,0)+VLOOKUP(C58,'Feuerwaffen-Ressourcen'!$A$2:$AI$54,15,0)+VLOOKUP(D58,'Feuerwaffen-Ressourcen'!$A$2:$AI$54,15,0)</f>
        <v>3</v>
      </c>
      <c r="P58" s="50">
        <f>VLOOKUP(B58,'Feuerwaffen-Ressourcen'!$A$2:$AI$54,16,0)+VLOOKUP(C58,'Feuerwaffen-Ressourcen'!$A$2:$AI$54,16,0)+VLOOKUP(D58,'Feuerwaffen-Ressourcen'!$A$2:$AI$54,16,0)+VLOOKUP(E58,'Feuerwaffen-Ressourcen'!$A$2:$AI$54,16,0)</f>
        <v>11</v>
      </c>
      <c r="Q58" s="52">
        <f>VLOOKUP(B58,'Feuerwaffen-Ressourcen'!$A$2:$AI$54,17,0)+VLOOKUP(C58,'Feuerwaffen-Ressourcen'!$A$2:$AI$54,17,0)+VLOOKUP(D58,'Feuerwaffen-Ressourcen'!$A$2:$AI$54,17,0)+VLOOKUP(E58,'Feuerwaffen-Ressourcen'!$A$2:$AI$54,17,0)</f>
        <v>20</v>
      </c>
      <c r="R58" s="50">
        <f>VLOOKUP(B58,'Feuerwaffen-Ressourcen'!$A$2:$AI$54,18,0)+VLOOKUP(C58,'Feuerwaffen-Ressourcen'!$A$2:$AI$54,18,0)+VLOOKUP(D58,'Feuerwaffen-Ressourcen'!$A$2:$AI$54,18,0)+VLOOKUP(F58,'Feuerwaffen-Ressourcen'!$A$2:$AI$54,18,0)+VLOOKUP(G58,'Feuerwaffen-Ressourcen'!$A$2:$AI$54,18,0)+VLOOKUP(I58,'Feuerwaffen-Ressourcen'!$A$2:$AI$54,18,0)+VLOOKUP(J58,'Feuerwaffen-Ressourcen'!$A$2:$AI$54,18,0)</f>
        <v>1</v>
      </c>
      <c r="S58" s="50">
        <f>VLOOKUP(B58,'Feuerwaffen-Ressourcen'!$A$2:$AI$54,19,0)+VLOOKUP(C58,'Feuerwaffen-Ressourcen'!$A$2:$AI$54,19,0)+VLOOKUP(D58,'Feuerwaffen-Ressourcen'!$A$2:$AI$54,19,0)+VLOOKUP(F58,'Feuerwaffen-Ressourcen'!$A$2:$AI$54,19,0)+VLOOKUP(G58,'Feuerwaffen-Ressourcen'!$A$2:$AI$54,19,0)+VLOOKUP(I58,'Feuerwaffen-Ressourcen'!$A$2:$AI$54,19,0)+VLOOKUP(J58,'Feuerwaffen-Ressourcen'!$A$2:$AI$54,19,0)</f>
        <v>-4</v>
      </c>
      <c r="T58" s="50">
        <f>VLOOKUP(B58,'Feuerwaffen-Ressourcen'!$A$2:$AI$54,20,0)+VLOOKUP(C58,'Feuerwaffen-Ressourcen'!$A$2:$AI$54,20,0)+VLOOKUP(D58,'Feuerwaffen-Ressourcen'!$A$2:$AI$54,20,0)+VLOOKUP(F58,'Feuerwaffen-Ressourcen'!$A$2:$AI$54,20,0)+VLOOKUP(G58,'Feuerwaffen-Ressourcen'!$A$2:$AI$54,20,0)+VLOOKUP(I58,'Feuerwaffen-Ressourcen'!$A$2:$AI$54,20,0)+VLOOKUP(J58,'Feuerwaffen-Ressourcen'!$A$2:$AI$54,20,0)</f>
        <v>-9</v>
      </c>
      <c r="U58" s="50">
        <f>VLOOKUP(B58,'Feuerwaffen-Ressourcen'!$A$2:$AI$54,21,0)+VLOOKUP(C58,'Feuerwaffen-Ressourcen'!$A$2:$AI$54,21,0)+VLOOKUP(D58,'Feuerwaffen-Ressourcen'!$A$2:$AI$54,21,0)+VLOOKUP(F58,'Feuerwaffen-Ressourcen'!$A$2:$AI$54,21,0)+VLOOKUP(G58,'Feuerwaffen-Ressourcen'!$A$2:$AI$54,21,0)+VLOOKUP(I58,'Feuerwaffen-Ressourcen'!$A$2:$AI$54,21,0)+VLOOKUP(J58,'Feuerwaffen-Ressourcen'!$A$2:$AI$54,21,0)</f>
        <v>-16</v>
      </c>
      <c r="V58" s="50">
        <f>VLOOKUP(B58,'Feuerwaffen-Ressourcen'!$A$2:$AI$54,22,0)+VLOOKUP(C58,'Feuerwaffen-Ressourcen'!$A$2:$AI$54,22,0)+VLOOKUP(D58,'Feuerwaffen-Ressourcen'!$A$2:$AI$54,22,0)+VLOOKUP(F58,'Feuerwaffen-Ressourcen'!$A$2:$AI$54,22,0)+VLOOKUP(G58,'Feuerwaffen-Ressourcen'!$A$2:$AI$54,22,0)+VLOOKUP(I58,'Feuerwaffen-Ressourcen'!$A$2:$AI$54,22,0)+VLOOKUP(J58,'Feuerwaffen-Ressourcen'!$A$2:$AI$54,22,0)</f>
        <v>-24</v>
      </c>
      <c r="W58" s="50">
        <f>VLOOKUP(B58,'Feuerwaffen-Ressourcen'!$A$2:$AI$54,23,0)+VLOOKUP(C58,'Feuerwaffen-Ressourcen'!$A$2:$AI$54,23,0)+VLOOKUP(D58,'Feuerwaffen-Ressourcen'!$A$2:$AI$54,23,0)+VLOOKUP(F58,'Feuerwaffen-Ressourcen'!$A$2:$AI$54,23,0)+VLOOKUP(G58,'Feuerwaffen-Ressourcen'!$A$2:$AI$54,23,0)+VLOOKUP(I58,'Feuerwaffen-Ressourcen'!$A$2:$AI$54,23,0)+VLOOKUP(J58,'Feuerwaffen-Ressourcen'!$A$2:$AI$54,23,0)</f>
        <v>-33</v>
      </c>
      <c r="X58" s="50">
        <f>VLOOKUP(B58,'Feuerwaffen-Ressourcen'!$A$2:$AI$54,24,0)+VLOOKUP(C58,'Feuerwaffen-Ressourcen'!$A$2:$AI$54,24,0)+VLOOKUP(D58,'Feuerwaffen-Ressourcen'!$A$2:$AI$54,24,0)+VLOOKUP(G58,'Feuerwaffen-Ressourcen'!$A$2:$AI$54,24,0)</f>
        <v>50</v>
      </c>
      <c r="Y58" s="50">
        <f>VLOOKUP(D58,'Feuerwaffen-Ressourcen'!$A$2:$AI$54,25,0)+VLOOKUP(E58,'Feuerwaffen-Ressourcen'!$A$2:$AI$54,25,0)+VLOOKUP(F58,'Feuerwaffen-Ressourcen'!$A$2:$AI$54,25,0)</f>
        <v>32</v>
      </c>
      <c r="Z58" s="50">
        <f>VLOOKUP(E58,'Feuerwaffen-Ressourcen'!$A$2:$AI$54,26,0)</f>
        <v>3</v>
      </c>
      <c r="AA58" s="50">
        <f>VLOOKUP(B58,'Feuerwaffen-Ressourcen'!$A$2:$AI$54,27,0)+VLOOKUP(D58,'Feuerwaffen-Ressourcen'!$A$2:$AI$54,27,0)+VLOOKUP(F58,'Feuerwaffen-Ressourcen'!$A$2:$AI$54,27,0)+VLOOKUP(I58,'Feuerwaffen-Ressourcen'!$A$2:$AI$54,27,0)</f>
        <v>3</v>
      </c>
      <c r="AB58" s="50">
        <f>VLOOKUP(B58,'Feuerwaffen-Ressourcen'!$A$2:$AI$54,28,0)+VLOOKUP(C58,'Feuerwaffen-Ressourcen'!$A$2:$AI$54,28,0)+VLOOKUP(D58,'Feuerwaffen-Ressourcen'!$A$2:$AI$54,28,0)+VLOOKUP(E58,'Feuerwaffen-Ressourcen'!$A$2:$AI$54,28,0)+VLOOKUP(F58,'Feuerwaffen-Ressourcen'!$A$2:$AI$54,28,0)+VLOOKUP(G58,'Feuerwaffen-Ressourcen'!$A$2:$AI$54,28,0)+VLOOKUP(I58,'Feuerwaffen-Ressourcen'!$A$2:$AI$54,28,0)+VLOOKUP(J58,'Feuerwaffen-Ressourcen'!$A$2:$AI$54,28,0)</f>
        <v>90</v>
      </c>
      <c r="AC58" s="53">
        <f>VLOOKUP(I58,'Feuerwaffen-Ressourcen'!$A$2:$AI$54,31,0)*AD58+AE58</f>
        <v>491.7</v>
      </c>
      <c r="AD58" s="54">
        <f>VLOOKUP(B58,'Feuerwaffen-Ressourcen'!$A$2:$AI$54,30,0)+VLOOKUP(C58,'Feuerwaffen-Ressourcen'!$A$2:$AI$54,30,0)+VLOOKUP(D58,'Feuerwaffen-Ressourcen'!$A$2:$AI$54,30,0)+VLOOKUP(F58,'Feuerwaffen-Ressourcen'!$A$2:$AI$54,30,0)+VLOOKUP(G58,'Feuerwaffen-Ressourcen'!$A$2:$AI$54,30,0)+VLOOKUP(I58,'Feuerwaffen-Ressourcen'!$A$2:$AI$54,30,0)+VLOOKUP(J58,'Feuerwaffen-Ressourcen'!$A$2:$AI$54,30,0)</f>
        <v>5.1999999999999993</v>
      </c>
      <c r="AE58" s="53">
        <f>(VLOOKUP(C58,'Feuerwaffen-Ressourcen'!$A$2:$AI$54,32,0)+VLOOKUP(I58,'Feuerwaffen-Ressourcen'!$A$2:$AI$54,32,0))*(VLOOKUP(B58,'Feuerwaffen-Ressourcen'!$A$2:$AI$54,34,0)+VLOOKUP(C58,'Feuerwaffen-Ressourcen'!$A$2:$AI$54,34,0)+VLOOKUP(D58,'Feuerwaffen-Ressourcen'!$A$2:$AI$54,34,0)+VLOOKUP(E58,'Feuerwaffen-Ressourcen'!$A$2:$AI$54,34,0)+VLOOKUP(G58,'Feuerwaffen-Ressourcen'!$A$2:$AI$54,34,0))+VLOOKUP(B58,'Feuerwaffen-Ressourcen'!$A$2:$AI$54,35,0)+VLOOKUP(C58,'Feuerwaffen-Ressourcen'!$A$2:$AI$54,35,0)+VLOOKUP(D58,'Feuerwaffen-Ressourcen'!$A$2:$AI$54,35,0)</f>
        <v>470.9</v>
      </c>
      <c r="AF58" s="55">
        <f>VLOOKUP(AB58,'Feuerwaffen-Ressourcen'!$AO$3:$AP$9,2,1)</f>
        <v>5</v>
      </c>
      <c r="AG58" s="55">
        <v>0</v>
      </c>
      <c r="AH58" s="28" t="s">
        <v>1420</v>
      </c>
      <c r="AI58" s="28" t="s">
        <v>8657</v>
      </c>
      <c r="AJ58" s="56">
        <v>3</v>
      </c>
      <c r="AK58" s="56" t="s">
        <v>5497</v>
      </c>
      <c r="AL58" s="56" t="s">
        <v>5486</v>
      </c>
      <c r="AM58" s="56">
        <v>3</v>
      </c>
      <c r="AN58" s="56">
        <v>5</v>
      </c>
      <c r="AO58" s="56">
        <v>4</v>
      </c>
      <c r="AP58" s="56">
        <v>4</v>
      </c>
      <c r="AQ58" s="56">
        <f>VLOOKUP(B58,'Feuerwaffen-Ressourcen'!$A$2:$AI$54,12,0)+VLOOKUP(C58,'Feuerwaffen-Ressourcen'!$A$2:$AI$54,12,0)+VLOOKUP(D58,'Feuerwaffen-Ressourcen'!$A$2:$AI$54,12,0)+VLOOKUP(J58,'Feuerwaffen-Ressourcen'!$A$2:$AI$54,12,0)</f>
        <v>15</v>
      </c>
      <c r="AR58" s="56">
        <f>VLOOKUP(B58,'Feuerwaffen-Ressourcen'!$A$2:$AI$54,12,0)+VLOOKUP(C58,'Feuerwaffen-Ressourcen'!$A$2:$AI$54,12,0)+VLOOKUP(D58,'Feuerwaffen-Ressourcen'!$A$2:$AI$54,12,0)+VLOOKUP(J58,'Feuerwaffen-Ressourcen'!$A$2:$AI$54,12,0)</f>
        <v>15</v>
      </c>
      <c r="AS58" s="56">
        <v>5</v>
      </c>
      <c r="AT58" s="56">
        <v>6</v>
      </c>
    </row>
    <row r="59" spans="1:46">
      <c r="A59" s="49" t="s">
        <v>8883</v>
      </c>
      <c r="B59" s="49" t="s">
        <v>1200</v>
      </c>
      <c r="C59" s="49" t="s">
        <v>8921</v>
      </c>
      <c r="D59" s="49" t="s">
        <v>8912</v>
      </c>
      <c r="E59" s="49" t="s">
        <v>8258</v>
      </c>
      <c r="F59" s="49" t="s">
        <v>8928</v>
      </c>
      <c r="G59" s="49" t="s">
        <v>8923</v>
      </c>
      <c r="H59" s="49" t="s">
        <v>8271</v>
      </c>
      <c r="I59" s="49" t="s">
        <v>7341</v>
      </c>
      <c r="J59" s="49" t="s">
        <v>7320</v>
      </c>
      <c r="K59" s="51">
        <f>VLOOKUP(B59,'Feuerwaffen-Ressourcen'!$A$2:$AI$54,11,0)+VLOOKUP(C59,'Feuerwaffen-Ressourcen'!$A$2:$AI$54,11,0)+VLOOKUP(D59,'Feuerwaffen-Ressourcen'!$A$2:$AI$54,11,0)+VLOOKUP(E59,'Feuerwaffen-Ressourcen'!$A$2:$AI$54,11,0)+VLOOKUP(G59,'Feuerwaffen-Ressourcen'!$A$2:$AI$54,11,0)</f>
        <v>5.8</v>
      </c>
      <c r="L59" s="50">
        <f>VLOOKUP(B59,'Feuerwaffen-Ressourcen'!$A$2:$AI$54,12,0)+VLOOKUP(C59,'Feuerwaffen-Ressourcen'!$A$2:$AI$54,12,0)+VLOOKUP(D59,'Feuerwaffen-Ressourcen'!$A$2:$AI$54,12,0)+VLOOKUP(J59,'Feuerwaffen-Ressourcen'!$A$2:$AI$54,12,0)</f>
        <v>13</v>
      </c>
      <c r="M59" s="50" t="str">
        <f>VLOOKUP(VLOOKUP(B59,'Feuerwaffen-Ressourcen'!$A$2:$AI$54,13,0)+VLOOKUP(C59,'Feuerwaffen-Ressourcen'!$A$2:$AI$54,13,0)+VLOOKUP(D59,'Feuerwaffen-Ressourcen'!$A$2:$AI$54,13,0),'Feuerwaffen-Ressourcen'!$AJ$3:$AK$12,2,0)</f>
        <v>W12</v>
      </c>
      <c r="N59" s="50" t="str">
        <f>VLOOKUP(VLOOKUP(B59,'Feuerwaffen-Ressourcen'!$A$2:$AI$54,14,0)+VLOOKUP(C59,'Feuerwaffen-Ressourcen'!$A$2:$AI$54,14,0)+VLOOKUP(D59,'Feuerwaffen-Ressourcen'!$A$2:$AI$54,14,0),'Feuerwaffen-Ressourcen'!$AJ$3:$AK$12,2,0)</f>
        <v>W12</v>
      </c>
      <c r="O59" s="50">
        <f>VLOOKUP(B59,'Feuerwaffen-Ressourcen'!$A$2:$AI$54,15,0)+VLOOKUP(C59,'Feuerwaffen-Ressourcen'!$A$2:$AI$54,15,0)+VLOOKUP(D59,'Feuerwaffen-Ressourcen'!$A$2:$AI$54,15,0)</f>
        <v>2</v>
      </c>
      <c r="P59" s="50">
        <f>VLOOKUP(B59,'Feuerwaffen-Ressourcen'!$A$2:$AI$54,16,0)+VLOOKUP(C59,'Feuerwaffen-Ressourcen'!$A$2:$AI$54,16,0)+VLOOKUP(D59,'Feuerwaffen-Ressourcen'!$A$2:$AI$54,16,0)+VLOOKUP(E59,'Feuerwaffen-Ressourcen'!$A$2:$AI$54,16,0)</f>
        <v>10</v>
      </c>
      <c r="Q59" s="52">
        <f>VLOOKUP(B59,'Feuerwaffen-Ressourcen'!$A$2:$AI$54,17,0)+VLOOKUP(C59,'Feuerwaffen-Ressourcen'!$A$2:$AI$54,17,0)+VLOOKUP(D59,'Feuerwaffen-Ressourcen'!$A$2:$AI$54,17,0)+VLOOKUP(E59,'Feuerwaffen-Ressourcen'!$A$2:$AI$54,17,0)</f>
        <v>19</v>
      </c>
      <c r="R59" s="50">
        <f>VLOOKUP(B59,'Feuerwaffen-Ressourcen'!$A$2:$AI$54,18,0)+VLOOKUP(C59,'Feuerwaffen-Ressourcen'!$A$2:$AI$54,18,0)+VLOOKUP(D59,'Feuerwaffen-Ressourcen'!$A$2:$AI$54,18,0)+VLOOKUP(F59,'Feuerwaffen-Ressourcen'!$A$2:$AI$54,18,0)+VLOOKUP(G59,'Feuerwaffen-Ressourcen'!$A$2:$AI$54,18,0)+VLOOKUP(I59,'Feuerwaffen-Ressourcen'!$A$2:$AI$54,18,0)+VLOOKUP(J59,'Feuerwaffen-Ressourcen'!$A$2:$AI$54,18,0)</f>
        <v>3</v>
      </c>
      <c r="S59" s="50">
        <f>VLOOKUP(B59,'Feuerwaffen-Ressourcen'!$A$2:$AI$54,19,0)+VLOOKUP(C59,'Feuerwaffen-Ressourcen'!$A$2:$AI$54,19,0)+VLOOKUP(D59,'Feuerwaffen-Ressourcen'!$A$2:$AI$54,19,0)+VLOOKUP(F59,'Feuerwaffen-Ressourcen'!$A$2:$AI$54,19,0)+VLOOKUP(G59,'Feuerwaffen-Ressourcen'!$A$2:$AI$54,19,0)+VLOOKUP(I59,'Feuerwaffen-Ressourcen'!$A$2:$AI$54,19,0)+VLOOKUP(J59,'Feuerwaffen-Ressourcen'!$A$2:$AI$54,19,0)</f>
        <v>-3</v>
      </c>
      <c r="T59" s="50">
        <f>VLOOKUP(B59,'Feuerwaffen-Ressourcen'!$A$2:$AI$54,20,0)+VLOOKUP(C59,'Feuerwaffen-Ressourcen'!$A$2:$AI$54,20,0)+VLOOKUP(D59,'Feuerwaffen-Ressourcen'!$A$2:$AI$54,20,0)+VLOOKUP(F59,'Feuerwaffen-Ressourcen'!$A$2:$AI$54,20,0)+VLOOKUP(G59,'Feuerwaffen-Ressourcen'!$A$2:$AI$54,20,0)+VLOOKUP(I59,'Feuerwaffen-Ressourcen'!$A$2:$AI$54,20,0)+VLOOKUP(J59,'Feuerwaffen-Ressourcen'!$A$2:$AI$54,20,0)</f>
        <v>-9</v>
      </c>
      <c r="U59" s="50">
        <f>VLOOKUP(B59,'Feuerwaffen-Ressourcen'!$A$2:$AI$54,21,0)+VLOOKUP(C59,'Feuerwaffen-Ressourcen'!$A$2:$AI$54,21,0)+VLOOKUP(D59,'Feuerwaffen-Ressourcen'!$A$2:$AI$54,21,0)+VLOOKUP(F59,'Feuerwaffen-Ressourcen'!$A$2:$AI$54,21,0)+VLOOKUP(G59,'Feuerwaffen-Ressourcen'!$A$2:$AI$54,21,0)+VLOOKUP(I59,'Feuerwaffen-Ressourcen'!$A$2:$AI$54,21,0)+VLOOKUP(J59,'Feuerwaffen-Ressourcen'!$A$2:$AI$54,21,0)</f>
        <v>-16</v>
      </c>
      <c r="V59" s="50">
        <f>VLOOKUP(B59,'Feuerwaffen-Ressourcen'!$A$2:$AI$54,22,0)+VLOOKUP(C59,'Feuerwaffen-Ressourcen'!$A$2:$AI$54,22,0)+VLOOKUP(D59,'Feuerwaffen-Ressourcen'!$A$2:$AI$54,22,0)+VLOOKUP(F59,'Feuerwaffen-Ressourcen'!$A$2:$AI$54,22,0)+VLOOKUP(G59,'Feuerwaffen-Ressourcen'!$A$2:$AI$54,22,0)+VLOOKUP(I59,'Feuerwaffen-Ressourcen'!$A$2:$AI$54,22,0)+VLOOKUP(J59,'Feuerwaffen-Ressourcen'!$A$2:$AI$54,22,0)</f>
        <v>-24</v>
      </c>
      <c r="W59" s="50">
        <f>VLOOKUP(B59,'Feuerwaffen-Ressourcen'!$A$2:$AI$54,23,0)+VLOOKUP(C59,'Feuerwaffen-Ressourcen'!$A$2:$AI$54,23,0)+VLOOKUP(D59,'Feuerwaffen-Ressourcen'!$A$2:$AI$54,23,0)+VLOOKUP(F59,'Feuerwaffen-Ressourcen'!$A$2:$AI$54,23,0)+VLOOKUP(G59,'Feuerwaffen-Ressourcen'!$A$2:$AI$54,23,0)+VLOOKUP(I59,'Feuerwaffen-Ressourcen'!$A$2:$AI$54,23,0)+VLOOKUP(J59,'Feuerwaffen-Ressourcen'!$A$2:$AI$54,23,0)</f>
        <v>-33</v>
      </c>
      <c r="X59" s="50">
        <f>VLOOKUP(B59,'Feuerwaffen-Ressourcen'!$A$2:$AI$54,24,0)+VLOOKUP(C59,'Feuerwaffen-Ressourcen'!$A$2:$AI$54,24,0)+VLOOKUP(D59,'Feuerwaffen-Ressourcen'!$A$2:$AI$54,24,0)+VLOOKUP(G59,'Feuerwaffen-Ressourcen'!$A$2:$AI$54,24,0)</f>
        <v>30</v>
      </c>
      <c r="Y59" s="50">
        <f>VLOOKUP(D59,'Feuerwaffen-Ressourcen'!$A$2:$AI$54,25,0)+VLOOKUP(E59,'Feuerwaffen-Ressourcen'!$A$2:$AI$54,25,0)+VLOOKUP(F59,'Feuerwaffen-Ressourcen'!$A$2:$AI$54,25,0)</f>
        <v>30</v>
      </c>
      <c r="Z59" s="50">
        <f>VLOOKUP(E59,'Feuerwaffen-Ressourcen'!$A$2:$AI$54,26,0)</f>
        <v>3</v>
      </c>
      <c r="AA59" s="50">
        <f>VLOOKUP(B59,'Feuerwaffen-Ressourcen'!$A$2:$AI$54,27,0)+VLOOKUP(D59,'Feuerwaffen-Ressourcen'!$A$2:$AI$54,27,0)+VLOOKUP(F59,'Feuerwaffen-Ressourcen'!$A$2:$AI$54,27,0)+VLOOKUP(I59,'Feuerwaffen-Ressourcen'!$A$2:$AI$54,27,0)</f>
        <v>3</v>
      </c>
      <c r="AB59" s="50">
        <f>VLOOKUP(B59,'Feuerwaffen-Ressourcen'!$A$2:$AI$54,28,0)+VLOOKUP(C59,'Feuerwaffen-Ressourcen'!$A$2:$AI$54,28,0)+VLOOKUP(D59,'Feuerwaffen-Ressourcen'!$A$2:$AI$54,28,0)+VLOOKUP(E59,'Feuerwaffen-Ressourcen'!$A$2:$AI$54,28,0)+VLOOKUP(F59,'Feuerwaffen-Ressourcen'!$A$2:$AI$54,28,0)+VLOOKUP(G59,'Feuerwaffen-Ressourcen'!$A$2:$AI$54,28,0)+VLOOKUP(I59,'Feuerwaffen-Ressourcen'!$A$2:$AI$54,28,0)+VLOOKUP(J59,'Feuerwaffen-Ressourcen'!$A$2:$AI$54,28,0)</f>
        <v>100</v>
      </c>
      <c r="AC59" s="53">
        <f>VLOOKUP(I59,'Feuerwaffen-Ressourcen'!$A$2:$AI$54,31,0)*AD59+AE59</f>
        <v>367.7</v>
      </c>
      <c r="AD59" s="54">
        <f>VLOOKUP(B59,'Feuerwaffen-Ressourcen'!$A$2:$AI$54,30,0)+VLOOKUP(C59,'Feuerwaffen-Ressourcen'!$A$2:$AI$54,30,0)+VLOOKUP(D59,'Feuerwaffen-Ressourcen'!$A$2:$AI$54,30,0)+VLOOKUP(F59,'Feuerwaffen-Ressourcen'!$A$2:$AI$54,30,0)+VLOOKUP(G59,'Feuerwaffen-Ressourcen'!$A$2:$AI$54,30,0)+VLOOKUP(I59,'Feuerwaffen-Ressourcen'!$A$2:$AI$54,30,0)+VLOOKUP(J59,'Feuerwaffen-Ressourcen'!$A$2:$AI$54,30,0)</f>
        <v>4.2</v>
      </c>
      <c r="AE59" s="53">
        <f>(VLOOKUP(C59,'Feuerwaffen-Ressourcen'!$A$2:$AI$54,32,0)+VLOOKUP(I59,'Feuerwaffen-Ressourcen'!$A$2:$AI$54,32,0))*(VLOOKUP(B59,'Feuerwaffen-Ressourcen'!$A$2:$AI$54,34,0)+VLOOKUP(C59,'Feuerwaffen-Ressourcen'!$A$2:$AI$54,34,0)+VLOOKUP(D59,'Feuerwaffen-Ressourcen'!$A$2:$AI$54,34,0)+VLOOKUP(E59,'Feuerwaffen-Ressourcen'!$A$2:$AI$54,34,0)+VLOOKUP(G59,'Feuerwaffen-Ressourcen'!$A$2:$AI$54,34,0))+VLOOKUP(B59,'Feuerwaffen-Ressourcen'!$A$2:$AI$54,35,0)+VLOOKUP(C59,'Feuerwaffen-Ressourcen'!$A$2:$AI$54,35,0)+VLOOKUP(D59,'Feuerwaffen-Ressourcen'!$A$2:$AI$54,35,0)</f>
        <v>350.9</v>
      </c>
      <c r="AF59" s="55">
        <f>VLOOKUP(AB59,'Feuerwaffen-Ressourcen'!$AO$3:$AP$9,2,1)</f>
        <v>5</v>
      </c>
      <c r="AG59" s="55">
        <v>0</v>
      </c>
      <c r="AH59" s="28" t="s">
        <v>1420</v>
      </c>
      <c r="AI59" s="28" t="s">
        <v>8657</v>
      </c>
      <c r="AJ59" s="56">
        <v>3</v>
      </c>
      <c r="AK59" s="56" t="s">
        <v>5497</v>
      </c>
      <c r="AL59" s="56" t="s">
        <v>5486</v>
      </c>
      <c r="AM59" s="56">
        <v>3</v>
      </c>
      <c r="AN59" s="56">
        <v>5</v>
      </c>
      <c r="AO59" s="56">
        <v>4</v>
      </c>
      <c r="AP59" s="56">
        <v>4</v>
      </c>
      <c r="AQ59" s="56">
        <f>VLOOKUP(B59,'Feuerwaffen-Ressourcen'!$A$2:$AI$54,12,0)+VLOOKUP(C59,'Feuerwaffen-Ressourcen'!$A$2:$AI$54,12,0)+VLOOKUP(D59,'Feuerwaffen-Ressourcen'!$A$2:$AI$54,12,0)+VLOOKUP(J59,'Feuerwaffen-Ressourcen'!$A$2:$AI$54,12,0)</f>
        <v>13</v>
      </c>
      <c r="AR59" s="56">
        <f>VLOOKUP(B59,'Feuerwaffen-Ressourcen'!$A$2:$AI$54,12,0)+VLOOKUP(C59,'Feuerwaffen-Ressourcen'!$A$2:$AI$54,12,0)+VLOOKUP(D59,'Feuerwaffen-Ressourcen'!$A$2:$AI$54,12,0)+VLOOKUP(J59,'Feuerwaffen-Ressourcen'!$A$2:$AI$54,12,0)</f>
        <v>13</v>
      </c>
      <c r="AS59" s="56">
        <v>5</v>
      </c>
      <c r="AT59" s="56">
        <v>6</v>
      </c>
    </row>
    <row r="60" spans="1:46">
      <c r="A60" s="49" t="s">
        <v>8884</v>
      </c>
      <c r="B60" s="49" t="s">
        <v>1200</v>
      </c>
      <c r="C60" s="49" t="s">
        <v>8921</v>
      </c>
      <c r="D60" s="49" t="s">
        <v>8938</v>
      </c>
      <c r="E60" s="49" t="s">
        <v>8258</v>
      </c>
      <c r="F60" s="49" t="s">
        <v>8936</v>
      </c>
      <c r="G60" s="49" t="s">
        <v>8923</v>
      </c>
      <c r="H60" s="49" t="s">
        <v>8271</v>
      </c>
      <c r="I60" s="49" t="s">
        <v>7341</v>
      </c>
      <c r="J60" s="49" t="s">
        <v>7320</v>
      </c>
      <c r="K60" s="51">
        <f>VLOOKUP(B60,'Feuerwaffen-Ressourcen'!$A$2:$AI$54,11,0)+VLOOKUP(C60,'Feuerwaffen-Ressourcen'!$A$2:$AI$54,11,0)+VLOOKUP(D60,'Feuerwaffen-Ressourcen'!$A$2:$AI$54,11,0)+VLOOKUP(E60,'Feuerwaffen-Ressourcen'!$A$2:$AI$54,11,0)+VLOOKUP(G60,'Feuerwaffen-Ressourcen'!$A$2:$AI$54,11,0)</f>
        <v>4.8999999999999995</v>
      </c>
      <c r="L60" s="50">
        <f>VLOOKUP(B60,'Feuerwaffen-Ressourcen'!$A$2:$AI$54,12,0)+VLOOKUP(C60,'Feuerwaffen-Ressourcen'!$A$2:$AI$54,12,0)+VLOOKUP(D60,'Feuerwaffen-Ressourcen'!$A$2:$AI$54,12,0)+VLOOKUP(J60,'Feuerwaffen-Ressourcen'!$A$2:$AI$54,12,0)</f>
        <v>12</v>
      </c>
      <c r="M60" s="50" t="str">
        <f>VLOOKUP(VLOOKUP(B60,'Feuerwaffen-Ressourcen'!$A$2:$AI$54,13,0)+VLOOKUP(C60,'Feuerwaffen-Ressourcen'!$A$2:$AI$54,13,0)+VLOOKUP(D60,'Feuerwaffen-Ressourcen'!$A$2:$AI$54,13,0),'Feuerwaffen-Ressourcen'!$AJ$3:$AK$12,2,0)</f>
        <v>W12</v>
      </c>
      <c r="N60" s="50" t="str">
        <f>VLOOKUP(VLOOKUP(B60,'Feuerwaffen-Ressourcen'!$A$2:$AI$54,14,0)+VLOOKUP(C60,'Feuerwaffen-Ressourcen'!$A$2:$AI$54,14,0)+VLOOKUP(D60,'Feuerwaffen-Ressourcen'!$A$2:$AI$54,14,0),'Feuerwaffen-Ressourcen'!$AJ$3:$AK$12,2,0)</f>
        <v>W12</v>
      </c>
      <c r="O60" s="50">
        <f>VLOOKUP(B60,'Feuerwaffen-Ressourcen'!$A$2:$AI$54,15,0)+VLOOKUP(C60,'Feuerwaffen-Ressourcen'!$A$2:$AI$54,15,0)+VLOOKUP(D60,'Feuerwaffen-Ressourcen'!$A$2:$AI$54,15,0)</f>
        <v>2</v>
      </c>
      <c r="P60" s="50">
        <f>VLOOKUP(B60,'Feuerwaffen-Ressourcen'!$A$2:$AI$54,16,0)+VLOOKUP(C60,'Feuerwaffen-Ressourcen'!$A$2:$AI$54,16,0)+VLOOKUP(D60,'Feuerwaffen-Ressourcen'!$A$2:$AI$54,16,0)+VLOOKUP(E60,'Feuerwaffen-Ressourcen'!$A$2:$AI$54,16,0)</f>
        <v>10</v>
      </c>
      <c r="Q60" s="52">
        <f>VLOOKUP(B60,'Feuerwaffen-Ressourcen'!$A$2:$AI$54,17,0)+VLOOKUP(C60,'Feuerwaffen-Ressourcen'!$A$2:$AI$54,17,0)+VLOOKUP(D60,'Feuerwaffen-Ressourcen'!$A$2:$AI$54,17,0)+VLOOKUP(E60,'Feuerwaffen-Ressourcen'!$A$2:$AI$54,17,0)</f>
        <v>19</v>
      </c>
      <c r="R60" s="50">
        <f>VLOOKUP(B60,'Feuerwaffen-Ressourcen'!$A$2:$AI$54,18,0)+VLOOKUP(C60,'Feuerwaffen-Ressourcen'!$A$2:$AI$54,18,0)+VLOOKUP(D60,'Feuerwaffen-Ressourcen'!$A$2:$AI$54,18,0)+VLOOKUP(F60,'Feuerwaffen-Ressourcen'!$A$2:$AI$54,18,0)+VLOOKUP(G60,'Feuerwaffen-Ressourcen'!$A$2:$AI$54,18,0)+VLOOKUP(I60,'Feuerwaffen-Ressourcen'!$A$2:$AI$54,18,0)+VLOOKUP(J60,'Feuerwaffen-Ressourcen'!$A$2:$AI$54,18,0)</f>
        <v>6</v>
      </c>
      <c r="S60" s="50">
        <f>VLOOKUP(B60,'Feuerwaffen-Ressourcen'!$A$2:$AI$54,19,0)+VLOOKUP(C60,'Feuerwaffen-Ressourcen'!$A$2:$AI$54,19,0)+VLOOKUP(D60,'Feuerwaffen-Ressourcen'!$A$2:$AI$54,19,0)+VLOOKUP(F60,'Feuerwaffen-Ressourcen'!$A$2:$AI$54,19,0)+VLOOKUP(G60,'Feuerwaffen-Ressourcen'!$A$2:$AI$54,19,0)+VLOOKUP(I60,'Feuerwaffen-Ressourcen'!$A$2:$AI$54,19,0)+VLOOKUP(J60,'Feuerwaffen-Ressourcen'!$A$2:$AI$54,19,0)</f>
        <v>-2</v>
      </c>
      <c r="T60" s="50">
        <f>VLOOKUP(B60,'Feuerwaffen-Ressourcen'!$A$2:$AI$54,20,0)+VLOOKUP(C60,'Feuerwaffen-Ressourcen'!$A$2:$AI$54,20,0)+VLOOKUP(D60,'Feuerwaffen-Ressourcen'!$A$2:$AI$54,20,0)+VLOOKUP(F60,'Feuerwaffen-Ressourcen'!$A$2:$AI$54,20,0)+VLOOKUP(G60,'Feuerwaffen-Ressourcen'!$A$2:$AI$54,20,0)+VLOOKUP(I60,'Feuerwaffen-Ressourcen'!$A$2:$AI$54,20,0)+VLOOKUP(J60,'Feuerwaffen-Ressourcen'!$A$2:$AI$54,20,0)</f>
        <v>-10</v>
      </c>
      <c r="U60" s="50">
        <f>VLOOKUP(B60,'Feuerwaffen-Ressourcen'!$A$2:$AI$54,21,0)+VLOOKUP(C60,'Feuerwaffen-Ressourcen'!$A$2:$AI$54,21,0)+VLOOKUP(D60,'Feuerwaffen-Ressourcen'!$A$2:$AI$54,21,0)+VLOOKUP(F60,'Feuerwaffen-Ressourcen'!$A$2:$AI$54,21,0)+VLOOKUP(G60,'Feuerwaffen-Ressourcen'!$A$2:$AI$54,21,0)+VLOOKUP(I60,'Feuerwaffen-Ressourcen'!$A$2:$AI$54,21,0)+VLOOKUP(J60,'Feuerwaffen-Ressourcen'!$A$2:$AI$54,21,0)</f>
        <v>-19</v>
      </c>
      <c r="V60" s="50">
        <f>VLOOKUP(B60,'Feuerwaffen-Ressourcen'!$A$2:$AI$54,22,0)+VLOOKUP(C60,'Feuerwaffen-Ressourcen'!$A$2:$AI$54,22,0)+VLOOKUP(D60,'Feuerwaffen-Ressourcen'!$A$2:$AI$54,22,0)+VLOOKUP(F60,'Feuerwaffen-Ressourcen'!$A$2:$AI$54,22,0)+VLOOKUP(G60,'Feuerwaffen-Ressourcen'!$A$2:$AI$54,22,0)+VLOOKUP(I60,'Feuerwaffen-Ressourcen'!$A$2:$AI$54,22,0)+VLOOKUP(J60,'Feuerwaffen-Ressourcen'!$A$2:$AI$54,22,0)</f>
        <v>-29</v>
      </c>
      <c r="W60" s="50">
        <f>VLOOKUP(B60,'Feuerwaffen-Ressourcen'!$A$2:$AI$54,23,0)+VLOOKUP(C60,'Feuerwaffen-Ressourcen'!$A$2:$AI$54,23,0)+VLOOKUP(D60,'Feuerwaffen-Ressourcen'!$A$2:$AI$54,23,0)+VLOOKUP(F60,'Feuerwaffen-Ressourcen'!$A$2:$AI$54,23,0)+VLOOKUP(G60,'Feuerwaffen-Ressourcen'!$A$2:$AI$54,23,0)+VLOOKUP(I60,'Feuerwaffen-Ressourcen'!$A$2:$AI$54,23,0)+VLOOKUP(J60,'Feuerwaffen-Ressourcen'!$A$2:$AI$54,23,0)</f>
        <v>-40</v>
      </c>
      <c r="X60" s="50">
        <f>VLOOKUP(B60,'Feuerwaffen-Ressourcen'!$A$2:$AI$54,24,0)+VLOOKUP(C60,'Feuerwaffen-Ressourcen'!$A$2:$AI$54,24,0)+VLOOKUP(D60,'Feuerwaffen-Ressourcen'!$A$2:$AI$54,24,0)+VLOOKUP(G60,'Feuerwaffen-Ressourcen'!$A$2:$AI$54,24,0)</f>
        <v>20</v>
      </c>
      <c r="Y60" s="50">
        <f>VLOOKUP(D60,'Feuerwaffen-Ressourcen'!$A$2:$AI$54,25,0)+VLOOKUP(E60,'Feuerwaffen-Ressourcen'!$A$2:$AI$54,25,0)+VLOOKUP(F60,'Feuerwaffen-Ressourcen'!$A$2:$AI$54,25,0)</f>
        <v>28</v>
      </c>
      <c r="Z60" s="50">
        <f>VLOOKUP(E60,'Feuerwaffen-Ressourcen'!$A$2:$AI$54,26,0)</f>
        <v>3</v>
      </c>
      <c r="AA60" s="50">
        <f>VLOOKUP(B60,'Feuerwaffen-Ressourcen'!$A$2:$AI$54,27,0)+VLOOKUP(D60,'Feuerwaffen-Ressourcen'!$A$2:$AI$54,27,0)+VLOOKUP(F60,'Feuerwaffen-Ressourcen'!$A$2:$AI$54,27,0)+VLOOKUP(I60,'Feuerwaffen-Ressourcen'!$A$2:$AI$54,27,0)</f>
        <v>2</v>
      </c>
      <c r="AB60" s="50">
        <f>VLOOKUP(B60,'Feuerwaffen-Ressourcen'!$A$2:$AI$54,28,0)+VLOOKUP(C60,'Feuerwaffen-Ressourcen'!$A$2:$AI$54,28,0)+VLOOKUP(D60,'Feuerwaffen-Ressourcen'!$A$2:$AI$54,28,0)+VLOOKUP(E60,'Feuerwaffen-Ressourcen'!$A$2:$AI$54,28,0)+VLOOKUP(F60,'Feuerwaffen-Ressourcen'!$A$2:$AI$54,28,0)+VLOOKUP(G60,'Feuerwaffen-Ressourcen'!$A$2:$AI$54,28,0)+VLOOKUP(I60,'Feuerwaffen-Ressourcen'!$A$2:$AI$54,28,0)+VLOOKUP(J60,'Feuerwaffen-Ressourcen'!$A$2:$AI$54,28,0)</f>
        <v>80</v>
      </c>
      <c r="AC60" s="53">
        <f>VLOOKUP(I60,'Feuerwaffen-Ressourcen'!$A$2:$AI$54,31,0)*AD60+AE60</f>
        <v>275.59999999999997</v>
      </c>
      <c r="AD60" s="54">
        <f>VLOOKUP(B60,'Feuerwaffen-Ressourcen'!$A$2:$AI$54,30,0)+VLOOKUP(C60,'Feuerwaffen-Ressourcen'!$A$2:$AI$54,30,0)+VLOOKUP(D60,'Feuerwaffen-Ressourcen'!$A$2:$AI$54,30,0)+VLOOKUP(F60,'Feuerwaffen-Ressourcen'!$A$2:$AI$54,30,0)+VLOOKUP(G60,'Feuerwaffen-Ressourcen'!$A$2:$AI$54,30,0)+VLOOKUP(I60,'Feuerwaffen-Ressourcen'!$A$2:$AI$54,30,0)+VLOOKUP(J60,'Feuerwaffen-Ressourcen'!$A$2:$AI$54,30,0)</f>
        <v>5.1999999999999993</v>
      </c>
      <c r="AE60" s="53">
        <f>(VLOOKUP(C60,'Feuerwaffen-Ressourcen'!$A$2:$AI$54,32,0)+VLOOKUP(I60,'Feuerwaffen-Ressourcen'!$A$2:$AI$54,32,0))*(VLOOKUP(B60,'Feuerwaffen-Ressourcen'!$A$2:$AI$54,34,0)+VLOOKUP(C60,'Feuerwaffen-Ressourcen'!$A$2:$AI$54,34,0)+VLOOKUP(D60,'Feuerwaffen-Ressourcen'!$A$2:$AI$54,34,0)+VLOOKUP(E60,'Feuerwaffen-Ressourcen'!$A$2:$AI$54,34,0)+VLOOKUP(G60,'Feuerwaffen-Ressourcen'!$A$2:$AI$54,34,0))+VLOOKUP(B60,'Feuerwaffen-Ressourcen'!$A$2:$AI$54,35,0)+VLOOKUP(C60,'Feuerwaffen-Ressourcen'!$A$2:$AI$54,35,0)+VLOOKUP(D60,'Feuerwaffen-Ressourcen'!$A$2:$AI$54,35,0)</f>
        <v>254.79999999999995</v>
      </c>
      <c r="AF60" s="55">
        <f>VLOOKUP(AB60,'Feuerwaffen-Ressourcen'!$AO$3:$AP$9,2,1)</f>
        <v>6</v>
      </c>
      <c r="AG60" s="55">
        <v>0</v>
      </c>
      <c r="AH60" s="28" t="s">
        <v>1420</v>
      </c>
      <c r="AI60" s="28" t="s">
        <v>8657</v>
      </c>
      <c r="AJ60" s="56">
        <v>3</v>
      </c>
      <c r="AK60" s="56" t="s">
        <v>5497</v>
      </c>
      <c r="AL60" s="56" t="s">
        <v>5486</v>
      </c>
      <c r="AM60" s="56">
        <v>3</v>
      </c>
      <c r="AN60" s="56">
        <v>5</v>
      </c>
      <c r="AO60" s="56">
        <v>4</v>
      </c>
      <c r="AP60" s="56">
        <v>4</v>
      </c>
      <c r="AQ60" s="56">
        <v>12</v>
      </c>
      <c r="AR60" s="56">
        <v>12</v>
      </c>
      <c r="AS60" s="56">
        <v>5</v>
      </c>
      <c r="AT60" s="56">
        <v>6</v>
      </c>
    </row>
    <row r="61" spans="1:46">
      <c r="A61" s="49" t="s">
        <v>8885</v>
      </c>
      <c r="B61" s="49" t="s">
        <v>1200</v>
      </c>
      <c r="C61" s="49" t="s">
        <v>8921</v>
      </c>
      <c r="D61" s="49" t="s">
        <v>8943</v>
      </c>
      <c r="E61" s="49" t="s">
        <v>8258</v>
      </c>
      <c r="F61" s="49" t="s">
        <v>8928</v>
      </c>
      <c r="G61" s="49" t="s">
        <v>8923</v>
      </c>
      <c r="H61" s="49" t="s">
        <v>8271</v>
      </c>
      <c r="I61" s="49" t="s">
        <v>7341</v>
      </c>
      <c r="J61" s="49" t="s">
        <v>7320</v>
      </c>
      <c r="K61" s="51">
        <f>VLOOKUP(B61,'Feuerwaffen-Ressourcen'!$A$2:$AI$54,11,0)+VLOOKUP(C61,'Feuerwaffen-Ressourcen'!$A$2:$AI$54,11,0)+VLOOKUP(D61,'Feuerwaffen-Ressourcen'!$A$2:$AI$54,11,0)+VLOOKUP(E61,'Feuerwaffen-Ressourcen'!$A$2:$AI$54,11,0)+VLOOKUP(G61,'Feuerwaffen-Ressourcen'!$A$2:$AI$54,11,0)</f>
        <v>13.8</v>
      </c>
      <c r="L61" s="50">
        <f>VLOOKUP(B61,'Feuerwaffen-Ressourcen'!$A$2:$AI$54,12,0)+VLOOKUP(C61,'Feuerwaffen-Ressourcen'!$A$2:$AI$54,12,0)+VLOOKUP(D61,'Feuerwaffen-Ressourcen'!$A$2:$AI$54,12,0)+VLOOKUP(J61,'Feuerwaffen-Ressourcen'!$A$2:$AI$54,12,0)</f>
        <v>21</v>
      </c>
      <c r="M61" s="50" t="str">
        <f>VLOOKUP(VLOOKUP(B61,'Feuerwaffen-Ressourcen'!$A$2:$AI$54,13,0)+VLOOKUP(C61,'Feuerwaffen-Ressourcen'!$A$2:$AI$54,13,0)+VLOOKUP(D61,'Feuerwaffen-Ressourcen'!$A$2:$AI$54,13,0),'Feuerwaffen-Ressourcen'!$AJ$3:$AK$12,2,0)</f>
        <v>W20</v>
      </c>
      <c r="N61" s="50" t="str">
        <f>VLOOKUP(VLOOKUP(B61,'Feuerwaffen-Ressourcen'!$A$2:$AI$54,14,0)+VLOOKUP(C61,'Feuerwaffen-Ressourcen'!$A$2:$AI$54,14,0)+VLOOKUP(D61,'Feuerwaffen-Ressourcen'!$A$2:$AI$54,14,0),'Feuerwaffen-Ressourcen'!$AJ$3:$AK$12,2,0)</f>
        <v>W20</v>
      </c>
      <c r="O61" s="50">
        <f>VLOOKUP(B61,'Feuerwaffen-Ressourcen'!$A$2:$AI$54,15,0)+VLOOKUP(C61,'Feuerwaffen-Ressourcen'!$A$2:$AI$54,15,0)+VLOOKUP(D61,'Feuerwaffen-Ressourcen'!$A$2:$AI$54,15,0)</f>
        <v>4</v>
      </c>
      <c r="P61" s="50">
        <f>VLOOKUP(B61,'Feuerwaffen-Ressourcen'!$A$2:$AI$54,16,0)+VLOOKUP(C61,'Feuerwaffen-Ressourcen'!$A$2:$AI$54,16,0)+VLOOKUP(D61,'Feuerwaffen-Ressourcen'!$A$2:$AI$54,16,0)+VLOOKUP(E61,'Feuerwaffen-Ressourcen'!$A$2:$AI$54,16,0)</f>
        <v>14</v>
      </c>
      <c r="Q61" s="52">
        <f>VLOOKUP(B61,'Feuerwaffen-Ressourcen'!$A$2:$AI$54,17,0)+VLOOKUP(C61,'Feuerwaffen-Ressourcen'!$A$2:$AI$54,17,0)+VLOOKUP(D61,'Feuerwaffen-Ressourcen'!$A$2:$AI$54,17,0)+VLOOKUP(E61,'Feuerwaffen-Ressourcen'!$A$2:$AI$54,17,0)</f>
        <v>23</v>
      </c>
      <c r="R61" s="50">
        <f>VLOOKUP(B61,'Feuerwaffen-Ressourcen'!$A$2:$AI$54,18,0)+VLOOKUP(C61,'Feuerwaffen-Ressourcen'!$A$2:$AI$54,18,0)+VLOOKUP(D61,'Feuerwaffen-Ressourcen'!$A$2:$AI$54,18,0)+VLOOKUP(F61,'Feuerwaffen-Ressourcen'!$A$2:$AI$54,18,0)+VLOOKUP(G61,'Feuerwaffen-Ressourcen'!$A$2:$AI$54,18,0)+VLOOKUP(I61,'Feuerwaffen-Ressourcen'!$A$2:$AI$54,18,0)+VLOOKUP(J61,'Feuerwaffen-Ressourcen'!$A$2:$AI$54,18,0)</f>
        <v>-3</v>
      </c>
      <c r="S61" s="50">
        <f>VLOOKUP(B61,'Feuerwaffen-Ressourcen'!$A$2:$AI$54,19,0)+VLOOKUP(C61,'Feuerwaffen-Ressourcen'!$A$2:$AI$54,19,0)+VLOOKUP(D61,'Feuerwaffen-Ressourcen'!$A$2:$AI$54,19,0)+VLOOKUP(F61,'Feuerwaffen-Ressourcen'!$A$2:$AI$54,19,0)+VLOOKUP(G61,'Feuerwaffen-Ressourcen'!$A$2:$AI$54,19,0)+VLOOKUP(I61,'Feuerwaffen-Ressourcen'!$A$2:$AI$54,19,0)+VLOOKUP(J61,'Feuerwaffen-Ressourcen'!$A$2:$AI$54,19,0)</f>
        <v>-6</v>
      </c>
      <c r="T61" s="50">
        <f>VLOOKUP(B61,'Feuerwaffen-Ressourcen'!$A$2:$AI$54,20,0)+VLOOKUP(C61,'Feuerwaffen-Ressourcen'!$A$2:$AI$54,20,0)+VLOOKUP(D61,'Feuerwaffen-Ressourcen'!$A$2:$AI$54,20,0)+VLOOKUP(F61,'Feuerwaffen-Ressourcen'!$A$2:$AI$54,20,0)+VLOOKUP(G61,'Feuerwaffen-Ressourcen'!$A$2:$AI$54,20,0)+VLOOKUP(I61,'Feuerwaffen-Ressourcen'!$A$2:$AI$54,20,0)+VLOOKUP(J61,'Feuerwaffen-Ressourcen'!$A$2:$AI$54,20,0)</f>
        <v>-10</v>
      </c>
      <c r="U61" s="50">
        <f>VLOOKUP(B61,'Feuerwaffen-Ressourcen'!$A$2:$AI$54,21,0)+VLOOKUP(C61,'Feuerwaffen-Ressourcen'!$A$2:$AI$54,21,0)+VLOOKUP(D61,'Feuerwaffen-Ressourcen'!$A$2:$AI$54,21,0)+VLOOKUP(F61,'Feuerwaffen-Ressourcen'!$A$2:$AI$54,21,0)+VLOOKUP(G61,'Feuerwaffen-Ressourcen'!$A$2:$AI$54,21,0)+VLOOKUP(I61,'Feuerwaffen-Ressourcen'!$A$2:$AI$54,21,0)+VLOOKUP(J61,'Feuerwaffen-Ressourcen'!$A$2:$AI$54,21,0)</f>
        <v>-16</v>
      </c>
      <c r="V61" s="50">
        <f>VLOOKUP(B61,'Feuerwaffen-Ressourcen'!$A$2:$AI$54,22,0)+VLOOKUP(C61,'Feuerwaffen-Ressourcen'!$A$2:$AI$54,22,0)+VLOOKUP(D61,'Feuerwaffen-Ressourcen'!$A$2:$AI$54,22,0)+VLOOKUP(F61,'Feuerwaffen-Ressourcen'!$A$2:$AI$54,22,0)+VLOOKUP(G61,'Feuerwaffen-Ressourcen'!$A$2:$AI$54,22,0)+VLOOKUP(I61,'Feuerwaffen-Ressourcen'!$A$2:$AI$54,22,0)+VLOOKUP(J61,'Feuerwaffen-Ressourcen'!$A$2:$AI$54,22,0)</f>
        <v>-24</v>
      </c>
      <c r="W61" s="50">
        <f>VLOOKUP(B61,'Feuerwaffen-Ressourcen'!$A$2:$AI$54,23,0)+VLOOKUP(C61,'Feuerwaffen-Ressourcen'!$A$2:$AI$54,23,0)+VLOOKUP(D61,'Feuerwaffen-Ressourcen'!$A$2:$AI$54,23,0)+VLOOKUP(F61,'Feuerwaffen-Ressourcen'!$A$2:$AI$54,23,0)+VLOOKUP(G61,'Feuerwaffen-Ressourcen'!$A$2:$AI$54,23,0)+VLOOKUP(I61,'Feuerwaffen-Ressourcen'!$A$2:$AI$54,23,0)+VLOOKUP(J61,'Feuerwaffen-Ressourcen'!$A$2:$AI$54,23,0)</f>
        <v>-33</v>
      </c>
      <c r="X61" s="50">
        <f>VLOOKUP(B61,'Feuerwaffen-Ressourcen'!$A$2:$AI$54,24,0)+VLOOKUP(C61,'Feuerwaffen-Ressourcen'!$A$2:$AI$54,24,0)+VLOOKUP(D61,'Feuerwaffen-Ressourcen'!$A$2:$AI$54,24,0)+VLOOKUP(G61,'Feuerwaffen-Ressourcen'!$A$2:$AI$54,24,0)</f>
        <v>80</v>
      </c>
      <c r="Y61" s="50">
        <f>VLOOKUP(D61,'Feuerwaffen-Ressourcen'!$A$2:$AI$54,25,0)+VLOOKUP(E61,'Feuerwaffen-Ressourcen'!$A$2:$AI$54,25,0)+VLOOKUP(F61,'Feuerwaffen-Ressourcen'!$A$2:$AI$54,25,0)</f>
        <v>42</v>
      </c>
      <c r="Z61" s="50">
        <f>VLOOKUP(E61,'Feuerwaffen-Ressourcen'!$A$2:$AI$54,26,0)</f>
        <v>3</v>
      </c>
      <c r="AA61" s="50">
        <f>VLOOKUP(B61,'Feuerwaffen-Ressourcen'!$A$2:$AI$54,27,0)+VLOOKUP(D61,'Feuerwaffen-Ressourcen'!$A$2:$AI$54,27,0)+VLOOKUP(F61,'Feuerwaffen-Ressourcen'!$A$2:$AI$54,27,0)+VLOOKUP(I61,'Feuerwaffen-Ressourcen'!$A$2:$AI$54,27,0)</f>
        <v>3</v>
      </c>
      <c r="AB61" s="50">
        <f>VLOOKUP(B61,'Feuerwaffen-Ressourcen'!$A$2:$AI$54,28,0)+VLOOKUP(C61,'Feuerwaffen-Ressourcen'!$A$2:$AI$54,28,0)+VLOOKUP(D61,'Feuerwaffen-Ressourcen'!$A$2:$AI$54,28,0)+VLOOKUP(E61,'Feuerwaffen-Ressourcen'!$A$2:$AI$54,28,0)+VLOOKUP(F61,'Feuerwaffen-Ressourcen'!$A$2:$AI$54,28,0)+VLOOKUP(G61,'Feuerwaffen-Ressourcen'!$A$2:$AI$54,28,0)+VLOOKUP(I61,'Feuerwaffen-Ressourcen'!$A$2:$AI$54,28,0)+VLOOKUP(J61,'Feuerwaffen-Ressourcen'!$A$2:$AI$54,28,0)</f>
        <v>75</v>
      </c>
      <c r="AC61" s="53">
        <f>VLOOKUP(I61,'Feuerwaffen-Ressourcen'!$A$2:$AI$54,31,0)*AD61+AE61</f>
        <v>1351.7</v>
      </c>
      <c r="AD61" s="54">
        <f>VLOOKUP(B61,'Feuerwaffen-Ressourcen'!$A$2:$AI$54,30,0)+VLOOKUP(C61,'Feuerwaffen-Ressourcen'!$A$2:$AI$54,30,0)+VLOOKUP(D61,'Feuerwaffen-Ressourcen'!$A$2:$AI$54,30,0)+VLOOKUP(F61,'Feuerwaffen-Ressourcen'!$A$2:$AI$54,30,0)+VLOOKUP(G61,'Feuerwaffen-Ressourcen'!$A$2:$AI$54,30,0)+VLOOKUP(I61,'Feuerwaffen-Ressourcen'!$A$2:$AI$54,30,0)+VLOOKUP(J61,'Feuerwaffen-Ressourcen'!$A$2:$AI$54,30,0)</f>
        <v>10.199999999999999</v>
      </c>
      <c r="AE61" s="53">
        <f>(VLOOKUP(C61,'Feuerwaffen-Ressourcen'!$A$2:$AI$54,32,0)+VLOOKUP(I61,'Feuerwaffen-Ressourcen'!$A$2:$AI$54,32,0))*(VLOOKUP(B61,'Feuerwaffen-Ressourcen'!$A$2:$AI$54,34,0)+VLOOKUP(C61,'Feuerwaffen-Ressourcen'!$A$2:$AI$54,34,0)+VLOOKUP(D61,'Feuerwaffen-Ressourcen'!$A$2:$AI$54,34,0)+VLOOKUP(E61,'Feuerwaffen-Ressourcen'!$A$2:$AI$54,34,0)+VLOOKUP(G61,'Feuerwaffen-Ressourcen'!$A$2:$AI$54,34,0))+VLOOKUP(B61,'Feuerwaffen-Ressourcen'!$A$2:$AI$54,35,0)+VLOOKUP(C61,'Feuerwaffen-Ressourcen'!$A$2:$AI$54,35,0)+VLOOKUP(D61,'Feuerwaffen-Ressourcen'!$A$2:$AI$54,35,0)</f>
        <v>1310.9</v>
      </c>
      <c r="AF61" s="55">
        <f>VLOOKUP(AB61,'Feuerwaffen-Ressourcen'!$AO$3:$AP$9,2,1)</f>
        <v>6</v>
      </c>
      <c r="AG61" s="55">
        <v>0</v>
      </c>
      <c r="AH61" s="28" t="s">
        <v>1420</v>
      </c>
      <c r="AI61" s="28" t="s">
        <v>8657</v>
      </c>
      <c r="AJ61" s="56">
        <v>3</v>
      </c>
      <c r="AK61" s="56" t="s">
        <v>5497</v>
      </c>
      <c r="AL61" s="56" t="s">
        <v>5486</v>
      </c>
      <c r="AM61" s="56">
        <v>3</v>
      </c>
      <c r="AN61" s="56">
        <v>5</v>
      </c>
      <c r="AO61" s="56">
        <v>4</v>
      </c>
      <c r="AP61" s="56">
        <v>4</v>
      </c>
      <c r="AQ61" s="56">
        <v>21</v>
      </c>
      <c r="AR61" s="56">
        <v>21</v>
      </c>
      <c r="AS61" s="56">
        <v>5</v>
      </c>
      <c r="AT61" s="56">
        <v>6</v>
      </c>
    </row>
    <row r="62" spans="1:46">
      <c r="A62" s="49" t="s">
        <v>8886</v>
      </c>
      <c r="B62" s="49" t="s">
        <v>1200</v>
      </c>
      <c r="C62" s="49" t="s">
        <v>8921</v>
      </c>
      <c r="D62" s="49" t="s">
        <v>8912</v>
      </c>
      <c r="E62" s="49" t="s">
        <v>8262</v>
      </c>
      <c r="F62" s="49" t="s">
        <v>8930</v>
      </c>
      <c r="G62" s="49" t="s">
        <v>8923</v>
      </c>
      <c r="H62" s="49" t="s">
        <v>8827</v>
      </c>
      <c r="I62" s="49" t="s">
        <v>7341</v>
      </c>
      <c r="J62" s="49" t="s">
        <v>7320</v>
      </c>
      <c r="K62" s="51">
        <f>VLOOKUP(B62,'Feuerwaffen-Ressourcen'!$A$2:$AI$54,11,0)+VLOOKUP(C62,'Feuerwaffen-Ressourcen'!$A$2:$AI$54,11,0)+VLOOKUP(D62,'Feuerwaffen-Ressourcen'!$A$2:$AI$54,11,0)+VLOOKUP(E62,'Feuerwaffen-Ressourcen'!$A$2:$AI$54,11,0)+VLOOKUP(G62,'Feuerwaffen-Ressourcen'!$A$2:$AI$54,11,0)</f>
        <v>5.8999999999999995</v>
      </c>
      <c r="L62" s="50">
        <f>VLOOKUP(B62,'Feuerwaffen-Ressourcen'!$A$2:$AI$54,12,0)+VLOOKUP(C62,'Feuerwaffen-Ressourcen'!$A$2:$AI$54,12,0)+VLOOKUP(D62,'Feuerwaffen-Ressourcen'!$A$2:$AI$54,12,0)+VLOOKUP(J62,'Feuerwaffen-Ressourcen'!$A$2:$AI$54,12,0)</f>
        <v>13</v>
      </c>
      <c r="M62" s="50" t="str">
        <f>VLOOKUP(VLOOKUP(B62,'Feuerwaffen-Ressourcen'!$A$2:$AI$54,13,0)+VLOOKUP(C62,'Feuerwaffen-Ressourcen'!$A$2:$AI$54,13,0)+VLOOKUP(D62,'Feuerwaffen-Ressourcen'!$A$2:$AI$54,13,0),'Feuerwaffen-Ressourcen'!$AJ$3:$AK$12,2,0)</f>
        <v>W12</v>
      </c>
      <c r="N62" s="50" t="str">
        <f>VLOOKUP(VLOOKUP(B62,'Feuerwaffen-Ressourcen'!$A$2:$AI$54,14,0)+VLOOKUP(C62,'Feuerwaffen-Ressourcen'!$A$2:$AI$54,14,0)+VLOOKUP(D62,'Feuerwaffen-Ressourcen'!$A$2:$AI$54,14,0),'Feuerwaffen-Ressourcen'!$AJ$3:$AK$12,2,0)</f>
        <v>W12</v>
      </c>
      <c r="O62" s="50">
        <f>VLOOKUP(B62,'Feuerwaffen-Ressourcen'!$A$2:$AI$54,15,0)+VLOOKUP(C62,'Feuerwaffen-Ressourcen'!$A$2:$AI$54,15,0)+VLOOKUP(D62,'Feuerwaffen-Ressourcen'!$A$2:$AI$54,15,0)</f>
        <v>2</v>
      </c>
      <c r="P62" s="50">
        <f>VLOOKUP(B62,'Feuerwaffen-Ressourcen'!$A$2:$AI$54,16,0)+VLOOKUP(C62,'Feuerwaffen-Ressourcen'!$A$2:$AI$54,16,0)+VLOOKUP(D62,'Feuerwaffen-Ressourcen'!$A$2:$AI$54,16,0)+VLOOKUP(E62,'Feuerwaffen-Ressourcen'!$A$2:$AI$54,16,0)</f>
        <v>10</v>
      </c>
      <c r="Q62" s="52">
        <f>VLOOKUP(B62,'Feuerwaffen-Ressourcen'!$A$2:$AI$54,17,0)+VLOOKUP(C62,'Feuerwaffen-Ressourcen'!$A$2:$AI$54,17,0)+VLOOKUP(D62,'Feuerwaffen-Ressourcen'!$A$2:$AI$54,17,0)+VLOOKUP(E62,'Feuerwaffen-Ressourcen'!$A$2:$AI$54,17,0)</f>
        <v>19</v>
      </c>
      <c r="R62" s="50">
        <f>VLOOKUP(B62,'Feuerwaffen-Ressourcen'!$A$2:$AI$54,18,0)+VLOOKUP(C62,'Feuerwaffen-Ressourcen'!$A$2:$AI$54,18,0)+VLOOKUP(D62,'Feuerwaffen-Ressourcen'!$A$2:$AI$54,18,0)+VLOOKUP(F62,'Feuerwaffen-Ressourcen'!$A$2:$AI$54,18,0)+VLOOKUP(G62,'Feuerwaffen-Ressourcen'!$A$2:$AI$54,18,0)+VLOOKUP(I62,'Feuerwaffen-Ressourcen'!$A$2:$AI$54,18,0)+VLOOKUP(J62,'Feuerwaffen-Ressourcen'!$A$2:$AI$54,18,0)</f>
        <v>5</v>
      </c>
      <c r="S62" s="50">
        <f>VLOOKUP(B62,'Feuerwaffen-Ressourcen'!$A$2:$AI$54,19,0)+VLOOKUP(C62,'Feuerwaffen-Ressourcen'!$A$2:$AI$54,19,0)+VLOOKUP(D62,'Feuerwaffen-Ressourcen'!$A$2:$AI$54,19,0)+VLOOKUP(F62,'Feuerwaffen-Ressourcen'!$A$2:$AI$54,19,0)+VLOOKUP(G62,'Feuerwaffen-Ressourcen'!$A$2:$AI$54,19,0)+VLOOKUP(I62,'Feuerwaffen-Ressourcen'!$A$2:$AI$54,19,0)+VLOOKUP(J62,'Feuerwaffen-Ressourcen'!$A$2:$AI$54,19,0)</f>
        <v>-1</v>
      </c>
      <c r="T62" s="50">
        <f>VLOOKUP(B62,'Feuerwaffen-Ressourcen'!$A$2:$AI$54,20,0)+VLOOKUP(C62,'Feuerwaffen-Ressourcen'!$A$2:$AI$54,20,0)+VLOOKUP(D62,'Feuerwaffen-Ressourcen'!$A$2:$AI$54,20,0)+VLOOKUP(F62,'Feuerwaffen-Ressourcen'!$A$2:$AI$54,20,0)+VLOOKUP(G62,'Feuerwaffen-Ressourcen'!$A$2:$AI$54,20,0)+VLOOKUP(I62,'Feuerwaffen-Ressourcen'!$A$2:$AI$54,20,0)+VLOOKUP(J62,'Feuerwaffen-Ressourcen'!$A$2:$AI$54,20,0)</f>
        <v>-7</v>
      </c>
      <c r="U62" s="50">
        <f>VLOOKUP(B62,'Feuerwaffen-Ressourcen'!$A$2:$AI$54,21,0)+VLOOKUP(C62,'Feuerwaffen-Ressourcen'!$A$2:$AI$54,21,0)+VLOOKUP(D62,'Feuerwaffen-Ressourcen'!$A$2:$AI$54,21,0)+VLOOKUP(F62,'Feuerwaffen-Ressourcen'!$A$2:$AI$54,21,0)+VLOOKUP(G62,'Feuerwaffen-Ressourcen'!$A$2:$AI$54,21,0)+VLOOKUP(I62,'Feuerwaffen-Ressourcen'!$A$2:$AI$54,21,0)+VLOOKUP(J62,'Feuerwaffen-Ressourcen'!$A$2:$AI$54,21,0)</f>
        <v>-14</v>
      </c>
      <c r="V62" s="50">
        <f>VLOOKUP(B62,'Feuerwaffen-Ressourcen'!$A$2:$AI$54,22,0)+VLOOKUP(C62,'Feuerwaffen-Ressourcen'!$A$2:$AI$54,22,0)+VLOOKUP(D62,'Feuerwaffen-Ressourcen'!$A$2:$AI$54,22,0)+VLOOKUP(F62,'Feuerwaffen-Ressourcen'!$A$2:$AI$54,22,0)+VLOOKUP(G62,'Feuerwaffen-Ressourcen'!$A$2:$AI$54,22,0)+VLOOKUP(I62,'Feuerwaffen-Ressourcen'!$A$2:$AI$54,22,0)+VLOOKUP(J62,'Feuerwaffen-Ressourcen'!$A$2:$AI$54,22,0)</f>
        <v>-22</v>
      </c>
      <c r="W62" s="50">
        <f>VLOOKUP(B62,'Feuerwaffen-Ressourcen'!$A$2:$AI$54,23,0)+VLOOKUP(C62,'Feuerwaffen-Ressourcen'!$A$2:$AI$54,23,0)+VLOOKUP(D62,'Feuerwaffen-Ressourcen'!$A$2:$AI$54,23,0)+VLOOKUP(F62,'Feuerwaffen-Ressourcen'!$A$2:$AI$54,23,0)+VLOOKUP(G62,'Feuerwaffen-Ressourcen'!$A$2:$AI$54,23,0)+VLOOKUP(I62,'Feuerwaffen-Ressourcen'!$A$2:$AI$54,23,0)+VLOOKUP(J62,'Feuerwaffen-Ressourcen'!$A$2:$AI$54,23,0)</f>
        <v>-31</v>
      </c>
      <c r="X62" s="50">
        <f>VLOOKUP(B62,'Feuerwaffen-Ressourcen'!$A$2:$AI$54,24,0)+VLOOKUP(C62,'Feuerwaffen-Ressourcen'!$A$2:$AI$54,24,0)+VLOOKUP(D62,'Feuerwaffen-Ressourcen'!$A$2:$AI$54,24,0)+VLOOKUP(G62,'Feuerwaffen-Ressourcen'!$A$2:$AI$54,24,0)</f>
        <v>30</v>
      </c>
      <c r="Y62" s="50">
        <f>VLOOKUP(D62,'Feuerwaffen-Ressourcen'!$A$2:$AI$54,25,0)+VLOOKUP(E62,'Feuerwaffen-Ressourcen'!$A$2:$AI$54,25,0)+VLOOKUP(F62,'Feuerwaffen-Ressourcen'!$A$2:$AI$54,25,0)</f>
        <v>11</v>
      </c>
      <c r="Z62" s="50">
        <f>VLOOKUP(E62,'Feuerwaffen-Ressourcen'!$A$2:$AI$54,26,0)</f>
        <v>6</v>
      </c>
      <c r="AA62" s="50">
        <f>VLOOKUP(B62,'Feuerwaffen-Ressourcen'!$A$2:$AI$54,27,0)+VLOOKUP(D62,'Feuerwaffen-Ressourcen'!$A$2:$AI$54,27,0)+VLOOKUP(F62,'Feuerwaffen-Ressourcen'!$A$2:$AI$54,27,0)+VLOOKUP(I62,'Feuerwaffen-Ressourcen'!$A$2:$AI$54,27,0)</f>
        <v>1</v>
      </c>
      <c r="AB62" s="50">
        <f>VLOOKUP(B62,'Feuerwaffen-Ressourcen'!$A$2:$AI$54,28,0)+VLOOKUP(C62,'Feuerwaffen-Ressourcen'!$A$2:$AI$54,28,0)+VLOOKUP(D62,'Feuerwaffen-Ressourcen'!$A$2:$AI$54,28,0)+VLOOKUP(E62,'Feuerwaffen-Ressourcen'!$A$2:$AI$54,28,0)+VLOOKUP(F62,'Feuerwaffen-Ressourcen'!$A$2:$AI$54,28,0)+VLOOKUP(G62,'Feuerwaffen-Ressourcen'!$A$2:$AI$54,28,0)+VLOOKUP(I62,'Feuerwaffen-Ressourcen'!$A$2:$AI$54,28,0)+VLOOKUP(J62,'Feuerwaffen-Ressourcen'!$A$2:$AI$54,28,0)</f>
        <v>80</v>
      </c>
      <c r="AC62" s="53">
        <f>VLOOKUP(I62,'Feuerwaffen-Ressourcen'!$A$2:$AI$54,31,0)*AD62+AE62</f>
        <v>387.7</v>
      </c>
      <c r="AD62" s="54">
        <f>VLOOKUP(B62,'Feuerwaffen-Ressourcen'!$A$2:$AI$54,30,0)+VLOOKUP(C62,'Feuerwaffen-Ressourcen'!$A$2:$AI$54,30,0)+VLOOKUP(D62,'Feuerwaffen-Ressourcen'!$A$2:$AI$54,30,0)+VLOOKUP(F62,'Feuerwaffen-Ressourcen'!$A$2:$AI$54,30,0)+VLOOKUP(G62,'Feuerwaffen-Ressourcen'!$A$2:$AI$54,30,0)+VLOOKUP(I62,'Feuerwaffen-Ressourcen'!$A$2:$AI$54,30,0)+VLOOKUP(J62,'Feuerwaffen-Ressourcen'!$A$2:$AI$54,30,0)</f>
        <v>6.1999999999999993</v>
      </c>
      <c r="AE62" s="53">
        <f>(VLOOKUP(C62,'Feuerwaffen-Ressourcen'!$A$2:$AI$54,32,0)+VLOOKUP(I62,'Feuerwaffen-Ressourcen'!$A$2:$AI$54,32,0))*(VLOOKUP(B62,'Feuerwaffen-Ressourcen'!$A$2:$AI$54,34,0)+VLOOKUP(C62,'Feuerwaffen-Ressourcen'!$A$2:$AI$54,34,0)+VLOOKUP(D62,'Feuerwaffen-Ressourcen'!$A$2:$AI$54,34,0)+VLOOKUP(E62,'Feuerwaffen-Ressourcen'!$A$2:$AI$54,34,0)+VLOOKUP(G62,'Feuerwaffen-Ressourcen'!$A$2:$AI$54,34,0))+VLOOKUP(B62,'Feuerwaffen-Ressourcen'!$A$2:$AI$54,35,0)+VLOOKUP(C62,'Feuerwaffen-Ressourcen'!$A$2:$AI$54,35,0)+VLOOKUP(D62,'Feuerwaffen-Ressourcen'!$A$2:$AI$54,35,0)</f>
        <v>362.9</v>
      </c>
      <c r="AF62" s="55">
        <f>VLOOKUP(AB62,'Feuerwaffen-Ressourcen'!$AO$3:$AP$9,2,1)</f>
        <v>6</v>
      </c>
      <c r="AG62" s="55">
        <v>0</v>
      </c>
      <c r="AH62" s="28" t="s">
        <v>1420</v>
      </c>
      <c r="AI62" s="28" t="s">
        <v>8657</v>
      </c>
      <c r="AJ62" s="56">
        <v>3</v>
      </c>
      <c r="AK62" s="56" t="s">
        <v>5497</v>
      </c>
      <c r="AL62" s="56" t="s">
        <v>5486</v>
      </c>
      <c r="AM62" s="56">
        <v>3</v>
      </c>
      <c r="AN62" s="56">
        <v>5</v>
      </c>
      <c r="AO62" s="56">
        <v>4</v>
      </c>
      <c r="AP62" s="56">
        <v>4</v>
      </c>
      <c r="AQ62" s="56">
        <v>13</v>
      </c>
      <c r="AR62" s="56">
        <v>13</v>
      </c>
      <c r="AS62" s="56">
        <v>5</v>
      </c>
      <c r="AT62" s="56">
        <v>6</v>
      </c>
    </row>
    <row r="63" spans="1:46">
      <c r="A63" s="49" t="s">
        <v>8887</v>
      </c>
      <c r="B63" s="49" t="s">
        <v>1200</v>
      </c>
      <c r="C63" s="49" t="s">
        <v>8921</v>
      </c>
      <c r="D63" s="49" t="s">
        <v>8938</v>
      </c>
      <c r="E63" s="49" t="s">
        <v>8258</v>
      </c>
      <c r="F63" s="49" t="s">
        <v>8928</v>
      </c>
      <c r="G63" s="49" t="s">
        <v>8923</v>
      </c>
      <c r="H63" s="49" t="s">
        <v>8271</v>
      </c>
      <c r="I63" s="49" t="s">
        <v>7341</v>
      </c>
      <c r="J63" s="49" t="s">
        <v>7320</v>
      </c>
      <c r="K63" s="51">
        <f>VLOOKUP(B63,'Feuerwaffen-Ressourcen'!$A$2:$AI$54,11,0)+VLOOKUP(C63,'Feuerwaffen-Ressourcen'!$A$2:$AI$54,11,0)+VLOOKUP(D63,'Feuerwaffen-Ressourcen'!$A$2:$AI$54,11,0)+VLOOKUP(E63,'Feuerwaffen-Ressourcen'!$A$2:$AI$54,11,0)+VLOOKUP(G63,'Feuerwaffen-Ressourcen'!$A$2:$AI$54,11,0)</f>
        <v>4.8999999999999995</v>
      </c>
      <c r="L63" s="50">
        <f>VLOOKUP(B63,'Feuerwaffen-Ressourcen'!$A$2:$AI$54,12,0)+VLOOKUP(C63,'Feuerwaffen-Ressourcen'!$A$2:$AI$54,12,0)+VLOOKUP(D63,'Feuerwaffen-Ressourcen'!$A$2:$AI$54,12,0)+VLOOKUP(J63,'Feuerwaffen-Ressourcen'!$A$2:$AI$54,12,0)</f>
        <v>12</v>
      </c>
      <c r="M63" s="50" t="str">
        <f>VLOOKUP(VLOOKUP(B63,'Feuerwaffen-Ressourcen'!$A$2:$AI$54,13,0)+VLOOKUP(C63,'Feuerwaffen-Ressourcen'!$A$2:$AI$54,13,0)+VLOOKUP(D63,'Feuerwaffen-Ressourcen'!$A$2:$AI$54,13,0),'Feuerwaffen-Ressourcen'!$AJ$3:$AK$12,2,0)</f>
        <v>W12</v>
      </c>
      <c r="N63" s="50" t="str">
        <f>VLOOKUP(VLOOKUP(B63,'Feuerwaffen-Ressourcen'!$A$2:$AI$54,14,0)+VLOOKUP(C63,'Feuerwaffen-Ressourcen'!$A$2:$AI$54,14,0)+VLOOKUP(D63,'Feuerwaffen-Ressourcen'!$A$2:$AI$54,14,0),'Feuerwaffen-Ressourcen'!$AJ$3:$AK$12,2,0)</f>
        <v>W12</v>
      </c>
      <c r="O63" s="50">
        <f>VLOOKUP(B63,'Feuerwaffen-Ressourcen'!$A$2:$AI$54,15,0)+VLOOKUP(C63,'Feuerwaffen-Ressourcen'!$A$2:$AI$54,15,0)+VLOOKUP(D63,'Feuerwaffen-Ressourcen'!$A$2:$AI$54,15,0)</f>
        <v>2</v>
      </c>
      <c r="P63" s="50">
        <f>VLOOKUP(B63,'Feuerwaffen-Ressourcen'!$A$2:$AI$54,16,0)+VLOOKUP(C63,'Feuerwaffen-Ressourcen'!$A$2:$AI$54,16,0)+VLOOKUP(D63,'Feuerwaffen-Ressourcen'!$A$2:$AI$54,16,0)+VLOOKUP(E63,'Feuerwaffen-Ressourcen'!$A$2:$AI$54,16,0)</f>
        <v>10</v>
      </c>
      <c r="Q63" s="52">
        <f>VLOOKUP(B63,'Feuerwaffen-Ressourcen'!$A$2:$AI$54,17,0)+VLOOKUP(C63,'Feuerwaffen-Ressourcen'!$A$2:$AI$54,17,0)+VLOOKUP(D63,'Feuerwaffen-Ressourcen'!$A$2:$AI$54,17,0)+VLOOKUP(E63,'Feuerwaffen-Ressourcen'!$A$2:$AI$54,17,0)</f>
        <v>19</v>
      </c>
      <c r="R63" s="50">
        <f>VLOOKUP(B63,'Feuerwaffen-Ressourcen'!$A$2:$AI$54,18,0)+VLOOKUP(C63,'Feuerwaffen-Ressourcen'!$A$2:$AI$54,18,0)+VLOOKUP(D63,'Feuerwaffen-Ressourcen'!$A$2:$AI$54,18,0)+VLOOKUP(F63,'Feuerwaffen-Ressourcen'!$A$2:$AI$54,18,0)+VLOOKUP(G63,'Feuerwaffen-Ressourcen'!$A$2:$AI$54,18,0)+VLOOKUP(I63,'Feuerwaffen-Ressourcen'!$A$2:$AI$54,18,0)+VLOOKUP(J63,'Feuerwaffen-Ressourcen'!$A$2:$AI$54,18,0)</f>
        <v>5</v>
      </c>
      <c r="S63" s="50">
        <f>VLOOKUP(B63,'Feuerwaffen-Ressourcen'!$A$2:$AI$54,19,0)+VLOOKUP(C63,'Feuerwaffen-Ressourcen'!$A$2:$AI$54,19,0)+VLOOKUP(D63,'Feuerwaffen-Ressourcen'!$A$2:$AI$54,19,0)+VLOOKUP(F63,'Feuerwaffen-Ressourcen'!$A$2:$AI$54,19,0)+VLOOKUP(G63,'Feuerwaffen-Ressourcen'!$A$2:$AI$54,19,0)+VLOOKUP(I63,'Feuerwaffen-Ressourcen'!$A$2:$AI$54,19,0)+VLOOKUP(J63,'Feuerwaffen-Ressourcen'!$A$2:$AI$54,19,0)</f>
        <v>-3</v>
      </c>
      <c r="T63" s="50">
        <f>VLOOKUP(B63,'Feuerwaffen-Ressourcen'!$A$2:$AI$54,20,0)+VLOOKUP(C63,'Feuerwaffen-Ressourcen'!$A$2:$AI$54,20,0)+VLOOKUP(D63,'Feuerwaffen-Ressourcen'!$A$2:$AI$54,20,0)+VLOOKUP(F63,'Feuerwaffen-Ressourcen'!$A$2:$AI$54,20,0)+VLOOKUP(G63,'Feuerwaffen-Ressourcen'!$A$2:$AI$54,20,0)+VLOOKUP(I63,'Feuerwaffen-Ressourcen'!$A$2:$AI$54,20,0)+VLOOKUP(J63,'Feuerwaffen-Ressourcen'!$A$2:$AI$54,20,0)</f>
        <v>-11</v>
      </c>
      <c r="U63" s="50">
        <f>VLOOKUP(B63,'Feuerwaffen-Ressourcen'!$A$2:$AI$54,21,0)+VLOOKUP(C63,'Feuerwaffen-Ressourcen'!$A$2:$AI$54,21,0)+VLOOKUP(D63,'Feuerwaffen-Ressourcen'!$A$2:$AI$54,21,0)+VLOOKUP(F63,'Feuerwaffen-Ressourcen'!$A$2:$AI$54,21,0)+VLOOKUP(G63,'Feuerwaffen-Ressourcen'!$A$2:$AI$54,21,0)+VLOOKUP(I63,'Feuerwaffen-Ressourcen'!$A$2:$AI$54,21,0)+VLOOKUP(J63,'Feuerwaffen-Ressourcen'!$A$2:$AI$54,21,0)</f>
        <v>-20</v>
      </c>
      <c r="V63" s="50">
        <f>VLOOKUP(B63,'Feuerwaffen-Ressourcen'!$A$2:$AI$54,22,0)+VLOOKUP(C63,'Feuerwaffen-Ressourcen'!$A$2:$AI$54,22,0)+VLOOKUP(D63,'Feuerwaffen-Ressourcen'!$A$2:$AI$54,22,0)+VLOOKUP(F63,'Feuerwaffen-Ressourcen'!$A$2:$AI$54,22,0)+VLOOKUP(G63,'Feuerwaffen-Ressourcen'!$A$2:$AI$54,22,0)+VLOOKUP(I63,'Feuerwaffen-Ressourcen'!$A$2:$AI$54,22,0)+VLOOKUP(J63,'Feuerwaffen-Ressourcen'!$A$2:$AI$54,22,0)</f>
        <v>-30</v>
      </c>
      <c r="W63" s="50">
        <f>VLOOKUP(B63,'Feuerwaffen-Ressourcen'!$A$2:$AI$54,23,0)+VLOOKUP(C63,'Feuerwaffen-Ressourcen'!$A$2:$AI$54,23,0)+VLOOKUP(D63,'Feuerwaffen-Ressourcen'!$A$2:$AI$54,23,0)+VLOOKUP(F63,'Feuerwaffen-Ressourcen'!$A$2:$AI$54,23,0)+VLOOKUP(G63,'Feuerwaffen-Ressourcen'!$A$2:$AI$54,23,0)+VLOOKUP(I63,'Feuerwaffen-Ressourcen'!$A$2:$AI$54,23,0)+VLOOKUP(J63,'Feuerwaffen-Ressourcen'!$A$2:$AI$54,23,0)</f>
        <v>-41</v>
      </c>
      <c r="X63" s="50">
        <f>VLOOKUP(B63,'Feuerwaffen-Ressourcen'!$A$2:$AI$54,24,0)+VLOOKUP(C63,'Feuerwaffen-Ressourcen'!$A$2:$AI$54,24,0)+VLOOKUP(D63,'Feuerwaffen-Ressourcen'!$A$2:$AI$54,24,0)+VLOOKUP(G63,'Feuerwaffen-Ressourcen'!$A$2:$AI$54,24,0)</f>
        <v>20</v>
      </c>
      <c r="Y63" s="50">
        <f>VLOOKUP(D63,'Feuerwaffen-Ressourcen'!$A$2:$AI$54,25,0)+VLOOKUP(E63,'Feuerwaffen-Ressourcen'!$A$2:$AI$54,25,0)+VLOOKUP(F63,'Feuerwaffen-Ressourcen'!$A$2:$AI$54,25,0)</f>
        <v>29</v>
      </c>
      <c r="Z63" s="50">
        <f>VLOOKUP(E63,'Feuerwaffen-Ressourcen'!$A$2:$AI$54,26,0)</f>
        <v>3</v>
      </c>
      <c r="AA63" s="50">
        <f>VLOOKUP(B63,'Feuerwaffen-Ressourcen'!$A$2:$AI$54,27,0)+VLOOKUP(D63,'Feuerwaffen-Ressourcen'!$A$2:$AI$54,27,0)+VLOOKUP(F63,'Feuerwaffen-Ressourcen'!$A$2:$AI$54,27,0)+VLOOKUP(I63,'Feuerwaffen-Ressourcen'!$A$2:$AI$54,27,0)</f>
        <v>3</v>
      </c>
      <c r="AB63" s="50">
        <f>VLOOKUP(B63,'Feuerwaffen-Ressourcen'!$A$2:$AI$54,28,0)+VLOOKUP(C63,'Feuerwaffen-Ressourcen'!$A$2:$AI$54,28,0)+VLOOKUP(D63,'Feuerwaffen-Ressourcen'!$A$2:$AI$54,28,0)+VLOOKUP(E63,'Feuerwaffen-Ressourcen'!$A$2:$AI$54,28,0)+VLOOKUP(F63,'Feuerwaffen-Ressourcen'!$A$2:$AI$54,28,0)+VLOOKUP(G63,'Feuerwaffen-Ressourcen'!$A$2:$AI$54,28,0)+VLOOKUP(I63,'Feuerwaffen-Ressourcen'!$A$2:$AI$54,28,0)+VLOOKUP(J63,'Feuerwaffen-Ressourcen'!$A$2:$AI$54,28,0)</f>
        <v>90</v>
      </c>
      <c r="AC63" s="53">
        <f>VLOOKUP(I63,'Feuerwaffen-Ressourcen'!$A$2:$AI$54,31,0)*AD63+AE63</f>
        <v>271.59999999999997</v>
      </c>
      <c r="AD63" s="54">
        <f>VLOOKUP(B63,'Feuerwaffen-Ressourcen'!$A$2:$AI$54,30,0)+VLOOKUP(C63,'Feuerwaffen-Ressourcen'!$A$2:$AI$54,30,0)+VLOOKUP(D63,'Feuerwaffen-Ressourcen'!$A$2:$AI$54,30,0)+VLOOKUP(F63,'Feuerwaffen-Ressourcen'!$A$2:$AI$54,30,0)+VLOOKUP(G63,'Feuerwaffen-Ressourcen'!$A$2:$AI$54,30,0)+VLOOKUP(I63,'Feuerwaffen-Ressourcen'!$A$2:$AI$54,30,0)+VLOOKUP(J63,'Feuerwaffen-Ressourcen'!$A$2:$AI$54,30,0)</f>
        <v>4.2</v>
      </c>
      <c r="AE63" s="53">
        <f>(VLOOKUP(C63,'Feuerwaffen-Ressourcen'!$A$2:$AI$54,32,0)+VLOOKUP(I63,'Feuerwaffen-Ressourcen'!$A$2:$AI$54,32,0))*(VLOOKUP(B63,'Feuerwaffen-Ressourcen'!$A$2:$AI$54,34,0)+VLOOKUP(C63,'Feuerwaffen-Ressourcen'!$A$2:$AI$54,34,0)+VLOOKUP(D63,'Feuerwaffen-Ressourcen'!$A$2:$AI$54,34,0)+VLOOKUP(E63,'Feuerwaffen-Ressourcen'!$A$2:$AI$54,34,0)+VLOOKUP(G63,'Feuerwaffen-Ressourcen'!$A$2:$AI$54,34,0))+VLOOKUP(B63,'Feuerwaffen-Ressourcen'!$A$2:$AI$54,35,0)+VLOOKUP(C63,'Feuerwaffen-Ressourcen'!$A$2:$AI$54,35,0)+VLOOKUP(D63,'Feuerwaffen-Ressourcen'!$A$2:$AI$54,35,0)</f>
        <v>254.79999999999995</v>
      </c>
      <c r="AF63" s="55">
        <f>VLOOKUP(AB63,'Feuerwaffen-Ressourcen'!$AO$3:$AP$9,2,1)</f>
        <v>5</v>
      </c>
      <c r="AG63" s="55">
        <v>0</v>
      </c>
      <c r="AH63" s="28" t="s">
        <v>1420</v>
      </c>
      <c r="AI63" s="28" t="s">
        <v>8657</v>
      </c>
      <c r="AJ63" s="56">
        <v>3</v>
      </c>
      <c r="AK63" s="56" t="s">
        <v>5497</v>
      </c>
      <c r="AL63" s="56" t="s">
        <v>5486</v>
      </c>
      <c r="AM63" s="56">
        <v>3</v>
      </c>
      <c r="AN63" s="56">
        <v>5</v>
      </c>
      <c r="AO63" s="56">
        <v>4</v>
      </c>
      <c r="AP63" s="56">
        <v>4</v>
      </c>
      <c r="AQ63" s="56">
        <v>12</v>
      </c>
      <c r="AR63" s="56">
        <v>12</v>
      </c>
      <c r="AS63" s="56">
        <v>5</v>
      </c>
      <c r="AT63" s="56">
        <v>6</v>
      </c>
    </row>
    <row r="64" spans="1:46">
      <c r="A64" s="49" t="s">
        <v>8888</v>
      </c>
      <c r="B64" s="49" t="s">
        <v>1200</v>
      </c>
      <c r="C64" s="49" t="s">
        <v>8824</v>
      </c>
      <c r="D64" s="49" t="s">
        <v>8927</v>
      </c>
      <c r="E64" s="49" t="s">
        <v>8258</v>
      </c>
      <c r="F64" s="49" t="s">
        <v>8936</v>
      </c>
      <c r="G64" s="49" t="s">
        <v>8923</v>
      </c>
      <c r="H64" s="49" t="s">
        <v>8271</v>
      </c>
      <c r="I64" s="49" t="s">
        <v>7341</v>
      </c>
      <c r="J64" s="49" t="s">
        <v>7320</v>
      </c>
      <c r="K64" s="51">
        <f>VLOOKUP(B64,'Feuerwaffen-Ressourcen'!$A$2:$AI$54,11,0)+VLOOKUP(C64,'Feuerwaffen-Ressourcen'!$A$2:$AI$54,11,0)+VLOOKUP(D64,'Feuerwaffen-Ressourcen'!$A$2:$AI$54,11,0)+VLOOKUP(E64,'Feuerwaffen-Ressourcen'!$A$2:$AI$54,11,0)+VLOOKUP(G64,'Feuerwaffen-Ressourcen'!$A$2:$AI$54,11,0)</f>
        <v>3.55</v>
      </c>
      <c r="L64" s="50">
        <f>VLOOKUP(B64,'Feuerwaffen-Ressourcen'!$A$2:$AI$54,12,0)+VLOOKUP(C64,'Feuerwaffen-Ressourcen'!$A$2:$AI$54,12,0)+VLOOKUP(D64,'Feuerwaffen-Ressourcen'!$A$2:$AI$54,12,0)+VLOOKUP(J64,'Feuerwaffen-Ressourcen'!$A$2:$AI$54,12,0)</f>
        <v>10</v>
      </c>
      <c r="M64" s="50" t="str">
        <f>VLOOKUP(VLOOKUP(B64,'Feuerwaffen-Ressourcen'!$A$2:$AI$54,13,0)+VLOOKUP(C64,'Feuerwaffen-Ressourcen'!$A$2:$AI$54,13,0)+VLOOKUP(D64,'Feuerwaffen-Ressourcen'!$A$2:$AI$54,13,0),'Feuerwaffen-Ressourcen'!$AJ$3:$AK$12,2,0)</f>
        <v>W12</v>
      </c>
      <c r="N64" s="50" t="str">
        <f>VLOOKUP(VLOOKUP(B64,'Feuerwaffen-Ressourcen'!$A$2:$AI$54,14,0)+VLOOKUP(C64,'Feuerwaffen-Ressourcen'!$A$2:$AI$54,14,0)+VLOOKUP(D64,'Feuerwaffen-Ressourcen'!$A$2:$AI$54,14,0),'Feuerwaffen-Ressourcen'!$AJ$3:$AK$12,2,0)</f>
        <v>W12</v>
      </c>
      <c r="O64" s="50">
        <f>VLOOKUP(B64,'Feuerwaffen-Ressourcen'!$A$2:$AI$54,15,0)+VLOOKUP(C64,'Feuerwaffen-Ressourcen'!$A$2:$AI$54,15,0)+VLOOKUP(D64,'Feuerwaffen-Ressourcen'!$A$2:$AI$54,15,0)</f>
        <v>1</v>
      </c>
      <c r="P64" s="50">
        <f>VLOOKUP(B64,'Feuerwaffen-Ressourcen'!$A$2:$AI$54,16,0)+VLOOKUP(C64,'Feuerwaffen-Ressourcen'!$A$2:$AI$54,16,0)+VLOOKUP(D64,'Feuerwaffen-Ressourcen'!$A$2:$AI$54,16,0)+VLOOKUP(E64,'Feuerwaffen-Ressourcen'!$A$2:$AI$54,16,0)</f>
        <v>5</v>
      </c>
      <c r="Q64" s="52">
        <f>VLOOKUP(B64,'Feuerwaffen-Ressourcen'!$A$2:$AI$54,17,0)+VLOOKUP(C64,'Feuerwaffen-Ressourcen'!$A$2:$AI$54,17,0)+VLOOKUP(D64,'Feuerwaffen-Ressourcen'!$A$2:$AI$54,17,0)+VLOOKUP(E64,'Feuerwaffen-Ressourcen'!$A$2:$AI$54,17,0)</f>
        <v>16</v>
      </c>
      <c r="R64" s="50">
        <f>VLOOKUP(B64,'Feuerwaffen-Ressourcen'!$A$2:$AI$54,18,0)+VLOOKUP(C64,'Feuerwaffen-Ressourcen'!$A$2:$AI$54,18,0)+VLOOKUP(D64,'Feuerwaffen-Ressourcen'!$A$2:$AI$54,18,0)+VLOOKUP(F64,'Feuerwaffen-Ressourcen'!$A$2:$AI$54,18,0)+VLOOKUP(G64,'Feuerwaffen-Ressourcen'!$A$2:$AI$54,18,0)+VLOOKUP(I64,'Feuerwaffen-Ressourcen'!$A$2:$AI$54,18,0)+VLOOKUP(J64,'Feuerwaffen-Ressourcen'!$A$2:$AI$54,18,0)</f>
        <v>7</v>
      </c>
      <c r="S64" s="50">
        <f>VLOOKUP(B64,'Feuerwaffen-Ressourcen'!$A$2:$AI$54,19,0)+VLOOKUP(C64,'Feuerwaffen-Ressourcen'!$A$2:$AI$54,19,0)+VLOOKUP(D64,'Feuerwaffen-Ressourcen'!$A$2:$AI$54,19,0)+VLOOKUP(F64,'Feuerwaffen-Ressourcen'!$A$2:$AI$54,19,0)+VLOOKUP(G64,'Feuerwaffen-Ressourcen'!$A$2:$AI$54,19,0)+VLOOKUP(I64,'Feuerwaffen-Ressourcen'!$A$2:$AI$54,19,0)+VLOOKUP(J64,'Feuerwaffen-Ressourcen'!$A$2:$AI$54,19,0)</f>
        <v>-2</v>
      </c>
      <c r="T64" s="50">
        <f>VLOOKUP(B64,'Feuerwaffen-Ressourcen'!$A$2:$AI$54,20,0)+VLOOKUP(C64,'Feuerwaffen-Ressourcen'!$A$2:$AI$54,20,0)+VLOOKUP(D64,'Feuerwaffen-Ressourcen'!$A$2:$AI$54,20,0)+VLOOKUP(F64,'Feuerwaffen-Ressourcen'!$A$2:$AI$54,20,0)+VLOOKUP(G64,'Feuerwaffen-Ressourcen'!$A$2:$AI$54,20,0)+VLOOKUP(I64,'Feuerwaffen-Ressourcen'!$A$2:$AI$54,20,0)+VLOOKUP(J64,'Feuerwaffen-Ressourcen'!$A$2:$AI$54,20,0)</f>
        <v>-13</v>
      </c>
      <c r="U64" s="50">
        <f>VLOOKUP(B64,'Feuerwaffen-Ressourcen'!$A$2:$AI$54,21,0)+VLOOKUP(C64,'Feuerwaffen-Ressourcen'!$A$2:$AI$54,21,0)+VLOOKUP(D64,'Feuerwaffen-Ressourcen'!$A$2:$AI$54,21,0)+VLOOKUP(F64,'Feuerwaffen-Ressourcen'!$A$2:$AI$54,21,0)+VLOOKUP(G64,'Feuerwaffen-Ressourcen'!$A$2:$AI$54,21,0)+VLOOKUP(I64,'Feuerwaffen-Ressourcen'!$A$2:$AI$54,21,0)+VLOOKUP(J64,'Feuerwaffen-Ressourcen'!$A$2:$AI$54,21,0)</f>
        <v>-26</v>
      </c>
      <c r="V64" s="50">
        <f>VLOOKUP(B64,'Feuerwaffen-Ressourcen'!$A$2:$AI$54,22,0)+VLOOKUP(C64,'Feuerwaffen-Ressourcen'!$A$2:$AI$54,22,0)+VLOOKUP(D64,'Feuerwaffen-Ressourcen'!$A$2:$AI$54,22,0)+VLOOKUP(F64,'Feuerwaffen-Ressourcen'!$A$2:$AI$54,22,0)+VLOOKUP(G64,'Feuerwaffen-Ressourcen'!$A$2:$AI$54,22,0)+VLOOKUP(I64,'Feuerwaffen-Ressourcen'!$A$2:$AI$54,22,0)+VLOOKUP(J64,'Feuerwaffen-Ressourcen'!$A$2:$AI$54,22,0)</f>
        <v>-41</v>
      </c>
      <c r="W64" s="50">
        <f>VLOOKUP(B64,'Feuerwaffen-Ressourcen'!$A$2:$AI$54,23,0)+VLOOKUP(C64,'Feuerwaffen-Ressourcen'!$A$2:$AI$54,23,0)+VLOOKUP(D64,'Feuerwaffen-Ressourcen'!$A$2:$AI$54,23,0)+VLOOKUP(F64,'Feuerwaffen-Ressourcen'!$A$2:$AI$54,23,0)+VLOOKUP(G64,'Feuerwaffen-Ressourcen'!$A$2:$AI$54,23,0)+VLOOKUP(I64,'Feuerwaffen-Ressourcen'!$A$2:$AI$54,23,0)+VLOOKUP(J64,'Feuerwaffen-Ressourcen'!$A$2:$AI$54,23,0)</f>
        <v>-58</v>
      </c>
      <c r="X64" s="50">
        <f>VLOOKUP(B64,'Feuerwaffen-Ressourcen'!$A$2:$AI$54,24,0)+VLOOKUP(C64,'Feuerwaffen-Ressourcen'!$A$2:$AI$54,24,0)+VLOOKUP(D64,'Feuerwaffen-Ressourcen'!$A$2:$AI$54,24,0)+VLOOKUP(G64,'Feuerwaffen-Ressourcen'!$A$2:$AI$54,24,0)</f>
        <v>20</v>
      </c>
      <c r="Y64" s="50">
        <f>VLOOKUP(D64,'Feuerwaffen-Ressourcen'!$A$2:$AI$54,25,0)+VLOOKUP(E64,'Feuerwaffen-Ressourcen'!$A$2:$AI$54,25,0)+VLOOKUP(F64,'Feuerwaffen-Ressourcen'!$A$2:$AI$54,25,0)</f>
        <v>29</v>
      </c>
      <c r="Z64" s="50">
        <f>VLOOKUP(E64,'Feuerwaffen-Ressourcen'!$A$2:$AI$54,26,0)</f>
        <v>3</v>
      </c>
      <c r="AA64" s="50">
        <f>VLOOKUP(B64,'Feuerwaffen-Ressourcen'!$A$2:$AI$54,27,0)+VLOOKUP(D64,'Feuerwaffen-Ressourcen'!$A$2:$AI$54,27,0)+VLOOKUP(F64,'Feuerwaffen-Ressourcen'!$A$2:$AI$54,27,0)+VLOOKUP(I64,'Feuerwaffen-Ressourcen'!$A$2:$AI$54,27,0)</f>
        <v>2</v>
      </c>
      <c r="AB64" s="50">
        <f>VLOOKUP(B64,'Feuerwaffen-Ressourcen'!$A$2:$AI$54,28,0)+VLOOKUP(C64,'Feuerwaffen-Ressourcen'!$A$2:$AI$54,28,0)+VLOOKUP(D64,'Feuerwaffen-Ressourcen'!$A$2:$AI$54,28,0)+VLOOKUP(E64,'Feuerwaffen-Ressourcen'!$A$2:$AI$54,28,0)+VLOOKUP(F64,'Feuerwaffen-Ressourcen'!$A$2:$AI$54,28,0)+VLOOKUP(G64,'Feuerwaffen-Ressourcen'!$A$2:$AI$54,28,0)+VLOOKUP(I64,'Feuerwaffen-Ressourcen'!$A$2:$AI$54,28,0)+VLOOKUP(J64,'Feuerwaffen-Ressourcen'!$A$2:$AI$54,28,0)</f>
        <v>90</v>
      </c>
      <c r="AC64" s="53">
        <f>VLOOKUP(I64,'Feuerwaffen-Ressourcen'!$A$2:$AI$54,31,0)*AD64+AE64</f>
        <v>261.55</v>
      </c>
      <c r="AD64" s="54">
        <f>VLOOKUP(B64,'Feuerwaffen-Ressourcen'!$A$2:$AI$54,30,0)+VLOOKUP(C64,'Feuerwaffen-Ressourcen'!$A$2:$AI$54,30,0)+VLOOKUP(D64,'Feuerwaffen-Ressourcen'!$A$2:$AI$54,30,0)+VLOOKUP(F64,'Feuerwaffen-Ressourcen'!$A$2:$AI$54,30,0)+VLOOKUP(G64,'Feuerwaffen-Ressourcen'!$A$2:$AI$54,30,0)+VLOOKUP(I64,'Feuerwaffen-Ressourcen'!$A$2:$AI$54,30,0)+VLOOKUP(J64,'Feuerwaffen-Ressourcen'!$A$2:$AI$54,30,0)</f>
        <v>5</v>
      </c>
      <c r="AE64" s="53">
        <f>(VLOOKUP(C64,'Feuerwaffen-Ressourcen'!$A$2:$AI$54,32,0)+VLOOKUP(I64,'Feuerwaffen-Ressourcen'!$A$2:$AI$54,32,0))*(VLOOKUP(B64,'Feuerwaffen-Ressourcen'!$A$2:$AI$54,34,0)+VLOOKUP(C64,'Feuerwaffen-Ressourcen'!$A$2:$AI$54,34,0)+VLOOKUP(D64,'Feuerwaffen-Ressourcen'!$A$2:$AI$54,34,0)+VLOOKUP(E64,'Feuerwaffen-Ressourcen'!$A$2:$AI$54,34,0)+VLOOKUP(G64,'Feuerwaffen-Ressourcen'!$A$2:$AI$54,34,0))+VLOOKUP(B64,'Feuerwaffen-Ressourcen'!$A$2:$AI$54,35,0)+VLOOKUP(C64,'Feuerwaffen-Ressourcen'!$A$2:$AI$54,35,0)+VLOOKUP(D64,'Feuerwaffen-Ressourcen'!$A$2:$AI$54,35,0)</f>
        <v>241.55</v>
      </c>
      <c r="AF64" s="55">
        <f>VLOOKUP(AB64,'Feuerwaffen-Ressourcen'!$AO$3:$AP$9,2,1)</f>
        <v>5</v>
      </c>
      <c r="AG64" s="55">
        <v>0</v>
      </c>
      <c r="AH64" s="28" t="s">
        <v>1415</v>
      </c>
      <c r="AI64" s="28" t="s">
        <v>8926</v>
      </c>
      <c r="AJ64" s="56">
        <v>1.5</v>
      </c>
      <c r="AK64" s="56" t="s">
        <v>5497</v>
      </c>
      <c r="AL64" s="56" t="s">
        <v>7946</v>
      </c>
      <c r="AM64" s="56">
        <v>3</v>
      </c>
      <c r="AN64" s="56">
        <v>5</v>
      </c>
      <c r="AO64" s="56">
        <v>-2</v>
      </c>
      <c r="AP64" s="56">
        <v>-7</v>
      </c>
      <c r="AQ64" s="56">
        <f>VLOOKUP(B64,'Feuerwaffen-Ressourcen'!$A$2:$AI$54,12,0)+VLOOKUP(C64,'Feuerwaffen-Ressourcen'!$A$2:$AI$54,12,0)+VLOOKUP(D64,'Feuerwaffen-Ressourcen'!$A$2:$AI$54,12,0)+VLOOKUP(J64,'Feuerwaffen-Ressourcen'!$A$2:$AI$54,12,0)</f>
        <v>10</v>
      </c>
      <c r="AR64" s="56" t="s">
        <v>7946</v>
      </c>
      <c r="AS64" s="56">
        <v>2</v>
      </c>
      <c r="AT64" s="56">
        <v>10</v>
      </c>
    </row>
    <row r="65" spans="1:46">
      <c r="A65" s="49" t="s">
        <v>8889</v>
      </c>
      <c r="B65" s="49" t="s">
        <v>1200</v>
      </c>
      <c r="C65" s="49" t="s">
        <v>8824</v>
      </c>
      <c r="D65" s="49" t="s">
        <v>8927</v>
      </c>
      <c r="E65" s="49" t="s">
        <v>8258</v>
      </c>
      <c r="F65" s="49" t="s">
        <v>8928</v>
      </c>
      <c r="G65" s="49" t="s">
        <v>8923</v>
      </c>
      <c r="H65" s="49" t="s">
        <v>8271</v>
      </c>
      <c r="I65" s="49" t="s">
        <v>7341</v>
      </c>
      <c r="J65" s="49" t="s">
        <v>7320</v>
      </c>
      <c r="K65" s="51">
        <f>VLOOKUP(B65,'Feuerwaffen-Ressourcen'!$A$2:$AI$54,11,0)+VLOOKUP(C65,'Feuerwaffen-Ressourcen'!$A$2:$AI$54,11,0)+VLOOKUP(D65,'Feuerwaffen-Ressourcen'!$A$2:$AI$54,11,0)+VLOOKUP(E65,'Feuerwaffen-Ressourcen'!$A$2:$AI$54,11,0)+VLOOKUP(G65,'Feuerwaffen-Ressourcen'!$A$2:$AI$54,11,0)</f>
        <v>3.55</v>
      </c>
      <c r="L65" s="50">
        <f>VLOOKUP(B65,'Feuerwaffen-Ressourcen'!$A$2:$AI$54,12,0)+VLOOKUP(C65,'Feuerwaffen-Ressourcen'!$A$2:$AI$54,12,0)+VLOOKUP(D65,'Feuerwaffen-Ressourcen'!$A$2:$AI$54,12,0)+VLOOKUP(J65,'Feuerwaffen-Ressourcen'!$A$2:$AI$54,12,0)</f>
        <v>10</v>
      </c>
      <c r="M65" s="50" t="str">
        <f>VLOOKUP(VLOOKUP(B65,'Feuerwaffen-Ressourcen'!$A$2:$AI$54,13,0)+VLOOKUP(C65,'Feuerwaffen-Ressourcen'!$A$2:$AI$54,13,0)+VLOOKUP(D65,'Feuerwaffen-Ressourcen'!$A$2:$AI$54,13,0),'Feuerwaffen-Ressourcen'!$AJ$3:$AK$12,2,0)</f>
        <v>W12</v>
      </c>
      <c r="N65" s="50" t="str">
        <f>VLOOKUP(VLOOKUP(B65,'Feuerwaffen-Ressourcen'!$A$2:$AI$54,14,0)+VLOOKUP(C65,'Feuerwaffen-Ressourcen'!$A$2:$AI$54,14,0)+VLOOKUP(D65,'Feuerwaffen-Ressourcen'!$A$2:$AI$54,14,0),'Feuerwaffen-Ressourcen'!$AJ$3:$AK$12,2,0)</f>
        <v>W12</v>
      </c>
      <c r="O65" s="50">
        <f>VLOOKUP(B65,'Feuerwaffen-Ressourcen'!$A$2:$AI$54,15,0)+VLOOKUP(C65,'Feuerwaffen-Ressourcen'!$A$2:$AI$54,15,0)+VLOOKUP(D65,'Feuerwaffen-Ressourcen'!$A$2:$AI$54,15,0)</f>
        <v>1</v>
      </c>
      <c r="P65" s="50">
        <f>VLOOKUP(B65,'Feuerwaffen-Ressourcen'!$A$2:$AI$54,16,0)+VLOOKUP(C65,'Feuerwaffen-Ressourcen'!$A$2:$AI$54,16,0)+VLOOKUP(D65,'Feuerwaffen-Ressourcen'!$A$2:$AI$54,16,0)+VLOOKUP(E65,'Feuerwaffen-Ressourcen'!$A$2:$AI$54,16,0)</f>
        <v>5</v>
      </c>
      <c r="Q65" s="52">
        <f>VLOOKUP(B65,'Feuerwaffen-Ressourcen'!$A$2:$AI$54,17,0)+VLOOKUP(C65,'Feuerwaffen-Ressourcen'!$A$2:$AI$54,17,0)+VLOOKUP(D65,'Feuerwaffen-Ressourcen'!$A$2:$AI$54,17,0)+VLOOKUP(E65,'Feuerwaffen-Ressourcen'!$A$2:$AI$54,17,0)</f>
        <v>16</v>
      </c>
      <c r="R65" s="50">
        <f>VLOOKUP(B65,'Feuerwaffen-Ressourcen'!$A$2:$AI$54,18,0)+VLOOKUP(C65,'Feuerwaffen-Ressourcen'!$A$2:$AI$54,18,0)+VLOOKUP(D65,'Feuerwaffen-Ressourcen'!$A$2:$AI$54,18,0)+VLOOKUP(F65,'Feuerwaffen-Ressourcen'!$A$2:$AI$54,18,0)+VLOOKUP(G65,'Feuerwaffen-Ressourcen'!$A$2:$AI$54,18,0)+VLOOKUP(I65,'Feuerwaffen-Ressourcen'!$A$2:$AI$54,18,0)+VLOOKUP(J65,'Feuerwaffen-Ressourcen'!$A$2:$AI$54,18,0)</f>
        <v>6</v>
      </c>
      <c r="S65" s="50">
        <f>VLOOKUP(B65,'Feuerwaffen-Ressourcen'!$A$2:$AI$54,19,0)+VLOOKUP(C65,'Feuerwaffen-Ressourcen'!$A$2:$AI$54,19,0)+VLOOKUP(D65,'Feuerwaffen-Ressourcen'!$A$2:$AI$54,19,0)+VLOOKUP(F65,'Feuerwaffen-Ressourcen'!$A$2:$AI$54,19,0)+VLOOKUP(G65,'Feuerwaffen-Ressourcen'!$A$2:$AI$54,19,0)+VLOOKUP(I65,'Feuerwaffen-Ressourcen'!$A$2:$AI$54,19,0)+VLOOKUP(J65,'Feuerwaffen-Ressourcen'!$A$2:$AI$54,19,0)</f>
        <v>-3</v>
      </c>
      <c r="T65" s="50">
        <f>VLOOKUP(B65,'Feuerwaffen-Ressourcen'!$A$2:$AI$54,20,0)+VLOOKUP(C65,'Feuerwaffen-Ressourcen'!$A$2:$AI$54,20,0)+VLOOKUP(D65,'Feuerwaffen-Ressourcen'!$A$2:$AI$54,20,0)+VLOOKUP(F65,'Feuerwaffen-Ressourcen'!$A$2:$AI$54,20,0)+VLOOKUP(G65,'Feuerwaffen-Ressourcen'!$A$2:$AI$54,20,0)+VLOOKUP(I65,'Feuerwaffen-Ressourcen'!$A$2:$AI$54,20,0)+VLOOKUP(J65,'Feuerwaffen-Ressourcen'!$A$2:$AI$54,20,0)</f>
        <v>-14</v>
      </c>
      <c r="U65" s="50">
        <f>VLOOKUP(B65,'Feuerwaffen-Ressourcen'!$A$2:$AI$54,21,0)+VLOOKUP(C65,'Feuerwaffen-Ressourcen'!$A$2:$AI$54,21,0)+VLOOKUP(D65,'Feuerwaffen-Ressourcen'!$A$2:$AI$54,21,0)+VLOOKUP(F65,'Feuerwaffen-Ressourcen'!$A$2:$AI$54,21,0)+VLOOKUP(G65,'Feuerwaffen-Ressourcen'!$A$2:$AI$54,21,0)+VLOOKUP(I65,'Feuerwaffen-Ressourcen'!$A$2:$AI$54,21,0)+VLOOKUP(J65,'Feuerwaffen-Ressourcen'!$A$2:$AI$54,21,0)</f>
        <v>-27</v>
      </c>
      <c r="V65" s="50">
        <f>VLOOKUP(B65,'Feuerwaffen-Ressourcen'!$A$2:$AI$54,22,0)+VLOOKUP(C65,'Feuerwaffen-Ressourcen'!$A$2:$AI$54,22,0)+VLOOKUP(D65,'Feuerwaffen-Ressourcen'!$A$2:$AI$54,22,0)+VLOOKUP(F65,'Feuerwaffen-Ressourcen'!$A$2:$AI$54,22,0)+VLOOKUP(G65,'Feuerwaffen-Ressourcen'!$A$2:$AI$54,22,0)+VLOOKUP(I65,'Feuerwaffen-Ressourcen'!$A$2:$AI$54,22,0)+VLOOKUP(J65,'Feuerwaffen-Ressourcen'!$A$2:$AI$54,22,0)</f>
        <v>-42</v>
      </c>
      <c r="W65" s="50">
        <f>VLOOKUP(B65,'Feuerwaffen-Ressourcen'!$A$2:$AI$54,23,0)+VLOOKUP(C65,'Feuerwaffen-Ressourcen'!$A$2:$AI$54,23,0)+VLOOKUP(D65,'Feuerwaffen-Ressourcen'!$A$2:$AI$54,23,0)+VLOOKUP(F65,'Feuerwaffen-Ressourcen'!$A$2:$AI$54,23,0)+VLOOKUP(G65,'Feuerwaffen-Ressourcen'!$A$2:$AI$54,23,0)+VLOOKUP(I65,'Feuerwaffen-Ressourcen'!$A$2:$AI$54,23,0)+VLOOKUP(J65,'Feuerwaffen-Ressourcen'!$A$2:$AI$54,23,0)</f>
        <v>-59</v>
      </c>
      <c r="X65" s="50">
        <f>VLOOKUP(B65,'Feuerwaffen-Ressourcen'!$A$2:$AI$54,24,0)+VLOOKUP(C65,'Feuerwaffen-Ressourcen'!$A$2:$AI$54,24,0)+VLOOKUP(D65,'Feuerwaffen-Ressourcen'!$A$2:$AI$54,24,0)+VLOOKUP(G65,'Feuerwaffen-Ressourcen'!$A$2:$AI$54,24,0)</f>
        <v>20</v>
      </c>
      <c r="Y65" s="50">
        <f>VLOOKUP(D65,'Feuerwaffen-Ressourcen'!$A$2:$AI$54,25,0)+VLOOKUP(E65,'Feuerwaffen-Ressourcen'!$A$2:$AI$54,25,0)+VLOOKUP(F65,'Feuerwaffen-Ressourcen'!$A$2:$AI$54,25,0)</f>
        <v>30</v>
      </c>
      <c r="Z65" s="50">
        <f>VLOOKUP(E65,'Feuerwaffen-Ressourcen'!$A$2:$AI$54,26,0)</f>
        <v>3</v>
      </c>
      <c r="AA65" s="50">
        <f>VLOOKUP(B65,'Feuerwaffen-Ressourcen'!$A$2:$AI$54,27,0)+VLOOKUP(D65,'Feuerwaffen-Ressourcen'!$A$2:$AI$54,27,0)+VLOOKUP(F65,'Feuerwaffen-Ressourcen'!$A$2:$AI$54,27,0)+VLOOKUP(I65,'Feuerwaffen-Ressourcen'!$A$2:$AI$54,27,0)</f>
        <v>3</v>
      </c>
      <c r="AB65" s="50">
        <f>VLOOKUP(B65,'Feuerwaffen-Ressourcen'!$A$2:$AI$54,28,0)+VLOOKUP(C65,'Feuerwaffen-Ressourcen'!$A$2:$AI$54,28,0)+VLOOKUP(D65,'Feuerwaffen-Ressourcen'!$A$2:$AI$54,28,0)+VLOOKUP(E65,'Feuerwaffen-Ressourcen'!$A$2:$AI$54,28,0)+VLOOKUP(F65,'Feuerwaffen-Ressourcen'!$A$2:$AI$54,28,0)+VLOOKUP(G65,'Feuerwaffen-Ressourcen'!$A$2:$AI$54,28,0)+VLOOKUP(I65,'Feuerwaffen-Ressourcen'!$A$2:$AI$54,28,0)+VLOOKUP(J65,'Feuerwaffen-Ressourcen'!$A$2:$AI$54,28,0)</f>
        <v>100</v>
      </c>
      <c r="AC65" s="53">
        <f>VLOOKUP(I65,'Feuerwaffen-Ressourcen'!$A$2:$AI$54,31,0)*AD65+AE65</f>
        <v>257.55</v>
      </c>
      <c r="AD65" s="54">
        <f>VLOOKUP(B65,'Feuerwaffen-Ressourcen'!$A$2:$AI$54,30,0)+VLOOKUP(C65,'Feuerwaffen-Ressourcen'!$A$2:$AI$54,30,0)+VLOOKUP(D65,'Feuerwaffen-Ressourcen'!$A$2:$AI$54,30,0)+VLOOKUP(F65,'Feuerwaffen-Ressourcen'!$A$2:$AI$54,30,0)+VLOOKUP(G65,'Feuerwaffen-Ressourcen'!$A$2:$AI$54,30,0)+VLOOKUP(I65,'Feuerwaffen-Ressourcen'!$A$2:$AI$54,30,0)+VLOOKUP(J65,'Feuerwaffen-Ressourcen'!$A$2:$AI$54,30,0)</f>
        <v>4</v>
      </c>
      <c r="AE65" s="53">
        <f>(VLOOKUP(C65,'Feuerwaffen-Ressourcen'!$A$2:$AI$54,32,0)+VLOOKUP(I65,'Feuerwaffen-Ressourcen'!$A$2:$AI$54,32,0))*(VLOOKUP(B65,'Feuerwaffen-Ressourcen'!$A$2:$AI$54,34,0)+VLOOKUP(C65,'Feuerwaffen-Ressourcen'!$A$2:$AI$54,34,0)+VLOOKUP(D65,'Feuerwaffen-Ressourcen'!$A$2:$AI$54,34,0)+VLOOKUP(E65,'Feuerwaffen-Ressourcen'!$A$2:$AI$54,34,0)+VLOOKUP(G65,'Feuerwaffen-Ressourcen'!$A$2:$AI$54,34,0))+VLOOKUP(B65,'Feuerwaffen-Ressourcen'!$A$2:$AI$54,35,0)+VLOOKUP(C65,'Feuerwaffen-Ressourcen'!$A$2:$AI$54,35,0)+VLOOKUP(D65,'Feuerwaffen-Ressourcen'!$A$2:$AI$54,35,0)</f>
        <v>241.55</v>
      </c>
      <c r="AF65" s="55">
        <f>VLOOKUP(AB65,'Feuerwaffen-Ressourcen'!$AO$3:$AP$9,2,1)</f>
        <v>5</v>
      </c>
      <c r="AG65" s="55">
        <v>0</v>
      </c>
      <c r="AH65" s="28" t="s">
        <v>1415</v>
      </c>
      <c r="AI65" s="28" t="s">
        <v>8926</v>
      </c>
      <c r="AJ65" s="56">
        <v>1.5</v>
      </c>
      <c r="AK65" s="56" t="s">
        <v>5497</v>
      </c>
      <c r="AL65" s="56" t="s">
        <v>7946</v>
      </c>
      <c r="AM65" s="56">
        <v>3</v>
      </c>
      <c r="AN65" s="56">
        <v>5</v>
      </c>
      <c r="AO65" s="56">
        <v>-2</v>
      </c>
      <c r="AP65" s="56">
        <v>-7</v>
      </c>
      <c r="AQ65" s="56">
        <f>VLOOKUP(B65,'Feuerwaffen-Ressourcen'!$A$2:$AI$54,12,0)+VLOOKUP(C65,'Feuerwaffen-Ressourcen'!$A$2:$AI$54,12,0)+VLOOKUP(D65,'Feuerwaffen-Ressourcen'!$A$2:$AI$54,12,0)+VLOOKUP(J65,'Feuerwaffen-Ressourcen'!$A$2:$AI$54,12,0)</f>
        <v>10</v>
      </c>
      <c r="AR65" s="56" t="s">
        <v>7946</v>
      </c>
      <c r="AS65" s="56">
        <v>2</v>
      </c>
      <c r="AT65" s="56">
        <v>10</v>
      </c>
    </row>
    <row r="66" spans="1:46">
      <c r="A66" s="49" t="s">
        <v>8890</v>
      </c>
      <c r="B66" s="49" t="s">
        <v>1200</v>
      </c>
      <c r="C66" s="49" t="s">
        <v>8824</v>
      </c>
      <c r="D66" s="49" t="s">
        <v>8927</v>
      </c>
      <c r="E66" s="49" t="s">
        <v>8829</v>
      </c>
      <c r="F66" s="49" t="s">
        <v>8931</v>
      </c>
      <c r="G66" s="49" t="s">
        <v>8932</v>
      </c>
      <c r="H66" s="49" t="s">
        <v>8830</v>
      </c>
      <c r="I66" s="49" t="s">
        <v>7341</v>
      </c>
      <c r="J66" s="49" t="s">
        <v>7320</v>
      </c>
      <c r="K66" s="51">
        <f>VLOOKUP(B66,'Feuerwaffen-Ressourcen'!$A$2:$AI$54,11,0)+VLOOKUP(C66,'Feuerwaffen-Ressourcen'!$A$2:$AI$54,11,0)+VLOOKUP(D66,'Feuerwaffen-Ressourcen'!$A$2:$AI$54,11,0)+VLOOKUP(E66,'Feuerwaffen-Ressourcen'!$A$2:$AI$54,11,0)+VLOOKUP(G66,'Feuerwaffen-Ressourcen'!$A$2:$AI$54,11,0)</f>
        <v>3.8</v>
      </c>
      <c r="L66" s="50">
        <f>VLOOKUP(B66,'Feuerwaffen-Ressourcen'!$A$2:$AI$54,12,0)+VLOOKUP(C66,'Feuerwaffen-Ressourcen'!$A$2:$AI$54,12,0)+VLOOKUP(D66,'Feuerwaffen-Ressourcen'!$A$2:$AI$54,12,0)+VLOOKUP(J66,'Feuerwaffen-Ressourcen'!$A$2:$AI$54,12,0)</f>
        <v>10</v>
      </c>
      <c r="M66" s="50" t="str">
        <f>VLOOKUP(VLOOKUP(B66,'Feuerwaffen-Ressourcen'!$A$2:$AI$54,13,0)+VLOOKUP(C66,'Feuerwaffen-Ressourcen'!$A$2:$AI$54,13,0)+VLOOKUP(D66,'Feuerwaffen-Ressourcen'!$A$2:$AI$54,13,0),'Feuerwaffen-Ressourcen'!$AJ$3:$AK$12,2,0)</f>
        <v>W12</v>
      </c>
      <c r="N66" s="50" t="str">
        <f>VLOOKUP(VLOOKUP(B66,'Feuerwaffen-Ressourcen'!$A$2:$AI$54,14,0)+VLOOKUP(C66,'Feuerwaffen-Ressourcen'!$A$2:$AI$54,14,0)+VLOOKUP(D66,'Feuerwaffen-Ressourcen'!$A$2:$AI$54,14,0),'Feuerwaffen-Ressourcen'!$AJ$3:$AK$12,2,0)</f>
        <v>W12</v>
      </c>
      <c r="O66" s="50">
        <f>VLOOKUP(B66,'Feuerwaffen-Ressourcen'!$A$2:$AI$54,15,0)+VLOOKUP(C66,'Feuerwaffen-Ressourcen'!$A$2:$AI$54,15,0)+VLOOKUP(D66,'Feuerwaffen-Ressourcen'!$A$2:$AI$54,15,0)</f>
        <v>1</v>
      </c>
      <c r="P66" s="50">
        <f>VLOOKUP(B66,'Feuerwaffen-Ressourcen'!$A$2:$AI$54,16,0)+VLOOKUP(C66,'Feuerwaffen-Ressourcen'!$A$2:$AI$54,16,0)+VLOOKUP(D66,'Feuerwaffen-Ressourcen'!$A$2:$AI$54,16,0)+VLOOKUP(E66,'Feuerwaffen-Ressourcen'!$A$2:$AI$54,16,0)</f>
        <v>11</v>
      </c>
      <c r="Q66" s="52">
        <f>VLOOKUP(B66,'Feuerwaffen-Ressourcen'!$A$2:$AI$54,17,0)+VLOOKUP(C66,'Feuerwaffen-Ressourcen'!$A$2:$AI$54,17,0)+VLOOKUP(D66,'Feuerwaffen-Ressourcen'!$A$2:$AI$54,17,0)+VLOOKUP(E66,'Feuerwaffen-Ressourcen'!$A$2:$AI$54,17,0)</f>
        <v>10</v>
      </c>
      <c r="R66" s="50">
        <f>VLOOKUP(B66,'Feuerwaffen-Ressourcen'!$A$2:$AI$54,18,0)+VLOOKUP(C66,'Feuerwaffen-Ressourcen'!$A$2:$AI$54,18,0)+VLOOKUP(D66,'Feuerwaffen-Ressourcen'!$A$2:$AI$54,18,0)+VLOOKUP(F66,'Feuerwaffen-Ressourcen'!$A$2:$AI$54,18,0)+VLOOKUP(G66,'Feuerwaffen-Ressourcen'!$A$2:$AI$54,18,0)+VLOOKUP(I66,'Feuerwaffen-Ressourcen'!$A$2:$AI$54,18,0)+VLOOKUP(J66,'Feuerwaffen-Ressourcen'!$A$2:$AI$54,18,0)</f>
        <v>10</v>
      </c>
      <c r="S66" s="50">
        <f>VLOOKUP(B66,'Feuerwaffen-Ressourcen'!$A$2:$AI$54,19,0)+VLOOKUP(C66,'Feuerwaffen-Ressourcen'!$A$2:$AI$54,19,0)+VLOOKUP(D66,'Feuerwaffen-Ressourcen'!$A$2:$AI$54,19,0)+VLOOKUP(F66,'Feuerwaffen-Ressourcen'!$A$2:$AI$54,19,0)+VLOOKUP(G66,'Feuerwaffen-Ressourcen'!$A$2:$AI$54,19,0)+VLOOKUP(I66,'Feuerwaffen-Ressourcen'!$A$2:$AI$54,19,0)+VLOOKUP(J66,'Feuerwaffen-Ressourcen'!$A$2:$AI$54,19,0)</f>
        <v>2</v>
      </c>
      <c r="T66" s="50">
        <f>VLOOKUP(B66,'Feuerwaffen-Ressourcen'!$A$2:$AI$54,20,0)+VLOOKUP(C66,'Feuerwaffen-Ressourcen'!$A$2:$AI$54,20,0)+VLOOKUP(D66,'Feuerwaffen-Ressourcen'!$A$2:$AI$54,20,0)+VLOOKUP(F66,'Feuerwaffen-Ressourcen'!$A$2:$AI$54,20,0)+VLOOKUP(G66,'Feuerwaffen-Ressourcen'!$A$2:$AI$54,20,0)+VLOOKUP(I66,'Feuerwaffen-Ressourcen'!$A$2:$AI$54,20,0)+VLOOKUP(J66,'Feuerwaffen-Ressourcen'!$A$2:$AI$54,20,0)</f>
        <v>-9</v>
      </c>
      <c r="U66" s="50">
        <f>VLOOKUP(B66,'Feuerwaffen-Ressourcen'!$A$2:$AI$54,21,0)+VLOOKUP(C66,'Feuerwaffen-Ressourcen'!$A$2:$AI$54,21,0)+VLOOKUP(D66,'Feuerwaffen-Ressourcen'!$A$2:$AI$54,21,0)+VLOOKUP(F66,'Feuerwaffen-Ressourcen'!$A$2:$AI$54,21,0)+VLOOKUP(G66,'Feuerwaffen-Ressourcen'!$A$2:$AI$54,21,0)+VLOOKUP(I66,'Feuerwaffen-Ressourcen'!$A$2:$AI$54,21,0)+VLOOKUP(J66,'Feuerwaffen-Ressourcen'!$A$2:$AI$54,21,0)</f>
        <v>-23</v>
      </c>
      <c r="V66" s="50">
        <f>VLOOKUP(B66,'Feuerwaffen-Ressourcen'!$A$2:$AI$54,22,0)+VLOOKUP(C66,'Feuerwaffen-Ressourcen'!$A$2:$AI$54,22,0)+VLOOKUP(D66,'Feuerwaffen-Ressourcen'!$A$2:$AI$54,22,0)+VLOOKUP(F66,'Feuerwaffen-Ressourcen'!$A$2:$AI$54,22,0)+VLOOKUP(G66,'Feuerwaffen-Ressourcen'!$A$2:$AI$54,22,0)+VLOOKUP(I66,'Feuerwaffen-Ressourcen'!$A$2:$AI$54,22,0)+VLOOKUP(J66,'Feuerwaffen-Ressourcen'!$A$2:$AI$54,22,0)</f>
        <v>-39</v>
      </c>
      <c r="W66" s="50">
        <f>VLOOKUP(B66,'Feuerwaffen-Ressourcen'!$A$2:$AI$54,23,0)+VLOOKUP(C66,'Feuerwaffen-Ressourcen'!$A$2:$AI$54,23,0)+VLOOKUP(D66,'Feuerwaffen-Ressourcen'!$A$2:$AI$54,23,0)+VLOOKUP(F66,'Feuerwaffen-Ressourcen'!$A$2:$AI$54,23,0)+VLOOKUP(G66,'Feuerwaffen-Ressourcen'!$A$2:$AI$54,23,0)+VLOOKUP(I66,'Feuerwaffen-Ressourcen'!$A$2:$AI$54,23,0)+VLOOKUP(J66,'Feuerwaffen-Ressourcen'!$A$2:$AI$54,23,0)</f>
        <v>-56</v>
      </c>
      <c r="X66" s="50">
        <f>VLOOKUP(B66,'Feuerwaffen-Ressourcen'!$A$2:$AI$54,24,0)+VLOOKUP(C66,'Feuerwaffen-Ressourcen'!$A$2:$AI$54,24,0)+VLOOKUP(D66,'Feuerwaffen-Ressourcen'!$A$2:$AI$54,24,0)+VLOOKUP(G66,'Feuerwaffen-Ressourcen'!$A$2:$AI$54,24,0)</f>
        <v>50</v>
      </c>
      <c r="Y66" s="50">
        <f>VLOOKUP(D66,'Feuerwaffen-Ressourcen'!$A$2:$AI$54,25,0)+VLOOKUP(E66,'Feuerwaffen-Ressourcen'!$A$2:$AI$54,25,0)+VLOOKUP(F66,'Feuerwaffen-Ressourcen'!$A$2:$AI$54,25,0)</f>
        <v>9</v>
      </c>
      <c r="Z66" s="50">
        <f>VLOOKUP(E66,'Feuerwaffen-Ressourcen'!$A$2:$AI$54,26,0)</f>
        <v>6</v>
      </c>
      <c r="AA66" s="50">
        <f>VLOOKUP(B66,'Feuerwaffen-Ressourcen'!$A$2:$AI$54,27,0)+VLOOKUP(D66,'Feuerwaffen-Ressourcen'!$A$2:$AI$54,27,0)+VLOOKUP(F66,'Feuerwaffen-Ressourcen'!$A$2:$AI$54,27,0)+VLOOKUP(I66,'Feuerwaffen-Ressourcen'!$A$2:$AI$54,27,0)</f>
        <v>0</v>
      </c>
      <c r="AB66" s="50">
        <f>VLOOKUP(B66,'Feuerwaffen-Ressourcen'!$A$2:$AI$54,28,0)+VLOOKUP(C66,'Feuerwaffen-Ressourcen'!$A$2:$AI$54,28,0)+VLOOKUP(D66,'Feuerwaffen-Ressourcen'!$A$2:$AI$54,28,0)+VLOOKUP(E66,'Feuerwaffen-Ressourcen'!$A$2:$AI$54,28,0)+VLOOKUP(F66,'Feuerwaffen-Ressourcen'!$A$2:$AI$54,28,0)+VLOOKUP(G66,'Feuerwaffen-Ressourcen'!$A$2:$AI$54,28,0)+VLOOKUP(I66,'Feuerwaffen-Ressourcen'!$A$2:$AI$54,28,0)+VLOOKUP(J66,'Feuerwaffen-Ressourcen'!$A$2:$AI$54,28,0)</f>
        <v>50</v>
      </c>
      <c r="AC66" s="53">
        <f>VLOOKUP(I66,'Feuerwaffen-Ressourcen'!$A$2:$AI$54,31,0)*AD66+AE66</f>
        <v>305.55</v>
      </c>
      <c r="AD66" s="54">
        <f>VLOOKUP(B66,'Feuerwaffen-Ressourcen'!$A$2:$AI$54,30,0)+VLOOKUP(C66,'Feuerwaffen-Ressourcen'!$A$2:$AI$54,30,0)+VLOOKUP(D66,'Feuerwaffen-Ressourcen'!$A$2:$AI$54,30,0)+VLOOKUP(F66,'Feuerwaffen-Ressourcen'!$A$2:$AI$54,30,0)+VLOOKUP(G66,'Feuerwaffen-Ressourcen'!$A$2:$AI$54,30,0)+VLOOKUP(I66,'Feuerwaffen-Ressourcen'!$A$2:$AI$54,30,0)+VLOOKUP(J66,'Feuerwaffen-Ressourcen'!$A$2:$AI$54,30,0)</f>
        <v>8.5</v>
      </c>
      <c r="AE66" s="53">
        <f>(VLOOKUP(C66,'Feuerwaffen-Ressourcen'!$A$2:$AI$54,32,0)+VLOOKUP(I66,'Feuerwaffen-Ressourcen'!$A$2:$AI$54,32,0))*(VLOOKUP(B66,'Feuerwaffen-Ressourcen'!$A$2:$AI$54,34,0)+VLOOKUP(C66,'Feuerwaffen-Ressourcen'!$A$2:$AI$54,34,0)+VLOOKUP(D66,'Feuerwaffen-Ressourcen'!$A$2:$AI$54,34,0)+VLOOKUP(E66,'Feuerwaffen-Ressourcen'!$A$2:$AI$54,34,0)+VLOOKUP(G66,'Feuerwaffen-Ressourcen'!$A$2:$AI$54,34,0))+VLOOKUP(B66,'Feuerwaffen-Ressourcen'!$A$2:$AI$54,35,0)+VLOOKUP(C66,'Feuerwaffen-Ressourcen'!$A$2:$AI$54,35,0)+VLOOKUP(D66,'Feuerwaffen-Ressourcen'!$A$2:$AI$54,35,0)</f>
        <v>271.55</v>
      </c>
      <c r="AF66" s="55">
        <f>VLOOKUP(AB66,'Feuerwaffen-Ressourcen'!$AO$3:$AP$9,2,1)</f>
        <v>7</v>
      </c>
      <c r="AG66" s="55">
        <v>0</v>
      </c>
      <c r="AH66" s="28" t="s">
        <v>1415</v>
      </c>
      <c r="AI66" s="28" t="s">
        <v>8926</v>
      </c>
      <c r="AJ66" s="56">
        <v>1.5</v>
      </c>
      <c r="AK66" s="56" t="s">
        <v>5497</v>
      </c>
      <c r="AL66" s="56" t="s">
        <v>7946</v>
      </c>
      <c r="AM66" s="56">
        <v>3</v>
      </c>
      <c r="AN66" s="56">
        <v>5</v>
      </c>
      <c r="AO66" s="56">
        <v>-2</v>
      </c>
      <c r="AP66" s="56">
        <v>-7</v>
      </c>
      <c r="AQ66" s="56">
        <f>VLOOKUP(B66,'Feuerwaffen-Ressourcen'!$A$2:$AI$54,12,0)+VLOOKUP(C66,'Feuerwaffen-Ressourcen'!$A$2:$AI$54,12,0)+VLOOKUP(D66,'Feuerwaffen-Ressourcen'!$A$2:$AI$54,12,0)+VLOOKUP(J66,'Feuerwaffen-Ressourcen'!$A$2:$AI$54,12,0)</f>
        <v>10</v>
      </c>
      <c r="AR66" s="56" t="s">
        <v>7946</v>
      </c>
      <c r="AS66" s="56">
        <v>2</v>
      </c>
      <c r="AT66" s="56">
        <v>10</v>
      </c>
    </row>
    <row r="67" spans="1:46">
      <c r="A67" s="49" t="s">
        <v>8891</v>
      </c>
      <c r="B67" s="49" t="s">
        <v>1200</v>
      </c>
      <c r="C67" s="49" t="s">
        <v>8824</v>
      </c>
      <c r="D67" s="49" t="s">
        <v>8933</v>
      </c>
      <c r="E67" s="49" t="s">
        <v>8258</v>
      </c>
      <c r="F67" s="49" t="s">
        <v>8936</v>
      </c>
      <c r="G67" s="49" t="s">
        <v>8923</v>
      </c>
      <c r="H67" s="49" t="s">
        <v>8271</v>
      </c>
      <c r="I67" s="49" t="s">
        <v>7341</v>
      </c>
      <c r="J67" s="49" t="s">
        <v>7320</v>
      </c>
      <c r="K67" s="51">
        <f>VLOOKUP(B67,'Feuerwaffen-Ressourcen'!$A$2:$AI$54,11,0)+VLOOKUP(C67,'Feuerwaffen-Ressourcen'!$A$2:$AI$54,11,0)+VLOOKUP(D67,'Feuerwaffen-Ressourcen'!$A$2:$AI$54,11,0)+VLOOKUP(E67,'Feuerwaffen-Ressourcen'!$A$2:$AI$54,11,0)+VLOOKUP(G67,'Feuerwaffen-Ressourcen'!$A$2:$AI$54,11,0)</f>
        <v>4.05</v>
      </c>
      <c r="L67" s="50">
        <f>VLOOKUP(B67,'Feuerwaffen-Ressourcen'!$A$2:$AI$54,12,0)+VLOOKUP(C67,'Feuerwaffen-Ressourcen'!$A$2:$AI$54,12,0)+VLOOKUP(D67,'Feuerwaffen-Ressourcen'!$A$2:$AI$54,12,0)+VLOOKUP(J67,'Feuerwaffen-Ressourcen'!$A$2:$AI$54,12,0)</f>
        <v>12</v>
      </c>
      <c r="M67" s="50" t="str">
        <f>VLOOKUP(VLOOKUP(B67,'Feuerwaffen-Ressourcen'!$A$2:$AI$54,13,0)+VLOOKUP(C67,'Feuerwaffen-Ressourcen'!$A$2:$AI$54,13,0)+VLOOKUP(D67,'Feuerwaffen-Ressourcen'!$A$2:$AI$54,13,0),'Feuerwaffen-Ressourcen'!$AJ$3:$AK$12,2,0)</f>
        <v>W15</v>
      </c>
      <c r="N67" s="50" t="str">
        <f>VLOOKUP(VLOOKUP(B67,'Feuerwaffen-Ressourcen'!$A$2:$AI$54,14,0)+VLOOKUP(C67,'Feuerwaffen-Ressourcen'!$A$2:$AI$54,14,0)+VLOOKUP(D67,'Feuerwaffen-Ressourcen'!$A$2:$AI$54,14,0),'Feuerwaffen-Ressourcen'!$AJ$3:$AK$12,2,0)</f>
        <v>W15</v>
      </c>
      <c r="O67" s="50">
        <f>VLOOKUP(B67,'Feuerwaffen-Ressourcen'!$A$2:$AI$54,15,0)+VLOOKUP(C67,'Feuerwaffen-Ressourcen'!$A$2:$AI$54,15,0)+VLOOKUP(D67,'Feuerwaffen-Ressourcen'!$A$2:$AI$54,15,0)</f>
        <v>2</v>
      </c>
      <c r="P67" s="50">
        <f>VLOOKUP(B67,'Feuerwaffen-Ressourcen'!$A$2:$AI$54,16,0)+VLOOKUP(C67,'Feuerwaffen-Ressourcen'!$A$2:$AI$54,16,0)+VLOOKUP(D67,'Feuerwaffen-Ressourcen'!$A$2:$AI$54,16,0)+VLOOKUP(E67,'Feuerwaffen-Ressourcen'!$A$2:$AI$54,16,0)</f>
        <v>6</v>
      </c>
      <c r="Q67" s="52">
        <f>VLOOKUP(B67,'Feuerwaffen-Ressourcen'!$A$2:$AI$54,17,0)+VLOOKUP(C67,'Feuerwaffen-Ressourcen'!$A$2:$AI$54,17,0)+VLOOKUP(D67,'Feuerwaffen-Ressourcen'!$A$2:$AI$54,17,0)+VLOOKUP(E67,'Feuerwaffen-Ressourcen'!$A$2:$AI$54,17,0)</f>
        <v>17</v>
      </c>
      <c r="R67" s="50">
        <f>VLOOKUP(B67,'Feuerwaffen-Ressourcen'!$A$2:$AI$54,18,0)+VLOOKUP(C67,'Feuerwaffen-Ressourcen'!$A$2:$AI$54,18,0)+VLOOKUP(D67,'Feuerwaffen-Ressourcen'!$A$2:$AI$54,18,0)+VLOOKUP(F67,'Feuerwaffen-Ressourcen'!$A$2:$AI$54,18,0)+VLOOKUP(G67,'Feuerwaffen-Ressourcen'!$A$2:$AI$54,18,0)+VLOOKUP(I67,'Feuerwaffen-Ressourcen'!$A$2:$AI$54,18,0)+VLOOKUP(J67,'Feuerwaffen-Ressourcen'!$A$2:$AI$54,18,0)</f>
        <v>5</v>
      </c>
      <c r="S67" s="50">
        <f>VLOOKUP(B67,'Feuerwaffen-Ressourcen'!$A$2:$AI$54,19,0)+VLOOKUP(C67,'Feuerwaffen-Ressourcen'!$A$2:$AI$54,19,0)+VLOOKUP(D67,'Feuerwaffen-Ressourcen'!$A$2:$AI$54,19,0)+VLOOKUP(F67,'Feuerwaffen-Ressourcen'!$A$2:$AI$54,19,0)+VLOOKUP(G67,'Feuerwaffen-Ressourcen'!$A$2:$AI$54,19,0)+VLOOKUP(I67,'Feuerwaffen-Ressourcen'!$A$2:$AI$54,19,0)+VLOOKUP(J67,'Feuerwaffen-Ressourcen'!$A$2:$AI$54,19,0)</f>
        <v>-3</v>
      </c>
      <c r="T67" s="50">
        <f>VLOOKUP(B67,'Feuerwaffen-Ressourcen'!$A$2:$AI$54,20,0)+VLOOKUP(C67,'Feuerwaffen-Ressourcen'!$A$2:$AI$54,20,0)+VLOOKUP(D67,'Feuerwaffen-Ressourcen'!$A$2:$AI$54,20,0)+VLOOKUP(F67,'Feuerwaffen-Ressourcen'!$A$2:$AI$54,20,0)+VLOOKUP(G67,'Feuerwaffen-Ressourcen'!$A$2:$AI$54,20,0)+VLOOKUP(I67,'Feuerwaffen-Ressourcen'!$A$2:$AI$54,20,0)+VLOOKUP(J67,'Feuerwaffen-Ressourcen'!$A$2:$AI$54,20,0)</f>
        <v>-13</v>
      </c>
      <c r="U67" s="50">
        <f>VLOOKUP(B67,'Feuerwaffen-Ressourcen'!$A$2:$AI$54,21,0)+VLOOKUP(C67,'Feuerwaffen-Ressourcen'!$A$2:$AI$54,21,0)+VLOOKUP(D67,'Feuerwaffen-Ressourcen'!$A$2:$AI$54,21,0)+VLOOKUP(F67,'Feuerwaffen-Ressourcen'!$A$2:$AI$54,21,0)+VLOOKUP(G67,'Feuerwaffen-Ressourcen'!$A$2:$AI$54,21,0)+VLOOKUP(I67,'Feuerwaffen-Ressourcen'!$A$2:$AI$54,21,0)+VLOOKUP(J67,'Feuerwaffen-Ressourcen'!$A$2:$AI$54,21,0)</f>
        <v>-26</v>
      </c>
      <c r="V67" s="50">
        <f>VLOOKUP(B67,'Feuerwaffen-Ressourcen'!$A$2:$AI$54,22,0)+VLOOKUP(C67,'Feuerwaffen-Ressourcen'!$A$2:$AI$54,22,0)+VLOOKUP(D67,'Feuerwaffen-Ressourcen'!$A$2:$AI$54,22,0)+VLOOKUP(F67,'Feuerwaffen-Ressourcen'!$A$2:$AI$54,22,0)+VLOOKUP(G67,'Feuerwaffen-Ressourcen'!$A$2:$AI$54,22,0)+VLOOKUP(I67,'Feuerwaffen-Ressourcen'!$A$2:$AI$54,22,0)+VLOOKUP(J67,'Feuerwaffen-Ressourcen'!$A$2:$AI$54,22,0)</f>
        <v>-41</v>
      </c>
      <c r="W67" s="50">
        <f>VLOOKUP(B67,'Feuerwaffen-Ressourcen'!$A$2:$AI$54,23,0)+VLOOKUP(C67,'Feuerwaffen-Ressourcen'!$A$2:$AI$54,23,0)+VLOOKUP(D67,'Feuerwaffen-Ressourcen'!$A$2:$AI$54,23,0)+VLOOKUP(F67,'Feuerwaffen-Ressourcen'!$A$2:$AI$54,23,0)+VLOOKUP(G67,'Feuerwaffen-Ressourcen'!$A$2:$AI$54,23,0)+VLOOKUP(I67,'Feuerwaffen-Ressourcen'!$A$2:$AI$54,23,0)+VLOOKUP(J67,'Feuerwaffen-Ressourcen'!$A$2:$AI$54,23,0)</f>
        <v>-58</v>
      </c>
      <c r="X67" s="50">
        <f>VLOOKUP(B67,'Feuerwaffen-Ressourcen'!$A$2:$AI$54,24,0)+VLOOKUP(C67,'Feuerwaffen-Ressourcen'!$A$2:$AI$54,24,0)+VLOOKUP(D67,'Feuerwaffen-Ressourcen'!$A$2:$AI$54,24,0)+VLOOKUP(G67,'Feuerwaffen-Ressourcen'!$A$2:$AI$54,24,0)</f>
        <v>40</v>
      </c>
      <c r="Y67" s="50">
        <f>VLOOKUP(D67,'Feuerwaffen-Ressourcen'!$A$2:$AI$54,25,0)+VLOOKUP(E67,'Feuerwaffen-Ressourcen'!$A$2:$AI$54,25,0)+VLOOKUP(F67,'Feuerwaffen-Ressourcen'!$A$2:$AI$54,25,0)</f>
        <v>31</v>
      </c>
      <c r="Z67" s="50">
        <f>VLOOKUP(E67,'Feuerwaffen-Ressourcen'!$A$2:$AI$54,26,0)</f>
        <v>3</v>
      </c>
      <c r="AA67" s="50">
        <f>VLOOKUP(B67,'Feuerwaffen-Ressourcen'!$A$2:$AI$54,27,0)+VLOOKUP(D67,'Feuerwaffen-Ressourcen'!$A$2:$AI$54,27,0)+VLOOKUP(F67,'Feuerwaffen-Ressourcen'!$A$2:$AI$54,27,0)+VLOOKUP(I67,'Feuerwaffen-Ressourcen'!$A$2:$AI$54,27,0)</f>
        <v>2</v>
      </c>
      <c r="AB67" s="50">
        <f>VLOOKUP(B67,'Feuerwaffen-Ressourcen'!$A$2:$AI$54,28,0)+VLOOKUP(C67,'Feuerwaffen-Ressourcen'!$A$2:$AI$54,28,0)+VLOOKUP(D67,'Feuerwaffen-Ressourcen'!$A$2:$AI$54,28,0)+VLOOKUP(E67,'Feuerwaffen-Ressourcen'!$A$2:$AI$54,28,0)+VLOOKUP(F67,'Feuerwaffen-Ressourcen'!$A$2:$AI$54,28,0)+VLOOKUP(G67,'Feuerwaffen-Ressourcen'!$A$2:$AI$54,28,0)+VLOOKUP(I67,'Feuerwaffen-Ressourcen'!$A$2:$AI$54,28,0)+VLOOKUP(J67,'Feuerwaffen-Ressourcen'!$A$2:$AI$54,28,0)</f>
        <v>80</v>
      </c>
      <c r="AC67" s="53">
        <f>VLOOKUP(I67,'Feuerwaffen-Ressourcen'!$A$2:$AI$54,31,0)*AD67+AE67</f>
        <v>323.55</v>
      </c>
      <c r="AD67" s="54">
        <f>VLOOKUP(B67,'Feuerwaffen-Ressourcen'!$A$2:$AI$54,30,0)+VLOOKUP(C67,'Feuerwaffen-Ressourcen'!$A$2:$AI$54,30,0)+VLOOKUP(D67,'Feuerwaffen-Ressourcen'!$A$2:$AI$54,30,0)+VLOOKUP(F67,'Feuerwaffen-Ressourcen'!$A$2:$AI$54,30,0)+VLOOKUP(G67,'Feuerwaffen-Ressourcen'!$A$2:$AI$54,30,0)+VLOOKUP(I67,'Feuerwaffen-Ressourcen'!$A$2:$AI$54,30,0)+VLOOKUP(J67,'Feuerwaffen-Ressourcen'!$A$2:$AI$54,30,0)</f>
        <v>5.5</v>
      </c>
      <c r="AE67" s="53">
        <f>(VLOOKUP(C67,'Feuerwaffen-Ressourcen'!$A$2:$AI$54,32,0)+VLOOKUP(I67,'Feuerwaffen-Ressourcen'!$A$2:$AI$54,32,0))*(VLOOKUP(B67,'Feuerwaffen-Ressourcen'!$A$2:$AI$54,34,0)+VLOOKUP(C67,'Feuerwaffen-Ressourcen'!$A$2:$AI$54,34,0)+VLOOKUP(D67,'Feuerwaffen-Ressourcen'!$A$2:$AI$54,34,0)+VLOOKUP(E67,'Feuerwaffen-Ressourcen'!$A$2:$AI$54,34,0)+VLOOKUP(G67,'Feuerwaffen-Ressourcen'!$A$2:$AI$54,34,0))+VLOOKUP(B67,'Feuerwaffen-Ressourcen'!$A$2:$AI$54,35,0)+VLOOKUP(C67,'Feuerwaffen-Ressourcen'!$A$2:$AI$54,35,0)+VLOOKUP(D67,'Feuerwaffen-Ressourcen'!$A$2:$AI$54,35,0)</f>
        <v>301.55</v>
      </c>
      <c r="AF67" s="55">
        <f>VLOOKUP(AB67,'Feuerwaffen-Ressourcen'!$AO$3:$AP$9,2,1)</f>
        <v>6</v>
      </c>
      <c r="AG67" s="55">
        <v>0</v>
      </c>
      <c r="AH67" s="28" t="s">
        <v>1415</v>
      </c>
      <c r="AI67" s="28" t="s">
        <v>8926</v>
      </c>
      <c r="AJ67" s="56">
        <v>1.5</v>
      </c>
      <c r="AK67" s="56" t="s">
        <v>5497</v>
      </c>
      <c r="AL67" s="56" t="s">
        <v>7946</v>
      </c>
      <c r="AM67" s="56">
        <v>3</v>
      </c>
      <c r="AN67" s="56">
        <v>5</v>
      </c>
      <c r="AO67" s="56">
        <v>-2</v>
      </c>
      <c r="AP67" s="56">
        <v>-7</v>
      </c>
      <c r="AQ67" s="56">
        <f>VLOOKUP(B67,'Feuerwaffen-Ressourcen'!$A$2:$AI$54,12,0)+VLOOKUP(C67,'Feuerwaffen-Ressourcen'!$A$2:$AI$54,12,0)+VLOOKUP(D67,'Feuerwaffen-Ressourcen'!$A$2:$AI$54,12,0)+VLOOKUP(J67,'Feuerwaffen-Ressourcen'!$A$2:$AI$54,12,0)</f>
        <v>12</v>
      </c>
      <c r="AR67" s="56" t="s">
        <v>7946</v>
      </c>
      <c r="AS67" s="56">
        <v>2</v>
      </c>
      <c r="AT67" s="56">
        <v>10</v>
      </c>
    </row>
    <row r="68" spans="1:46">
      <c r="A68" s="49" t="s">
        <v>8892</v>
      </c>
      <c r="B68" s="49" t="s">
        <v>1200</v>
      </c>
      <c r="C68" s="49" t="s">
        <v>8824</v>
      </c>
      <c r="D68" s="49" t="s">
        <v>8933</v>
      </c>
      <c r="E68" s="49" t="s">
        <v>8258</v>
      </c>
      <c r="F68" s="49" t="s">
        <v>8928</v>
      </c>
      <c r="G68" s="49" t="s">
        <v>8923</v>
      </c>
      <c r="H68" s="49" t="s">
        <v>8271</v>
      </c>
      <c r="I68" s="49" t="s">
        <v>7341</v>
      </c>
      <c r="J68" s="49" t="s">
        <v>7320</v>
      </c>
      <c r="K68" s="51">
        <f>VLOOKUP(B68,'Feuerwaffen-Ressourcen'!$A$2:$AI$54,11,0)+VLOOKUP(C68,'Feuerwaffen-Ressourcen'!$A$2:$AI$54,11,0)+VLOOKUP(D68,'Feuerwaffen-Ressourcen'!$A$2:$AI$54,11,0)+VLOOKUP(E68,'Feuerwaffen-Ressourcen'!$A$2:$AI$54,11,0)+VLOOKUP(G68,'Feuerwaffen-Ressourcen'!$A$2:$AI$54,11,0)</f>
        <v>4.05</v>
      </c>
      <c r="L68" s="50">
        <f>VLOOKUP(B68,'Feuerwaffen-Ressourcen'!$A$2:$AI$54,12,0)+VLOOKUP(C68,'Feuerwaffen-Ressourcen'!$A$2:$AI$54,12,0)+VLOOKUP(D68,'Feuerwaffen-Ressourcen'!$A$2:$AI$54,12,0)+VLOOKUP(J68,'Feuerwaffen-Ressourcen'!$A$2:$AI$54,12,0)</f>
        <v>12</v>
      </c>
      <c r="M68" s="50" t="str">
        <f>VLOOKUP(VLOOKUP(B68,'Feuerwaffen-Ressourcen'!$A$2:$AI$54,13,0)+VLOOKUP(C68,'Feuerwaffen-Ressourcen'!$A$2:$AI$54,13,0)+VLOOKUP(D68,'Feuerwaffen-Ressourcen'!$A$2:$AI$54,13,0),'Feuerwaffen-Ressourcen'!$AJ$3:$AK$12,2,0)</f>
        <v>W15</v>
      </c>
      <c r="N68" s="50" t="str">
        <f>VLOOKUP(VLOOKUP(B68,'Feuerwaffen-Ressourcen'!$A$2:$AI$54,14,0)+VLOOKUP(C68,'Feuerwaffen-Ressourcen'!$A$2:$AI$54,14,0)+VLOOKUP(D68,'Feuerwaffen-Ressourcen'!$A$2:$AI$54,14,0),'Feuerwaffen-Ressourcen'!$AJ$3:$AK$12,2,0)</f>
        <v>W15</v>
      </c>
      <c r="O68" s="50">
        <f>VLOOKUP(B68,'Feuerwaffen-Ressourcen'!$A$2:$AI$54,15,0)+VLOOKUP(C68,'Feuerwaffen-Ressourcen'!$A$2:$AI$54,15,0)+VLOOKUP(D68,'Feuerwaffen-Ressourcen'!$A$2:$AI$54,15,0)</f>
        <v>2</v>
      </c>
      <c r="P68" s="50">
        <f>VLOOKUP(B68,'Feuerwaffen-Ressourcen'!$A$2:$AI$54,16,0)+VLOOKUP(C68,'Feuerwaffen-Ressourcen'!$A$2:$AI$54,16,0)+VLOOKUP(D68,'Feuerwaffen-Ressourcen'!$A$2:$AI$54,16,0)+VLOOKUP(E68,'Feuerwaffen-Ressourcen'!$A$2:$AI$54,16,0)</f>
        <v>6</v>
      </c>
      <c r="Q68" s="52">
        <f>VLOOKUP(B68,'Feuerwaffen-Ressourcen'!$A$2:$AI$54,17,0)+VLOOKUP(C68,'Feuerwaffen-Ressourcen'!$A$2:$AI$54,17,0)+VLOOKUP(D68,'Feuerwaffen-Ressourcen'!$A$2:$AI$54,17,0)+VLOOKUP(E68,'Feuerwaffen-Ressourcen'!$A$2:$AI$54,17,0)</f>
        <v>17</v>
      </c>
      <c r="R68" s="50">
        <f>VLOOKUP(B68,'Feuerwaffen-Ressourcen'!$A$2:$AI$54,18,0)+VLOOKUP(C68,'Feuerwaffen-Ressourcen'!$A$2:$AI$54,18,0)+VLOOKUP(D68,'Feuerwaffen-Ressourcen'!$A$2:$AI$54,18,0)+VLOOKUP(F68,'Feuerwaffen-Ressourcen'!$A$2:$AI$54,18,0)+VLOOKUP(G68,'Feuerwaffen-Ressourcen'!$A$2:$AI$54,18,0)+VLOOKUP(I68,'Feuerwaffen-Ressourcen'!$A$2:$AI$54,18,0)+VLOOKUP(J68,'Feuerwaffen-Ressourcen'!$A$2:$AI$54,18,0)</f>
        <v>4</v>
      </c>
      <c r="S68" s="50">
        <f>VLOOKUP(B68,'Feuerwaffen-Ressourcen'!$A$2:$AI$54,19,0)+VLOOKUP(C68,'Feuerwaffen-Ressourcen'!$A$2:$AI$54,19,0)+VLOOKUP(D68,'Feuerwaffen-Ressourcen'!$A$2:$AI$54,19,0)+VLOOKUP(F68,'Feuerwaffen-Ressourcen'!$A$2:$AI$54,19,0)+VLOOKUP(G68,'Feuerwaffen-Ressourcen'!$A$2:$AI$54,19,0)+VLOOKUP(I68,'Feuerwaffen-Ressourcen'!$A$2:$AI$54,19,0)+VLOOKUP(J68,'Feuerwaffen-Ressourcen'!$A$2:$AI$54,19,0)</f>
        <v>-4</v>
      </c>
      <c r="T68" s="50">
        <f>VLOOKUP(B68,'Feuerwaffen-Ressourcen'!$A$2:$AI$54,20,0)+VLOOKUP(C68,'Feuerwaffen-Ressourcen'!$A$2:$AI$54,20,0)+VLOOKUP(D68,'Feuerwaffen-Ressourcen'!$A$2:$AI$54,20,0)+VLOOKUP(F68,'Feuerwaffen-Ressourcen'!$A$2:$AI$54,20,0)+VLOOKUP(G68,'Feuerwaffen-Ressourcen'!$A$2:$AI$54,20,0)+VLOOKUP(I68,'Feuerwaffen-Ressourcen'!$A$2:$AI$54,20,0)+VLOOKUP(J68,'Feuerwaffen-Ressourcen'!$A$2:$AI$54,20,0)</f>
        <v>-14</v>
      </c>
      <c r="U68" s="50">
        <f>VLOOKUP(B68,'Feuerwaffen-Ressourcen'!$A$2:$AI$54,21,0)+VLOOKUP(C68,'Feuerwaffen-Ressourcen'!$A$2:$AI$54,21,0)+VLOOKUP(D68,'Feuerwaffen-Ressourcen'!$A$2:$AI$54,21,0)+VLOOKUP(F68,'Feuerwaffen-Ressourcen'!$A$2:$AI$54,21,0)+VLOOKUP(G68,'Feuerwaffen-Ressourcen'!$A$2:$AI$54,21,0)+VLOOKUP(I68,'Feuerwaffen-Ressourcen'!$A$2:$AI$54,21,0)+VLOOKUP(J68,'Feuerwaffen-Ressourcen'!$A$2:$AI$54,21,0)</f>
        <v>-27</v>
      </c>
      <c r="V68" s="50">
        <f>VLOOKUP(B68,'Feuerwaffen-Ressourcen'!$A$2:$AI$54,22,0)+VLOOKUP(C68,'Feuerwaffen-Ressourcen'!$A$2:$AI$54,22,0)+VLOOKUP(D68,'Feuerwaffen-Ressourcen'!$A$2:$AI$54,22,0)+VLOOKUP(F68,'Feuerwaffen-Ressourcen'!$A$2:$AI$54,22,0)+VLOOKUP(G68,'Feuerwaffen-Ressourcen'!$A$2:$AI$54,22,0)+VLOOKUP(I68,'Feuerwaffen-Ressourcen'!$A$2:$AI$54,22,0)+VLOOKUP(J68,'Feuerwaffen-Ressourcen'!$A$2:$AI$54,22,0)</f>
        <v>-42</v>
      </c>
      <c r="W68" s="50">
        <f>VLOOKUP(B68,'Feuerwaffen-Ressourcen'!$A$2:$AI$54,23,0)+VLOOKUP(C68,'Feuerwaffen-Ressourcen'!$A$2:$AI$54,23,0)+VLOOKUP(D68,'Feuerwaffen-Ressourcen'!$A$2:$AI$54,23,0)+VLOOKUP(F68,'Feuerwaffen-Ressourcen'!$A$2:$AI$54,23,0)+VLOOKUP(G68,'Feuerwaffen-Ressourcen'!$A$2:$AI$54,23,0)+VLOOKUP(I68,'Feuerwaffen-Ressourcen'!$A$2:$AI$54,23,0)+VLOOKUP(J68,'Feuerwaffen-Ressourcen'!$A$2:$AI$54,23,0)</f>
        <v>-59</v>
      </c>
      <c r="X68" s="50">
        <f>VLOOKUP(B68,'Feuerwaffen-Ressourcen'!$A$2:$AI$54,24,0)+VLOOKUP(C68,'Feuerwaffen-Ressourcen'!$A$2:$AI$54,24,0)+VLOOKUP(D68,'Feuerwaffen-Ressourcen'!$A$2:$AI$54,24,0)+VLOOKUP(G68,'Feuerwaffen-Ressourcen'!$A$2:$AI$54,24,0)</f>
        <v>40</v>
      </c>
      <c r="Y68" s="50">
        <f>VLOOKUP(D68,'Feuerwaffen-Ressourcen'!$A$2:$AI$54,25,0)+VLOOKUP(E68,'Feuerwaffen-Ressourcen'!$A$2:$AI$54,25,0)+VLOOKUP(F68,'Feuerwaffen-Ressourcen'!$A$2:$AI$54,25,0)</f>
        <v>32</v>
      </c>
      <c r="Z68" s="50">
        <f>VLOOKUP(E68,'Feuerwaffen-Ressourcen'!$A$2:$AI$54,26,0)</f>
        <v>3</v>
      </c>
      <c r="AA68" s="50">
        <f>VLOOKUP(B68,'Feuerwaffen-Ressourcen'!$A$2:$AI$54,27,0)+VLOOKUP(D68,'Feuerwaffen-Ressourcen'!$A$2:$AI$54,27,0)+VLOOKUP(F68,'Feuerwaffen-Ressourcen'!$A$2:$AI$54,27,0)+VLOOKUP(I68,'Feuerwaffen-Ressourcen'!$A$2:$AI$54,27,0)</f>
        <v>3</v>
      </c>
      <c r="AB68" s="50">
        <f>VLOOKUP(B68,'Feuerwaffen-Ressourcen'!$A$2:$AI$54,28,0)+VLOOKUP(C68,'Feuerwaffen-Ressourcen'!$A$2:$AI$54,28,0)+VLOOKUP(D68,'Feuerwaffen-Ressourcen'!$A$2:$AI$54,28,0)+VLOOKUP(E68,'Feuerwaffen-Ressourcen'!$A$2:$AI$54,28,0)+VLOOKUP(F68,'Feuerwaffen-Ressourcen'!$A$2:$AI$54,28,0)+VLOOKUP(G68,'Feuerwaffen-Ressourcen'!$A$2:$AI$54,28,0)+VLOOKUP(I68,'Feuerwaffen-Ressourcen'!$A$2:$AI$54,28,0)+VLOOKUP(J68,'Feuerwaffen-Ressourcen'!$A$2:$AI$54,28,0)</f>
        <v>90</v>
      </c>
      <c r="AC68" s="53">
        <f>VLOOKUP(I68,'Feuerwaffen-Ressourcen'!$A$2:$AI$54,31,0)*AD68+AE68</f>
        <v>319.55</v>
      </c>
      <c r="AD68" s="54">
        <f>VLOOKUP(B68,'Feuerwaffen-Ressourcen'!$A$2:$AI$54,30,0)+VLOOKUP(C68,'Feuerwaffen-Ressourcen'!$A$2:$AI$54,30,0)+VLOOKUP(D68,'Feuerwaffen-Ressourcen'!$A$2:$AI$54,30,0)+VLOOKUP(F68,'Feuerwaffen-Ressourcen'!$A$2:$AI$54,30,0)+VLOOKUP(G68,'Feuerwaffen-Ressourcen'!$A$2:$AI$54,30,0)+VLOOKUP(I68,'Feuerwaffen-Ressourcen'!$A$2:$AI$54,30,0)+VLOOKUP(J68,'Feuerwaffen-Ressourcen'!$A$2:$AI$54,30,0)</f>
        <v>4.5</v>
      </c>
      <c r="AE68" s="53">
        <f>(VLOOKUP(C68,'Feuerwaffen-Ressourcen'!$A$2:$AI$54,32,0)+VLOOKUP(I68,'Feuerwaffen-Ressourcen'!$A$2:$AI$54,32,0))*(VLOOKUP(B68,'Feuerwaffen-Ressourcen'!$A$2:$AI$54,34,0)+VLOOKUP(C68,'Feuerwaffen-Ressourcen'!$A$2:$AI$54,34,0)+VLOOKUP(D68,'Feuerwaffen-Ressourcen'!$A$2:$AI$54,34,0)+VLOOKUP(E68,'Feuerwaffen-Ressourcen'!$A$2:$AI$54,34,0)+VLOOKUP(G68,'Feuerwaffen-Ressourcen'!$A$2:$AI$54,34,0))+VLOOKUP(B68,'Feuerwaffen-Ressourcen'!$A$2:$AI$54,35,0)+VLOOKUP(C68,'Feuerwaffen-Ressourcen'!$A$2:$AI$54,35,0)+VLOOKUP(D68,'Feuerwaffen-Ressourcen'!$A$2:$AI$54,35,0)</f>
        <v>301.55</v>
      </c>
      <c r="AF68" s="55">
        <f>VLOOKUP(AB68,'Feuerwaffen-Ressourcen'!$AO$3:$AP$9,2,1)</f>
        <v>5</v>
      </c>
      <c r="AG68" s="55">
        <v>0</v>
      </c>
      <c r="AH68" s="28" t="s">
        <v>1415</v>
      </c>
      <c r="AI68" s="28" t="s">
        <v>8926</v>
      </c>
      <c r="AJ68" s="56">
        <v>1.5</v>
      </c>
      <c r="AK68" s="56" t="s">
        <v>5497</v>
      </c>
      <c r="AL68" s="56" t="s">
        <v>7946</v>
      </c>
      <c r="AM68" s="56">
        <v>3</v>
      </c>
      <c r="AN68" s="56">
        <v>5</v>
      </c>
      <c r="AO68" s="56">
        <v>-2</v>
      </c>
      <c r="AP68" s="56">
        <v>-7</v>
      </c>
      <c r="AQ68" s="56">
        <f>VLOOKUP(B68,'Feuerwaffen-Ressourcen'!$A$2:$AI$54,12,0)+VLOOKUP(C68,'Feuerwaffen-Ressourcen'!$A$2:$AI$54,12,0)+VLOOKUP(D68,'Feuerwaffen-Ressourcen'!$A$2:$AI$54,12,0)+VLOOKUP(J68,'Feuerwaffen-Ressourcen'!$A$2:$AI$54,12,0)</f>
        <v>12</v>
      </c>
      <c r="AR68" s="56" t="s">
        <v>7946</v>
      </c>
      <c r="AS68" s="56">
        <v>2</v>
      </c>
      <c r="AT68" s="56">
        <v>10</v>
      </c>
    </row>
    <row r="69" spans="1:46">
      <c r="A69" s="49" t="s">
        <v>8893</v>
      </c>
      <c r="B69" s="49" t="s">
        <v>1204</v>
      </c>
      <c r="C69" s="49" t="s">
        <v>8921</v>
      </c>
      <c r="D69" s="49" t="s">
        <v>8912</v>
      </c>
      <c r="E69" s="49" t="s">
        <v>8829</v>
      </c>
      <c r="F69" s="49" t="s">
        <v>8931</v>
      </c>
      <c r="G69" s="49" t="s">
        <v>8932</v>
      </c>
      <c r="H69" s="49" t="s">
        <v>8830</v>
      </c>
      <c r="I69" s="49" t="s">
        <v>7341</v>
      </c>
      <c r="J69" s="49" t="s">
        <v>7320</v>
      </c>
      <c r="K69" s="51">
        <f>VLOOKUP(B69,'Feuerwaffen-Ressourcen'!$A$2:$AI$54,11,0)+VLOOKUP(C69,'Feuerwaffen-Ressourcen'!$A$2:$AI$54,11,0)+VLOOKUP(D69,'Feuerwaffen-Ressourcen'!$A$2:$AI$54,11,0)+VLOOKUP(E69,'Feuerwaffen-Ressourcen'!$A$2:$AI$54,11,0)+VLOOKUP(G69,'Feuerwaffen-Ressourcen'!$A$2:$AI$54,11,0)</f>
        <v>5.05</v>
      </c>
      <c r="L69" s="50">
        <f>VLOOKUP(B69,'Feuerwaffen-Ressourcen'!$A$2:$AI$54,12,0)+VLOOKUP(C69,'Feuerwaffen-Ressourcen'!$A$2:$AI$54,12,0)+VLOOKUP(D69,'Feuerwaffen-Ressourcen'!$A$2:$AI$54,12,0)+VLOOKUP(J69,'Feuerwaffen-Ressourcen'!$A$2:$AI$54,12,0)</f>
        <v>11</v>
      </c>
      <c r="M69" s="50" t="str">
        <f>VLOOKUP(VLOOKUP(B69,'Feuerwaffen-Ressourcen'!$A$2:$AI$54,13,0)+VLOOKUP(C69,'Feuerwaffen-Ressourcen'!$A$2:$AI$54,13,0)+VLOOKUP(D69,'Feuerwaffen-Ressourcen'!$A$2:$AI$54,13,0),'Feuerwaffen-Ressourcen'!$AJ$3:$AK$12,2,0)</f>
        <v>W10</v>
      </c>
      <c r="N69" s="50" t="str">
        <f>VLOOKUP(VLOOKUP(B69,'Feuerwaffen-Ressourcen'!$A$2:$AI$54,14,0)+VLOOKUP(C69,'Feuerwaffen-Ressourcen'!$A$2:$AI$54,14,0)+VLOOKUP(D69,'Feuerwaffen-Ressourcen'!$A$2:$AI$54,14,0),'Feuerwaffen-Ressourcen'!$AJ$3:$AK$12,2,0)</f>
        <v>W10</v>
      </c>
      <c r="O69" s="50">
        <f>VLOOKUP(B69,'Feuerwaffen-Ressourcen'!$A$2:$AI$54,15,0)+VLOOKUP(C69,'Feuerwaffen-Ressourcen'!$A$2:$AI$54,15,0)+VLOOKUP(D69,'Feuerwaffen-Ressourcen'!$A$2:$AI$54,15,0)</f>
        <v>1</v>
      </c>
      <c r="P69" s="50">
        <f>VLOOKUP(B69,'Feuerwaffen-Ressourcen'!$A$2:$AI$54,16,0)+VLOOKUP(C69,'Feuerwaffen-Ressourcen'!$A$2:$AI$54,16,0)+VLOOKUP(D69,'Feuerwaffen-Ressourcen'!$A$2:$AI$54,16,0)+VLOOKUP(E69,'Feuerwaffen-Ressourcen'!$A$2:$AI$54,16,0)</f>
        <v>19</v>
      </c>
      <c r="Q69" s="52">
        <f>VLOOKUP(B69,'Feuerwaffen-Ressourcen'!$A$2:$AI$54,17,0)+VLOOKUP(C69,'Feuerwaffen-Ressourcen'!$A$2:$AI$54,17,0)+VLOOKUP(D69,'Feuerwaffen-Ressourcen'!$A$2:$AI$54,17,0)+VLOOKUP(E69,'Feuerwaffen-Ressourcen'!$A$2:$AI$54,17,0)</f>
        <v>11</v>
      </c>
      <c r="R69" s="50">
        <f>VLOOKUP(B69,'Feuerwaffen-Ressourcen'!$A$2:$AI$54,18,0)+VLOOKUP(C69,'Feuerwaffen-Ressourcen'!$A$2:$AI$54,18,0)+VLOOKUP(D69,'Feuerwaffen-Ressourcen'!$A$2:$AI$54,18,0)+VLOOKUP(F69,'Feuerwaffen-Ressourcen'!$A$2:$AI$54,18,0)+VLOOKUP(G69,'Feuerwaffen-Ressourcen'!$A$2:$AI$54,18,0)+VLOOKUP(I69,'Feuerwaffen-Ressourcen'!$A$2:$AI$54,18,0)+VLOOKUP(J69,'Feuerwaffen-Ressourcen'!$A$2:$AI$54,18,0)</f>
        <v>8</v>
      </c>
      <c r="S69" s="50">
        <f>VLOOKUP(B69,'Feuerwaffen-Ressourcen'!$A$2:$AI$54,19,0)+VLOOKUP(C69,'Feuerwaffen-Ressourcen'!$A$2:$AI$54,19,0)+VLOOKUP(D69,'Feuerwaffen-Ressourcen'!$A$2:$AI$54,19,0)+VLOOKUP(F69,'Feuerwaffen-Ressourcen'!$A$2:$AI$54,19,0)+VLOOKUP(G69,'Feuerwaffen-Ressourcen'!$A$2:$AI$54,19,0)+VLOOKUP(I69,'Feuerwaffen-Ressourcen'!$A$2:$AI$54,19,0)+VLOOKUP(J69,'Feuerwaffen-Ressourcen'!$A$2:$AI$54,19,0)</f>
        <v>4</v>
      </c>
      <c r="T69" s="50">
        <f>VLOOKUP(B69,'Feuerwaffen-Ressourcen'!$A$2:$AI$54,20,0)+VLOOKUP(C69,'Feuerwaffen-Ressourcen'!$A$2:$AI$54,20,0)+VLOOKUP(D69,'Feuerwaffen-Ressourcen'!$A$2:$AI$54,20,0)+VLOOKUP(F69,'Feuerwaffen-Ressourcen'!$A$2:$AI$54,20,0)+VLOOKUP(G69,'Feuerwaffen-Ressourcen'!$A$2:$AI$54,20,0)+VLOOKUP(I69,'Feuerwaffen-Ressourcen'!$A$2:$AI$54,20,0)+VLOOKUP(J69,'Feuerwaffen-Ressourcen'!$A$2:$AI$54,20,0)</f>
        <v>-1</v>
      </c>
      <c r="U69" s="50">
        <f>VLOOKUP(B69,'Feuerwaffen-Ressourcen'!$A$2:$AI$54,21,0)+VLOOKUP(C69,'Feuerwaffen-Ressourcen'!$A$2:$AI$54,21,0)+VLOOKUP(D69,'Feuerwaffen-Ressourcen'!$A$2:$AI$54,21,0)+VLOOKUP(F69,'Feuerwaffen-Ressourcen'!$A$2:$AI$54,21,0)+VLOOKUP(G69,'Feuerwaffen-Ressourcen'!$A$2:$AI$54,21,0)+VLOOKUP(I69,'Feuerwaffen-Ressourcen'!$A$2:$AI$54,21,0)+VLOOKUP(J69,'Feuerwaffen-Ressourcen'!$A$2:$AI$54,21,0)</f>
        <v>-8</v>
      </c>
      <c r="V69" s="50">
        <f>VLOOKUP(B69,'Feuerwaffen-Ressourcen'!$A$2:$AI$54,22,0)+VLOOKUP(C69,'Feuerwaffen-Ressourcen'!$A$2:$AI$54,22,0)+VLOOKUP(D69,'Feuerwaffen-Ressourcen'!$A$2:$AI$54,22,0)+VLOOKUP(F69,'Feuerwaffen-Ressourcen'!$A$2:$AI$54,22,0)+VLOOKUP(G69,'Feuerwaffen-Ressourcen'!$A$2:$AI$54,22,0)+VLOOKUP(I69,'Feuerwaffen-Ressourcen'!$A$2:$AI$54,22,0)+VLOOKUP(J69,'Feuerwaffen-Ressourcen'!$A$2:$AI$54,22,0)</f>
        <v>-16</v>
      </c>
      <c r="W69" s="50">
        <f>VLOOKUP(B69,'Feuerwaffen-Ressourcen'!$A$2:$AI$54,23,0)+VLOOKUP(C69,'Feuerwaffen-Ressourcen'!$A$2:$AI$54,23,0)+VLOOKUP(D69,'Feuerwaffen-Ressourcen'!$A$2:$AI$54,23,0)+VLOOKUP(F69,'Feuerwaffen-Ressourcen'!$A$2:$AI$54,23,0)+VLOOKUP(G69,'Feuerwaffen-Ressourcen'!$A$2:$AI$54,23,0)+VLOOKUP(I69,'Feuerwaffen-Ressourcen'!$A$2:$AI$54,23,0)+VLOOKUP(J69,'Feuerwaffen-Ressourcen'!$A$2:$AI$54,23,0)</f>
        <v>-24</v>
      </c>
      <c r="X69" s="50">
        <f>VLOOKUP(B69,'Feuerwaffen-Ressourcen'!$A$2:$AI$54,24,0)+VLOOKUP(C69,'Feuerwaffen-Ressourcen'!$A$2:$AI$54,24,0)+VLOOKUP(D69,'Feuerwaffen-Ressourcen'!$A$2:$AI$54,24,0)+VLOOKUP(G69,'Feuerwaffen-Ressourcen'!$A$2:$AI$54,24,0)</f>
        <v>70</v>
      </c>
      <c r="Y69" s="50">
        <f>VLOOKUP(D69,'Feuerwaffen-Ressourcen'!$A$2:$AI$54,25,0)+VLOOKUP(E69,'Feuerwaffen-Ressourcen'!$A$2:$AI$54,25,0)+VLOOKUP(F69,'Feuerwaffen-Ressourcen'!$A$2:$AI$54,25,0)</f>
        <v>9</v>
      </c>
      <c r="Z69" s="50">
        <f>VLOOKUP(E69,'Feuerwaffen-Ressourcen'!$A$2:$AI$54,26,0)</f>
        <v>6</v>
      </c>
      <c r="AA69" s="50">
        <f>VLOOKUP(B69,'Feuerwaffen-Ressourcen'!$A$2:$AI$54,27,0)+VLOOKUP(D69,'Feuerwaffen-Ressourcen'!$A$2:$AI$54,27,0)+VLOOKUP(F69,'Feuerwaffen-Ressourcen'!$A$2:$AI$54,27,0)+VLOOKUP(I69,'Feuerwaffen-Ressourcen'!$A$2:$AI$54,27,0)</f>
        <v>-5</v>
      </c>
      <c r="AB69" s="50">
        <f>VLOOKUP(B69,'Feuerwaffen-Ressourcen'!$A$2:$AI$54,28,0)+VLOOKUP(C69,'Feuerwaffen-Ressourcen'!$A$2:$AI$54,28,0)+VLOOKUP(D69,'Feuerwaffen-Ressourcen'!$A$2:$AI$54,28,0)+VLOOKUP(E69,'Feuerwaffen-Ressourcen'!$A$2:$AI$54,28,0)+VLOOKUP(F69,'Feuerwaffen-Ressourcen'!$A$2:$AI$54,28,0)+VLOOKUP(G69,'Feuerwaffen-Ressourcen'!$A$2:$AI$54,28,0)+VLOOKUP(I69,'Feuerwaffen-Ressourcen'!$A$2:$AI$54,28,0)+VLOOKUP(J69,'Feuerwaffen-Ressourcen'!$A$2:$AI$54,28,0)</f>
        <v>70</v>
      </c>
      <c r="AC69" s="53">
        <f>VLOOKUP(I69,'Feuerwaffen-Ressourcen'!$A$2:$AI$54,31,0)*AD69+AE69</f>
        <v>426.7</v>
      </c>
      <c r="AD69" s="54">
        <f>VLOOKUP(B69,'Feuerwaffen-Ressourcen'!$A$2:$AI$54,30,0)+VLOOKUP(C69,'Feuerwaffen-Ressourcen'!$A$2:$AI$54,30,0)+VLOOKUP(D69,'Feuerwaffen-Ressourcen'!$A$2:$AI$54,30,0)+VLOOKUP(F69,'Feuerwaffen-Ressourcen'!$A$2:$AI$54,30,0)+VLOOKUP(G69,'Feuerwaffen-Ressourcen'!$A$2:$AI$54,30,0)+VLOOKUP(I69,'Feuerwaffen-Ressourcen'!$A$2:$AI$54,30,0)+VLOOKUP(J69,'Feuerwaffen-Ressourcen'!$A$2:$AI$54,30,0)</f>
        <v>11.7</v>
      </c>
      <c r="AE69" s="53">
        <f>(VLOOKUP(C69,'Feuerwaffen-Ressourcen'!$A$2:$AI$54,32,0)+VLOOKUP(I69,'Feuerwaffen-Ressourcen'!$A$2:$AI$54,32,0))*(VLOOKUP(B69,'Feuerwaffen-Ressourcen'!$A$2:$AI$54,34,0)+VLOOKUP(C69,'Feuerwaffen-Ressourcen'!$A$2:$AI$54,34,0)+VLOOKUP(D69,'Feuerwaffen-Ressourcen'!$A$2:$AI$54,34,0)+VLOOKUP(E69,'Feuerwaffen-Ressourcen'!$A$2:$AI$54,34,0)+VLOOKUP(G69,'Feuerwaffen-Ressourcen'!$A$2:$AI$54,34,0))+VLOOKUP(B69,'Feuerwaffen-Ressourcen'!$A$2:$AI$54,35,0)+VLOOKUP(C69,'Feuerwaffen-Ressourcen'!$A$2:$AI$54,35,0)+VLOOKUP(D69,'Feuerwaffen-Ressourcen'!$A$2:$AI$54,35,0)</f>
        <v>379.9</v>
      </c>
      <c r="AF69" s="55">
        <f>VLOOKUP(AB69,'Feuerwaffen-Ressourcen'!$AO$3:$AP$9,2,1)</f>
        <v>6</v>
      </c>
      <c r="AG69" s="55">
        <v>0</v>
      </c>
      <c r="AH69" s="28" t="s">
        <v>1420</v>
      </c>
      <c r="AI69" s="28" t="s">
        <v>8657</v>
      </c>
      <c r="AJ69" s="56">
        <v>3</v>
      </c>
      <c r="AK69" s="56" t="s">
        <v>5497</v>
      </c>
      <c r="AL69" s="56" t="s">
        <v>5486</v>
      </c>
      <c r="AM69" s="56">
        <v>3</v>
      </c>
      <c r="AN69" s="56">
        <v>5</v>
      </c>
      <c r="AO69" s="56">
        <v>4</v>
      </c>
      <c r="AP69" s="56">
        <v>4</v>
      </c>
      <c r="AQ69" s="56">
        <v>11</v>
      </c>
      <c r="AR69" s="56">
        <v>11</v>
      </c>
      <c r="AS69" s="56">
        <v>5</v>
      </c>
      <c r="AT69" s="56">
        <v>6</v>
      </c>
    </row>
    <row r="70" spans="1:46">
      <c r="A70" s="49" t="s">
        <v>8894</v>
      </c>
      <c r="B70" s="49" t="s">
        <v>1204</v>
      </c>
      <c r="C70" s="49" t="s">
        <v>8921</v>
      </c>
      <c r="D70" s="49" t="s">
        <v>8924</v>
      </c>
      <c r="E70" s="49" t="s">
        <v>8258</v>
      </c>
      <c r="F70" s="49" t="s">
        <v>8936</v>
      </c>
      <c r="G70" s="49" t="s">
        <v>8932</v>
      </c>
      <c r="H70" s="49" t="s">
        <v>8271</v>
      </c>
      <c r="I70" s="49" t="s">
        <v>7341</v>
      </c>
      <c r="J70" s="49" t="s">
        <v>7320</v>
      </c>
      <c r="K70" s="51">
        <f>VLOOKUP(B70,'Feuerwaffen-Ressourcen'!$A$2:$AI$54,11,0)+VLOOKUP(C70,'Feuerwaffen-Ressourcen'!$A$2:$AI$54,11,0)+VLOOKUP(D70,'Feuerwaffen-Ressourcen'!$A$2:$AI$54,11,0)+VLOOKUP(E70,'Feuerwaffen-Ressourcen'!$A$2:$AI$54,11,0)+VLOOKUP(G70,'Feuerwaffen-Ressourcen'!$A$2:$AI$54,11,0)</f>
        <v>5.95</v>
      </c>
      <c r="L70" s="50">
        <f>VLOOKUP(B70,'Feuerwaffen-Ressourcen'!$A$2:$AI$54,12,0)+VLOOKUP(C70,'Feuerwaffen-Ressourcen'!$A$2:$AI$54,12,0)+VLOOKUP(D70,'Feuerwaffen-Ressourcen'!$A$2:$AI$54,12,0)+VLOOKUP(J70,'Feuerwaffen-Ressourcen'!$A$2:$AI$54,12,0)</f>
        <v>13</v>
      </c>
      <c r="M70" s="50" t="str">
        <f>VLOOKUP(VLOOKUP(B70,'Feuerwaffen-Ressourcen'!$A$2:$AI$54,13,0)+VLOOKUP(C70,'Feuerwaffen-Ressourcen'!$A$2:$AI$54,13,0)+VLOOKUP(D70,'Feuerwaffen-Ressourcen'!$A$2:$AI$54,13,0),'Feuerwaffen-Ressourcen'!$AJ$3:$AK$12,2,0)</f>
        <v>W12</v>
      </c>
      <c r="N70" s="50" t="str">
        <f>VLOOKUP(VLOOKUP(B70,'Feuerwaffen-Ressourcen'!$A$2:$AI$54,14,0)+VLOOKUP(C70,'Feuerwaffen-Ressourcen'!$A$2:$AI$54,14,0)+VLOOKUP(D70,'Feuerwaffen-Ressourcen'!$A$2:$AI$54,14,0),'Feuerwaffen-Ressourcen'!$AJ$3:$AK$12,2,0)</f>
        <v>W12</v>
      </c>
      <c r="O70" s="50">
        <f>VLOOKUP(B70,'Feuerwaffen-Ressourcen'!$A$2:$AI$54,15,0)+VLOOKUP(C70,'Feuerwaffen-Ressourcen'!$A$2:$AI$54,15,0)+VLOOKUP(D70,'Feuerwaffen-Ressourcen'!$A$2:$AI$54,15,0)</f>
        <v>2</v>
      </c>
      <c r="P70" s="50">
        <f>VLOOKUP(B70,'Feuerwaffen-Ressourcen'!$A$2:$AI$54,16,0)+VLOOKUP(C70,'Feuerwaffen-Ressourcen'!$A$2:$AI$54,16,0)+VLOOKUP(D70,'Feuerwaffen-Ressourcen'!$A$2:$AI$54,16,0)+VLOOKUP(E70,'Feuerwaffen-Ressourcen'!$A$2:$AI$54,16,0)</f>
        <v>14</v>
      </c>
      <c r="Q70" s="52">
        <f>VLOOKUP(B70,'Feuerwaffen-Ressourcen'!$A$2:$AI$54,17,0)+VLOOKUP(C70,'Feuerwaffen-Ressourcen'!$A$2:$AI$54,17,0)+VLOOKUP(D70,'Feuerwaffen-Ressourcen'!$A$2:$AI$54,17,0)+VLOOKUP(E70,'Feuerwaffen-Ressourcen'!$A$2:$AI$54,17,0)</f>
        <v>18</v>
      </c>
      <c r="R70" s="50">
        <f>VLOOKUP(B70,'Feuerwaffen-Ressourcen'!$A$2:$AI$54,18,0)+VLOOKUP(C70,'Feuerwaffen-Ressourcen'!$A$2:$AI$54,18,0)+VLOOKUP(D70,'Feuerwaffen-Ressourcen'!$A$2:$AI$54,18,0)+VLOOKUP(F70,'Feuerwaffen-Ressourcen'!$A$2:$AI$54,18,0)+VLOOKUP(G70,'Feuerwaffen-Ressourcen'!$A$2:$AI$54,18,0)+VLOOKUP(I70,'Feuerwaffen-Ressourcen'!$A$2:$AI$54,18,0)+VLOOKUP(J70,'Feuerwaffen-Ressourcen'!$A$2:$AI$54,18,0)</f>
        <v>5</v>
      </c>
      <c r="S70" s="50">
        <f>VLOOKUP(B70,'Feuerwaffen-Ressourcen'!$A$2:$AI$54,19,0)+VLOOKUP(C70,'Feuerwaffen-Ressourcen'!$A$2:$AI$54,19,0)+VLOOKUP(D70,'Feuerwaffen-Ressourcen'!$A$2:$AI$54,19,0)+VLOOKUP(F70,'Feuerwaffen-Ressourcen'!$A$2:$AI$54,19,0)+VLOOKUP(G70,'Feuerwaffen-Ressourcen'!$A$2:$AI$54,19,0)+VLOOKUP(I70,'Feuerwaffen-Ressourcen'!$A$2:$AI$54,19,0)+VLOOKUP(J70,'Feuerwaffen-Ressourcen'!$A$2:$AI$54,19,0)</f>
        <v>2</v>
      </c>
      <c r="T70" s="50">
        <f>VLOOKUP(B70,'Feuerwaffen-Ressourcen'!$A$2:$AI$54,20,0)+VLOOKUP(C70,'Feuerwaffen-Ressourcen'!$A$2:$AI$54,20,0)+VLOOKUP(D70,'Feuerwaffen-Ressourcen'!$A$2:$AI$54,20,0)+VLOOKUP(F70,'Feuerwaffen-Ressourcen'!$A$2:$AI$54,20,0)+VLOOKUP(G70,'Feuerwaffen-Ressourcen'!$A$2:$AI$54,20,0)+VLOOKUP(I70,'Feuerwaffen-Ressourcen'!$A$2:$AI$54,20,0)+VLOOKUP(J70,'Feuerwaffen-Ressourcen'!$A$2:$AI$54,20,0)</f>
        <v>-2</v>
      </c>
      <c r="U70" s="50">
        <f>VLOOKUP(B70,'Feuerwaffen-Ressourcen'!$A$2:$AI$54,21,0)+VLOOKUP(C70,'Feuerwaffen-Ressourcen'!$A$2:$AI$54,21,0)+VLOOKUP(D70,'Feuerwaffen-Ressourcen'!$A$2:$AI$54,21,0)+VLOOKUP(F70,'Feuerwaffen-Ressourcen'!$A$2:$AI$54,21,0)+VLOOKUP(G70,'Feuerwaffen-Ressourcen'!$A$2:$AI$54,21,0)+VLOOKUP(I70,'Feuerwaffen-Ressourcen'!$A$2:$AI$54,21,0)+VLOOKUP(J70,'Feuerwaffen-Ressourcen'!$A$2:$AI$54,21,0)</f>
        <v>-9</v>
      </c>
      <c r="V70" s="50">
        <f>VLOOKUP(B70,'Feuerwaffen-Ressourcen'!$A$2:$AI$54,22,0)+VLOOKUP(C70,'Feuerwaffen-Ressourcen'!$A$2:$AI$54,22,0)+VLOOKUP(D70,'Feuerwaffen-Ressourcen'!$A$2:$AI$54,22,0)+VLOOKUP(F70,'Feuerwaffen-Ressourcen'!$A$2:$AI$54,22,0)+VLOOKUP(G70,'Feuerwaffen-Ressourcen'!$A$2:$AI$54,22,0)+VLOOKUP(I70,'Feuerwaffen-Ressourcen'!$A$2:$AI$54,22,0)+VLOOKUP(J70,'Feuerwaffen-Ressourcen'!$A$2:$AI$54,22,0)</f>
        <v>-17</v>
      </c>
      <c r="W70" s="50">
        <f>VLOOKUP(B70,'Feuerwaffen-Ressourcen'!$A$2:$AI$54,23,0)+VLOOKUP(C70,'Feuerwaffen-Ressourcen'!$A$2:$AI$54,23,0)+VLOOKUP(D70,'Feuerwaffen-Ressourcen'!$A$2:$AI$54,23,0)+VLOOKUP(F70,'Feuerwaffen-Ressourcen'!$A$2:$AI$54,23,0)+VLOOKUP(G70,'Feuerwaffen-Ressourcen'!$A$2:$AI$54,23,0)+VLOOKUP(I70,'Feuerwaffen-Ressourcen'!$A$2:$AI$54,23,0)+VLOOKUP(J70,'Feuerwaffen-Ressourcen'!$A$2:$AI$54,23,0)</f>
        <v>-25</v>
      </c>
      <c r="X70" s="50">
        <f>VLOOKUP(B70,'Feuerwaffen-Ressourcen'!$A$2:$AI$54,24,0)+VLOOKUP(C70,'Feuerwaffen-Ressourcen'!$A$2:$AI$54,24,0)+VLOOKUP(D70,'Feuerwaffen-Ressourcen'!$A$2:$AI$54,24,0)+VLOOKUP(G70,'Feuerwaffen-Ressourcen'!$A$2:$AI$54,24,0)</f>
        <v>90</v>
      </c>
      <c r="Y70" s="50">
        <f>VLOOKUP(D70,'Feuerwaffen-Ressourcen'!$A$2:$AI$54,25,0)+VLOOKUP(E70,'Feuerwaffen-Ressourcen'!$A$2:$AI$54,25,0)+VLOOKUP(F70,'Feuerwaffen-Ressourcen'!$A$2:$AI$54,25,0)</f>
        <v>31</v>
      </c>
      <c r="Z70" s="50">
        <f>VLOOKUP(E70,'Feuerwaffen-Ressourcen'!$A$2:$AI$54,26,0)</f>
        <v>3</v>
      </c>
      <c r="AA70" s="50">
        <f>VLOOKUP(B70,'Feuerwaffen-Ressourcen'!$A$2:$AI$54,27,0)+VLOOKUP(D70,'Feuerwaffen-Ressourcen'!$A$2:$AI$54,27,0)+VLOOKUP(F70,'Feuerwaffen-Ressourcen'!$A$2:$AI$54,27,0)+VLOOKUP(I70,'Feuerwaffen-Ressourcen'!$A$2:$AI$54,27,0)</f>
        <v>-3</v>
      </c>
      <c r="AB70" s="50">
        <f>VLOOKUP(B70,'Feuerwaffen-Ressourcen'!$A$2:$AI$54,28,0)+VLOOKUP(C70,'Feuerwaffen-Ressourcen'!$A$2:$AI$54,28,0)+VLOOKUP(D70,'Feuerwaffen-Ressourcen'!$A$2:$AI$54,28,0)+VLOOKUP(E70,'Feuerwaffen-Ressourcen'!$A$2:$AI$54,28,0)+VLOOKUP(F70,'Feuerwaffen-Ressourcen'!$A$2:$AI$54,28,0)+VLOOKUP(G70,'Feuerwaffen-Ressourcen'!$A$2:$AI$54,28,0)+VLOOKUP(I70,'Feuerwaffen-Ressourcen'!$A$2:$AI$54,28,0)+VLOOKUP(J70,'Feuerwaffen-Ressourcen'!$A$2:$AI$54,28,0)</f>
        <v>90</v>
      </c>
      <c r="AC70" s="53">
        <f>VLOOKUP(I70,'Feuerwaffen-Ressourcen'!$A$2:$AI$54,31,0)*AD70+AE70</f>
        <v>530.69999999999993</v>
      </c>
      <c r="AD70" s="54">
        <f>VLOOKUP(B70,'Feuerwaffen-Ressourcen'!$A$2:$AI$54,30,0)+VLOOKUP(C70,'Feuerwaffen-Ressourcen'!$A$2:$AI$54,30,0)+VLOOKUP(D70,'Feuerwaffen-Ressourcen'!$A$2:$AI$54,30,0)+VLOOKUP(F70,'Feuerwaffen-Ressourcen'!$A$2:$AI$54,30,0)+VLOOKUP(G70,'Feuerwaffen-Ressourcen'!$A$2:$AI$54,30,0)+VLOOKUP(I70,'Feuerwaffen-Ressourcen'!$A$2:$AI$54,30,0)+VLOOKUP(J70,'Feuerwaffen-Ressourcen'!$A$2:$AI$54,30,0)</f>
        <v>10.7</v>
      </c>
      <c r="AE70" s="53">
        <f>(VLOOKUP(C70,'Feuerwaffen-Ressourcen'!$A$2:$AI$54,32,0)+VLOOKUP(I70,'Feuerwaffen-Ressourcen'!$A$2:$AI$54,32,0))*(VLOOKUP(B70,'Feuerwaffen-Ressourcen'!$A$2:$AI$54,34,0)+VLOOKUP(C70,'Feuerwaffen-Ressourcen'!$A$2:$AI$54,34,0)+VLOOKUP(D70,'Feuerwaffen-Ressourcen'!$A$2:$AI$54,34,0)+VLOOKUP(E70,'Feuerwaffen-Ressourcen'!$A$2:$AI$54,34,0)+VLOOKUP(G70,'Feuerwaffen-Ressourcen'!$A$2:$AI$54,34,0))+VLOOKUP(B70,'Feuerwaffen-Ressourcen'!$A$2:$AI$54,35,0)+VLOOKUP(C70,'Feuerwaffen-Ressourcen'!$A$2:$AI$54,35,0)+VLOOKUP(D70,'Feuerwaffen-Ressourcen'!$A$2:$AI$54,35,0)</f>
        <v>487.9</v>
      </c>
      <c r="AF70" s="55">
        <f>VLOOKUP(AB70,'Feuerwaffen-Ressourcen'!$AO$3:$AP$9,2,1)</f>
        <v>5</v>
      </c>
      <c r="AG70" s="55">
        <v>0</v>
      </c>
      <c r="AH70" s="28" t="s">
        <v>1420</v>
      </c>
      <c r="AI70" s="28" t="s">
        <v>8657</v>
      </c>
      <c r="AJ70" s="56">
        <v>3</v>
      </c>
      <c r="AK70" s="56" t="s">
        <v>5497</v>
      </c>
      <c r="AL70" s="56" t="s">
        <v>5486</v>
      </c>
      <c r="AM70" s="56">
        <v>3</v>
      </c>
      <c r="AN70" s="56">
        <v>5</v>
      </c>
      <c r="AO70" s="56">
        <v>4</v>
      </c>
      <c r="AP70" s="56">
        <v>4</v>
      </c>
      <c r="AQ70" s="56">
        <v>13</v>
      </c>
      <c r="AR70" s="56">
        <v>13</v>
      </c>
      <c r="AS70" s="56">
        <v>5</v>
      </c>
      <c r="AT70" s="56">
        <v>6</v>
      </c>
    </row>
    <row r="71" spans="1:46">
      <c r="A71" s="49" t="s">
        <v>8895</v>
      </c>
      <c r="B71" s="49" t="s">
        <v>1204</v>
      </c>
      <c r="C71" s="49" t="s">
        <v>8921</v>
      </c>
      <c r="D71" s="49" t="s">
        <v>8924</v>
      </c>
      <c r="E71" s="49" t="s">
        <v>8847</v>
      </c>
      <c r="F71" s="49" t="s">
        <v>8931</v>
      </c>
      <c r="G71" s="49" t="s">
        <v>8932</v>
      </c>
      <c r="H71" s="49" t="s">
        <v>8830</v>
      </c>
      <c r="I71" s="49" t="s">
        <v>7341</v>
      </c>
      <c r="J71" s="49" t="s">
        <v>7320</v>
      </c>
      <c r="K71" s="51">
        <f>VLOOKUP(B71,'Feuerwaffen-Ressourcen'!$A$2:$AI$54,11,0)+VLOOKUP(C71,'Feuerwaffen-Ressourcen'!$A$2:$AI$54,11,0)+VLOOKUP(D71,'Feuerwaffen-Ressourcen'!$A$2:$AI$54,11,0)+VLOOKUP(E71,'Feuerwaffen-Ressourcen'!$A$2:$AI$54,11,0)+VLOOKUP(G71,'Feuerwaffen-Ressourcen'!$A$2:$AI$54,11,0)</f>
        <v>6.05</v>
      </c>
      <c r="L71" s="50">
        <f>VLOOKUP(B71,'Feuerwaffen-Ressourcen'!$A$2:$AI$54,12,0)+VLOOKUP(C71,'Feuerwaffen-Ressourcen'!$A$2:$AI$54,12,0)+VLOOKUP(D71,'Feuerwaffen-Ressourcen'!$A$2:$AI$54,12,0)+VLOOKUP(J71,'Feuerwaffen-Ressourcen'!$A$2:$AI$54,12,0)</f>
        <v>13</v>
      </c>
      <c r="M71" s="50" t="str">
        <f>VLOOKUP(VLOOKUP(B71,'Feuerwaffen-Ressourcen'!$A$2:$AI$54,13,0)+VLOOKUP(C71,'Feuerwaffen-Ressourcen'!$A$2:$AI$54,13,0)+VLOOKUP(D71,'Feuerwaffen-Ressourcen'!$A$2:$AI$54,13,0),'Feuerwaffen-Ressourcen'!$AJ$3:$AK$12,2,0)</f>
        <v>W12</v>
      </c>
      <c r="N71" s="50" t="str">
        <f>VLOOKUP(VLOOKUP(B71,'Feuerwaffen-Ressourcen'!$A$2:$AI$54,14,0)+VLOOKUP(C71,'Feuerwaffen-Ressourcen'!$A$2:$AI$54,14,0)+VLOOKUP(D71,'Feuerwaffen-Ressourcen'!$A$2:$AI$54,14,0),'Feuerwaffen-Ressourcen'!$AJ$3:$AK$12,2,0)</f>
        <v>W12</v>
      </c>
      <c r="O71" s="50">
        <f>VLOOKUP(B71,'Feuerwaffen-Ressourcen'!$A$2:$AI$54,15,0)+VLOOKUP(C71,'Feuerwaffen-Ressourcen'!$A$2:$AI$54,15,0)+VLOOKUP(D71,'Feuerwaffen-Ressourcen'!$A$2:$AI$54,15,0)</f>
        <v>2</v>
      </c>
      <c r="P71" s="50">
        <f>VLOOKUP(B71,'Feuerwaffen-Ressourcen'!$A$2:$AI$54,16,0)+VLOOKUP(C71,'Feuerwaffen-Ressourcen'!$A$2:$AI$54,16,0)+VLOOKUP(D71,'Feuerwaffen-Ressourcen'!$A$2:$AI$54,16,0)+VLOOKUP(E71,'Feuerwaffen-Ressourcen'!$A$2:$AI$54,16,0)</f>
        <v>20</v>
      </c>
      <c r="Q71" s="52">
        <f>VLOOKUP(B71,'Feuerwaffen-Ressourcen'!$A$2:$AI$54,17,0)+VLOOKUP(C71,'Feuerwaffen-Ressourcen'!$A$2:$AI$54,17,0)+VLOOKUP(D71,'Feuerwaffen-Ressourcen'!$A$2:$AI$54,17,0)+VLOOKUP(E71,'Feuerwaffen-Ressourcen'!$A$2:$AI$54,17,0)</f>
        <v>12</v>
      </c>
      <c r="R71" s="50">
        <f>VLOOKUP(B71,'Feuerwaffen-Ressourcen'!$A$2:$AI$54,18,0)+VLOOKUP(C71,'Feuerwaffen-Ressourcen'!$A$2:$AI$54,18,0)+VLOOKUP(D71,'Feuerwaffen-Ressourcen'!$A$2:$AI$54,18,0)+VLOOKUP(F71,'Feuerwaffen-Ressourcen'!$A$2:$AI$54,18,0)+VLOOKUP(G71,'Feuerwaffen-Ressourcen'!$A$2:$AI$54,18,0)+VLOOKUP(I71,'Feuerwaffen-Ressourcen'!$A$2:$AI$54,18,0)+VLOOKUP(J71,'Feuerwaffen-Ressourcen'!$A$2:$AI$54,18,0)</f>
        <v>6</v>
      </c>
      <c r="S71" s="50">
        <f>VLOOKUP(B71,'Feuerwaffen-Ressourcen'!$A$2:$AI$54,19,0)+VLOOKUP(C71,'Feuerwaffen-Ressourcen'!$A$2:$AI$54,19,0)+VLOOKUP(D71,'Feuerwaffen-Ressourcen'!$A$2:$AI$54,19,0)+VLOOKUP(F71,'Feuerwaffen-Ressourcen'!$A$2:$AI$54,19,0)+VLOOKUP(G71,'Feuerwaffen-Ressourcen'!$A$2:$AI$54,19,0)+VLOOKUP(I71,'Feuerwaffen-Ressourcen'!$A$2:$AI$54,19,0)+VLOOKUP(J71,'Feuerwaffen-Ressourcen'!$A$2:$AI$54,19,0)</f>
        <v>3</v>
      </c>
      <c r="T71" s="50">
        <f>VLOOKUP(B71,'Feuerwaffen-Ressourcen'!$A$2:$AI$54,20,0)+VLOOKUP(C71,'Feuerwaffen-Ressourcen'!$A$2:$AI$54,20,0)+VLOOKUP(D71,'Feuerwaffen-Ressourcen'!$A$2:$AI$54,20,0)+VLOOKUP(F71,'Feuerwaffen-Ressourcen'!$A$2:$AI$54,20,0)+VLOOKUP(G71,'Feuerwaffen-Ressourcen'!$A$2:$AI$54,20,0)+VLOOKUP(I71,'Feuerwaffen-Ressourcen'!$A$2:$AI$54,20,0)+VLOOKUP(J71,'Feuerwaffen-Ressourcen'!$A$2:$AI$54,20,0)</f>
        <v>-1</v>
      </c>
      <c r="U71" s="50">
        <f>VLOOKUP(B71,'Feuerwaffen-Ressourcen'!$A$2:$AI$54,21,0)+VLOOKUP(C71,'Feuerwaffen-Ressourcen'!$A$2:$AI$54,21,0)+VLOOKUP(D71,'Feuerwaffen-Ressourcen'!$A$2:$AI$54,21,0)+VLOOKUP(F71,'Feuerwaffen-Ressourcen'!$A$2:$AI$54,21,0)+VLOOKUP(G71,'Feuerwaffen-Ressourcen'!$A$2:$AI$54,21,0)+VLOOKUP(I71,'Feuerwaffen-Ressourcen'!$A$2:$AI$54,21,0)+VLOOKUP(J71,'Feuerwaffen-Ressourcen'!$A$2:$AI$54,21,0)</f>
        <v>-8</v>
      </c>
      <c r="V71" s="50">
        <f>VLOOKUP(B71,'Feuerwaffen-Ressourcen'!$A$2:$AI$54,22,0)+VLOOKUP(C71,'Feuerwaffen-Ressourcen'!$A$2:$AI$54,22,0)+VLOOKUP(D71,'Feuerwaffen-Ressourcen'!$A$2:$AI$54,22,0)+VLOOKUP(F71,'Feuerwaffen-Ressourcen'!$A$2:$AI$54,22,0)+VLOOKUP(G71,'Feuerwaffen-Ressourcen'!$A$2:$AI$54,22,0)+VLOOKUP(I71,'Feuerwaffen-Ressourcen'!$A$2:$AI$54,22,0)+VLOOKUP(J71,'Feuerwaffen-Ressourcen'!$A$2:$AI$54,22,0)</f>
        <v>-16</v>
      </c>
      <c r="W71" s="50">
        <f>VLOOKUP(B71,'Feuerwaffen-Ressourcen'!$A$2:$AI$54,23,0)+VLOOKUP(C71,'Feuerwaffen-Ressourcen'!$A$2:$AI$54,23,0)+VLOOKUP(D71,'Feuerwaffen-Ressourcen'!$A$2:$AI$54,23,0)+VLOOKUP(F71,'Feuerwaffen-Ressourcen'!$A$2:$AI$54,23,0)+VLOOKUP(G71,'Feuerwaffen-Ressourcen'!$A$2:$AI$54,23,0)+VLOOKUP(I71,'Feuerwaffen-Ressourcen'!$A$2:$AI$54,23,0)+VLOOKUP(J71,'Feuerwaffen-Ressourcen'!$A$2:$AI$54,23,0)</f>
        <v>-24</v>
      </c>
      <c r="X71" s="50">
        <f>VLOOKUP(B71,'Feuerwaffen-Ressourcen'!$A$2:$AI$54,24,0)+VLOOKUP(C71,'Feuerwaffen-Ressourcen'!$A$2:$AI$54,24,0)+VLOOKUP(D71,'Feuerwaffen-Ressourcen'!$A$2:$AI$54,24,0)+VLOOKUP(G71,'Feuerwaffen-Ressourcen'!$A$2:$AI$54,24,0)</f>
        <v>90</v>
      </c>
      <c r="Y71" s="50">
        <f>VLOOKUP(D71,'Feuerwaffen-Ressourcen'!$A$2:$AI$54,25,0)+VLOOKUP(E71,'Feuerwaffen-Ressourcen'!$A$2:$AI$54,25,0)+VLOOKUP(F71,'Feuerwaffen-Ressourcen'!$A$2:$AI$54,25,0)</f>
        <v>10</v>
      </c>
      <c r="Z71" s="50">
        <f>VLOOKUP(E71,'Feuerwaffen-Ressourcen'!$A$2:$AI$54,26,0)</f>
        <v>6</v>
      </c>
      <c r="AA71" s="50">
        <f>VLOOKUP(B71,'Feuerwaffen-Ressourcen'!$A$2:$AI$54,27,0)+VLOOKUP(D71,'Feuerwaffen-Ressourcen'!$A$2:$AI$54,27,0)+VLOOKUP(F71,'Feuerwaffen-Ressourcen'!$A$2:$AI$54,27,0)+VLOOKUP(I71,'Feuerwaffen-Ressourcen'!$A$2:$AI$54,27,0)</f>
        <v>-5</v>
      </c>
      <c r="AB71" s="50">
        <f>VLOOKUP(B71,'Feuerwaffen-Ressourcen'!$A$2:$AI$54,28,0)+VLOOKUP(C71,'Feuerwaffen-Ressourcen'!$A$2:$AI$54,28,0)+VLOOKUP(D71,'Feuerwaffen-Ressourcen'!$A$2:$AI$54,28,0)+VLOOKUP(E71,'Feuerwaffen-Ressourcen'!$A$2:$AI$54,28,0)+VLOOKUP(F71,'Feuerwaffen-Ressourcen'!$A$2:$AI$54,28,0)+VLOOKUP(G71,'Feuerwaffen-Ressourcen'!$A$2:$AI$54,28,0)+VLOOKUP(I71,'Feuerwaffen-Ressourcen'!$A$2:$AI$54,28,0)+VLOOKUP(J71,'Feuerwaffen-Ressourcen'!$A$2:$AI$54,28,0)</f>
        <v>50</v>
      </c>
      <c r="AC71" s="53">
        <f>VLOOKUP(I71,'Feuerwaffen-Ressourcen'!$A$2:$AI$54,31,0)*AD71+AE71</f>
        <v>550.70000000000005</v>
      </c>
      <c r="AD71" s="54">
        <f>VLOOKUP(B71,'Feuerwaffen-Ressourcen'!$A$2:$AI$54,30,0)+VLOOKUP(C71,'Feuerwaffen-Ressourcen'!$A$2:$AI$54,30,0)+VLOOKUP(D71,'Feuerwaffen-Ressourcen'!$A$2:$AI$54,30,0)+VLOOKUP(F71,'Feuerwaffen-Ressourcen'!$A$2:$AI$54,30,0)+VLOOKUP(G71,'Feuerwaffen-Ressourcen'!$A$2:$AI$54,30,0)+VLOOKUP(I71,'Feuerwaffen-Ressourcen'!$A$2:$AI$54,30,0)+VLOOKUP(J71,'Feuerwaffen-Ressourcen'!$A$2:$AI$54,30,0)</f>
        <v>12.7</v>
      </c>
      <c r="AE71" s="53">
        <f>(VLOOKUP(C71,'Feuerwaffen-Ressourcen'!$A$2:$AI$54,32,0)+VLOOKUP(I71,'Feuerwaffen-Ressourcen'!$A$2:$AI$54,32,0))*(VLOOKUP(B71,'Feuerwaffen-Ressourcen'!$A$2:$AI$54,34,0)+VLOOKUP(C71,'Feuerwaffen-Ressourcen'!$A$2:$AI$54,34,0)+VLOOKUP(D71,'Feuerwaffen-Ressourcen'!$A$2:$AI$54,34,0)+VLOOKUP(E71,'Feuerwaffen-Ressourcen'!$A$2:$AI$54,34,0)+VLOOKUP(G71,'Feuerwaffen-Ressourcen'!$A$2:$AI$54,34,0))+VLOOKUP(B71,'Feuerwaffen-Ressourcen'!$A$2:$AI$54,35,0)+VLOOKUP(C71,'Feuerwaffen-Ressourcen'!$A$2:$AI$54,35,0)+VLOOKUP(D71,'Feuerwaffen-Ressourcen'!$A$2:$AI$54,35,0)</f>
        <v>499.90000000000003</v>
      </c>
      <c r="AF71" s="55">
        <f>VLOOKUP(AB71,'Feuerwaffen-Ressourcen'!$AO$3:$AP$9,2,1)</f>
        <v>7</v>
      </c>
      <c r="AG71" s="55">
        <v>0</v>
      </c>
      <c r="AH71" s="28" t="s">
        <v>1420</v>
      </c>
      <c r="AI71" s="28" t="s">
        <v>8657</v>
      </c>
      <c r="AJ71" s="56">
        <v>3</v>
      </c>
      <c r="AK71" s="56" t="s">
        <v>5497</v>
      </c>
      <c r="AL71" s="56" t="s">
        <v>5486</v>
      </c>
      <c r="AM71" s="56">
        <v>3</v>
      </c>
      <c r="AN71" s="56">
        <v>5</v>
      </c>
      <c r="AO71" s="56">
        <v>4</v>
      </c>
      <c r="AP71" s="56">
        <v>4</v>
      </c>
      <c r="AQ71" s="56">
        <v>13</v>
      </c>
      <c r="AR71" s="56">
        <v>13</v>
      </c>
      <c r="AS71" s="56">
        <v>5</v>
      </c>
      <c r="AT71" s="56">
        <v>6</v>
      </c>
    </row>
    <row r="72" spans="1:46">
      <c r="A72" s="49" t="s">
        <v>8896</v>
      </c>
      <c r="B72" s="49" t="s">
        <v>1204</v>
      </c>
      <c r="C72" s="49" t="s">
        <v>8921</v>
      </c>
      <c r="D72" s="49" t="s">
        <v>8912</v>
      </c>
      <c r="E72" s="49" t="s">
        <v>8262</v>
      </c>
      <c r="F72" s="49" t="s">
        <v>8930</v>
      </c>
      <c r="G72" s="49" t="s">
        <v>8932</v>
      </c>
      <c r="H72" s="49" t="s">
        <v>8827</v>
      </c>
      <c r="I72" s="49" t="s">
        <v>7341</v>
      </c>
      <c r="J72" s="49" t="s">
        <v>7320</v>
      </c>
      <c r="K72" s="51">
        <f>VLOOKUP(B72,'Feuerwaffen-Ressourcen'!$A$2:$AI$54,11,0)+VLOOKUP(C72,'Feuerwaffen-Ressourcen'!$A$2:$AI$54,11,0)+VLOOKUP(D72,'Feuerwaffen-Ressourcen'!$A$2:$AI$54,11,0)+VLOOKUP(E72,'Feuerwaffen-Ressourcen'!$A$2:$AI$54,11,0)+VLOOKUP(G72,'Feuerwaffen-Ressourcen'!$A$2:$AI$54,11,0)</f>
        <v>5.05</v>
      </c>
      <c r="L72" s="50">
        <f>VLOOKUP(B72,'Feuerwaffen-Ressourcen'!$A$2:$AI$54,12,0)+VLOOKUP(C72,'Feuerwaffen-Ressourcen'!$A$2:$AI$54,12,0)+VLOOKUP(D72,'Feuerwaffen-Ressourcen'!$A$2:$AI$54,12,0)+VLOOKUP(J72,'Feuerwaffen-Ressourcen'!$A$2:$AI$54,12,0)</f>
        <v>11</v>
      </c>
      <c r="M72" s="50" t="str">
        <f>VLOOKUP(VLOOKUP(B72,'Feuerwaffen-Ressourcen'!$A$2:$AI$54,13,0)+VLOOKUP(C72,'Feuerwaffen-Ressourcen'!$A$2:$AI$54,13,0)+VLOOKUP(D72,'Feuerwaffen-Ressourcen'!$A$2:$AI$54,13,0),'Feuerwaffen-Ressourcen'!$AJ$3:$AK$12,2,0)</f>
        <v>W10</v>
      </c>
      <c r="N72" s="50" t="str">
        <f>VLOOKUP(VLOOKUP(B72,'Feuerwaffen-Ressourcen'!$A$2:$AI$54,14,0)+VLOOKUP(C72,'Feuerwaffen-Ressourcen'!$A$2:$AI$54,14,0)+VLOOKUP(D72,'Feuerwaffen-Ressourcen'!$A$2:$AI$54,14,0),'Feuerwaffen-Ressourcen'!$AJ$3:$AK$12,2,0)</f>
        <v>W10</v>
      </c>
      <c r="O72" s="50">
        <f>VLOOKUP(B72,'Feuerwaffen-Ressourcen'!$A$2:$AI$54,15,0)+VLOOKUP(C72,'Feuerwaffen-Ressourcen'!$A$2:$AI$54,15,0)+VLOOKUP(D72,'Feuerwaffen-Ressourcen'!$A$2:$AI$54,15,0)</f>
        <v>1</v>
      </c>
      <c r="P72" s="50">
        <f>VLOOKUP(B72,'Feuerwaffen-Ressourcen'!$A$2:$AI$54,16,0)+VLOOKUP(C72,'Feuerwaffen-Ressourcen'!$A$2:$AI$54,16,0)+VLOOKUP(D72,'Feuerwaffen-Ressourcen'!$A$2:$AI$54,16,0)+VLOOKUP(E72,'Feuerwaffen-Ressourcen'!$A$2:$AI$54,16,0)</f>
        <v>13</v>
      </c>
      <c r="Q72" s="52">
        <f>VLOOKUP(B72,'Feuerwaffen-Ressourcen'!$A$2:$AI$54,17,0)+VLOOKUP(C72,'Feuerwaffen-Ressourcen'!$A$2:$AI$54,17,0)+VLOOKUP(D72,'Feuerwaffen-Ressourcen'!$A$2:$AI$54,17,0)+VLOOKUP(E72,'Feuerwaffen-Ressourcen'!$A$2:$AI$54,17,0)</f>
        <v>17</v>
      </c>
      <c r="R72" s="50">
        <f>VLOOKUP(B72,'Feuerwaffen-Ressourcen'!$A$2:$AI$54,18,0)+VLOOKUP(C72,'Feuerwaffen-Ressourcen'!$A$2:$AI$54,18,0)+VLOOKUP(D72,'Feuerwaffen-Ressourcen'!$A$2:$AI$54,18,0)+VLOOKUP(F72,'Feuerwaffen-Ressourcen'!$A$2:$AI$54,18,0)+VLOOKUP(G72,'Feuerwaffen-Ressourcen'!$A$2:$AI$54,18,0)+VLOOKUP(I72,'Feuerwaffen-Ressourcen'!$A$2:$AI$54,18,0)+VLOOKUP(J72,'Feuerwaffen-Ressourcen'!$A$2:$AI$54,18,0)</f>
        <v>8</v>
      </c>
      <c r="S72" s="50">
        <f>VLOOKUP(B72,'Feuerwaffen-Ressourcen'!$A$2:$AI$54,19,0)+VLOOKUP(C72,'Feuerwaffen-Ressourcen'!$A$2:$AI$54,19,0)+VLOOKUP(D72,'Feuerwaffen-Ressourcen'!$A$2:$AI$54,19,0)+VLOOKUP(F72,'Feuerwaffen-Ressourcen'!$A$2:$AI$54,19,0)+VLOOKUP(G72,'Feuerwaffen-Ressourcen'!$A$2:$AI$54,19,0)+VLOOKUP(I72,'Feuerwaffen-Ressourcen'!$A$2:$AI$54,19,0)+VLOOKUP(J72,'Feuerwaffen-Ressourcen'!$A$2:$AI$54,19,0)</f>
        <v>4</v>
      </c>
      <c r="T72" s="50">
        <f>VLOOKUP(B72,'Feuerwaffen-Ressourcen'!$A$2:$AI$54,20,0)+VLOOKUP(C72,'Feuerwaffen-Ressourcen'!$A$2:$AI$54,20,0)+VLOOKUP(D72,'Feuerwaffen-Ressourcen'!$A$2:$AI$54,20,0)+VLOOKUP(F72,'Feuerwaffen-Ressourcen'!$A$2:$AI$54,20,0)+VLOOKUP(G72,'Feuerwaffen-Ressourcen'!$A$2:$AI$54,20,0)+VLOOKUP(I72,'Feuerwaffen-Ressourcen'!$A$2:$AI$54,20,0)+VLOOKUP(J72,'Feuerwaffen-Ressourcen'!$A$2:$AI$54,20,0)</f>
        <v>-1</v>
      </c>
      <c r="U72" s="50">
        <f>VLOOKUP(B72,'Feuerwaffen-Ressourcen'!$A$2:$AI$54,21,0)+VLOOKUP(C72,'Feuerwaffen-Ressourcen'!$A$2:$AI$54,21,0)+VLOOKUP(D72,'Feuerwaffen-Ressourcen'!$A$2:$AI$54,21,0)+VLOOKUP(F72,'Feuerwaffen-Ressourcen'!$A$2:$AI$54,21,0)+VLOOKUP(G72,'Feuerwaffen-Ressourcen'!$A$2:$AI$54,21,0)+VLOOKUP(I72,'Feuerwaffen-Ressourcen'!$A$2:$AI$54,21,0)+VLOOKUP(J72,'Feuerwaffen-Ressourcen'!$A$2:$AI$54,21,0)</f>
        <v>-8</v>
      </c>
      <c r="V72" s="50">
        <f>VLOOKUP(B72,'Feuerwaffen-Ressourcen'!$A$2:$AI$54,22,0)+VLOOKUP(C72,'Feuerwaffen-Ressourcen'!$A$2:$AI$54,22,0)+VLOOKUP(D72,'Feuerwaffen-Ressourcen'!$A$2:$AI$54,22,0)+VLOOKUP(F72,'Feuerwaffen-Ressourcen'!$A$2:$AI$54,22,0)+VLOOKUP(G72,'Feuerwaffen-Ressourcen'!$A$2:$AI$54,22,0)+VLOOKUP(I72,'Feuerwaffen-Ressourcen'!$A$2:$AI$54,22,0)+VLOOKUP(J72,'Feuerwaffen-Ressourcen'!$A$2:$AI$54,22,0)</f>
        <v>-16</v>
      </c>
      <c r="W72" s="50">
        <f>VLOOKUP(B72,'Feuerwaffen-Ressourcen'!$A$2:$AI$54,23,0)+VLOOKUP(C72,'Feuerwaffen-Ressourcen'!$A$2:$AI$54,23,0)+VLOOKUP(D72,'Feuerwaffen-Ressourcen'!$A$2:$AI$54,23,0)+VLOOKUP(F72,'Feuerwaffen-Ressourcen'!$A$2:$AI$54,23,0)+VLOOKUP(G72,'Feuerwaffen-Ressourcen'!$A$2:$AI$54,23,0)+VLOOKUP(I72,'Feuerwaffen-Ressourcen'!$A$2:$AI$54,23,0)+VLOOKUP(J72,'Feuerwaffen-Ressourcen'!$A$2:$AI$54,23,0)</f>
        <v>-24</v>
      </c>
      <c r="X72" s="50">
        <f>VLOOKUP(B72,'Feuerwaffen-Ressourcen'!$A$2:$AI$54,24,0)+VLOOKUP(C72,'Feuerwaffen-Ressourcen'!$A$2:$AI$54,24,0)+VLOOKUP(D72,'Feuerwaffen-Ressourcen'!$A$2:$AI$54,24,0)+VLOOKUP(G72,'Feuerwaffen-Ressourcen'!$A$2:$AI$54,24,0)</f>
        <v>70</v>
      </c>
      <c r="Y72" s="50">
        <f>VLOOKUP(D72,'Feuerwaffen-Ressourcen'!$A$2:$AI$54,25,0)+VLOOKUP(E72,'Feuerwaffen-Ressourcen'!$A$2:$AI$54,25,0)+VLOOKUP(F72,'Feuerwaffen-Ressourcen'!$A$2:$AI$54,25,0)</f>
        <v>11</v>
      </c>
      <c r="Z72" s="50">
        <f>VLOOKUP(E72,'Feuerwaffen-Ressourcen'!$A$2:$AI$54,26,0)</f>
        <v>6</v>
      </c>
      <c r="AA72" s="50">
        <f>VLOOKUP(B72,'Feuerwaffen-Ressourcen'!$A$2:$AI$54,27,0)+VLOOKUP(D72,'Feuerwaffen-Ressourcen'!$A$2:$AI$54,27,0)+VLOOKUP(F72,'Feuerwaffen-Ressourcen'!$A$2:$AI$54,27,0)+VLOOKUP(I72,'Feuerwaffen-Ressourcen'!$A$2:$AI$54,27,0)</f>
        <v>-4</v>
      </c>
      <c r="AB72" s="50">
        <f>VLOOKUP(B72,'Feuerwaffen-Ressourcen'!$A$2:$AI$54,28,0)+VLOOKUP(C72,'Feuerwaffen-Ressourcen'!$A$2:$AI$54,28,0)+VLOOKUP(D72,'Feuerwaffen-Ressourcen'!$A$2:$AI$54,28,0)+VLOOKUP(E72,'Feuerwaffen-Ressourcen'!$A$2:$AI$54,28,0)+VLOOKUP(F72,'Feuerwaffen-Ressourcen'!$A$2:$AI$54,28,0)+VLOOKUP(G72,'Feuerwaffen-Ressourcen'!$A$2:$AI$54,28,0)+VLOOKUP(I72,'Feuerwaffen-Ressourcen'!$A$2:$AI$54,28,0)+VLOOKUP(J72,'Feuerwaffen-Ressourcen'!$A$2:$AI$54,28,0)</f>
        <v>90</v>
      </c>
      <c r="AC72" s="53">
        <f>VLOOKUP(I72,'Feuerwaffen-Ressourcen'!$A$2:$AI$54,31,0)*AD72+AE72</f>
        <v>422.7</v>
      </c>
      <c r="AD72" s="54">
        <f>VLOOKUP(B72,'Feuerwaffen-Ressourcen'!$A$2:$AI$54,30,0)+VLOOKUP(C72,'Feuerwaffen-Ressourcen'!$A$2:$AI$54,30,0)+VLOOKUP(D72,'Feuerwaffen-Ressourcen'!$A$2:$AI$54,30,0)+VLOOKUP(F72,'Feuerwaffen-Ressourcen'!$A$2:$AI$54,30,0)+VLOOKUP(G72,'Feuerwaffen-Ressourcen'!$A$2:$AI$54,30,0)+VLOOKUP(I72,'Feuerwaffen-Ressourcen'!$A$2:$AI$54,30,0)+VLOOKUP(J72,'Feuerwaffen-Ressourcen'!$A$2:$AI$54,30,0)</f>
        <v>10.7</v>
      </c>
      <c r="AE72" s="53">
        <f>(VLOOKUP(C72,'Feuerwaffen-Ressourcen'!$A$2:$AI$54,32,0)+VLOOKUP(I72,'Feuerwaffen-Ressourcen'!$A$2:$AI$54,32,0))*(VLOOKUP(B72,'Feuerwaffen-Ressourcen'!$A$2:$AI$54,34,0)+VLOOKUP(C72,'Feuerwaffen-Ressourcen'!$A$2:$AI$54,34,0)+VLOOKUP(D72,'Feuerwaffen-Ressourcen'!$A$2:$AI$54,34,0)+VLOOKUP(E72,'Feuerwaffen-Ressourcen'!$A$2:$AI$54,34,0)+VLOOKUP(G72,'Feuerwaffen-Ressourcen'!$A$2:$AI$54,34,0))+VLOOKUP(B72,'Feuerwaffen-Ressourcen'!$A$2:$AI$54,35,0)+VLOOKUP(C72,'Feuerwaffen-Ressourcen'!$A$2:$AI$54,35,0)+VLOOKUP(D72,'Feuerwaffen-Ressourcen'!$A$2:$AI$54,35,0)</f>
        <v>379.9</v>
      </c>
      <c r="AF72" s="55">
        <f>VLOOKUP(AB72,'Feuerwaffen-Ressourcen'!$AO$3:$AP$9,2,1)</f>
        <v>5</v>
      </c>
      <c r="AG72" s="55">
        <v>0</v>
      </c>
      <c r="AH72" s="28" t="s">
        <v>1420</v>
      </c>
      <c r="AI72" s="28" t="s">
        <v>8657</v>
      </c>
      <c r="AJ72" s="56">
        <v>3</v>
      </c>
      <c r="AK72" s="56" t="s">
        <v>5497</v>
      </c>
      <c r="AL72" s="56" t="s">
        <v>5486</v>
      </c>
      <c r="AM72" s="56">
        <v>3</v>
      </c>
      <c r="AN72" s="56">
        <v>5</v>
      </c>
      <c r="AO72" s="56">
        <v>4</v>
      </c>
      <c r="AP72" s="56">
        <v>4</v>
      </c>
      <c r="AQ72" s="56">
        <v>11</v>
      </c>
      <c r="AR72" s="56">
        <v>11</v>
      </c>
      <c r="AS72" s="56">
        <v>5</v>
      </c>
      <c r="AT72" s="56">
        <v>6</v>
      </c>
    </row>
    <row r="73" spans="1:46">
      <c r="A73" s="49" t="s">
        <v>8897</v>
      </c>
      <c r="B73" s="49" t="s">
        <v>1204</v>
      </c>
      <c r="C73" s="49" t="s">
        <v>8921</v>
      </c>
      <c r="D73" s="49" t="s">
        <v>8938</v>
      </c>
      <c r="E73" s="49" t="s">
        <v>8258</v>
      </c>
      <c r="F73" s="49" t="s">
        <v>8936</v>
      </c>
      <c r="G73" s="49" t="s">
        <v>8932</v>
      </c>
      <c r="H73" s="49" t="s">
        <v>8271</v>
      </c>
      <c r="I73" s="49" t="s">
        <v>7341</v>
      </c>
      <c r="J73" s="49" t="s">
        <v>7320</v>
      </c>
      <c r="K73" s="51">
        <f>VLOOKUP(B73,'Feuerwaffen-Ressourcen'!$A$2:$AI$54,11,0)+VLOOKUP(C73,'Feuerwaffen-Ressourcen'!$A$2:$AI$54,11,0)+VLOOKUP(D73,'Feuerwaffen-Ressourcen'!$A$2:$AI$54,11,0)+VLOOKUP(E73,'Feuerwaffen-Ressourcen'!$A$2:$AI$54,11,0)+VLOOKUP(G73,'Feuerwaffen-Ressourcen'!$A$2:$AI$54,11,0)</f>
        <v>4.05</v>
      </c>
      <c r="L73" s="50">
        <f>VLOOKUP(B73,'Feuerwaffen-Ressourcen'!$A$2:$AI$54,12,0)+VLOOKUP(C73,'Feuerwaffen-Ressourcen'!$A$2:$AI$54,12,0)+VLOOKUP(D73,'Feuerwaffen-Ressourcen'!$A$2:$AI$54,12,0)+VLOOKUP(J73,'Feuerwaffen-Ressourcen'!$A$2:$AI$54,12,0)</f>
        <v>10</v>
      </c>
      <c r="M73" s="50" t="str">
        <f>VLOOKUP(VLOOKUP(B73,'Feuerwaffen-Ressourcen'!$A$2:$AI$54,13,0)+VLOOKUP(C73,'Feuerwaffen-Ressourcen'!$A$2:$AI$54,13,0)+VLOOKUP(D73,'Feuerwaffen-Ressourcen'!$A$2:$AI$54,13,0),'Feuerwaffen-Ressourcen'!$AJ$3:$AK$12,2,0)</f>
        <v>W10</v>
      </c>
      <c r="N73" s="50" t="str">
        <f>VLOOKUP(VLOOKUP(B73,'Feuerwaffen-Ressourcen'!$A$2:$AI$54,14,0)+VLOOKUP(C73,'Feuerwaffen-Ressourcen'!$A$2:$AI$54,14,0)+VLOOKUP(D73,'Feuerwaffen-Ressourcen'!$A$2:$AI$54,14,0),'Feuerwaffen-Ressourcen'!$AJ$3:$AK$12,2,0)</f>
        <v>W10</v>
      </c>
      <c r="O73" s="50">
        <f>VLOOKUP(B73,'Feuerwaffen-Ressourcen'!$A$2:$AI$54,15,0)+VLOOKUP(C73,'Feuerwaffen-Ressourcen'!$A$2:$AI$54,15,0)+VLOOKUP(D73,'Feuerwaffen-Ressourcen'!$A$2:$AI$54,15,0)</f>
        <v>1</v>
      </c>
      <c r="P73" s="50">
        <f>VLOOKUP(B73,'Feuerwaffen-Ressourcen'!$A$2:$AI$54,16,0)+VLOOKUP(C73,'Feuerwaffen-Ressourcen'!$A$2:$AI$54,16,0)+VLOOKUP(D73,'Feuerwaffen-Ressourcen'!$A$2:$AI$54,16,0)+VLOOKUP(E73,'Feuerwaffen-Ressourcen'!$A$2:$AI$54,16,0)</f>
        <v>13</v>
      </c>
      <c r="Q73" s="52">
        <f>VLOOKUP(B73,'Feuerwaffen-Ressourcen'!$A$2:$AI$54,17,0)+VLOOKUP(C73,'Feuerwaffen-Ressourcen'!$A$2:$AI$54,17,0)+VLOOKUP(D73,'Feuerwaffen-Ressourcen'!$A$2:$AI$54,17,0)+VLOOKUP(E73,'Feuerwaffen-Ressourcen'!$A$2:$AI$54,17,0)</f>
        <v>17</v>
      </c>
      <c r="R73" s="50">
        <f>VLOOKUP(B73,'Feuerwaffen-Ressourcen'!$A$2:$AI$54,18,0)+VLOOKUP(C73,'Feuerwaffen-Ressourcen'!$A$2:$AI$54,18,0)+VLOOKUP(D73,'Feuerwaffen-Ressourcen'!$A$2:$AI$54,18,0)+VLOOKUP(F73,'Feuerwaffen-Ressourcen'!$A$2:$AI$54,18,0)+VLOOKUP(G73,'Feuerwaffen-Ressourcen'!$A$2:$AI$54,18,0)+VLOOKUP(I73,'Feuerwaffen-Ressourcen'!$A$2:$AI$54,18,0)+VLOOKUP(J73,'Feuerwaffen-Ressourcen'!$A$2:$AI$54,18,0)</f>
        <v>9</v>
      </c>
      <c r="S73" s="50">
        <f>VLOOKUP(B73,'Feuerwaffen-Ressourcen'!$A$2:$AI$54,19,0)+VLOOKUP(C73,'Feuerwaffen-Ressourcen'!$A$2:$AI$54,19,0)+VLOOKUP(D73,'Feuerwaffen-Ressourcen'!$A$2:$AI$54,19,0)+VLOOKUP(F73,'Feuerwaffen-Ressourcen'!$A$2:$AI$54,19,0)+VLOOKUP(G73,'Feuerwaffen-Ressourcen'!$A$2:$AI$54,19,0)+VLOOKUP(I73,'Feuerwaffen-Ressourcen'!$A$2:$AI$54,19,0)+VLOOKUP(J73,'Feuerwaffen-Ressourcen'!$A$2:$AI$54,19,0)</f>
        <v>3</v>
      </c>
      <c r="T73" s="50">
        <f>VLOOKUP(B73,'Feuerwaffen-Ressourcen'!$A$2:$AI$54,20,0)+VLOOKUP(C73,'Feuerwaffen-Ressourcen'!$A$2:$AI$54,20,0)+VLOOKUP(D73,'Feuerwaffen-Ressourcen'!$A$2:$AI$54,20,0)+VLOOKUP(F73,'Feuerwaffen-Ressourcen'!$A$2:$AI$54,20,0)+VLOOKUP(G73,'Feuerwaffen-Ressourcen'!$A$2:$AI$54,20,0)+VLOOKUP(I73,'Feuerwaffen-Ressourcen'!$A$2:$AI$54,20,0)+VLOOKUP(J73,'Feuerwaffen-Ressourcen'!$A$2:$AI$54,20,0)</f>
        <v>-4</v>
      </c>
      <c r="U73" s="50">
        <f>VLOOKUP(B73,'Feuerwaffen-Ressourcen'!$A$2:$AI$54,21,0)+VLOOKUP(C73,'Feuerwaffen-Ressourcen'!$A$2:$AI$54,21,0)+VLOOKUP(D73,'Feuerwaffen-Ressourcen'!$A$2:$AI$54,21,0)+VLOOKUP(F73,'Feuerwaffen-Ressourcen'!$A$2:$AI$54,21,0)+VLOOKUP(G73,'Feuerwaffen-Ressourcen'!$A$2:$AI$54,21,0)+VLOOKUP(I73,'Feuerwaffen-Ressourcen'!$A$2:$AI$54,21,0)+VLOOKUP(J73,'Feuerwaffen-Ressourcen'!$A$2:$AI$54,21,0)</f>
        <v>-13</v>
      </c>
      <c r="V73" s="50">
        <f>VLOOKUP(B73,'Feuerwaffen-Ressourcen'!$A$2:$AI$54,22,0)+VLOOKUP(C73,'Feuerwaffen-Ressourcen'!$A$2:$AI$54,22,0)+VLOOKUP(D73,'Feuerwaffen-Ressourcen'!$A$2:$AI$54,22,0)+VLOOKUP(F73,'Feuerwaffen-Ressourcen'!$A$2:$AI$54,22,0)+VLOOKUP(G73,'Feuerwaffen-Ressourcen'!$A$2:$AI$54,22,0)+VLOOKUP(I73,'Feuerwaffen-Ressourcen'!$A$2:$AI$54,22,0)+VLOOKUP(J73,'Feuerwaffen-Ressourcen'!$A$2:$AI$54,22,0)</f>
        <v>-23</v>
      </c>
      <c r="W73" s="50">
        <f>VLOOKUP(B73,'Feuerwaffen-Ressourcen'!$A$2:$AI$54,23,0)+VLOOKUP(C73,'Feuerwaffen-Ressourcen'!$A$2:$AI$54,23,0)+VLOOKUP(D73,'Feuerwaffen-Ressourcen'!$A$2:$AI$54,23,0)+VLOOKUP(F73,'Feuerwaffen-Ressourcen'!$A$2:$AI$54,23,0)+VLOOKUP(G73,'Feuerwaffen-Ressourcen'!$A$2:$AI$54,23,0)+VLOOKUP(I73,'Feuerwaffen-Ressourcen'!$A$2:$AI$54,23,0)+VLOOKUP(J73,'Feuerwaffen-Ressourcen'!$A$2:$AI$54,23,0)</f>
        <v>-33</v>
      </c>
      <c r="X73" s="50">
        <f>VLOOKUP(B73,'Feuerwaffen-Ressourcen'!$A$2:$AI$54,24,0)+VLOOKUP(C73,'Feuerwaffen-Ressourcen'!$A$2:$AI$54,24,0)+VLOOKUP(D73,'Feuerwaffen-Ressourcen'!$A$2:$AI$54,24,0)+VLOOKUP(G73,'Feuerwaffen-Ressourcen'!$A$2:$AI$54,24,0)</f>
        <v>60</v>
      </c>
      <c r="Y73" s="50">
        <f>VLOOKUP(D73,'Feuerwaffen-Ressourcen'!$A$2:$AI$54,25,0)+VLOOKUP(E73,'Feuerwaffen-Ressourcen'!$A$2:$AI$54,25,0)+VLOOKUP(F73,'Feuerwaffen-Ressourcen'!$A$2:$AI$54,25,0)</f>
        <v>28</v>
      </c>
      <c r="Z73" s="50">
        <f>VLOOKUP(E73,'Feuerwaffen-Ressourcen'!$A$2:$AI$54,26,0)</f>
        <v>3</v>
      </c>
      <c r="AA73" s="50">
        <f>VLOOKUP(B73,'Feuerwaffen-Ressourcen'!$A$2:$AI$54,27,0)+VLOOKUP(D73,'Feuerwaffen-Ressourcen'!$A$2:$AI$54,27,0)+VLOOKUP(F73,'Feuerwaffen-Ressourcen'!$A$2:$AI$54,27,0)+VLOOKUP(I73,'Feuerwaffen-Ressourcen'!$A$2:$AI$54,27,0)</f>
        <v>-3</v>
      </c>
      <c r="AB73" s="50">
        <f>VLOOKUP(B73,'Feuerwaffen-Ressourcen'!$A$2:$AI$54,28,0)+VLOOKUP(C73,'Feuerwaffen-Ressourcen'!$A$2:$AI$54,28,0)+VLOOKUP(D73,'Feuerwaffen-Ressourcen'!$A$2:$AI$54,28,0)+VLOOKUP(E73,'Feuerwaffen-Ressourcen'!$A$2:$AI$54,28,0)+VLOOKUP(F73,'Feuerwaffen-Ressourcen'!$A$2:$AI$54,28,0)+VLOOKUP(G73,'Feuerwaffen-Ressourcen'!$A$2:$AI$54,28,0)+VLOOKUP(I73,'Feuerwaffen-Ressourcen'!$A$2:$AI$54,28,0)+VLOOKUP(J73,'Feuerwaffen-Ressourcen'!$A$2:$AI$54,28,0)</f>
        <v>90</v>
      </c>
      <c r="AC73" s="53">
        <f>VLOOKUP(I73,'Feuerwaffen-Ressourcen'!$A$2:$AI$54,31,0)*AD73+AE73</f>
        <v>310.59999999999991</v>
      </c>
      <c r="AD73" s="54">
        <f>VLOOKUP(B73,'Feuerwaffen-Ressourcen'!$A$2:$AI$54,30,0)+VLOOKUP(C73,'Feuerwaffen-Ressourcen'!$A$2:$AI$54,30,0)+VLOOKUP(D73,'Feuerwaffen-Ressourcen'!$A$2:$AI$54,30,0)+VLOOKUP(F73,'Feuerwaffen-Ressourcen'!$A$2:$AI$54,30,0)+VLOOKUP(G73,'Feuerwaffen-Ressourcen'!$A$2:$AI$54,30,0)+VLOOKUP(I73,'Feuerwaffen-Ressourcen'!$A$2:$AI$54,30,0)+VLOOKUP(J73,'Feuerwaffen-Ressourcen'!$A$2:$AI$54,30,0)</f>
        <v>9.6999999999999993</v>
      </c>
      <c r="AE73" s="53">
        <f>(VLOOKUP(C73,'Feuerwaffen-Ressourcen'!$A$2:$AI$54,32,0)+VLOOKUP(I73,'Feuerwaffen-Ressourcen'!$A$2:$AI$54,32,0))*(VLOOKUP(B73,'Feuerwaffen-Ressourcen'!$A$2:$AI$54,34,0)+VLOOKUP(C73,'Feuerwaffen-Ressourcen'!$A$2:$AI$54,34,0)+VLOOKUP(D73,'Feuerwaffen-Ressourcen'!$A$2:$AI$54,34,0)+VLOOKUP(E73,'Feuerwaffen-Ressourcen'!$A$2:$AI$54,34,0)+VLOOKUP(G73,'Feuerwaffen-Ressourcen'!$A$2:$AI$54,34,0))+VLOOKUP(B73,'Feuerwaffen-Ressourcen'!$A$2:$AI$54,35,0)+VLOOKUP(C73,'Feuerwaffen-Ressourcen'!$A$2:$AI$54,35,0)+VLOOKUP(D73,'Feuerwaffen-Ressourcen'!$A$2:$AI$54,35,0)</f>
        <v>271.7999999999999</v>
      </c>
      <c r="AF73" s="55">
        <f>VLOOKUP(AB73,'Feuerwaffen-Ressourcen'!$AO$3:$AP$9,2,1)</f>
        <v>5</v>
      </c>
      <c r="AG73" s="55">
        <v>0</v>
      </c>
      <c r="AH73" s="28" t="s">
        <v>1420</v>
      </c>
      <c r="AI73" s="28" t="s">
        <v>8657</v>
      </c>
      <c r="AJ73" s="56">
        <v>3</v>
      </c>
      <c r="AK73" s="56" t="s">
        <v>5497</v>
      </c>
      <c r="AL73" s="56" t="s">
        <v>5486</v>
      </c>
      <c r="AM73" s="56">
        <v>3</v>
      </c>
      <c r="AN73" s="56">
        <v>5</v>
      </c>
      <c r="AO73" s="56">
        <v>4</v>
      </c>
      <c r="AP73" s="56">
        <v>4</v>
      </c>
      <c r="AQ73" s="56">
        <v>10</v>
      </c>
      <c r="AR73" s="56">
        <v>10</v>
      </c>
      <c r="AS73" s="56">
        <v>5</v>
      </c>
      <c r="AT73" s="56">
        <v>6</v>
      </c>
    </row>
    <row r="74" spans="1:46">
      <c r="A74" s="49" t="s">
        <v>8898</v>
      </c>
      <c r="B74" s="49" t="s">
        <v>1204</v>
      </c>
      <c r="C74" s="49" t="s">
        <v>8921</v>
      </c>
      <c r="D74" s="49" t="s">
        <v>8935</v>
      </c>
      <c r="E74" s="49" t="s">
        <v>8258</v>
      </c>
      <c r="F74" s="49" t="s">
        <v>8939</v>
      </c>
      <c r="G74" s="49" t="s">
        <v>8932</v>
      </c>
      <c r="H74" s="49" t="s">
        <v>8271</v>
      </c>
      <c r="I74" s="49" t="s">
        <v>7341</v>
      </c>
      <c r="J74" s="49" t="s">
        <v>7320</v>
      </c>
      <c r="K74" s="51">
        <f>VLOOKUP(B74,'Feuerwaffen-Ressourcen'!$A$2:$AI$54,11,0)+VLOOKUP(C74,'Feuerwaffen-Ressourcen'!$A$2:$AI$54,11,0)+VLOOKUP(D74,'Feuerwaffen-Ressourcen'!$A$2:$AI$54,11,0)+VLOOKUP(E74,'Feuerwaffen-Ressourcen'!$A$2:$AI$54,11,0)+VLOOKUP(G74,'Feuerwaffen-Ressourcen'!$A$2:$AI$54,11,0)</f>
        <v>4.95</v>
      </c>
      <c r="L74" s="50">
        <f>VLOOKUP(B74,'Feuerwaffen-Ressourcen'!$A$2:$AI$54,12,0)+VLOOKUP(C74,'Feuerwaffen-Ressourcen'!$A$2:$AI$54,12,0)+VLOOKUP(D74,'Feuerwaffen-Ressourcen'!$A$2:$AI$54,12,0)+VLOOKUP(J74,'Feuerwaffen-Ressourcen'!$A$2:$AI$54,12,0)</f>
        <v>11</v>
      </c>
      <c r="M74" s="50" t="str">
        <f>VLOOKUP(VLOOKUP(B74,'Feuerwaffen-Ressourcen'!$A$2:$AI$54,13,0)+VLOOKUP(C74,'Feuerwaffen-Ressourcen'!$A$2:$AI$54,13,0)+VLOOKUP(D74,'Feuerwaffen-Ressourcen'!$A$2:$AI$54,13,0),'Feuerwaffen-Ressourcen'!$AJ$3:$AK$12,2,0)</f>
        <v>W10</v>
      </c>
      <c r="N74" s="50" t="str">
        <f>VLOOKUP(VLOOKUP(B74,'Feuerwaffen-Ressourcen'!$A$2:$AI$54,14,0)+VLOOKUP(C74,'Feuerwaffen-Ressourcen'!$A$2:$AI$54,14,0)+VLOOKUP(D74,'Feuerwaffen-Ressourcen'!$A$2:$AI$54,14,0),'Feuerwaffen-Ressourcen'!$AJ$3:$AK$12,2,0)</f>
        <v>W10</v>
      </c>
      <c r="O74" s="50">
        <f>VLOOKUP(B74,'Feuerwaffen-Ressourcen'!$A$2:$AI$54,15,0)+VLOOKUP(C74,'Feuerwaffen-Ressourcen'!$A$2:$AI$54,15,0)+VLOOKUP(D74,'Feuerwaffen-Ressourcen'!$A$2:$AI$54,15,0)</f>
        <v>2</v>
      </c>
      <c r="P74" s="50">
        <f>VLOOKUP(B74,'Feuerwaffen-Ressourcen'!$A$2:$AI$54,16,0)+VLOOKUP(C74,'Feuerwaffen-Ressourcen'!$A$2:$AI$54,16,0)+VLOOKUP(D74,'Feuerwaffen-Ressourcen'!$A$2:$AI$54,16,0)+VLOOKUP(E74,'Feuerwaffen-Ressourcen'!$A$2:$AI$54,16,0)</f>
        <v>13</v>
      </c>
      <c r="Q74" s="52">
        <f>VLOOKUP(B74,'Feuerwaffen-Ressourcen'!$A$2:$AI$54,17,0)+VLOOKUP(C74,'Feuerwaffen-Ressourcen'!$A$2:$AI$54,17,0)+VLOOKUP(D74,'Feuerwaffen-Ressourcen'!$A$2:$AI$54,17,0)+VLOOKUP(E74,'Feuerwaffen-Ressourcen'!$A$2:$AI$54,17,0)</f>
        <v>17</v>
      </c>
      <c r="R74" s="50">
        <f>VLOOKUP(B74,'Feuerwaffen-Ressourcen'!$A$2:$AI$54,18,0)+VLOOKUP(C74,'Feuerwaffen-Ressourcen'!$A$2:$AI$54,18,0)+VLOOKUP(D74,'Feuerwaffen-Ressourcen'!$A$2:$AI$54,18,0)+VLOOKUP(F74,'Feuerwaffen-Ressourcen'!$A$2:$AI$54,18,0)+VLOOKUP(G74,'Feuerwaffen-Ressourcen'!$A$2:$AI$54,18,0)+VLOOKUP(I74,'Feuerwaffen-Ressourcen'!$A$2:$AI$54,18,0)+VLOOKUP(J74,'Feuerwaffen-Ressourcen'!$A$2:$AI$54,18,0)</f>
        <v>7</v>
      </c>
      <c r="S74" s="50">
        <f>VLOOKUP(B74,'Feuerwaffen-Ressourcen'!$A$2:$AI$54,19,0)+VLOOKUP(C74,'Feuerwaffen-Ressourcen'!$A$2:$AI$54,19,0)+VLOOKUP(D74,'Feuerwaffen-Ressourcen'!$A$2:$AI$54,19,0)+VLOOKUP(F74,'Feuerwaffen-Ressourcen'!$A$2:$AI$54,19,0)+VLOOKUP(G74,'Feuerwaffen-Ressourcen'!$A$2:$AI$54,19,0)+VLOOKUP(I74,'Feuerwaffen-Ressourcen'!$A$2:$AI$54,19,0)+VLOOKUP(J74,'Feuerwaffen-Ressourcen'!$A$2:$AI$54,19,0)</f>
        <v>4</v>
      </c>
      <c r="T74" s="50">
        <f>VLOOKUP(B74,'Feuerwaffen-Ressourcen'!$A$2:$AI$54,20,0)+VLOOKUP(C74,'Feuerwaffen-Ressourcen'!$A$2:$AI$54,20,0)+VLOOKUP(D74,'Feuerwaffen-Ressourcen'!$A$2:$AI$54,20,0)+VLOOKUP(F74,'Feuerwaffen-Ressourcen'!$A$2:$AI$54,20,0)+VLOOKUP(G74,'Feuerwaffen-Ressourcen'!$A$2:$AI$54,20,0)+VLOOKUP(I74,'Feuerwaffen-Ressourcen'!$A$2:$AI$54,20,0)+VLOOKUP(J74,'Feuerwaffen-Ressourcen'!$A$2:$AI$54,20,0)</f>
        <v>0</v>
      </c>
      <c r="U74" s="50">
        <f>VLOOKUP(B74,'Feuerwaffen-Ressourcen'!$A$2:$AI$54,21,0)+VLOOKUP(C74,'Feuerwaffen-Ressourcen'!$A$2:$AI$54,21,0)+VLOOKUP(D74,'Feuerwaffen-Ressourcen'!$A$2:$AI$54,21,0)+VLOOKUP(F74,'Feuerwaffen-Ressourcen'!$A$2:$AI$54,21,0)+VLOOKUP(G74,'Feuerwaffen-Ressourcen'!$A$2:$AI$54,21,0)+VLOOKUP(I74,'Feuerwaffen-Ressourcen'!$A$2:$AI$54,21,0)+VLOOKUP(J74,'Feuerwaffen-Ressourcen'!$A$2:$AI$54,21,0)</f>
        <v>-6</v>
      </c>
      <c r="V74" s="50">
        <f>VLOOKUP(B74,'Feuerwaffen-Ressourcen'!$A$2:$AI$54,22,0)+VLOOKUP(C74,'Feuerwaffen-Ressourcen'!$A$2:$AI$54,22,0)+VLOOKUP(D74,'Feuerwaffen-Ressourcen'!$A$2:$AI$54,22,0)+VLOOKUP(F74,'Feuerwaffen-Ressourcen'!$A$2:$AI$54,22,0)+VLOOKUP(G74,'Feuerwaffen-Ressourcen'!$A$2:$AI$54,22,0)+VLOOKUP(I74,'Feuerwaffen-Ressourcen'!$A$2:$AI$54,22,0)+VLOOKUP(J74,'Feuerwaffen-Ressourcen'!$A$2:$AI$54,22,0)</f>
        <v>-13</v>
      </c>
      <c r="W74" s="50">
        <f>VLOOKUP(B74,'Feuerwaffen-Ressourcen'!$A$2:$AI$54,23,0)+VLOOKUP(C74,'Feuerwaffen-Ressourcen'!$A$2:$AI$54,23,0)+VLOOKUP(D74,'Feuerwaffen-Ressourcen'!$A$2:$AI$54,23,0)+VLOOKUP(F74,'Feuerwaffen-Ressourcen'!$A$2:$AI$54,23,0)+VLOOKUP(G74,'Feuerwaffen-Ressourcen'!$A$2:$AI$54,23,0)+VLOOKUP(I74,'Feuerwaffen-Ressourcen'!$A$2:$AI$54,23,0)+VLOOKUP(J74,'Feuerwaffen-Ressourcen'!$A$2:$AI$54,23,0)</f>
        <v>-20</v>
      </c>
      <c r="X74" s="50">
        <f>VLOOKUP(B74,'Feuerwaffen-Ressourcen'!$A$2:$AI$54,24,0)+VLOOKUP(C74,'Feuerwaffen-Ressourcen'!$A$2:$AI$54,24,0)+VLOOKUP(D74,'Feuerwaffen-Ressourcen'!$A$2:$AI$54,24,0)+VLOOKUP(G74,'Feuerwaffen-Ressourcen'!$A$2:$AI$54,24,0)</f>
        <v>80</v>
      </c>
      <c r="Y74" s="50">
        <f>VLOOKUP(D74,'Feuerwaffen-Ressourcen'!$A$2:$AI$54,25,0)+VLOOKUP(E74,'Feuerwaffen-Ressourcen'!$A$2:$AI$54,25,0)+VLOOKUP(F74,'Feuerwaffen-Ressourcen'!$A$2:$AI$54,25,0)</f>
        <v>33</v>
      </c>
      <c r="Z74" s="50">
        <f>VLOOKUP(E74,'Feuerwaffen-Ressourcen'!$A$2:$AI$54,26,0)</f>
        <v>3</v>
      </c>
      <c r="AA74" s="50">
        <f>VLOOKUP(B74,'Feuerwaffen-Ressourcen'!$A$2:$AI$54,27,0)+VLOOKUP(D74,'Feuerwaffen-Ressourcen'!$A$2:$AI$54,27,0)+VLOOKUP(F74,'Feuerwaffen-Ressourcen'!$A$2:$AI$54,27,0)+VLOOKUP(I74,'Feuerwaffen-Ressourcen'!$A$2:$AI$54,27,0)</f>
        <v>-2</v>
      </c>
      <c r="AB74" s="50">
        <f>VLOOKUP(B74,'Feuerwaffen-Ressourcen'!$A$2:$AI$54,28,0)+VLOOKUP(C74,'Feuerwaffen-Ressourcen'!$A$2:$AI$54,28,0)+VLOOKUP(D74,'Feuerwaffen-Ressourcen'!$A$2:$AI$54,28,0)+VLOOKUP(E74,'Feuerwaffen-Ressourcen'!$A$2:$AI$54,28,0)+VLOOKUP(F74,'Feuerwaffen-Ressourcen'!$A$2:$AI$54,28,0)+VLOOKUP(G74,'Feuerwaffen-Ressourcen'!$A$2:$AI$54,28,0)+VLOOKUP(I74,'Feuerwaffen-Ressourcen'!$A$2:$AI$54,28,0)+VLOOKUP(J74,'Feuerwaffen-Ressourcen'!$A$2:$AI$54,28,0)</f>
        <v>65</v>
      </c>
      <c r="AC74" s="53">
        <f>VLOOKUP(I74,'Feuerwaffen-Ressourcen'!$A$2:$AI$54,31,0)*AD74+AE74</f>
        <v>450.7</v>
      </c>
      <c r="AD74" s="54">
        <f>VLOOKUP(B74,'Feuerwaffen-Ressourcen'!$A$2:$AI$54,30,0)+VLOOKUP(C74,'Feuerwaffen-Ressourcen'!$A$2:$AI$54,30,0)+VLOOKUP(D74,'Feuerwaffen-Ressourcen'!$A$2:$AI$54,30,0)+VLOOKUP(F74,'Feuerwaffen-Ressourcen'!$A$2:$AI$54,30,0)+VLOOKUP(G74,'Feuerwaffen-Ressourcen'!$A$2:$AI$54,30,0)+VLOOKUP(I74,'Feuerwaffen-Ressourcen'!$A$2:$AI$54,30,0)+VLOOKUP(J74,'Feuerwaffen-Ressourcen'!$A$2:$AI$54,30,0)</f>
        <v>20.7</v>
      </c>
      <c r="AE74" s="53">
        <f>(VLOOKUP(C74,'Feuerwaffen-Ressourcen'!$A$2:$AI$54,32,0)+VLOOKUP(I74,'Feuerwaffen-Ressourcen'!$A$2:$AI$54,32,0))*(VLOOKUP(B74,'Feuerwaffen-Ressourcen'!$A$2:$AI$54,34,0)+VLOOKUP(C74,'Feuerwaffen-Ressourcen'!$A$2:$AI$54,34,0)+VLOOKUP(D74,'Feuerwaffen-Ressourcen'!$A$2:$AI$54,34,0)+VLOOKUP(E74,'Feuerwaffen-Ressourcen'!$A$2:$AI$54,34,0)+VLOOKUP(G74,'Feuerwaffen-Ressourcen'!$A$2:$AI$54,34,0))+VLOOKUP(B74,'Feuerwaffen-Ressourcen'!$A$2:$AI$54,35,0)+VLOOKUP(C74,'Feuerwaffen-Ressourcen'!$A$2:$AI$54,35,0)+VLOOKUP(D74,'Feuerwaffen-Ressourcen'!$A$2:$AI$54,35,0)</f>
        <v>367.9</v>
      </c>
      <c r="AF74" s="55">
        <f>VLOOKUP(AB74,'Feuerwaffen-Ressourcen'!$AO$3:$AP$9,2,1)</f>
        <v>7</v>
      </c>
      <c r="AG74" s="55">
        <v>0</v>
      </c>
      <c r="AH74" s="28" t="s">
        <v>1420</v>
      </c>
      <c r="AI74" s="28" t="s">
        <v>8657</v>
      </c>
      <c r="AJ74" s="56">
        <v>3</v>
      </c>
      <c r="AK74" s="56" t="s">
        <v>5497</v>
      </c>
      <c r="AL74" s="56" t="s">
        <v>5486</v>
      </c>
      <c r="AM74" s="56">
        <v>3</v>
      </c>
      <c r="AN74" s="56">
        <v>5</v>
      </c>
      <c r="AO74" s="56">
        <v>4</v>
      </c>
      <c r="AP74" s="56">
        <v>4</v>
      </c>
      <c r="AQ74" s="56">
        <v>11</v>
      </c>
      <c r="AR74" s="56">
        <v>11</v>
      </c>
      <c r="AS74" s="56">
        <v>5</v>
      </c>
      <c r="AT74" s="56">
        <v>6</v>
      </c>
    </row>
    <row r="75" spans="1:46">
      <c r="A75" s="49" t="s">
        <v>8899</v>
      </c>
      <c r="B75" s="49" t="s">
        <v>1204</v>
      </c>
      <c r="C75" s="49" t="s">
        <v>8921</v>
      </c>
      <c r="D75" s="49" t="s">
        <v>8912</v>
      </c>
      <c r="E75" s="49" t="s">
        <v>8258</v>
      </c>
      <c r="F75" s="49" t="s">
        <v>8936</v>
      </c>
      <c r="G75" s="49" t="s">
        <v>8932</v>
      </c>
      <c r="H75" s="49" t="s">
        <v>8271</v>
      </c>
      <c r="I75" s="49" t="s">
        <v>7341</v>
      </c>
      <c r="J75" s="49" t="s">
        <v>7320</v>
      </c>
      <c r="K75" s="51">
        <f>VLOOKUP(B75,'Feuerwaffen-Ressourcen'!$A$2:$AI$54,11,0)+VLOOKUP(C75,'Feuerwaffen-Ressourcen'!$A$2:$AI$54,11,0)+VLOOKUP(D75,'Feuerwaffen-Ressourcen'!$A$2:$AI$54,11,0)+VLOOKUP(E75,'Feuerwaffen-Ressourcen'!$A$2:$AI$54,11,0)+VLOOKUP(G75,'Feuerwaffen-Ressourcen'!$A$2:$AI$54,11,0)</f>
        <v>4.95</v>
      </c>
      <c r="L75" s="50">
        <f>VLOOKUP(B75,'Feuerwaffen-Ressourcen'!$A$2:$AI$54,12,0)+VLOOKUP(C75,'Feuerwaffen-Ressourcen'!$A$2:$AI$54,12,0)+VLOOKUP(D75,'Feuerwaffen-Ressourcen'!$A$2:$AI$54,12,0)+VLOOKUP(J75,'Feuerwaffen-Ressourcen'!$A$2:$AI$54,12,0)</f>
        <v>11</v>
      </c>
      <c r="M75" s="50" t="str">
        <f>VLOOKUP(VLOOKUP(B75,'Feuerwaffen-Ressourcen'!$A$2:$AI$54,13,0)+VLOOKUP(C75,'Feuerwaffen-Ressourcen'!$A$2:$AI$54,13,0)+VLOOKUP(D75,'Feuerwaffen-Ressourcen'!$A$2:$AI$54,13,0),'Feuerwaffen-Ressourcen'!$AJ$3:$AK$12,2,0)</f>
        <v>W10</v>
      </c>
      <c r="N75" s="50" t="str">
        <f>VLOOKUP(VLOOKUP(B75,'Feuerwaffen-Ressourcen'!$A$2:$AI$54,14,0)+VLOOKUP(C75,'Feuerwaffen-Ressourcen'!$A$2:$AI$54,14,0)+VLOOKUP(D75,'Feuerwaffen-Ressourcen'!$A$2:$AI$54,14,0),'Feuerwaffen-Ressourcen'!$AJ$3:$AK$12,2,0)</f>
        <v>W10</v>
      </c>
      <c r="O75" s="50">
        <f>VLOOKUP(B75,'Feuerwaffen-Ressourcen'!$A$2:$AI$54,15,0)+VLOOKUP(C75,'Feuerwaffen-Ressourcen'!$A$2:$AI$54,15,0)+VLOOKUP(D75,'Feuerwaffen-Ressourcen'!$A$2:$AI$54,15,0)</f>
        <v>1</v>
      </c>
      <c r="P75" s="50">
        <f>VLOOKUP(B75,'Feuerwaffen-Ressourcen'!$A$2:$AI$54,16,0)+VLOOKUP(C75,'Feuerwaffen-Ressourcen'!$A$2:$AI$54,16,0)+VLOOKUP(D75,'Feuerwaffen-Ressourcen'!$A$2:$AI$54,16,0)+VLOOKUP(E75,'Feuerwaffen-Ressourcen'!$A$2:$AI$54,16,0)</f>
        <v>13</v>
      </c>
      <c r="Q75" s="52">
        <f>VLOOKUP(B75,'Feuerwaffen-Ressourcen'!$A$2:$AI$54,17,0)+VLOOKUP(C75,'Feuerwaffen-Ressourcen'!$A$2:$AI$54,17,0)+VLOOKUP(D75,'Feuerwaffen-Ressourcen'!$A$2:$AI$54,17,0)+VLOOKUP(E75,'Feuerwaffen-Ressourcen'!$A$2:$AI$54,17,0)</f>
        <v>17</v>
      </c>
      <c r="R75" s="50">
        <f>VLOOKUP(B75,'Feuerwaffen-Ressourcen'!$A$2:$AI$54,18,0)+VLOOKUP(C75,'Feuerwaffen-Ressourcen'!$A$2:$AI$54,18,0)+VLOOKUP(D75,'Feuerwaffen-Ressourcen'!$A$2:$AI$54,18,0)+VLOOKUP(F75,'Feuerwaffen-Ressourcen'!$A$2:$AI$54,18,0)+VLOOKUP(G75,'Feuerwaffen-Ressourcen'!$A$2:$AI$54,18,0)+VLOOKUP(I75,'Feuerwaffen-Ressourcen'!$A$2:$AI$54,18,0)+VLOOKUP(J75,'Feuerwaffen-Ressourcen'!$A$2:$AI$54,18,0)</f>
        <v>7</v>
      </c>
      <c r="S75" s="50">
        <f>VLOOKUP(B75,'Feuerwaffen-Ressourcen'!$A$2:$AI$54,19,0)+VLOOKUP(C75,'Feuerwaffen-Ressourcen'!$A$2:$AI$54,19,0)+VLOOKUP(D75,'Feuerwaffen-Ressourcen'!$A$2:$AI$54,19,0)+VLOOKUP(F75,'Feuerwaffen-Ressourcen'!$A$2:$AI$54,19,0)+VLOOKUP(G75,'Feuerwaffen-Ressourcen'!$A$2:$AI$54,19,0)+VLOOKUP(I75,'Feuerwaffen-Ressourcen'!$A$2:$AI$54,19,0)+VLOOKUP(J75,'Feuerwaffen-Ressourcen'!$A$2:$AI$54,19,0)</f>
        <v>3</v>
      </c>
      <c r="T75" s="50">
        <f>VLOOKUP(B75,'Feuerwaffen-Ressourcen'!$A$2:$AI$54,20,0)+VLOOKUP(C75,'Feuerwaffen-Ressourcen'!$A$2:$AI$54,20,0)+VLOOKUP(D75,'Feuerwaffen-Ressourcen'!$A$2:$AI$54,20,0)+VLOOKUP(F75,'Feuerwaffen-Ressourcen'!$A$2:$AI$54,20,0)+VLOOKUP(G75,'Feuerwaffen-Ressourcen'!$A$2:$AI$54,20,0)+VLOOKUP(I75,'Feuerwaffen-Ressourcen'!$A$2:$AI$54,20,0)+VLOOKUP(J75,'Feuerwaffen-Ressourcen'!$A$2:$AI$54,20,0)</f>
        <v>-2</v>
      </c>
      <c r="U75" s="50">
        <f>VLOOKUP(B75,'Feuerwaffen-Ressourcen'!$A$2:$AI$54,21,0)+VLOOKUP(C75,'Feuerwaffen-Ressourcen'!$A$2:$AI$54,21,0)+VLOOKUP(D75,'Feuerwaffen-Ressourcen'!$A$2:$AI$54,21,0)+VLOOKUP(F75,'Feuerwaffen-Ressourcen'!$A$2:$AI$54,21,0)+VLOOKUP(G75,'Feuerwaffen-Ressourcen'!$A$2:$AI$54,21,0)+VLOOKUP(I75,'Feuerwaffen-Ressourcen'!$A$2:$AI$54,21,0)+VLOOKUP(J75,'Feuerwaffen-Ressourcen'!$A$2:$AI$54,21,0)</f>
        <v>-9</v>
      </c>
      <c r="V75" s="50">
        <f>VLOOKUP(B75,'Feuerwaffen-Ressourcen'!$A$2:$AI$54,22,0)+VLOOKUP(C75,'Feuerwaffen-Ressourcen'!$A$2:$AI$54,22,0)+VLOOKUP(D75,'Feuerwaffen-Ressourcen'!$A$2:$AI$54,22,0)+VLOOKUP(F75,'Feuerwaffen-Ressourcen'!$A$2:$AI$54,22,0)+VLOOKUP(G75,'Feuerwaffen-Ressourcen'!$A$2:$AI$54,22,0)+VLOOKUP(I75,'Feuerwaffen-Ressourcen'!$A$2:$AI$54,22,0)+VLOOKUP(J75,'Feuerwaffen-Ressourcen'!$A$2:$AI$54,22,0)</f>
        <v>-17</v>
      </c>
      <c r="W75" s="50">
        <f>VLOOKUP(B75,'Feuerwaffen-Ressourcen'!$A$2:$AI$54,23,0)+VLOOKUP(C75,'Feuerwaffen-Ressourcen'!$A$2:$AI$54,23,0)+VLOOKUP(D75,'Feuerwaffen-Ressourcen'!$A$2:$AI$54,23,0)+VLOOKUP(F75,'Feuerwaffen-Ressourcen'!$A$2:$AI$54,23,0)+VLOOKUP(G75,'Feuerwaffen-Ressourcen'!$A$2:$AI$54,23,0)+VLOOKUP(I75,'Feuerwaffen-Ressourcen'!$A$2:$AI$54,23,0)+VLOOKUP(J75,'Feuerwaffen-Ressourcen'!$A$2:$AI$54,23,0)</f>
        <v>-25</v>
      </c>
      <c r="X75" s="50">
        <f>VLOOKUP(B75,'Feuerwaffen-Ressourcen'!$A$2:$AI$54,24,0)+VLOOKUP(C75,'Feuerwaffen-Ressourcen'!$A$2:$AI$54,24,0)+VLOOKUP(D75,'Feuerwaffen-Ressourcen'!$A$2:$AI$54,24,0)+VLOOKUP(G75,'Feuerwaffen-Ressourcen'!$A$2:$AI$54,24,0)</f>
        <v>70</v>
      </c>
      <c r="Y75" s="50">
        <f>VLOOKUP(D75,'Feuerwaffen-Ressourcen'!$A$2:$AI$54,25,0)+VLOOKUP(E75,'Feuerwaffen-Ressourcen'!$A$2:$AI$54,25,0)+VLOOKUP(F75,'Feuerwaffen-Ressourcen'!$A$2:$AI$54,25,0)</f>
        <v>29</v>
      </c>
      <c r="Z75" s="50">
        <f>VLOOKUP(E75,'Feuerwaffen-Ressourcen'!$A$2:$AI$54,26,0)</f>
        <v>3</v>
      </c>
      <c r="AA75" s="50">
        <f>VLOOKUP(B75,'Feuerwaffen-Ressourcen'!$A$2:$AI$54,27,0)+VLOOKUP(D75,'Feuerwaffen-Ressourcen'!$A$2:$AI$54,27,0)+VLOOKUP(F75,'Feuerwaffen-Ressourcen'!$A$2:$AI$54,27,0)+VLOOKUP(I75,'Feuerwaffen-Ressourcen'!$A$2:$AI$54,27,0)</f>
        <v>-3</v>
      </c>
      <c r="AB75" s="50">
        <f>VLOOKUP(B75,'Feuerwaffen-Ressourcen'!$A$2:$AI$54,28,0)+VLOOKUP(C75,'Feuerwaffen-Ressourcen'!$A$2:$AI$54,28,0)+VLOOKUP(D75,'Feuerwaffen-Ressourcen'!$A$2:$AI$54,28,0)+VLOOKUP(E75,'Feuerwaffen-Ressourcen'!$A$2:$AI$54,28,0)+VLOOKUP(F75,'Feuerwaffen-Ressourcen'!$A$2:$AI$54,28,0)+VLOOKUP(G75,'Feuerwaffen-Ressourcen'!$A$2:$AI$54,28,0)+VLOOKUP(I75,'Feuerwaffen-Ressourcen'!$A$2:$AI$54,28,0)+VLOOKUP(J75,'Feuerwaffen-Ressourcen'!$A$2:$AI$54,28,0)</f>
        <v>100</v>
      </c>
      <c r="AC75" s="53">
        <f>VLOOKUP(I75,'Feuerwaffen-Ressourcen'!$A$2:$AI$54,31,0)*AD75+AE75</f>
        <v>406.7</v>
      </c>
      <c r="AD75" s="54">
        <f>VLOOKUP(B75,'Feuerwaffen-Ressourcen'!$A$2:$AI$54,30,0)+VLOOKUP(C75,'Feuerwaffen-Ressourcen'!$A$2:$AI$54,30,0)+VLOOKUP(D75,'Feuerwaffen-Ressourcen'!$A$2:$AI$54,30,0)+VLOOKUP(F75,'Feuerwaffen-Ressourcen'!$A$2:$AI$54,30,0)+VLOOKUP(G75,'Feuerwaffen-Ressourcen'!$A$2:$AI$54,30,0)+VLOOKUP(I75,'Feuerwaffen-Ressourcen'!$A$2:$AI$54,30,0)+VLOOKUP(J75,'Feuerwaffen-Ressourcen'!$A$2:$AI$54,30,0)</f>
        <v>9.6999999999999993</v>
      </c>
      <c r="AE75" s="53">
        <f>(VLOOKUP(C75,'Feuerwaffen-Ressourcen'!$A$2:$AI$54,32,0)+VLOOKUP(I75,'Feuerwaffen-Ressourcen'!$A$2:$AI$54,32,0))*(VLOOKUP(B75,'Feuerwaffen-Ressourcen'!$A$2:$AI$54,34,0)+VLOOKUP(C75,'Feuerwaffen-Ressourcen'!$A$2:$AI$54,34,0)+VLOOKUP(D75,'Feuerwaffen-Ressourcen'!$A$2:$AI$54,34,0)+VLOOKUP(E75,'Feuerwaffen-Ressourcen'!$A$2:$AI$54,34,0)+VLOOKUP(G75,'Feuerwaffen-Ressourcen'!$A$2:$AI$54,34,0))+VLOOKUP(B75,'Feuerwaffen-Ressourcen'!$A$2:$AI$54,35,0)+VLOOKUP(C75,'Feuerwaffen-Ressourcen'!$A$2:$AI$54,35,0)+VLOOKUP(D75,'Feuerwaffen-Ressourcen'!$A$2:$AI$54,35,0)</f>
        <v>367.9</v>
      </c>
      <c r="AF75" s="55">
        <f>VLOOKUP(AB75,'Feuerwaffen-Ressourcen'!$AO$3:$AP$9,2,1)</f>
        <v>5</v>
      </c>
      <c r="AG75" s="55">
        <v>0</v>
      </c>
      <c r="AH75" s="28" t="s">
        <v>1420</v>
      </c>
      <c r="AI75" s="28" t="s">
        <v>8657</v>
      </c>
      <c r="AJ75" s="56">
        <v>3</v>
      </c>
      <c r="AK75" s="56" t="s">
        <v>5497</v>
      </c>
      <c r="AL75" s="56" t="s">
        <v>5486</v>
      </c>
      <c r="AM75" s="56">
        <v>3</v>
      </c>
      <c r="AN75" s="56">
        <v>5</v>
      </c>
      <c r="AO75" s="56">
        <v>4</v>
      </c>
      <c r="AP75" s="56">
        <v>4</v>
      </c>
      <c r="AQ75" s="56">
        <v>11</v>
      </c>
      <c r="AR75" s="56">
        <v>11</v>
      </c>
      <c r="AS75" s="56">
        <v>5</v>
      </c>
      <c r="AT75" s="56">
        <v>6</v>
      </c>
    </row>
    <row r="76" spans="1:46">
      <c r="A76" s="49" t="s">
        <v>8900</v>
      </c>
      <c r="B76" s="49" t="s">
        <v>1204</v>
      </c>
      <c r="C76" s="49" t="s">
        <v>8921</v>
      </c>
      <c r="D76" s="49" t="s">
        <v>8819</v>
      </c>
      <c r="E76" s="49" t="s">
        <v>8258</v>
      </c>
      <c r="F76" s="49" t="s">
        <v>8928</v>
      </c>
      <c r="G76" s="49" t="s">
        <v>8923</v>
      </c>
      <c r="H76" s="49" t="s">
        <v>8271</v>
      </c>
      <c r="I76" s="49" t="s">
        <v>7341</v>
      </c>
      <c r="J76" s="49" t="s">
        <v>7320</v>
      </c>
      <c r="K76" s="51">
        <f>VLOOKUP(B76,'Feuerwaffen-Ressourcen'!$A$2:$AI$54,11,0)+VLOOKUP(C76,'Feuerwaffen-Ressourcen'!$A$2:$AI$54,11,0)+VLOOKUP(D76,'Feuerwaffen-Ressourcen'!$A$2:$AI$54,11,0)+VLOOKUP(E76,'Feuerwaffen-Ressourcen'!$A$2:$AI$54,11,0)+VLOOKUP(G76,'Feuerwaffen-Ressourcen'!$A$2:$AI$54,11,0)</f>
        <v>7.8</v>
      </c>
      <c r="L76" s="50">
        <f>VLOOKUP(B76,'Feuerwaffen-Ressourcen'!$A$2:$AI$54,12,0)+VLOOKUP(C76,'Feuerwaffen-Ressourcen'!$A$2:$AI$54,12,0)+VLOOKUP(D76,'Feuerwaffen-Ressourcen'!$A$2:$AI$54,12,0)+VLOOKUP(J76,'Feuerwaffen-Ressourcen'!$A$2:$AI$54,12,0)</f>
        <v>15</v>
      </c>
      <c r="M76" s="50" t="str">
        <f>VLOOKUP(VLOOKUP(B76,'Feuerwaffen-Ressourcen'!$A$2:$AI$54,13,0)+VLOOKUP(C76,'Feuerwaffen-Ressourcen'!$A$2:$AI$54,13,0)+VLOOKUP(D76,'Feuerwaffen-Ressourcen'!$A$2:$AI$54,13,0),'Feuerwaffen-Ressourcen'!$AJ$3:$AK$12,2,0)</f>
        <v>W15</v>
      </c>
      <c r="N76" s="50" t="str">
        <f>VLOOKUP(VLOOKUP(B76,'Feuerwaffen-Ressourcen'!$A$2:$AI$54,14,0)+VLOOKUP(C76,'Feuerwaffen-Ressourcen'!$A$2:$AI$54,14,0)+VLOOKUP(D76,'Feuerwaffen-Ressourcen'!$A$2:$AI$54,14,0),'Feuerwaffen-Ressourcen'!$AJ$3:$AK$12,2,0)</f>
        <v>W12</v>
      </c>
      <c r="O76" s="50">
        <f>VLOOKUP(B76,'Feuerwaffen-Ressourcen'!$A$2:$AI$54,15,0)+VLOOKUP(C76,'Feuerwaffen-Ressourcen'!$A$2:$AI$54,15,0)+VLOOKUP(D76,'Feuerwaffen-Ressourcen'!$A$2:$AI$54,15,0)</f>
        <v>2</v>
      </c>
      <c r="P76" s="50">
        <f>VLOOKUP(B76,'Feuerwaffen-Ressourcen'!$A$2:$AI$54,16,0)+VLOOKUP(C76,'Feuerwaffen-Ressourcen'!$A$2:$AI$54,16,0)+VLOOKUP(D76,'Feuerwaffen-Ressourcen'!$A$2:$AI$54,16,0)+VLOOKUP(E76,'Feuerwaffen-Ressourcen'!$A$2:$AI$54,16,0)</f>
        <v>16</v>
      </c>
      <c r="Q76" s="52">
        <f>VLOOKUP(B76,'Feuerwaffen-Ressourcen'!$A$2:$AI$54,17,0)+VLOOKUP(C76,'Feuerwaffen-Ressourcen'!$A$2:$AI$54,17,0)+VLOOKUP(D76,'Feuerwaffen-Ressourcen'!$A$2:$AI$54,17,0)+VLOOKUP(E76,'Feuerwaffen-Ressourcen'!$A$2:$AI$54,17,0)</f>
        <v>19</v>
      </c>
      <c r="R76" s="50">
        <f>VLOOKUP(B76,'Feuerwaffen-Ressourcen'!$A$2:$AI$54,18,0)+VLOOKUP(C76,'Feuerwaffen-Ressourcen'!$A$2:$AI$54,18,0)+VLOOKUP(D76,'Feuerwaffen-Ressourcen'!$A$2:$AI$54,18,0)+VLOOKUP(F76,'Feuerwaffen-Ressourcen'!$A$2:$AI$54,18,0)+VLOOKUP(G76,'Feuerwaffen-Ressourcen'!$A$2:$AI$54,18,0)+VLOOKUP(I76,'Feuerwaffen-Ressourcen'!$A$2:$AI$54,18,0)+VLOOKUP(J76,'Feuerwaffen-Ressourcen'!$A$2:$AI$54,18,0)</f>
        <v>0</v>
      </c>
      <c r="S76" s="50">
        <f>VLOOKUP(B76,'Feuerwaffen-Ressourcen'!$A$2:$AI$54,19,0)+VLOOKUP(C76,'Feuerwaffen-Ressourcen'!$A$2:$AI$54,19,0)+VLOOKUP(D76,'Feuerwaffen-Ressourcen'!$A$2:$AI$54,19,0)+VLOOKUP(F76,'Feuerwaffen-Ressourcen'!$A$2:$AI$54,19,0)+VLOOKUP(G76,'Feuerwaffen-Ressourcen'!$A$2:$AI$54,19,0)+VLOOKUP(I76,'Feuerwaffen-Ressourcen'!$A$2:$AI$54,19,0)+VLOOKUP(J76,'Feuerwaffen-Ressourcen'!$A$2:$AI$54,19,0)</f>
        <v>-3</v>
      </c>
      <c r="T76" s="50">
        <f>VLOOKUP(B76,'Feuerwaffen-Ressourcen'!$A$2:$AI$54,20,0)+VLOOKUP(C76,'Feuerwaffen-Ressourcen'!$A$2:$AI$54,20,0)+VLOOKUP(D76,'Feuerwaffen-Ressourcen'!$A$2:$AI$54,20,0)+VLOOKUP(F76,'Feuerwaffen-Ressourcen'!$A$2:$AI$54,20,0)+VLOOKUP(G76,'Feuerwaffen-Ressourcen'!$A$2:$AI$54,20,0)+VLOOKUP(I76,'Feuerwaffen-Ressourcen'!$A$2:$AI$54,20,0)+VLOOKUP(J76,'Feuerwaffen-Ressourcen'!$A$2:$AI$54,20,0)</f>
        <v>-6</v>
      </c>
      <c r="U76" s="50">
        <f>VLOOKUP(B76,'Feuerwaffen-Ressourcen'!$A$2:$AI$54,21,0)+VLOOKUP(C76,'Feuerwaffen-Ressourcen'!$A$2:$AI$54,21,0)+VLOOKUP(D76,'Feuerwaffen-Ressourcen'!$A$2:$AI$54,21,0)+VLOOKUP(F76,'Feuerwaffen-Ressourcen'!$A$2:$AI$54,21,0)+VLOOKUP(G76,'Feuerwaffen-Ressourcen'!$A$2:$AI$54,21,0)+VLOOKUP(I76,'Feuerwaffen-Ressourcen'!$A$2:$AI$54,21,0)+VLOOKUP(J76,'Feuerwaffen-Ressourcen'!$A$2:$AI$54,21,0)</f>
        <v>-12</v>
      </c>
      <c r="V76" s="50">
        <f>VLOOKUP(B76,'Feuerwaffen-Ressourcen'!$A$2:$AI$54,22,0)+VLOOKUP(C76,'Feuerwaffen-Ressourcen'!$A$2:$AI$54,22,0)+VLOOKUP(D76,'Feuerwaffen-Ressourcen'!$A$2:$AI$54,22,0)+VLOOKUP(F76,'Feuerwaffen-Ressourcen'!$A$2:$AI$54,22,0)+VLOOKUP(G76,'Feuerwaffen-Ressourcen'!$A$2:$AI$54,22,0)+VLOOKUP(I76,'Feuerwaffen-Ressourcen'!$A$2:$AI$54,22,0)+VLOOKUP(J76,'Feuerwaffen-Ressourcen'!$A$2:$AI$54,22,0)</f>
        <v>-19</v>
      </c>
      <c r="W76" s="50">
        <f>VLOOKUP(B76,'Feuerwaffen-Ressourcen'!$A$2:$AI$54,23,0)+VLOOKUP(C76,'Feuerwaffen-Ressourcen'!$A$2:$AI$54,23,0)+VLOOKUP(D76,'Feuerwaffen-Ressourcen'!$A$2:$AI$54,23,0)+VLOOKUP(F76,'Feuerwaffen-Ressourcen'!$A$2:$AI$54,23,0)+VLOOKUP(G76,'Feuerwaffen-Ressourcen'!$A$2:$AI$54,23,0)+VLOOKUP(I76,'Feuerwaffen-Ressourcen'!$A$2:$AI$54,23,0)+VLOOKUP(J76,'Feuerwaffen-Ressourcen'!$A$2:$AI$54,23,0)</f>
        <v>-27</v>
      </c>
      <c r="X76" s="50">
        <f>VLOOKUP(B76,'Feuerwaffen-Ressourcen'!$A$2:$AI$54,24,0)+VLOOKUP(C76,'Feuerwaffen-Ressourcen'!$A$2:$AI$54,24,0)+VLOOKUP(D76,'Feuerwaffen-Ressourcen'!$A$2:$AI$54,24,0)+VLOOKUP(G76,'Feuerwaffen-Ressourcen'!$A$2:$AI$54,24,0)</f>
        <v>60</v>
      </c>
      <c r="Y76" s="50">
        <f>VLOOKUP(D76,'Feuerwaffen-Ressourcen'!$A$2:$AI$54,25,0)+VLOOKUP(E76,'Feuerwaffen-Ressourcen'!$A$2:$AI$54,25,0)+VLOOKUP(F76,'Feuerwaffen-Ressourcen'!$A$2:$AI$54,25,0)</f>
        <v>38</v>
      </c>
      <c r="Z76" s="50">
        <f>VLOOKUP(E76,'Feuerwaffen-Ressourcen'!$A$2:$AI$54,26,0)</f>
        <v>3</v>
      </c>
      <c r="AA76" s="50">
        <f>VLOOKUP(B76,'Feuerwaffen-Ressourcen'!$A$2:$AI$54,27,0)+VLOOKUP(D76,'Feuerwaffen-Ressourcen'!$A$2:$AI$54,27,0)+VLOOKUP(F76,'Feuerwaffen-Ressourcen'!$A$2:$AI$54,27,0)+VLOOKUP(I76,'Feuerwaffen-Ressourcen'!$A$2:$AI$54,27,0)</f>
        <v>-2</v>
      </c>
      <c r="AB76" s="50">
        <f>VLOOKUP(B76,'Feuerwaffen-Ressourcen'!$A$2:$AI$54,28,0)+VLOOKUP(C76,'Feuerwaffen-Ressourcen'!$A$2:$AI$54,28,0)+VLOOKUP(D76,'Feuerwaffen-Ressourcen'!$A$2:$AI$54,28,0)+VLOOKUP(E76,'Feuerwaffen-Ressourcen'!$A$2:$AI$54,28,0)+VLOOKUP(F76,'Feuerwaffen-Ressourcen'!$A$2:$AI$54,28,0)+VLOOKUP(G76,'Feuerwaffen-Ressourcen'!$A$2:$AI$54,28,0)+VLOOKUP(I76,'Feuerwaffen-Ressourcen'!$A$2:$AI$54,28,0)+VLOOKUP(J76,'Feuerwaffen-Ressourcen'!$A$2:$AI$54,28,0)</f>
        <v>95</v>
      </c>
      <c r="AC76" s="53">
        <f>VLOOKUP(I76,'Feuerwaffen-Ressourcen'!$A$2:$AI$54,31,0)*AD76+AE76</f>
        <v>750.69999999999993</v>
      </c>
      <c r="AD76" s="54">
        <f>VLOOKUP(B76,'Feuerwaffen-Ressourcen'!$A$2:$AI$54,30,0)+VLOOKUP(C76,'Feuerwaffen-Ressourcen'!$A$2:$AI$54,30,0)+VLOOKUP(D76,'Feuerwaffen-Ressourcen'!$A$2:$AI$54,30,0)+VLOOKUP(F76,'Feuerwaffen-Ressourcen'!$A$2:$AI$54,30,0)+VLOOKUP(G76,'Feuerwaffen-Ressourcen'!$A$2:$AI$54,30,0)+VLOOKUP(I76,'Feuerwaffen-Ressourcen'!$A$2:$AI$54,30,0)+VLOOKUP(J76,'Feuerwaffen-Ressourcen'!$A$2:$AI$54,30,0)</f>
        <v>10.199999999999999</v>
      </c>
      <c r="AE76" s="53">
        <f>(VLOOKUP(C76,'Feuerwaffen-Ressourcen'!$A$2:$AI$54,32,0)+VLOOKUP(I76,'Feuerwaffen-Ressourcen'!$A$2:$AI$54,32,0))*(VLOOKUP(B76,'Feuerwaffen-Ressourcen'!$A$2:$AI$54,34,0)+VLOOKUP(C76,'Feuerwaffen-Ressourcen'!$A$2:$AI$54,34,0)+VLOOKUP(D76,'Feuerwaffen-Ressourcen'!$A$2:$AI$54,34,0)+VLOOKUP(E76,'Feuerwaffen-Ressourcen'!$A$2:$AI$54,34,0)+VLOOKUP(G76,'Feuerwaffen-Ressourcen'!$A$2:$AI$54,34,0))+VLOOKUP(B76,'Feuerwaffen-Ressourcen'!$A$2:$AI$54,35,0)+VLOOKUP(C76,'Feuerwaffen-Ressourcen'!$A$2:$AI$54,35,0)+VLOOKUP(D76,'Feuerwaffen-Ressourcen'!$A$2:$AI$54,35,0)</f>
        <v>709.9</v>
      </c>
      <c r="AF76" s="55">
        <f>VLOOKUP(AB76,'Feuerwaffen-Ressourcen'!$AO$3:$AP$9,2,1)</f>
        <v>5</v>
      </c>
      <c r="AG76" s="55">
        <v>0</v>
      </c>
      <c r="AH76" s="28" t="s">
        <v>1420</v>
      </c>
      <c r="AI76" s="28" t="s">
        <v>8657</v>
      </c>
      <c r="AJ76" s="56">
        <v>3</v>
      </c>
      <c r="AK76" s="56" t="s">
        <v>5497</v>
      </c>
      <c r="AL76" s="56" t="s">
        <v>5486</v>
      </c>
      <c r="AM76" s="56">
        <v>3</v>
      </c>
      <c r="AN76" s="56">
        <v>5</v>
      </c>
      <c r="AO76" s="56">
        <v>4</v>
      </c>
      <c r="AP76" s="56">
        <v>4</v>
      </c>
      <c r="AQ76" s="56">
        <v>15</v>
      </c>
      <c r="AR76" s="56">
        <v>15</v>
      </c>
      <c r="AS76" s="56">
        <v>5</v>
      </c>
      <c r="AT76" s="56">
        <v>6</v>
      </c>
    </row>
    <row r="77" spans="1:46">
      <c r="A77" s="49" t="s">
        <v>8901</v>
      </c>
      <c r="B77" s="49" t="s">
        <v>1204</v>
      </c>
      <c r="C77" s="49" t="s">
        <v>8921</v>
      </c>
      <c r="D77" s="49" t="s">
        <v>8929</v>
      </c>
      <c r="E77" s="49" t="s">
        <v>8262</v>
      </c>
      <c r="F77" s="49" t="s">
        <v>8930</v>
      </c>
      <c r="G77" s="49" t="s">
        <v>8932</v>
      </c>
      <c r="H77" s="49" t="s">
        <v>8827</v>
      </c>
      <c r="I77" s="49" t="s">
        <v>7341</v>
      </c>
      <c r="J77" s="49" t="s">
        <v>7320</v>
      </c>
      <c r="K77" s="51">
        <f>VLOOKUP(B77,'Feuerwaffen-Ressourcen'!$A$2:$AI$54,11,0)+VLOOKUP(C77,'Feuerwaffen-Ressourcen'!$A$2:$AI$54,11,0)+VLOOKUP(D77,'Feuerwaffen-Ressourcen'!$A$2:$AI$54,11,0)+VLOOKUP(E77,'Feuerwaffen-Ressourcen'!$A$2:$AI$54,11,0)+VLOOKUP(G77,'Feuerwaffen-Ressourcen'!$A$2:$AI$54,11,0)</f>
        <v>4.1500000000000004</v>
      </c>
      <c r="L77" s="50">
        <f>VLOOKUP(B77,'Feuerwaffen-Ressourcen'!$A$2:$AI$54,12,0)+VLOOKUP(C77,'Feuerwaffen-Ressourcen'!$A$2:$AI$54,12,0)+VLOOKUP(D77,'Feuerwaffen-Ressourcen'!$A$2:$AI$54,12,0)+VLOOKUP(J77,'Feuerwaffen-Ressourcen'!$A$2:$AI$54,12,0)</f>
        <v>10</v>
      </c>
      <c r="M77" s="50" t="str">
        <f>VLOOKUP(VLOOKUP(B77,'Feuerwaffen-Ressourcen'!$A$2:$AI$54,13,0)+VLOOKUP(C77,'Feuerwaffen-Ressourcen'!$A$2:$AI$54,13,0)+VLOOKUP(D77,'Feuerwaffen-Ressourcen'!$A$2:$AI$54,13,0),'Feuerwaffen-Ressourcen'!$AJ$3:$AK$12,2,0)</f>
        <v>W10</v>
      </c>
      <c r="N77" s="50" t="str">
        <f>VLOOKUP(VLOOKUP(B77,'Feuerwaffen-Ressourcen'!$A$2:$AI$54,14,0)+VLOOKUP(C77,'Feuerwaffen-Ressourcen'!$A$2:$AI$54,14,0)+VLOOKUP(D77,'Feuerwaffen-Ressourcen'!$A$2:$AI$54,14,0),'Feuerwaffen-Ressourcen'!$AJ$3:$AK$12,2,0)</f>
        <v>W10</v>
      </c>
      <c r="O77" s="50">
        <f>VLOOKUP(B77,'Feuerwaffen-Ressourcen'!$A$2:$AI$54,15,0)+VLOOKUP(C77,'Feuerwaffen-Ressourcen'!$A$2:$AI$54,15,0)+VLOOKUP(D77,'Feuerwaffen-Ressourcen'!$A$2:$AI$54,15,0)</f>
        <v>1</v>
      </c>
      <c r="P77" s="50">
        <f>VLOOKUP(B77,'Feuerwaffen-Ressourcen'!$A$2:$AI$54,16,0)+VLOOKUP(C77,'Feuerwaffen-Ressourcen'!$A$2:$AI$54,16,0)+VLOOKUP(D77,'Feuerwaffen-Ressourcen'!$A$2:$AI$54,16,0)+VLOOKUP(E77,'Feuerwaffen-Ressourcen'!$A$2:$AI$54,16,0)</f>
        <v>13</v>
      </c>
      <c r="Q77" s="52">
        <f>VLOOKUP(B77,'Feuerwaffen-Ressourcen'!$A$2:$AI$54,17,0)+VLOOKUP(C77,'Feuerwaffen-Ressourcen'!$A$2:$AI$54,17,0)+VLOOKUP(D77,'Feuerwaffen-Ressourcen'!$A$2:$AI$54,17,0)+VLOOKUP(E77,'Feuerwaffen-Ressourcen'!$A$2:$AI$54,17,0)</f>
        <v>17</v>
      </c>
      <c r="R77" s="50">
        <f>VLOOKUP(B77,'Feuerwaffen-Ressourcen'!$A$2:$AI$54,18,0)+VLOOKUP(C77,'Feuerwaffen-Ressourcen'!$A$2:$AI$54,18,0)+VLOOKUP(D77,'Feuerwaffen-Ressourcen'!$A$2:$AI$54,18,0)+VLOOKUP(F77,'Feuerwaffen-Ressourcen'!$A$2:$AI$54,18,0)+VLOOKUP(G77,'Feuerwaffen-Ressourcen'!$A$2:$AI$54,18,0)+VLOOKUP(I77,'Feuerwaffen-Ressourcen'!$A$2:$AI$54,18,0)+VLOOKUP(J77,'Feuerwaffen-Ressourcen'!$A$2:$AI$54,18,0)</f>
        <v>10</v>
      </c>
      <c r="S77" s="50">
        <f>VLOOKUP(B77,'Feuerwaffen-Ressourcen'!$A$2:$AI$54,19,0)+VLOOKUP(C77,'Feuerwaffen-Ressourcen'!$A$2:$AI$54,19,0)+VLOOKUP(D77,'Feuerwaffen-Ressourcen'!$A$2:$AI$54,19,0)+VLOOKUP(F77,'Feuerwaffen-Ressourcen'!$A$2:$AI$54,19,0)+VLOOKUP(G77,'Feuerwaffen-Ressourcen'!$A$2:$AI$54,19,0)+VLOOKUP(I77,'Feuerwaffen-Ressourcen'!$A$2:$AI$54,19,0)+VLOOKUP(J77,'Feuerwaffen-Ressourcen'!$A$2:$AI$54,19,0)</f>
        <v>4</v>
      </c>
      <c r="T77" s="50">
        <f>VLOOKUP(B77,'Feuerwaffen-Ressourcen'!$A$2:$AI$54,20,0)+VLOOKUP(C77,'Feuerwaffen-Ressourcen'!$A$2:$AI$54,20,0)+VLOOKUP(D77,'Feuerwaffen-Ressourcen'!$A$2:$AI$54,20,0)+VLOOKUP(F77,'Feuerwaffen-Ressourcen'!$A$2:$AI$54,20,0)+VLOOKUP(G77,'Feuerwaffen-Ressourcen'!$A$2:$AI$54,20,0)+VLOOKUP(I77,'Feuerwaffen-Ressourcen'!$A$2:$AI$54,20,0)+VLOOKUP(J77,'Feuerwaffen-Ressourcen'!$A$2:$AI$54,20,0)</f>
        <v>-3</v>
      </c>
      <c r="U77" s="50">
        <f>VLOOKUP(B77,'Feuerwaffen-Ressourcen'!$A$2:$AI$54,21,0)+VLOOKUP(C77,'Feuerwaffen-Ressourcen'!$A$2:$AI$54,21,0)+VLOOKUP(D77,'Feuerwaffen-Ressourcen'!$A$2:$AI$54,21,0)+VLOOKUP(F77,'Feuerwaffen-Ressourcen'!$A$2:$AI$54,21,0)+VLOOKUP(G77,'Feuerwaffen-Ressourcen'!$A$2:$AI$54,21,0)+VLOOKUP(I77,'Feuerwaffen-Ressourcen'!$A$2:$AI$54,21,0)+VLOOKUP(J77,'Feuerwaffen-Ressourcen'!$A$2:$AI$54,21,0)</f>
        <v>-12</v>
      </c>
      <c r="V77" s="50">
        <f>VLOOKUP(B77,'Feuerwaffen-Ressourcen'!$A$2:$AI$54,22,0)+VLOOKUP(C77,'Feuerwaffen-Ressourcen'!$A$2:$AI$54,22,0)+VLOOKUP(D77,'Feuerwaffen-Ressourcen'!$A$2:$AI$54,22,0)+VLOOKUP(F77,'Feuerwaffen-Ressourcen'!$A$2:$AI$54,22,0)+VLOOKUP(G77,'Feuerwaffen-Ressourcen'!$A$2:$AI$54,22,0)+VLOOKUP(I77,'Feuerwaffen-Ressourcen'!$A$2:$AI$54,22,0)+VLOOKUP(J77,'Feuerwaffen-Ressourcen'!$A$2:$AI$54,22,0)</f>
        <v>-22</v>
      </c>
      <c r="W77" s="50">
        <f>VLOOKUP(B77,'Feuerwaffen-Ressourcen'!$A$2:$AI$54,23,0)+VLOOKUP(C77,'Feuerwaffen-Ressourcen'!$A$2:$AI$54,23,0)+VLOOKUP(D77,'Feuerwaffen-Ressourcen'!$A$2:$AI$54,23,0)+VLOOKUP(F77,'Feuerwaffen-Ressourcen'!$A$2:$AI$54,23,0)+VLOOKUP(G77,'Feuerwaffen-Ressourcen'!$A$2:$AI$54,23,0)+VLOOKUP(I77,'Feuerwaffen-Ressourcen'!$A$2:$AI$54,23,0)+VLOOKUP(J77,'Feuerwaffen-Ressourcen'!$A$2:$AI$54,23,0)</f>
        <v>-32</v>
      </c>
      <c r="X77" s="50">
        <f>VLOOKUP(B77,'Feuerwaffen-Ressourcen'!$A$2:$AI$54,24,0)+VLOOKUP(C77,'Feuerwaffen-Ressourcen'!$A$2:$AI$54,24,0)+VLOOKUP(D77,'Feuerwaffen-Ressourcen'!$A$2:$AI$54,24,0)+VLOOKUP(G77,'Feuerwaffen-Ressourcen'!$A$2:$AI$54,24,0)</f>
        <v>60</v>
      </c>
      <c r="Y77" s="50">
        <f>VLOOKUP(D77,'Feuerwaffen-Ressourcen'!$A$2:$AI$54,25,0)+VLOOKUP(E77,'Feuerwaffen-Ressourcen'!$A$2:$AI$54,25,0)+VLOOKUP(F77,'Feuerwaffen-Ressourcen'!$A$2:$AI$54,25,0)</f>
        <v>11</v>
      </c>
      <c r="Z77" s="50">
        <f>VLOOKUP(E77,'Feuerwaffen-Ressourcen'!$A$2:$AI$54,26,0)</f>
        <v>6</v>
      </c>
      <c r="AA77" s="50">
        <f>VLOOKUP(B77,'Feuerwaffen-Ressourcen'!$A$2:$AI$54,27,0)+VLOOKUP(D77,'Feuerwaffen-Ressourcen'!$A$2:$AI$54,27,0)+VLOOKUP(F77,'Feuerwaffen-Ressourcen'!$A$2:$AI$54,27,0)+VLOOKUP(I77,'Feuerwaffen-Ressourcen'!$A$2:$AI$54,27,0)</f>
        <v>-4</v>
      </c>
      <c r="AB77" s="50">
        <f>VLOOKUP(B77,'Feuerwaffen-Ressourcen'!$A$2:$AI$54,28,0)+VLOOKUP(C77,'Feuerwaffen-Ressourcen'!$A$2:$AI$54,28,0)+VLOOKUP(D77,'Feuerwaffen-Ressourcen'!$A$2:$AI$54,28,0)+VLOOKUP(E77,'Feuerwaffen-Ressourcen'!$A$2:$AI$54,28,0)+VLOOKUP(F77,'Feuerwaffen-Ressourcen'!$A$2:$AI$54,28,0)+VLOOKUP(G77,'Feuerwaffen-Ressourcen'!$A$2:$AI$54,28,0)+VLOOKUP(I77,'Feuerwaffen-Ressourcen'!$A$2:$AI$54,28,0)+VLOOKUP(J77,'Feuerwaffen-Ressourcen'!$A$2:$AI$54,28,0)</f>
        <v>70</v>
      </c>
      <c r="AC77" s="53">
        <f>VLOOKUP(I77,'Feuerwaffen-Ressourcen'!$A$2:$AI$54,31,0)*AD77+AE77</f>
        <v>326.59999999999991</v>
      </c>
      <c r="AD77" s="54">
        <f>VLOOKUP(B77,'Feuerwaffen-Ressourcen'!$A$2:$AI$54,30,0)+VLOOKUP(C77,'Feuerwaffen-Ressourcen'!$A$2:$AI$54,30,0)+VLOOKUP(D77,'Feuerwaffen-Ressourcen'!$A$2:$AI$54,30,0)+VLOOKUP(F77,'Feuerwaffen-Ressourcen'!$A$2:$AI$54,30,0)+VLOOKUP(G77,'Feuerwaffen-Ressourcen'!$A$2:$AI$54,30,0)+VLOOKUP(I77,'Feuerwaffen-Ressourcen'!$A$2:$AI$54,30,0)+VLOOKUP(J77,'Feuerwaffen-Ressourcen'!$A$2:$AI$54,30,0)</f>
        <v>10.7</v>
      </c>
      <c r="AE77" s="53">
        <f>(VLOOKUP(C77,'Feuerwaffen-Ressourcen'!$A$2:$AI$54,32,0)+VLOOKUP(I77,'Feuerwaffen-Ressourcen'!$A$2:$AI$54,32,0))*(VLOOKUP(B77,'Feuerwaffen-Ressourcen'!$A$2:$AI$54,34,0)+VLOOKUP(C77,'Feuerwaffen-Ressourcen'!$A$2:$AI$54,34,0)+VLOOKUP(D77,'Feuerwaffen-Ressourcen'!$A$2:$AI$54,34,0)+VLOOKUP(E77,'Feuerwaffen-Ressourcen'!$A$2:$AI$54,34,0)+VLOOKUP(G77,'Feuerwaffen-Ressourcen'!$A$2:$AI$54,34,0))+VLOOKUP(B77,'Feuerwaffen-Ressourcen'!$A$2:$AI$54,35,0)+VLOOKUP(C77,'Feuerwaffen-Ressourcen'!$A$2:$AI$54,35,0)+VLOOKUP(D77,'Feuerwaffen-Ressourcen'!$A$2:$AI$54,35,0)</f>
        <v>283.7999999999999</v>
      </c>
      <c r="AF77" s="55">
        <f>VLOOKUP(AB77,'Feuerwaffen-Ressourcen'!$AO$3:$AP$9,2,1)</f>
        <v>6</v>
      </c>
      <c r="AG77" s="55">
        <v>0</v>
      </c>
      <c r="AH77" s="28" t="s">
        <v>1420</v>
      </c>
      <c r="AI77" s="28" t="s">
        <v>8657</v>
      </c>
      <c r="AJ77" s="56">
        <v>3</v>
      </c>
      <c r="AK77" s="56" t="s">
        <v>5497</v>
      </c>
      <c r="AL77" s="56" t="s">
        <v>5486</v>
      </c>
      <c r="AM77" s="56">
        <v>3</v>
      </c>
      <c r="AN77" s="56">
        <v>5</v>
      </c>
      <c r="AO77" s="56">
        <v>4</v>
      </c>
      <c r="AP77" s="56">
        <v>4</v>
      </c>
      <c r="AQ77" s="56">
        <v>10</v>
      </c>
      <c r="AR77" s="56">
        <v>10</v>
      </c>
      <c r="AS77" s="56">
        <v>5</v>
      </c>
      <c r="AT77" s="56">
        <v>6</v>
      </c>
    </row>
    <row r="78" spans="1:46">
      <c r="A78" s="49" t="s">
        <v>8902</v>
      </c>
      <c r="B78" s="49" t="s">
        <v>1204</v>
      </c>
      <c r="C78" s="49" t="s">
        <v>8921</v>
      </c>
      <c r="D78" s="49" t="s">
        <v>8941</v>
      </c>
      <c r="E78" s="49" t="s">
        <v>8258</v>
      </c>
      <c r="F78" s="49" t="s">
        <v>8928</v>
      </c>
      <c r="G78" s="49" t="s">
        <v>8923</v>
      </c>
      <c r="H78" s="49" t="s">
        <v>8271</v>
      </c>
      <c r="I78" s="49" t="s">
        <v>7341</v>
      </c>
      <c r="J78" s="49" t="s">
        <v>7320</v>
      </c>
      <c r="K78" s="51">
        <f>VLOOKUP(B78,'Feuerwaffen-Ressourcen'!$A$2:$AI$54,11,0)+VLOOKUP(C78,'Feuerwaffen-Ressourcen'!$A$2:$AI$54,11,0)+VLOOKUP(D78,'Feuerwaffen-Ressourcen'!$A$2:$AI$54,11,0)+VLOOKUP(E78,'Feuerwaffen-Ressourcen'!$A$2:$AI$54,11,0)+VLOOKUP(G78,'Feuerwaffen-Ressourcen'!$A$2:$AI$54,11,0)</f>
        <v>6.3</v>
      </c>
      <c r="L78" s="50">
        <f>VLOOKUP(B78,'Feuerwaffen-Ressourcen'!$A$2:$AI$54,12,0)+VLOOKUP(C78,'Feuerwaffen-Ressourcen'!$A$2:$AI$54,12,0)+VLOOKUP(D78,'Feuerwaffen-Ressourcen'!$A$2:$AI$54,12,0)+VLOOKUP(J78,'Feuerwaffen-Ressourcen'!$A$2:$AI$54,12,0)</f>
        <v>12</v>
      </c>
      <c r="M78" s="50" t="str">
        <f>VLOOKUP(VLOOKUP(B78,'Feuerwaffen-Ressourcen'!$A$2:$AI$54,13,0)+VLOOKUP(C78,'Feuerwaffen-Ressourcen'!$A$2:$AI$54,13,0)+VLOOKUP(D78,'Feuerwaffen-Ressourcen'!$A$2:$AI$54,13,0),'Feuerwaffen-Ressourcen'!$AJ$3:$AK$12,2,0)</f>
        <v>W10</v>
      </c>
      <c r="N78" s="50" t="str">
        <f>VLOOKUP(VLOOKUP(B78,'Feuerwaffen-Ressourcen'!$A$2:$AI$54,14,0)+VLOOKUP(C78,'Feuerwaffen-Ressourcen'!$A$2:$AI$54,14,0)+VLOOKUP(D78,'Feuerwaffen-Ressourcen'!$A$2:$AI$54,14,0),'Feuerwaffen-Ressourcen'!$AJ$3:$AK$12,2,0)</f>
        <v>W8</v>
      </c>
      <c r="O78" s="50">
        <f>VLOOKUP(B78,'Feuerwaffen-Ressourcen'!$A$2:$AI$54,15,0)+VLOOKUP(C78,'Feuerwaffen-Ressourcen'!$A$2:$AI$54,15,0)+VLOOKUP(D78,'Feuerwaffen-Ressourcen'!$A$2:$AI$54,15,0)</f>
        <v>1</v>
      </c>
      <c r="P78" s="50">
        <f>VLOOKUP(B78,'Feuerwaffen-Ressourcen'!$A$2:$AI$54,16,0)+VLOOKUP(C78,'Feuerwaffen-Ressourcen'!$A$2:$AI$54,16,0)+VLOOKUP(D78,'Feuerwaffen-Ressourcen'!$A$2:$AI$54,16,0)+VLOOKUP(E78,'Feuerwaffen-Ressourcen'!$A$2:$AI$54,16,0)</f>
        <v>13</v>
      </c>
      <c r="Q78" s="52">
        <f>VLOOKUP(B78,'Feuerwaffen-Ressourcen'!$A$2:$AI$54,17,0)+VLOOKUP(C78,'Feuerwaffen-Ressourcen'!$A$2:$AI$54,17,0)+VLOOKUP(D78,'Feuerwaffen-Ressourcen'!$A$2:$AI$54,17,0)+VLOOKUP(E78,'Feuerwaffen-Ressourcen'!$A$2:$AI$54,17,0)</f>
        <v>16</v>
      </c>
      <c r="R78" s="50">
        <f>VLOOKUP(B78,'Feuerwaffen-Ressourcen'!$A$2:$AI$54,18,0)+VLOOKUP(C78,'Feuerwaffen-Ressourcen'!$A$2:$AI$54,18,0)+VLOOKUP(D78,'Feuerwaffen-Ressourcen'!$A$2:$AI$54,18,0)+VLOOKUP(F78,'Feuerwaffen-Ressourcen'!$A$2:$AI$54,18,0)+VLOOKUP(G78,'Feuerwaffen-Ressourcen'!$A$2:$AI$54,18,0)+VLOOKUP(I78,'Feuerwaffen-Ressourcen'!$A$2:$AI$54,18,0)+VLOOKUP(J78,'Feuerwaffen-Ressourcen'!$A$2:$AI$54,18,0)</f>
        <v>3</v>
      </c>
      <c r="S78" s="50">
        <f>VLOOKUP(B78,'Feuerwaffen-Ressourcen'!$A$2:$AI$54,19,0)+VLOOKUP(C78,'Feuerwaffen-Ressourcen'!$A$2:$AI$54,19,0)+VLOOKUP(D78,'Feuerwaffen-Ressourcen'!$A$2:$AI$54,19,0)+VLOOKUP(F78,'Feuerwaffen-Ressourcen'!$A$2:$AI$54,19,0)+VLOOKUP(G78,'Feuerwaffen-Ressourcen'!$A$2:$AI$54,19,0)+VLOOKUP(I78,'Feuerwaffen-Ressourcen'!$A$2:$AI$54,19,0)+VLOOKUP(J78,'Feuerwaffen-Ressourcen'!$A$2:$AI$54,19,0)</f>
        <v>-2</v>
      </c>
      <c r="T78" s="50">
        <f>VLOOKUP(B78,'Feuerwaffen-Ressourcen'!$A$2:$AI$54,20,0)+VLOOKUP(C78,'Feuerwaffen-Ressourcen'!$A$2:$AI$54,20,0)+VLOOKUP(D78,'Feuerwaffen-Ressourcen'!$A$2:$AI$54,20,0)+VLOOKUP(F78,'Feuerwaffen-Ressourcen'!$A$2:$AI$54,20,0)+VLOOKUP(G78,'Feuerwaffen-Ressourcen'!$A$2:$AI$54,20,0)+VLOOKUP(I78,'Feuerwaffen-Ressourcen'!$A$2:$AI$54,20,0)+VLOOKUP(J78,'Feuerwaffen-Ressourcen'!$A$2:$AI$54,20,0)</f>
        <v>-7</v>
      </c>
      <c r="U78" s="50">
        <f>VLOOKUP(B78,'Feuerwaffen-Ressourcen'!$A$2:$AI$54,21,0)+VLOOKUP(C78,'Feuerwaffen-Ressourcen'!$A$2:$AI$54,21,0)+VLOOKUP(D78,'Feuerwaffen-Ressourcen'!$A$2:$AI$54,21,0)+VLOOKUP(F78,'Feuerwaffen-Ressourcen'!$A$2:$AI$54,21,0)+VLOOKUP(G78,'Feuerwaffen-Ressourcen'!$A$2:$AI$54,21,0)+VLOOKUP(I78,'Feuerwaffen-Ressourcen'!$A$2:$AI$54,21,0)+VLOOKUP(J78,'Feuerwaffen-Ressourcen'!$A$2:$AI$54,21,0)</f>
        <v>-13</v>
      </c>
      <c r="V78" s="50">
        <f>VLOOKUP(B78,'Feuerwaffen-Ressourcen'!$A$2:$AI$54,22,0)+VLOOKUP(C78,'Feuerwaffen-Ressourcen'!$A$2:$AI$54,22,0)+VLOOKUP(D78,'Feuerwaffen-Ressourcen'!$A$2:$AI$54,22,0)+VLOOKUP(F78,'Feuerwaffen-Ressourcen'!$A$2:$AI$54,22,0)+VLOOKUP(G78,'Feuerwaffen-Ressourcen'!$A$2:$AI$54,22,0)+VLOOKUP(I78,'Feuerwaffen-Ressourcen'!$A$2:$AI$54,22,0)+VLOOKUP(J78,'Feuerwaffen-Ressourcen'!$A$2:$AI$54,22,0)</f>
        <v>-20</v>
      </c>
      <c r="W78" s="50">
        <f>VLOOKUP(B78,'Feuerwaffen-Ressourcen'!$A$2:$AI$54,23,0)+VLOOKUP(C78,'Feuerwaffen-Ressourcen'!$A$2:$AI$54,23,0)+VLOOKUP(D78,'Feuerwaffen-Ressourcen'!$A$2:$AI$54,23,0)+VLOOKUP(F78,'Feuerwaffen-Ressourcen'!$A$2:$AI$54,23,0)+VLOOKUP(G78,'Feuerwaffen-Ressourcen'!$A$2:$AI$54,23,0)+VLOOKUP(I78,'Feuerwaffen-Ressourcen'!$A$2:$AI$54,23,0)+VLOOKUP(J78,'Feuerwaffen-Ressourcen'!$A$2:$AI$54,23,0)</f>
        <v>-28</v>
      </c>
      <c r="X78" s="50">
        <f>VLOOKUP(B78,'Feuerwaffen-Ressourcen'!$A$2:$AI$54,24,0)+VLOOKUP(C78,'Feuerwaffen-Ressourcen'!$A$2:$AI$54,24,0)+VLOOKUP(D78,'Feuerwaffen-Ressourcen'!$A$2:$AI$54,24,0)+VLOOKUP(G78,'Feuerwaffen-Ressourcen'!$A$2:$AI$54,24,0)</f>
        <v>40</v>
      </c>
      <c r="Y78" s="50">
        <f>VLOOKUP(D78,'Feuerwaffen-Ressourcen'!$A$2:$AI$54,25,0)+VLOOKUP(E78,'Feuerwaffen-Ressourcen'!$A$2:$AI$54,25,0)+VLOOKUP(F78,'Feuerwaffen-Ressourcen'!$A$2:$AI$54,25,0)</f>
        <v>34</v>
      </c>
      <c r="Z78" s="50">
        <f>VLOOKUP(E78,'Feuerwaffen-Ressourcen'!$A$2:$AI$54,26,0)</f>
        <v>3</v>
      </c>
      <c r="AA78" s="50">
        <f>VLOOKUP(B78,'Feuerwaffen-Ressourcen'!$A$2:$AI$54,27,0)+VLOOKUP(D78,'Feuerwaffen-Ressourcen'!$A$2:$AI$54,27,0)+VLOOKUP(F78,'Feuerwaffen-Ressourcen'!$A$2:$AI$54,27,0)+VLOOKUP(I78,'Feuerwaffen-Ressourcen'!$A$2:$AI$54,27,0)</f>
        <v>-2</v>
      </c>
      <c r="AB78" s="50">
        <f>VLOOKUP(B78,'Feuerwaffen-Ressourcen'!$A$2:$AI$54,28,0)+VLOOKUP(C78,'Feuerwaffen-Ressourcen'!$A$2:$AI$54,28,0)+VLOOKUP(D78,'Feuerwaffen-Ressourcen'!$A$2:$AI$54,28,0)+VLOOKUP(E78,'Feuerwaffen-Ressourcen'!$A$2:$AI$54,28,0)+VLOOKUP(F78,'Feuerwaffen-Ressourcen'!$A$2:$AI$54,28,0)+VLOOKUP(G78,'Feuerwaffen-Ressourcen'!$A$2:$AI$54,28,0)+VLOOKUP(I78,'Feuerwaffen-Ressourcen'!$A$2:$AI$54,28,0)+VLOOKUP(J78,'Feuerwaffen-Ressourcen'!$A$2:$AI$54,28,0)</f>
        <v>90</v>
      </c>
      <c r="AC78" s="53">
        <f>VLOOKUP(I78,'Feuerwaffen-Ressourcen'!$A$2:$AI$54,31,0)*AD78+AE78</f>
        <v>566.69999999999993</v>
      </c>
      <c r="AD78" s="54">
        <f>VLOOKUP(B78,'Feuerwaffen-Ressourcen'!$A$2:$AI$54,30,0)+VLOOKUP(C78,'Feuerwaffen-Ressourcen'!$A$2:$AI$54,30,0)+VLOOKUP(D78,'Feuerwaffen-Ressourcen'!$A$2:$AI$54,30,0)+VLOOKUP(F78,'Feuerwaffen-Ressourcen'!$A$2:$AI$54,30,0)+VLOOKUP(G78,'Feuerwaffen-Ressourcen'!$A$2:$AI$54,30,0)+VLOOKUP(I78,'Feuerwaffen-Ressourcen'!$A$2:$AI$54,30,0)+VLOOKUP(J78,'Feuerwaffen-Ressourcen'!$A$2:$AI$54,30,0)</f>
        <v>9.1999999999999993</v>
      </c>
      <c r="AE78" s="53">
        <f>(VLOOKUP(C78,'Feuerwaffen-Ressourcen'!$A$2:$AI$54,32,0)+VLOOKUP(I78,'Feuerwaffen-Ressourcen'!$A$2:$AI$54,32,0))*(VLOOKUP(B78,'Feuerwaffen-Ressourcen'!$A$2:$AI$54,34,0)+VLOOKUP(C78,'Feuerwaffen-Ressourcen'!$A$2:$AI$54,34,0)+VLOOKUP(D78,'Feuerwaffen-Ressourcen'!$A$2:$AI$54,34,0)+VLOOKUP(E78,'Feuerwaffen-Ressourcen'!$A$2:$AI$54,34,0)+VLOOKUP(G78,'Feuerwaffen-Ressourcen'!$A$2:$AI$54,34,0))+VLOOKUP(B78,'Feuerwaffen-Ressourcen'!$A$2:$AI$54,35,0)+VLOOKUP(C78,'Feuerwaffen-Ressourcen'!$A$2:$AI$54,35,0)+VLOOKUP(D78,'Feuerwaffen-Ressourcen'!$A$2:$AI$54,35,0)</f>
        <v>529.9</v>
      </c>
      <c r="AF78" s="55">
        <f>VLOOKUP(AB78,'Feuerwaffen-Ressourcen'!$AO$3:$AP$9,2,1)</f>
        <v>5</v>
      </c>
      <c r="AG78" s="55">
        <v>0</v>
      </c>
      <c r="AH78" s="28" t="s">
        <v>1420</v>
      </c>
      <c r="AI78" s="28" t="s">
        <v>8657</v>
      </c>
      <c r="AJ78" s="56">
        <v>3</v>
      </c>
      <c r="AK78" s="56" t="s">
        <v>5497</v>
      </c>
      <c r="AL78" s="56" t="s">
        <v>5486</v>
      </c>
      <c r="AM78" s="56">
        <v>3</v>
      </c>
      <c r="AN78" s="56">
        <v>5</v>
      </c>
      <c r="AO78" s="56">
        <v>4</v>
      </c>
      <c r="AP78" s="56">
        <v>4</v>
      </c>
      <c r="AQ78" s="56">
        <v>12</v>
      </c>
      <c r="AR78" s="56">
        <v>12</v>
      </c>
      <c r="AS78" s="56">
        <v>5</v>
      </c>
      <c r="AT78" s="56">
        <v>6</v>
      </c>
    </row>
    <row r="79" spans="1:46">
      <c r="A79" s="49" t="s">
        <v>8903</v>
      </c>
      <c r="B79" s="49" t="s">
        <v>1204</v>
      </c>
      <c r="C79" s="49" t="s">
        <v>8921</v>
      </c>
      <c r="D79" s="49" t="s">
        <v>8266</v>
      </c>
      <c r="E79" s="49" t="s">
        <v>8258</v>
      </c>
      <c r="F79" s="49" t="s">
        <v>8939</v>
      </c>
      <c r="G79" s="49" t="s">
        <v>8923</v>
      </c>
      <c r="H79" s="49" t="s">
        <v>8267</v>
      </c>
      <c r="I79" s="49" t="s">
        <v>7341</v>
      </c>
      <c r="J79" s="49" t="s">
        <v>7320</v>
      </c>
      <c r="K79" s="51">
        <f>VLOOKUP(B79,'Feuerwaffen-Ressourcen'!$A$2:$AI$54,11,0)+VLOOKUP(C79,'Feuerwaffen-Ressourcen'!$A$2:$AI$54,11,0)+VLOOKUP(D79,'Feuerwaffen-Ressourcen'!$A$2:$AI$54,11,0)+VLOOKUP(E79,'Feuerwaffen-Ressourcen'!$A$2:$AI$54,11,0)+VLOOKUP(G79,'Feuerwaffen-Ressourcen'!$A$2:$AI$54,11,0)</f>
        <v>4.8</v>
      </c>
      <c r="L79" s="50">
        <f>VLOOKUP(B79,'Feuerwaffen-Ressourcen'!$A$2:$AI$54,12,0)+VLOOKUP(C79,'Feuerwaffen-Ressourcen'!$A$2:$AI$54,12,0)+VLOOKUP(D79,'Feuerwaffen-Ressourcen'!$A$2:$AI$54,12,0)+VLOOKUP(J79,'Feuerwaffen-Ressourcen'!$A$2:$AI$54,12,0)</f>
        <v>11</v>
      </c>
      <c r="M79" s="50" t="str">
        <f>VLOOKUP(VLOOKUP(B79,'Feuerwaffen-Ressourcen'!$A$2:$AI$54,13,0)+VLOOKUP(C79,'Feuerwaffen-Ressourcen'!$A$2:$AI$54,13,0)+VLOOKUP(D79,'Feuerwaffen-Ressourcen'!$A$2:$AI$54,13,0),'Feuerwaffen-Ressourcen'!$AJ$3:$AK$12,2,0)</f>
        <v>W10</v>
      </c>
      <c r="N79" s="50" t="str">
        <f>VLOOKUP(VLOOKUP(B79,'Feuerwaffen-Ressourcen'!$A$2:$AI$54,14,0)+VLOOKUP(C79,'Feuerwaffen-Ressourcen'!$A$2:$AI$54,14,0)+VLOOKUP(D79,'Feuerwaffen-Ressourcen'!$A$2:$AI$54,14,0),'Feuerwaffen-Ressourcen'!$AJ$3:$AK$12,2,0)</f>
        <v>W10</v>
      </c>
      <c r="O79" s="50">
        <f>VLOOKUP(B79,'Feuerwaffen-Ressourcen'!$A$2:$AI$54,15,0)+VLOOKUP(C79,'Feuerwaffen-Ressourcen'!$A$2:$AI$54,15,0)+VLOOKUP(D79,'Feuerwaffen-Ressourcen'!$A$2:$AI$54,15,0)</f>
        <v>1</v>
      </c>
      <c r="P79" s="50">
        <f>VLOOKUP(B79,'Feuerwaffen-Ressourcen'!$A$2:$AI$54,16,0)+VLOOKUP(C79,'Feuerwaffen-Ressourcen'!$A$2:$AI$54,16,0)+VLOOKUP(D79,'Feuerwaffen-Ressourcen'!$A$2:$AI$54,16,0)+VLOOKUP(E79,'Feuerwaffen-Ressourcen'!$A$2:$AI$54,16,0)</f>
        <v>13</v>
      </c>
      <c r="Q79" s="52">
        <f>VLOOKUP(B79,'Feuerwaffen-Ressourcen'!$A$2:$AI$54,17,0)+VLOOKUP(C79,'Feuerwaffen-Ressourcen'!$A$2:$AI$54,17,0)+VLOOKUP(D79,'Feuerwaffen-Ressourcen'!$A$2:$AI$54,17,0)+VLOOKUP(E79,'Feuerwaffen-Ressourcen'!$A$2:$AI$54,17,0)</f>
        <v>17</v>
      </c>
      <c r="R79" s="50">
        <f>VLOOKUP(B79,'Feuerwaffen-Ressourcen'!$A$2:$AI$54,18,0)+VLOOKUP(C79,'Feuerwaffen-Ressourcen'!$A$2:$AI$54,18,0)+VLOOKUP(D79,'Feuerwaffen-Ressourcen'!$A$2:$AI$54,18,0)+VLOOKUP(F79,'Feuerwaffen-Ressourcen'!$A$2:$AI$54,18,0)+VLOOKUP(G79,'Feuerwaffen-Ressourcen'!$A$2:$AI$54,18,0)+VLOOKUP(I79,'Feuerwaffen-Ressourcen'!$A$2:$AI$54,18,0)+VLOOKUP(J79,'Feuerwaffen-Ressourcen'!$A$2:$AI$54,18,0)</f>
        <v>6</v>
      </c>
      <c r="S79" s="50">
        <f>VLOOKUP(B79,'Feuerwaffen-Ressourcen'!$A$2:$AI$54,19,0)+VLOOKUP(C79,'Feuerwaffen-Ressourcen'!$A$2:$AI$54,19,0)+VLOOKUP(D79,'Feuerwaffen-Ressourcen'!$A$2:$AI$54,19,0)+VLOOKUP(F79,'Feuerwaffen-Ressourcen'!$A$2:$AI$54,19,0)+VLOOKUP(G79,'Feuerwaffen-Ressourcen'!$A$2:$AI$54,19,0)+VLOOKUP(I79,'Feuerwaffen-Ressourcen'!$A$2:$AI$54,19,0)+VLOOKUP(J79,'Feuerwaffen-Ressourcen'!$A$2:$AI$54,19,0)</f>
        <v>1</v>
      </c>
      <c r="T79" s="50">
        <f>VLOOKUP(B79,'Feuerwaffen-Ressourcen'!$A$2:$AI$54,20,0)+VLOOKUP(C79,'Feuerwaffen-Ressourcen'!$A$2:$AI$54,20,0)+VLOOKUP(D79,'Feuerwaffen-Ressourcen'!$A$2:$AI$54,20,0)+VLOOKUP(F79,'Feuerwaffen-Ressourcen'!$A$2:$AI$54,20,0)+VLOOKUP(G79,'Feuerwaffen-Ressourcen'!$A$2:$AI$54,20,0)+VLOOKUP(I79,'Feuerwaffen-Ressourcen'!$A$2:$AI$54,20,0)+VLOOKUP(J79,'Feuerwaffen-Ressourcen'!$A$2:$AI$54,20,0)</f>
        <v>-4</v>
      </c>
      <c r="U79" s="50">
        <f>VLOOKUP(B79,'Feuerwaffen-Ressourcen'!$A$2:$AI$54,21,0)+VLOOKUP(C79,'Feuerwaffen-Ressourcen'!$A$2:$AI$54,21,0)+VLOOKUP(D79,'Feuerwaffen-Ressourcen'!$A$2:$AI$54,21,0)+VLOOKUP(F79,'Feuerwaffen-Ressourcen'!$A$2:$AI$54,21,0)+VLOOKUP(G79,'Feuerwaffen-Ressourcen'!$A$2:$AI$54,21,0)+VLOOKUP(I79,'Feuerwaffen-Ressourcen'!$A$2:$AI$54,21,0)+VLOOKUP(J79,'Feuerwaffen-Ressourcen'!$A$2:$AI$54,21,0)</f>
        <v>-10</v>
      </c>
      <c r="V79" s="50">
        <f>VLOOKUP(B79,'Feuerwaffen-Ressourcen'!$A$2:$AI$54,22,0)+VLOOKUP(C79,'Feuerwaffen-Ressourcen'!$A$2:$AI$54,22,0)+VLOOKUP(D79,'Feuerwaffen-Ressourcen'!$A$2:$AI$54,22,0)+VLOOKUP(F79,'Feuerwaffen-Ressourcen'!$A$2:$AI$54,22,0)+VLOOKUP(G79,'Feuerwaffen-Ressourcen'!$A$2:$AI$54,22,0)+VLOOKUP(I79,'Feuerwaffen-Ressourcen'!$A$2:$AI$54,22,0)+VLOOKUP(J79,'Feuerwaffen-Ressourcen'!$A$2:$AI$54,22,0)</f>
        <v>-17</v>
      </c>
      <c r="W79" s="50">
        <f>VLOOKUP(B79,'Feuerwaffen-Ressourcen'!$A$2:$AI$54,23,0)+VLOOKUP(C79,'Feuerwaffen-Ressourcen'!$A$2:$AI$54,23,0)+VLOOKUP(D79,'Feuerwaffen-Ressourcen'!$A$2:$AI$54,23,0)+VLOOKUP(F79,'Feuerwaffen-Ressourcen'!$A$2:$AI$54,23,0)+VLOOKUP(G79,'Feuerwaffen-Ressourcen'!$A$2:$AI$54,23,0)+VLOOKUP(I79,'Feuerwaffen-Ressourcen'!$A$2:$AI$54,23,0)+VLOOKUP(J79,'Feuerwaffen-Ressourcen'!$A$2:$AI$54,23,0)</f>
        <v>-25</v>
      </c>
      <c r="X79" s="50">
        <f>VLOOKUP(B79,'Feuerwaffen-Ressourcen'!$A$2:$AI$54,24,0)+VLOOKUP(C79,'Feuerwaffen-Ressourcen'!$A$2:$AI$54,24,0)+VLOOKUP(D79,'Feuerwaffen-Ressourcen'!$A$2:$AI$54,24,0)+VLOOKUP(G79,'Feuerwaffen-Ressourcen'!$A$2:$AI$54,24,0)</f>
        <v>40</v>
      </c>
      <c r="Y79" s="50">
        <f>VLOOKUP(D79,'Feuerwaffen-Ressourcen'!$A$2:$AI$54,25,0)+VLOOKUP(E79,'Feuerwaffen-Ressourcen'!$A$2:$AI$54,25,0)+VLOOKUP(F79,'Feuerwaffen-Ressourcen'!$A$2:$AI$54,25,0)</f>
        <v>33</v>
      </c>
      <c r="Z79" s="50">
        <f>VLOOKUP(E79,'Feuerwaffen-Ressourcen'!$A$2:$AI$54,26,0)</f>
        <v>3</v>
      </c>
      <c r="AA79" s="50">
        <f>VLOOKUP(B79,'Feuerwaffen-Ressourcen'!$A$2:$AI$54,27,0)+VLOOKUP(D79,'Feuerwaffen-Ressourcen'!$A$2:$AI$54,27,0)+VLOOKUP(F79,'Feuerwaffen-Ressourcen'!$A$2:$AI$54,27,0)+VLOOKUP(I79,'Feuerwaffen-Ressourcen'!$A$2:$AI$54,27,0)</f>
        <v>-2</v>
      </c>
      <c r="AB79" s="50">
        <f>VLOOKUP(B79,'Feuerwaffen-Ressourcen'!$A$2:$AI$54,28,0)+VLOOKUP(C79,'Feuerwaffen-Ressourcen'!$A$2:$AI$54,28,0)+VLOOKUP(D79,'Feuerwaffen-Ressourcen'!$A$2:$AI$54,28,0)+VLOOKUP(E79,'Feuerwaffen-Ressourcen'!$A$2:$AI$54,28,0)+VLOOKUP(F79,'Feuerwaffen-Ressourcen'!$A$2:$AI$54,28,0)+VLOOKUP(G79,'Feuerwaffen-Ressourcen'!$A$2:$AI$54,28,0)+VLOOKUP(I79,'Feuerwaffen-Ressourcen'!$A$2:$AI$54,28,0)+VLOOKUP(J79,'Feuerwaffen-Ressourcen'!$A$2:$AI$54,28,0)</f>
        <v>40</v>
      </c>
      <c r="AC79" s="53">
        <f>VLOOKUP(I79,'Feuerwaffen-Ressourcen'!$A$2:$AI$54,31,0)*AD79+AE79</f>
        <v>418.7</v>
      </c>
      <c r="AD79" s="54">
        <f>VLOOKUP(B79,'Feuerwaffen-Ressourcen'!$A$2:$AI$54,30,0)+VLOOKUP(C79,'Feuerwaffen-Ressourcen'!$A$2:$AI$54,30,0)+VLOOKUP(D79,'Feuerwaffen-Ressourcen'!$A$2:$AI$54,30,0)+VLOOKUP(F79,'Feuerwaffen-Ressourcen'!$A$2:$AI$54,30,0)+VLOOKUP(G79,'Feuerwaffen-Ressourcen'!$A$2:$AI$54,30,0)+VLOOKUP(I79,'Feuerwaffen-Ressourcen'!$A$2:$AI$54,30,0)+VLOOKUP(J79,'Feuerwaffen-Ressourcen'!$A$2:$AI$54,30,0)</f>
        <v>17.2</v>
      </c>
      <c r="AE79" s="53">
        <f>(VLOOKUP(C79,'Feuerwaffen-Ressourcen'!$A$2:$AI$54,32,0)+VLOOKUP(I79,'Feuerwaffen-Ressourcen'!$A$2:$AI$54,32,0))*(VLOOKUP(B79,'Feuerwaffen-Ressourcen'!$A$2:$AI$54,34,0)+VLOOKUP(C79,'Feuerwaffen-Ressourcen'!$A$2:$AI$54,34,0)+VLOOKUP(D79,'Feuerwaffen-Ressourcen'!$A$2:$AI$54,34,0)+VLOOKUP(E79,'Feuerwaffen-Ressourcen'!$A$2:$AI$54,34,0)+VLOOKUP(G79,'Feuerwaffen-Ressourcen'!$A$2:$AI$54,34,0))+VLOOKUP(B79,'Feuerwaffen-Ressourcen'!$A$2:$AI$54,35,0)+VLOOKUP(C79,'Feuerwaffen-Ressourcen'!$A$2:$AI$54,35,0)+VLOOKUP(D79,'Feuerwaffen-Ressourcen'!$A$2:$AI$54,35,0)</f>
        <v>349.9</v>
      </c>
      <c r="AF79" s="55">
        <f>VLOOKUP(AB79,'Feuerwaffen-Ressourcen'!$AO$3:$AP$9,2,1)</f>
        <v>7</v>
      </c>
      <c r="AG79" s="55">
        <v>0</v>
      </c>
      <c r="AH79" s="28" t="s">
        <v>1420</v>
      </c>
      <c r="AI79" s="28" t="s">
        <v>8657</v>
      </c>
      <c r="AJ79" s="56">
        <v>3</v>
      </c>
      <c r="AK79" s="56" t="s">
        <v>5497</v>
      </c>
      <c r="AL79" s="56" t="s">
        <v>5486</v>
      </c>
      <c r="AM79" s="56">
        <v>3</v>
      </c>
      <c r="AN79" s="56">
        <v>5</v>
      </c>
      <c r="AO79" s="56">
        <v>4</v>
      </c>
      <c r="AP79" s="56">
        <v>4</v>
      </c>
      <c r="AQ79" s="56">
        <f>VLOOKUP(B79,'Feuerwaffen-Ressourcen'!$A$2:$AI$54,12,0)+VLOOKUP(C79,'Feuerwaffen-Ressourcen'!$A$2:$AI$54,12,0)+VLOOKUP(D79,'Feuerwaffen-Ressourcen'!$A$2:$AI$54,12,0)+VLOOKUP(J79,'Feuerwaffen-Ressourcen'!$A$2:$AI$54,12,0)</f>
        <v>11</v>
      </c>
      <c r="AR79" s="56">
        <f>VLOOKUP(B79,'Feuerwaffen-Ressourcen'!$A$2:$AI$54,12,0)+VLOOKUP(C79,'Feuerwaffen-Ressourcen'!$A$2:$AI$54,12,0)+VLOOKUP(D79,'Feuerwaffen-Ressourcen'!$A$2:$AI$54,12,0)+VLOOKUP(J79,'Feuerwaffen-Ressourcen'!$A$2:$AI$54,12,0)</f>
        <v>11</v>
      </c>
      <c r="AS79" s="56">
        <v>5</v>
      </c>
      <c r="AT79" s="56">
        <v>6</v>
      </c>
    </row>
    <row r="80" spans="1:46">
      <c r="A80" s="49" t="s">
        <v>8904</v>
      </c>
      <c r="B80" s="49" t="s">
        <v>1204</v>
      </c>
      <c r="C80" s="49" t="s">
        <v>8921</v>
      </c>
      <c r="D80" s="49" t="s">
        <v>8940</v>
      </c>
      <c r="E80" s="49" t="s">
        <v>8258</v>
      </c>
      <c r="F80" s="49" t="s">
        <v>8928</v>
      </c>
      <c r="G80" s="49" t="s">
        <v>8923</v>
      </c>
      <c r="H80" s="49" t="s">
        <v>8271</v>
      </c>
      <c r="I80" s="49" t="s">
        <v>7341</v>
      </c>
      <c r="J80" s="49" t="s">
        <v>7320</v>
      </c>
      <c r="K80" s="51">
        <f>VLOOKUP(B80,'Feuerwaffen-Ressourcen'!$A$2:$AI$54,11,0)+VLOOKUP(C80,'Feuerwaffen-Ressourcen'!$A$2:$AI$54,11,0)+VLOOKUP(D80,'Feuerwaffen-Ressourcen'!$A$2:$AI$54,11,0)+VLOOKUP(E80,'Feuerwaffen-Ressourcen'!$A$2:$AI$54,11,0)+VLOOKUP(G80,'Feuerwaffen-Ressourcen'!$A$2:$AI$54,11,0)</f>
        <v>5.8</v>
      </c>
      <c r="L80" s="50">
        <f>VLOOKUP(B80,'Feuerwaffen-Ressourcen'!$A$2:$AI$54,12,0)+VLOOKUP(C80,'Feuerwaffen-Ressourcen'!$A$2:$AI$54,12,0)+VLOOKUP(D80,'Feuerwaffen-Ressourcen'!$A$2:$AI$54,12,0)+VLOOKUP(J80,'Feuerwaffen-Ressourcen'!$A$2:$AI$54,12,0)</f>
        <v>13</v>
      </c>
      <c r="M80" s="50" t="str">
        <f>VLOOKUP(VLOOKUP(B80,'Feuerwaffen-Ressourcen'!$A$2:$AI$54,13,0)+VLOOKUP(C80,'Feuerwaffen-Ressourcen'!$A$2:$AI$54,13,0)+VLOOKUP(D80,'Feuerwaffen-Ressourcen'!$A$2:$AI$54,13,0),'Feuerwaffen-Ressourcen'!$AJ$3:$AK$12,2,0)</f>
        <v>W12</v>
      </c>
      <c r="N80" s="50" t="str">
        <f>VLOOKUP(VLOOKUP(B80,'Feuerwaffen-Ressourcen'!$A$2:$AI$54,14,0)+VLOOKUP(C80,'Feuerwaffen-Ressourcen'!$A$2:$AI$54,14,0)+VLOOKUP(D80,'Feuerwaffen-Ressourcen'!$A$2:$AI$54,14,0),'Feuerwaffen-Ressourcen'!$AJ$3:$AK$12,2,0)</f>
        <v>W12</v>
      </c>
      <c r="O80" s="50">
        <f>VLOOKUP(B80,'Feuerwaffen-Ressourcen'!$A$2:$AI$54,15,0)+VLOOKUP(C80,'Feuerwaffen-Ressourcen'!$A$2:$AI$54,15,0)+VLOOKUP(D80,'Feuerwaffen-Ressourcen'!$A$2:$AI$54,15,0)</f>
        <v>4</v>
      </c>
      <c r="P80" s="50">
        <f>VLOOKUP(B80,'Feuerwaffen-Ressourcen'!$A$2:$AI$54,16,0)+VLOOKUP(C80,'Feuerwaffen-Ressourcen'!$A$2:$AI$54,16,0)+VLOOKUP(D80,'Feuerwaffen-Ressourcen'!$A$2:$AI$54,16,0)+VLOOKUP(E80,'Feuerwaffen-Ressourcen'!$A$2:$AI$54,16,0)</f>
        <v>10</v>
      </c>
      <c r="Q80" s="52">
        <f>VLOOKUP(B80,'Feuerwaffen-Ressourcen'!$A$2:$AI$54,17,0)+VLOOKUP(C80,'Feuerwaffen-Ressourcen'!$A$2:$AI$54,17,0)+VLOOKUP(D80,'Feuerwaffen-Ressourcen'!$A$2:$AI$54,17,0)+VLOOKUP(E80,'Feuerwaffen-Ressourcen'!$A$2:$AI$54,17,0)</f>
        <v>20</v>
      </c>
      <c r="R80" s="50">
        <f>VLOOKUP(B80,'Feuerwaffen-Ressourcen'!$A$2:$AI$54,18,0)+VLOOKUP(C80,'Feuerwaffen-Ressourcen'!$A$2:$AI$54,18,0)+VLOOKUP(D80,'Feuerwaffen-Ressourcen'!$A$2:$AI$54,18,0)+VLOOKUP(F80,'Feuerwaffen-Ressourcen'!$A$2:$AI$54,18,0)+VLOOKUP(G80,'Feuerwaffen-Ressourcen'!$A$2:$AI$54,18,0)+VLOOKUP(I80,'Feuerwaffen-Ressourcen'!$A$2:$AI$54,18,0)+VLOOKUP(J80,'Feuerwaffen-Ressourcen'!$A$2:$AI$54,18,0)</f>
        <v>4</v>
      </c>
      <c r="S80" s="50">
        <f>VLOOKUP(B80,'Feuerwaffen-Ressourcen'!$A$2:$AI$54,19,0)+VLOOKUP(C80,'Feuerwaffen-Ressourcen'!$A$2:$AI$54,19,0)+VLOOKUP(D80,'Feuerwaffen-Ressourcen'!$A$2:$AI$54,19,0)+VLOOKUP(F80,'Feuerwaffen-Ressourcen'!$A$2:$AI$54,19,0)+VLOOKUP(G80,'Feuerwaffen-Ressourcen'!$A$2:$AI$54,19,0)+VLOOKUP(I80,'Feuerwaffen-Ressourcen'!$A$2:$AI$54,19,0)+VLOOKUP(J80,'Feuerwaffen-Ressourcen'!$A$2:$AI$54,19,0)</f>
        <v>-6</v>
      </c>
      <c r="T80" s="50">
        <f>VLOOKUP(B80,'Feuerwaffen-Ressourcen'!$A$2:$AI$54,20,0)+VLOOKUP(C80,'Feuerwaffen-Ressourcen'!$A$2:$AI$54,20,0)+VLOOKUP(D80,'Feuerwaffen-Ressourcen'!$A$2:$AI$54,20,0)+VLOOKUP(F80,'Feuerwaffen-Ressourcen'!$A$2:$AI$54,20,0)+VLOOKUP(G80,'Feuerwaffen-Ressourcen'!$A$2:$AI$54,20,0)+VLOOKUP(I80,'Feuerwaffen-Ressourcen'!$A$2:$AI$54,20,0)+VLOOKUP(J80,'Feuerwaffen-Ressourcen'!$A$2:$AI$54,20,0)</f>
        <v>-16</v>
      </c>
      <c r="U80" s="50">
        <f>VLOOKUP(B80,'Feuerwaffen-Ressourcen'!$A$2:$AI$54,21,0)+VLOOKUP(C80,'Feuerwaffen-Ressourcen'!$A$2:$AI$54,21,0)+VLOOKUP(D80,'Feuerwaffen-Ressourcen'!$A$2:$AI$54,21,0)+VLOOKUP(F80,'Feuerwaffen-Ressourcen'!$A$2:$AI$54,21,0)+VLOOKUP(G80,'Feuerwaffen-Ressourcen'!$A$2:$AI$54,21,0)+VLOOKUP(I80,'Feuerwaffen-Ressourcen'!$A$2:$AI$54,21,0)+VLOOKUP(J80,'Feuerwaffen-Ressourcen'!$A$2:$AI$54,21,0)</f>
        <v>-27</v>
      </c>
      <c r="V80" s="50">
        <f>VLOOKUP(B80,'Feuerwaffen-Ressourcen'!$A$2:$AI$54,22,0)+VLOOKUP(C80,'Feuerwaffen-Ressourcen'!$A$2:$AI$54,22,0)+VLOOKUP(D80,'Feuerwaffen-Ressourcen'!$A$2:$AI$54,22,0)+VLOOKUP(F80,'Feuerwaffen-Ressourcen'!$A$2:$AI$54,22,0)+VLOOKUP(G80,'Feuerwaffen-Ressourcen'!$A$2:$AI$54,22,0)+VLOOKUP(I80,'Feuerwaffen-Ressourcen'!$A$2:$AI$54,22,0)+VLOOKUP(J80,'Feuerwaffen-Ressourcen'!$A$2:$AI$54,22,0)</f>
        <v>-39</v>
      </c>
      <c r="W80" s="50">
        <f>VLOOKUP(B80,'Feuerwaffen-Ressourcen'!$A$2:$AI$54,23,0)+VLOOKUP(C80,'Feuerwaffen-Ressourcen'!$A$2:$AI$54,23,0)+VLOOKUP(D80,'Feuerwaffen-Ressourcen'!$A$2:$AI$54,23,0)+VLOOKUP(F80,'Feuerwaffen-Ressourcen'!$A$2:$AI$54,23,0)+VLOOKUP(G80,'Feuerwaffen-Ressourcen'!$A$2:$AI$54,23,0)+VLOOKUP(I80,'Feuerwaffen-Ressourcen'!$A$2:$AI$54,23,0)+VLOOKUP(J80,'Feuerwaffen-Ressourcen'!$A$2:$AI$54,23,0)</f>
        <v>-52</v>
      </c>
      <c r="X80" s="50">
        <f>VLOOKUP(B80,'Feuerwaffen-Ressourcen'!$A$2:$AI$54,24,0)+VLOOKUP(C80,'Feuerwaffen-Ressourcen'!$A$2:$AI$54,24,0)+VLOOKUP(D80,'Feuerwaffen-Ressourcen'!$A$2:$AI$54,24,0)+VLOOKUP(G80,'Feuerwaffen-Ressourcen'!$A$2:$AI$54,24,0)</f>
        <v>20</v>
      </c>
      <c r="Y80" s="50">
        <f>VLOOKUP(D80,'Feuerwaffen-Ressourcen'!$A$2:$AI$54,25,0)+VLOOKUP(E80,'Feuerwaffen-Ressourcen'!$A$2:$AI$54,25,0)+VLOOKUP(F80,'Feuerwaffen-Ressourcen'!$A$2:$AI$54,25,0)</f>
        <v>32</v>
      </c>
      <c r="Z80" s="50">
        <f>VLOOKUP(E80,'Feuerwaffen-Ressourcen'!$A$2:$AI$54,26,0)</f>
        <v>3</v>
      </c>
      <c r="AA80" s="50">
        <f>VLOOKUP(B80,'Feuerwaffen-Ressourcen'!$A$2:$AI$54,27,0)+VLOOKUP(D80,'Feuerwaffen-Ressourcen'!$A$2:$AI$54,27,0)+VLOOKUP(F80,'Feuerwaffen-Ressourcen'!$A$2:$AI$54,27,0)+VLOOKUP(I80,'Feuerwaffen-Ressourcen'!$A$2:$AI$54,27,0)</f>
        <v>-2</v>
      </c>
      <c r="AB80" s="50">
        <f>VLOOKUP(B80,'Feuerwaffen-Ressourcen'!$A$2:$AI$54,28,0)+VLOOKUP(C80,'Feuerwaffen-Ressourcen'!$A$2:$AI$54,28,0)+VLOOKUP(D80,'Feuerwaffen-Ressourcen'!$A$2:$AI$54,28,0)+VLOOKUP(E80,'Feuerwaffen-Ressourcen'!$A$2:$AI$54,28,0)+VLOOKUP(F80,'Feuerwaffen-Ressourcen'!$A$2:$AI$54,28,0)+VLOOKUP(G80,'Feuerwaffen-Ressourcen'!$A$2:$AI$54,28,0)+VLOOKUP(I80,'Feuerwaffen-Ressourcen'!$A$2:$AI$54,28,0)+VLOOKUP(J80,'Feuerwaffen-Ressourcen'!$A$2:$AI$54,28,0)</f>
        <v>105</v>
      </c>
      <c r="AC80" s="53">
        <f>VLOOKUP(I80,'Feuerwaffen-Ressourcen'!$A$2:$AI$54,31,0)*AD80+AE80</f>
        <v>502.7</v>
      </c>
      <c r="AD80" s="54">
        <f>VLOOKUP(B80,'Feuerwaffen-Ressourcen'!$A$2:$AI$54,30,0)+VLOOKUP(C80,'Feuerwaffen-Ressourcen'!$A$2:$AI$54,30,0)+VLOOKUP(D80,'Feuerwaffen-Ressourcen'!$A$2:$AI$54,30,0)+VLOOKUP(F80,'Feuerwaffen-Ressourcen'!$A$2:$AI$54,30,0)+VLOOKUP(G80,'Feuerwaffen-Ressourcen'!$A$2:$AI$54,30,0)+VLOOKUP(I80,'Feuerwaffen-Ressourcen'!$A$2:$AI$54,30,0)+VLOOKUP(J80,'Feuerwaffen-Ressourcen'!$A$2:$AI$54,30,0)</f>
        <v>8.1999999999999993</v>
      </c>
      <c r="AE80" s="53">
        <f>(VLOOKUP(C80,'Feuerwaffen-Ressourcen'!$A$2:$AI$54,32,0)+VLOOKUP(I80,'Feuerwaffen-Ressourcen'!$A$2:$AI$54,32,0))*(VLOOKUP(B80,'Feuerwaffen-Ressourcen'!$A$2:$AI$54,34,0)+VLOOKUP(C80,'Feuerwaffen-Ressourcen'!$A$2:$AI$54,34,0)+VLOOKUP(D80,'Feuerwaffen-Ressourcen'!$A$2:$AI$54,34,0)+VLOOKUP(E80,'Feuerwaffen-Ressourcen'!$A$2:$AI$54,34,0)+VLOOKUP(G80,'Feuerwaffen-Ressourcen'!$A$2:$AI$54,34,0))+VLOOKUP(B80,'Feuerwaffen-Ressourcen'!$A$2:$AI$54,35,0)+VLOOKUP(C80,'Feuerwaffen-Ressourcen'!$A$2:$AI$54,35,0)+VLOOKUP(D80,'Feuerwaffen-Ressourcen'!$A$2:$AI$54,35,0)</f>
        <v>469.9</v>
      </c>
      <c r="AF80" s="55">
        <f>VLOOKUP(AB80,'Feuerwaffen-Ressourcen'!$AO$3:$AP$9,2,1)</f>
        <v>5</v>
      </c>
      <c r="AG80" s="55">
        <v>0</v>
      </c>
      <c r="AH80" s="28" t="s">
        <v>1420</v>
      </c>
      <c r="AI80" s="28" t="s">
        <v>8657</v>
      </c>
      <c r="AJ80" s="56">
        <v>3</v>
      </c>
      <c r="AK80" s="56" t="s">
        <v>5497</v>
      </c>
      <c r="AL80" s="56" t="s">
        <v>5486</v>
      </c>
      <c r="AM80" s="56">
        <v>3</v>
      </c>
      <c r="AN80" s="56">
        <v>5</v>
      </c>
      <c r="AO80" s="56">
        <v>4</v>
      </c>
      <c r="AP80" s="56">
        <v>4</v>
      </c>
      <c r="AQ80" s="56">
        <f>VLOOKUP(B80,'Feuerwaffen-Ressourcen'!$A$2:$AI$54,12,0)+VLOOKUP(C80,'Feuerwaffen-Ressourcen'!$A$2:$AI$54,12,0)+VLOOKUP(D80,'Feuerwaffen-Ressourcen'!$A$2:$AI$54,12,0)+VLOOKUP(J80,'Feuerwaffen-Ressourcen'!$A$2:$AI$54,12,0)</f>
        <v>13</v>
      </c>
      <c r="AR80" s="56">
        <f>VLOOKUP(B80,'Feuerwaffen-Ressourcen'!$A$2:$AI$54,12,0)+VLOOKUP(C80,'Feuerwaffen-Ressourcen'!$A$2:$AI$54,12,0)+VLOOKUP(D80,'Feuerwaffen-Ressourcen'!$A$2:$AI$54,12,0)+VLOOKUP(J80,'Feuerwaffen-Ressourcen'!$A$2:$AI$54,12,0)</f>
        <v>13</v>
      </c>
      <c r="AS80" s="56">
        <v>5</v>
      </c>
      <c r="AT80" s="56">
        <v>6</v>
      </c>
    </row>
    <row r="81" spans="1:46">
      <c r="A81" s="49" t="s">
        <v>8905</v>
      </c>
      <c r="B81" s="49" t="s">
        <v>1204</v>
      </c>
      <c r="C81" s="49" t="s">
        <v>8921</v>
      </c>
      <c r="D81" s="49" t="s">
        <v>8929</v>
      </c>
      <c r="E81" s="49" t="s">
        <v>8847</v>
      </c>
      <c r="F81" s="49" t="s">
        <v>8931</v>
      </c>
      <c r="G81" s="49" t="s">
        <v>8932</v>
      </c>
      <c r="H81" s="49" t="s">
        <v>8830</v>
      </c>
      <c r="I81" s="49" t="s">
        <v>7341</v>
      </c>
      <c r="J81" s="49" t="s">
        <v>7320</v>
      </c>
      <c r="K81" s="51">
        <f>VLOOKUP(B81,'Feuerwaffen-Ressourcen'!$A$2:$AI$54,11,0)+VLOOKUP(C81,'Feuerwaffen-Ressourcen'!$A$2:$AI$54,11,0)+VLOOKUP(D81,'Feuerwaffen-Ressourcen'!$A$2:$AI$54,11,0)+VLOOKUP(E81,'Feuerwaffen-Ressourcen'!$A$2:$AI$54,11,0)+VLOOKUP(G81,'Feuerwaffen-Ressourcen'!$A$2:$AI$54,11,0)</f>
        <v>4.1500000000000004</v>
      </c>
      <c r="L81" s="50">
        <f>VLOOKUP(B81,'Feuerwaffen-Ressourcen'!$A$2:$AI$54,12,0)+VLOOKUP(C81,'Feuerwaffen-Ressourcen'!$A$2:$AI$54,12,0)+VLOOKUP(D81,'Feuerwaffen-Ressourcen'!$A$2:$AI$54,12,0)+VLOOKUP(J81,'Feuerwaffen-Ressourcen'!$A$2:$AI$54,12,0)</f>
        <v>10</v>
      </c>
      <c r="M81" s="50" t="str">
        <f>VLOOKUP(VLOOKUP(B81,'Feuerwaffen-Ressourcen'!$A$2:$AI$54,13,0)+VLOOKUP(C81,'Feuerwaffen-Ressourcen'!$A$2:$AI$54,13,0)+VLOOKUP(D81,'Feuerwaffen-Ressourcen'!$A$2:$AI$54,13,0),'Feuerwaffen-Ressourcen'!$AJ$3:$AK$12,2,0)</f>
        <v>W10</v>
      </c>
      <c r="N81" s="50" t="str">
        <f>VLOOKUP(VLOOKUP(B81,'Feuerwaffen-Ressourcen'!$A$2:$AI$54,14,0)+VLOOKUP(C81,'Feuerwaffen-Ressourcen'!$A$2:$AI$54,14,0)+VLOOKUP(D81,'Feuerwaffen-Ressourcen'!$A$2:$AI$54,14,0),'Feuerwaffen-Ressourcen'!$AJ$3:$AK$12,2,0)</f>
        <v>W10</v>
      </c>
      <c r="O81" s="50">
        <f>VLOOKUP(B81,'Feuerwaffen-Ressourcen'!$A$2:$AI$54,15,0)+VLOOKUP(C81,'Feuerwaffen-Ressourcen'!$A$2:$AI$54,15,0)+VLOOKUP(D81,'Feuerwaffen-Ressourcen'!$A$2:$AI$54,15,0)</f>
        <v>1</v>
      </c>
      <c r="P81" s="50">
        <f>VLOOKUP(B81,'Feuerwaffen-Ressourcen'!$A$2:$AI$54,16,0)+VLOOKUP(C81,'Feuerwaffen-Ressourcen'!$A$2:$AI$54,16,0)+VLOOKUP(D81,'Feuerwaffen-Ressourcen'!$A$2:$AI$54,16,0)+VLOOKUP(E81,'Feuerwaffen-Ressourcen'!$A$2:$AI$54,16,0)</f>
        <v>19</v>
      </c>
      <c r="Q81" s="52">
        <f>VLOOKUP(B81,'Feuerwaffen-Ressourcen'!$A$2:$AI$54,17,0)+VLOOKUP(C81,'Feuerwaffen-Ressourcen'!$A$2:$AI$54,17,0)+VLOOKUP(D81,'Feuerwaffen-Ressourcen'!$A$2:$AI$54,17,0)+VLOOKUP(E81,'Feuerwaffen-Ressourcen'!$A$2:$AI$54,17,0)</f>
        <v>11</v>
      </c>
      <c r="R81" s="50">
        <f>VLOOKUP(B81,'Feuerwaffen-Ressourcen'!$A$2:$AI$54,18,0)+VLOOKUP(C81,'Feuerwaffen-Ressourcen'!$A$2:$AI$54,18,0)+VLOOKUP(D81,'Feuerwaffen-Ressourcen'!$A$2:$AI$54,18,0)+VLOOKUP(F81,'Feuerwaffen-Ressourcen'!$A$2:$AI$54,18,0)+VLOOKUP(G81,'Feuerwaffen-Ressourcen'!$A$2:$AI$54,18,0)+VLOOKUP(I81,'Feuerwaffen-Ressourcen'!$A$2:$AI$54,18,0)+VLOOKUP(J81,'Feuerwaffen-Ressourcen'!$A$2:$AI$54,18,0)</f>
        <v>10</v>
      </c>
      <c r="S81" s="50">
        <f>VLOOKUP(B81,'Feuerwaffen-Ressourcen'!$A$2:$AI$54,19,0)+VLOOKUP(C81,'Feuerwaffen-Ressourcen'!$A$2:$AI$54,19,0)+VLOOKUP(D81,'Feuerwaffen-Ressourcen'!$A$2:$AI$54,19,0)+VLOOKUP(F81,'Feuerwaffen-Ressourcen'!$A$2:$AI$54,19,0)+VLOOKUP(G81,'Feuerwaffen-Ressourcen'!$A$2:$AI$54,19,0)+VLOOKUP(I81,'Feuerwaffen-Ressourcen'!$A$2:$AI$54,19,0)+VLOOKUP(J81,'Feuerwaffen-Ressourcen'!$A$2:$AI$54,19,0)</f>
        <v>4</v>
      </c>
      <c r="T81" s="50">
        <f>VLOOKUP(B81,'Feuerwaffen-Ressourcen'!$A$2:$AI$54,20,0)+VLOOKUP(C81,'Feuerwaffen-Ressourcen'!$A$2:$AI$54,20,0)+VLOOKUP(D81,'Feuerwaffen-Ressourcen'!$A$2:$AI$54,20,0)+VLOOKUP(F81,'Feuerwaffen-Ressourcen'!$A$2:$AI$54,20,0)+VLOOKUP(G81,'Feuerwaffen-Ressourcen'!$A$2:$AI$54,20,0)+VLOOKUP(I81,'Feuerwaffen-Ressourcen'!$A$2:$AI$54,20,0)+VLOOKUP(J81,'Feuerwaffen-Ressourcen'!$A$2:$AI$54,20,0)</f>
        <v>-3</v>
      </c>
      <c r="U81" s="50">
        <f>VLOOKUP(B81,'Feuerwaffen-Ressourcen'!$A$2:$AI$54,21,0)+VLOOKUP(C81,'Feuerwaffen-Ressourcen'!$A$2:$AI$54,21,0)+VLOOKUP(D81,'Feuerwaffen-Ressourcen'!$A$2:$AI$54,21,0)+VLOOKUP(F81,'Feuerwaffen-Ressourcen'!$A$2:$AI$54,21,0)+VLOOKUP(G81,'Feuerwaffen-Ressourcen'!$A$2:$AI$54,21,0)+VLOOKUP(I81,'Feuerwaffen-Ressourcen'!$A$2:$AI$54,21,0)+VLOOKUP(J81,'Feuerwaffen-Ressourcen'!$A$2:$AI$54,21,0)</f>
        <v>-12</v>
      </c>
      <c r="V81" s="50">
        <f>VLOOKUP(B81,'Feuerwaffen-Ressourcen'!$A$2:$AI$54,22,0)+VLOOKUP(C81,'Feuerwaffen-Ressourcen'!$A$2:$AI$54,22,0)+VLOOKUP(D81,'Feuerwaffen-Ressourcen'!$A$2:$AI$54,22,0)+VLOOKUP(F81,'Feuerwaffen-Ressourcen'!$A$2:$AI$54,22,0)+VLOOKUP(G81,'Feuerwaffen-Ressourcen'!$A$2:$AI$54,22,0)+VLOOKUP(I81,'Feuerwaffen-Ressourcen'!$A$2:$AI$54,22,0)+VLOOKUP(J81,'Feuerwaffen-Ressourcen'!$A$2:$AI$54,22,0)</f>
        <v>-22</v>
      </c>
      <c r="W81" s="50">
        <f>VLOOKUP(B81,'Feuerwaffen-Ressourcen'!$A$2:$AI$54,23,0)+VLOOKUP(C81,'Feuerwaffen-Ressourcen'!$A$2:$AI$54,23,0)+VLOOKUP(D81,'Feuerwaffen-Ressourcen'!$A$2:$AI$54,23,0)+VLOOKUP(F81,'Feuerwaffen-Ressourcen'!$A$2:$AI$54,23,0)+VLOOKUP(G81,'Feuerwaffen-Ressourcen'!$A$2:$AI$54,23,0)+VLOOKUP(I81,'Feuerwaffen-Ressourcen'!$A$2:$AI$54,23,0)+VLOOKUP(J81,'Feuerwaffen-Ressourcen'!$A$2:$AI$54,23,0)</f>
        <v>-32</v>
      </c>
      <c r="X81" s="50">
        <f>VLOOKUP(B81,'Feuerwaffen-Ressourcen'!$A$2:$AI$54,24,0)+VLOOKUP(C81,'Feuerwaffen-Ressourcen'!$A$2:$AI$54,24,0)+VLOOKUP(D81,'Feuerwaffen-Ressourcen'!$A$2:$AI$54,24,0)+VLOOKUP(G81,'Feuerwaffen-Ressourcen'!$A$2:$AI$54,24,0)</f>
        <v>60</v>
      </c>
      <c r="Y81" s="50">
        <f>VLOOKUP(D81,'Feuerwaffen-Ressourcen'!$A$2:$AI$54,25,0)+VLOOKUP(E81,'Feuerwaffen-Ressourcen'!$A$2:$AI$54,25,0)+VLOOKUP(F81,'Feuerwaffen-Ressourcen'!$A$2:$AI$54,25,0)</f>
        <v>8</v>
      </c>
      <c r="Z81" s="50">
        <f>VLOOKUP(E81,'Feuerwaffen-Ressourcen'!$A$2:$AI$54,26,0)</f>
        <v>6</v>
      </c>
      <c r="AA81" s="50">
        <f>VLOOKUP(B81,'Feuerwaffen-Ressourcen'!$A$2:$AI$54,27,0)+VLOOKUP(D81,'Feuerwaffen-Ressourcen'!$A$2:$AI$54,27,0)+VLOOKUP(F81,'Feuerwaffen-Ressourcen'!$A$2:$AI$54,27,0)+VLOOKUP(I81,'Feuerwaffen-Ressourcen'!$A$2:$AI$54,27,0)</f>
        <v>-5</v>
      </c>
      <c r="AB81" s="50">
        <f>VLOOKUP(B81,'Feuerwaffen-Ressourcen'!$A$2:$AI$54,28,0)+VLOOKUP(C81,'Feuerwaffen-Ressourcen'!$A$2:$AI$54,28,0)+VLOOKUP(D81,'Feuerwaffen-Ressourcen'!$A$2:$AI$54,28,0)+VLOOKUP(E81,'Feuerwaffen-Ressourcen'!$A$2:$AI$54,28,0)+VLOOKUP(F81,'Feuerwaffen-Ressourcen'!$A$2:$AI$54,28,0)+VLOOKUP(G81,'Feuerwaffen-Ressourcen'!$A$2:$AI$54,28,0)+VLOOKUP(I81,'Feuerwaffen-Ressourcen'!$A$2:$AI$54,28,0)+VLOOKUP(J81,'Feuerwaffen-Ressourcen'!$A$2:$AI$54,28,0)</f>
        <v>40</v>
      </c>
      <c r="AC81" s="53">
        <f>VLOOKUP(I81,'Feuerwaffen-Ressourcen'!$A$2:$AI$54,31,0)*AD81+AE81</f>
        <v>330.59999999999991</v>
      </c>
      <c r="AD81" s="54">
        <f>VLOOKUP(B81,'Feuerwaffen-Ressourcen'!$A$2:$AI$54,30,0)+VLOOKUP(C81,'Feuerwaffen-Ressourcen'!$A$2:$AI$54,30,0)+VLOOKUP(D81,'Feuerwaffen-Ressourcen'!$A$2:$AI$54,30,0)+VLOOKUP(F81,'Feuerwaffen-Ressourcen'!$A$2:$AI$54,30,0)+VLOOKUP(G81,'Feuerwaffen-Ressourcen'!$A$2:$AI$54,30,0)+VLOOKUP(I81,'Feuerwaffen-Ressourcen'!$A$2:$AI$54,30,0)+VLOOKUP(J81,'Feuerwaffen-Ressourcen'!$A$2:$AI$54,30,0)</f>
        <v>11.7</v>
      </c>
      <c r="AE81" s="53">
        <f>(VLOOKUP(C81,'Feuerwaffen-Ressourcen'!$A$2:$AI$54,32,0)+VLOOKUP(I81,'Feuerwaffen-Ressourcen'!$A$2:$AI$54,32,0))*(VLOOKUP(B81,'Feuerwaffen-Ressourcen'!$A$2:$AI$54,34,0)+VLOOKUP(C81,'Feuerwaffen-Ressourcen'!$A$2:$AI$54,34,0)+VLOOKUP(D81,'Feuerwaffen-Ressourcen'!$A$2:$AI$54,34,0)+VLOOKUP(E81,'Feuerwaffen-Ressourcen'!$A$2:$AI$54,34,0)+VLOOKUP(G81,'Feuerwaffen-Ressourcen'!$A$2:$AI$54,34,0))+VLOOKUP(B81,'Feuerwaffen-Ressourcen'!$A$2:$AI$54,35,0)+VLOOKUP(C81,'Feuerwaffen-Ressourcen'!$A$2:$AI$54,35,0)+VLOOKUP(D81,'Feuerwaffen-Ressourcen'!$A$2:$AI$54,35,0)</f>
        <v>283.7999999999999</v>
      </c>
      <c r="AF81" s="55">
        <f>VLOOKUP(AB81,'Feuerwaffen-Ressourcen'!$AO$3:$AP$9,2,1)</f>
        <v>7</v>
      </c>
      <c r="AG81" s="55">
        <v>0</v>
      </c>
      <c r="AH81" s="28" t="s">
        <v>1420</v>
      </c>
      <c r="AI81" s="28" t="s">
        <v>8657</v>
      </c>
      <c r="AJ81" s="56">
        <v>3</v>
      </c>
      <c r="AK81" s="56" t="s">
        <v>5497</v>
      </c>
      <c r="AL81" s="56" t="s">
        <v>5486</v>
      </c>
      <c r="AM81" s="56">
        <v>3</v>
      </c>
      <c r="AN81" s="56">
        <v>5</v>
      </c>
      <c r="AO81" s="56">
        <v>4</v>
      </c>
      <c r="AP81" s="56">
        <v>4</v>
      </c>
      <c r="AQ81" s="56">
        <f>VLOOKUP(B81,'Feuerwaffen-Ressourcen'!$A$2:$AI$54,12,0)+VLOOKUP(C81,'Feuerwaffen-Ressourcen'!$A$2:$AI$54,12,0)+VLOOKUP(D81,'Feuerwaffen-Ressourcen'!$A$2:$AI$54,12,0)+VLOOKUP(J81,'Feuerwaffen-Ressourcen'!$A$2:$AI$54,12,0)</f>
        <v>10</v>
      </c>
      <c r="AR81" s="56">
        <f>VLOOKUP(B81,'Feuerwaffen-Ressourcen'!$A$2:$AI$54,12,0)+VLOOKUP(C81,'Feuerwaffen-Ressourcen'!$A$2:$AI$54,12,0)+VLOOKUP(D81,'Feuerwaffen-Ressourcen'!$A$2:$AI$54,12,0)+VLOOKUP(J81,'Feuerwaffen-Ressourcen'!$A$2:$AI$54,12,0)</f>
        <v>10</v>
      </c>
      <c r="AS81" s="56">
        <v>5</v>
      </c>
      <c r="AT81" s="56">
        <v>6</v>
      </c>
    </row>
    <row r="82" spans="1:46">
      <c r="A82" s="49" t="s">
        <v>8906</v>
      </c>
      <c r="B82" s="49" t="s">
        <v>1204</v>
      </c>
      <c r="C82" s="49" t="s">
        <v>8921</v>
      </c>
      <c r="D82" s="49" t="s">
        <v>8912</v>
      </c>
      <c r="E82" s="49" t="s">
        <v>8258</v>
      </c>
      <c r="F82" s="49" t="s">
        <v>8928</v>
      </c>
      <c r="G82" s="49" t="s">
        <v>8923</v>
      </c>
      <c r="H82" s="49" t="s">
        <v>8271</v>
      </c>
      <c r="I82" s="49" t="s">
        <v>7341</v>
      </c>
      <c r="J82" s="49" t="s">
        <v>7320</v>
      </c>
      <c r="K82" s="51">
        <f>VLOOKUP(B82,'Feuerwaffen-Ressourcen'!$A$2:$AI$54,11,0)+VLOOKUP(C82,'Feuerwaffen-Ressourcen'!$A$2:$AI$54,11,0)+VLOOKUP(D82,'Feuerwaffen-Ressourcen'!$A$2:$AI$54,11,0)+VLOOKUP(E82,'Feuerwaffen-Ressourcen'!$A$2:$AI$54,11,0)+VLOOKUP(G82,'Feuerwaffen-Ressourcen'!$A$2:$AI$54,11,0)</f>
        <v>4.8</v>
      </c>
      <c r="L82" s="50">
        <f>VLOOKUP(B82,'Feuerwaffen-Ressourcen'!$A$2:$AI$54,12,0)+VLOOKUP(C82,'Feuerwaffen-Ressourcen'!$A$2:$AI$54,12,0)+VLOOKUP(D82,'Feuerwaffen-Ressourcen'!$A$2:$AI$54,12,0)+VLOOKUP(J82,'Feuerwaffen-Ressourcen'!$A$2:$AI$54,12,0)</f>
        <v>11</v>
      </c>
      <c r="M82" s="50" t="str">
        <f>VLOOKUP(VLOOKUP(B82,'Feuerwaffen-Ressourcen'!$A$2:$AI$54,13,0)+VLOOKUP(C82,'Feuerwaffen-Ressourcen'!$A$2:$AI$54,13,0)+VLOOKUP(D82,'Feuerwaffen-Ressourcen'!$A$2:$AI$54,13,0),'Feuerwaffen-Ressourcen'!$AJ$3:$AK$12,2,0)</f>
        <v>W10</v>
      </c>
      <c r="N82" s="50" t="str">
        <f>VLOOKUP(VLOOKUP(B82,'Feuerwaffen-Ressourcen'!$A$2:$AI$54,14,0)+VLOOKUP(C82,'Feuerwaffen-Ressourcen'!$A$2:$AI$54,14,0)+VLOOKUP(D82,'Feuerwaffen-Ressourcen'!$A$2:$AI$54,14,0),'Feuerwaffen-Ressourcen'!$AJ$3:$AK$12,2,0)</f>
        <v>W10</v>
      </c>
      <c r="O82" s="50">
        <f>VLOOKUP(B82,'Feuerwaffen-Ressourcen'!$A$2:$AI$54,15,0)+VLOOKUP(C82,'Feuerwaffen-Ressourcen'!$A$2:$AI$54,15,0)+VLOOKUP(D82,'Feuerwaffen-Ressourcen'!$A$2:$AI$54,15,0)</f>
        <v>1</v>
      </c>
      <c r="P82" s="50">
        <f>VLOOKUP(B82,'Feuerwaffen-Ressourcen'!$A$2:$AI$54,16,0)+VLOOKUP(C82,'Feuerwaffen-Ressourcen'!$A$2:$AI$54,16,0)+VLOOKUP(D82,'Feuerwaffen-Ressourcen'!$A$2:$AI$54,16,0)+VLOOKUP(E82,'Feuerwaffen-Ressourcen'!$A$2:$AI$54,16,0)</f>
        <v>13</v>
      </c>
      <c r="Q82" s="52">
        <f>VLOOKUP(B82,'Feuerwaffen-Ressourcen'!$A$2:$AI$54,17,0)+VLOOKUP(C82,'Feuerwaffen-Ressourcen'!$A$2:$AI$54,17,0)+VLOOKUP(D82,'Feuerwaffen-Ressourcen'!$A$2:$AI$54,17,0)+VLOOKUP(E82,'Feuerwaffen-Ressourcen'!$A$2:$AI$54,17,0)</f>
        <v>17</v>
      </c>
      <c r="R82" s="50">
        <f>VLOOKUP(B82,'Feuerwaffen-Ressourcen'!$A$2:$AI$54,18,0)+VLOOKUP(C82,'Feuerwaffen-Ressourcen'!$A$2:$AI$54,18,0)+VLOOKUP(D82,'Feuerwaffen-Ressourcen'!$A$2:$AI$54,18,0)+VLOOKUP(F82,'Feuerwaffen-Ressourcen'!$A$2:$AI$54,18,0)+VLOOKUP(G82,'Feuerwaffen-Ressourcen'!$A$2:$AI$54,18,0)+VLOOKUP(I82,'Feuerwaffen-Ressourcen'!$A$2:$AI$54,18,0)+VLOOKUP(J82,'Feuerwaffen-Ressourcen'!$A$2:$AI$54,18,0)</f>
        <v>4</v>
      </c>
      <c r="S82" s="50">
        <f>VLOOKUP(B82,'Feuerwaffen-Ressourcen'!$A$2:$AI$54,19,0)+VLOOKUP(C82,'Feuerwaffen-Ressourcen'!$A$2:$AI$54,19,0)+VLOOKUP(D82,'Feuerwaffen-Ressourcen'!$A$2:$AI$54,19,0)+VLOOKUP(F82,'Feuerwaffen-Ressourcen'!$A$2:$AI$54,19,0)+VLOOKUP(G82,'Feuerwaffen-Ressourcen'!$A$2:$AI$54,19,0)+VLOOKUP(I82,'Feuerwaffen-Ressourcen'!$A$2:$AI$54,19,0)+VLOOKUP(J82,'Feuerwaffen-Ressourcen'!$A$2:$AI$54,19,0)</f>
        <v>-1</v>
      </c>
      <c r="T82" s="50">
        <f>VLOOKUP(B82,'Feuerwaffen-Ressourcen'!$A$2:$AI$54,20,0)+VLOOKUP(C82,'Feuerwaffen-Ressourcen'!$A$2:$AI$54,20,0)+VLOOKUP(D82,'Feuerwaffen-Ressourcen'!$A$2:$AI$54,20,0)+VLOOKUP(F82,'Feuerwaffen-Ressourcen'!$A$2:$AI$54,20,0)+VLOOKUP(G82,'Feuerwaffen-Ressourcen'!$A$2:$AI$54,20,0)+VLOOKUP(I82,'Feuerwaffen-Ressourcen'!$A$2:$AI$54,20,0)+VLOOKUP(J82,'Feuerwaffen-Ressourcen'!$A$2:$AI$54,20,0)</f>
        <v>-6</v>
      </c>
      <c r="U82" s="50">
        <f>VLOOKUP(B82,'Feuerwaffen-Ressourcen'!$A$2:$AI$54,21,0)+VLOOKUP(C82,'Feuerwaffen-Ressourcen'!$A$2:$AI$54,21,0)+VLOOKUP(D82,'Feuerwaffen-Ressourcen'!$A$2:$AI$54,21,0)+VLOOKUP(F82,'Feuerwaffen-Ressourcen'!$A$2:$AI$54,21,0)+VLOOKUP(G82,'Feuerwaffen-Ressourcen'!$A$2:$AI$54,21,0)+VLOOKUP(I82,'Feuerwaffen-Ressourcen'!$A$2:$AI$54,21,0)+VLOOKUP(J82,'Feuerwaffen-Ressourcen'!$A$2:$AI$54,21,0)</f>
        <v>-12</v>
      </c>
      <c r="V82" s="50">
        <f>VLOOKUP(B82,'Feuerwaffen-Ressourcen'!$A$2:$AI$54,22,0)+VLOOKUP(C82,'Feuerwaffen-Ressourcen'!$A$2:$AI$54,22,0)+VLOOKUP(D82,'Feuerwaffen-Ressourcen'!$A$2:$AI$54,22,0)+VLOOKUP(F82,'Feuerwaffen-Ressourcen'!$A$2:$AI$54,22,0)+VLOOKUP(G82,'Feuerwaffen-Ressourcen'!$A$2:$AI$54,22,0)+VLOOKUP(I82,'Feuerwaffen-Ressourcen'!$A$2:$AI$54,22,0)+VLOOKUP(J82,'Feuerwaffen-Ressourcen'!$A$2:$AI$54,22,0)</f>
        <v>-19</v>
      </c>
      <c r="W82" s="50">
        <f>VLOOKUP(B82,'Feuerwaffen-Ressourcen'!$A$2:$AI$54,23,0)+VLOOKUP(C82,'Feuerwaffen-Ressourcen'!$A$2:$AI$54,23,0)+VLOOKUP(D82,'Feuerwaffen-Ressourcen'!$A$2:$AI$54,23,0)+VLOOKUP(F82,'Feuerwaffen-Ressourcen'!$A$2:$AI$54,23,0)+VLOOKUP(G82,'Feuerwaffen-Ressourcen'!$A$2:$AI$54,23,0)+VLOOKUP(I82,'Feuerwaffen-Ressourcen'!$A$2:$AI$54,23,0)+VLOOKUP(J82,'Feuerwaffen-Ressourcen'!$A$2:$AI$54,23,0)</f>
        <v>-27</v>
      </c>
      <c r="X82" s="50">
        <f>VLOOKUP(B82,'Feuerwaffen-Ressourcen'!$A$2:$AI$54,24,0)+VLOOKUP(C82,'Feuerwaffen-Ressourcen'!$A$2:$AI$54,24,0)+VLOOKUP(D82,'Feuerwaffen-Ressourcen'!$A$2:$AI$54,24,0)+VLOOKUP(G82,'Feuerwaffen-Ressourcen'!$A$2:$AI$54,24,0)</f>
        <v>40</v>
      </c>
      <c r="Y82" s="50">
        <f>VLOOKUP(D82,'Feuerwaffen-Ressourcen'!$A$2:$AI$54,25,0)+VLOOKUP(E82,'Feuerwaffen-Ressourcen'!$A$2:$AI$54,25,0)+VLOOKUP(F82,'Feuerwaffen-Ressourcen'!$A$2:$AI$54,25,0)</f>
        <v>30</v>
      </c>
      <c r="Z82" s="50">
        <f>VLOOKUP(E82,'Feuerwaffen-Ressourcen'!$A$2:$AI$54,26,0)</f>
        <v>3</v>
      </c>
      <c r="AA82" s="50">
        <f>VLOOKUP(B82,'Feuerwaffen-Ressourcen'!$A$2:$AI$54,27,0)+VLOOKUP(D82,'Feuerwaffen-Ressourcen'!$A$2:$AI$54,27,0)+VLOOKUP(F82,'Feuerwaffen-Ressourcen'!$A$2:$AI$54,27,0)+VLOOKUP(I82,'Feuerwaffen-Ressourcen'!$A$2:$AI$54,27,0)</f>
        <v>-2</v>
      </c>
      <c r="AB82" s="50">
        <f>VLOOKUP(B82,'Feuerwaffen-Ressourcen'!$A$2:$AI$54,28,0)+VLOOKUP(C82,'Feuerwaffen-Ressourcen'!$A$2:$AI$54,28,0)+VLOOKUP(D82,'Feuerwaffen-Ressourcen'!$A$2:$AI$54,28,0)+VLOOKUP(E82,'Feuerwaffen-Ressourcen'!$A$2:$AI$54,28,0)+VLOOKUP(F82,'Feuerwaffen-Ressourcen'!$A$2:$AI$54,28,0)+VLOOKUP(G82,'Feuerwaffen-Ressourcen'!$A$2:$AI$54,28,0)+VLOOKUP(I82,'Feuerwaffen-Ressourcen'!$A$2:$AI$54,28,0)+VLOOKUP(J82,'Feuerwaffen-Ressourcen'!$A$2:$AI$54,28,0)</f>
        <v>120</v>
      </c>
      <c r="AC82" s="53">
        <f>VLOOKUP(I82,'Feuerwaffen-Ressourcen'!$A$2:$AI$54,31,0)*AD82+AE82</f>
        <v>378.7</v>
      </c>
      <c r="AD82" s="54">
        <f>VLOOKUP(B82,'Feuerwaffen-Ressourcen'!$A$2:$AI$54,30,0)+VLOOKUP(C82,'Feuerwaffen-Ressourcen'!$A$2:$AI$54,30,0)+VLOOKUP(D82,'Feuerwaffen-Ressourcen'!$A$2:$AI$54,30,0)+VLOOKUP(F82,'Feuerwaffen-Ressourcen'!$A$2:$AI$54,30,0)+VLOOKUP(G82,'Feuerwaffen-Ressourcen'!$A$2:$AI$54,30,0)+VLOOKUP(I82,'Feuerwaffen-Ressourcen'!$A$2:$AI$54,30,0)+VLOOKUP(J82,'Feuerwaffen-Ressourcen'!$A$2:$AI$54,30,0)</f>
        <v>7.1999999999999993</v>
      </c>
      <c r="AE82" s="53">
        <f>(VLOOKUP(C82,'Feuerwaffen-Ressourcen'!$A$2:$AI$54,32,0)+VLOOKUP(I82,'Feuerwaffen-Ressourcen'!$A$2:$AI$54,32,0))*(VLOOKUP(B82,'Feuerwaffen-Ressourcen'!$A$2:$AI$54,34,0)+VLOOKUP(C82,'Feuerwaffen-Ressourcen'!$A$2:$AI$54,34,0)+VLOOKUP(D82,'Feuerwaffen-Ressourcen'!$A$2:$AI$54,34,0)+VLOOKUP(E82,'Feuerwaffen-Ressourcen'!$A$2:$AI$54,34,0)+VLOOKUP(G82,'Feuerwaffen-Ressourcen'!$A$2:$AI$54,34,0))+VLOOKUP(B82,'Feuerwaffen-Ressourcen'!$A$2:$AI$54,35,0)+VLOOKUP(C82,'Feuerwaffen-Ressourcen'!$A$2:$AI$54,35,0)+VLOOKUP(D82,'Feuerwaffen-Ressourcen'!$A$2:$AI$54,35,0)</f>
        <v>349.9</v>
      </c>
      <c r="AF82" s="55">
        <f>VLOOKUP(AB82,'Feuerwaffen-Ressourcen'!$AO$3:$AP$9,2,1)</f>
        <v>4</v>
      </c>
      <c r="AG82" s="55">
        <v>0</v>
      </c>
      <c r="AH82" s="28" t="s">
        <v>1420</v>
      </c>
      <c r="AI82" s="28" t="s">
        <v>8657</v>
      </c>
      <c r="AJ82" s="56">
        <v>3</v>
      </c>
      <c r="AK82" s="56" t="s">
        <v>5497</v>
      </c>
      <c r="AL82" s="56" t="s">
        <v>5486</v>
      </c>
      <c r="AM82" s="56">
        <v>3</v>
      </c>
      <c r="AN82" s="56">
        <v>5</v>
      </c>
      <c r="AO82" s="56">
        <v>4</v>
      </c>
      <c r="AP82" s="56">
        <v>4</v>
      </c>
      <c r="AQ82" s="56">
        <f>VLOOKUP(B82,'Feuerwaffen-Ressourcen'!$A$2:$AI$54,12,0)+VLOOKUP(C82,'Feuerwaffen-Ressourcen'!$A$2:$AI$54,12,0)+VLOOKUP(D82,'Feuerwaffen-Ressourcen'!$A$2:$AI$54,12,0)+VLOOKUP(J82,'Feuerwaffen-Ressourcen'!$A$2:$AI$54,12,0)</f>
        <v>11</v>
      </c>
      <c r="AR82" s="56">
        <f>VLOOKUP(B82,'Feuerwaffen-Ressourcen'!$A$2:$AI$54,12,0)+VLOOKUP(C82,'Feuerwaffen-Ressourcen'!$A$2:$AI$54,12,0)+VLOOKUP(D82,'Feuerwaffen-Ressourcen'!$A$2:$AI$54,12,0)+VLOOKUP(J82,'Feuerwaffen-Ressourcen'!$A$2:$AI$54,12,0)</f>
        <v>11</v>
      </c>
      <c r="AS82" s="56">
        <v>5</v>
      </c>
      <c r="AT82" s="56">
        <v>6</v>
      </c>
    </row>
    <row r="83" spans="1:46">
      <c r="A83" s="49" t="s">
        <v>8907</v>
      </c>
      <c r="B83" s="49" t="s">
        <v>1204</v>
      </c>
      <c r="C83" s="49" t="s">
        <v>8824</v>
      </c>
      <c r="D83" s="49" t="s">
        <v>8945</v>
      </c>
      <c r="E83" s="49" t="s">
        <v>8258</v>
      </c>
      <c r="F83" s="49" t="s">
        <v>8928</v>
      </c>
      <c r="G83" s="49" t="s">
        <v>8923</v>
      </c>
      <c r="H83" s="49" t="s">
        <v>8271</v>
      </c>
      <c r="I83" s="49" t="s">
        <v>7341</v>
      </c>
      <c r="J83" s="49" t="s">
        <v>7320</v>
      </c>
      <c r="K83" s="51">
        <f>VLOOKUP(B83,'Feuerwaffen-Ressourcen'!$A$2:$AI$54,11,0)+VLOOKUP(C83,'Feuerwaffen-Ressourcen'!$A$2:$AI$54,11,0)+VLOOKUP(D83,'Feuerwaffen-Ressourcen'!$A$2:$AI$54,11,0)+VLOOKUP(E83,'Feuerwaffen-Ressourcen'!$A$2:$AI$54,11,0)+VLOOKUP(G83,'Feuerwaffen-Ressourcen'!$A$2:$AI$54,11,0)</f>
        <v>3.15</v>
      </c>
      <c r="L83" s="50">
        <f>VLOOKUP(B83,'Feuerwaffen-Ressourcen'!$A$2:$AI$54,12,0)+VLOOKUP(C83,'Feuerwaffen-Ressourcen'!$A$2:$AI$54,12,0)+VLOOKUP(D83,'Feuerwaffen-Ressourcen'!$A$2:$AI$54,12,0)+VLOOKUP(J83,'Feuerwaffen-Ressourcen'!$A$2:$AI$54,12,0)</f>
        <v>9</v>
      </c>
      <c r="M83" s="50" t="str">
        <f>VLOOKUP(VLOOKUP(B83,'Feuerwaffen-Ressourcen'!$A$2:$AI$54,13,0)+VLOOKUP(C83,'Feuerwaffen-Ressourcen'!$A$2:$AI$54,13,0)+VLOOKUP(D83,'Feuerwaffen-Ressourcen'!$A$2:$AI$54,13,0),'Feuerwaffen-Ressourcen'!$AJ$3:$AK$12,2,0)</f>
        <v>W10</v>
      </c>
      <c r="N83" s="50" t="str">
        <f>VLOOKUP(VLOOKUP(B83,'Feuerwaffen-Ressourcen'!$A$2:$AI$54,14,0)+VLOOKUP(C83,'Feuerwaffen-Ressourcen'!$A$2:$AI$54,14,0)+VLOOKUP(D83,'Feuerwaffen-Ressourcen'!$A$2:$AI$54,14,0),'Feuerwaffen-Ressourcen'!$AJ$3:$AK$12,2,0)</f>
        <v>W8</v>
      </c>
      <c r="O83" s="50">
        <f>VLOOKUP(B83,'Feuerwaffen-Ressourcen'!$A$2:$AI$54,15,0)+VLOOKUP(C83,'Feuerwaffen-Ressourcen'!$A$2:$AI$54,15,0)+VLOOKUP(D83,'Feuerwaffen-Ressourcen'!$A$2:$AI$54,15,0)</f>
        <v>0</v>
      </c>
      <c r="P83" s="50">
        <f>VLOOKUP(B83,'Feuerwaffen-Ressourcen'!$A$2:$AI$54,16,0)+VLOOKUP(C83,'Feuerwaffen-Ressourcen'!$A$2:$AI$54,16,0)+VLOOKUP(D83,'Feuerwaffen-Ressourcen'!$A$2:$AI$54,16,0)+VLOOKUP(E83,'Feuerwaffen-Ressourcen'!$A$2:$AI$54,16,0)</f>
        <v>8</v>
      </c>
      <c r="Q83" s="52">
        <f>VLOOKUP(B83,'Feuerwaffen-Ressourcen'!$A$2:$AI$54,17,0)+VLOOKUP(C83,'Feuerwaffen-Ressourcen'!$A$2:$AI$54,17,0)+VLOOKUP(D83,'Feuerwaffen-Ressourcen'!$A$2:$AI$54,17,0)+VLOOKUP(E83,'Feuerwaffen-Ressourcen'!$A$2:$AI$54,17,0)</f>
        <v>13</v>
      </c>
      <c r="R83" s="50">
        <f>VLOOKUP(B83,'Feuerwaffen-Ressourcen'!$A$2:$AI$54,18,0)+VLOOKUP(C83,'Feuerwaffen-Ressourcen'!$A$2:$AI$54,18,0)+VLOOKUP(D83,'Feuerwaffen-Ressourcen'!$A$2:$AI$54,18,0)+VLOOKUP(F83,'Feuerwaffen-Ressourcen'!$A$2:$AI$54,18,0)+VLOOKUP(G83,'Feuerwaffen-Ressourcen'!$A$2:$AI$54,18,0)+VLOOKUP(I83,'Feuerwaffen-Ressourcen'!$A$2:$AI$54,18,0)+VLOOKUP(J83,'Feuerwaffen-Ressourcen'!$A$2:$AI$54,18,0)</f>
        <v>6</v>
      </c>
      <c r="S83" s="50">
        <f>VLOOKUP(B83,'Feuerwaffen-Ressourcen'!$A$2:$AI$54,19,0)+VLOOKUP(C83,'Feuerwaffen-Ressourcen'!$A$2:$AI$54,19,0)+VLOOKUP(D83,'Feuerwaffen-Ressourcen'!$A$2:$AI$54,19,0)+VLOOKUP(F83,'Feuerwaffen-Ressourcen'!$A$2:$AI$54,19,0)+VLOOKUP(G83,'Feuerwaffen-Ressourcen'!$A$2:$AI$54,19,0)+VLOOKUP(I83,'Feuerwaffen-Ressourcen'!$A$2:$AI$54,19,0)+VLOOKUP(J83,'Feuerwaffen-Ressourcen'!$A$2:$AI$54,19,0)</f>
        <v>-2</v>
      </c>
      <c r="T83" s="50">
        <f>VLOOKUP(B83,'Feuerwaffen-Ressourcen'!$A$2:$AI$54,20,0)+VLOOKUP(C83,'Feuerwaffen-Ressourcen'!$A$2:$AI$54,20,0)+VLOOKUP(D83,'Feuerwaffen-Ressourcen'!$A$2:$AI$54,20,0)+VLOOKUP(F83,'Feuerwaffen-Ressourcen'!$A$2:$AI$54,20,0)+VLOOKUP(G83,'Feuerwaffen-Ressourcen'!$A$2:$AI$54,20,0)+VLOOKUP(I83,'Feuerwaffen-Ressourcen'!$A$2:$AI$54,20,0)+VLOOKUP(J83,'Feuerwaffen-Ressourcen'!$A$2:$AI$54,20,0)</f>
        <v>-12</v>
      </c>
      <c r="U83" s="50">
        <f>VLOOKUP(B83,'Feuerwaffen-Ressourcen'!$A$2:$AI$54,21,0)+VLOOKUP(C83,'Feuerwaffen-Ressourcen'!$A$2:$AI$54,21,0)+VLOOKUP(D83,'Feuerwaffen-Ressourcen'!$A$2:$AI$54,21,0)+VLOOKUP(F83,'Feuerwaffen-Ressourcen'!$A$2:$AI$54,21,0)+VLOOKUP(G83,'Feuerwaffen-Ressourcen'!$A$2:$AI$54,21,0)+VLOOKUP(I83,'Feuerwaffen-Ressourcen'!$A$2:$AI$54,21,0)+VLOOKUP(J83,'Feuerwaffen-Ressourcen'!$A$2:$AI$54,21,0)</f>
        <v>-24</v>
      </c>
      <c r="V83" s="50">
        <f>VLOOKUP(B83,'Feuerwaffen-Ressourcen'!$A$2:$AI$54,22,0)+VLOOKUP(C83,'Feuerwaffen-Ressourcen'!$A$2:$AI$54,22,0)+VLOOKUP(D83,'Feuerwaffen-Ressourcen'!$A$2:$AI$54,22,0)+VLOOKUP(F83,'Feuerwaffen-Ressourcen'!$A$2:$AI$54,22,0)+VLOOKUP(G83,'Feuerwaffen-Ressourcen'!$A$2:$AI$54,22,0)+VLOOKUP(I83,'Feuerwaffen-Ressourcen'!$A$2:$AI$54,22,0)+VLOOKUP(J83,'Feuerwaffen-Ressourcen'!$A$2:$AI$54,22,0)</f>
        <v>-38</v>
      </c>
      <c r="W83" s="50">
        <f>VLOOKUP(B83,'Feuerwaffen-Ressourcen'!$A$2:$AI$54,23,0)+VLOOKUP(C83,'Feuerwaffen-Ressourcen'!$A$2:$AI$54,23,0)+VLOOKUP(D83,'Feuerwaffen-Ressourcen'!$A$2:$AI$54,23,0)+VLOOKUP(F83,'Feuerwaffen-Ressourcen'!$A$2:$AI$54,23,0)+VLOOKUP(G83,'Feuerwaffen-Ressourcen'!$A$2:$AI$54,23,0)+VLOOKUP(I83,'Feuerwaffen-Ressourcen'!$A$2:$AI$54,23,0)+VLOOKUP(J83,'Feuerwaffen-Ressourcen'!$A$2:$AI$54,23,0)</f>
        <v>-54</v>
      </c>
      <c r="X83" s="50">
        <f>VLOOKUP(B83,'Feuerwaffen-Ressourcen'!$A$2:$AI$54,24,0)+VLOOKUP(C83,'Feuerwaffen-Ressourcen'!$A$2:$AI$54,24,0)+VLOOKUP(D83,'Feuerwaffen-Ressourcen'!$A$2:$AI$54,24,0)+VLOOKUP(G83,'Feuerwaffen-Ressourcen'!$A$2:$AI$54,24,0)</f>
        <v>30</v>
      </c>
      <c r="Y83" s="50">
        <f>VLOOKUP(D83,'Feuerwaffen-Ressourcen'!$A$2:$AI$54,25,0)+VLOOKUP(E83,'Feuerwaffen-Ressourcen'!$A$2:$AI$54,25,0)+VLOOKUP(F83,'Feuerwaffen-Ressourcen'!$A$2:$AI$54,25,0)</f>
        <v>33</v>
      </c>
      <c r="Z83" s="50">
        <f>VLOOKUP(E83,'Feuerwaffen-Ressourcen'!$A$2:$AI$54,26,0)</f>
        <v>3</v>
      </c>
      <c r="AA83" s="50">
        <f>VLOOKUP(B83,'Feuerwaffen-Ressourcen'!$A$2:$AI$54,27,0)+VLOOKUP(D83,'Feuerwaffen-Ressourcen'!$A$2:$AI$54,27,0)+VLOOKUP(F83,'Feuerwaffen-Ressourcen'!$A$2:$AI$54,27,0)+VLOOKUP(I83,'Feuerwaffen-Ressourcen'!$A$2:$AI$54,27,0)</f>
        <v>-2</v>
      </c>
      <c r="AB83" s="50">
        <f>VLOOKUP(B83,'Feuerwaffen-Ressourcen'!$A$2:$AI$54,28,0)+VLOOKUP(C83,'Feuerwaffen-Ressourcen'!$A$2:$AI$54,28,0)+VLOOKUP(D83,'Feuerwaffen-Ressourcen'!$A$2:$AI$54,28,0)+VLOOKUP(E83,'Feuerwaffen-Ressourcen'!$A$2:$AI$54,28,0)+VLOOKUP(F83,'Feuerwaffen-Ressourcen'!$A$2:$AI$54,28,0)+VLOOKUP(G83,'Feuerwaffen-Ressourcen'!$A$2:$AI$54,28,0)+VLOOKUP(I83,'Feuerwaffen-Ressourcen'!$A$2:$AI$54,28,0)+VLOOKUP(J83,'Feuerwaffen-Ressourcen'!$A$2:$AI$54,28,0)</f>
        <v>90</v>
      </c>
      <c r="AC83" s="53">
        <f>VLOOKUP(I83,'Feuerwaffen-Ressourcen'!$A$2:$AI$54,31,0)*AD83+AE83</f>
        <v>344.55</v>
      </c>
      <c r="AD83" s="54">
        <f>VLOOKUP(B83,'Feuerwaffen-Ressourcen'!$A$2:$AI$54,30,0)+VLOOKUP(C83,'Feuerwaffen-Ressourcen'!$A$2:$AI$54,30,0)+VLOOKUP(D83,'Feuerwaffen-Ressourcen'!$A$2:$AI$54,30,0)+VLOOKUP(F83,'Feuerwaffen-Ressourcen'!$A$2:$AI$54,30,0)+VLOOKUP(G83,'Feuerwaffen-Ressourcen'!$A$2:$AI$54,30,0)+VLOOKUP(I83,'Feuerwaffen-Ressourcen'!$A$2:$AI$54,30,0)+VLOOKUP(J83,'Feuerwaffen-Ressourcen'!$A$2:$AI$54,30,0)</f>
        <v>8</v>
      </c>
      <c r="AE83" s="53">
        <f>(VLOOKUP(C83,'Feuerwaffen-Ressourcen'!$A$2:$AI$54,32,0)+VLOOKUP(I83,'Feuerwaffen-Ressourcen'!$A$2:$AI$54,32,0))*(VLOOKUP(B83,'Feuerwaffen-Ressourcen'!$A$2:$AI$54,34,0)+VLOOKUP(C83,'Feuerwaffen-Ressourcen'!$A$2:$AI$54,34,0)+VLOOKUP(D83,'Feuerwaffen-Ressourcen'!$A$2:$AI$54,34,0)+VLOOKUP(E83,'Feuerwaffen-Ressourcen'!$A$2:$AI$54,34,0)+VLOOKUP(G83,'Feuerwaffen-Ressourcen'!$A$2:$AI$54,34,0))+VLOOKUP(B83,'Feuerwaffen-Ressourcen'!$A$2:$AI$54,35,0)+VLOOKUP(C83,'Feuerwaffen-Ressourcen'!$A$2:$AI$54,35,0)+VLOOKUP(D83,'Feuerwaffen-Ressourcen'!$A$2:$AI$54,35,0)</f>
        <v>312.55</v>
      </c>
      <c r="AF83" s="55">
        <f>VLOOKUP(AB83,'Feuerwaffen-Ressourcen'!$AO$3:$AP$9,2,1)</f>
        <v>5</v>
      </c>
      <c r="AG83" s="55">
        <v>0</v>
      </c>
      <c r="AH83" s="28" t="s">
        <v>1415</v>
      </c>
      <c r="AI83" s="28" t="s">
        <v>8926</v>
      </c>
      <c r="AJ83" s="56">
        <v>1.5</v>
      </c>
      <c r="AK83" s="56" t="s">
        <v>5497</v>
      </c>
      <c r="AL83" s="56" t="s">
        <v>7946</v>
      </c>
      <c r="AM83" s="56">
        <v>3</v>
      </c>
      <c r="AN83" s="56">
        <v>5</v>
      </c>
      <c r="AO83" s="56">
        <v>-2</v>
      </c>
      <c r="AP83" s="56">
        <v>-7</v>
      </c>
      <c r="AQ83" s="56">
        <v>9</v>
      </c>
      <c r="AR83" s="56" t="s">
        <v>7946</v>
      </c>
      <c r="AS83" s="56">
        <v>2</v>
      </c>
      <c r="AT83" s="56">
        <v>10</v>
      </c>
    </row>
    <row r="84" spans="1:46">
      <c r="A84" s="49" t="s">
        <v>5560</v>
      </c>
      <c r="B84" s="49" t="s">
        <v>1204</v>
      </c>
      <c r="C84" s="49" t="s">
        <v>8824</v>
      </c>
      <c r="D84" s="49" t="s">
        <v>8927</v>
      </c>
      <c r="E84" s="49" t="s">
        <v>8829</v>
      </c>
      <c r="F84" s="49" t="s">
        <v>8931</v>
      </c>
      <c r="G84" s="49" t="s">
        <v>8932</v>
      </c>
      <c r="H84" s="49" t="s">
        <v>8830</v>
      </c>
      <c r="I84" s="49" t="s">
        <v>7341</v>
      </c>
      <c r="J84" s="49" t="s">
        <v>7320</v>
      </c>
      <c r="K84" s="51">
        <f>VLOOKUP(B84,'Feuerwaffen-Ressourcen'!$A$2:$AI$54,11,0)+VLOOKUP(C84,'Feuerwaffen-Ressourcen'!$A$2:$AI$54,11,0)+VLOOKUP(D84,'Feuerwaffen-Ressourcen'!$A$2:$AI$54,11,0)+VLOOKUP(E84,'Feuerwaffen-Ressourcen'!$A$2:$AI$54,11,0)+VLOOKUP(G84,'Feuerwaffen-Ressourcen'!$A$2:$AI$54,11,0)</f>
        <v>2.8</v>
      </c>
      <c r="L84" s="50">
        <f>VLOOKUP(B84,'Feuerwaffen-Ressourcen'!$A$2:$AI$54,12,0)+VLOOKUP(C84,'Feuerwaffen-Ressourcen'!$A$2:$AI$54,12,0)+VLOOKUP(D84,'Feuerwaffen-Ressourcen'!$A$2:$AI$54,12,0)+VLOOKUP(J84,'Feuerwaffen-Ressourcen'!$A$2:$AI$54,12,0)</f>
        <v>8</v>
      </c>
      <c r="M84" s="50" t="str">
        <f>VLOOKUP(VLOOKUP(B84,'Feuerwaffen-Ressourcen'!$A$2:$AI$54,13,0)+VLOOKUP(C84,'Feuerwaffen-Ressourcen'!$A$2:$AI$54,13,0)+VLOOKUP(D84,'Feuerwaffen-Ressourcen'!$A$2:$AI$54,13,0),'Feuerwaffen-Ressourcen'!$AJ$3:$AK$12,2,0)</f>
        <v>W10</v>
      </c>
      <c r="N84" s="50" t="str">
        <f>VLOOKUP(VLOOKUP(B84,'Feuerwaffen-Ressourcen'!$A$2:$AI$54,14,0)+VLOOKUP(C84,'Feuerwaffen-Ressourcen'!$A$2:$AI$54,14,0)+VLOOKUP(D84,'Feuerwaffen-Ressourcen'!$A$2:$AI$54,14,0),'Feuerwaffen-Ressourcen'!$AJ$3:$AK$12,2,0)</f>
        <v>W10</v>
      </c>
      <c r="O84" s="50">
        <f>VLOOKUP(B84,'Feuerwaffen-Ressourcen'!$A$2:$AI$54,15,0)+VLOOKUP(C84,'Feuerwaffen-Ressourcen'!$A$2:$AI$54,15,0)+VLOOKUP(D84,'Feuerwaffen-Ressourcen'!$A$2:$AI$54,15,0)</f>
        <v>0</v>
      </c>
      <c r="P84" s="50">
        <f>VLOOKUP(B84,'Feuerwaffen-Ressourcen'!$A$2:$AI$54,16,0)+VLOOKUP(C84,'Feuerwaffen-Ressourcen'!$A$2:$AI$54,16,0)+VLOOKUP(D84,'Feuerwaffen-Ressourcen'!$A$2:$AI$54,16,0)+VLOOKUP(E84,'Feuerwaffen-Ressourcen'!$A$2:$AI$54,16,0)</f>
        <v>14</v>
      </c>
      <c r="Q84" s="52">
        <f>VLOOKUP(B84,'Feuerwaffen-Ressourcen'!$A$2:$AI$54,17,0)+VLOOKUP(C84,'Feuerwaffen-Ressourcen'!$A$2:$AI$54,17,0)+VLOOKUP(D84,'Feuerwaffen-Ressourcen'!$A$2:$AI$54,17,0)+VLOOKUP(E84,'Feuerwaffen-Ressourcen'!$A$2:$AI$54,17,0)</f>
        <v>8</v>
      </c>
      <c r="R84" s="50">
        <f>VLOOKUP(B84,'Feuerwaffen-Ressourcen'!$A$2:$AI$54,18,0)+VLOOKUP(C84,'Feuerwaffen-Ressourcen'!$A$2:$AI$54,18,0)+VLOOKUP(D84,'Feuerwaffen-Ressourcen'!$A$2:$AI$54,18,0)+VLOOKUP(F84,'Feuerwaffen-Ressourcen'!$A$2:$AI$54,18,0)+VLOOKUP(G84,'Feuerwaffen-Ressourcen'!$A$2:$AI$54,18,0)+VLOOKUP(I84,'Feuerwaffen-Ressourcen'!$A$2:$AI$54,18,0)+VLOOKUP(J84,'Feuerwaffen-Ressourcen'!$A$2:$AI$54,18,0)</f>
        <v>11</v>
      </c>
      <c r="S84" s="50">
        <f>VLOOKUP(B84,'Feuerwaffen-Ressourcen'!$A$2:$AI$54,19,0)+VLOOKUP(C84,'Feuerwaffen-Ressourcen'!$A$2:$AI$54,19,0)+VLOOKUP(D84,'Feuerwaffen-Ressourcen'!$A$2:$AI$54,19,0)+VLOOKUP(F84,'Feuerwaffen-Ressourcen'!$A$2:$AI$54,19,0)+VLOOKUP(G84,'Feuerwaffen-Ressourcen'!$A$2:$AI$54,19,0)+VLOOKUP(I84,'Feuerwaffen-Ressourcen'!$A$2:$AI$54,19,0)+VLOOKUP(J84,'Feuerwaffen-Ressourcen'!$A$2:$AI$54,19,0)</f>
        <v>4</v>
      </c>
      <c r="T84" s="50">
        <f>VLOOKUP(B84,'Feuerwaffen-Ressourcen'!$A$2:$AI$54,20,0)+VLOOKUP(C84,'Feuerwaffen-Ressourcen'!$A$2:$AI$54,20,0)+VLOOKUP(D84,'Feuerwaffen-Ressourcen'!$A$2:$AI$54,20,0)+VLOOKUP(F84,'Feuerwaffen-Ressourcen'!$A$2:$AI$54,20,0)+VLOOKUP(G84,'Feuerwaffen-Ressourcen'!$A$2:$AI$54,20,0)+VLOOKUP(I84,'Feuerwaffen-Ressourcen'!$A$2:$AI$54,20,0)+VLOOKUP(J84,'Feuerwaffen-Ressourcen'!$A$2:$AI$54,20,0)</f>
        <v>-6</v>
      </c>
      <c r="U84" s="50">
        <f>VLOOKUP(B84,'Feuerwaffen-Ressourcen'!$A$2:$AI$54,21,0)+VLOOKUP(C84,'Feuerwaffen-Ressourcen'!$A$2:$AI$54,21,0)+VLOOKUP(D84,'Feuerwaffen-Ressourcen'!$A$2:$AI$54,21,0)+VLOOKUP(F84,'Feuerwaffen-Ressourcen'!$A$2:$AI$54,21,0)+VLOOKUP(G84,'Feuerwaffen-Ressourcen'!$A$2:$AI$54,21,0)+VLOOKUP(I84,'Feuerwaffen-Ressourcen'!$A$2:$AI$54,21,0)+VLOOKUP(J84,'Feuerwaffen-Ressourcen'!$A$2:$AI$54,21,0)</f>
        <v>-19</v>
      </c>
      <c r="V84" s="50">
        <f>VLOOKUP(B84,'Feuerwaffen-Ressourcen'!$A$2:$AI$54,22,0)+VLOOKUP(C84,'Feuerwaffen-Ressourcen'!$A$2:$AI$54,22,0)+VLOOKUP(D84,'Feuerwaffen-Ressourcen'!$A$2:$AI$54,22,0)+VLOOKUP(F84,'Feuerwaffen-Ressourcen'!$A$2:$AI$54,22,0)+VLOOKUP(G84,'Feuerwaffen-Ressourcen'!$A$2:$AI$54,22,0)+VLOOKUP(I84,'Feuerwaffen-Ressourcen'!$A$2:$AI$54,22,0)+VLOOKUP(J84,'Feuerwaffen-Ressourcen'!$A$2:$AI$54,22,0)</f>
        <v>-34</v>
      </c>
      <c r="W84" s="50">
        <f>VLOOKUP(B84,'Feuerwaffen-Ressourcen'!$A$2:$AI$54,23,0)+VLOOKUP(C84,'Feuerwaffen-Ressourcen'!$A$2:$AI$54,23,0)+VLOOKUP(D84,'Feuerwaffen-Ressourcen'!$A$2:$AI$54,23,0)+VLOOKUP(F84,'Feuerwaffen-Ressourcen'!$A$2:$AI$54,23,0)+VLOOKUP(G84,'Feuerwaffen-Ressourcen'!$A$2:$AI$54,23,0)+VLOOKUP(I84,'Feuerwaffen-Ressourcen'!$A$2:$AI$54,23,0)+VLOOKUP(J84,'Feuerwaffen-Ressourcen'!$A$2:$AI$54,23,0)</f>
        <v>-50</v>
      </c>
      <c r="X84" s="50">
        <f>VLOOKUP(B84,'Feuerwaffen-Ressourcen'!$A$2:$AI$54,24,0)+VLOOKUP(C84,'Feuerwaffen-Ressourcen'!$A$2:$AI$54,24,0)+VLOOKUP(D84,'Feuerwaffen-Ressourcen'!$A$2:$AI$54,24,0)+VLOOKUP(G84,'Feuerwaffen-Ressourcen'!$A$2:$AI$54,24,0)</f>
        <v>60</v>
      </c>
      <c r="Y84" s="50">
        <f>VLOOKUP(D84,'Feuerwaffen-Ressourcen'!$A$2:$AI$54,25,0)+VLOOKUP(E84,'Feuerwaffen-Ressourcen'!$A$2:$AI$54,25,0)+VLOOKUP(F84,'Feuerwaffen-Ressourcen'!$A$2:$AI$54,25,0)</f>
        <v>9</v>
      </c>
      <c r="Z84" s="50">
        <f>VLOOKUP(E84,'Feuerwaffen-Ressourcen'!$A$2:$AI$54,26,0)</f>
        <v>6</v>
      </c>
      <c r="AA84" s="50">
        <f>VLOOKUP(B84,'Feuerwaffen-Ressourcen'!$A$2:$AI$54,27,0)+VLOOKUP(D84,'Feuerwaffen-Ressourcen'!$A$2:$AI$54,27,0)+VLOOKUP(F84,'Feuerwaffen-Ressourcen'!$A$2:$AI$54,27,0)+VLOOKUP(I84,'Feuerwaffen-Ressourcen'!$A$2:$AI$54,27,0)</f>
        <v>-5</v>
      </c>
      <c r="AB84" s="50">
        <f>VLOOKUP(B84,'Feuerwaffen-Ressourcen'!$A$2:$AI$54,28,0)+VLOOKUP(C84,'Feuerwaffen-Ressourcen'!$A$2:$AI$54,28,0)+VLOOKUP(D84,'Feuerwaffen-Ressourcen'!$A$2:$AI$54,28,0)+VLOOKUP(E84,'Feuerwaffen-Ressourcen'!$A$2:$AI$54,28,0)+VLOOKUP(F84,'Feuerwaffen-Ressourcen'!$A$2:$AI$54,28,0)+VLOOKUP(G84,'Feuerwaffen-Ressourcen'!$A$2:$AI$54,28,0)+VLOOKUP(I84,'Feuerwaffen-Ressourcen'!$A$2:$AI$54,28,0)+VLOOKUP(J84,'Feuerwaffen-Ressourcen'!$A$2:$AI$54,28,0)</f>
        <v>70</v>
      </c>
      <c r="AC84" s="53">
        <f>VLOOKUP(I84,'Feuerwaffen-Ressourcen'!$A$2:$AI$54,31,0)*AD84+AE84</f>
        <v>316.55</v>
      </c>
      <c r="AD84" s="54">
        <f>VLOOKUP(B84,'Feuerwaffen-Ressourcen'!$A$2:$AI$54,30,0)+VLOOKUP(C84,'Feuerwaffen-Ressourcen'!$A$2:$AI$54,30,0)+VLOOKUP(D84,'Feuerwaffen-Ressourcen'!$A$2:$AI$54,30,0)+VLOOKUP(F84,'Feuerwaffen-Ressourcen'!$A$2:$AI$54,30,0)+VLOOKUP(G84,'Feuerwaffen-Ressourcen'!$A$2:$AI$54,30,0)+VLOOKUP(I84,'Feuerwaffen-Ressourcen'!$A$2:$AI$54,30,0)+VLOOKUP(J84,'Feuerwaffen-Ressourcen'!$A$2:$AI$54,30,0)</f>
        <v>11.5</v>
      </c>
      <c r="AE84" s="53">
        <f>(VLOOKUP(C84,'Feuerwaffen-Ressourcen'!$A$2:$AI$54,32,0)+VLOOKUP(I84,'Feuerwaffen-Ressourcen'!$A$2:$AI$54,32,0))*(VLOOKUP(B84,'Feuerwaffen-Ressourcen'!$A$2:$AI$54,34,0)+VLOOKUP(C84,'Feuerwaffen-Ressourcen'!$A$2:$AI$54,34,0)+VLOOKUP(D84,'Feuerwaffen-Ressourcen'!$A$2:$AI$54,34,0)+VLOOKUP(E84,'Feuerwaffen-Ressourcen'!$A$2:$AI$54,34,0)+VLOOKUP(G84,'Feuerwaffen-Ressourcen'!$A$2:$AI$54,34,0))+VLOOKUP(B84,'Feuerwaffen-Ressourcen'!$A$2:$AI$54,35,0)+VLOOKUP(C84,'Feuerwaffen-Ressourcen'!$A$2:$AI$54,35,0)+VLOOKUP(D84,'Feuerwaffen-Ressourcen'!$A$2:$AI$54,35,0)</f>
        <v>270.55</v>
      </c>
      <c r="AF84" s="55">
        <f>VLOOKUP(AB84,'Feuerwaffen-Ressourcen'!$AO$3:$AP$9,2,1)</f>
        <v>6</v>
      </c>
      <c r="AG84" s="55">
        <v>0</v>
      </c>
      <c r="AH84" s="28" t="s">
        <v>1415</v>
      </c>
      <c r="AI84" s="28" t="s">
        <v>8926</v>
      </c>
      <c r="AJ84" s="56">
        <v>1.5</v>
      </c>
      <c r="AK84" s="56" t="s">
        <v>5497</v>
      </c>
      <c r="AL84" s="56" t="s">
        <v>7946</v>
      </c>
      <c r="AM84" s="56">
        <v>3</v>
      </c>
      <c r="AN84" s="56">
        <v>5</v>
      </c>
      <c r="AO84" s="56">
        <v>-2</v>
      </c>
      <c r="AP84" s="56">
        <v>-7</v>
      </c>
      <c r="AQ84" s="56">
        <v>8</v>
      </c>
      <c r="AR84" s="56" t="s">
        <v>7946</v>
      </c>
      <c r="AS84" s="56">
        <v>2</v>
      </c>
      <c r="AT84" s="56">
        <v>10</v>
      </c>
    </row>
    <row r="85" spans="1:46">
      <c r="A85" s="49" t="s">
        <v>8908</v>
      </c>
      <c r="B85" s="49" t="s">
        <v>1204</v>
      </c>
      <c r="C85" s="49" t="s">
        <v>8824</v>
      </c>
      <c r="D85" s="49" t="s">
        <v>8944</v>
      </c>
      <c r="E85" s="49" t="s">
        <v>8258</v>
      </c>
      <c r="F85" s="49" t="s">
        <v>8928</v>
      </c>
      <c r="G85" s="49" t="s">
        <v>8923</v>
      </c>
      <c r="H85" s="49" t="s">
        <v>8271</v>
      </c>
      <c r="I85" s="49" t="s">
        <v>7341</v>
      </c>
      <c r="J85" s="49" t="s">
        <v>7320</v>
      </c>
      <c r="K85" s="51">
        <f>VLOOKUP(B85,'Feuerwaffen-Ressourcen'!$A$2:$AI$54,11,0)+VLOOKUP(C85,'Feuerwaffen-Ressourcen'!$A$2:$AI$54,11,0)+VLOOKUP(D85,'Feuerwaffen-Ressourcen'!$A$2:$AI$54,11,0)+VLOOKUP(E85,'Feuerwaffen-Ressourcen'!$A$2:$AI$54,11,0)+VLOOKUP(G85,'Feuerwaffen-Ressourcen'!$A$2:$AI$54,11,0)</f>
        <v>2.8499999999999996</v>
      </c>
      <c r="L85" s="50">
        <f>VLOOKUP(B85,'Feuerwaffen-Ressourcen'!$A$2:$AI$54,12,0)+VLOOKUP(C85,'Feuerwaffen-Ressourcen'!$A$2:$AI$54,12,0)+VLOOKUP(D85,'Feuerwaffen-Ressourcen'!$A$2:$AI$54,12,0)+VLOOKUP(J85,'Feuerwaffen-Ressourcen'!$A$2:$AI$54,12,0)</f>
        <v>10</v>
      </c>
      <c r="M85" s="50" t="str">
        <f>VLOOKUP(VLOOKUP(B85,'Feuerwaffen-Ressourcen'!$A$2:$AI$54,13,0)+VLOOKUP(C85,'Feuerwaffen-Ressourcen'!$A$2:$AI$54,13,0)+VLOOKUP(D85,'Feuerwaffen-Ressourcen'!$A$2:$AI$54,13,0),'Feuerwaffen-Ressourcen'!$AJ$3:$AK$12,2,0)</f>
        <v>W12</v>
      </c>
      <c r="N85" s="50" t="str">
        <f>VLOOKUP(VLOOKUP(B85,'Feuerwaffen-Ressourcen'!$A$2:$AI$54,14,0)+VLOOKUP(C85,'Feuerwaffen-Ressourcen'!$A$2:$AI$54,14,0)+VLOOKUP(D85,'Feuerwaffen-Ressourcen'!$A$2:$AI$54,14,0),'Feuerwaffen-Ressourcen'!$AJ$3:$AK$12,2,0)</f>
        <v>W12</v>
      </c>
      <c r="O85" s="50">
        <f>VLOOKUP(B85,'Feuerwaffen-Ressourcen'!$A$2:$AI$54,15,0)+VLOOKUP(C85,'Feuerwaffen-Ressourcen'!$A$2:$AI$54,15,0)+VLOOKUP(D85,'Feuerwaffen-Ressourcen'!$A$2:$AI$54,15,0)</f>
        <v>3</v>
      </c>
      <c r="P85" s="50">
        <f>VLOOKUP(B85,'Feuerwaffen-Ressourcen'!$A$2:$AI$54,16,0)+VLOOKUP(C85,'Feuerwaffen-Ressourcen'!$A$2:$AI$54,16,0)+VLOOKUP(D85,'Feuerwaffen-Ressourcen'!$A$2:$AI$54,16,0)+VLOOKUP(E85,'Feuerwaffen-Ressourcen'!$A$2:$AI$54,16,0)</f>
        <v>5</v>
      </c>
      <c r="Q85" s="52">
        <f>VLOOKUP(B85,'Feuerwaffen-Ressourcen'!$A$2:$AI$54,17,0)+VLOOKUP(C85,'Feuerwaffen-Ressourcen'!$A$2:$AI$54,17,0)+VLOOKUP(D85,'Feuerwaffen-Ressourcen'!$A$2:$AI$54,17,0)+VLOOKUP(E85,'Feuerwaffen-Ressourcen'!$A$2:$AI$54,17,0)</f>
        <v>17</v>
      </c>
      <c r="R85" s="50">
        <f>VLOOKUP(B85,'Feuerwaffen-Ressourcen'!$A$2:$AI$54,18,0)+VLOOKUP(C85,'Feuerwaffen-Ressourcen'!$A$2:$AI$54,18,0)+VLOOKUP(D85,'Feuerwaffen-Ressourcen'!$A$2:$AI$54,18,0)+VLOOKUP(F85,'Feuerwaffen-Ressourcen'!$A$2:$AI$54,18,0)+VLOOKUP(G85,'Feuerwaffen-Ressourcen'!$A$2:$AI$54,18,0)+VLOOKUP(I85,'Feuerwaffen-Ressourcen'!$A$2:$AI$54,18,0)+VLOOKUP(J85,'Feuerwaffen-Ressourcen'!$A$2:$AI$54,18,0)</f>
        <v>7</v>
      </c>
      <c r="S85" s="50">
        <f>VLOOKUP(B85,'Feuerwaffen-Ressourcen'!$A$2:$AI$54,19,0)+VLOOKUP(C85,'Feuerwaffen-Ressourcen'!$A$2:$AI$54,19,0)+VLOOKUP(D85,'Feuerwaffen-Ressourcen'!$A$2:$AI$54,19,0)+VLOOKUP(F85,'Feuerwaffen-Ressourcen'!$A$2:$AI$54,19,0)+VLOOKUP(G85,'Feuerwaffen-Ressourcen'!$A$2:$AI$54,19,0)+VLOOKUP(I85,'Feuerwaffen-Ressourcen'!$A$2:$AI$54,19,0)+VLOOKUP(J85,'Feuerwaffen-Ressourcen'!$A$2:$AI$54,19,0)</f>
        <v>-6</v>
      </c>
      <c r="T85" s="50">
        <f>VLOOKUP(B85,'Feuerwaffen-Ressourcen'!$A$2:$AI$54,20,0)+VLOOKUP(C85,'Feuerwaffen-Ressourcen'!$A$2:$AI$54,20,0)+VLOOKUP(D85,'Feuerwaffen-Ressourcen'!$A$2:$AI$54,20,0)+VLOOKUP(F85,'Feuerwaffen-Ressourcen'!$A$2:$AI$54,20,0)+VLOOKUP(G85,'Feuerwaffen-Ressourcen'!$A$2:$AI$54,20,0)+VLOOKUP(I85,'Feuerwaffen-Ressourcen'!$A$2:$AI$54,20,0)+VLOOKUP(J85,'Feuerwaffen-Ressourcen'!$A$2:$AI$54,20,0)</f>
        <v>-21</v>
      </c>
      <c r="U85" s="50">
        <f>VLOOKUP(B85,'Feuerwaffen-Ressourcen'!$A$2:$AI$54,21,0)+VLOOKUP(C85,'Feuerwaffen-Ressourcen'!$A$2:$AI$54,21,0)+VLOOKUP(D85,'Feuerwaffen-Ressourcen'!$A$2:$AI$54,21,0)+VLOOKUP(F85,'Feuerwaffen-Ressourcen'!$A$2:$AI$54,21,0)+VLOOKUP(G85,'Feuerwaffen-Ressourcen'!$A$2:$AI$54,21,0)+VLOOKUP(I85,'Feuerwaffen-Ressourcen'!$A$2:$AI$54,21,0)+VLOOKUP(J85,'Feuerwaffen-Ressourcen'!$A$2:$AI$54,21,0)</f>
        <v>-38</v>
      </c>
      <c r="V85" s="50">
        <f>VLOOKUP(B85,'Feuerwaffen-Ressourcen'!$A$2:$AI$54,22,0)+VLOOKUP(C85,'Feuerwaffen-Ressourcen'!$A$2:$AI$54,22,0)+VLOOKUP(D85,'Feuerwaffen-Ressourcen'!$A$2:$AI$54,22,0)+VLOOKUP(F85,'Feuerwaffen-Ressourcen'!$A$2:$AI$54,22,0)+VLOOKUP(G85,'Feuerwaffen-Ressourcen'!$A$2:$AI$54,22,0)+VLOOKUP(I85,'Feuerwaffen-Ressourcen'!$A$2:$AI$54,22,0)+VLOOKUP(J85,'Feuerwaffen-Ressourcen'!$A$2:$AI$54,22,0)</f>
        <v>-57</v>
      </c>
      <c r="W85" s="50">
        <f>VLOOKUP(B85,'Feuerwaffen-Ressourcen'!$A$2:$AI$54,23,0)+VLOOKUP(C85,'Feuerwaffen-Ressourcen'!$A$2:$AI$54,23,0)+VLOOKUP(D85,'Feuerwaffen-Ressourcen'!$A$2:$AI$54,23,0)+VLOOKUP(F85,'Feuerwaffen-Ressourcen'!$A$2:$AI$54,23,0)+VLOOKUP(G85,'Feuerwaffen-Ressourcen'!$A$2:$AI$54,23,0)+VLOOKUP(I85,'Feuerwaffen-Ressourcen'!$A$2:$AI$54,23,0)+VLOOKUP(J85,'Feuerwaffen-Ressourcen'!$A$2:$AI$54,23,0)</f>
        <v>-78</v>
      </c>
      <c r="X85" s="50">
        <f>VLOOKUP(B85,'Feuerwaffen-Ressourcen'!$A$2:$AI$54,24,0)+VLOOKUP(C85,'Feuerwaffen-Ressourcen'!$A$2:$AI$54,24,0)+VLOOKUP(D85,'Feuerwaffen-Ressourcen'!$A$2:$AI$54,24,0)+VLOOKUP(G85,'Feuerwaffen-Ressourcen'!$A$2:$AI$54,24,0)</f>
        <v>20</v>
      </c>
      <c r="Y85" s="50">
        <f>VLOOKUP(D85,'Feuerwaffen-Ressourcen'!$A$2:$AI$54,25,0)+VLOOKUP(E85,'Feuerwaffen-Ressourcen'!$A$2:$AI$54,25,0)+VLOOKUP(F85,'Feuerwaffen-Ressourcen'!$A$2:$AI$54,25,0)</f>
        <v>32</v>
      </c>
      <c r="Z85" s="50">
        <f>VLOOKUP(E85,'Feuerwaffen-Ressourcen'!$A$2:$AI$54,26,0)</f>
        <v>3</v>
      </c>
      <c r="AA85" s="50">
        <f>VLOOKUP(B85,'Feuerwaffen-Ressourcen'!$A$2:$AI$54,27,0)+VLOOKUP(D85,'Feuerwaffen-Ressourcen'!$A$2:$AI$54,27,0)+VLOOKUP(F85,'Feuerwaffen-Ressourcen'!$A$2:$AI$54,27,0)+VLOOKUP(I85,'Feuerwaffen-Ressourcen'!$A$2:$AI$54,27,0)</f>
        <v>-2</v>
      </c>
      <c r="AB85" s="50">
        <f>VLOOKUP(B85,'Feuerwaffen-Ressourcen'!$A$2:$AI$54,28,0)+VLOOKUP(C85,'Feuerwaffen-Ressourcen'!$A$2:$AI$54,28,0)+VLOOKUP(D85,'Feuerwaffen-Ressourcen'!$A$2:$AI$54,28,0)+VLOOKUP(E85,'Feuerwaffen-Ressourcen'!$A$2:$AI$54,28,0)+VLOOKUP(F85,'Feuerwaffen-Ressourcen'!$A$2:$AI$54,28,0)+VLOOKUP(G85,'Feuerwaffen-Ressourcen'!$A$2:$AI$54,28,0)+VLOOKUP(I85,'Feuerwaffen-Ressourcen'!$A$2:$AI$54,28,0)+VLOOKUP(J85,'Feuerwaffen-Ressourcen'!$A$2:$AI$54,28,0)</f>
        <v>110</v>
      </c>
      <c r="AC85" s="53">
        <f>VLOOKUP(I85,'Feuerwaffen-Ressourcen'!$A$2:$AI$54,31,0)*AD85+AE85</f>
        <v>308.55</v>
      </c>
      <c r="AD85" s="54">
        <f>VLOOKUP(B85,'Feuerwaffen-Ressourcen'!$A$2:$AI$54,30,0)+VLOOKUP(C85,'Feuerwaffen-Ressourcen'!$A$2:$AI$54,30,0)+VLOOKUP(D85,'Feuerwaffen-Ressourcen'!$A$2:$AI$54,30,0)+VLOOKUP(F85,'Feuerwaffen-Ressourcen'!$A$2:$AI$54,30,0)+VLOOKUP(G85,'Feuerwaffen-Ressourcen'!$A$2:$AI$54,30,0)+VLOOKUP(I85,'Feuerwaffen-Ressourcen'!$A$2:$AI$54,30,0)+VLOOKUP(J85,'Feuerwaffen-Ressourcen'!$A$2:$AI$54,30,0)</f>
        <v>8</v>
      </c>
      <c r="AE85" s="53">
        <f>(VLOOKUP(C85,'Feuerwaffen-Ressourcen'!$A$2:$AI$54,32,0)+VLOOKUP(I85,'Feuerwaffen-Ressourcen'!$A$2:$AI$54,32,0))*(VLOOKUP(B85,'Feuerwaffen-Ressourcen'!$A$2:$AI$54,34,0)+VLOOKUP(C85,'Feuerwaffen-Ressourcen'!$A$2:$AI$54,34,0)+VLOOKUP(D85,'Feuerwaffen-Ressourcen'!$A$2:$AI$54,34,0)+VLOOKUP(E85,'Feuerwaffen-Ressourcen'!$A$2:$AI$54,34,0)+VLOOKUP(G85,'Feuerwaffen-Ressourcen'!$A$2:$AI$54,34,0))+VLOOKUP(B85,'Feuerwaffen-Ressourcen'!$A$2:$AI$54,35,0)+VLOOKUP(C85,'Feuerwaffen-Ressourcen'!$A$2:$AI$54,35,0)+VLOOKUP(D85,'Feuerwaffen-Ressourcen'!$A$2:$AI$54,35,0)</f>
        <v>276.55</v>
      </c>
      <c r="AF85" s="55">
        <f>VLOOKUP(AB85,'Feuerwaffen-Ressourcen'!$AO$3:$AP$9,2,1)</f>
        <v>4</v>
      </c>
      <c r="AG85" s="55">
        <v>0</v>
      </c>
      <c r="AH85" s="28" t="s">
        <v>1415</v>
      </c>
      <c r="AI85" s="28" t="s">
        <v>8926</v>
      </c>
      <c r="AJ85" s="56">
        <v>1.5</v>
      </c>
      <c r="AK85" s="56" t="s">
        <v>5497</v>
      </c>
      <c r="AL85" s="56" t="s">
        <v>7946</v>
      </c>
      <c r="AM85" s="56">
        <v>3</v>
      </c>
      <c r="AN85" s="56">
        <v>5</v>
      </c>
      <c r="AO85" s="56">
        <v>-2</v>
      </c>
      <c r="AP85" s="56">
        <v>-7</v>
      </c>
      <c r="AQ85" s="56">
        <v>10</v>
      </c>
      <c r="AR85" s="56" t="s">
        <v>7946</v>
      </c>
      <c r="AS85" s="56">
        <v>2</v>
      </c>
      <c r="AT85" s="56">
        <v>10</v>
      </c>
    </row>
    <row r="86" spans="1:46">
      <c r="A86" s="49" t="s">
        <v>8909</v>
      </c>
      <c r="B86" s="49" t="s">
        <v>1204</v>
      </c>
      <c r="C86" s="49" t="s">
        <v>8824</v>
      </c>
      <c r="D86" s="49" t="s">
        <v>8945</v>
      </c>
      <c r="E86" s="49" t="s">
        <v>8829</v>
      </c>
      <c r="F86" s="49" t="s">
        <v>8931</v>
      </c>
      <c r="G86" s="49" t="s">
        <v>8932</v>
      </c>
      <c r="H86" s="49" t="s">
        <v>8830</v>
      </c>
      <c r="I86" s="49" t="s">
        <v>7341</v>
      </c>
      <c r="J86" s="49" t="s">
        <v>7320</v>
      </c>
      <c r="K86" s="51">
        <f>VLOOKUP(B86,'Feuerwaffen-Ressourcen'!$A$2:$AI$54,11,0)+VLOOKUP(C86,'Feuerwaffen-Ressourcen'!$A$2:$AI$54,11,0)+VLOOKUP(D86,'Feuerwaffen-Ressourcen'!$A$2:$AI$54,11,0)+VLOOKUP(E86,'Feuerwaffen-Ressourcen'!$A$2:$AI$54,11,0)+VLOOKUP(G86,'Feuerwaffen-Ressourcen'!$A$2:$AI$54,11,0)</f>
        <v>3.4</v>
      </c>
      <c r="L86" s="50">
        <f>VLOOKUP(B86,'Feuerwaffen-Ressourcen'!$A$2:$AI$54,12,0)+VLOOKUP(C86,'Feuerwaffen-Ressourcen'!$A$2:$AI$54,12,0)+VLOOKUP(D86,'Feuerwaffen-Ressourcen'!$A$2:$AI$54,12,0)+VLOOKUP(J86,'Feuerwaffen-Ressourcen'!$A$2:$AI$54,12,0)</f>
        <v>9</v>
      </c>
      <c r="M86" s="50" t="str">
        <f>VLOOKUP(VLOOKUP(B86,'Feuerwaffen-Ressourcen'!$A$2:$AI$54,13,0)+VLOOKUP(C86,'Feuerwaffen-Ressourcen'!$A$2:$AI$54,13,0)+VLOOKUP(D86,'Feuerwaffen-Ressourcen'!$A$2:$AI$54,13,0),'Feuerwaffen-Ressourcen'!$AJ$3:$AK$12,2,0)</f>
        <v>W10</v>
      </c>
      <c r="N86" s="50" t="str">
        <f>VLOOKUP(VLOOKUP(B86,'Feuerwaffen-Ressourcen'!$A$2:$AI$54,14,0)+VLOOKUP(C86,'Feuerwaffen-Ressourcen'!$A$2:$AI$54,14,0)+VLOOKUP(D86,'Feuerwaffen-Ressourcen'!$A$2:$AI$54,14,0),'Feuerwaffen-Ressourcen'!$AJ$3:$AK$12,2,0)</f>
        <v>W8</v>
      </c>
      <c r="O86" s="50">
        <f>VLOOKUP(B86,'Feuerwaffen-Ressourcen'!$A$2:$AI$54,15,0)+VLOOKUP(C86,'Feuerwaffen-Ressourcen'!$A$2:$AI$54,15,0)+VLOOKUP(D86,'Feuerwaffen-Ressourcen'!$A$2:$AI$54,15,0)</f>
        <v>0</v>
      </c>
      <c r="P86" s="50">
        <f>VLOOKUP(B86,'Feuerwaffen-Ressourcen'!$A$2:$AI$54,16,0)+VLOOKUP(C86,'Feuerwaffen-Ressourcen'!$A$2:$AI$54,16,0)+VLOOKUP(D86,'Feuerwaffen-Ressourcen'!$A$2:$AI$54,16,0)+VLOOKUP(E86,'Feuerwaffen-Ressourcen'!$A$2:$AI$54,16,0)</f>
        <v>14</v>
      </c>
      <c r="Q86" s="52">
        <f>VLOOKUP(B86,'Feuerwaffen-Ressourcen'!$A$2:$AI$54,17,0)+VLOOKUP(C86,'Feuerwaffen-Ressourcen'!$A$2:$AI$54,17,0)+VLOOKUP(D86,'Feuerwaffen-Ressourcen'!$A$2:$AI$54,17,0)+VLOOKUP(E86,'Feuerwaffen-Ressourcen'!$A$2:$AI$54,17,0)</f>
        <v>7</v>
      </c>
      <c r="R86" s="50">
        <f>VLOOKUP(B86,'Feuerwaffen-Ressourcen'!$A$2:$AI$54,18,0)+VLOOKUP(C86,'Feuerwaffen-Ressourcen'!$A$2:$AI$54,18,0)+VLOOKUP(D86,'Feuerwaffen-Ressourcen'!$A$2:$AI$54,18,0)+VLOOKUP(F86,'Feuerwaffen-Ressourcen'!$A$2:$AI$54,18,0)+VLOOKUP(G86,'Feuerwaffen-Ressourcen'!$A$2:$AI$54,18,0)+VLOOKUP(I86,'Feuerwaffen-Ressourcen'!$A$2:$AI$54,18,0)+VLOOKUP(J86,'Feuerwaffen-Ressourcen'!$A$2:$AI$54,18,0)</f>
        <v>10</v>
      </c>
      <c r="S86" s="50">
        <f>VLOOKUP(B86,'Feuerwaffen-Ressourcen'!$A$2:$AI$54,19,0)+VLOOKUP(C86,'Feuerwaffen-Ressourcen'!$A$2:$AI$54,19,0)+VLOOKUP(D86,'Feuerwaffen-Ressourcen'!$A$2:$AI$54,19,0)+VLOOKUP(F86,'Feuerwaffen-Ressourcen'!$A$2:$AI$54,19,0)+VLOOKUP(G86,'Feuerwaffen-Ressourcen'!$A$2:$AI$54,19,0)+VLOOKUP(I86,'Feuerwaffen-Ressourcen'!$A$2:$AI$54,19,0)+VLOOKUP(J86,'Feuerwaffen-Ressourcen'!$A$2:$AI$54,19,0)</f>
        <v>3</v>
      </c>
      <c r="T86" s="50">
        <f>VLOOKUP(B86,'Feuerwaffen-Ressourcen'!$A$2:$AI$54,20,0)+VLOOKUP(C86,'Feuerwaffen-Ressourcen'!$A$2:$AI$54,20,0)+VLOOKUP(D86,'Feuerwaffen-Ressourcen'!$A$2:$AI$54,20,0)+VLOOKUP(F86,'Feuerwaffen-Ressourcen'!$A$2:$AI$54,20,0)+VLOOKUP(G86,'Feuerwaffen-Ressourcen'!$A$2:$AI$54,20,0)+VLOOKUP(I86,'Feuerwaffen-Ressourcen'!$A$2:$AI$54,20,0)+VLOOKUP(J86,'Feuerwaffen-Ressourcen'!$A$2:$AI$54,20,0)</f>
        <v>-7</v>
      </c>
      <c r="U86" s="50">
        <f>VLOOKUP(B86,'Feuerwaffen-Ressourcen'!$A$2:$AI$54,21,0)+VLOOKUP(C86,'Feuerwaffen-Ressourcen'!$A$2:$AI$54,21,0)+VLOOKUP(D86,'Feuerwaffen-Ressourcen'!$A$2:$AI$54,21,0)+VLOOKUP(F86,'Feuerwaffen-Ressourcen'!$A$2:$AI$54,21,0)+VLOOKUP(G86,'Feuerwaffen-Ressourcen'!$A$2:$AI$54,21,0)+VLOOKUP(I86,'Feuerwaffen-Ressourcen'!$A$2:$AI$54,21,0)+VLOOKUP(J86,'Feuerwaffen-Ressourcen'!$A$2:$AI$54,21,0)</f>
        <v>-20</v>
      </c>
      <c r="V86" s="50">
        <f>VLOOKUP(B86,'Feuerwaffen-Ressourcen'!$A$2:$AI$54,22,0)+VLOOKUP(C86,'Feuerwaffen-Ressourcen'!$A$2:$AI$54,22,0)+VLOOKUP(D86,'Feuerwaffen-Ressourcen'!$A$2:$AI$54,22,0)+VLOOKUP(F86,'Feuerwaffen-Ressourcen'!$A$2:$AI$54,22,0)+VLOOKUP(G86,'Feuerwaffen-Ressourcen'!$A$2:$AI$54,22,0)+VLOOKUP(I86,'Feuerwaffen-Ressourcen'!$A$2:$AI$54,22,0)+VLOOKUP(J86,'Feuerwaffen-Ressourcen'!$A$2:$AI$54,22,0)</f>
        <v>-35</v>
      </c>
      <c r="W86" s="50">
        <f>VLOOKUP(B86,'Feuerwaffen-Ressourcen'!$A$2:$AI$54,23,0)+VLOOKUP(C86,'Feuerwaffen-Ressourcen'!$A$2:$AI$54,23,0)+VLOOKUP(D86,'Feuerwaffen-Ressourcen'!$A$2:$AI$54,23,0)+VLOOKUP(F86,'Feuerwaffen-Ressourcen'!$A$2:$AI$54,23,0)+VLOOKUP(G86,'Feuerwaffen-Ressourcen'!$A$2:$AI$54,23,0)+VLOOKUP(I86,'Feuerwaffen-Ressourcen'!$A$2:$AI$54,23,0)+VLOOKUP(J86,'Feuerwaffen-Ressourcen'!$A$2:$AI$54,23,0)</f>
        <v>-51</v>
      </c>
      <c r="X86" s="50">
        <f>VLOOKUP(B86,'Feuerwaffen-Ressourcen'!$A$2:$AI$54,24,0)+VLOOKUP(C86,'Feuerwaffen-Ressourcen'!$A$2:$AI$54,24,0)+VLOOKUP(D86,'Feuerwaffen-Ressourcen'!$A$2:$AI$54,24,0)+VLOOKUP(G86,'Feuerwaffen-Ressourcen'!$A$2:$AI$54,24,0)</f>
        <v>60</v>
      </c>
      <c r="Y86" s="50">
        <f>VLOOKUP(D86,'Feuerwaffen-Ressourcen'!$A$2:$AI$54,25,0)+VLOOKUP(E86,'Feuerwaffen-Ressourcen'!$A$2:$AI$54,25,0)+VLOOKUP(F86,'Feuerwaffen-Ressourcen'!$A$2:$AI$54,25,0)</f>
        <v>12</v>
      </c>
      <c r="Z86" s="50">
        <f>VLOOKUP(E86,'Feuerwaffen-Ressourcen'!$A$2:$AI$54,26,0)</f>
        <v>6</v>
      </c>
      <c r="AA86" s="50">
        <f>VLOOKUP(B86,'Feuerwaffen-Ressourcen'!$A$2:$AI$54,27,0)+VLOOKUP(D86,'Feuerwaffen-Ressourcen'!$A$2:$AI$54,27,0)+VLOOKUP(F86,'Feuerwaffen-Ressourcen'!$A$2:$AI$54,27,0)+VLOOKUP(I86,'Feuerwaffen-Ressourcen'!$A$2:$AI$54,27,0)</f>
        <v>-5</v>
      </c>
      <c r="AB86" s="50">
        <f>VLOOKUP(B86,'Feuerwaffen-Ressourcen'!$A$2:$AI$54,28,0)+VLOOKUP(C86,'Feuerwaffen-Ressourcen'!$A$2:$AI$54,28,0)+VLOOKUP(D86,'Feuerwaffen-Ressourcen'!$A$2:$AI$54,28,0)+VLOOKUP(E86,'Feuerwaffen-Ressourcen'!$A$2:$AI$54,28,0)+VLOOKUP(F86,'Feuerwaffen-Ressourcen'!$A$2:$AI$54,28,0)+VLOOKUP(G86,'Feuerwaffen-Ressourcen'!$A$2:$AI$54,28,0)+VLOOKUP(I86,'Feuerwaffen-Ressourcen'!$A$2:$AI$54,28,0)+VLOOKUP(J86,'Feuerwaffen-Ressourcen'!$A$2:$AI$54,28,0)</f>
        <v>40</v>
      </c>
      <c r="AC86" s="53">
        <f>VLOOKUP(I86,'Feuerwaffen-Ressourcen'!$A$2:$AI$54,31,0)*AD86+AE86</f>
        <v>392.55</v>
      </c>
      <c r="AD86" s="54">
        <f>VLOOKUP(B86,'Feuerwaffen-Ressourcen'!$A$2:$AI$54,30,0)+VLOOKUP(C86,'Feuerwaffen-Ressourcen'!$A$2:$AI$54,30,0)+VLOOKUP(D86,'Feuerwaffen-Ressourcen'!$A$2:$AI$54,30,0)+VLOOKUP(F86,'Feuerwaffen-Ressourcen'!$A$2:$AI$54,30,0)+VLOOKUP(G86,'Feuerwaffen-Ressourcen'!$A$2:$AI$54,30,0)+VLOOKUP(I86,'Feuerwaffen-Ressourcen'!$A$2:$AI$54,30,0)+VLOOKUP(J86,'Feuerwaffen-Ressourcen'!$A$2:$AI$54,30,0)</f>
        <v>12.5</v>
      </c>
      <c r="AE86" s="53">
        <f>(VLOOKUP(C86,'Feuerwaffen-Ressourcen'!$A$2:$AI$54,32,0)+VLOOKUP(I86,'Feuerwaffen-Ressourcen'!$A$2:$AI$54,32,0))*(VLOOKUP(B86,'Feuerwaffen-Ressourcen'!$A$2:$AI$54,34,0)+VLOOKUP(C86,'Feuerwaffen-Ressourcen'!$A$2:$AI$54,34,0)+VLOOKUP(D86,'Feuerwaffen-Ressourcen'!$A$2:$AI$54,34,0)+VLOOKUP(E86,'Feuerwaffen-Ressourcen'!$A$2:$AI$54,34,0)+VLOOKUP(G86,'Feuerwaffen-Ressourcen'!$A$2:$AI$54,34,0))+VLOOKUP(B86,'Feuerwaffen-Ressourcen'!$A$2:$AI$54,35,0)+VLOOKUP(C86,'Feuerwaffen-Ressourcen'!$A$2:$AI$54,35,0)+VLOOKUP(D86,'Feuerwaffen-Ressourcen'!$A$2:$AI$54,35,0)</f>
        <v>342.55</v>
      </c>
      <c r="AF86" s="55">
        <f>VLOOKUP(AB86,'Feuerwaffen-Ressourcen'!$AO$3:$AP$9,2,1)</f>
        <v>7</v>
      </c>
      <c r="AG86" s="55">
        <v>0</v>
      </c>
      <c r="AH86" s="28" t="s">
        <v>1415</v>
      </c>
      <c r="AI86" s="28" t="s">
        <v>8926</v>
      </c>
      <c r="AJ86" s="56">
        <v>1.5</v>
      </c>
      <c r="AK86" s="56" t="s">
        <v>5497</v>
      </c>
      <c r="AL86" s="56" t="s">
        <v>7946</v>
      </c>
      <c r="AM86" s="56">
        <v>3</v>
      </c>
      <c r="AN86" s="56">
        <v>5</v>
      </c>
      <c r="AO86" s="56">
        <v>-2</v>
      </c>
      <c r="AP86" s="56">
        <v>-7</v>
      </c>
      <c r="AQ86" s="56">
        <v>9</v>
      </c>
      <c r="AR86" s="56" t="s">
        <v>7946</v>
      </c>
      <c r="AS86" s="56">
        <v>2</v>
      </c>
      <c r="AT86" s="56">
        <v>10</v>
      </c>
    </row>
    <row r="87" spans="1:46">
      <c r="A87" s="49" t="s">
        <v>8910</v>
      </c>
      <c r="B87" s="49" t="s">
        <v>1204</v>
      </c>
      <c r="C87" s="49" t="s">
        <v>8824</v>
      </c>
      <c r="D87" s="49" t="s">
        <v>8927</v>
      </c>
      <c r="E87" s="49" t="s">
        <v>8258</v>
      </c>
      <c r="F87" s="49" t="s">
        <v>8928</v>
      </c>
      <c r="G87" s="49" t="s">
        <v>8923</v>
      </c>
      <c r="H87" s="49" t="s">
        <v>8271</v>
      </c>
      <c r="I87" s="49" t="s">
        <v>7341</v>
      </c>
      <c r="J87" s="49" t="s">
        <v>7320</v>
      </c>
      <c r="K87" s="51">
        <f>VLOOKUP(B87,'Feuerwaffen-Ressourcen'!$A$2:$AI$54,11,0)+VLOOKUP(C87,'Feuerwaffen-Ressourcen'!$A$2:$AI$54,11,0)+VLOOKUP(D87,'Feuerwaffen-Ressourcen'!$A$2:$AI$54,11,0)+VLOOKUP(E87,'Feuerwaffen-Ressourcen'!$A$2:$AI$54,11,0)+VLOOKUP(G87,'Feuerwaffen-Ressourcen'!$A$2:$AI$54,11,0)</f>
        <v>2.5499999999999998</v>
      </c>
      <c r="L87" s="50">
        <f>VLOOKUP(B87,'Feuerwaffen-Ressourcen'!$A$2:$AI$54,12,0)+VLOOKUP(C87,'Feuerwaffen-Ressourcen'!$A$2:$AI$54,12,0)+VLOOKUP(D87,'Feuerwaffen-Ressourcen'!$A$2:$AI$54,12,0)+VLOOKUP(J87,'Feuerwaffen-Ressourcen'!$A$2:$AI$54,12,0)</f>
        <v>8</v>
      </c>
      <c r="M87" s="50" t="str">
        <f>VLOOKUP(VLOOKUP(B87,'Feuerwaffen-Ressourcen'!$A$2:$AI$54,13,0)+VLOOKUP(C87,'Feuerwaffen-Ressourcen'!$A$2:$AI$54,13,0)+VLOOKUP(D87,'Feuerwaffen-Ressourcen'!$A$2:$AI$54,13,0),'Feuerwaffen-Ressourcen'!$AJ$3:$AK$12,2,0)</f>
        <v>W10</v>
      </c>
      <c r="N87" s="50" t="str">
        <f>VLOOKUP(VLOOKUP(B87,'Feuerwaffen-Ressourcen'!$A$2:$AI$54,14,0)+VLOOKUP(C87,'Feuerwaffen-Ressourcen'!$A$2:$AI$54,14,0)+VLOOKUP(D87,'Feuerwaffen-Ressourcen'!$A$2:$AI$54,14,0),'Feuerwaffen-Ressourcen'!$AJ$3:$AK$12,2,0)</f>
        <v>W10</v>
      </c>
      <c r="O87" s="50">
        <f>VLOOKUP(B87,'Feuerwaffen-Ressourcen'!$A$2:$AI$54,15,0)+VLOOKUP(C87,'Feuerwaffen-Ressourcen'!$A$2:$AI$54,15,0)+VLOOKUP(D87,'Feuerwaffen-Ressourcen'!$A$2:$AI$54,15,0)</f>
        <v>0</v>
      </c>
      <c r="P87" s="50">
        <f>VLOOKUP(B87,'Feuerwaffen-Ressourcen'!$A$2:$AI$54,16,0)+VLOOKUP(C87,'Feuerwaffen-Ressourcen'!$A$2:$AI$54,16,0)+VLOOKUP(D87,'Feuerwaffen-Ressourcen'!$A$2:$AI$54,16,0)+VLOOKUP(E87,'Feuerwaffen-Ressourcen'!$A$2:$AI$54,16,0)</f>
        <v>8</v>
      </c>
      <c r="Q87" s="52">
        <f>VLOOKUP(B87,'Feuerwaffen-Ressourcen'!$A$2:$AI$54,17,0)+VLOOKUP(C87,'Feuerwaffen-Ressourcen'!$A$2:$AI$54,17,0)+VLOOKUP(D87,'Feuerwaffen-Ressourcen'!$A$2:$AI$54,17,0)+VLOOKUP(E87,'Feuerwaffen-Ressourcen'!$A$2:$AI$54,17,0)</f>
        <v>14</v>
      </c>
      <c r="R87" s="50">
        <f>VLOOKUP(B87,'Feuerwaffen-Ressourcen'!$A$2:$AI$54,18,0)+VLOOKUP(C87,'Feuerwaffen-Ressourcen'!$A$2:$AI$54,18,0)+VLOOKUP(D87,'Feuerwaffen-Ressourcen'!$A$2:$AI$54,18,0)+VLOOKUP(F87,'Feuerwaffen-Ressourcen'!$A$2:$AI$54,18,0)+VLOOKUP(G87,'Feuerwaffen-Ressourcen'!$A$2:$AI$54,18,0)+VLOOKUP(I87,'Feuerwaffen-Ressourcen'!$A$2:$AI$54,18,0)+VLOOKUP(J87,'Feuerwaffen-Ressourcen'!$A$2:$AI$54,18,0)</f>
        <v>7</v>
      </c>
      <c r="S87" s="50">
        <f>VLOOKUP(B87,'Feuerwaffen-Ressourcen'!$A$2:$AI$54,19,0)+VLOOKUP(C87,'Feuerwaffen-Ressourcen'!$A$2:$AI$54,19,0)+VLOOKUP(D87,'Feuerwaffen-Ressourcen'!$A$2:$AI$54,19,0)+VLOOKUP(F87,'Feuerwaffen-Ressourcen'!$A$2:$AI$54,19,0)+VLOOKUP(G87,'Feuerwaffen-Ressourcen'!$A$2:$AI$54,19,0)+VLOOKUP(I87,'Feuerwaffen-Ressourcen'!$A$2:$AI$54,19,0)+VLOOKUP(J87,'Feuerwaffen-Ressourcen'!$A$2:$AI$54,19,0)</f>
        <v>-1</v>
      </c>
      <c r="T87" s="50">
        <f>VLOOKUP(B87,'Feuerwaffen-Ressourcen'!$A$2:$AI$54,20,0)+VLOOKUP(C87,'Feuerwaffen-Ressourcen'!$A$2:$AI$54,20,0)+VLOOKUP(D87,'Feuerwaffen-Ressourcen'!$A$2:$AI$54,20,0)+VLOOKUP(F87,'Feuerwaffen-Ressourcen'!$A$2:$AI$54,20,0)+VLOOKUP(G87,'Feuerwaffen-Ressourcen'!$A$2:$AI$54,20,0)+VLOOKUP(I87,'Feuerwaffen-Ressourcen'!$A$2:$AI$54,20,0)+VLOOKUP(J87,'Feuerwaffen-Ressourcen'!$A$2:$AI$54,20,0)</f>
        <v>-11</v>
      </c>
      <c r="U87" s="50">
        <f>VLOOKUP(B87,'Feuerwaffen-Ressourcen'!$A$2:$AI$54,21,0)+VLOOKUP(C87,'Feuerwaffen-Ressourcen'!$A$2:$AI$54,21,0)+VLOOKUP(D87,'Feuerwaffen-Ressourcen'!$A$2:$AI$54,21,0)+VLOOKUP(F87,'Feuerwaffen-Ressourcen'!$A$2:$AI$54,21,0)+VLOOKUP(G87,'Feuerwaffen-Ressourcen'!$A$2:$AI$54,21,0)+VLOOKUP(I87,'Feuerwaffen-Ressourcen'!$A$2:$AI$54,21,0)+VLOOKUP(J87,'Feuerwaffen-Ressourcen'!$A$2:$AI$54,21,0)</f>
        <v>-23</v>
      </c>
      <c r="V87" s="50">
        <f>VLOOKUP(B87,'Feuerwaffen-Ressourcen'!$A$2:$AI$54,22,0)+VLOOKUP(C87,'Feuerwaffen-Ressourcen'!$A$2:$AI$54,22,0)+VLOOKUP(D87,'Feuerwaffen-Ressourcen'!$A$2:$AI$54,22,0)+VLOOKUP(F87,'Feuerwaffen-Ressourcen'!$A$2:$AI$54,22,0)+VLOOKUP(G87,'Feuerwaffen-Ressourcen'!$A$2:$AI$54,22,0)+VLOOKUP(I87,'Feuerwaffen-Ressourcen'!$A$2:$AI$54,22,0)+VLOOKUP(J87,'Feuerwaffen-Ressourcen'!$A$2:$AI$54,22,0)</f>
        <v>-37</v>
      </c>
      <c r="W87" s="50">
        <f>VLOOKUP(B87,'Feuerwaffen-Ressourcen'!$A$2:$AI$54,23,0)+VLOOKUP(C87,'Feuerwaffen-Ressourcen'!$A$2:$AI$54,23,0)+VLOOKUP(D87,'Feuerwaffen-Ressourcen'!$A$2:$AI$54,23,0)+VLOOKUP(F87,'Feuerwaffen-Ressourcen'!$A$2:$AI$54,23,0)+VLOOKUP(G87,'Feuerwaffen-Ressourcen'!$A$2:$AI$54,23,0)+VLOOKUP(I87,'Feuerwaffen-Ressourcen'!$A$2:$AI$54,23,0)+VLOOKUP(J87,'Feuerwaffen-Ressourcen'!$A$2:$AI$54,23,0)</f>
        <v>-53</v>
      </c>
      <c r="X87" s="50">
        <f>VLOOKUP(B87,'Feuerwaffen-Ressourcen'!$A$2:$AI$54,24,0)+VLOOKUP(C87,'Feuerwaffen-Ressourcen'!$A$2:$AI$54,24,0)+VLOOKUP(D87,'Feuerwaffen-Ressourcen'!$A$2:$AI$54,24,0)+VLOOKUP(G87,'Feuerwaffen-Ressourcen'!$A$2:$AI$54,24,0)</f>
        <v>30</v>
      </c>
      <c r="Y87" s="50">
        <f>VLOOKUP(D87,'Feuerwaffen-Ressourcen'!$A$2:$AI$54,25,0)+VLOOKUP(E87,'Feuerwaffen-Ressourcen'!$A$2:$AI$54,25,0)+VLOOKUP(F87,'Feuerwaffen-Ressourcen'!$A$2:$AI$54,25,0)</f>
        <v>30</v>
      </c>
      <c r="Z87" s="50">
        <f>VLOOKUP(E87,'Feuerwaffen-Ressourcen'!$A$2:$AI$54,26,0)</f>
        <v>3</v>
      </c>
      <c r="AA87" s="50">
        <f>VLOOKUP(B87,'Feuerwaffen-Ressourcen'!$A$2:$AI$54,27,0)+VLOOKUP(D87,'Feuerwaffen-Ressourcen'!$A$2:$AI$54,27,0)+VLOOKUP(F87,'Feuerwaffen-Ressourcen'!$A$2:$AI$54,27,0)+VLOOKUP(I87,'Feuerwaffen-Ressourcen'!$A$2:$AI$54,27,0)</f>
        <v>-2</v>
      </c>
      <c r="AB87" s="50">
        <f>VLOOKUP(B87,'Feuerwaffen-Ressourcen'!$A$2:$AI$54,28,0)+VLOOKUP(C87,'Feuerwaffen-Ressourcen'!$A$2:$AI$54,28,0)+VLOOKUP(D87,'Feuerwaffen-Ressourcen'!$A$2:$AI$54,28,0)+VLOOKUP(E87,'Feuerwaffen-Ressourcen'!$A$2:$AI$54,28,0)+VLOOKUP(F87,'Feuerwaffen-Ressourcen'!$A$2:$AI$54,28,0)+VLOOKUP(G87,'Feuerwaffen-Ressourcen'!$A$2:$AI$54,28,0)+VLOOKUP(I87,'Feuerwaffen-Ressourcen'!$A$2:$AI$54,28,0)+VLOOKUP(J87,'Feuerwaffen-Ressourcen'!$A$2:$AI$54,28,0)</f>
        <v>120</v>
      </c>
      <c r="AC87" s="53">
        <f>VLOOKUP(I87,'Feuerwaffen-Ressourcen'!$A$2:$AI$54,31,0)*AD87+AE87</f>
        <v>268.55</v>
      </c>
      <c r="AD87" s="54">
        <f>VLOOKUP(B87,'Feuerwaffen-Ressourcen'!$A$2:$AI$54,30,0)+VLOOKUP(C87,'Feuerwaffen-Ressourcen'!$A$2:$AI$54,30,0)+VLOOKUP(D87,'Feuerwaffen-Ressourcen'!$A$2:$AI$54,30,0)+VLOOKUP(F87,'Feuerwaffen-Ressourcen'!$A$2:$AI$54,30,0)+VLOOKUP(G87,'Feuerwaffen-Ressourcen'!$A$2:$AI$54,30,0)+VLOOKUP(I87,'Feuerwaffen-Ressourcen'!$A$2:$AI$54,30,0)+VLOOKUP(J87,'Feuerwaffen-Ressourcen'!$A$2:$AI$54,30,0)</f>
        <v>7</v>
      </c>
      <c r="AE87" s="53">
        <f>(VLOOKUP(C87,'Feuerwaffen-Ressourcen'!$A$2:$AI$54,32,0)+VLOOKUP(I87,'Feuerwaffen-Ressourcen'!$A$2:$AI$54,32,0))*(VLOOKUP(B87,'Feuerwaffen-Ressourcen'!$A$2:$AI$54,34,0)+VLOOKUP(C87,'Feuerwaffen-Ressourcen'!$A$2:$AI$54,34,0)+VLOOKUP(D87,'Feuerwaffen-Ressourcen'!$A$2:$AI$54,34,0)+VLOOKUP(E87,'Feuerwaffen-Ressourcen'!$A$2:$AI$54,34,0)+VLOOKUP(G87,'Feuerwaffen-Ressourcen'!$A$2:$AI$54,34,0))+VLOOKUP(B87,'Feuerwaffen-Ressourcen'!$A$2:$AI$54,35,0)+VLOOKUP(C87,'Feuerwaffen-Ressourcen'!$A$2:$AI$54,35,0)+VLOOKUP(D87,'Feuerwaffen-Ressourcen'!$A$2:$AI$54,35,0)</f>
        <v>240.55</v>
      </c>
      <c r="AF87" s="55">
        <f>VLOOKUP(AB87,'Feuerwaffen-Ressourcen'!$AO$3:$AP$9,2,1)</f>
        <v>4</v>
      </c>
      <c r="AG87" s="55">
        <v>0</v>
      </c>
      <c r="AH87" s="28" t="s">
        <v>1415</v>
      </c>
      <c r="AI87" s="28" t="s">
        <v>8926</v>
      </c>
      <c r="AJ87" s="56">
        <v>1.5</v>
      </c>
      <c r="AK87" s="56" t="s">
        <v>5497</v>
      </c>
      <c r="AL87" s="56" t="s">
        <v>7946</v>
      </c>
      <c r="AM87" s="56">
        <v>3</v>
      </c>
      <c r="AN87" s="56">
        <v>5</v>
      </c>
      <c r="AO87" s="56">
        <v>-2</v>
      </c>
      <c r="AP87" s="56">
        <v>-7</v>
      </c>
      <c r="AQ87" s="56">
        <v>8</v>
      </c>
      <c r="AR87" s="56" t="s">
        <v>7946</v>
      </c>
      <c r="AS87" s="56">
        <v>2</v>
      </c>
      <c r="AT87" s="56">
        <v>10</v>
      </c>
    </row>
  </sheetData>
  <pageMargins left="0.7" right="0.7" top="0.75" bottom="0.75" header="0.3" footer="0.3"/>
  <legacy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P54"/>
  <sheetViews>
    <sheetView workbookViewId="0"/>
  </sheetViews>
  <sheetFormatPr baseColWidth="10" defaultColWidth="9.140625" defaultRowHeight="15"/>
  <cols>
    <col min="1" max="1" width="32" style="48" customWidth="1"/>
    <col min="2" max="10" width="16" style="48" customWidth="1"/>
    <col min="11" max="42" width="12" style="48" customWidth="1"/>
  </cols>
  <sheetData>
    <row r="1" spans="1:42" ht="33.950000000000003" customHeight="1">
      <c r="A1" s="45" t="s">
        <v>5474</v>
      </c>
      <c r="B1" s="46" t="s">
        <v>5455</v>
      </c>
      <c r="C1" s="46" t="s">
        <v>8643</v>
      </c>
      <c r="D1" s="46" t="s">
        <v>8916</v>
      </c>
      <c r="E1" s="46" t="s">
        <v>8812</v>
      </c>
      <c r="F1" s="46" t="s">
        <v>8917</v>
      </c>
      <c r="G1" s="46" t="s">
        <v>8918</v>
      </c>
      <c r="H1" s="46" t="s">
        <v>8919</v>
      </c>
      <c r="I1" s="46" t="s">
        <v>7221</v>
      </c>
      <c r="J1" s="46" t="s">
        <v>7222</v>
      </c>
      <c r="K1" s="46" t="s">
        <v>8644</v>
      </c>
      <c r="L1" s="46" t="s">
        <v>8947</v>
      </c>
      <c r="M1" s="46" t="s">
        <v>8948</v>
      </c>
      <c r="N1" s="46" t="s">
        <v>8949</v>
      </c>
      <c r="O1" s="46" t="s">
        <v>8648</v>
      </c>
      <c r="P1" s="46" t="s">
        <v>7350</v>
      </c>
      <c r="Q1" s="46" t="s">
        <v>8250</v>
      </c>
      <c r="R1" s="46" t="s">
        <v>8369</v>
      </c>
      <c r="S1" s="46" t="s">
        <v>8379</v>
      </c>
      <c r="T1" s="46" t="s">
        <v>8315</v>
      </c>
      <c r="U1" s="46" t="s">
        <v>8600</v>
      </c>
      <c r="V1" s="46" t="s">
        <v>8649</v>
      </c>
      <c r="W1" s="46" t="s">
        <v>8650</v>
      </c>
      <c r="X1" s="46" t="s">
        <v>5479</v>
      </c>
      <c r="Y1" s="46" t="s">
        <v>8651</v>
      </c>
      <c r="Z1" s="46" t="s">
        <v>8652</v>
      </c>
      <c r="AA1" s="46" t="s">
        <v>8653</v>
      </c>
      <c r="AB1" s="46" t="s">
        <v>8654</v>
      </c>
      <c r="AC1" s="46" t="s">
        <v>7225</v>
      </c>
      <c r="AD1" s="46" t="s">
        <v>8655</v>
      </c>
      <c r="AE1" s="46" t="s">
        <v>8950</v>
      </c>
      <c r="AF1" s="46" t="s">
        <v>8951</v>
      </c>
      <c r="AG1" s="46" t="s">
        <v>8952</v>
      </c>
      <c r="AH1" s="46" t="s">
        <v>8953</v>
      </c>
      <c r="AI1" s="46" t="s">
        <v>8954</v>
      </c>
      <c r="AJ1" s="46"/>
      <c r="AK1" s="46"/>
      <c r="AL1" s="46"/>
      <c r="AM1" s="46"/>
      <c r="AN1" s="46"/>
      <c r="AO1" s="46"/>
      <c r="AP1" s="47"/>
    </row>
    <row r="2" spans="1:42">
      <c r="A2" t="s">
        <v>8929</v>
      </c>
      <c r="C2" t="s">
        <v>8921</v>
      </c>
      <c r="D2" t="s">
        <v>8916</v>
      </c>
      <c r="K2">
        <f>AH2+AI2</f>
        <v>-0.9</v>
      </c>
      <c r="L2">
        <v>-1</v>
      </c>
      <c r="R2">
        <v>2</v>
      </c>
      <c r="T2">
        <v>-2</v>
      </c>
      <c r="U2">
        <v>-4</v>
      </c>
      <c r="V2">
        <v>-6</v>
      </c>
      <c r="W2">
        <v>-8</v>
      </c>
      <c r="X2">
        <v>-10</v>
      </c>
      <c r="AB2">
        <v>-20</v>
      </c>
      <c r="AH2">
        <v>-0.8</v>
      </c>
      <c r="AI2">
        <v>-0.1</v>
      </c>
      <c r="AJ2" t="s">
        <v>8955</v>
      </c>
      <c r="AL2" t="s">
        <v>5465</v>
      </c>
      <c r="AM2" t="s">
        <v>8956</v>
      </c>
      <c r="AO2" t="s">
        <v>8957</v>
      </c>
    </row>
    <row r="3" spans="1:42">
      <c r="A3" t="s">
        <v>8938</v>
      </c>
      <c r="C3" t="s">
        <v>8921</v>
      </c>
      <c r="D3" t="s">
        <v>8916</v>
      </c>
      <c r="K3">
        <v>-0.9</v>
      </c>
      <c r="L3">
        <v>-1</v>
      </c>
      <c r="R3">
        <v>2</v>
      </c>
      <c r="T3">
        <v>-2</v>
      </c>
      <c r="U3">
        <v>-4</v>
      </c>
      <c r="V3">
        <v>-6</v>
      </c>
      <c r="W3">
        <v>-8</v>
      </c>
      <c r="X3">
        <v>-10</v>
      </c>
      <c r="Y3">
        <v>-1</v>
      </c>
      <c r="AB3">
        <v>-10</v>
      </c>
      <c r="AH3">
        <v>-0.8</v>
      </c>
      <c r="AI3">
        <v>-0.1</v>
      </c>
      <c r="AJ3">
        <v>-4</v>
      </c>
      <c r="AK3" t="s">
        <v>8958</v>
      </c>
      <c r="AL3" t="s">
        <v>7929</v>
      </c>
      <c r="AM3" t="s">
        <v>7929</v>
      </c>
      <c r="AO3">
        <v>-9999</v>
      </c>
      <c r="AP3">
        <v>7</v>
      </c>
    </row>
    <row r="4" spans="1:42">
      <c r="A4" t="s">
        <v>1180</v>
      </c>
      <c r="B4" t="s">
        <v>5455</v>
      </c>
      <c r="K4">
        <v>-0.7</v>
      </c>
      <c r="L4">
        <v>-3</v>
      </c>
      <c r="P4">
        <v>3</v>
      </c>
      <c r="Q4">
        <v>-1</v>
      </c>
      <c r="R4">
        <v>-1</v>
      </c>
      <c r="S4">
        <v>-1</v>
      </c>
      <c r="T4">
        <v>-1</v>
      </c>
      <c r="U4">
        <v>-2</v>
      </c>
      <c r="V4">
        <v>-2</v>
      </c>
      <c r="W4">
        <v>-2</v>
      </c>
      <c r="AA4">
        <v>2</v>
      </c>
      <c r="AB4">
        <v>40</v>
      </c>
      <c r="AD4">
        <v>-3</v>
      </c>
      <c r="AH4">
        <v>-0.5</v>
      </c>
      <c r="AI4">
        <v>-0.2</v>
      </c>
      <c r="AJ4">
        <v>-3</v>
      </c>
      <c r="AK4" t="s">
        <v>8959</v>
      </c>
      <c r="AL4" t="s">
        <v>8960</v>
      </c>
      <c r="AM4" t="s">
        <v>7341</v>
      </c>
      <c r="AO4">
        <v>70</v>
      </c>
      <c r="AP4">
        <v>6</v>
      </c>
    </row>
    <row r="5" spans="1:42">
      <c r="A5" t="s">
        <v>8934</v>
      </c>
      <c r="C5" t="s">
        <v>8824</v>
      </c>
      <c r="D5" t="s">
        <v>8916</v>
      </c>
      <c r="K5">
        <v>-0.7</v>
      </c>
      <c r="L5">
        <v>-2</v>
      </c>
      <c r="M5">
        <v>-2</v>
      </c>
      <c r="N5">
        <v>-2</v>
      </c>
      <c r="P5">
        <v>3</v>
      </c>
      <c r="Q5">
        <v>-2</v>
      </c>
      <c r="R5">
        <v>4</v>
      </c>
      <c r="S5">
        <v>-5</v>
      </c>
      <c r="T5">
        <v>-10</v>
      </c>
      <c r="U5">
        <v>-20</v>
      </c>
      <c r="V5">
        <v>-40</v>
      </c>
      <c r="W5">
        <v>-80</v>
      </c>
      <c r="X5">
        <v>-10</v>
      </c>
      <c r="Y5">
        <v>-1</v>
      </c>
      <c r="AA5">
        <v>-2</v>
      </c>
      <c r="AB5">
        <v>-15</v>
      </c>
      <c r="AD5">
        <v>4</v>
      </c>
      <c r="AH5">
        <v>-0.5</v>
      </c>
      <c r="AI5">
        <v>-0.2</v>
      </c>
      <c r="AJ5">
        <v>-2</v>
      </c>
      <c r="AK5" t="s">
        <v>5486</v>
      </c>
      <c r="AL5" t="s">
        <v>7341</v>
      </c>
      <c r="AM5" t="s">
        <v>7243</v>
      </c>
      <c r="AO5">
        <v>90</v>
      </c>
      <c r="AP5">
        <v>5</v>
      </c>
    </row>
    <row r="6" spans="1:42">
      <c r="A6" t="s">
        <v>8942</v>
      </c>
      <c r="C6" t="s">
        <v>8921</v>
      </c>
      <c r="D6" t="s">
        <v>8916</v>
      </c>
      <c r="K6">
        <v>-0.5</v>
      </c>
      <c r="L6">
        <v>-1</v>
      </c>
      <c r="R6">
        <v>-1</v>
      </c>
      <c r="S6">
        <v>-1</v>
      </c>
      <c r="T6">
        <v>-2</v>
      </c>
      <c r="U6">
        <v>-2</v>
      </c>
      <c r="V6">
        <v>-3</v>
      </c>
      <c r="W6">
        <v>-3</v>
      </c>
      <c r="X6">
        <v>-10</v>
      </c>
      <c r="AA6">
        <v>1</v>
      </c>
      <c r="AB6">
        <v>10</v>
      </c>
      <c r="AD6">
        <v>-0.5</v>
      </c>
      <c r="AH6">
        <v>-0.5</v>
      </c>
      <c r="AJ6">
        <v>-1</v>
      </c>
      <c r="AK6" t="s">
        <v>5496</v>
      </c>
      <c r="AL6" t="s">
        <v>7243</v>
      </c>
      <c r="AM6" t="s">
        <v>7229</v>
      </c>
      <c r="AO6">
        <v>110</v>
      </c>
      <c r="AP6">
        <v>4</v>
      </c>
    </row>
    <row r="7" spans="1:42">
      <c r="A7" t="s">
        <v>8961</v>
      </c>
      <c r="C7" t="s">
        <v>8824</v>
      </c>
      <c r="D7" t="s">
        <v>8916</v>
      </c>
      <c r="K7">
        <v>-0.5</v>
      </c>
      <c r="L7">
        <v>-1</v>
      </c>
      <c r="R7">
        <v>-1</v>
      </c>
      <c r="S7">
        <v>-1</v>
      </c>
      <c r="T7">
        <v>-2</v>
      </c>
      <c r="U7">
        <v>-2</v>
      </c>
      <c r="V7">
        <v>-3</v>
      </c>
      <c r="W7">
        <v>-3</v>
      </c>
      <c r="X7">
        <v>-10</v>
      </c>
      <c r="AA7">
        <v>1</v>
      </c>
      <c r="AB7">
        <v>10</v>
      </c>
      <c r="AD7">
        <v>-0.5</v>
      </c>
      <c r="AH7">
        <v>-0.5</v>
      </c>
      <c r="AJ7">
        <v>0</v>
      </c>
      <c r="AK7" t="s">
        <v>5497</v>
      </c>
      <c r="AL7" t="s">
        <v>7229</v>
      </c>
      <c r="AM7" t="s">
        <v>7241</v>
      </c>
      <c r="AO7">
        <v>130</v>
      </c>
      <c r="AP7">
        <v>3</v>
      </c>
    </row>
    <row r="8" spans="1:42">
      <c r="A8" t="s">
        <v>8847</v>
      </c>
      <c r="E8" t="s">
        <v>8962</v>
      </c>
      <c r="K8">
        <v>0.1</v>
      </c>
      <c r="P8">
        <v>6</v>
      </c>
      <c r="Q8">
        <v>-6</v>
      </c>
      <c r="Y8">
        <v>8</v>
      </c>
      <c r="Z8">
        <v>6</v>
      </c>
      <c r="AB8">
        <v>-30</v>
      </c>
      <c r="AH8">
        <v>0.1</v>
      </c>
      <c r="AJ8">
        <v>1</v>
      </c>
      <c r="AK8" t="s">
        <v>5498</v>
      </c>
      <c r="AL8" t="s">
        <v>7241</v>
      </c>
      <c r="AM8" t="s">
        <v>7246</v>
      </c>
      <c r="AO8">
        <v>150</v>
      </c>
      <c r="AP8">
        <v>2</v>
      </c>
    </row>
    <row r="9" spans="1:42">
      <c r="A9" t="s">
        <v>8262</v>
      </c>
      <c r="E9" t="s">
        <v>8962</v>
      </c>
      <c r="K9">
        <v>0.1</v>
      </c>
      <c r="Y9">
        <v>11</v>
      </c>
      <c r="Z9">
        <v>6</v>
      </c>
      <c r="AB9">
        <v>-5</v>
      </c>
      <c r="AH9">
        <v>0.1</v>
      </c>
      <c r="AJ9">
        <v>2</v>
      </c>
      <c r="AK9" t="s">
        <v>5499</v>
      </c>
      <c r="AL9" t="s">
        <v>7246</v>
      </c>
      <c r="AO9">
        <v>170</v>
      </c>
      <c r="AP9">
        <v>1</v>
      </c>
    </row>
    <row r="10" spans="1:42">
      <c r="A10" t="s">
        <v>8829</v>
      </c>
      <c r="E10" t="s">
        <v>8962</v>
      </c>
      <c r="K10">
        <v>0.1</v>
      </c>
      <c r="P10">
        <v>6</v>
      </c>
      <c r="Q10">
        <v>-6</v>
      </c>
      <c r="Y10">
        <v>9</v>
      </c>
      <c r="Z10">
        <v>6</v>
      </c>
      <c r="AB10">
        <v>-20</v>
      </c>
      <c r="AH10">
        <v>0.1</v>
      </c>
      <c r="AJ10">
        <v>3</v>
      </c>
      <c r="AK10" t="s">
        <v>7385</v>
      </c>
    </row>
    <row r="11" spans="1:42">
      <c r="A11" t="s">
        <v>8932</v>
      </c>
      <c r="C11" t="s">
        <v>8824</v>
      </c>
      <c r="G11" t="s">
        <v>8918</v>
      </c>
      <c r="K11">
        <v>0.15</v>
      </c>
      <c r="R11">
        <v>2</v>
      </c>
      <c r="S11">
        <v>3</v>
      </c>
      <c r="T11">
        <v>3</v>
      </c>
      <c r="U11">
        <v>2</v>
      </c>
      <c r="V11">
        <v>1</v>
      </c>
      <c r="W11">
        <v>1</v>
      </c>
      <c r="X11">
        <v>30</v>
      </c>
      <c r="AB11">
        <v>-10</v>
      </c>
      <c r="AD11">
        <v>1.5</v>
      </c>
      <c r="AH11">
        <v>0.15</v>
      </c>
      <c r="AJ11">
        <v>4</v>
      </c>
      <c r="AK11" t="s">
        <v>5500</v>
      </c>
    </row>
    <row r="12" spans="1:42">
      <c r="A12" t="s">
        <v>8944</v>
      </c>
      <c r="C12" t="s">
        <v>8824</v>
      </c>
      <c r="D12" t="s">
        <v>8916</v>
      </c>
      <c r="K12">
        <v>0.3</v>
      </c>
      <c r="L12">
        <v>2</v>
      </c>
      <c r="M12">
        <v>1</v>
      </c>
      <c r="N12">
        <v>1</v>
      </c>
      <c r="O12">
        <v>3</v>
      </c>
      <c r="P12">
        <v>-3</v>
      </c>
      <c r="Q12">
        <v>3</v>
      </c>
      <c r="S12">
        <v>-5</v>
      </c>
      <c r="T12">
        <v>-10</v>
      </c>
      <c r="U12">
        <v>-15</v>
      </c>
      <c r="V12">
        <v>-20</v>
      </c>
      <c r="W12">
        <v>-25</v>
      </c>
      <c r="X12">
        <v>-10</v>
      </c>
      <c r="Y12">
        <v>2</v>
      </c>
      <c r="AB12">
        <v>-10</v>
      </c>
      <c r="AD12">
        <v>1</v>
      </c>
      <c r="AH12">
        <v>0.3</v>
      </c>
      <c r="AJ12">
        <v>5</v>
      </c>
      <c r="AK12" t="s">
        <v>5501</v>
      </c>
    </row>
    <row r="13" spans="1:42">
      <c r="A13" t="s">
        <v>8925</v>
      </c>
      <c r="C13" t="s">
        <v>8824</v>
      </c>
      <c r="D13" t="s">
        <v>8916</v>
      </c>
      <c r="K13">
        <v>0.3</v>
      </c>
      <c r="N13">
        <v>1</v>
      </c>
      <c r="O13">
        <v>1</v>
      </c>
      <c r="R13">
        <v>-1</v>
      </c>
      <c r="S13">
        <v>2</v>
      </c>
      <c r="T13">
        <v>1</v>
      </c>
      <c r="U13">
        <v>1</v>
      </c>
      <c r="V13">
        <v>1</v>
      </c>
      <c r="W13">
        <v>1</v>
      </c>
      <c r="X13">
        <v>10</v>
      </c>
      <c r="AB13">
        <v>-15</v>
      </c>
      <c r="AD13">
        <v>0.5</v>
      </c>
      <c r="AH13">
        <v>0.3</v>
      </c>
    </row>
    <row r="14" spans="1:42">
      <c r="A14" t="s">
        <v>8932</v>
      </c>
      <c r="C14" t="s">
        <v>8921</v>
      </c>
      <c r="G14" t="s">
        <v>8918</v>
      </c>
      <c r="K14">
        <v>0.3</v>
      </c>
      <c r="R14">
        <v>1</v>
      </c>
      <c r="S14">
        <v>3</v>
      </c>
      <c r="T14">
        <v>4</v>
      </c>
      <c r="U14">
        <v>4</v>
      </c>
      <c r="V14">
        <v>5</v>
      </c>
      <c r="W14">
        <v>5</v>
      </c>
      <c r="X14">
        <v>60</v>
      </c>
      <c r="AB14">
        <v>-10</v>
      </c>
      <c r="AD14">
        <v>2</v>
      </c>
      <c r="AH14">
        <v>0.3</v>
      </c>
    </row>
    <row r="15" spans="1:42">
      <c r="A15" t="s">
        <v>8933</v>
      </c>
      <c r="C15" t="s">
        <v>8824</v>
      </c>
      <c r="D15" t="s">
        <v>8916</v>
      </c>
      <c r="K15">
        <v>0.5</v>
      </c>
      <c r="L15">
        <v>2</v>
      </c>
      <c r="M15">
        <v>1</v>
      </c>
      <c r="N15">
        <v>1</v>
      </c>
      <c r="O15">
        <v>1</v>
      </c>
      <c r="P15">
        <v>1</v>
      </c>
      <c r="Q15">
        <v>1</v>
      </c>
      <c r="R15">
        <v>-2</v>
      </c>
      <c r="S15">
        <v>-1</v>
      </c>
      <c r="X15">
        <v>20</v>
      </c>
      <c r="Y15">
        <v>2</v>
      </c>
      <c r="AB15">
        <v>-10</v>
      </c>
      <c r="AD15">
        <v>0.5</v>
      </c>
      <c r="AH15">
        <v>0.5</v>
      </c>
    </row>
    <row r="16" spans="1:42">
      <c r="A16" t="s">
        <v>8945</v>
      </c>
      <c r="C16" t="s">
        <v>8824</v>
      </c>
      <c r="D16" t="s">
        <v>8916</v>
      </c>
      <c r="K16">
        <v>0.6</v>
      </c>
      <c r="L16">
        <v>1</v>
      </c>
      <c r="N16">
        <v>-1</v>
      </c>
      <c r="Q16">
        <v>-1</v>
      </c>
      <c r="R16">
        <v>-1</v>
      </c>
      <c r="S16">
        <v>-1</v>
      </c>
      <c r="T16">
        <v>-1</v>
      </c>
      <c r="U16">
        <v>-1</v>
      </c>
      <c r="V16">
        <v>-1</v>
      </c>
      <c r="W16">
        <v>-1</v>
      </c>
      <c r="Y16">
        <v>3</v>
      </c>
      <c r="AB16">
        <v>-30</v>
      </c>
      <c r="AD16">
        <v>1</v>
      </c>
      <c r="AH16">
        <v>0.6</v>
      </c>
    </row>
    <row r="17" spans="1:35">
      <c r="A17" t="s">
        <v>8937</v>
      </c>
      <c r="C17" t="s">
        <v>8921</v>
      </c>
      <c r="D17" t="s">
        <v>8916</v>
      </c>
      <c r="K17">
        <v>0.7</v>
      </c>
      <c r="O17">
        <v>2</v>
      </c>
      <c r="R17">
        <v>-2</v>
      </c>
      <c r="T17">
        <v>2</v>
      </c>
      <c r="U17">
        <v>3</v>
      </c>
      <c r="V17">
        <v>4</v>
      </c>
      <c r="W17">
        <v>5</v>
      </c>
      <c r="X17">
        <v>30</v>
      </c>
      <c r="Y17">
        <v>1</v>
      </c>
      <c r="AB17">
        <v>-30</v>
      </c>
      <c r="AD17">
        <v>3</v>
      </c>
      <c r="AH17">
        <v>0.7</v>
      </c>
    </row>
    <row r="18" spans="1:35">
      <c r="A18" t="s">
        <v>1204</v>
      </c>
      <c r="B18" t="s">
        <v>5455</v>
      </c>
      <c r="K18">
        <v>1</v>
      </c>
      <c r="L18">
        <v>1</v>
      </c>
      <c r="M18">
        <v>1</v>
      </c>
      <c r="N18">
        <v>1</v>
      </c>
      <c r="P18">
        <v>2</v>
      </c>
      <c r="R18">
        <v>1</v>
      </c>
      <c r="S18">
        <v>1</v>
      </c>
      <c r="T18">
        <v>1</v>
      </c>
      <c r="U18">
        <v>1</v>
      </c>
      <c r="V18">
        <v>1</v>
      </c>
      <c r="W18">
        <v>1</v>
      </c>
      <c r="AA18">
        <v>-4</v>
      </c>
      <c r="AB18">
        <v>20</v>
      </c>
      <c r="AD18">
        <v>3</v>
      </c>
      <c r="AH18">
        <v>1</v>
      </c>
    </row>
    <row r="19" spans="1:35">
      <c r="A19" t="s">
        <v>1174</v>
      </c>
      <c r="B19" t="s">
        <v>5455</v>
      </c>
      <c r="K19">
        <v>1</v>
      </c>
      <c r="L19">
        <v>1</v>
      </c>
      <c r="M19">
        <v>2</v>
      </c>
      <c r="N19">
        <v>1</v>
      </c>
      <c r="Q19">
        <v>1</v>
      </c>
      <c r="R19">
        <v>2</v>
      </c>
      <c r="S19">
        <v>1</v>
      </c>
      <c r="V19">
        <v>-1</v>
      </c>
      <c r="W19">
        <v>-2</v>
      </c>
      <c r="AA19">
        <v>-1</v>
      </c>
      <c r="AD19">
        <v>2</v>
      </c>
      <c r="AH19">
        <v>1</v>
      </c>
    </row>
    <row r="20" spans="1:35">
      <c r="A20" t="s">
        <v>8940</v>
      </c>
      <c r="C20" t="s">
        <v>8921</v>
      </c>
      <c r="D20" t="s">
        <v>8916</v>
      </c>
      <c r="K20">
        <v>1</v>
      </c>
      <c r="L20">
        <v>2</v>
      </c>
      <c r="M20">
        <v>1</v>
      </c>
      <c r="N20">
        <v>1</v>
      </c>
      <c r="O20">
        <v>3</v>
      </c>
      <c r="P20">
        <v>-3</v>
      </c>
      <c r="Q20">
        <v>3</v>
      </c>
      <c r="S20">
        <v>-5</v>
      </c>
      <c r="T20">
        <v>-10</v>
      </c>
      <c r="U20">
        <v>-15</v>
      </c>
      <c r="V20">
        <v>-20</v>
      </c>
      <c r="W20">
        <v>-25</v>
      </c>
      <c r="X20">
        <v>-20</v>
      </c>
      <c r="Y20">
        <v>2</v>
      </c>
      <c r="AB20">
        <v>-15</v>
      </c>
      <c r="AD20">
        <v>1</v>
      </c>
      <c r="AH20">
        <v>1</v>
      </c>
    </row>
    <row r="21" spans="1:35">
      <c r="A21" t="s">
        <v>8924</v>
      </c>
      <c r="C21" t="s">
        <v>8921</v>
      </c>
      <c r="D21" t="s">
        <v>8916</v>
      </c>
      <c r="K21">
        <v>1</v>
      </c>
      <c r="L21">
        <v>2</v>
      </c>
      <c r="M21">
        <v>1</v>
      </c>
      <c r="N21">
        <v>1</v>
      </c>
      <c r="O21">
        <v>1</v>
      </c>
      <c r="P21">
        <v>1</v>
      </c>
      <c r="Q21">
        <v>1</v>
      </c>
      <c r="R21">
        <v>-2</v>
      </c>
      <c r="S21">
        <v>-1</v>
      </c>
      <c r="X21">
        <v>20</v>
      </c>
      <c r="Y21">
        <v>2</v>
      </c>
      <c r="AB21">
        <v>-10</v>
      </c>
      <c r="AD21">
        <v>1</v>
      </c>
      <c r="AH21">
        <v>1</v>
      </c>
    </row>
    <row r="22" spans="1:35">
      <c r="A22" t="s">
        <v>8941</v>
      </c>
      <c r="C22" t="s">
        <v>8921</v>
      </c>
      <c r="D22" t="s">
        <v>8916</v>
      </c>
      <c r="K22">
        <v>1.5</v>
      </c>
      <c r="L22">
        <v>1</v>
      </c>
      <c r="N22">
        <v>-1</v>
      </c>
      <c r="Q22">
        <v>-1</v>
      </c>
      <c r="R22">
        <v>-1</v>
      </c>
      <c r="S22">
        <v>-1</v>
      </c>
      <c r="T22">
        <v>-1</v>
      </c>
      <c r="U22">
        <v>-1</v>
      </c>
      <c r="V22">
        <v>-1</v>
      </c>
      <c r="W22">
        <v>-1</v>
      </c>
      <c r="Y22">
        <v>4</v>
      </c>
      <c r="AB22">
        <v>-30</v>
      </c>
      <c r="AD22">
        <v>2</v>
      </c>
      <c r="AH22">
        <v>1.5</v>
      </c>
    </row>
    <row r="23" spans="1:35">
      <c r="A23" t="s">
        <v>8824</v>
      </c>
      <c r="C23" t="s">
        <v>8963</v>
      </c>
      <c r="K23">
        <v>1.55</v>
      </c>
      <c r="L23">
        <v>7</v>
      </c>
      <c r="P23">
        <v>6</v>
      </c>
      <c r="Q23">
        <v>14</v>
      </c>
      <c r="R23">
        <v>7</v>
      </c>
      <c r="S23">
        <v>-1</v>
      </c>
      <c r="T23">
        <v>-11</v>
      </c>
      <c r="U23">
        <v>-23</v>
      </c>
      <c r="V23">
        <v>-37</v>
      </c>
      <c r="W23">
        <v>-53</v>
      </c>
      <c r="X23">
        <v>30</v>
      </c>
      <c r="AB23">
        <v>100</v>
      </c>
      <c r="AD23">
        <v>7</v>
      </c>
      <c r="AF23">
        <v>150</v>
      </c>
      <c r="AG23">
        <v>1</v>
      </c>
      <c r="AH23">
        <v>1</v>
      </c>
      <c r="AI23">
        <v>0.55000000000000004</v>
      </c>
    </row>
    <row r="24" spans="1:35">
      <c r="A24" t="s">
        <v>1200</v>
      </c>
      <c r="B24" t="s">
        <v>5455</v>
      </c>
      <c r="K24">
        <v>2</v>
      </c>
      <c r="L24">
        <v>3</v>
      </c>
      <c r="M24">
        <v>2</v>
      </c>
      <c r="N24">
        <v>2</v>
      </c>
      <c r="O24">
        <v>1</v>
      </c>
      <c r="P24">
        <v>-1</v>
      </c>
      <c r="Q24">
        <v>2</v>
      </c>
      <c r="S24">
        <v>-1</v>
      </c>
      <c r="T24">
        <v>-2</v>
      </c>
      <c r="U24">
        <v>-3</v>
      </c>
      <c r="V24">
        <v>-4</v>
      </c>
      <c r="W24">
        <v>-5</v>
      </c>
      <c r="X24">
        <v>-10</v>
      </c>
      <c r="AA24">
        <v>1</v>
      </c>
      <c r="AH24">
        <v>1</v>
      </c>
      <c r="AI24">
        <v>1</v>
      </c>
    </row>
    <row r="25" spans="1:35">
      <c r="A25" t="s">
        <v>8946</v>
      </c>
      <c r="C25" t="s">
        <v>8824</v>
      </c>
      <c r="D25" t="s">
        <v>8916</v>
      </c>
      <c r="K25">
        <v>2.1</v>
      </c>
      <c r="L25">
        <v>2</v>
      </c>
      <c r="M25">
        <v>-1</v>
      </c>
      <c r="N25">
        <v>-1</v>
      </c>
      <c r="Q25">
        <v>-1</v>
      </c>
      <c r="R25">
        <v>-2</v>
      </c>
      <c r="S25">
        <v>-2</v>
      </c>
      <c r="T25">
        <v>-2</v>
      </c>
      <c r="U25">
        <v>-2</v>
      </c>
      <c r="V25">
        <v>-2</v>
      </c>
      <c r="W25">
        <v>-2</v>
      </c>
      <c r="Y25">
        <v>5</v>
      </c>
      <c r="AB25">
        <v>-40</v>
      </c>
      <c r="AD25">
        <v>6</v>
      </c>
      <c r="AH25">
        <v>2.1</v>
      </c>
    </row>
    <row r="26" spans="1:35">
      <c r="A26" t="s">
        <v>8819</v>
      </c>
      <c r="C26" t="s">
        <v>8921</v>
      </c>
      <c r="D26" t="s">
        <v>8916</v>
      </c>
      <c r="K26">
        <v>3</v>
      </c>
      <c r="L26">
        <v>4</v>
      </c>
      <c r="M26">
        <v>2</v>
      </c>
      <c r="N26">
        <v>1</v>
      </c>
      <c r="O26">
        <v>1</v>
      </c>
      <c r="P26">
        <v>3</v>
      </c>
      <c r="Q26">
        <v>2</v>
      </c>
      <c r="R26">
        <v>-4</v>
      </c>
      <c r="S26">
        <v>-2</v>
      </c>
      <c r="X26">
        <v>20</v>
      </c>
      <c r="Y26">
        <v>8</v>
      </c>
      <c r="AB26">
        <v>-25</v>
      </c>
      <c r="AD26">
        <v>3</v>
      </c>
      <c r="AH26">
        <v>3</v>
      </c>
    </row>
    <row r="27" spans="1:35">
      <c r="A27" t="s">
        <v>8921</v>
      </c>
      <c r="C27" t="s">
        <v>8963</v>
      </c>
      <c r="K27">
        <v>3.8</v>
      </c>
      <c r="L27">
        <v>10</v>
      </c>
      <c r="O27">
        <v>1</v>
      </c>
      <c r="P27">
        <v>11</v>
      </c>
      <c r="Q27">
        <v>17</v>
      </c>
      <c r="R27">
        <v>4</v>
      </c>
      <c r="S27">
        <v>-1</v>
      </c>
      <c r="T27">
        <v>-6</v>
      </c>
      <c r="U27">
        <v>-12</v>
      </c>
      <c r="V27">
        <v>-19</v>
      </c>
      <c r="W27">
        <v>-27</v>
      </c>
      <c r="X27">
        <v>40</v>
      </c>
      <c r="AB27">
        <v>100</v>
      </c>
      <c r="AD27">
        <v>7.2</v>
      </c>
      <c r="AF27">
        <v>150</v>
      </c>
      <c r="AG27">
        <v>1</v>
      </c>
      <c r="AH27">
        <v>1.9</v>
      </c>
      <c r="AI27">
        <v>1.9</v>
      </c>
    </row>
    <row r="28" spans="1:35">
      <c r="A28" t="s">
        <v>8964</v>
      </c>
      <c r="C28" t="s">
        <v>8921</v>
      </c>
      <c r="D28" t="s">
        <v>8916</v>
      </c>
      <c r="K28">
        <v>4.5</v>
      </c>
      <c r="L28">
        <v>3</v>
      </c>
      <c r="M28">
        <v>-1</v>
      </c>
      <c r="N28">
        <v>-1</v>
      </c>
      <c r="Q28">
        <v>-1</v>
      </c>
      <c r="R28">
        <v>-2</v>
      </c>
      <c r="S28">
        <v>-2</v>
      </c>
      <c r="T28">
        <v>-2</v>
      </c>
      <c r="U28">
        <v>-2</v>
      </c>
      <c r="V28">
        <v>-2</v>
      </c>
      <c r="W28">
        <v>-2</v>
      </c>
      <c r="Y28">
        <v>6</v>
      </c>
      <c r="AB28">
        <v>-40</v>
      </c>
      <c r="AD28">
        <v>8</v>
      </c>
      <c r="AH28">
        <v>4.5</v>
      </c>
    </row>
    <row r="29" spans="1:35">
      <c r="A29" t="s">
        <v>8943</v>
      </c>
      <c r="C29" t="s">
        <v>8921</v>
      </c>
      <c r="D29" t="s">
        <v>8916</v>
      </c>
      <c r="K29">
        <v>8</v>
      </c>
      <c r="L29">
        <v>8</v>
      </c>
      <c r="M29">
        <v>2</v>
      </c>
      <c r="N29">
        <v>2</v>
      </c>
      <c r="O29">
        <v>2</v>
      </c>
      <c r="P29">
        <v>4</v>
      </c>
      <c r="Q29">
        <v>4</v>
      </c>
      <c r="R29">
        <v>-6</v>
      </c>
      <c r="S29">
        <v>-3</v>
      </c>
      <c r="T29">
        <v>-1</v>
      </c>
      <c r="X29">
        <v>50</v>
      </c>
      <c r="Y29">
        <v>12</v>
      </c>
      <c r="AB29">
        <v>-25</v>
      </c>
      <c r="AD29">
        <v>6</v>
      </c>
      <c r="AH29">
        <v>8</v>
      </c>
    </row>
    <row r="30" spans="1:35">
      <c r="A30" t="s">
        <v>8820</v>
      </c>
      <c r="B30" t="s">
        <v>5455</v>
      </c>
      <c r="R30">
        <v>1</v>
      </c>
      <c r="T30">
        <v>-1</v>
      </c>
      <c r="U30">
        <v>-1</v>
      </c>
      <c r="V30">
        <v>-2</v>
      </c>
      <c r="W30">
        <v>-2</v>
      </c>
      <c r="AA30">
        <v>1</v>
      </c>
      <c r="AB30">
        <v>10</v>
      </c>
    </row>
    <row r="31" spans="1:35">
      <c r="A31" t="s">
        <v>1176</v>
      </c>
      <c r="B31" t="s">
        <v>5455</v>
      </c>
      <c r="R31">
        <v>3</v>
      </c>
      <c r="S31">
        <v>3</v>
      </c>
      <c r="T31">
        <v>3</v>
      </c>
      <c r="U31">
        <v>3</v>
      </c>
      <c r="V31">
        <v>3</v>
      </c>
      <c r="W31">
        <v>3</v>
      </c>
      <c r="X31">
        <v>20</v>
      </c>
      <c r="AA31">
        <v>-1</v>
      </c>
      <c r="AB31">
        <v>20</v>
      </c>
      <c r="AD31">
        <v>2</v>
      </c>
    </row>
    <row r="32" spans="1:35">
      <c r="A32" t="s">
        <v>7929</v>
      </c>
      <c r="I32" t="s">
        <v>7221</v>
      </c>
      <c r="R32">
        <v>-5</v>
      </c>
      <c r="S32">
        <v>-5</v>
      </c>
      <c r="T32">
        <v>-5</v>
      </c>
      <c r="U32">
        <v>-5</v>
      </c>
      <c r="V32">
        <v>-5</v>
      </c>
      <c r="W32">
        <v>-5</v>
      </c>
      <c r="AA32">
        <v>5</v>
      </c>
      <c r="AB32">
        <v>0</v>
      </c>
      <c r="AE32">
        <v>1</v>
      </c>
    </row>
    <row r="33" spans="1:33">
      <c r="A33" t="s">
        <v>7246</v>
      </c>
      <c r="I33" t="s">
        <v>7221</v>
      </c>
      <c r="R33">
        <v>3</v>
      </c>
      <c r="S33">
        <v>3</v>
      </c>
      <c r="T33">
        <v>3</v>
      </c>
      <c r="U33">
        <v>3</v>
      </c>
      <c r="V33">
        <v>3</v>
      </c>
      <c r="W33">
        <v>3</v>
      </c>
      <c r="AA33">
        <v>-3</v>
      </c>
      <c r="AB33">
        <v>3</v>
      </c>
      <c r="AE33">
        <v>142</v>
      </c>
    </row>
    <row r="34" spans="1:33">
      <c r="A34" t="s">
        <v>7243</v>
      </c>
      <c r="I34" t="s">
        <v>7221</v>
      </c>
      <c r="AB34">
        <v>0</v>
      </c>
      <c r="AE34">
        <v>6</v>
      </c>
    </row>
    <row r="35" spans="1:33">
      <c r="A35" t="s">
        <v>8960</v>
      </c>
      <c r="I35" t="s">
        <v>7221</v>
      </c>
      <c r="R35">
        <v>-2</v>
      </c>
      <c r="S35">
        <v>-2</v>
      </c>
      <c r="T35">
        <v>-2</v>
      </c>
      <c r="U35">
        <v>-2</v>
      </c>
      <c r="V35">
        <v>-2</v>
      </c>
      <c r="W35">
        <v>-2</v>
      </c>
      <c r="AA35">
        <v>3</v>
      </c>
      <c r="AB35">
        <v>-1</v>
      </c>
      <c r="AD35">
        <v>-3.6</v>
      </c>
      <c r="AE35">
        <v>3</v>
      </c>
      <c r="AF35">
        <v>-75</v>
      </c>
      <c r="AG35">
        <v>-0.5</v>
      </c>
    </row>
    <row r="36" spans="1:33">
      <c r="A36" t="s">
        <v>7241</v>
      </c>
      <c r="I36" t="s">
        <v>7221</v>
      </c>
      <c r="R36">
        <v>2</v>
      </c>
      <c r="S36">
        <v>2</v>
      </c>
      <c r="T36">
        <v>2</v>
      </c>
      <c r="U36">
        <v>2</v>
      </c>
      <c r="V36">
        <v>2</v>
      </c>
      <c r="W36">
        <v>2</v>
      </c>
      <c r="AA36">
        <v>-2</v>
      </c>
      <c r="AB36">
        <v>2</v>
      </c>
      <c r="AE36">
        <v>71</v>
      </c>
    </row>
    <row r="37" spans="1:33">
      <c r="A37" t="s">
        <v>7341</v>
      </c>
      <c r="I37" t="s">
        <v>7221</v>
      </c>
      <c r="R37">
        <v>-1</v>
      </c>
      <c r="S37">
        <v>-1</v>
      </c>
      <c r="T37">
        <v>-1</v>
      </c>
      <c r="U37">
        <v>-1</v>
      </c>
      <c r="V37">
        <v>-1</v>
      </c>
      <c r="W37">
        <v>-1</v>
      </c>
      <c r="AA37">
        <v>2</v>
      </c>
      <c r="AB37">
        <v>0</v>
      </c>
      <c r="AD37">
        <v>-3</v>
      </c>
      <c r="AE37">
        <v>4</v>
      </c>
      <c r="AF37">
        <v>-30</v>
      </c>
      <c r="AG37">
        <v>-0.3</v>
      </c>
    </row>
    <row r="38" spans="1:33">
      <c r="A38" t="s">
        <v>7229</v>
      </c>
      <c r="I38" t="s">
        <v>7221</v>
      </c>
      <c r="R38">
        <v>1</v>
      </c>
      <c r="S38">
        <v>1</v>
      </c>
      <c r="T38">
        <v>1</v>
      </c>
      <c r="U38">
        <v>1</v>
      </c>
      <c r="V38">
        <v>1</v>
      </c>
      <c r="W38">
        <v>1</v>
      </c>
      <c r="AA38">
        <v>-1</v>
      </c>
      <c r="AB38">
        <v>1</v>
      </c>
      <c r="AE38">
        <v>65</v>
      </c>
    </row>
    <row r="39" spans="1:33">
      <c r="A39" t="s">
        <v>8258</v>
      </c>
      <c r="E39" t="s">
        <v>8962</v>
      </c>
      <c r="Y39">
        <v>30</v>
      </c>
      <c r="Z39">
        <v>3</v>
      </c>
    </row>
    <row r="40" spans="1:33">
      <c r="A40" t="s">
        <v>8266</v>
      </c>
      <c r="C40" t="s">
        <v>8921</v>
      </c>
      <c r="D40" t="s">
        <v>8916</v>
      </c>
      <c r="AB40">
        <v>-50</v>
      </c>
    </row>
    <row r="41" spans="1:33">
      <c r="A41" t="s">
        <v>8935</v>
      </c>
      <c r="C41" t="s">
        <v>8921</v>
      </c>
      <c r="D41" t="s">
        <v>8916</v>
      </c>
      <c r="O41">
        <v>1</v>
      </c>
      <c r="R41">
        <v>-1</v>
      </c>
      <c r="T41">
        <v>1</v>
      </c>
      <c r="U41">
        <v>2</v>
      </c>
      <c r="V41">
        <v>3</v>
      </c>
      <c r="W41">
        <v>4</v>
      </c>
      <c r="X41">
        <v>10</v>
      </c>
      <c r="AB41">
        <v>-15</v>
      </c>
      <c r="AD41">
        <v>2</v>
      </c>
    </row>
    <row r="42" spans="1:33">
      <c r="A42" t="s">
        <v>8912</v>
      </c>
      <c r="C42" t="s">
        <v>8921</v>
      </c>
      <c r="D42" t="s">
        <v>8916</v>
      </c>
    </row>
    <row r="43" spans="1:33">
      <c r="A43" t="s">
        <v>8927</v>
      </c>
      <c r="C43" t="s">
        <v>8824</v>
      </c>
      <c r="D43" t="s">
        <v>8916</v>
      </c>
    </row>
    <row r="44" spans="1:33">
      <c r="A44" t="s">
        <v>8965</v>
      </c>
      <c r="J44" t="s">
        <v>7222</v>
      </c>
      <c r="L44">
        <v>-1</v>
      </c>
      <c r="T44">
        <v>1</v>
      </c>
      <c r="U44">
        <v>1</v>
      </c>
      <c r="V44">
        <v>1</v>
      </c>
      <c r="W44">
        <v>1</v>
      </c>
      <c r="AB44">
        <v>1</v>
      </c>
      <c r="AD44">
        <v>2</v>
      </c>
    </row>
    <row r="45" spans="1:33">
      <c r="A45" t="s">
        <v>8966</v>
      </c>
      <c r="J45" t="s">
        <v>7222</v>
      </c>
      <c r="L45">
        <v>-2</v>
      </c>
      <c r="S45">
        <v>1</v>
      </c>
      <c r="T45">
        <v>2</v>
      </c>
      <c r="U45">
        <v>2</v>
      </c>
      <c r="V45">
        <v>2</v>
      </c>
      <c r="W45">
        <v>2</v>
      </c>
      <c r="AB45">
        <v>1</v>
      </c>
      <c r="AD45">
        <v>4</v>
      </c>
    </row>
    <row r="46" spans="1:33">
      <c r="A46" t="s">
        <v>7320</v>
      </c>
      <c r="J46" t="s">
        <v>7222</v>
      </c>
      <c r="AB46">
        <v>0</v>
      </c>
    </row>
    <row r="47" spans="1:33">
      <c r="A47" t="s">
        <v>8923</v>
      </c>
      <c r="C47" t="s">
        <v>8921</v>
      </c>
      <c r="G47" t="s">
        <v>8918</v>
      </c>
    </row>
    <row r="48" spans="1:33">
      <c r="A48" t="s">
        <v>8923</v>
      </c>
      <c r="C48" t="s">
        <v>8824</v>
      </c>
      <c r="G48" t="s">
        <v>8918</v>
      </c>
    </row>
    <row r="49" spans="1:30">
      <c r="A49" t="s">
        <v>8922</v>
      </c>
      <c r="F49" t="s">
        <v>8917</v>
      </c>
      <c r="R49">
        <v>-1</v>
      </c>
      <c r="S49">
        <v>-1</v>
      </c>
      <c r="T49">
        <v>-1</v>
      </c>
      <c r="U49">
        <v>-1</v>
      </c>
      <c r="V49">
        <v>-1</v>
      </c>
      <c r="W49">
        <v>-1</v>
      </c>
      <c r="Y49">
        <v>1</v>
      </c>
      <c r="AA49">
        <v>1</v>
      </c>
      <c r="AD49">
        <v>-1</v>
      </c>
    </row>
    <row r="50" spans="1:30">
      <c r="A50" t="s">
        <v>8930</v>
      </c>
      <c r="F50" t="s">
        <v>8917</v>
      </c>
      <c r="R50">
        <v>2</v>
      </c>
      <c r="S50">
        <v>2</v>
      </c>
      <c r="T50">
        <v>2</v>
      </c>
      <c r="U50">
        <v>2</v>
      </c>
      <c r="V50">
        <v>2</v>
      </c>
      <c r="W50">
        <v>2</v>
      </c>
      <c r="AA50">
        <v>-2</v>
      </c>
      <c r="AB50">
        <v>-15</v>
      </c>
      <c r="AD50">
        <v>2</v>
      </c>
    </row>
    <row r="51" spans="1:30">
      <c r="A51" t="s">
        <v>8936</v>
      </c>
      <c r="F51" t="s">
        <v>8917</v>
      </c>
      <c r="R51">
        <v>1</v>
      </c>
      <c r="S51">
        <v>1</v>
      </c>
      <c r="T51">
        <v>1</v>
      </c>
      <c r="U51">
        <v>1</v>
      </c>
      <c r="V51">
        <v>1</v>
      </c>
      <c r="W51">
        <v>1</v>
      </c>
      <c r="Y51">
        <v>-1</v>
      </c>
      <c r="AA51">
        <v>-1</v>
      </c>
      <c r="AB51">
        <v>-10</v>
      </c>
      <c r="AD51">
        <v>1</v>
      </c>
    </row>
    <row r="52" spans="1:30">
      <c r="A52" t="s">
        <v>8939</v>
      </c>
      <c r="F52" t="s">
        <v>8917</v>
      </c>
      <c r="R52">
        <v>2</v>
      </c>
      <c r="S52">
        <v>2</v>
      </c>
      <c r="T52">
        <v>2</v>
      </c>
      <c r="U52">
        <v>2</v>
      </c>
      <c r="V52">
        <v>2</v>
      </c>
      <c r="W52">
        <v>2</v>
      </c>
      <c r="Y52">
        <v>3</v>
      </c>
      <c r="AB52">
        <v>-30</v>
      </c>
      <c r="AD52">
        <v>10</v>
      </c>
    </row>
    <row r="53" spans="1:30">
      <c r="A53" t="s">
        <v>8931</v>
      </c>
      <c r="F53" t="s">
        <v>8917</v>
      </c>
      <c r="R53">
        <v>2</v>
      </c>
      <c r="S53">
        <v>2</v>
      </c>
      <c r="T53">
        <v>2</v>
      </c>
      <c r="U53">
        <v>2</v>
      </c>
      <c r="V53">
        <v>2</v>
      </c>
      <c r="W53">
        <v>2</v>
      </c>
      <c r="AA53">
        <v>-3</v>
      </c>
      <c r="AB53">
        <v>-20</v>
      </c>
      <c r="AD53">
        <v>3</v>
      </c>
    </row>
    <row r="54" spans="1:30">
      <c r="A54" t="s">
        <v>8928</v>
      </c>
      <c r="F54" t="s">
        <v>8917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O331"/>
  <sheetViews>
    <sheetView workbookViewId="0">
      <selection activeCell="C12" sqref="C12"/>
    </sheetView>
  </sheetViews>
  <sheetFormatPr baseColWidth="10" defaultColWidth="9.140625" defaultRowHeight="15"/>
  <sheetData>
    <row r="1" spans="1:15">
      <c r="A1" t="s">
        <v>0</v>
      </c>
      <c r="B1" t="s">
        <v>8967</v>
      </c>
      <c r="C1" t="s">
        <v>8968</v>
      </c>
      <c r="D1" t="s">
        <v>5479</v>
      </c>
      <c r="E1" t="s">
        <v>5477</v>
      </c>
      <c r="F1" t="s">
        <v>8969</v>
      </c>
      <c r="G1" t="s">
        <v>8970</v>
      </c>
      <c r="H1" t="s">
        <v>8971</v>
      </c>
      <c r="I1" t="s">
        <v>8972</v>
      </c>
      <c r="J1" t="s">
        <v>8973</v>
      </c>
      <c r="K1" t="s">
        <v>6937</v>
      </c>
      <c r="L1" t="s">
        <v>8974</v>
      </c>
      <c r="M1" t="s">
        <v>8975</v>
      </c>
      <c r="N1" t="s">
        <v>8976</v>
      </c>
      <c r="O1" t="s">
        <v>386</v>
      </c>
    </row>
    <row r="2" spans="1:15">
      <c r="A2" t="s">
        <v>3867</v>
      </c>
      <c r="B2" t="s">
        <v>8977</v>
      </c>
      <c r="C2" t="s">
        <v>8978</v>
      </c>
      <c r="D2" t="s">
        <v>8979</v>
      </c>
      <c r="E2" t="s">
        <v>662</v>
      </c>
      <c r="F2" t="s">
        <v>662</v>
      </c>
      <c r="G2" t="s">
        <v>8980</v>
      </c>
      <c r="H2" t="s">
        <v>8981</v>
      </c>
      <c r="I2" t="s">
        <v>8982</v>
      </c>
      <c r="J2" t="s">
        <v>8983</v>
      </c>
      <c r="K2" t="s">
        <v>5493</v>
      </c>
      <c r="L2" t="s">
        <v>3874</v>
      </c>
      <c r="M2" t="s">
        <v>3888</v>
      </c>
      <c r="N2" t="s">
        <v>8977</v>
      </c>
      <c r="O2" t="s">
        <v>8462</v>
      </c>
    </row>
    <row r="3" spans="1:15">
      <c r="A3" t="s">
        <v>3869</v>
      </c>
      <c r="B3" t="s">
        <v>8977</v>
      </c>
      <c r="C3" t="s">
        <v>8978</v>
      </c>
      <c r="D3" t="s">
        <v>8979</v>
      </c>
      <c r="E3" t="s">
        <v>662</v>
      </c>
      <c r="F3" t="s">
        <v>662</v>
      </c>
      <c r="G3" t="s">
        <v>8980</v>
      </c>
      <c r="H3" t="s">
        <v>8981</v>
      </c>
      <c r="I3" t="s">
        <v>8984</v>
      </c>
      <c r="J3" t="s">
        <v>6949</v>
      </c>
      <c r="K3" t="s">
        <v>8985</v>
      </c>
      <c r="L3" t="s">
        <v>3874</v>
      </c>
      <c r="M3" t="s">
        <v>3888</v>
      </c>
      <c r="N3" t="s">
        <v>8977</v>
      </c>
      <c r="O3" t="s">
        <v>3890</v>
      </c>
    </row>
    <row r="4" spans="1:15">
      <c r="A4" t="s">
        <v>3870</v>
      </c>
      <c r="B4" t="s">
        <v>8977</v>
      </c>
      <c r="C4" t="s">
        <v>8978</v>
      </c>
      <c r="D4" t="s">
        <v>8979</v>
      </c>
      <c r="E4" t="s">
        <v>662</v>
      </c>
      <c r="F4" t="s">
        <v>662</v>
      </c>
      <c r="G4" t="s">
        <v>8980</v>
      </c>
      <c r="H4" t="s">
        <v>8981</v>
      </c>
      <c r="I4" t="s">
        <v>8977</v>
      </c>
      <c r="J4" t="s">
        <v>5492</v>
      </c>
      <c r="K4" t="s">
        <v>8986</v>
      </c>
      <c r="L4" t="s">
        <v>3874</v>
      </c>
      <c r="M4" t="s">
        <v>3888</v>
      </c>
      <c r="N4" t="s">
        <v>8977</v>
      </c>
      <c r="O4" t="s">
        <v>8977</v>
      </c>
    </row>
    <row r="5" spans="1:15">
      <c r="A5" t="s">
        <v>3871</v>
      </c>
      <c r="B5" t="s">
        <v>8977</v>
      </c>
      <c r="C5" t="s">
        <v>8978</v>
      </c>
      <c r="D5" t="s">
        <v>8979</v>
      </c>
      <c r="E5" t="s">
        <v>662</v>
      </c>
      <c r="F5" t="s">
        <v>662</v>
      </c>
      <c r="G5" t="s">
        <v>8980</v>
      </c>
      <c r="H5" t="s">
        <v>8981</v>
      </c>
      <c r="I5" t="s">
        <v>8987</v>
      </c>
      <c r="J5" t="s">
        <v>6949</v>
      </c>
      <c r="K5" t="s">
        <v>8986</v>
      </c>
      <c r="L5" t="s">
        <v>3874</v>
      </c>
      <c r="M5" t="s">
        <v>3888</v>
      </c>
      <c r="N5" t="s">
        <v>8977</v>
      </c>
      <c r="O5" t="s">
        <v>8988</v>
      </c>
    </row>
    <row r="6" spans="1:15">
      <c r="A6" t="s">
        <v>3873</v>
      </c>
      <c r="B6" t="s">
        <v>8989</v>
      </c>
      <c r="C6" t="s">
        <v>8978</v>
      </c>
      <c r="D6" t="s">
        <v>8979</v>
      </c>
      <c r="E6" t="s">
        <v>662</v>
      </c>
      <c r="F6" t="s">
        <v>662</v>
      </c>
      <c r="G6" t="s">
        <v>8980</v>
      </c>
      <c r="H6" t="s">
        <v>8981</v>
      </c>
      <c r="I6" t="s">
        <v>8990</v>
      </c>
      <c r="J6" t="s">
        <v>5492</v>
      </c>
      <c r="K6" t="s">
        <v>8986</v>
      </c>
      <c r="L6" t="s">
        <v>3883</v>
      </c>
      <c r="M6" t="s">
        <v>8984</v>
      </c>
      <c r="N6" t="s">
        <v>8991</v>
      </c>
      <c r="O6" t="s">
        <v>8992</v>
      </c>
    </row>
    <row r="7" spans="1:15">
      <c r="A7" t="s">
        <v>3875</v>
      </c>
      <c r="B7" t="s">
        <v>8993</v>
      </c>
      <c r="C7" t="s">
        <v>8978</v>
      </c>
      <c r="D7" t="s">
        <v>8994</v>
      </c>
      <c r="E7" t="s">
        <v>8995</v>
      </c>
      <c r="F7" t="s">
        <v>8996</v>
      </c>
      <c r="G7" t="s">
        <v>8997</v>
      </c>
      <c r="H7" t="s">
        <v>8998</v>
      </c>
      <c r="I7" t="s">
        <v>3880</v>
      </c>
      <c r="J7" t="s">
        <v>8999</v>
      </c>
      <c r="K7" t="s">
        <v>9000</v>
      </c>
      <c r="L7" t="s">
        <v>3874</v>
      </c>
      <c r="M7" t="s">
        <v>3888</v>
      </c>
      <c r="N7" t="s">
        <v>8977</v>
      </c>
      <c r="O7" t="s">
        <v>9001</v>
      </c>
    </row>
    <row r="8" spans="1:15">
      <c r="A8" t="s">
        <v>3876</v>
      </c>
      <c r="B8" t="s">
        <v>8993</v>
      </c>
      <c r="C8" t="s">
        <v>8978</v>
      </c>
      <c r="D8" t="s">
        <v>8979</v>
      </c>
      <c r="E8" t="s">
        <v>662</v>
      </c>
      <c r="F8" t="s">
        <v>662</v>
      </c>
      <c r="G8" t="s">
        <v>8980</v>
      </c>
      <c r="H8" t="s">
        <v>8981</v>
      </c>
      <c r="I8" t="s">
        <v>3880</v>
      </c>
      <c r="J8" t="s">
        <v>5492</v>
      </c>
      <c r="K8" t="s">
        <v>5493</v>
      </c>
      <c r="L8" t="s">
        <v>3883</v>
      </c>
      <c r="M8" t="s">
        <v>8984</v>
      </c>
      <c r="N8" t="s">
        <v>8991</v>
      </c>
      <c r="O8" t="s">
        <v>3888</v>
      </c>
    </row>
    <row r="9" spans="1:15">
      <c r="A9" t="s">
        <v>3877</v>
      </c>
      <c r="B9" t="s">
        <v>8989</v>
      </c>
      <c r="C9" t="s">
        <v>9002</v>
      </c>
      <c r="D9" t="s">
        <v>5522</v>
      </c>
      <c r="E9" t="s">
        <v>662</v>
      </c>
      <c r="F9" t="s">
        <v>8629</v>
      </c>
      <c r="G9" t="s">
        <v>9003</v>
      </c>
      <c r="H9" t="s">
        <v>3874</v>
      </c>
      <c r="I9" t="s">
        <v>3880</v>
      </c>
      <c r="J9" t="s">
        <v>5492</v>
      </c>
      <c r="K9" t="s">
        <v>5493</v>
      </c>
      <c r="L9" t="s">
        <v>3883</v>
      </c>
      <c r="M9" t="s">
        <v>8984</v>
      </c>
      <c r="N9" t="s">
        <v>8991</v>
      </c>
      <c r="O9" t="s">
        <v>3883</v>
      </c>
    </row>
    <row r="10" spans="1:15">
      <c r="A10" t="s">
        <v>3878</v>
      </c>
      <c r="B10" t="s">
        <v>8989</v>
      </c>
      <c r="C10" t="s">
        <v>8978</v>
      </c>
      <c r="D10" t="s">
        <v>9004</v>
      </c>
      <c r="E10" t="s">
        <v>5530</v>
      </c>
      <c r="F10" t="s">
        <v>9005</v>
      </c>
      <c r="G10" t="s">
        <v>8997</v>
      </c>
      <c r="H10" t="s">
        <v>3868</v>
      </c>
      <c r="I10" t="s">
        <v>3888</v>
      </c>
      <c r="J10" t="s">
        <v>9006</v>
      </c>
      <c r="K10" t="s">
        <v>9000</v>
      </c>
      <c r="L10" t="s">
        <v>3883</v>
      </c>
      <c r="M10" t="s">
        <v>8984</v>
      </c>
      <c r="N10" t="s">
        <v>8991</v>
      </c>
      <c r="O10" t="s">
        <v>9007</v>
      </c>
    </row>
    <row r="11" spans="1:15">
      <c r="A11" t="s">
        <v>3879</v>
      </c>
      <c r="B11" t="s">
        <v>9008</v>
      </c>
      <c r="C11" t="s">
        <v>8978</v>
      </c>
      <c r="D11" t="s">
        <v>8979</v>
      </c>
      <c r="E11" t="s">
        <v>662</v>
      </c>
      <c r="F11" t="s">
        <v>662</v>
      </c>
      <c r="G11" t="s">
        <v>8997</v>
      </c>
      <c r="H11" t="s">
        <v>9009</v>
      </c>
      <c r="I11" t="s">
        <v>3880</v>
      </c>
      <c r="J11" t="s">
        <v>5492</v>
      </c>
      <c r="K11" t="s">
        <v>8986</v>
      </c>
      <c r="L11" t="s">
        <v>3888</v>
      </c>
      <c r="M11" t="s">
        <v>8977</v>
      </c>
      <c r="N11" t="s">
        <v>9010</v>
      </c>
      <c r="O11" t="s">
        <v>9011</v>
      </c>
    </row>
    <row r="12" spans="1:15">
      <c r="A12" t="s">
        <v>3881</v>
      </c>
      <c r="B12" t="s">
        <v>8991</v>
      </c>
      <c r="C12" t="s">
        <v>8978</v>
      </c>
      <c r="D12" t="s">
        <v>9012</v>
      </c>
      <c r="E12" t="s">
        <v>5504</v>
      </c>
      <c r="F12" t="s">
        <v>8996</v>
      </c>
      <c r="G12" t="s">
        <v>8997</v>
      </c>
      <c r="H12" t="s">
        <v>9009</v>
      </c>
      <c r="I12" t="s">
        <v>9013</v>
      </c>
      <c r="J12" t="s">
        <v>7161</v>
      </c>
      <c r="K12" t="s">
        <v>9014</v>
      </c>
      <c r="L12" t="s">
        <v>3888</v>
      </c>
      <c r="M12" t="s">
        <v>8977</v>
      </c>
      <c r="N12" t="s">
        <v>9010</v>
      </c>
      <c r="O12" t="s">
        <v>9015</v>
      </c>
    </row>
    <row r="13" spans="1:15">
      <c r="A13" t="s">
        <v>3882</v>
      </c>
      <c r="B13" t="s">
        <v>8992</v>
      </c>
      <c r="C13" t="s">
        <v>9002</v>
      </c>
      <c r="D13" t="s">
        <v>5490</v>
      </c>
      <c r="E13" t="s">
        <v>662</v>
      </c>
      <c r="F13" t="s">
        <v>8629</v>
      </c>
      <c r="G13" t="s">
        <v>8980</v>
      </c>
      <c r="H13" t="s">
        <v>8981</v>
      </c>
      <c r="I13" t="s">
        <v>3880</v>
      </c>
      <c r="J13" t="s">
        <v>5492</v>
      </c>
      <c r="K13" t="s">
        <v>5493</v>
      </c>
      <c r="L13" t="s">
        <v>9016</v>
      </c>
      <c r="M13" t="s">
        <v>8988</v>
      </c>
      <c r="N13" t="s">
        <v>8990</v>
      </c>
      <c r="O13" t="s">
        <v>8977</v>
      </c>
    </row>
    <row r="14" spans="1:15">
      <c r="A14" t="s">
        <v>3884</v>
      </c>
      <c r="B14" t="s">
        <v>9008</v>
      </c>
      <c r="C14" t="s">
        <v>8978</v>
      </c>
      <c r="D14" t="s">
        <v>9017</v>
      </c>
      <c r="E14" t="s">
        <v>5530</v>
      </c>
      <c r="F14" t="s">
        <v>9005</v>
      </c>
      <c r="G14" t="s">
        <v>8997</v>
      </c>
      <c r="H14" t="s">
        <v>3874</v>
      </c>
      <c r="I14" t="s">
        <v>3888</v>
      </c>
      <c r="J14" t="s">
        <v>8999</v>
      </c>
      <c r="K14" t="s">
        <v>9000</v>
      </c>
      <c r="L14" t="s">
        <v>9016</v>
      </c>
      <c r="M14" t="s">
        <v>8988</v>
      </c>
      <c r="N14" t="s">
        <v>8990</v>
      </c>
      <c r="O14" t="s">
        <v>9018</v>
      </c>
    </row>
    <row r="15" spans="1:15">
      <c r="A15" t="s">
        <v>3885</v>
      </c>
      <c r="B15" t="s">
        <v>9019</v>
      </c>
      <c r="C15" t="s">
        <v>8978</v>
      </c>
      <c r="D15" t="s">
        <v>5490</v>
      </c>
      <c r="E15" t="s">
        <v>662</v>
      </c>
      <c r="F15" t="s">
        <v>662</v>
      </c>
      <c r="G15" t="s">
        <v>9003</v>
      </c>
      <c r="H15" t="s">
        <v>3886</v>
      </c>
      <c r="I15" t="s">
        <v>3880</v>
      </c>
      <c r="J15" t="s">
        <v>5492</v>
      </c>
      <c r="K15" t="s">
        <v>9020</v>
      </c>
      <c r="L15" t="s">
        <v>8984</v>
      </c>
      <c r="M15" t="s">
        <v>9008</v>
      </c>
      <c r="N15" t="s">
        <v>9021</v>
      </c>
      <c r="O15" t="s">
        <v>9022</v>
      </c>
    </row>
    <row r="16" spans="1:15">
      <c r="A16" t="s">
        <v>3887</v>
      </c>
      <c r="B16" t="s">
        <v>8987</v>
      </c>
      <c r="C16" t="s">
        <v>8978</v>
      </c>
      <c r="D16" t="s">
        <v>5490</v>
      </c>
      <c r="E16" t="s">
        <v>8995</v>
      </c>
      <c r="F16" t="s">
        <v>9005</v>
      </c>
      <c r="G16" t="s">
        <v>8997</v>
      </c>
      <c r="H16" t="s">
        <v>3880</v>
      </c>
      <c r="I16" t="s">
        <v>3888</v>
      </c>
      <c r="J16" t="s">
        <v>5492</v>
      </c>
      <c r="K16" t="s">
        <v>9020</v>
      </c>
      <c r="L16" t="s">
        <v>8462</v>
      </c>
      <c r="M16" t="s">
        <v>9019</v>
      </c>
      <c r="N16" t="s">
        <v>8982</v>
      </c>
      <c r="O16" t="s">
        <v>9023</v>
      </c>
    </row>
    <row r="17" spans="1:15">
      <c r="A17" t="s">
        <v>3889</v>
      </c>
      <c r="B17" t="s">
        <v>9024</v>
      </c>
      <c r="C17" t="s">
        <v>8978</v>
      </c>
      <c r="D17" t="s">
        <v>5530</v>
      </c>
      <c r="E17" t="s">
        <v>5530</v>
      </c>
      <c r="F17" t="s">
        <v>662</v>
      </c>
      <c r="G17" t="s">
        <v>8980</v>
      </c>
      <c r="H17" t="s">
        <v>8981</v>
      </c>
      <c r="I17" t="s">
        <v>3880</v>
      </c>
      <c r="J17" t="s">
        <v>5492</v>
      </c>
      <c r="K17" t="s">
        <v>9020</v>
      </c>
      <c r="L17" t="s">
        <v>9025</v>
      </c>
      <c r="M17" t="s">
        <v>9010</v>
      </c>
      <c r="N17" t="s">
        <v>9026</v>
      </c>
      <c r="O17" t="s">
        <v>9027</v>
      </c>
    </row>
    <row r="18" spans="1:15">
      <c r="A18" t="s">
        <v>3891</v>
      </c>
      <c r="B18" t="s">
        <v>8977</v>
      </c>
      <c r="C18" t="s">
        <v>8978</v>
      </c>
      <c r="D18" t="s">
        <v>8979</v>
      </c>
      <c r="E18" t="s">
        <v>662</v>
      </c>
      <c r="F18" t="s">
        <v>662</v>
      </c>
      <c r="G18" t="s">
        <v>8980</v>
      </c>
      <c r="H18" t="s">
        <v>8981</v>
      </c>
      <c r="I18" t="s">
        <v>3890</v>
      </c>
      <c r="J18" t="s">
        <v>9006</v>
      </c>
      <c r="K18" t="s">
        <v>9028</v>
      </c>
      <c r="L18" t="s">
        <v>3874</v>
      </c>
      <c r="M18" t="s">
        <v>3888</v>
      </c>
      <c r="N18" t="s">
        <v>8977</v>
      </c>
      <c r="O18" t="s">
        <v>9016</v>
      </c>
    </row>
    <row r="19" spans="1:15">
      <c r="A19" t="s">
        <v>3892</v>
      </c>
      <c r="B19" t="s">
        <v>8989</v>
      </c>
      <c r="C19" t="s">
        <v>8978</v>
      </c>
      <c r="D19" t="s">
        <v>8979</v>
      </c>
      <c r="E19" t="s">
        <v>662</v>
      </c>
      <c r="F19" t="s">
        <v>662</v>
      </c>
      <c r="G19" t="s">
        <v>8980</v>
      </c>
      <c r="H19" t="s">
        <v>8981</v>
      </c>
      <c r="I19" t="s">
        <v>8977</v>
      </c>
      <c r="J19" t="s">
        <v>9029</v>
      </c>
      <c r="K19" t="s">
        <v>9028</v>
      </c>
      <c r="L19" t="s">
        <v>3883</v>
      </c>
      <c r="M19" t="s">
        <v>8984</v>
      </c>
      <c r="N19" t="s">
        <v>8991</v>
      </c>
      <c r="O19" t="s">
        <v>9025</v>
      </c>
    </row>
    <row r="20" spans="1:15">
      <c r="A20" t="s">
        <v>3894</v>
      </c>
      <c r="B20" t="s">
        <v>8991</v>
      </c>
      <c r="C20" t="s">
        <v>8978</v>
      </c>
      <c r="E20" t="s">
        <v>662</v>
      </c>
      <c r="F20" t="s">
        <v>662</v>
      </c>
      <c r="G20" t="s">
        <v>9003</v>
      </c>
      <c r="H20" t="s">
        <v>3880</v>
      </c>
      <c r="I20" t="s">
        <v>8977</v>
      </c>
      <c r="J20" t="s">
        <v>9029</v>
      </c>
      <c r="K20" t="s">
        <v>9028</v>
      </c>
      <c r="L20" t="s">
        <v>3890</v>
      </c>
      <c r="M20" t="s">
        <v>8993</v>
      </c>
      <c r="N20" t="s">
        <v>8987</v>
      </c>
      <c r="O20" t="s">
        <v>8991</v>
      </c>
    </row>
    <row r="21" spans="1:15">
      <c r="A21" t="s">
        <v>3896</v>
      </c>
      <c r="B21" t="s">
        <v>8992</v>
      </c>
      <c r="C21" t="s">
        <v>8978</v>
      </c>
      <c r="D21" t="s">
        <v>8979</v>
      </c>
      <c r="E21" t="s">
        <v>662</v>
      </c>
      <c r="F21" t="s">
        <v>662</v>
      </c>
      <c r="G21" t="s">
        <v>9003</v>
      </c>
      <c r="H21" t="s">
        <v>3883</v>
      </c>
      <c r="I21" t="s">
        <v>8990</v>
      </c>
      <c r="J21" t="s">
        <v>9030</v>
      </c>
      <c r="K21" t="s">
        <v>9028</v>
      </c>
      <c r="L21" t="s">
        <v>9016</v>
      </c>
      <c r="M21" t="s">
        <v>8988</v>
      </c>
      <c r="N21" t="s">
        <v>8990</v>
      </c>
      <c r="O21" t="s">
        <v>8991</v>
      </c>
    </row>
    <row r="22" spans="1:15">
      <c r="A22" t="s">
        <v>3897</v>
      </c>
      <c r="B22" t="s">
        <v>8993</v>
      </c>
      <c r="C22" t="s">
        <v>9031</v>
      </c>
      <c r="D22" t="s">
        <v>9032</v>
      </c>
      <c r="E22" t="s">
        <v>662</v>
      </c>
      <c r="F22" t="s">
        <v>662</v>
      </c>
      <c r="G22" t="s">
        <v>8997</v>
      </c>
      <c r="H22" t="s">
        <v>3868</v>
      </c>
      <c r="I22" t="s">
        <v>3880</v>
      </c>
      <c r="J22" t="s">
        <v>6949</v>
      </c>
      <c r="K22" t="s">
        <v>8985</v>
      </c>
      <c r="L22" t="s">
        <v>3874</v>
      </c>
      <c r="M22" t="s">
        <v>3890</v>
      </c>
      <c r="N22" t="s">
        <v>8989</v>
      </c>
      <c r="O22" t="s">
        <v>3886</v>
      </c>
    </row>
    <row r="23" spans="1:15">
      <c r="A23" t="s">
        <v>3899</v>
      </c>
      <c r="B23" t="s">
        <v>8988</v>
      </c>
      <c r="C23" t="s">
        <v>9033</v>
      </c>
      <c r="D23" t="s">
        <v>9032</v>
      </c>
      <c r="E23" t="s">
        <v>662</v>
      </c>
      <c r="F23" t="s">
        <v>662</v>
      </c>
      <c r="G23" t="s">
        <v>8980</v>
      </c>
      <c r="H23" t="s">
        <v>3874</v>
      </c>
      <c r="I23" t="s">
        <v>3880</v>
      </c>
      <c r="J23" t="s">
        <v>6949</v>
      </c>
      <c r="K23" t="s">
        <v>9028</v>
      </c>
      <c r="L23" t="s">
        <v>3883</v>
      </c>
      <c r="M23" t="s">
        <v>8462</v>
      </c>
      <c r="N23" t="s">
        <v>8992</v>
      </c>
      <c r="O23" t="s">
        <v>3888</v>
      </c>
    </row>
    <row r="24" spans="1:15">
      <c r="A24" t="s">
        <v>3900</v>
      </c>
      <c r="B24" t="s">
        <v>9008</v>
      </c>
      <c r="C24" t="s">
        <v>9034</v>
      </c>
      <c r="D24" t="s">
        <v>9032</v>
      </c>
      <c r="E24" t="s">
        <v>662</v>
      </c>
      <c r="F24" t="s">
        <v>662</v>
      </c>
      <c r="G24" t="s">
        <v>8997</v>
      </c>
      <c r="H24" t="s">
        <v>3880</v>
      </c>
      <c r="I24" t="s">
        <v>3880</v>
      </c>
      <c r="J24" t="s">
        <v>6949</v>
      </c>
      <c r="K24" t="s">
        <v>9020</v>
      </c>
      <c r="L24" t="s">
        <v>3888</v>
      </c>
      <c r="M24" t="s">
        <v>8993</v>
      </c>
      <c r="N24" t="s">
        <v>9035</v>
      </c>
      <c r="O24" t="s">
        <v>8977</v>
      </c>
    </row>
    <row r="25" spans="1:15">
      <c r="A25" t="s">
        <v>3902</v>
      </c>
      <c r="B25" t="s">
        <v>9019</v>
      </c>
      <c r="C25" t="s">
        <v>9036</v>
      </c>
      <c r="D25" t="s">
        <v>9032</v>
      </c>
      <c r="E25" t="s">
        <v>662</v>
      </c>
      <c r="F25" t="s">
        <v>662</v>
      </c>
      <c r="G25" t="s">
        <v>8997</v>
      </c>
      <c r="H25" t="s">
        <v>3883</v>
      </c>
      <c r="I25" t="s">
        <v>3880</v>
      </c>
      <c r="J25" t="s">
        <v>6949</v>
      </c>
      <c r="K25" t="s">
        <v>8986</v>
      </c>
      <c r="L25" t="s">
        <v>9016</v>
      </c>
      <c r="M25" t="s">
        <v>8991</v>
      </c>
      <c r="N25" t="s">
        <v>9037</v>
      </c>
      <c r="O25" t="s">
        <v>9010</v>
      </c>
    </row>
    <row r="26" spans="1:15">
      <c r="A26" t="s">
        <v>3903</v>
      </c>
      <c r="B26" t="s">
        <v>8987</v>
      </c>
      <c r="C26" t="s">
        <v>9038</v>
      </c>
      <c r="D26" t="s">
        <v>9032</v>
      </c>
      <c r="E26" t="s">
        <v>662</v>
      </c>
      <c r="F26" t="s">
        <v>9005</v>
      </c>
      <c r="G26" t="s">
        <v>8997</v>
      </c>
      <c r="H26" t="s">
        <v>3886</v>
      </c>
      <c r="I26" t="s">
        <v>3888</v>
      </c>
      <c r="J26" t="s">
        <v>6949</v>
      </c>
      <c r="K26" t="s">
        <v>8986</v>
      </c>
      <c r="L26" t="s">
        <v>8984</v>
      </c>
      <c r="M26" t="s">
        <v>8992</v>
      </c>
      <c r="N26" t="s">
        <v>9039</v>
      </c>
      <c r="O26" t="s">
        <v>9040</v>
      </c>
    </row>
    <row r="27" spans="1:15">
      <c r="A27" t="s">
        <v>3904</v>
      </c>
      <c r="B27" t="s">
        <v>8987</v>
      </c>
      <c r="C27" t="s">
        <v>9041</v>
      </c>
      <c r="D27" t="s">
        <v>9042</v>
      </c>
      <c r="E27" t="s">
        <v>662</v>
      </c>
      <c r="F27" t="s">
        <v>8629</v>
      </c>
      <c r="G27" t="s">
        <v>9003</v>
      </c>
      <c r="H27" t="s">
        <v>3886</v>
      </c>
      <c r="I27" t="s">
        <v>3880</v>
      </c>
      <c r="J27" t="s">
        <v>6949</v>
      </c>
      <c r="K27" t="s">
        <v>8986</v>
      </c>
      <c r="L27" t="s">
        <v>8984</v>
      </c>
      <c r="M27" t="s">
        <v>8992</v>
      </c>
      <c r="N27" t="s">
        <v>9039</v>
      </c>
      <c r="O27" t="s">
        <v>9043</v>
      </c>
    </row>
    <row r="28" spans="1:15">
      <c r="A28" t="s">
        <v>3906</v>
      </c>
      <c r="B28" t="s">
        <v>9044</v>
      </c>
      <c r="C28" t="s">
        <v>9034</v>
      </c>
      <c r="D28" t="s">
        <v>9032</v>
      </c>
      <c r="E28" t="s">
        <v>662</v>
      </c>
      <c r="F28" t="s">
        <v>662</v>
      </c>
      <c r="G28" t="s">
        <v>9003</v>
      </c>
      <c r="H28" t="s">
        <v>3888</v>
      </c>
      <c r="I28" t="s">
        <v>3890</v>
      </c>
      <c r="J28" t="s">
        <v>5492</v>
      </c>
      <c r="K28" t="s">
        <v>9014</v>
      </c>
      <c r="L28" t="s">
        <v>9025</v>
      </c>
      <c r="M28" t="s">
        <v>8987</v>
      </c>
      <c r="N28" t="s">
        <v>9026</v>
      </c>
      <c r="O28" t="s">
        <v>9045</v>
      </c>
    </row>
    <row r="29" spans="1:15">
      <c r="A29" t="s">
        <v>3907</v>
      </c>
      <c r="B29" t="s">
        <v>9024</v>
      </c>
      <c r="C29" t="s">
        <v>9046</v>
      </c>
      <c r="D29" t="s">
        <v>9032</v>
      </c>
      <c r="E29" t="s">
        <v>662</v>
      </c>
      <c r="F29" t="s">
        <v>9005</v>
      </c>
      <c r="G29" t="s">
        <v>8997</v>
      </c>
      <c r="H29" t="s">
        <v>3890</v>
      </c>
      <c r="I29" t="s">
        <v>9016</v>
      </c>
      <c r="J29" t="s">
        <v>6949</v>
      </c>
      <c r="K29" t="s">
        <v>8986</v>
      </c>
      <c r="L29" t="s">
        <v>9025</v>
      </c>
      <c r="M29" t="s">
        <v>8987</v>
      </c>
      <c r="N29" t="s">
        <v>9047</v>
      </c>
      <c r="O29" t="s">
        <v>9048</v>
      </c>
    </row>
    <row r="30" spans="1:15">
      <c r="A30" t="s">
        <v>3908</v>
      </c>
      <c r="B30" t="s">
        <v>9024</v>
      </c>
      <c r="C30" t="s">
        <v>9049</v>
      </c>
      <c r="D30" t="s">
        <v>9032</v>
      </c>
      <c r="E30" t="s">
        <v>662</v>
      </c>
      <c r="F30" t="s">
        <v>662</v>
      </c>
      <c r="G30" t="s">
        <v>8997</v>
      </c>
      <c r="H30" t="s">
        <v>3890</v>
      </c>
      <c r="I30" t="s">
        <v>3890</v>
      </c>
      <c r="J30" t="s">
        <v>9050</v>
      </c>
      <c r="K30" t="s">
        <v>9051</v>
      </c>
      <c r="L30" t="s">
        <v>9025</v>
      </c>
      <c r="M30" t="s">
        <v>8987</v>
      </c>
      <c r="N30" t="s">
        <v>9047</v>
      </c>
      <c r="O30" t="s">
        <v>9052</v>
      </c>
    </row>
    <row r="31" spans="1:15">
      <c r="A31" t="s">
        <v>3910</v>
      </c>
      <c r="B31" t="s">
        <v>8977</v>
      </c>
      <c r="C31" t="s">
        <v>8978</v>
      </c>
      <c r="D31" t="s">
        <v>5530</v>
      </c>
      <c r="E31" t="s">
        <v>662</v>
      </c>
      <c r="F31" t="s">
        <v>662</v>
      </c>
      <c r="G31" t="s">
        <v>8980</v>
      </c>
      <c r="H31" t="s">
        <v>8981</v>
      </c>
      <c r="I31" t="s">
        <v>3888</v>
      </c>
      <c r="J31" t="s">
        <v>5492</v>
      </c>
      <c r="K31" t="s">
        <v>9053</v>
      </c>
      <c r="L31" t="s">
        <v>3874</v>
      </c>
      <c r="M31" t="s">
        <v>3888</v>
      </c>
      <c r="N31" t="s">
        <v>8977</v>
      </c>
      <c r="O31" t="s">
        <v>8462</v>
      </c>
    </row>
    <row r="32" spans="1:15">
      <c r="A32" t="s">
        <v>3912</v>
      </c>
      <c r="B32" t="s">
        <v>8989</v>
      </c>
      <c r="C32" t="s">
        <v>8978</v>
      </c>
      <c r="D32" t="s">
        <v>9054</v>
      </c>
      <c r="E32" t="s">
        <v>5530</v>
      </c>
      <c r="F32" t="s">
        <v>662</v>
      </c>
      <c r="G32" t="s">
        <v>8980</v>
      </c>
      <c r="H32" t="s">
        <v>8981</v>
      </c>
      <c r="I32" t="s">
        <v>3874</v>
      </c>
      <c r="J32" t="s">
        <v>6949</v>
      </c>
      <c r="K32" t="s">
        <v>9055</v>
      </c>
      <c r="L32" t="s">
        <v>3883</v>
      </c>
      <c r="M32" t="s">
        <v>8984</v>
      </c>
      <c r="N32" t="s">
        <v>8991</v>
      </c>
      <c r="O32" t="s">
        <v>3890</v>
      </c>
    </row>
    <row r="33" spans="1:15">
      <c r="A33" t="s">
        <v>3913</v>
      </c>
      <c r="B33" t="s">
        <v>8991</v>
      </c>
      <c r="C33" t="s">
        <v>8978</v>
      </c>
      <c r="D33" t="s">
        <v>5522</v>
      </c>
      <c r="E33" t="s">
        <v>8995</v>
      </c>
      <c r="F33" t="s">
        <v>9005</v>
      </c>
      <c r="G33" t="s">
        <v>8997</v>
      </c>
      <c r="H33" t="s">
        <v>9009</v>
      </c>
      <c r="I33" t="s">
        <v>8984</v>
      </c>
      <c r="J33" t="s">
        <v>6949</v>
      </c>
      <c r="K33" t="s">
        <v>9056</v>
      </c>
      <c r="L33" t="s">
        <v>3890</v>
      </c>
      <c r="M33" t="s">
        <v>8993</v>
      </c>
      <c r="N33" t="s">
        <v>8987</v>
      </c>
      <c r="O33" t="s">
        <v>8989</v>
      </c>
    </row>
    <row r="34" spans="1:15">
      <c r="A34" t="s">
        <v>3914</v>
      </c>
      <c r="B34" t="s">
        <v>8992</v>
      </c>
      <c r="C34" t="s">
        <v>8978</v>
      </c>
      <c r="D34" t="s">
        <v>5490</v>
      </c>
      <c r="E34" t="s">
        <v>8995</v>
      </c>
      <c r="F34" t="s">
        <v>9005</v>
      </c>
      <c r="G34" t="s">
        <v>8980</v>
      </c>
      <c r="H34" t="s">
        <v>8981</v>
      </c>
      <c r="I34" t="s">
        <v>3888</v>
      </c>
      <c r="J34" t="s">
        <v>8999</v>
      </c>
      <c r="K34" t="s">
        <v>9057</v>
      </c>
      <c r="L34" t="s">
        <v>9016</v>
      </c>
      <c r="M34" t="s">
        <v>8988</v>
      </c>
      <c r="N34" t="s">
        <v>8990</v>
      </c>
      <c r="O34" t="s">
        <v>9044</v>
      </c>
    </row>
    <row r="35" spans="1:15">
      <c r="A35" t="s">
        <v>3915</v>
      </c>
      <c r="B35" t="s">
        <v>9010</v>
      </c>
      <c r="C35" t="s">
        <v>8978</v>
      </c>
      <c r="D35" t="s">
        <v>8979</v>
      </c>
      <c r="E35" t="s">
        <v>662</v>
      </c>
      <c r="F35" t="s">
        <v>662</v>
      </c>
      <c r="G35" t="s">
        <v>8997</v>
      </c>
      <c r="H35" t="s">
        <v>9058</v>
      </c>
      <c r="I35" t="s">
        <v>8982</v>
      </c>
      <c r="J35" t="s">
        <v>9006</v>
      </c>
      <c r="K35" t="s">
        <v>8986</v>
      </c>
      <c r="L35" t="s">
        <v>8984</v>
      </c>
      <c r="M35" t="s">
        <v>9008</v>
      </c>
      <c r="N35" t="s">
        <v>9021</v>
      </c>
      <c r="O35" t="s">
        <v>9059</v>
      </c>
    </row>
    <row r="36" spans="1:15">
      <c r="A36" t="s">
        <v>3916</v>
      </c>
      <c r="B36" t="s">
        <v>9035</v>
      </c>
      <c r="C36" t="s">
        <v>8978</v>
      </c>
      <c r="D36" t="s">
        <v>8979</v>
      </c>
      <c r="E36" t="s">
        <v>662</v>
      </c>
      <c r="F36" t="s">
        <v>662</v>
      </c>
      <c r="G36" t="s">
        <v>8997</v>
      </c>
      <c r="H36" t="s">
        <v>3880</v>
      </c>
      <c r="I36" t="s">
        <v>8987</v>
      </c>
      <c r="J36" t="s">
        <v>6949</v>
      </c>
      <c r="K36" t="s">
        <v>8986</v>
      </c>
      <c r="L36" t="s">
        <v>8462</v>
      </c>
      <c r="M36" t="s">
        <v>9019</v>
      </c>
      <c r="N36" t="s">
        <v>8982</v>
      </c>
      <c r="O36" t="s">
        <v>9060</v>
      </c>
    </row>
    <row r="37" spans="1:15">
      <c r="A37" t="s">
        <v>3917</v>
      </c>
      <c r="B37" t="s">
        <v>9035</v>
      </c>
      <c r="C37" t="s">
        <v>8978</v>
      </c>
      <c r="D37" t="s">
        <v>8979</v>
      </c>
      <c r="E37" t="s">
        <v>662</v>
      </c>
      <c r="F37" t="s">
        <v>662</v>
      </c>
      <c r="G37" t="s">
        <v>8997</v>
      </c>
      <c r="H37" t="s">
        <v>3880</v>
      </c>
      <c r="I37" t="s">
        <v>8992</v>
      </c>
      <c r="J37" t="s">
        <v>6949</v>
      </c>
      <c r="K37" t="s">
        <v>8986</v>
      </c>
      <c r="L37" t="s">
        <v>8462</v>
      </c>
      <c r="M37" t="s">
        <v>9019</v>
      </c>
      <c r="N37" t="s">
        <v>8982</v>
      </c>
      <c r="O37" t="s">
        <v>9061</v>
      </c>
    </row>
    <row r="38" spans="1:15">
      <c r="A38" t="s">
        <v>3918</v>
      </c>
      <c r="B38" t="s">
        <v>9035</v>
      </c>
      <c r="C38" t="s">
        <v>8978</v>
      </c>
      <c r="D38" t="s">
        <v>5490</v>
      </c>
      <c r="E38" t="s">
        <v>8995</v>
      </c>
      <c r="F38" t="s">
        <v>9005</v>
      </c>
      <c r="G38" t="s">
        <v>8980</v>
      </c>
      <c r="H38" t="s">
        <v>8981</v>
      </c>
      <c r="I38" t="s">
        <v>8984</v>
      </c>
      <c r="J38" t="s">
        <v>6949</v>
      </c>
      <c r="K38" t="s">
        <v>9020</v>
      </c>
      <c r="L38" t="s">
        <v>8462</v>
      </c>
      <c r="M38" t="s">
        <v>9019</v>
      </c>
      <c r="N38" t="s">
        <v>8982</v>
      </c>
      <c r="O38" t="s">
        <v>8982</v>
      </c>
    </row>
    <row r="39" spans="1:15">
      <c r="A39" t="s">
        <v>3919</v>
      </c>
      <c r="B39" t="s">
        <v>8990</v>
      </c>
      <c r="C39" t="s">
        <v>8978</v>
      </c>
      <c r="D39" t="s">
        <v>9062</v>
      </c>
      <c r="E39" t="s">
        <v>8995</v>
      </c>
      <c r="F39" t="s">
        <v>662</v>
      </c>
      <c r="G39" t="s">
        <v>9003</v>
      </c>
      <c r="H39" t="s">
        <v>3890</v>
      </c>
      <c r="I39" t="s">
        <v>8987</v>
      </c>
      <c r="J39" t="s">
        <v>8999</v>
      </c>
      <c r="K39" t="s">
        <v>8986</v>
      </c>
      <c r="L39" t="s">
        <v>9025</v>
      </c>
      <c r="M39" t="s">
        <v>9010</v>
      </c>
      <c r="N39" t="s">
        <v>9026</v>
      </c>
      <c r="O39" t="s">
        <v>9063</v>
      </c>
    </row>
    <row r="40" spans="1:15">
      <c r="A40" t="s">
        <v>3920</v>
      </c>
      <c r="B40" t="s">
        <v>9025</v>
      </c>
      <c r="C40" t="s">
        <v>9064</v>
      </c>
      <c r="D40" t="s">
        <v>5522</v>
      </c>
      <c r="E40" t="s">
        <v>662</v>
      </c>
      <c r="F40" t="s">
        <v>9065</v>
      </c>
      <c r="G40" t="s">
        <v>8980</v>
      </c>
      <c r="H40" t="s">
        <v>8981</v>
      </c>
      <c r="I40" t="s">
        <v>3888</v>
      </c>
      <c r="J40" t="s">
        <v>5492</v>
      </c>
      <c r="K40" t="s">
        <v>5493</v>
      </c>
      <c r="L40" t="s">
        <v>3874</v>
      </c>
      <c r="M40" t="s">
        <v>3888</v>
      </c>
      <c r="N40" t="s">
        <v>8977</v>
      </c>
      <c r="O40" t="s">
        <v>3883</v>
      </c>
    </row>
    <row r="41" spans="1:15">
      <c r="A41" t="s">
        <v>3921</v>
      </c>
      <c r="B41" t="s">
        <v>8993</v>
      </c>
      <c r="C41" t="s">
        <v>9066</v>
      </c>
      <c r="D41" t="s">
        <v>5490</v>
      </c>
      <c r="E41" t="s">
        <v>662</v>
      </c>
      <c r="F41" t="s">
        <v>9067</v>
      </c>
      <c r="G41" t="s">
        <v>8980</v>
      </c>
      <c r="H41" t="s">
        <v>8981</v>
      </c>
      <c r="I41" t="s">
        <v>3888</v>
      </c>
      <c r="J41" t="s">
        <v>5492</v>
      </c>
      <c r="K41" t="s">
        <v>5493</v>
      </c>
      <c r="L41" t="s">
        <v>3883</v>
      </c>
      <c r="M41" t="s">
        <v>8984</v>
      </c>
      <c r="N41" t="s">
        <v>8991</v>
      </c>
      <c r="O41" t="s">
        <v>3888</v>
      </c>
    </row>
    <row r="42" spans="1:15">
      <c r="A42" t="s">
        <v>3922</v>
      </c>
      <c r="B42" t="s">
        <v>8988</v>
      </c>
      <c r="C42" t="s">
        <v>9002</v>
      </c>
      <c r="D42" t="s">
        <v>9012</v>
      </c>
      <c r="E42" t="s">
        <v>662</v>
      </c>
      <c r="F42" t="s">
        <v>8629</v>
      </c>
      <c r="G42" t="s">
        <v>9003</v>
      </c>
      <c r="H42" t="s">
        <v>3880</v>
      </c>
      <c r="I42" t="s">
        <v>3888</v>
      </c>
      <c r="J42" t="s">
        <v>5492</v>
      </c>
      <c r="K42" t="s">
        <v>5493</v>
      </c>
      <c r="L42" t="s">
        <v>3890</v>
      </c>
      <c r="M42" t="s">
        <v>8993</v>
      </c>
      <c r="N42" t="s">
        <v>8987</v>
      </c>
      <c r="O42" t="s">
        <v>3888</v>
      </c>
    </row>
    <row r="43" spans="1:15">
      <c r="A43" t="s">
        <v>3924</v>
      </c>
      <c r="B43" t="s">
        <v>8992</v>
      </c>
      <c r="C43" t="s">
        <v>9066</v>
      </c>
      <c r="D43" t="s">
        <v>5490</v>
      </c>
      <c r="E43" t="s">
        <v>662</v>
      </c>
      <c r="F43" t="s">
        <v>9067</v>
      </c>
      <c r="G43" t="s">
        <v>8980</v>
      </c>
      <c r="H43" t="s">
        <v>8981</v>
      </c>
      <c r="I43" t="s">
        <v>8984</v>
      </c>
      <c r="J43" t="s">
        <v>5492</v>
      </c>
      <c r="K43" t="s">
        <v>5493</v>
      </c>
      <c r="L43" t="s">
        <v>9016</v>
      </c>
      <c r="M43" t="s">
        <v>8988</v>
      </c>
      <c r="N43" t="s">
        <v>8990</v>
      </c>
      <c r="O43" t="s">
        <v>9068</v>
      </c>
    </row>
    <row r="44" spans="1:15">
      <c r="A44" t="s">
        <v>3925</v>
      </c>
      <c r="B44" t="s">
        <v>8992</v>
      </c>
      <c r="C44" t="s">
        <v>8978</v>
      </c>
      <c r="D44" t="s">
        <v>9069</v>
      </c>
      <c r="E44" t="s">
        <v>5530</v>
      </c>
      <c r="F44" t="s">
        <v>9005</v>
      </c>
      <c r="G44" t="s">
        <v>8997</v>
      </c>
      <c r="H44" t="s">
        <v>9058</v>
      </c>
      <c r="I44" t="s">
        <v>3888</v>
      </c>
      <c r="J44" t="s">
        <v>5492</v>
      </c>
      <c r="K44" t="s">
        <v>9000</v>
      </c>
      <c r="L44" t="s">
        <v>8984</v>
      </c>
      <c r="M44" t="s">
        <v>9008</v>
      </c>
      <c r="N44" t="s">
        <v>9021</v>
      </c>
      <c r="O44" t="s">
        <v>9070</v>
      </c>
    </row>
    <row r="45" spans="1:15">
      <c r="A45" t="s">
        <v>3927</v>
      </c>
      <c r="B45" t="s">
        <v>9010</v>
      </c>
      <c r="C45" t="s">
        <v>8978</v>
      </c>
      <c r="D45" t="s">
        <v>9071</v>
      </c>
      <c r="E45" t="s">
        <v>5530</v>
      </c>
      <c r="F45" t="s">
        <v>9005</v>
      </c>
      <c r="G45" t="s">
        <v>8980</v>
      </c>
      <c r="H45" t="s">
        <v>8981</v>
      </c>
      <c r="I45" t="s">
        <v>8984</v>
      </c>
      <c r="J45" t="s">
        <v>5492</v>
      </c>
      <c r="K45" t="s">
        <v>5493</v>
      </c>
      <c r="L45" t="s">
        <v>8984</v>
      </c>
      <c r="M45" t="s">
        <v>9008</v>
      </c>
      <c r="N45" t="s">
        <v>9021</v>
      </c>
      <c r="O45" t="s">
        <v>9072</v>
      </c>
    </row>
    <row r="46" spans="1:15">
      <c r="A46" t="s">
        <v>3929</v>
      </c>
      <c r="B46" t="s">
        <v>9035</v>
      </c>
      <c r="C46" t="s">
        <v>9064</v>
      </c>
      <c r="D46" t="s">
        <v>5490</v>
      </c>
      <c r="E46" t="s">
        <v>662</v>
      </c>
      <c r="F46" t="s">
        <v>9065</v>
      </c>
      <c r="G46" t="s">
        <v>8980</v>
      </c>
      <c r="H46" t="s">
        <v>8981</v>
      </c>
      <c r="I46" t="s">
        <v>3888</v>
      </c>
      <c r="J46" t="s">
        <v>5492</v>
      </c>
      <c r="K46" t="s">
        <v>5493</v>
      </c>
      <c r="L46" t="s">
        <v>8462</v>
      </c>
      <c r="M46" t="s">
        <v>9019</v>
      </c>
      <c r="N46" t="s">
        <v>8982</v>
      </c>
      <c r="O46" t="s">
        <v>9073</v>
      </c>
    </row>
    <row r="47" spans="1:15">
      <c r="A47" t="s">
        <v>3930</v>
      </c>
      <c r="B47" t="s">
        <v>8990</v>
      </c>
      <c r="C47" t="s">
        <v>8978</v>
      </c>
      <c r="D47" t="s">
        <v>9071</v>
      </c>
      <c r="E47" t="s">
        <v>5530</v>
      </c>
      <c r="F47" t="s">
        <v>9005</v>
      </c>
      <c r="G47" t="s">
        <v>8980</v>
      </c>
      <c r="H47" t="s">
        <v>8981</v>
      </c>
      <c r="I47" t="s">
        <v>8984</v>
      </c>
      <c r="J47" t="s">
        <v>5492</v>
      </c>
      <c r="K47" t="s">
        <v>5493</v>
      </c>
      <c r="L47" t="s">
        <v>9025</v>
      </c>
      <c r="M47" t="s">
        <v>9010</v>
      </c>
      <c r="N47" t="s">
        <v>9026</v>
      </c>
      <c r="O47" t="s">
        <v>9074</v>
      </c>
    </row>
    <row r="48" spans="1:15">
      <c r="A48" t="s">
        <v>3932</v>
      </c>
      <c r="B48" t="s">
        <v>9025</v>
      </c>
      <c r="C48" t="s">
        <v>8978</v>
      </c>
      <c r="D48" t="s">
        <v>8979</v>
      </c>
      <c r="E48" t="s">
        <v>5504</v>
      </c>
      <c r="F48" t="s">
        <v>662</v>
      </c>
      <c r="G48" t="s">
        <v>8980</v>
      </c>
      <c r="H48" t="s">
        <v>8981</v>
      </c>
      <c r="I48" t="s">
        <v>3886</v>
      </c>
      <c r="J48" t="s">
        <v>9075</v>
      </c>
      <c r="K48" t="s">
        <v>5493</v>
      </c>
      <c r="L48" t="s">
        <v>3874</v>
      </c>
      <c r="M48" t="s">
        <v>3888</v>
      </c>
      <c r="N48" t="s">
        <v>8977</v>
      </c>
      <c r="O48" t="s">
        <v>9076</v>
      </c>
    </row>
    <row r="49" spans="1:15">
      <c r="A49" t="s">
        <v>3933</v>
      </c>
      <c r="B49" t="s">
        <v>8989</v>
      </c>
      <c r="C49" t="s">
        <v>8978</v>
      </c>
      <c r="D49" t="s">
        <v>8979</v>
      </c>
      <c r="E49" t="s">
        <v>5504</v>
      </c>
      <c r="F49" t="s">
        <v>662</v>
      </c>
      <c r="G49" t="s">
        <v>8980</v>
      </c>
      <c r="H49" t="s">
        <v>8981</v>
      </c>
      <c r="I49" t="s">
        <v>3886</v>
      </c>
      <c r="J49" t="s">
        <v>9077</v>
      </c>
      <c r="K49" t="s">
        <v>5493</v>
      </c>
      <c r="L49" t="s">
        <v>3883</v>
      </c>
      <c r="M49" t="s">
        <v>8984</v>
      </c>
      <c r="N49" t="s">
        <v>8991</v>
      </c>
      <c r="O49" t="s">
        <v>9078</v>
      </c>
    </row>
    <row r="50" spans="1:15">
      <c r="A50" t="s">
        <v>3934</v>
      </c>
      <c r="B50" t="s">
        <v>8991</v>
      </c>
      <c r="C50" t="s">
        <v>8978</v>
      </c>
      <c r="D50" t="s">
        <v>5490</v>
      </c>
      <c r="E50" t="s">
        <v>8995</v>
      </c>
      <c r="F50" t="s">
        <v>9005</v>
      </c>
      <c r="G50" t="s">
        <v>8997</v>
      </c>
      <c r="H50" t="s">
        <v>9009</v>
      </c>
      <c r="I50" t="s">
        <v>3886</v>
      </c>
      <c r="J50" t="s">
        <v>5492</v>
      </c>
      <c r="K50" t="s">
        <v>8985</v>
      </c>
      <c r="L50" t="s">
        <v>3888</v>
      </c>
      <c r="M50" t="s">
        <v>8977</v>
      </c>
      <c r="N50" t="s">
        <v>9010</v>
      </c>
      <c r="O50" t="s">
        <v>9079</v>
      </c>
    </row>
    <row r="51" spans="1:15">
      <c r="A51" t="s">
        <v>3935</v>
      </c>
      <c r="B51" t="s">
        <v>8991</v>
      </c>
      <c r="C51" t="s">
        <v>8978</v>
      </c>
      <c r="D51" t="s">
        <v>5490</v>
      </c>
      <c r="E51" t="s">
        <v>8995</v>
      </c>
      <c r="F51" t="s">
        <v>9005</v>
      </c>
      <c r="G51" t="s">
        <v>8997</v>
      </c>
      <c r="H51" t="s">
        <v>9009</v>
      </c>
      <c r="I51" t="s">
        <v>3886</v>
      </c>
      <c r="J51" t="s">
        <v>5492</v>
      </c>
      <c r="K51" t="s">
        <v>8985</v>
      </c>
      <c r="L51" t="s">
        <v>3888</v>
      </c>
      <c r="M51" t="s">
        <v>8977</v>
      </c>
      <c r="N51" t="s">
        <v>9010</v>
      </c>
      <c r="O51" t="s">
        <v>9079</v>
      </c>
    </row>
    <row r="52" spans="1:15">
      <c r="A52" t="s">
        <v>3936</v>
      </c>
      <c r="B52" t="s">
        <v>8991</v>
      </c>
      <c r="C52" t="s">
        <v>8978</v>
      </c>
      <c r="D52" t="s">
        <v>5490</v>
      </c>
      <c r="E52" t="s">
        <v>8995</v>
      </c>
      <c r="F52" t="s">
        <v>9005</v>
      </c>
      <c r="G52" t="s">
        <v>8997</v>
      </c>
      <c r="H52" t="s">
        <v>9009</v>
      </c>
      <c r="I52" t="s">
        <v>3886</v>
      </c>
      <c r="J52" t="s">
        <v>5492</v>
      </c>
      <c r="K52" t="s">
        <v>8985</v>
      </c>
      <c r="L52" t="s">
        <v>3888</v>
      </c>
      <c r="M52" t="s">
        <v>8977</v>
      </c>
      <c r="N52" t="s">
        <v>9010</v>
      </c>
      <c r="O52" t="s">
        <v>9079</v>
      </c>
    </row>
    <row r="53" spans="1:15">
      <c r="A53" t="s">
        <v>3937</v>
      </c>
      <c r="B53" t="s">
        <v>8991</v>
      </c>
      <c r="C53" t="s">
        <v>8978</v>
      </c>
      <c r="D53" t="s">
        <v>5490</v>
      </c>
      <c r="E53" t="s">
        <v>8995</v>
      </c>
      <c r="F53" t="s">
        <v>9005</v>
      </c>
      <c r="G53" t="s">
        <v>8997</v>
      </c>
      <c r="H53" t="s">
        <v>9009</v>
      </c>
      <c r="I53" t="s">
        <v>3886</v>
      </c>
      <c r="J53" t="s">
        <v>5492</v>
      </c>
      <c r="K53" t="s">
        <v>8985</v>
      </c>
      <c r="L53" t="s">
        <v>3888</v>
      </c>
      <c r="M53" t="s">
        <v>8977</v>
      </c>
      <c r="N53" t="s">
        <v>9010</v>
      </c>
      <c r="O53" t="s">
        <v>9079</v>
      </c>
    </row>
    <row r="54" spans="1:15">
      <c r="A54" t="s">
        <v>3938</v>
      </c>
      <c r="B54" t="s">
        <v>8991</v>
      </c>
      <c r="C54" t="s">
        <v>8978</v>
      </c>
      <c r="D54" t="s">
        <v>5490</v>
      </c>
      <c r="E54" t="s">
        <v>8995</v>
      </c>
      <c r="F54" t="s">
        <v>9005</v>
      </c>
      <c r="G54" t="s">
        <v>8997</v>
      </c>
      <c r="H54" t="s">
        <v>9009</v>
      </c>
      <c r="I54" t="s">
        <v>3886</v>
      </c>
      <c r="J54" t="s">
        <v>5492</v>
      </c>
      <c r="K54" t="s">
        <v>8985</v>
      </c>
      <c r="L54" t="s">
        <v>3888</v>
      </c>
      <c r="M54" t="s">
        <v>8977</v>
      </c>
      <c r="N54" t="s">
        <v>9010</v>
      </c>
      <c r="O54" t="s">
        <v>9079</v>
      </c>
    </row>
    <row r="55" spans="1:15">
      <c r="A55" t="s">
        <v>3939</v>
      </c>
      <c r="B55" t="s">
        <v>8991</v>
      </c>
      <c r="C55" t="s">
        <v>8978</v>
      </c>
      <c r="D55" t="s">
        <v>5490</v>
      </c>
      <c r="E55" t="s">
        <v>8995</v>
      </c>
      <c r="F55" t="s">
        <v>9005</v>
      </c>
      <c r="G55" t="s">
        <v>8997</v>
      </c>
      <c r="H55" t="s">
        <v>9009</v>
      </c>
      <c r="I55" t="s">
        <v>3886</v>
      </c>
      <c r="J55" t="s">
        <v>5492</v>
      </c>
      <c r="K55" t="s">
        <v>8985</v>
      </c>
      <c r="L55" t="s">
        <v>3888</v>
      </c>
      <c r="M55" t="s">
        <v>8977</v>
      </c>
      <c r="N55" t="s">
        <v>9010</v>
      </c>
      <c r="O55" t="s">
        <v>9079</v>
      </c>
    </row>
    <row r="56" spans="1:15">
      <c r="A56" t="s">
        <v>3940</v>
      </c>
      <c r="B56" t="s">
        <v>8991</v>
      </c>
      <c r="C56" t="s">
        <v>8978</v>
      </c>
      <c r="D56" t="s">
        <v>5490</v>
      </c>
      <c r="E56" t="s">
        <v>8995</v>
      </c>
      <c r="F56" t="s">
        <v>9005</v>
      </c>
      <c r="G56" t="s">
        <v>8997</v>
      </c>
      <c r="H56" t="s">
        <v>9009</v>
      </c>
      <c r="I56" t="s">
        <v>3886</v>
      </c>
      <c r="J56" t="s">
        <v>5492</v>
      </c>
      <c r="K56" t="s">
        <v>8985</v>
      </c>
      <c r="L56" t="s">
        <v>3888</v>
      </c>
      <c r="M56" t="s">
        <v>8977</v>
      </c>
      <c r="N56" t="s">
        <v>9010</v>
      </c>
      <c r="O56" t="s">
        <v>9079</v>
      </c>
    </row>
    <row r="57" spans="1:15">
      <c r="A57" t="s">
        <v>3941</v>
      </c>
      <c r="B57" t="s">
        <v>8991</v>
      </c>
      <c r="C57" t="s">
        <v>8978</v>
      </c>
      <c r="D57" t="s">
        <v>5490</v>
      </c>
      <c r="E57" t="s">
        <v>8995</v>
      </c>
      <c r="F57" t="s">
        <v>9005</v>
      </c>
      <c r="G57" t="s">
        <v>8997</v>
      </c>
      <c r="H57" t="s">
        <v>9009</v>
      </c>
      <c r="I57" t="s">
        <v>3886</v>
      </c>
      <c r="J57" t="s">
        <v>5492</v>
      </c>
      <c r="K57" t="s">
        <v>8985</v>
      </c>
      <c r="L57" t="s">
        <v>3888</v>
      </c>
      <c r="M57" t="s">
        <v>8977</v>
      </c>
      <c r="N57" t="s">
        <v>9010</v>
      </c>
      <c r="O57" t="s">
        <v>9079</v>
      </c>
    </row>
    <row r="58" spans="1:15">
      <c r="A58" t="s">
        <v>3942</v>
      </c>
      <c r="B58" t="s">
        <v>8991</v>
      </c>
      <c r="C58" t="s">
        <v>8978</v>
      </c>
      <c r="D58" t="s">
        <v>5490</v>
      </c>
      <c r="E58" t="s">
        <v>8995</v>
      </c>
      <c r="F58" t="s">
        <v>9005</v>
      </c>
      <c r="G58" t="s">
        <v>8997</v>
      </c>
      <c r="H58" t="s">
        <v>9009</v>
      </c>
      <c r="I58" t="s">
        <v>3886</v>
      </c>
      <c r="J58" t="s">
        <v>5492</v>
      </c>
      <c r="K58" t="s">
        <v>8985</v>
      </c>
      <c r="L58" t="s">
        <v>3888</v>
      </c>
      <c r="M58" t="s">
        <v>8977</v>
      </c>
      <c r="N58" t="s">
        <v>9010</v>
      </c>
      <c r="O58" t="s">
        <v>9079</v>
      </c>
    </row>
    <row r="59" spans="1:15">
      <c r="A59" t="s">
        <v>3943</v>
      </c>
      <c r="B59" t="s">
        <v>8991</v>
      </c>
      <c r="C59" t="s">
        <v>8978</v>
      </c>
      <c r="D59" t="s">
        <v>5490</v>
      </c>
      <c r="E59" t="s">
        <v>8995</v>
      </c>
      <c r="F59" t="s">
        <v>9005</v>
      </c>
      <c r="G59" t="s">
        <v>8997</v>
      </c>
      <c r="H59" t="s">
        <v>9009</v>
      </c>
      <c r="I59" t="s">
        <v>3886</v>
      </c>
      <c r="J59" t="s">
        <v>5492</v>
      </c>
      <c r="K59" t="s">
        <v>8985</v>
      </c>
      <c r="L59" t="s">
        <v>3888</v>
      </c>
      <c r="M59" t="s">
        <v>8977</v>
      </c>
      <c r="N59" t="s">
        <v>9010</v>
      </c>
      <c r="O59" t="s">
        <v>9079</v>
      </c>
    </row>
    <row r="60" spans="1:15">
      <c r="A60" t="s">
        <v>3944</v>
      </c>
      <c r="B60" t="s">
        <v>8991</v>
      </c>
      <c r="C60" t="s">
        <v>8978</v>
      </c>
      <c r="D60" t="s">
        <v>5490</v>
      </c>
      <c r="E60" t="s">
        <v>8995</v>
      </c>
      <c r="F60" t="s">
        <v>9005</v>
      </c>
      <c r="G60" t="s">
        <v>8997</v>
      </c>
      <c r="H60" t="s">
        <v>9009</v>
      </c>
      <c r="I60" t="s">
        <v>3886</v>
      </c>
      <c r="J60" t="s">
        <v>5492</v>
      </c>
      <c r="K60" t="s">
        <v>8985</v>
      </c>
      <c r="L60" t="s">
        <v>3888</v>
      </c>
      <c r="M60" t="s">
        <v>8977</v>
      </c>
      <c r="N60" t="s">
        <v>9010</v>
      </c>
      <c r="O60" t="s">
        <v>9079</v>
      </c>
    </row>
    <row r="61" spans="1:15">
      <c r="A61" t="s">
        <v>3945</v>
      </c>
      <c r="B61" t="s">
        <v>8991</v>
      </c>
      <c r="C61" t="s">
        <v>8978</v>
      </c>
      <c r="D61" t="s">
        <v>5490</v>
      </c>
      <c r="E61" t="s">
        <v>8995</v>
      </c>
      <c r="F61" t="s">
        <v>9005</v>
      </c>
      <c r="G61" t="s">
        <v>8997</v>
      </c>
      <c r="H61" t="s">
        <v>9009</v>
      </c>
      <c r="I61" t="s">
        <v>3886</v>
      </c>
      <c r="J61" t="s">
        <v>5492</v>
      </c>
      <c r="K61" t="s">
        <v>8985</v>
      </c>
      <c r="L61" t="s">
        <v>3888</v>
      </c>
      <c r="M61" t="s">
        <v>8977</v>
      </c>
      <c r="N61" t="s">
        <v>9010</v>
      </c>
      <c r="O61" t="s">
        <v>9079</v>
      </c>
    </row>
    <row r="62" spans="1:15">
      <c r="A62" t="s">
        <v>3946</v>
      </c>
      <c r="B62" t="s">
        <v>9010</v>
      </c>
      <c r="C62" t="s">
        <v>8978</v>
      </c>
      <c r="D62" t="s">
        <v>5490</v>
      </c>
      <c r="E62" t="s">
        <v>8995</v>
      </c>
      <c r="F62" t="s">
        <v>9005</v>
      </c>
      <c r="G62" t="s">
        <v>8997</v>
      </c>
      <c r="H62" t="s">
        <v>9058</v>
      </c>
      <c r="I62" t="s">
        <v>3888</v>
      </c>
      <c r="J62" t="s">
        <v>5492</v>
      </c>
      <c r="K62" t="s">
        <v>8985</v>
      </c>
      <c r="L62" t="s">
        <v>8984</v>
      </c>
      <c r="M62" t="s">
        <v>9008</v>
      </c>
      <c r="N62" t="s">
        <v>9021</v>
      </c>
      <c r="O62" t="s">
        <v>9080</v>
      </c>
    </row>
    <row r="63" spans="1:15">
      <c r="A63" t="s">
        <v>3947</v>
      </c>
      <c r="B63" t="s">
        <v>9019</v>
      </c>
      <c r="C63" t="s">
        <v>8978</v>
      </c>
      <c r="D63" t="s">
        <v>8979</v>
      </c>
      <c r="E63" t="s">
        <v>5504</v>
      </c>
      <c r="F63" t="s">
        <v>662</v>
      </c>
      <c r="G63" t="s">
        <v>8997</v>
      </c>
      <c r="H63" t="s">
        <v>9058</v>
      </c>
      <c r="I63" t="s">
        <v>3880</v>
      </c>
      <c r="J63" t="s">
        <v>5492</v>
      </c>
      <c r="K63" t="s">
        <v>8986</v>
      </c>
      <c r="L63" t="s">
        <v>9016</v>
      </c>
      <c r="M63" t="s">
        <v>8988</v>
      </c>
      <c r="N63" t="s">
        <v>8990</v>
      </c>
      <c r="O63" t="s">
        <v>9081</v>
      </c>
    </row>
    <row r="64" spans="1:15">
      <c r="A64" t="s">
        <v>3949</v>
      </c>
      <c r="B64" t="s">
        <v>8987</v>
      </c>
      <c r="C64" t="s">
        <v>8978</v>
      </c>
      <c r="D64" t="s">
        <v>5530</v>
      </c>
      <c r="E64" t="s">
        <v>5530</v>
      </c>
      <c r="F64" t="s">
        <v>662</v>
      </c>
      <c r="G64" t="s">
        <v>8980</v>
      </c>
      <c r="H64" t="s">
        <v>8981</v>
      </c>
      <c r="I64" t="s">
        <v>8987</v>
      </c>
      <c r="J64" t="s">
        <v>5492</v>
      </c>
      <c r="K64" t="s">
        <v>8986</v>
      </c>
      <c r="L64" t="s">
        <v>8984</v>
      </c>
      <c r="M64" t="s">
        <v>9008</v>
      </c>
      <c r="N64" t="s">
        <v>9021</v>
      </c>
      <c r="O64" t="s">
        <v>8990</v>
      </c>
    </row>
    <row r="65" spans="1:15">
      <c r="A65" t="s">
        <v>3950</v>
      </c>
      <c r="B65" t="s">
        <v>9010</v>
      </c>
      <c r="C65" t="s">
        <v>8978</v>
      </c>
      <c r="D65" t="s">
        <v>5490</v>
      </c>
      <c r="E65" t="s">
        <v>8995</v>
      </c>
      <c r="F65" t="s">
        <v>9005</v>
      </c>
      <c r="G65" t="s">
        <v>8997</v>
      </c>
      <c r="H65" t="s">
        <v>9058</v>
      </c>
      <c r="I65" t="s">
        <v>3888</v>
      </c>
      <c r="J65" t="s">
        <v>5492</v>
      </c>
      <c r="K65" t="s">
        <v>8985</v>
      </c>
      <c r="L65" t="s">
        <v>8984</v>
      </c>
      <c r="M65" t="s">
        <v>9008</v>
      </c>
      <c r="N65" t="s">
        <v>9021</v>
      </c>
      <c r="O65" t="s">
        <v>9080</v>
      </c>
    </row>
    <row r="66" spans="1:15">
      <c r="A66" t="s">
        <v>3951</v>
      </c>
      <c r="B66" t="s">
        <v>9010</v>
      </c>
      <c r="C66" t="s">
        <v>8978</v>
      </c>
      <c r="D66" t="s">
        <v>5490</v>
      </c>
      <c r="E66" t="s">
        <v>8995</v>
      </c>
      <c r="F66" t="s">
        <v>9005</v>
      </c>
      <c r="G66" t="s">
        <v>8997</v>
      </c>
      <c r="H66" t="s">
        <v>9058</v>
      </c>
      <c r="I66" t="s">
        <v>3888</v>
      </c>
      <c r="J66" t="s">
        <v>5492</v>
      </c>
      <c r="K66" t="s">
        <v>8985</v>
      </c>
      <c r="L66" t="s">
        <v>8984</v>
      </c>
      <c r="M66" t="s">
        <v>9008</v>
      </c>
      <c r="N66" t="s">
        <v>9021</v>
      </c>
      <c r="O66" t="s">
        <v>9080</v>
      </c>
    </row>
    <row r="67" spans="1:15">
      <c r="A67" t="s">
        <v>3952</v>
      </c>
      <c r="B67" t="s">
        <v>9010</v>
      </c>
      <c r="C67" t="s">
        <v>8978</v>
      </c>
      <c r="D67" t="s">
        <v>5490</v>
      </c>
      <c r="E67" t="s">
        <v>8995</v>
      </c>
      <c r="F67" t="s">
        <v>9005</v>
      </c>
      <c r="G67" t="s">
        <v>8997</v>
      </c>
      <c r="H67" t="s">
        <v>9058</v>
      </c>
      <c r="I67" t="s">
        <v>3888</v>
      </c>
      <c r="J67" t="s">
        <v>5492</v>
      </c>
      <c r="K67" t="s">
        <v>8985</v>
      </c>
      <c r="L67" t="s">
        <v>8984</v>
      </c>
      <c r="M67" t="s">
        <v>9008</v>
      </c>
      <c r="N67" t="s">
        <v>9021</v>
      </c>
      <c r="O67" t="s">
        <v>9080</v>
      </c>
    </row>
    <row r="68" spans="1:15">
      <c r="A68" t="s">
        <v>3953</v>
      </c>
      <c r="B68" t="s">
        <v>9010</v>
      </c>
      <c r="C68" t="s">
        <v>8978</v>
      </c>
      <c r="D68" t="s">
        <v>5490</v>
      </c>
      <c r="E68" t="s">
        <v>8995</v>
      </c>
      <c r="F68" t="s">
        <v>9005</v>
      </c>
      <c r="G68" t="s">
        <v>8997</v>
      </c>
      <c r="H68" t="s">
        <v>9058</v>
      </c>
      <c r="I68" t="s">
        <v>3888</v>
      </c>
      <c r="J68" t="s">
        <v>5492</v>
      </c>
      <c r="K68" t="s">
        <v>8985</v>
      </c>
      <c r="L68" t="s">
        <v>8984</v>
      </c>
      <c r="M68" t="s">
        <v>9008</v>
      </c>
      <c r="N68" t="s">
        <v>9021</v>
      </c>
      <c r="O68" t="s">
        <v>9080</v>
      </c>
    </row>
    <row r="69" spans="1:15">
      <c r="A69" t="s">
        <v>3954</v>
      </c>
      <c r="B69" t="s">
        <v>9010</v>
      </c>
      <c r="C69" t="s">
        <v>8978</v>
      </c>
      <c r="D69" t="s">
        <v>5490</v>
      </c>
      <c r="E69" t="s">
        <v>8995</v>
      </c>
      <c r="F69" t="s">
        <v>9005</v>
      </c>
      <c r="G69" t="s">
        <v>8997</v>
      </c>
      <c r="H69" t="s">
        <v>9058</v>
      </c>
      <c r="I69" t="s">
        <v>3888</v>
      </c>
      <c r="J69" t="s">
        <v>5492</v>
      </c>
      <c r="K69" t="s">
        <v>8985</v>
      </c>
      <c r="L69" t="s">
        <v>8984</v>
      </c>
      <c r="M69" t="s">
        <v>9008</v>
      </c>
      <c r="N69" t="s">
        <v>9021</v>
      </c>
      <c r="O69" t="s">
        <v>9080</v>
      </c>
    </row>
    <row r="70" spans="1:15">
      <c r="A70" t="s">
        <v>3955</v>
      </c>
      <c r="B70" t="s">
        <v>9010</v>
      </c>
      <c r="C70" t="s">
        <v>8978</v>
      </c>
      <c r="D70" t="s">
        <v>5490</v>
      </c>
      <c r="E70" t="s">
        <v>8995</v>
      </c>
      <c r="F70" t="s">
        <v>9005</v>
      </c>
      <c r="G70" t="s">
        <v>8997</v>
      </c>
      <c r="H70" t="s">
        <v>9058</v>
      </c>
      <c r="I70" t="s">
        <v>3888</v>
      </c>
      <c r="J70" t="s">
        <v>5492</v>
      </c>
      <c r="K70" t="s">
        <v>8985</v>
      </c>
      <c r="L70" t="s">
        <v>8984</v>
      </c>
      <c r="M70" t="s">
        <v>9008</v>
      </c>
      <c r="N70" t="s">
        <v>9021</v>
      </c>
      <c r="O70" t="s">
        <v>9080</v>
      </c>
    </row>
    <row r="71" spans="1:15">
      <c r="A71" t="s">
        <v>3956</v>
      </c>
      <c r="B71" t="s">
        <v>9010</v>
      </c>
      <c r="C71" t="s">
        <v>8978</v>
      </c>
      <c r="D71" t="s">
        <v>5490</v>
      </c>
      <c r="E71" t="s">
        <v>8995</v>
      </c>
      <c r="F71" t="s">
        <v>9005</v>
      </c>
      <c r="G71" t="s">
        <v>8997</v>
      </c>
      <c r="H71" t="s">
        <v>9058</v>
      </c>
      <c r="I71" t="s">
        <v>3888</v>
      </c>
      <c r="J71" t="s">
        <v>5492</v>
      </c>
      <c r="K71" t="s">
        <v>8985</v>
      </c>
      <c r="L71" t="s">
        <v>8984</v>
      </c>
      <c r="M71" t="s">
        <v>9008</v>
      </c>
      <c r="N71" t="s">
        <v>9021</v>
      </c>
      <c r="O71" t="s">
        <v>9080</v>
      </c>
    </row>
    <row r="72" spans="1:15">
      <c r="A72" t="s">
        <v>3957</v>
      </c>
      <c r="B72" t="s">
        <v>9010</v>
      </c>
      <c r="C72" t="s">
        <v>8978</v>
      </c>
      <c r="D72" t="s">
        <v>5490</v>
      </c>
      <c r="E72" t="s">
        <v>8995</v>
      </c>
      <c r="F72" t="s">
        <v>9005</v>
      </c>
      <c r="G72" t="s">
        <v>8997</v>
      </c>
      <c r="H72" t="s">
        <v>9058</v>
      </c>
      <c r="I72" t="s">
        <v>3888</v>
      </c>
      <c r="J72" t="s">
        <v>5492</v>
      </c>
      <c r="K72" t="s">
        <v>8985</v>
      </c>
      <c r="L72" t="s">
        <v>8984</v>
      </c>
      <c r="M72" t="s">
        <v>9008</v>
      </c>
      <c r="N72" t="s">
        <v>9021</v>
      </c>
      <c r="O72" t="s">
        <v>9080</v>
      </c>
    </row>
    <row r="73" spans="1:15">
      <c r="A73" t="s">
        <v>3958</v>
      </c>
      <c r="B73" t="s">
        <v>9010</v>
      </c>
      <c r="C73" t="s">
        <v>8978</v>
      </c>
      <c r="D73" t="s">
        <v>5490</v>
      </c>
      <c r="E73" t="s">
        <v>8995</v>
      </c>
      <c r="F73" t="s">
        <v>9005</v>
      </c>
      <c r="G73" t="s">
        <v>8997</v>
      </c>
      <c r="H73" t="s">
        <v>9058</v>
      </c>
      <c r="I73" t="s">
        <v>3888</v>
      </c>
      <c r="J73" t="s">
        <v>5492</v>
      </c>
      <c r="K73" t="s">
        <v>8985</v>
      </c>
      <c r="L73" t="s">
        <v>8984</v>
      </c>
      <c r="M73" t="s">
        <v>9008</v>
      </c>
      <c r="N73" t="s">
        <v>9021</v>
      </c>
      <c r="O73" t="s">
        <v>9080</v>
      </c>
    </row>
    <row r="74" spans="1:15">
      <c r="A74" t="s">
        <v>3959</v>
      </c>
      <c r="B74" t="s">
        <v>9010</v>
      </c>
      <c r="C74" t="s">
        <v>8978</v>
      </c>
      <c r="D74" t="s">
        <v>5490</v>
      </c>
      <c r="E74" t="s">
        <v>8995</v>
      </c>
      <c r="F74" t="s">
        <v>9005</v>
      </c>
      <c r="G74" t="s">
        <v>8997</v>
      </c>
      <c r="H74" t="s">
        <v>9058</v>
      </c>
      <c r="I74" t="s">
        <v>3888</v>
      </c>
      <c r="J74" t="s">
        <v>5492</v>
      </c>
      <c r="K74" t="s">
        <v>8985</v>
      </c>
      <c r="L74" t="s">
        <v>8984</v>
      </c>
      <c r="M74" t="s">
        <v>9008</v>
      </c>
      <c r="N74" t="s">
        <v>9021</v>
      </c>
      <c r="O74" t="s">
        <v>9080</v>
      </c>
    </row>
    <row r="75" spans="1:15">
      <c r="A75" t="s">
        <v>3960</v>
      </c>
      <c r="B75" t="s">
        <v>9010</v>
      </c>
      <c r="C75" t="s">
        <v>8978</v>
      </c>
      <c r="D75" t="s">
        <v>5490</v>
      </c>
      <c r="E75" t="s">
        <v>8995</v>
      </c>
      <c r="F75" t="s">
        <v>9005</v>
      </c>
      <c r="G75" t="s">
        <v>8997</v>
      </c>
      <c r="H75" t="s">
        <v>9058</v>
      </c>
      <c r="I75" t="s">
        <v>3888</v>
      </c>
      <c r="J75" t="s">
        <v>5492</v>
      </c>
      <c r="K75" t="s">
        <v>8985</v>
      </c>
      <c r="L75" t="s">
        <v>8984</v>
      </c>
      <c r="M75" t="s">
        <v>9008</v>
      </c>
      <c r="N75" t="s">
        <v>9021</v>
      </c>
      <c r="O75" t="s">
        <v>9080</v>
      </c>
    </row>
    <row r="76" spans="1:15">
      <c r="A76" t="s">
        <v>3961</v>
      </c>
      <c r="B76" t="s">
        <v>9035</v>
      </c>
      <c r="C76" t="s">
        <v>9002</v>
      </c>
      <c r="D76" t="s">
        <v>5490</v>
      </c>
      <c r="E76" t="s">
        <v>662</v>
      </c>
      <c r="F76" t="s">
        <v>8629</v>
      </c>
      <c r="G76" t="s">
        <v>9003</v>
      </c>
      <c r="H76" t="s">
        <v>3888</v>
      </c>
      <c r="I76" t="s">
        <v>9016</v>
      </c>
      <c r="J76" t="s">
        <v>5492</v>
      </c>
      <c r="K76" t="s">
        <v>9028</v>
      </c>
      <c r="L76" t="s">
        <v>8462</v>
      </c>
      <c r="M76" t="s">
        <v>9019</v>
      </c>
      <c r="N76" t="s">
        <v>8982</v>
      </c>
      <c r="O76" t="s">
        <v>9082</v>
      </c>
    </row>
    <row r="77" spans="1:15">
      <c r="A77" t="s">
        <v>3962</v>
      </c>
      <c r="B77" t="s">
        <v>9044</v>
      </c>
      <c r="C77" t="s">
        <v>8978</v>
      </c>
      <c r="D77" t="s">
        <v>5530</v>
      </c>
      <c r="E77" t="s">
        <v>5530</v>
      </c>
      <c r="F77" t="s">
        <v>662</v>
      </c>
      <c r="G77" t="s">
        <v>8997</v>
      </c>
      <c r="H77" t="s">
        <v>3880</v>
      </c>
      <c r="I77" t="s">
        <v>3886</v>
      </c>
      <c r="J77" t="s">
        <v>5492</v>
      </c>
      <c r="K77" t="s">
        <v>9020</v>
      </c>
      <c r="L77" t="s">
        <v>8462</v>
      </c>
      <c r="M77" t="s">
        <v>9019</v>
      </c>
      <c r="N77" t="s">
        <v>8982</v>
      </c>
      <c r="O77" t="s">
        <v>9083</v>
      </c>
    </row>
    <row r="78" spans="1:15">
      <c r="A78" t="s">
        <v>3963</v>
      </c>
      <c r="B78" t="s">
        <v>9044</v>
      </c>
      <c r="C78" t="s">
        <v>8978</v>
      </c>
      <c r="D78" t="s">
        <v>5530</v>
      </c>
      <c r="E78" t="s">
        <v>5530</v>
      </c>
      <c r="F78" t="s">
        <v>662</v>
      </c>
      <c r="G78" t="s">
        <v>8997</v>
      </c>
      <c r="H78" t="s">
        <v>3880</v>
      </c>
      <c r="I78" t="s">
        <v>3886</v>
      </c>
      <c r="J78" t="s">
        <v>5492</v>
      </c>
      <c r="K78" t="s">
        <v>9020</v>
      </c>
      <c r="L78" t="s">
        <v>8462</v>
      </c>
      <c r="M78" t="s">
        <v>9019</v>
      </c>
      <c r="N78" t="s">
        <v>8982</v>
      </c>
      <c r="O78" t="s">
        <v>9083</v>
      </c>
    </row>
    <row r="79" spans="1:15">
      <c r="A79" t="s">
        <v>3964</v>
      </c>
      <c r="B79" t="s">
        <v>9044</v>
      </c>
      <c r="C79" t="s">
        <v>8978</v>
      </c>
      <c r="D79" t="s">
        <v>5530</v>
      </c>
      <c r="E79" t="s">
        <v>5530</v>
      </c>
      <c r="F79" t="s">
        <v>662</v>
      </c>
      <c r="G79" t="s">
        <v>8997</v>
      </c>
      <c r="H79" t="s">
        <v>3880</v>
      </c>
      <c r="I79" t="s">
        <v>3886</v>
      </c>
      <c r="J79" t="s">
        <v>5492</v>
      </c>
      <c r="K79" t="s">
        <v>9020</v>
      </c>
      <c r="L79" t="s">
        <v>8462</v>
      </c>
      <c r="M79" t="s">
        <v>9019</v>
      </c>
      <c r="N79" t="s">
        <v>8982</v>
      </c>
      <c r="O79" t="s">
        <v>9083</v>
      </c>
    </row>
    <row r="80" spans="1:15">
      <c r="A80" t="s">
        <v>3965</v>
      </c>
      <c r="B80" t="s">
        <v>9044</v>
      </c>
      <c r="C80" t="s">
        <v>8978</v>
      </c>
      <c r="D80" t="s">
        <v>5530</v>
      </c>
      <c r="E80" t="s">
        <v>5530</v>
      </c>
      <c r="F80" t="s">
        <v>662</v>
      </c>
      <c r="G80" t="s">
        <v>8997</v>
      </c>
      <c r="H80" t="s">
        <v>3880</v>
      </c>
      <c r="I80" t="s">
        <v>3886</v>
      </c>
      <c r="J80" t="s">
        <v>5492</v>
      </c>
      <c r="K80" t="s">
        <v>9020</v>
      </c>
      <c r="L80" t="s">
        <v>8462</v>
      </c>
      <c r="M80" t="s">
        <v>9019</v>
      </c>
      <c r="N80" t="s">
        <v>8982</v>
      </c>
      <c r="O80" t="s">
        <v>9083</v>
      </c>
    </row>
    <row r="81" spans="1:15">
      <c r="A81" t="s">
        <v>3966</v>
      </c>
      <c r="B81" t="s">
        <v>9044</v>
      </c>
      <c r="C81" t="s">
        <v>8978</v>
      </c>
      <c r="D81" t="s">
        <v>5530</v>
      </c>
      <c r="E81" t="s">
        <v>5530</v>
      </c>
      <c r="F81" t="s">
        <v>662</v>
      </c>
      <c r="G81" t="s">
        <v>8997</v>
      </c>
      <c r="H81" t="s">
        <v>3880</v>
      </c>
      <c r="I81" t="s">
        <v>3886</v>
      </c>
      <c r="J81" t="s">
        <v>5492</v>
      </c>
      <c r="K81" t="s">
        <v>9020</v>
      </c>
      <c r="L81" t="s">
        <v>8462</v>
      </c>
      <c r="M81" t="s">
        <v>9019</v>
      </c>
      <c r="N81" t="s">
        <v>8982</v>
      </c>
      <c r="O81" t="s">
        <v>9083</v>
      </c>
    </row>
    <row r="82" spans="1:15">
      <c r="A82" t="s">
        <v>3967</v>
      </c>
      <c r="B82" t="s">
        <v>9044</v>
      </c>
      <c r="C82" t="s">
        <v>8978</v>
      </c>
      <c r="D82" t="s">
        <v>5530</v>
      </c>
      <c r="E82" t="s">
        <v>5530</v>
      </c>
      <c r="F82" t="s">
        <v>662</v>
      </c>
      <c r="G82" t="s">
        <v>8997</v>
      </c>
      <c r="H82" t="s">
        <v>3880</v>
      </c>
      <c r="I82" t="s">
        <v>3886</v>
      </c>
      <c r="J82" t="s">
        <v>5492</v>
      </c>
      <c r="K82" t="s">
        <v>9020</v>
      </c>
      <c r="L82" t="s">
        <v>8462</v>
      </c>
      <c r="M82" t="s">
        <v>9019</v>
      </c>
      <c r="N82" t="s">
        <v>8982</v>
      </c>
      <c r="O82" t="s">
        <v>9083</v>
      </c>
    </row>
    <row r="83" spans="1:15">
      <c r="A83" t="s">
        <v>3968</v>
      </c>
      <c r="B83" t="s">
        <v>9044</v>
      </c>
      <c r="C83" t="s">
        <v>8978</v>
      </c>
      <c r="D83" t="s">
        <v>5530</v>
      </c>
      <c r="E83" t="s">
        <v>5530</v>
      </c>
      <c r="F83" t="s">
        <v>662</v>
      </c>
      <c r="G83" t="s">
        <v>8997</v>
      </c>
      <c r="H83" t="s">
        <v>3880</v>
      </c>
      <c r="I83" t="s">
        <v>3886</v>
      </c>
      <c r="J83" t="s">
        <v>5492</v>
      </c>
      <c r="K83" t="s">
        <v>9020</v>
      </c>
      <c r="L83" t="s">
        <v>8462</v>
      </c>
      <c r="M83" t="s">
        <v>9019</v>
      </c>
      <c r="N83" t="s">
        <v>8982</v>
      </c>
      <c r="O83" t="s">
        <v>9083</v>
      </c>
    </row>
    <row r="84" spans="1:15">
      <c r="A84" t="s">
        <v>3969</v>
      </c>
      <c r="B84" t="s">
        <v>9044</v>
      </c>
      <c r="C84" t="s">
        <v>8978</v>
      </c>
      <c r="D84" t="s">
        <v>5530</v>
      </c>
      <c r="E84" t="s">
        <v>5530</v>
      </c>
      <c r="F84" t="s">
        <v>662</v>
      </c>
      <c r="G84" t="s">
        <v>8997</v>
      </c>
      <c r="H84" t="s">
        <v>3880</v>
      </c>
      <c r="I84" t="s">
        <v>3886</v>
      </c>
      <c r="J84" t="s">
        <v>5492</v>
      </c>
      <c r="K84" t="s">
        <v>9020</v>
      </c>
      <c r="L84" t="s">
        <v>8462</v>
      </c>
      <c r="M84" t="s">
        <v>9019</v>
      </c>
      <c r="N84" t="s">
        <v>8982</v>
      </c>
      <c r="O84" t="s">
        <v>9083</v>
      </c>
    </row>
    <row r="85" spans="1:15">
      <c r="A85" t="s">
        <v>3970</v>
      </c>
      <c r="B85" t="s">
        <v>9044</v>
      </c>
      <c r="C85" t="s">
        <v>8978</v>
      </c>
      <c r="D85" t="s">
        <v>5530</v>
      </c>
      <c r="E85" t="s">
        <v>5530</v>
      </c>
      <c r="F85" t="s">
        <v>662</v>
      </c>
      <c r="G85" t="s">
        <v>8997</v>
      </c>
      <c r="H85" t="s">
        <v>3880</v>
      </c>
      <c r="I85" t="s">
        <v>3886</v>
      </c>
      <c r="J85" t="s">
        <v>5492</v>
      </c>
      <c r="K85" t="s">
        <v>9020</v>
      </c>
      <c r="L85" t="s">
        <v>8462</v>
      </c>
      <c r="M85" t="s">
        <v>9019</v>
      </c>
      <c r="N85" t="s">
        <v>8982</v>
      </c>
      <c r="O85" t="s">
        <v>9083</v>
      </c>
    </row>
    <row r="86" spans="1:15">
      <c r="A86" t="s">
        <v>3971</v>
      </c>
      <c r="B86" t="s">
        <v>9044</v>
      </c>
      <c r="C86" t="s">
        <v>8978</v>
      </c>
      <c r="D86" t="s">
        <v>5530</v>
      </c>
      <c r="E86" t="s">
        <v>5530</v>
      </c>
      <c r="F86" t="s">
        <v>662</v>
      </c>
      <c r="G86" t="s">
        <v>8997</v>
      </c>
      <c r="H86" t="s">
        <v>3880</v>
      </c>
      <c r="I86" t="s">
        <v>3886</v>
      </c>
      <c r="J86" t="s">
        <v>5492</v>
      </c>
      <c r="K86" t="s">
        <v>9020</v>
      </c>
      <c r="L86" t="s">
        <v>8462</v>
      </c>
      <c r="M86" t="s">
        <v>9019</v>
      </c>
      <c r="N86" t="s">
        <v>8982</v>
      </c>
      <c r="O86" t="s">
        <v>9083</v>
      </c>
    </row>
    <row r="87" spans="1:15">
      <c r="A87" t="s">
        <v>3972</v>
      </c>
      <c r="B87" t="s">
        <v>9044</v>
      </c>
      <c r="C87" t="s">
        <v>8978</v>
      </c>
      <c r="D87" t="s">
        <v>5530</v>
      </c>
      <c r="E87" t="s">
        <v>5530</v>
      </c>
      <c r="F87" t="s">
        <v>662</v>
      </c>
      <c r="G87" t="s">
        <v>8997</v>
      </c>
      <c r="H87" t="s">
        <v>3880</v>
      </c>
      <c r="I87" t="s">
        <v>3886</v>
      </c>
      <c r="J87" t="s">
        <v>5492</v>
      </c>
      <c r="K87" t="s">
        <v>9020</v>
      </c>
      <c r="L87" t="s">
        <v>8462</v>
      </c>
      <c r="M87" t="s">
        <v>9019</v>
      </c>
      <c r="N87" t="s">
        <v>8982</v>
      </c>
      <c r="O87" t="s">
        <v>9083</v>
      </c>
    </row>
    <row r="88" spans="1:15">
      <c r="A88" t="s">
        <v>3973</v>
      </c>
      <c r="B88" t="s">
        <v>8990</v>
      </c>
      <c r="C88" t="s">
        <v>9002</v>
      </c>
      <c r="D88" t="s">
        <v>5522</v>
      </c>
      <c r="E88" t="s">
        <v>662</v>
      </c>
      <c r="F88" t="s">
        <v>8629</v>
      </c>
      <c r="G88" t="s">
        <v>8980</v>
      </c>
      <c r="H88" t="s">
        <v>8981</v>
      </c>
      <c r="I88" t="s">
        <v>9016</v>
      </c>
      <c r="J88" t="s">
        <v>5492</v>
      </c>
      <c r="K88" t="s">
        <v>9028</v>
      </c>
      <c r="L88" t="s">
        <v>9025</v>
      </c>
      <c r="M88" t="s">
        <v>9010</v>
      </c>
      <c r="N88" t="s">
        <v>9026</v>
      </c>
      <c r="O88" t="s">
        <v>9027</v>
      </c>
    </row>
    <row r="89" spans="1:15">
      <c r="A89" t="s">
        <v>3974</v>
      </c>
      <c r="B89" t="s">
        <v>8990</v>
      </c>
      <c r="C89" t="s">
        <v>8978</v>
      </c>
      <c r="D89" t="s">
        <v>9084</v>
      </c>
      <c r="E89" t="s">
        <v>9085</v>
      </c>
      <c r="F89" t="s">
        <v>9005</v>
      </c>
      <c r="G89" t="s">
        <v>8980</v>
      </c>
      <c r="H89" t="s">
        <v>8981</v>
      </c>
      <c r="I89" t="s">
        <v>3890</v>
      </c>
      <c r="J89" t="s">
        <v>8999</v>
      </c>
      <c r="K89" t="s">
        <v>9028</v>
      </c>
      <c r="L89" t="s">
        <v>9025</v>
      </c>
      <c r="M89" t="s">
        <v>9010</v>
      </c>
      <c r="N89" t="s">
        <v>9026</v>
      </c>
      <c r="O89" t="s">
        <v>9086</v>
      </c>
    </row>
    <row r="90" spans="1:15">
      <c r="A90" t="s">
        <v>3975</v>
      </c>
      <c r="B90" t="s">
        <v>8993</v>
      </c>
      <c r="C90" t="s">
        <v>9033</v>
      </c>
      <c r="D90" t="s">
        <v>9032</v>
      </c>
      <c r="E90" t="s">
        <v>662</v>
      </c>
      <c r="F90" t="s">
        <v>662</v>
      </c>
      <c r="G90" t="s">
        <v>8980</v>
      </c>
      <c r="H90" t="s">
        <v>3868</v>
      </c>
      <c r="I90" t="s">
        <v>3880</v>
      </c>
      <c r="J90" t="s">
        <v>6949</v>
      </c>
      <c r="K90" t="s">
        <v>9028</v>
      </c>
      <c r="L90" t="s">
        <v>3874</v>
      </c>
      <c r="M90" t="s">
        <v>3890</v>
      </c>
      <c r="N90" t="s">
        <v>8989</v>
      </c>
      <c r="O90" t="s">
        <v>3883</v>
      </c>
    </row>
    <row r="91" spans="1:15">
      <c r="A91" t="s">
        <v>3977</v>
      </c>
      <c r="B91" t="s">
        <v>8993</v>
      </c>
      <c r="C91" t="s">
        <v>9049</v>
      </c>
      <c r="D91" t="s">
        <v>9032</v>
      </c>
      <c r="E91" t="s">
        <v>662</v>
      </c>
      <c r="F91" t="s">
        <v>662</v>
      </c>
      <c r="G91" t="s">
        <v>8980</v>
      </c>
      <c r="H91" t="s">
        <v>3868</v>
      </c>
      <c r="I91" t="s">
        <v>3880</v>
      </c>
      <c r="J91" t="s">
        <v>6949</v>
      </c>
      <c r="K91" t="s">
        <v>9087</v>
      </c>
      <c r="L91" t="s">
        <v>3874</v>
      </c>
      <c r="M91" t="s">
        <v>3890</v>
      </c>
      <c r="N91" t="s">
        <v>8989</v>
      </c>
      <c r="O91" t="s">
        <v>3883</v>
      </c>
    </row>
    <row r="92" spans="1:15">
      <c r="A92" t="s">
        <v>3978</v>
      </c>
      <c r="B92" t="s">
        <v>8993</v>
      </c>
      <c r="C92" t="s">
        <v>9049</v>
      </c>
      <c r="D92" t="s">
        <v>9032</v>
      </c>
      <c r="E92" t="s">
        <v>662</v>
      </c>
      <c r="F92" t="s">
        <v>662</v>
      </c>
      <c r="G92" t="s">
        <v>8980</v>
      </c>
      <c r="H92" t="s">
        <v>3868</v>
      </c>
      <c r="I92" t="s">
        <v>3880</v>
      </c>
      <c r="J92" t="s">
        <v>9050</v>
      </c>
      <c r="K92" t="s">
        <v>9014</v>
      </c>
      <c r="L92" t="s">
        <v>3874</v>
      </c>
      <c r="M92" t="s">
        <v>3890</v>
      </c>
      <c r="N92" t="s">
        <v>8989</v>
      </c>
      <c r="O92" t="s">
        <v>3890</v>
      </c>
    </row>
    <row r="93" spans="1:15">
      <c r="A93" t="s">
        <v>3980</v>
      </c>
      <c r="B93" t="s">
        <v>8988</v>
      </c>
      <c r="C93" t="s">
        <v>9033</v>
      </c>
      <c r="D93" t="s">
        <v>9032</v>
      </c>
      <c r="E93" t="s">
        <v>662</v>
      </c>
      <c r="F93" t="s">
        <v>662</v>
      </c>
      <c r="G93" t="s">
        <v>8997</v>
      </c>
      <c r="H93" t="s">
        <v>3874</v>
      </c>
      <c r="I93" t="s">
        <v>3880</v>
      </c>
      <c r="J93" t="s">
        <v>6949</v>
      </c>
      <c r="K93" t="s">
        <v>9088</v>
      </c>
      <c r="L93" t="s">
        <v>3883</v>
      </c>
      <c r="M93" t="s">
        <v>8462</v>
      </c>
      <c r="N93" t="s">
        <v>8992</v>
      </c>
      <c r="O93" t="s">
        <v>3890</v>
      </c>
    </row>
    <row r="94" spans="1:15">
      <c r="A94" t="s">
        <v>3981</v>
      </c>
      <c r="B94" t="s">
        <v>8988</v>
      </c>
      <c r="C94" t="s">
        <v>9089</v>
      </c>
      <c r="D94" t="s">
        <v>9032</v>
      </c>
      <c r="E94" t="s">
        <v>662</v>
      </c>
      <c r="F94" t="s">
        <v>662</v>
      </c>
      <c r="G94" t="s">
        <v>8997</v>
      </c>
      <c r="H94" t="s">
        <v>3874</v>
      </c>
      <c r="I94" t="s">
        <v>3880</v>
      </c>
      <c r="J94" t="s">
        <v>6949</v>
      </c>
      <c r="K94" t="s">
        <v>9090</v>
      </c>
      <c r="L94" t="s">
        <v>3883</v>
      </c>
      <c r="M94" t="s">
        <v>8462</v>
      </c>
      <c r="N94" t="s">
        <v>8992</v>
      </c>
      <c r="O94" t="s">
        <v>3890</v>
      </c>
    </row>
    <row r="95" spans="1:15">
      <c r="A95" t="s">
        <v>3982</v>
      </c>
      <c r="B95" t="s">
        <v>8988</v>
      </c>
      <c r="C95" t="s">
        <v>9033</v>
      </c>
      <c r="D95" t="s">
        <v>9032</v>
      </c>
      <c r="E95" t="s">
        <v>662</v>
      </c>
      <c r="F95" t="s">
        <v>662</v>
      </c>
      <c r="G95" t="s">
        <v>8997</v>
      </c>
      <c r="H95" t="s">
        <v>3874</v>
      </c>
      <c r="I95" t="s">
        <v>3880</v>
      </c>
      <c r="J95" t="s">
        <v>8999</v>
      </c>
      <c r="K95" t="s">
        <v>8985</v>
      </c>
      <c r="L95" t="s">
        <v>3883</v>
      </c>
      <c r="M95" t="s">
        <v>8462</v>
      </c>
      <c r="N95" t="s">
        <v>8992</v>
      </c>
      <c r="O95" t="s">
        <v>9016</v>
      </c>
    </row>
    <row r="96" spans="1:15">
      <c r="A96" t="s">
        <v>3984</v>
      </c>
      <c r="B96" t="s">
        <v>8988</v>
      </c>
      <c r="C96" t="s">
        <v>9033</v>
      </c>
      <c r="D96" t="s">
        <v>9032</v>
      </c>
      <c r="E96" t="s">
        <v>662</v>
      </c>
      <c r="F96" t="s">
        <v>662</v>
      </c>
      <c r="G96" t="s">
        <v>8997</v>
      </c>
      <c r="H96" t="s">
        <v>3874</v>
      </c>
      <c r="I96" t="s">
        <v>3880</v>
      </c>
      <c r="J96" t="s">
        <v>6949</v>
      </c>
      <c r="K96" t="s">
        <v>8985</v>
      </c>
      <c r="L96" t="s">
        <v>3883</v>
      </c>
      <c r="M96" t="s">
        <v>8462</v>
      </c>
      <c r="N96" t="s">
        <v>8992</v>
      </c>
      <c r="O96" t="s">
        <v>3890</v>
      </c>
    </row>
    <row r="97" spans="1:15">
      <c r="A97" t="s">
        <v>3985</v>
      </c>
      <c r="B97" t="s">
        <v>8988</v>
      </c>
      <c r="C97" t="s">
        <v>9049</v>
      </c>
      <c r="D97" t="s">
        <v>9032</v>
      </c>
      <c r="E97" t="s">
        <v>662</v>
      </c>
      <c r="F97" t="s">
        <v>662</v>
      </c>
      <c r="G97" t="s">
        <v>8997</v>
      </c>
      <c r="H97" t="s">
        <v>3874</v>
      </c>
      <c r="I97" t="s">
        <v>3880</v>
      </c>
      <c r="J97" t="s">
        <v>6949</v>
      </c>
      <c r="K97" t="s">
        <v>9091</v>
      </c>
      <c r="L97" t="s">
        <v>3883</v>
      </c>
      <c r="M97" t="s">
        <v>8462</v>
      </c>
      <c r="N97" t="s">
        <v>8992</v>
      </c>
      <c r="O97" t="s">
        <v>3890</v>
      </c>
    </row>
    <row r="98" spans="1:15">
      <c r="A98" t="s">
        <v>3986</v>
      </c>
      <c r="B98" t="s">
        <v>9008</v>
      </c>
      <c r="C98" t="s">
        <v>9092</v>
      </c>
      <c r="D98" t="s">
        <v>9032</v>
      </c>
      <c r="E98" t="s">
        <v>662</v>
      </c>
      <c r="F98" t="s">
        <v>662</v>
      </c>
      <c r="G98" t="s">
        <v>8997</v>
      </c>
      <c r="H98" t="s">
        <v>3880</v>
      </c>
      <c r="I98" t="s">
        <v>3883</v>
      </c>
      <c r="J98" t="s">
        <v>6949</v>
      </c>
      <c r="K98" t="s">
        <v>9014</v>
      </c>
      <c r="L98" t="s">
        <v>3888</v>
      </c>
      <c r="M98" t="s">
        <v>8993</v>
      </c>
      <c r="N98" t="s">
        <v>9035</v>
      </c>
      <c r="O98" t="s">
        <v>8988</v>
      </c>
    </row>
    <row r="99" spans="1:15">
      <c r="A99" t="s">
        <v>3988</v>
      </c>
      <c r="B99" t="s">
        <v>9008</v>
      </c>
      <c r="C99" t="s">
        <v>9033</v>
      </c>
      <c r="D99" t="s">
        <v>9032</v>
      </c>
      <c r="E99" t="s">
        <v>662</v>
      </c>
      <c r="F99" t="s">
        <v>662</v>
      </c>
      <c r="G99" t="s">
        <v>8980</v>
      </c>
      <c r="H99" t="s">
        <v>3880</v>
      </c>
      <c r="I99" t="s">
        <v>3883</v>
      </c>
      <c r="J99" t="s">
        <v>6949</v>
      </c>
      <c r="K99" t="s">
        <v>9093</v>
      </c>
      <c r="L99" t="s">
        <v>3888</v>
      </c>
      <c r="M99" t="s">
        <v>8993</v>
      </c>
      <c r="N99" t="s">
        <v>9035</v>
      </c>
      <c r="O99" t="s">
        <v>8993</v>
      </c>
    </row>
    <row r="100" spans="1:15">
      <c r="A100" t="s">
        <v>3990</v>
      </c>
      <c r="B100" t="s">
        <v>9008</v>
      </c>
      <c r="C100" t="s">
        <v>9034</v>
      </c>
      <c r="D100" t="s">
        <v>9032</v>
      </c>
      <c r="E100" t="s">
        <v>662</v>
      </c>
      <c r="F100" t="s">
        <v>662</v>
      </c>
      <c r="G100" t="s">
        <v>8997</v>
      </c>
      <c r="H100" t="s">
        <v>3880</v>
      </c>
      <c r="I100" t="s">
        <v>3883</v>
      </c>
      <c r="J100" t="s">
        <v>6949</v>
      </c>
      <c r="K100" t="s">
        <v>9094</v>
      </c>
      <c r="L100" t="s">
        <v>3888</v>
      </c>
      <c r="M100" t="s">
        <v>8993</v>
      </c>
      <c r="N100" t="s">
        <v>9035</v>
      </c>
      <c r="O100" t="s">
        <v>8977</v>
      </c>
    </row>
    <row r="101" spans="1:15">
      <c r="A101" t="s">
        <v>3992</v>
      </c>
      <c r="B101" t="s">
        <v>9008</v>
      </c>
      <c r="C101" t="s">
        <v>9089</v>
      </c>
      <c r="D101" t="s">
        <v>9032</v>
      </c>
      <c r="E101" t="s">
        <v>662</v>
      </c>
      <c r="F101" t="s">
        <v>662</v>
      </c>
      <c r="G101" t="s">
        <v>8997</v>
      </c>
      <c r="H101" t="s">
        <v>3880</v>
      </c>
      <c r="I101" t="s">
        <v>3880</v>
      </c>
      <c r="J101" t="s">
        <v>6949</v>
      </c>
      <c r="K101" t="s">
        <v>8985</v>
      </c>
      <c r="L101" t="s">
        <v>3888</v>
      </c>
      <c r="M101" t="s">
        <v>8993</v>
      </c>
      <c r="N101" t="s">
        <v>9035</v>
      </c>
      <c r="O101" t="s">
        <v>8462</v>
      </c>
    </row>
    <row r="102" spans="1:15">
      <c r="A102" t="s">
        <v>3993</v>
      </c>
      <c r="B102" t="s">
        <v>9019</v>
      </c>
      <c r="C102" t="s">
        <v>9095</v>
      </c>
      <c r="D102" t="s">
        <v>9032</v>
      </c>
      <c r="E102" t="s">
        <v>662</v>
      </c>
      <c r="F102" t="s">
        <v>662</v>
      </c>
      <c r="G102" t="s">
        <v>8997</v>
      </c>
      <c r="H102" t="s">
        <v>3883</v>
      </c>
      <c r="I102" t="s">
        <v>3880</v>
      </c>
      <c r="J102" t="s">
        <v>6949</v>
      </c>
      <c r="K102" t="s">
        <v>9096</v>
      </c>
      <c r="L102" t="s">
        <v>9016</v>
      </c>
      <c r="M102" t="s">
        <v>8991</v>
      </c>
      <c r="N102" t="s">
        <v>9037</v>
      </c>
      <c r="O102" t="s">
        <v>9035</v>
      </c>
    </row>
    <row r="103" spans="1:15">
      <c r="A103" t="s">
        <v>3995</v>
      </c>
      <c r="B103" t="s">
        <v>9019</v>
      </c>
      <c r="C103" t="s">
        <v>9097</v>
      </c>
      <c r="D103" t="s">
        <v>9032</v>
      </c>
      <c r="E103" t="s">
        <v>662</v>
      </c>
      <c r="F103" t="s">
        <v>662</v>
      </c>
      <c r="G103" t="s">
        <v>8997</v>
      </c>
      <c r="H103" t="s">
        <v>3883</v>
      </c>
      <c r="I103" t="s">
        <v>3880</v>
      </c>
      <c r="J103" t="s">
        <v>9098</v>
      </c>
      <c r="K103" t="s">
        <v>7180</v>
      </c>
      <c r="L103" t="s">
        <v>9016</v>
      </c>
      <c r="M103" t="s">
        <v>8991</v>
      </c>
      <c r="N103" t="s">
        <v>9037</v>
      </c>
      <c r="O103" t="s">
        <v>8988</v>
      </c>
    </row>
    <row r="104" spans="1:15">
      <c r="A104" t="s">
        <v>3996</v>
      </c>
      <c r="B104" t="s">
        <v>9019</v>
      </c>
      <c r="C104" t="s">
        <v>9099</v>
      </c>
      <c r="D104" t="s">
        <v>9032</v>
      </c>
      <c r="E104" t="s">
        <v>662</v>
      </c>
      <c r="F104" t="s">
        <v>9005</v>
      </c>
      <c r="G104" t="s">
        <v>8997</v>
      </c>
      <c r="H104" t="s">
        <v>3883</v>
      </c>
      <c r="I104" t="s">
        <v>3886</v>
      </c>
      <c r="J104" t="s">
        <v>8999</v>
      </c>
      <c r="K104" t="s">
        <v>8985</v>
      </c>
      <c r="L104" t="s">
        <v>9016</v>
      </c>
      <c r="M104" t="s">
        <v>8991</v>
      </c>
      <c r="N104" t="s">
        <v>9037</v>
      </c>
      <c r="O104" t="s">
        <v>9010</v>
      </c>
    </row>
    <row r="105" spans="1:15">
      <c r="A105" t="s">
        <v>3998</v>
      </c>
      <c r="B105" t="s">
        <v>9019</v>
      </c>
      <c r="C105" t="s">
        <v>9049</v>
      </c>
      <c r="D105" t="s">
        <v>9032</v>
      </c>
      <c r="E105" t="s">
        <v>662</v>
      </c>
      <c r="F105" t="s">
        <v>662</v>
      </c>
      <c r="G105" t="s">
        <v>8997</v>
      </c>
      <c r="H105" t="s">
        <v>3883</v>
      </c>
      <c r="I105" t="s">
        <v>3880</v>
      </c>
      <c r="J105" t="s">
        <v>6949</v>
      </c>
      <c r="K105" t="s">
        <v>9100</v>
      </c>
      <c r="L105" t="s">
        <v>9016</v>
      </c>
      <c r="M105" t="s">
        <v>8991</v>
      </c>
      <c r="N105" t="s">
        <v>9037</v>
      </c>
      <c r="O105" t="s">
        <v>8989</v>
      </c>
    </row>
    <row r="106" spans="1:15">
      <c r="A106" t="s">
        <v>4000</v>
      </c>
      <c r="B106" t="s">
        <v>8987</v>
      </c>
      <c r="C106" t="s">
        <v>9101</v>
      </c>
      <c r="D106" t="s">
        <v>9042</v>
      </c>
      <c r="E106" t="s">
        <v>662</v>
      </c>
      <c r="F106" t="s">
        <v>9005</v>
      </c>
      <c r="G106" t="s">
        <v>8997</v>
      </c>
      <c r="H106" t="s">
        <v>3886</v>
      </c>
      <c r="I106" t="s">
        <v>3888</v>
      </c>
      <c r="J106" t="s">
        <v>6949</v>
      </c>
      <c r="K106" t="s">
        <v>8986</v>
      </c>
      <c r="L106" t="s">
        <v>8984</v>
      </c>
      <c r="M106" t="s">
        <v>8992</v>
      </c>
      <c r="N106" t="s">
        <v>9039</v>
      </c>
      <c r="O106" t="s">
        <v>9102</v>
      </c>
    </row>
    <row r="107" spans="1:15">
      <c r="A107" t="s">
        <v>4002</v>
      </c>
      <c r="B107" t="s">
        <v>9044</v>
      </c>
      <c r="C107" t="s">
        <v>9103</v>
      </c>
      <c r="D107" t="s">
        <v>9032</v>
      </c>
      <c r="E107" t="s">
        <v>662</v>
      </c>
      <c r="F107" t="s">
        <v>662</v>
      </c>
      <c r="G107" t="s">
        <v>8997</v>
      </c>
      <c r="H107" t="s">
        <v>3888</v>
      </c>
      <c r="I107" t="s">
        <v>3888</v>
      </c>
      <c r="J107" t="s">
        <v>6949</v>
      </c>
      <c r="K107" t="s">
        <v>9104</v>
      </c>
      <c r="L107" t="s">
        <v>9025</v>
      </c>
      <c r="M107" t="s">
        <v>8987</v>
      </c>
      <c r="N107" t="s">
        <v>9026</v>
      </c>
      <c r="O107" t="s">
        <v>9047</v>
      </c>
    </row>
    <row r="108" spans="1:15">
      <c r="A108" t="s">
        <v>4004</v>
      </c>
      <c r="B108" t="s">
        <v>9044</v>
      </c>
      <c r="C108" t="s">
        <v>9105</v>
      </c>
      <c r="D108" t="s">
        <v>9106</v>
      </c>
      <c r="E108" t="s">
        <v>662</v>
      </c>
      <c r="F108" t="s">
        <v>662</v>
      </c>
      <c r="G108" t="s">
        <v>9003</v>
      </c>
      <c r="H108" t="s">
        <v>3888</v>
      </c>
      <c r="I108" t="s">
        <v>3890</v>
      </c>
      <c r="J108" t="s">
        <v>5492</v>
      </c>
      <c r="K108" t="s">
        <v>9014</v>
      </c>
      <c r="L108" t="s">
        <v>9025</v>
      </c>
      <c r="M108" t="s">
        <v>8987</v>
      </c>
      <c r="N108" t="s">
        <v>9026</v>
      </c>
      <c r="O108" t="s">
        <v>9045</v>
      </c>
    </row>
    <row r="109" spans="1:15">
      <c r="A109" t="s">
        <v>4005</v>
      </c>
      <c r="B109" t="s">
        <v>8977</v>
      </c>
      <c r="C109" t="s">
        <v>8978</v>
      </c>
      <c r="D109" t="s">
        <v>8994</v>
      </c>
      <c r="E109" t="s">
        <v>8995</v>
      </c>
      <c r="F109" t="s">
        <v>8996</v>
      </c>
      <c r="G109" t="s">
        <v>8997</v>
      </c>
      <c r="H109" t="s">
        <v>8998</v>
      </c>
      <c r="I109" t="s">
        <v>3888</v>
      </c>
      <c r="J109" t="s">
        <v>9006</v>
      </c>
      <c r="K109" t="s">
        <v>8985</v>
      </c>
      <c r="L109" t="s">
        <v>3874</v>
      </c>
      <c r="M109" t="s">
        <v>3888</v>
      </c>
      <c r="N109" t="s">
        <v>8977</v>
      </c>
      <c r="O109" t="s">
        <v>9107</v>
      </c>
    </row>
    <row r="110" spans="1:15">
      <c r="A110" t="s">
        <v>4006</v>
      </c>
      <c r="B110" t="s">
        <v>9025</v>
      </c>
      <c r="C110" t="s">
        <v>9064</v>
      </c>
      <c r="D110" t="s">
        <v>5522</v>
      </c>
      <c r="E110" t="s">
        <v>662</v>
      </c>
      <c r="F110" t="s">
        <v>9065</v>
      </c>
      <c r="G110" t="s">
        <v>8980</v>
      </c>
      <c r="H110" t="s">
        <v>8981</v>
      </c>
      <c r="I110" t="s">
        <v>3888</v>
      </c>
      <c r="J110" t="s">
        <v>5492</v>
      </c>
      <c r="K110" t="s">
        <v>5493</v>
      </c>
      <c r="L110" t="s">
        <v>3874</v>
      </c>
      <c r="M110" t="s">
        <v>3888</v>
      </c>
      <c r="N110" t="s">
        <v>8977</v>
      </c>
      <c r="O110" t="s">
        <v>3883</v>
      </c>
    </row>
    <row r="111" spans="1:15">
      <c r="A111" t="s">
        <v>4007</v>
      </c>
      <c r="B111" t="s">
        <v>8462</v>
      </c>
      <c r="C111" t="s">
        <v>8978</v>
      </c>
      <c r="D111" t="s">
        <v>5530</v>
      </c>
      <c r="E111" t="s">
        <v>5530</v>
      </c>
      <c r="F111" t="s">
        <v>662</v>
      </c>
      <c r="G111" t="s">
        <v>8997</v>
      </c>
      <c r="H111" t="s">
        <v>8998</v>
      </c>
      <c r="I111" t="s">
        <v>3874</v>
      </c>
      <c r="J111" t="s">
        <v>5492</v>
      </c>
      <c r="K111" t="s">
        <v>9000</v>
      </c>
      <c r="L111" t="s">
        <v>3874</v>
      </c>
      <c r="M111" t="s">
        <v>3888</v>
      </c>
      <c r="N111" t="s">
        <v>8977</v>
      </c>
      <c r="O111" t="s">
        <v>3888</v>
      </c>
    </row>
    <row r="112" spans="1:15">
      <c r="A112" t="s">
        <v>4008</v>
      </c>
      <c r="B112" t="s">
        <v>8993</v>
      </c>
      <c r="C112" t="s">
        <v>9066</v>
      </c>
      <c r="D112" t="s">
        <v>5490</v>
      </c>
      <c r="E112" t="s">
        <v>662</v>
      </c>
      <c r="F112" t="s">
        <v>9067</v>
      </c>
      <c r="G112" t="s">
        <v>8980</v>
      </c>
      <c r="H112" t="s">
        <v>8981</v>
      </c>
      <c r="I112" t="s">
        <v>3888</v>
      </c>
      <c r="J112" t="s">
        <v>5492</v>
      </c>
      <c r="K112" t="s">
        <v>5493</v>
      </c>
      <c r="L112" t="s">
        <v>3883</v>
      </c>
      <c r="M112" t="s">
        <v>8984</v>
      </c>
      <c r="N112" t="s">
        <v>8991</v>
      </c>
      <c r="O112" t="s">
        <v>3888</v>
      </c>
    </row>
    <row r="113" spans="1:15">
      <c r="A113" t="s">
        <v>4009</v>
      </c>
      <c r="B113" t="s">
        <v>8977</v>
      </c>
      <c r="C113" t="s">
        <v>8978</v>
      </c>
      <c r="D113" t="s">
        <v>9069</v>
      </c>
      <c r="E113" t="s">
        <v>5530</v>
      </c>
      <c r="F113" t="s">
        <v>9005</v>
      </c>
      <c r="G113" t="s">
        <v>8997</v>
      </c>
      <c r="H113" t="s">
        <v>3868</v>
      </c>
      <c r="I113" t="s">
        <v>3888</v>
      </c>
      <c r="J113" t="s">
        <v>5492</v>
      </c>
      <c r="K113" t="s">
        <v>9000</v>
      </c>
      <c r="L113" t="s">
        <v>3883</v>
      </c>
      <c r="M113" t="s">
        <v>8984</v>
      </c>
      <c r="N113" t="s">
        <v>8991</v>
      </c>
      <c r="O113" t="s">
        <v>9108</v>
      </c>
    </row>
    <row r="114" spans="1:15">
      <c r="A114" t="s">
        <v>4010</v>
      </c>
      <c r="B114" t="s">
        <v>8989</v>
      </c>
      <c r="C114" t="s">
        <v>9002</v>
      </c>
      <c r="D114" t="s">
        <v>9109</v>
      </c>
      <c r="E114" t="s">
        <v>8995</v>
      </c>
      <c r="F114" t="s">
        <v>9110</v>
      </c>
      <c r="G114" t="s">
        <v>8997</v>
      </c>
      <c r="H114" t="s">
        <v>3868</v>
      </c>
      <c r="I114" t="s">
        <v>3888</v>
      </c>
      <c r="J114" t="s">
        <v>5492</v>
      </c>
      <c r="K114" t="s">
        <v>9111</v>
      </c>
      <c r="L114" t="s">
        <v>3883</v>
      </c>
      <c r="M114" t="s">
        <v>8984</v>
      </c>
      <c r="N114" t="s">
        <v>8991</v>
      </c>
      <c r="O114" t="s">
        <v>9112</v>
      </c>
    </row>
    <row r="115" spans="1:15">
      <c r="A115" t="s">
        <v>4011</v>
      </c>
      <c r="B115" t="s">
        <v>8991</v>
      </c>
      <c r="C115" t="s">
        <v>8978</v>
      </c>
      <c r="D115" t="s">
        <v>8979</v>
      </c>
      <c r="E115" t="s">
        <v>5504</v>
      </c>
      <c r="F115" t="s">
        <v>662</v>
      </c>
      <c r="G115" t="s">
        <v>8997</v>
      </c>
      <c r="H115" t="s">
        <v>9009</v>
      </c>
      <c r="I115" t="s">
        <v>9016</v>
      </c>
      <c r="J115" t="s">
        <v>8999</v>
      </c>
      <c r="K115" t="s">
        <v>8986</v>
      </c>
      <c r="L115" t="s">
        <v>3890</v>
      </c>
      <c r="M115" t="s">
        <v>8993</v>
      </c>
      <c r="N115" t="s">
        <v>8987</v>
      </c>
      <c r="O115" t="s">
        <v>9037</v>
      </c>
    </row>
    <row r="116" spans="1:15">
      <c r="A116" t="s">
        <v>4012</v>
      </c>
      <c r="B116" t="s">
        <v>8991</v>
      </c>
      <c r="C116" t="s">
        <v>8978</v>
      </c>
      <c r="D116" t="s">
        <v>8979</v>
      </c>
      <c r="E116" t="s">
        <v>5504</v>
      </c>
      <c r="F116" t="s">
        <v>662</v>
      </c>
      <c r="G116" t="s">
        <v>8980</v>
      </c>
      <c r="H116" t="s">
        <v>8981</v>
      </c>
      <c r="I116" t="s">
        <v>3880</v>
      </c>
      <c r="J116" t="s">
        <v>5492</v>
      </c>
      <c r="K116" t="s">
        <v>9000</v>
      </c>
      <c r="L116" t="s">
        <v>3890</v>
      </c>
      <c r="M116" t="s">
        <v>8993</v>
      </c>
      <c r="N116" t="s">
        <v>8987</v>
      </c>
      <c r="O116" t="s">
        <v>3883</v>
      </c>
    </row>
    <row r="117" spans="1:15">
      <c r="A117" t="s">
        <v>4014</v>
      </c>
      <c r="B117" t="s">
        <v>8989</v>
      </c>
      <c r="C117" t="s">
        <v>8978</v>
      </c>
      <c r="D117" t="s">
        <v>5530</v>
      </c>
      <c r="E117" t="s">
        <v>5530</v>
      </c>
      <c r="F117" t="s">
        <v>662</v>
      </c>
      <c r="G117" t="s">
        <v>8997</v>
      </c>
      <c r="H117" t="s">
        <v>9009</v>
      </c>
      <c r="I117" t="s">
        <v>3874</v>
      </c>
      <c r="J117" t="s">
        <v>5492</v>
      </c>
      <c r="K117" t="s">
        <v>9000</v>
      </c>
      <c r="L117" t="s">
        <v>3890</v>
      </c>
      <c r="M117" t="s">
        <v>8993</v>
      </c>
      <c r="N117" t="s">
        <v>8987</v>
      </c>
      <c r="O117" t="s">
        <v>8992</v>
      </c>
    </row>
    <row r="118" spans="1:15">
      <c r="A118" t="s">
        <v>4015</v>
      </c>
      <c r="B118" t="s">
        <v>8991</v>
      </c>
      <c r="C118" t="s">
        <v>9064</v>
      </c>
      <c r="D118" t="s">
        <v>5522</v>
      </c>
      <c r="E118" t="s">
        <v>662</v>
      </c>
      <c r="F118" t="s">
        <v>9065</v>
      </c>
      <c r="G118" t="s">
        <v>8980</v>
      </c>
      <c r="H118" t="s">
        <v>8981</v>
      </c>
      <c r="I118" t="s">
        <v>8984</v>
      </c>
      <c r="J118" t="s">
        <v>5492</v>
      </c>
      <c r="K118" t="s">
        <v>5493</v>
      </c>
      <c r="L118" t="s">
        <v>3890</v>
      </c>
      <c r="M118" t="s">
        <v>8993</v>
      </c>
      <c r="N118" t="s">
        <v>8987</v>
      </c>
      <c r="O118" t="s">
        <v>9113</v>
      </c>
    </row>
    <row r="119" spans="1:15">
      <c r="A119" t="s">
        <v>4016</v>
      </c>
      <c r="B119" t="s">
        <v>8988</v>
      </c>
      <c r="C119" t="s">
        <v>9002</v>
      </c>
      <c r="D119" t="s">
        <v>9012</v>
      </c>
      <c r="E119" t="s">
        <v>662</v>
      </c>
      <c r="F119" t="s">
        <v>8629</v>
      </c>
      <c r="G119" t="s">
        <v>9003</v>
      </c>
      <c r="H119" t="s">
        <v>3880</v>
      </c>
      <c r="I119" t="s">
        <v>3888</v>
      </c>
      <c r="J119" t="s">
        <v>5492</v>
      </c>
      <c r="K119" t="s">
        <v>5493</v>
      </c>
      <c r="L119" t="s">
        <v>3890</v>
      </c>
      <c r="M119" t="s">
        <v>8993</v>
      </c>
      <c r="N119" t="s">
        <v>8987</v>
      </c>
      <c r="O119" t="s">
        <v>3888</v>
      </c>
    </row>
    <row r="120" spans="1:15">
      <c r="A120" t="s">
        <v>4017</v>
      </c>
      <c r="B120" t="s">
        <v>8992</v>
      </c>
      <c r="C120" t="s">
        <v>9066</v>
      </c>
      <c r="D120" t="s">
        <v>5490</v>
      </c>
      <c r="E120" t="s">
        <v>662</v>
      </c>
      <c r="F120" t="s">
        <v>9067</v>
      </c>
      <c r="G120" t="s">
        <v>8980</v>
      </c>
      <c r="H120" t="s">
        <v>8981</v>
      </c>
      <c r="I120" t="s">
        <v>8984</v>
      </c>
      <c r="J120" t="s">
        <v>5492</v>
      </c>
      <c r="K120" t="s">
        <v>5493</v>
      </c>
      <c r="L120" t="s">
        <v>9016</v>
      </c>
      <c r="M120" t="s">
        <v>8988</v>
      </c>
      <c r="N120" t="s">
        <v>8990</v>
      </c>
      <c r="O120" t="s">
        <v>9068</v>
      </c>
    </row>
    <row r="121" spans="1:15">
      <c r="A121" t="s">
        <v>4018</v>
      </c>
      <c r="B121" t="s">
        <v>9008</v>
      </c>
      <c r="C121" t="s">
        <v>9064</v>
      </c>
      <c r="D121" t="s">
        <v>5490</v>
      </c>
      <c r="E121" t="s">
        <v>662</v>
      </c>
      <c r="F121" t="s">
        <v>9065</v>
      </c>
      <c r="G121" t="s">
        <v>8980</v>
      </c>
      <c r="H121" t="s">
        <v>8981</v>
      </c>
      <c r="I121" t="s">
        <v>3888</v>
      </c>
      <c r="J121" t="s">
        <v>5492</v>
      </c>
      <c r="K121" t="s">
        <v>5493</v>
      </c>
      <c r="L121" t="s">
        <v>9016</v>
      </c>
      <c r="M121" t="s">
        <v>8988</v>
      </c>
      <c r="N121" t="s">
        <v>8990</v>
      </c>
      <c r="O121" t="s">
        <v>8977</v>
      </c>
    </row>
    <row r="122" spans="1:15">
      <c r="A122" t="s">
        <v>4019</v>
      </c>
      <c r="B122" t="s">
        <v>8991</v>
      </c>
      <c r="C122" t="s">
        <v>8978</v>
      </c>
      <c r="D122" t="s">
        <v>8994</v>
      </c>
      <c r="E122" t="s">
        <v>8995</v>
      </c>
      <c r="F122" t="s">
        <v>8996</v>
      </c>
      <c r="G122" t="s">
        <v>8997</v>
      </c>
      <c r="H122" t="s">
        <v>3874</v>
      </c>
      <c r="I122" t="s">
        <v>3888</v>
      </c>
      <c r="J122" t="s">
        <v>9114</v>
      </c>
      <c r="K122" t="s">
        <v>8985</v>
      </c>
      <c r="L122" t="s">
        <v>9016</v>
      </c>
      <c r="M122" t="s">
        <v>8988</v>
      </c>
      <c r="N122" t="s">
        <v>8990</v>
      </c>
      <c r="O122" t="s">
        <v>9115</v>
      </c>
    </row>
    <row r="123" spans="1:15">
      <c r="A123" t="s">
        <v>4020</v>
      </c>
      <c r="B123" t="s">
        <v>8992</v>
      </c>
      <c r="C123" t="s">
        <v>8978</v>
      </c>
      <c r="D123" t="s">
        <v>9069</v>
      </c>
      <c r="E123" t="s">
        <v>5530</v>
      </c>
      <c r="F123" t="s">
        <v>9005</v>
      </c>
      <c r="G123" t="s">
        <v>8997</v>
      </c>
      <c r="H123" t="s">
        <v>9058</v>
      </c>
      <c r="I123" t="s">
        <v>3888</v>
      </c>
      <c r="J123" t="s">
        <v>5492</v>
      </c>
      <c r="K123" t="s">
        <v>9000</v>
      </c>
      <c r="L123" t="s">
        <v>8984</v>
      </c>
      <c r="M123" t="s">
        <v>9008</v>
      </c>
      <c r="N123" t="s">
        <v>9021</v>
      </c>
      <c r="O123" t="s">
        <v>9070</v>
      </c>
    </row>
    <row r="124" spans="1:15">
      <c r="A124" t="s">
        <v>4021</v>
      </c>
      <c r="B124" t="s">
        <v>9010</v>
      </c>
      <c r="C124" t="s">
        <v>8978</v>
      </c>
      <c r="D124" t="s">
        <v>9071</v>
      </c>
      <c r="E124" t="s">
        <v>5530</v>
      </c>
      <c r="F124" t="s">
        <v>9005</v>
      </c>
      <c r="G124" t="s">
        <v>8980</v>
      </c>
      <c r="H124" t="s">
        <v>8981</v>
      </c>
      <c r="I124" t="s">
        <v>8984</v>
      </c>
      <c r="J124" t="s">
        <v>5492</v>
      </c>
      <c r="K124" t="s">
        <v>5493</v>
      </c>
      <c r="L124" t="s">
        <v>8984</v>
      </c>
      <c r="M124" t="s">
        <v>9008</v>
      </c>
      <c r="N124" t="s">
        <v>9021</v>
      </c>
      <c r="O124" t="s">
        <v>9072</v>
      </c>
    </row>
    <row r="125" spans="1:15">
      <c r="A125" t="s">
        <v>4022</v>
      </c>
      <c r="B125" t="s">
        <v>9019</v>
      </c>
      <c r="C125" t="s">
        <v>9066</v>
      </c>
      <c r="D125" t="s">
        <v>9116</v>
      </c>
      <c r="E125" t="s">
        <v>662</v>
      </c>
      <c r="F125" t="s">
        <v>9067</v>
      </c>
      <c r="G125" t="s">
        <v>8980</v>
      </c>
      <c r="H125" t="s">
        <v>8981</v>
      </c>
      <c r="I125" t="s">
        <v>3888</v>
      </c>
      <c r="J125" t="s">
        <v>5492</v>
      </c>
      <c r="K125" t="s">
        <v>5493</v>
      </c>
      <c r="L125" t="s">
        <v>8984</v>
      </c>
      <c r="M125" t="s">
        <v>9008</v>
      </c>
      <c r="N125" t="s">
        <v>9021</v>
      </c>
      <c r="O125" t="s">
        <v>8991</v>
      </c>
    </row>
    <row r="126" spans="1:15">
      <c r="A126" t="s">
        <v>4023</v>
      </c>
      <c r="B126" t="s">
        <v>9035</v>
      </c>
      <c r="C126" t="s">
        <v>9064</v>
      </c>
      <c r="D126" t="s">
        <v>5490</v>
      </c>
      <c r="E126" t="s">
        <v>662</v>
      </c>
      <c r="F126" t="s">
        <v>9065</v>
      </c>
      <c r="G126" t="s">
        <v>8980</v>
      </c>
      <c r="H126" t="s">
        <v>8981</v>
      </c>
      <c r="I126" t="s">
        <v>3888</v>
      </c>
      <c r="J126" t="s">
        <v>5492</v>
      </c>
      <c r="K126" t="s">
        <v>5493</v>
      </c>
      <c r="L126" t="s">
        <v>8462</v>
      </c>
      <c r="M126" t="s">
        <v>9019</v>
      </c>
      <c r="N126" t="s">
        <v>8982</v>
      </c>
      <c r="O126" t="s">
        <v>9073</v>
      </c>
    </row>
    <row r="127" spans="1:15">
      <c r="A127" t="s">
        <v>4024</v>
      </c>
      <c r="B127" t="s">
        <v>9010</v>
      </c>
      <c r="C127" t="s">
        <v>9002</v>
      </c>
      <c r="D127" t="s">
        <v>9117</v>
      </c>
      <c r="E127" t="s">
        <v>8995</v>
      </c>
      <c r="F127" t="s">
        <v>9110</v>
      </c>
      <c r="G127" t="s">
        <v>8997</v>
      </c>
      <c r="H127" t="s">
        <v>3880</v>
      </c>
      <c r="I127" t="s">
        <v>3888</v>
      </c>
      <c r="J127" t="s">
        <v>5492</v>
      </c>
      <c r="K127" t="s">
        <v>5493</v>
      </c>
      <c r="L127" t="s">
        <v>8462</v>
      </c>
      <c r="M127" t="s">
        <v>9019</v>
      </c>
      <c r="N127" t="s">
        <v>8982</v>
      </c>
      <c r="O127" t="s">
        <v>9118</v>
      </c>
    </row>
    <row r="128" spans="1:15">
      <c r="A128" t="s">
        <v>4025</v>
      </c>
      <c r="B128" t="s">
        <v>8987</v>
      </c>
      <c r="C128" t="s">
        <v>9002</v>
      </c>
      <c r="D128" t="s">
        <v>9119</v>
      </c>
      <c r="E128" t="s">
        <v>662</v>
      </c>
      <c r="F128" t="s">
        <v>8629</v>
      </c>
      <c r="G128" t="s">
        <v>9003</v>
      </c>
      <c r="H128" t="s">
        <v>3888</v>
      </c>
      <c r="I128" t="s">
        <v>3888</v>
      </c>
      <c r="J128" t="s">
        <v>5492</v>
      </c>
      <c r="K128" t="s">
        <v>5493</v>
      </c>
      <c r="L128" t="s">
        <v>8462</v>
      </c>
      <c r="M128" t="s">
        <v>9019</v>
      </c>
      <c r="N128" t="s">
        <v>8982</v>
      </c>
      <c r="O128" t="s">
        <v>8991</v>
      </c>
    </row>
    <row r="129" spans="1:15">
      <c r="A129" t="s">
        <v>4026</v>
      </c>
      <c r="B129" t="s">
        <v>8990</v>
      </c>
      <c r="C129" t="s">
        <v>8978</v>
      </c>
      <c r="D129" t="s">
        <v>9071</v>
      </c>
      <c r="E129" t="s">
        <v>5530</v>
      </c>
      <c r="F129" t="s">
        <v>9005</v>
      </c>
      <c r="G129" t="s">
        <v>8980</v>
      </c>
      <c r="H129" t="s">
        <v>8981</v>
      </c>
      <c r="I129" t="s">
        <v>8984</v>
      </c>
      <c r="J129" t="s">
        <v>5492</v>
      </c>
      <c r="K129" t="s">
        <v>5493</v>
      </c>
      <c r="L129" t="s">
        <v>9025</v>
      </c>
      <c r="M129" t="s">
        <v>9010</v>
      </c>
      <c r="N129" t="s">
        <v>9026</v>
      </c>
      <c r="O129" t="s">
        <v>9074</v>
      </c>
    </row>
    <row r="130" spans="1:15">
      <c r="A130" t="s">
        <v>4028</v>
      </c>
      <c r="B130" t="s">
        <v>9044</v>
      </c>
      <c r="C130" t="s">
        <v>9066</v>
      </c>
      <c r="D130" t="s">
        <v>9116</v>
      </c>
      <c r="E130" t="s">
        <v>662</v>
      </c>
      <c r="F130" t="s">
        <v>9067</v>
      </c>
      <c r="G130" t="s">
        <v>8980</v>
      </c>
      <c r="H130" t="s">
        <v>8981</v>
      </c>
      <c r="I130" t="s">
        <v>8984</v>
      </c>
      <c r="J130" t="s">
        <v>5492</v>
      </c>
      <c r="K130" t="s">
        <v>5493</v>
      </c>
      <c r="L130" t="s">
        <v>9025</v>
      </c>
      <c r="M130" t="s">
        <v>9010</v>
      </c>
      <c r="N130" t="s">
        <v>9026</v>
      </c>
      <c r="O130" t="s">
        <v>9120</v>
      </c>
    </row>
    <row r="131" spans="1:15">
      <c r="A131" t="s">
        <v>4030</v>
      </c>
      <c r="B131" t="s">
        <v>8462</v>
      </c>
      <c r="C131" t="s">
        <v>8978</v>
      </c>
      <c r="D131" t="s">
        <v>5530</v>
      </c>
      <c r="E131" t="s">
        <v>5530</v>
      </c>
      <c r="F131" t="s">
        <v>662</v>
      </c>
      <c r="G131" t="s">
        <v>8997</v>
      </c>
      <c r="H131" t="s">
        <v>8998</v>
      </c>
      <c r="I131" t="s">
        <v>3874</v>
      </c>
      <c r="J131" t="s">
        <v>5492</v>
      </c>
      <c r="K131" t="s">
        <v>9000</v>
      </c>
      <c r="L131" t="s">
        <v>3874</v>
      </c>
      <c r="M131" t="s">
        <v>3888</v>
      </c>
      <c r="N131" t="s">
        <v>8977</v>
      </c>
      <c r="O131" t="s">
        <v>3888</v>
      </c>
    </row>
    <row r="132" spans="1:15">
      <c r="A132" t="s">
        <v>4031</v>
      </c>
      <c r="B132" t="s">
        <v>9025</v>
      </c>
      <c r="C132" t="s">
        <v>9064</v>
      </c>
      <c r="D132" t="s">
        <v>5522</v>
      </c>
      <c r="E132" t="s">
        <v>662</v>
      </c>
      <c r="F132" t="s">
        <v>9065</v>
      </c>
      <c r="G132" t="s">
        <v>8980</v>
      </c>
      <c r="H132" t="s">
        <v>8981</v>
      </c>
      <c r="I132" t="s">
        <v>3888</v>
      </c>
      <c r="J132" t="s">
        <v>5492</v>
      </c>
      <c r="K132" t="s">
        <v>5493</v>
      </c>
      <c r="L132" t="s">
        <v>3874</v>
      </c>
      <c r="M132" t="s">
        <v>3888</v>
      </c>
      <c r="N132" t="s">
        <v>8977</v>
      </c>
      <c r="O132" t="s">
        <v>3883</v>
      </c>
    </row>
    <row r="133" spans="1:15">
      <c r="A133" t="s">
        <v>4032</v>
      </c>
      <c r="B133" t="s">
        <v>8977</v>
      </c>
      <c r="C133" t="s">
        <v>8978</v>
      </c>
      <c r="D133" t="s">
        <v>8994</v>
      </c>
      <c r="E133" t="s">
        <v>8995</v>
      </c>
      <c r="F133" t="s">
        <v>8996</v>
      </c>
      <c r="G133" t="s">
        <v>8997</v>
      </c>
      <c r="H133" t="s">
        <v>8998</v>
      </c>
      <c r="I133" t="s">
        <v>3888</v>
      </c>
      <c r="J133" t="s">
        <v>9006</v>
      </c>
      <c r="K133" t="s">
        <v>8985</v>
      </c>
      <c r="L133" t="s">
        <v>3874</v>
      </c>
      <c r="M133" t="s">
        <v>3888</v>
      </c>
      <c r="N133" t="s">
        <v>8977</v>
      </c>
      <c r="O133" t="s">
        <v>9107</v>
      </c>
    </row>
    <row r="134" spans="1:15">
      <c r="A134" t="s">
        <v>4033</v>
      </c>
      <c r="B134" t="s">
        <v>8993</v>
      </c>
      <c r="C134" t="s">
        <v>9066</v>
      </c>
      <c r="D134" t="s">
        <v>5490</v>
      </c>
      <c r="E134" t="s">
        <v>662</v>
      </c>
      <c r="F134" t="s">
        <v>9067</v>
      </c>
      <c r="G134" t="s">
        <v>8980</v>
      </c>
      <c r="H134" t="s">
        <v>8981</v>
      </c>
      <c r="I134" t="s">
        <v>3888</v>
      </c>
      <c r="J134" t="s">
        <v>5492</v>
      </c>
      <c r="K134" t="s">
        <v>5493</v>
      </c>
      <c r="L134" t="s">
        <v>3883</v>
      </c>
      <c r="M134" t="s">
        <v>8984</v>
      </c>
      <c r="N134" t="s">
        <v>8991</v>
      </c>
      <c r="O134" t="s">
        <v>3888</v>
      </c>
    </row>
    <row r="135" spans="1:15">
      <c r="A135" t="s">
        <v>4034</v>
      </c>
      <c r="B135" t="s">
        <v>8977</v>
      </c>
      <c r="C135" t="s">
        <v>8978</v>
      </c>
      <c r="D135" t="s">
        <v>9069</v>
      </c>
      <c r="E135" t="s">
        <v>5530</v>
      </c>
      <c r="F135" t="s">
        <v>9005</v>
      </c>
      <c r="G135" t="s">
        <v>8997</v>
      </c>
      <c r="H135" t="s">
        <v>3868</v>
      </c>
      <c r="I135" t="s">
        <v>3888</v>
      </c>
      <c r="J135" t="s">
        <v>5492</v>
      </c>
      <c r="K135" t="s">
        <v>9000</v>
      </c>
      <c r="L135" t="s">
        <v>3883</v>
      </c>
      <c r="M135" t="s">
        <v>8984</v>
      </c>
      <c r="N135" t="s">
        <v>8991</v>
      </c>
      <c r="O135" t="s">
        <v>9108</v>
      </c>
    </row>
    <row r="136" spans="1:15">
      <c r="A136" t="s">
        <v>4035</v>
      </c>
      <c r="B136" t="s">
        <v>8989</v>
      </c>
      <c r="C136" t="s">
        <v>9002</v>
      </c>
      <c r="D136" t="s">
        <v>9109</v>
      </c>
      <c r="E136" t="s">
        <v>8995</v>
      </c>
      <c r="F136" t="s">
        <v>9110</v>
      </c>
      <c r="G136" t="s">
        <v>8997</v>
      </c>
      <c r="H136" t="s">
        <v>3868</v>
      </c>
      <c r="I136" t="s">
        <v>3888</v>
      </c>
      <c r="J136" t="s">
        <v>5492</v>
      </c>
      <c r="K136" t="s">
        <v>9111</v>
      </c>
      <c r="L136" t="s">
        <v>3883</v>
      </c>
      <c r="M136" t="s">
        <v>8984</v>
      </c>
      <c r="N136" t="s">
        <v>8991</v>
      </c>
      <c r="O136" t="s">
        <v>9112</v>
      </c>
    </row>
    <row r="137" spans="1:15">
      <c r="A137" t="s">
        <v>4036</v>
      </c>
      <c r="B137" t="s">
        <v>8989</v>
      </c>
      <c r="C137" t="s">
        <v>8978</v>
      </c>
      <c r="D137" t="s">
        <v>5530</v>
      </c>
      <c r="E137" t="s">
        <v>5530</v>
      </c>
      <c r="F137" t="s">
        <v>662</v>
      </c>
      <c r="G137" t="s">
        <v>8997</v>
      </c>
      <c r="H137" t="s">
        <v>9009</v>
      </c>
      <c r="I137" t="s">
        <v>3874</v>
      </c>
      <c r="J137" t="s">
        <v>5492</v>
      </c>
      <c r="K137" t="s">
        <v>9000</v>
      </c>
      <c r="L137" t="s">
        <v>3890</v>
      </c>
      <c r="M137" t="s">
        <v>8993</v>
      </c>
      <c r="N137" t="s">
        <v>8987</v>
      </c>
      <c r="O137" t="s">
        <v>8992</v>
      </c>
    </row>
    <row r="138" spans="1:15">
      <c r="A138" t="s">
        <v>4037</v>
      </c>
      <c r="B138" t="s">
        <v>8991</v>
      </c>
      <c r="C138" t="s">
        <v>9064</v>
      </c>
      <c r="D138" t="s">
        <v>5522</v>
      </c>
      <c r="E138" t="s">
        <v>662</v>
      </c>
      <c r="F138" t="s">
        <v>9065</v>
      </c>
      <c r="G138" t="s">
        <v>8980</v>
      </c>
      <c r="H138" t="s">
        <v>8981</v>
      </c>
      <c r="I138" t="s">
        <v>8984</v>
      </c>
      <c r="J138" t="s">
        <v>5492</v>
      </c>
      <c r="K138" t="s">
        <v>5493</v>
      </c>
      <c r="L138" t="s">
        <v>3890</v>
      </c>
      <c r="M138" t="s">
        <v>8993</v>
      </c>
      <c r="N138" t="s">
        <v>8987</v>
      </c>
      <c r="O138" t="s">
        <v>9113</v>
      </c>
    </row>
    <row r="139" spans="1:15">
      <c r="A139" t="s">
        <v>4038</v>
      </c>
      <c r="B139" t="s">
        <v>8991</v>
      </c>
      <c r="C139" t="s">
        <v>8978</v>
      </c>
      <c r="D139" t="s">
        <v>8979</v>
      </c>
      <c r="E139" t="s">
        <v>5504</v>
      </c>
      <c r="F139" t="s">
        <v>662</v>
      </c>
      <c r="G139" t="s">
        <v>8997</v>
      </c>
      <c r="H139" t="s">
        <v>9009</v>
      </c>
      <c r="I139" t="s">
        <v>9016</v>
      </c>
      <c r="J139" t="s">
        <v>8999</v>
      </c>
      <c r="K139" t="s">
        <v>8986</v>
      </c>
      <c r="L139" t="s">
        <v>3890</v>
      </c>
      <c r="M139" t="s">
        <v>8993</v>
      </c>
      <c r="N139" t="s">
        <v>8987</v>
      </c>
      <c r="O139" t="s">
        <v>9037</v>
      </c>
    </row>
    <row r="140" spans="1:15">
      <c r="A140" t="s">
        <v>4040</v>
      </c>
      <c r="B140" t="s">
        <v>8991</v>
      </c>
      <c r="C140" t="s">
        <v>8978</v>
      </c>
      <c r="D140" t="s">
        <v>8979</v>
      </c>
      <c r="E140" t="s">
        <v>5504</v>
      </c>
      <c r="F140" t="s">
        <v>662</v>
      </c>
      <c r="G140" t="s">
        <v>8980</v>
      </c>
      <c r="H140" t="s">
        <v>8981</v>
      </c>
      <c r="I140" t="s">
        <v>3880</v>
      </c>
      <c r="J140" t="s">
        <v>5492</v>
      </c>
      <c r="K140" t="s">
        <v>9000</v>
      </c>
      <c r="L140" t="s">
        <v>3890</v>
      </c>
      <c r="M140" t="s">
        <v>8993</v>
      </c>
      <c r="N140" t="s">
        <v>8987</v>
      </c>
      <c r="O140" t="s">
        <v>3883</v>
      </c>
    </row>
    <row r="141" spans="1:15">
      <c r="A141" t="s">
        <v>4042</v>
      </c>
      <c r="B141" t="s">
        <v>8988</v>
      </c>
      <c r="C141" t="s">
        <v>9002</v>
      </c>
      <c r="D141" t="s">
        <v>9012</v>
      </c>
      <c r="E141" t="s">
        <v>662</v>
      </c>
      <c r="F141" t="s">
        <v>8629</v>
      </c>
      <c r="G141" t="s">
        <v>9003</v>
      </c>
      <c r="H141" t="s">
        <v>3880</v>
      </c>
      <c r="I141" t="s">
        <v>3888</v>
      </c>
      <c r="J141" t="s">
        <v>5492</v>
      </c>
      <c r="K141" t="s">
        <v>5493</v>
      </c>
      <c r="L141" t="s">
        <v>3890</v>
      </c>
      <c r="M141" t="s">
        <v>8993</v>
      </c>
      <c r="N141" t="s">
        <v>8987</v>
      </c>
      <c r="O141" t="s">
        <v>3888</v>
      </c>
    </row>
    <row r="142" spans="1:15">
      <c r="A142" t="s">
        <v>4043</v>
      </c>
      <c r="B142" t="s">
        <v>9008</v>
      </c>
      <c r="C142" t="s">
        <v>9064</v>
      </c>
      <c r="D142" t="s">
        <v>5490</v>
      </c>
      <c r="E142" t="s">
        <v>662</v>
      </c>
      <c r="F142" t="s">
        <v>9065</v>
      </c>
      <c r="G142" t="s">
        <v>8980</v>
      </c>
      <c r="H142" t="s">
        <v>8981</v>
      </c>
      <c r="I142" t="s">
        <v>3888</v>
      </c>
      <c r="J142" t="s">
        <v>5492</v>
      </c>
      <c r="K142" t="s">
        <v>5493</v>
      </c>
      <c r="L142" t="s">
        <v>9016</v>
      </c>
      <c r="M142" t="s">
        <v>8988</v>
      </c>
      <c r="N142" t="s">
        <v>8990</v>
      </c>
      <c r="O142" t="s">
        <v>8977</v>
      </c>
    </row>
    <row r="143" spans="1:15">
      <c r="A143" t="s">
        <v>4044</v>
      </c>
      <c r="B143" t="s">
        <v>8992</v>
      </c>
      <c r="C143" t="s">
        <v>9066</v>
      </c>
      <c r="D143" t="s">
        <v>5490</v>
      </c>
      <c r="E143" t="s">
        <v>662</v>
      </c>
      <c r="F143" t="s">
        <v>9067</v>
      </c>
      <c r="G143" t="s">
        <v>8980</v>
      </c>
      <c r="H143" t="s">
        <v>8981</v>
      </c>
      <c r="I143" t="s">
        <v>8984</v>
      </c>
      <c r="J143" t="s">
        <v>5492</v>
      </c>
      <c r="K143" t="s">
        <v>5493</v>
      </c>
      <c r="L143" t="s">
        <v>9016</v>
      </c>
      <c r="M143" t="s">
        <v>8988</v>
      </c>
      <c r="N143" t="s">
        <v>8990</v>
      </c>
      <c r="O143" t="s">
        <v>9068</v>
      </c>
    </row>
    <row r="144" spans="1:15">
      <c r="A144" t="s">
        <v>4045</v>
      </c>
      <c r="B144" t="s">
        <v>8991</v>
      </c>
      <c r="C144" t="s">
        <v>8978</v>
      </c>
      <c r="D144" t="s">
        <v>8994</v>
      </c>
      <c r="E144" t="s">
        <v>8995</v>
      </c>
      <c r="F144" t="s">
        <v>8996</v>
      </c>
      <c r="G144" t="s">
        <v>8997</v>
      </c>
      <c r="H144" t="s">
        <v>3874</v>
      </c>
      <c r="I144" t="s">
        <v>3888</v>
      </c>
      <c r="J144" t="s">
        <v>9114</v>
      </c>
      <c r="K144" t="s">
        <v>8985</v>
      </c>
      <c r="L144" t="s">
        <v>9016</v>
      </c>
      <c r="M144" t="s">
        <v>8988</v>
      </c>
      <c r="N144" t="s">
        <v>8990</v>
      </c>
      <c r="O144" t="s">
        <v>9115</v>
      </c>
    </row>
    <row r="145" spans="1:15">
      <c r="A145" t="s">
        <v>4046</v>
      </c>
      <c r="B145" t="s">
        <v>8992</v>
      </c>
      <c r="C145" t="s">
        <v>8978</v>
      </c>
      <c r="D145" t="s">
        <v>9069</v>
      </c>
      <c r="E145" t="s">
        <v>5530</v>
      </c>
      <c r="F145" t="s">
        <v>9005</v>
      </c>
      <c r="G145" t="s">
        <v>8997</v>
      </c>
      <c r="H145" t="s">
        <v>9058</v>
      </c>
      <c r="I145" t="s">
        <v>3888</v>
      </c>
      <c r="J145" t="s">
        <v>5492</v>
      </c>
      <c r="K145" t="s">
        <v>9000</v>
      </c>
      <c r="L145" t="s">
        <v>8984</v>
      </c>
      <c r="M145" t="s">
        <v>9008</v>
      </c>
      <c r="N145" t="s">
        <v>9021</v>
      </c>
      <c r="O145" t="s">
        <v>9070</v>
      </c>
    </row>
    <row r="146" spans="1:15">
      <c r="A146" t="s">
        <v>4047</v>
      </c>
      <c r="B146" t="s">
        <v>9010</v>
      </c>
      <c r="C146" t="s">
        <v>8978</v>
      </c>
      <c r="D146" t="s">
        <v>9071</v>
      </c>
      <c r="E146" t="s">
        <v>5530</v>
      </c>
      <c r="F146" t="s">
        <v>9005</v>
      </c>
      <c r="G146" t="s">
        <v>8980</v>
      </c>
      <c r="H146" t="s">
        <v>8981</v>
      </c>
      <c r="I146" t="s">
        <v>8984</v>
      </c>
      <c r="J146" t="s">
        <v>5492</v>
      </c>
      <c r="K146" t="s">
        <v>5493</v>
      </c>
      <c r="L146" t="s">
        <v>8984</v>
      </c>
      <c r="M146" t="s">
        <v>9008</v>
      </c>
      <c r="N146" t="s">
        <v>9021</v>
      </c>
      <c r="O146" t="s">
        <v>9072</v>
      </c>
    </row>
    <row r="147" spans="1:15">
      <c r="A147" t="s">
        <v>4048</v>
      </c>
      <c r="B147" t="s">
        <v>9019</v>
      </c>
      <c r="C147" t="s">
        <v>9066</v>
      </c>
      <c r="D147" t="s">
        <v>9116</v>
      </c>
      <c r="E147" t="s">
        <v>662</v>
      </c>
      <c r="F147" t="s">
        <v>9067</v>
      </c>
      <c r="G147" t="s">
        <v>8980</v>
      </c>
      <c r="H147" t="s">
        <v>8981</v>
      </c>
      <c r="I147" t="s">
        <v>3888</v>
      </c>
      <c r="J147" t="s">
        <v>5492</v>
      </c>
      <c r="K147" t="s">
        <v>5493</v>
      </c>
      <c r="L147" t="s">
        <v>8984</v>
      </c>
      <c r="M147" t="s">
        <v>9008</v>
      </c>
      <c r="N147" t="s">
        <v>9021</v>
      </c>
      <c r="O147" t="s">
        <v>8991</v>
      </c>
    </row>
    <row r="148" spans="1:15">
      <c r="A148" t="s">
        <v>4049</v>
      </c>
      <c r="B148" t="s">
        <v>9035</v>
      </c>
      <c r="C148" t="s">
        <v>9064</v>
      </c>
      <c r="D148" t="s">
        <v>5490</v>
      </c>
      <c r="E148" t="s">
        <v>662</v>
      </c>
      <c r="F148" t="s">
        <v>9065</v>
      </c>
      <c r="G148" t="s">
        <v>8980</v>
      </c>
      <c r="H148" t="s">
        <v>8981</v>
      </c>
      <c r="I148" t="s">
        <v>3888</v>
      </c>
      <c r="J148" t="s">
        <v>5492</v>
      </c>
      <c r="K148" t="s">
        <v>5493</v>
      </c>
      <c r="L148" t="s">
        <v>8462</v>
      </c>
      <c r="M148" t="s">
        <v>9019</v>
      </c>
      <c r="N148" t="s">
        <v>8982</v>
      </c>
      <c r="O148" t="s">
        <v>9073</v>
      </c>
    </row>
    <row r="149" spans="1:15">
      <c r="A149" t="s">
        <v>4050</v>
      </c>
      <c r="B149" t="s">
        <v>9010</v>
      </c>
      <c r="C149" t="s">
        <v>9002</v>
      </c>
      <c r="D149" t="s">
        <v>9117</v>
      </c>
      <c r="E149" t="s">
        <v>8995</v>
      </c>
      <c r="F149" t="s">
        <v>9110</v>
      </c>
      <c r="G149" t="s">
        <v>8997</v>
      </c>
      <c r="H149" t="s">
        <v>3880</v>
      </c>
      <c r="I149" t="s">
        <v>3888</v>
      </c>
      <c r="J149" t="s">
        <v>5492</v>
      </c>
      <c r="K149" t="s">
        <v>5493</v>
      </c>
      <c r="L149" t="s">
        <v>8462</v>
      </c>
      <c r="M149" t="s">
        <v>9019</v>
      </c>
      <c r="N149" t="s">
        <v>8982</v>
      </c>
      <c r="O149" t="s">
        <v>9118</v>
      </c>
    </row>
    <row r="150" spans="1:15">
      <c r="A150" t="s">
        <v>4051</v>
      </c>
      <c r="B150" t="s">
        <v>8987</v>
      </c>
      <c r="C150" t="s">
        <v>9002</v>
      </c>
      <c r="D150" t="s">
        <v>9119</v>
      </c>
      <c r="E150" t="s">
        <v>662</v>
      </c>
      <c r="F150" t="s">
        <v>8629</v>
      </c>
      <c r="G150" t="s">
        <v>9003</v>
      </c>
      <c r="H150" t="s">
        <v>3888</v>
      </c>
      <c r="I150" t="s">
        <v>3888</v>
      </c>
      <c r="J150" t="s">
        <v>5492</v>
      </c>
      <c r="K150" t="s">
        <v>5493</v>
      </c>
      <c r="L150" t="s">
        <v>8462</v>
      </c>
      <c r="M150" t="s">
        <v>9019</v>
      </c>
      <c r="N150" t="s">
        <v>8982</v>
      </c>
      <c r="O150" t="s">
        <v>8991</v>
      </c>
    </row>
    <row r="151" spans="1:15">
      <c r="A151" t="s">
        <v>4052</v>
      </c>
      <c r="B151" t="s">
        <v>8990</v>
      </c>
      <c r="C151" t="s">
        <v>8978</v>
      </c>
      <c r="D151" t="s">
        <v>9071</v>
      </c>
      <c r="E151" t="s">
        <v>5530</v>
      </c>
      <c r="F151" t="s">
        <v>9005</v>
      </c>
      <c r="G151" t="s">
        <v>8980</v>
      </c>
      <c r="H151" t="s">
        <v>8981</v>
      </c>
      <c r="I151" t="s">
        <v>8984</v>
      </c>
      <c r="J151" t="s">
        <v>5492</v>
      </c>
      <c r="K151" t="s">
        <v>5493</v>
      </c>
      <c r="L151" t="s">
        <v>9025</v>
      </c>
      <c r="M151" t="s">
        <v>9010</v>
      </c>
      <c r="N151" t="s">
        <v>9026</v>
      </c>
      <c r="O151" t="s">
        <v>9074</v>
      </c>
    </row>
    <row r="152" spans="1:15">
      <c r="A152" t="s">
        <v>4053</v>
      </c>
      <c r="B152" t="s">
        <v>9044</v>
      </c>
      <c r="C152" t="s">
        <v>9066</v>
      </c>
      <c r="D152" t="s">
        <v>9116</v>
      </c>
      <c r="E152" t="s">
        <v>662</v>
      </c>
      <c r="F152" t="s">
        <v>9067</v>
      </c>
      <c r="G152" t="s">
        <v>8980</v>
      </c>
      <c r="H152" t="s">
        <v>8981</v>
      </c>
      <c r="I152" t="s">
        <v>8984</v>
      </c>
      <c r="J152" t="s">
        <v>5492</v>
      </c>
      <c r="K152" t="s">
        <v>5493</v>
      </c>
      <c r="L152" t="s">
        <v>9025</v>
      </c>
      <c r="M152" t="s">
        <v>9010</v>
      </c>
      <c r="N152" t="s">
        <v>9026</v>
      </c>
      <c r="O152" t="s">
        <v>9120</v>
      </c>
    </row>
    <row r="153" spans="1:15">
      <c r="A153" t="s">
        <v>4055</v>
      </c>
      <c r="B153" t="s">
        <v>8977</v>
      </c>
      <c r="C153" t="s">
        <v>8978</v>
      </c>
      <c r="D153" t="s">
        <v>8979</v>
      </c>
      <c r="E153" t="s">
        <v>662</v>
      </c>
      <c r="F153" t="s">
        <v>662</v>
      </c>
      <c r="G153" t="s">
        <v>8997</v>
      </c>
      <c r="H153" t="s">
        <v>8998</v>
      </c>
      <c r="I153" t="s">
        <v>8984</v>
      </c>
      <c r="J153" t="s">
        <v>5492</v>
      </c>
      <c r="K153" t="s">
        <v>8986</v>
      </c>
      <c r="L153" t="s">
        <v>3874</v>
      </c>
      <c r="M153" t="s">
        <v>3888</v>
      </c>
      <c r="N153" t="s">
        <v>8977</v>
      </c>
      <c r="O153" t="s">
        <v>8977</v>
      </c>
    </row>
    <row r="154" spans="1:15">
      <c r="A154" t="s">
        <v>4056</v>
      </c>
      <c r="B154" t="s">
        <v>8977</v>
      </c>
      <c r="C154" t="s">
        <v>8978</v>
      </c>
      <c r="D154" t="s">
        <v>8979</v>
      </c>
      <c r="E154" t="s">
        <v>662</v>
      </c>
      <c r="F154" t="s">
        <v>662</v>
      </c>
      <c r="G154" t="s">
        <v>8980</v>
      </c>
      <c r="H154" t="s">
        <v>8981</v>
      </c>
      <c r="I154" t="s">
        <v>8982</v>
      </c>
      <c r="J154" t="s">
        <v>7060</v>
      </c>
      <c r="K154" t="s">
        <v>7175</v>
      </c>
      <c r="L154" t="s">
        <v>3874</v>
      </c>
      <c r="M154" t="s">
        <v>3888</v>
      </c>
      <c r="N154" t="s">
        <v>8977</v>
      </c>
      <c r="O154" t="s">
        <v>3883</v>
      </c>
    </row>
    <row r="155" spans="1:15">
      <c r="A155" t="s">
        <v>4057</v>
      </c>
      <c r="B155" t="s">
        <v>8977</v>
      </c>
      <c r="C155" t="s">
        <v>8978</v>
      </c>
      <c r="D155" t="s">
        <v>8979</v>
      </c>
      <c r="E155" t="s">
        <v>662</v>
      </c>
      <c r="F155" t="s">
        <v>662</v>
      </c>
      <c r="G155" t="s">
        <v>8980</v>
      </c>
      <c r="H155" t="s">
        <v>8981</v>
      </c>
      <c r="I155" t="s">
        <v>9121</v>
      </c>
      <c r="J155" t="s">
        <v>6949</v>
      </c>
      <c r="K155" t="s">
        <v>9014</v>
      </c>
      <c r="L155" t="s">
        <v>3874</v>
      </c>
      <c r="M155" t="s">
        <v>3888</v>
      </c>
      <c r="N155" t="s">
        <v>8977</v>
      </c>
      <c r="O155" t="s">
        <v>8988</v>
      </c>
    </row>
    <row r="156" spans="1:15">
      <c r="A156" t="s">
        <v>4058</v>
      </c>
      <c r="B156" t="s">
        <v>8989</v>
      </c>
      <c r="C156" t="s">
        <v>8978</v>
      </c>
      <c r="D156" t="s">
        <v>8979</v>
      </c>
      <c r="E156" t="s">
        <v>662</v>
      </c>
      <c r="F156" t="s">
        <v>662</v>
      </c>
      <c r="G156" t="s">
        <v>8980</v>
      </c>
      <c r="H156" t="s">
        <v>8981</v>
      </c>
      <c r="I156" t="s">
        <v>9074</v>
      </c>
      <c r="J156" t="s">
        <v>7060</v>
      </c>
      <c r="K156" t="s">
        <v>7175</v>
      </c>
      <c r="L156" t="s">
        <v>3883</v>
      </c>
      <c r="M156" t="s">
        <v>8984</v>
      </c>
      <c r="N156" t="s">
        <v>8991</v>
      </c>
      <c r="O156" t="s">
        <v>9016</v>
      </c>
    </row>
    <row r="157" spans="1:15">
      <c r="A157" t="s">
        <v>4059</v>
      </c>
      <c r="B157" t="s">
        <v>8989</v>
      </c>
      <c r="C157" t="s">
        <v>8978</v>
      </c>
      <c r="D157" t="s">
        <v>8979</v>
      </c>
      <c r="E157" t="s">
        <v>662</v>
      </c>
      <c r="F157" t="s">
        <v>662</v>
      </c>
      <c r="G157" t="s">
        <v>8980</v>
      </c>
      <c r="H157" t="s">
        <v>8981</v>
      </c>
      <c r="I157" t="s">
        <v>3886</v>
      </c>
      <c r="J157" t="s">
        <v>6949</v>
      </c>
      <c r="K157" t="s">
        <v>9028</v>
      </c>
      <c r="L157" t="s">
        <v>3883</v>
      </c>
      <c r="M157" t="s">
        <v>8984</v>
      </c>
      <c r="N157" t="s">
        <v>8991</v>
      </c>
      <c r="O157" t="s">
        <v>8462</v>
      </c>
    </row>
    <row r="158" spans="1:15">
      <c r="A158" t="s">
        <v>4060</v>
      </c>
      <c r="B158" t="s">
        <v>8989</v>
      </c>
      <c r="C158" t="s">
        <v>8978</v>
      </c>
      <c r="D158" t="s">
        <v>8979</v>
      </c>
      <c r="E158" t="s">
        <v>662</v>
      </c>
      <c r="F158" t="s">
        <v>662</v>
      </c>
      <c r="G158" t="s">
        <v>8980</v>
      </c>
      <c r="H158" t="s">
        <v>8981</v>
      </c>
      <c r="I158" t="s">
        <v>9074</v>
      </c>
      <c r="J158" t="s">
        <v>5492</v>
      </c>
      <c r="K158" t="s">
        <v>9051</v>
      </c>
      <c r="L158" t="s">
        <v>3883</v>
      </c>
      <c r="M158" t="s">
        <v>8984</v>
      </c>
      <c r="N158" t="s">
        <v>8991</v>
      </c>
      <c r="O158" t="s">
        <v>3888</v>
      </c>
    </row>
    <row r="159" spans="1:15">
      <c r="A159" t="s">
        <v>4062</v>
      </c>
      <c r="B159" t="s">
        <v>8991</v>
      </c>
      <c r="C159" t="s">
        <v>8978</v>
      </c>
      <c r="D159" t="s">
        <v>8979</v>
      </c>
      <c r="E159" t="s">
        <v>662</v>
      </c>
      <c r="F159" t="s">
        <v>662</v>
      </c>
      <c r="G159" t="s">
        <v>8980</v>
      </c>
      <c r="H159" t="s">
        <v>8981</v>
      </c>
      <c r="I159" t="s">
        <v>8982</v>
      </c>
      <c r="J159" t="s">
        <v>6949</v>
      </c>
      <c r="K159" t="s">
        <v>9051</v>
      </c>
      <c r="L159" t="s">
        <v>3890</v>
      </c>
      <c r="M159" t="s">
        <v>8993</v>
      </c>
      <c r="N159" t="s">
        <v>8987</v>
      </c>
      <c r="O159" t="s">
        <v>8977</v>
      </c>
    </row>
    <row r="160" spans="1:15">
      <c r="A160" t="s">
        <v>4063</v>
      </c>
      <c r="B160" t="s">
        <v>8991</v>
      </c>
      <c r="C160" t="s">
        <v>8978</v>
      </c>
      <c r="D160" t="s">
        <v>8979</v>
      </c>
      <c r="E160" t="s">
        <v>662</v>
      </c>
      <c r="F160" t="s">
        <v>662</v>
      </c>
      <c r="G160" t="s">
        <v>9003</v>
      </c>
      <c r="H160" t="s">
        <v>3880</v>
      </c>
      <c r="I160" t="s">
        <v>9122</v>
      </c>
      <c r="J160" t="s">
        <v>5492</v>
      </c>
      <c r="K160" t="s">
        <v>9028</v>
      </c>
      <c r="L160" t="s">
        <v>3890</v>
      </c>
      <c r="M160" t="s">
        <v>8993</v>
      </c>
      <c r="N160" t="s">
        <v>8987</v>
      </c>
      <c r="O160" t="s">
        <v>9010</v>
      </c>
    </row>
    <row r="161" spans="1:15">
      <c r="A161" t="s">
        <v>4064</v>
      </c>
      <c r="B161" t="s">
        <v>8991</v>
      </c>
      <c r="C161" t="s">
        <v>8978</v>
      </c>
      <c r="D161" t="s">
        <v>8979</v>
      </c>
      <c r="E161" t="s">
        <v>662</v>
      </c>
      <c r="F161" t="s">
        <v>662</v>
      </c>
      <c r="G161" t="s">
        <v>8980</v>
      </c>
      <c r="H161" t="s">
        <v>8981</v>
      </c>
      <c r="I161" t="s">
        <v>3886</v>
      </c>
      <c r="J161" t="s">
        <v>6949</v>
      </c>
      <c r="K161" t="s">
        <v>9123</v>
      </c>
      <c r="L161" t="s">
        <v>3890</v>
      </c>
      <c r="M161" t="s">
        <v>8993</v>
      </c>
      <c r="N161" t="s">
        <v>8987</v>
      </c>
      <c r="O161" t="s">
        <v>9035</v>
      </c>
    </row>
    <row r="162" spans="1:15">
      <c r="A162" t="s">
        <v>4065</v>
      </c>
      <c r="B162" t="s">
        <v>8992</v>
      </c>
      <c r="C162" t="s">
        <v>8978</v>
      </c>
      <c r="D162" t="s">
        <v>8979</v>
      </c>
      <c r="E162" t="s">
        <v>662</v>
      </c>
      <c r="F162" t="s">
        <v>662</v>
      </c>
      <c r="G162" t="s">
        <v>9003</v>
      </c>
      <c r="H162" t="s">
        <v>3883</v>
      </c>
      <c r="I162" t="s">
        <v>3886</v>
      </c>
      <c r="J162" t="s">
        <v>6949</v>
      </c>
      <c r="K162" t="s">
        <v>9028</v>
      </c>
      <c r="L162" t="s">
        <v>9016</v>
      </c>
      <c r="M162" t="s">
        <v>8988</v>
      </c>
      <c r="N162" t="s">
        <v>8990</v>
      </c>
      <c r="O162" t="s">
        <v>8984</v>
      </c>
    </row>
    <row r="163" spans="1:15">
      <c r="A163" t="s">
        <v>4067</v>
      </c>
      <c r="B163" t="s">
        <v>8992</v>
      </c>
      <c r="C163" t="s">
        <v>8978</v>
      </c>
      <c r="D163" t="s">
        <v>8979</v>
      </c>
      <c r="E163" t="s">
        <v>662</v>
      </c>
      <c r="F163" t="s">
        <v>662</v>
      </c>
      <c r="G163" t="s">
        <v>9003</v>
      </c>
      <c r="H163" t="s">
        <v>3883</v>
      </c>
      <c r="I163" t="s">
        <v>8977</v>
      </c>
      <c r="J163" t="s">
        <v>9029</v>
      </c>
      <c r="K163" t="s">
        <v>9028</v>
      </c>
      <c r="L163" t="s">
        <v>9016</v>
      </c>
      <c r="M163" t="s">
        <v>8988</v>
      </c>
      <c r="N163" t="s">
        <v>8990</v>
      </c>
      <c r="O163" t="s">
        <v>8991</v>
      </c>
    </row>
    <row r="164" spans="1:15">
      <c r="A164" t="s">
        <v>4069</v>
      </c>
      <c r="B164" t="s">
        <v>8992</v>
      </c>
      <c r="C164" t="s">
        <v>8978</v>
      </c>
      <c r="D164" t="s">
        <v>8979</v>
      </c>
      <c r="E164" t="s">
        <v>662</v>
      </c>
      <c r="F164" t="s">
        <v>662</v>
      </c>
      <c r="G164" t="s">
        <v>9003</v>
      </c>
      <c r="H164" t="s">
        <v>3883</v>
      </c>
      <c r="I164" t="s">
        <v>9074</v>
      </c>
      <c r="J164" t="s">
        <v>9124</v>
      </c>
      <c r="K164" t="s">
        <v>9028</v>
      </c>
      <c r="L164" t="s">
        <v>9016</v>
      </c>
      <c r="M164" t="s">
        <v>8988</v>
      </c>
      <c r="N164" t="s">
        <v>8990</v>
      </c>
      <c r="O164" t="s">
        <v>8990</v>
      </c>
    </row>
    <row r="165" spans="1:15">
      <c r="A165" t="s">
        <v>4070</v>
      </c>
      <c r="B165" t="s">
        <v>8992</v>
      </c>
      <c r="C165" t="s">
        <v>8978</v>
      </c>
      <c r="D165" t="s">
        <v>5522</v>
      </c>
      <c r="E165" t="s">
        <v>662</v>
      </c>
      <c r="F165" t="s">
        <v>662</v>
      </c>
      <c r="G165" t="s">
        <v>9003</v>
      </c>
      <c r="H165" t="s">
        <v>3883</v>
      </c>
      <c r="I165" t="s">
        <v>8984</v>
      </c>
      <c r="J165" t="s">
        <v>5492</v>
      </c>
      <c r="K165" t="s">
        <v>9028</v>
      </c>
      <c r="L165" t="s">
        <v>9016</v>
      </c>
      <c r="M165" t="s">
        <v>8988</v>
      </c>
      <c r="N165" t="s">
        <v>8990</v>
      </c>
      <c r="O165" t="s">
        <v>9025</v>
      </c>
    </row>
    <row r="166" spans="1:15">
      <c r="A166" t="s">
        <v>4072</v>
      </c>
      <c r="B166" t="s">
        <v>9010</v>
      </c>
      <c r="C166" t="s">
        <v>8978</v>
      </c>
      <c r="D166" t="s">
        <v>8979</v>
      </c>
      <c r="E166" t="s">
        <v>662</v>
      </c>
      <c r="F166" t="s">
        <v>662</v>
      </c>
      <c r="G166" t="s">
        <v>9003</v>
      </c>
      <c r="H166" t="s">
        <v>3886</v>
      </c>
      <c r="I166" t="s">
        <v>9125</v>
      </c>
      <c r="J166" t="s">
        <v>7075</v>
      </c>
      <c r="K166" t="s">
        <v>9028</v>
      </c>
      <c r="L166" t="s">
        <v>8984</v>
      </c>
      <c r="M166" t="s">
        <v>9008</v>
      </c>
      <c r="N166" t="s">
        <v>9021</v>
      </c>
      <c r="O166" t="s">
        <v>9074</v>
      </c>
    </row>
    <row r="167" spans="1:15">
      <c r="A167" t="s">
        <v>4073</v>
      </c>
      <c r="B167" t="s">
        <v>9010</v>
      </c>
      <c r="C167" t="s">
        <v>8978</v>
      </c>
      <c r="D167" t="s">
        <v>8979</v>
      </c>
      <c r="E167" t="s">
        <v>662</v>
      </c>
      <c r="F167" t="s">
        <v>662</v>
      </c>
      <c r="G167" t="s">
        <v>9003</v>
      </c>
      <c r="H167" t="s">
        <v>3886</v>
      </c>
      <c r="I167" t="s">
        <v>8977</v>
      </c>
      <c r="J167" t="s">
        <v>9028</v>
      </c>
      <c r="K167" t="s">
        <v>9028</v>
      </c>
      <c r="L167" t="s">
        <v>8984</v>
      </c>
      <c r="M167" t="s">
        <v>9008</v>
      </c>
      <c r="N167" t="s">
        <v>9021</v>
      </c>
      <c r="O167" t="s">
        <v>9039</v>
      </c>
    </row>
    <row r="168" spans="1:15">
      <c r="A168" t="s">
        <v>4075</v>
      </c>
      <c r="B168" t="s">
        <v>9010</v>
      </c>
      <c r="C168" t="s">
        <v>8978</v>
      </c>
      <c r="D168" t="s">
        <v>8979</v>
      </c>
      <c r="E168" t="s">
        <v>662</v>
      </c>
      <c r="F168" t="s">
        <v>662</v>
      </c>
      <c r="G168" t="s">
        <v>9003</v>
      </c>
      <c r="H168" t="s">
        <v>3886</v>
      </c>
      <c r="I168" t="s">
        <v>8990</v>
      </c>
      <c r="J168" t="s">
        <v>9028</v>
      </c>
      <c r="K168" t="s">
        <v>9028</v>
      </c>
      <c r="L168" t="s">
        <v>8984</v>
      </c>
      <c r="M168" t="s">
        <v>9008</v>
      </c>
      <c r="N168" t="s">
        <v>9021</v>
      </c>
      <c r="O168" t="s">
        <v>8990</v>
      </c>
    </row>
    <row r="169" spans="1:15">
      <c r="A169" t="s">
        <v>4076</v>
      </c>
      <c r="B169" t="s">
        <v>9010</v>
      </c>
      <c r="C169" t="s">
        <v>8978</v>
      </c>
      <c r="D169" t="s">
        <v>8979</v>
      </c>
      <c r="E169" t="s">
        <v>662</v>
      </c>
      <c r="F169" t="s">
        <v>662</v>
      </c>
      <c r="G169" t="s">
        <v>8997</v>
      </c>
      <c r="H169" t="s">
        <v>9058</v>
      </c>
      <c r="I169" t="s">
        <v>3880</v>
      </c>
      <c r="J169" t="s">
        <v>6949</v>
      </c>
      <c r="K169" t="s">
        <v>8986</v>
      </c>
      <c r="L169" t="s">
        <v>8984</v>
      </c>
      <c r="M169" t="s">
        <v>9008</v>
      </c>
      <c r="N169" t="s">
        <v>9021</v>
      </c>
      <c r="O169" t="s">
        <v>9126</v>
      </c>
    </row>
    <row r="170" spans="1:15">
      <c r="A170" t="s">
        <v>4077</v>
      </c>
      <c r="B170" t="s">
        <v>9010</v>
      </c>
      <c r="C170" t="s">
        <v>8978</v>
      </c>
      <c r="D170" t="s">
        <v>5522</v>
      </c>
      <c r="E170" t="s">
        <v>662</v>
      </c>
      <c r="F170" t="s">
        <v>662</v>
      </c>
      <c r="G170" t="s">
        <v>9003</v>
      </c>
      <c r="H170" t="s">
        <v>3886</v>
      </c>
      <c r="I170" t="s">
        <v>8984</v>
      </c>
      <c r="J170" t="s">
        <v>6949</v>
      </c>
      <c r="K170" t="s">
        <v>9028</v>
      </c>
      <c r="L170" t="s">
        <v>8984</v>
      </c>
      <c r="M170" t="s">
        <v>9008</v>
      </c>
      <c r="N170" t="s">
        <v>9021</v>
      </c>
      <c r="O170" t="s">
        <v>8991</v>
      </c>
    </row>
    <row r="171" spans="1:15">
      <c r="A171" t="s">
        <v>4079</v>
      </c>
      <c r="B171" t="s">
        <v>9035</v>
      </c>
      <c r="C171" t="s">
        <v>8978</v>
      </c>
      <c r="D171" t="s">
        <v>8979</v>
      </c>
      <c r="E171" t="s">
        <v>662</v>
      </c>
      <c r="F171" t="s">
        <v>662</v>
      </c>
      <c r="G171" t="s">
        <v>9003</v>
      </c>
      <c r="H171" t="s">
        <v>3888</v>
      </c>
      <c r="I171" t="s">
        <v>8982</v>
      </c>
      <c r="J171" t="s">
        <v>9127</v>
      </c>
      <c r="K171" t="s">
        <v>9127</v>
      </c>
      <c r="L171" t="s">
        <v>8462</v>
      </c>
      <c r="M171" t="s">
        <v>9019</v>
      </c>
      <c r="N171" t="s">
        <v>8982</v>
      </c>
      <c r="O171" t="s">
        <v>9128</v>
      </c>
    </row>
    <row r="172" spans="1:15">
      <c r="A172" t="s">
        <v>4080</v>
      </c>
      <c r="B172" t="s">
        <v>9035</v>
      </c>
      <c r="C172" t="s">
        <v>8978</v>
      </c>
      <c r="D172" t="s">
        <v>8979</v>
      </c>
      <c r="E172" t="s">
        <v>662</v>
      </c>
      <c r="F172" t="s">
        <v>662</v>
      </c>
      <c r="G172" t="s">
        <v>9003</v>
      </c>
      <c r="H172" t="s">
        <v>3888</v>
      </c>
      <c r="I172" t="s">
        <v>9121</v>
      </c>
      <c r="J172" t="s">
        <v>7006</v>
      </c>
      <c r="K172" t="s">
        <v>9028</v>
      </c>
      <c r="L172" t="s">
        <v>8462</v>
      </c>
      <c r="M172" t="s">
        <v>9019</v>
      </c>
      <c r="N172" t="s">
        <v>8982</v>
      </c>
      <c r="O172" t="s">
        <v>9129</v>
      </c>
    </row>
    <row r="173" spans="1:15">
      <c r="A173" t="s">
        <v>4081</v>
      </c>
      <c r="B173" t="s">
        <v>9035</v>
      </c>
      <c r="C173" t="s">
        <v>8978</v>
      </c>
      <c r="D173" t="s">
        <v>8979</v>
      </c>
      <c r="E173" t="s">
        <v>662</v>
      </c>
      <c r="F173" t="s">
        <v>662</v>
      </c>
      <c r="G173" t="s">
        <v>9003</v>
      </c>
      <c r="H173" t="s">
        <v>3888</v>
      </c>
      <c r="I173" t="s">
        <v>9130</v>
      </c>
      <c r="J173" t="s">
        <v>5492</v>
      </c>
      <c r="K173" t="s">
        <v>9028</v>
      </c>
      <c r="L173" t="s">
        <v>8462</v>
      </c>
      <c r="M173" t="s">
        <v>9019</v>
      </c>
      <c r="N173" t="s">
        <v>8982</v>
      </c>
      <c r="O173" t="s">
        <v>9074</v>
      </c>
    </row>
    <row r="174" spans="1:15">
      <c r="A174" t="s">
        <v>4082</v>
      </c>
      <c r="B174" t="s">
        <v>9035</v>
      </c>
      <c r="C174" t="s">
        <v>8978</v>
      </c>
      <c r="D174" t="s">
        <v>8979</v>
      </c>
      <c r="E174" t="s">
        <v>662</v>
      </c>
      <c r="F174" t="s">
        <v>662</v>
      </c>
      <c r="G174" t="s">
        <v>8997</v>
      </c>
      <c r="H174" t="s">
        <v>3880</v>
      </c>
      <c r="I174" t="s">
        <v>9016</v>
      </c>
      <c r="J174" t="s">
        <v>5492</v>
      </c>
      <c r="K174" t="s">
        <v>9020</v>
      </c>
      <c r="L174" t="s">
        <v>8462</v>
      </c>
      <c r="M174" t="s">
        <v>9019</v>
      </c>
      <c r="N174" t="s">
        <v>8982</v>
      </c>
      <c r="O174" t="s">
        <v>9131</v>
      </c>
    </row>
    <row r="175" spans="1:15">
      <c r="A175" t="s">
        <v>4083</v>
      </c>
      <c r="B175" t="s">
        <v>9035</v>
      </c>
      <c r="C175" t="s">
        <v>8978</v>
      </c>
      <c r="D175" t="s">
        <v>8979</v>
      </c>
      <c r="E175" t="s">
        <v>662</v>
      </c>
      <c r="F175" t="s">
        <v>662</v>
      </c>
      <c r="G175" t="s">
        <v>8980</v>
      </c>
      <c r="H175" t="s">
        <v>8981</v>
      </c>
      <c r="I175" t="s">
        <v>3883</v>
      </c>
      <c r="J175" t="s">
        <v>5492</v>
      </c>
      <c r="K175" t="s">
        <v>8986</v>
      </c>
      <c r="L175" t="s">
        <v>8462</v>
      </c>
      <c r="M175" t="s">
        <v>9019</v>
      </c>
      <c r="N175" t="s">
        <v>8982</v>
      </c>
      <c r="O175" t="s">
        <v>9039</v>
      </c>
    </row>
    <row r="176" spans="1:15">
      <c r="A176" t="s">
        <v>4085</v>
      </c>
      <c r="B176" t="s">
        <v>9035</v>
      </c>
      <c r="C176" t="s">
        <v>8978</v>
      </c>
      <c r="D176" t="s">
        <v>5522</v>
      </c>
      <c r="E176" t="s">
        <v>662</v>
      </c>
      <c r="F176" t="s">
        <v>662</v>
      </c>
      <c r="G176" t="s">
        <v>9003</v>
      </c>
      <c r="H176" t="s">
        <v>3888</v>
      </c>
      <c r="I176" t="s">
        <v>3888</v>
      </c>
      <c r="J176" t="s">
        <v>6949</v>
      </c>
      <c r="K176" t="s">
        <v>9028</v>
      </c>
      <c r="L176" t="s">
        <v>8462</v>
      </c>
      <c r="M176" t="s">
        <v>9019</v>
      </c>
      <c r="N176" t="s">
        <v>8982</v>
      </c>
      <c r="O176" t="s">
        <v>8991</v>
      </c>
    </row>
    <row r="177" spans="1:15">
      <c r="A177" t="s">
        <v>4087</v>
      </c>
      <c r="B177" t="s">
        <v>8990</v>
      </c>
      <c r="C177" t="s">
        <v>8978</v>
      </c>
      <c r="D177" t="s">
        <v>8979</v>
      </c>
      <c r="E177" t="s">
        <v>662</v>
      </c>
      <c r="F177" t="s">
        <v>662</v>
      </c>
      <c r="G177" t="s">
        <v>9003</v>
      </c>
      <c r="H177" t="s">
        <v>3890</v>
      </c>
      <c r="I177" t="s">
        <v>9132</v>
      </c>
      <c r="J177" t="s">
        <v>9028</v>
      </c>
      <c r="K177" t="s">
        <v>9028</v>
      </c>
      <c r="L177" t="s">
        <v>9025</v>
      </c>
      <c r="M177" t="s">
        <v>9010</v>
      </c>
      <c r="N177" t="s">
        <v>9026</v>
      </c>
      <c r="O177" t="s">
        <v>9027</v>
      </c>
    </row>
    <row r="178" spans="1:15">
      <c r="A178" t="s">
        <v>4088</v>
      </c>
      <c r="B178" t="s">
        <v>8990</v>
      </c>
      <c r="C178" t="s">
        <v>8978</v>
      </c>
      <c r="D178" t="s">
        <v>8979</v>
      </c>
      <c r="E178" t="s">
        <v>662</v>
      </c>
      <c r="F178" t="s">
        <v>662</v>
      </c>
      <c r="G178" t="s">
        <v>8997</v>
      </c>
      <c r="H178" t="s">
        <v>9133</v>
      </c>
      <c r="I178" t="s">
        <v>9016</v>
      </c>
      <c r="J178" t="s">
        <v>5492</v>
      </c>
      <c r="K178" t="s">
        <v>8986</v>
      </c>
      <c r="L178" t="s">
        <v>9025</v>
      </c>
      <c r="M178" t="s">
        <v>9010</v>
      </c>
      <c r="N178" t="s">
        <v>9026</v>
      </c>
      <c r="O178" t="s">
        <v>9047</v>
      </c>
    </row>
    <row r="179" spans="1:15">
      <c r="A179" t="s">
        <v>4089</v>
      </c>
      <c r="B179" t="s">
        <v>8990</v>
      </c>
      <c r="C179" t="s">
        <v>8978</v>
      </c>
      <c r="D179" t="s">
        <v>8979</v>
      </c>
      <c r="E179" t="s">
        <v>662</v>
      </c>
      <c r="F179" t="s">
        <v>662</v>
      </c>
      <c r="G179" t="s">
        <v>9003</v>
      </c>
      <c r="H179" t="s">
        <v>3890</v>
      </c>
      <c r="I179" t="s">
        <v>9134</v>
      </c>
      <c r="J179" t="s">
        <v>7161</v>
      </c>
      <c r="K179" t="s">
        <v>9028</v>
      </c>
      <c r="L179" t="s">
        <v>8990</v>
      </c>
      <c r="M179" t="s">
        <v>9129</v>
      </c>
      <c r="N179" t="s">
        <v>9135</v>
      </c>
      <c r="O179" t="s">
        <v>9136</v>
      </c>
    </row>
    <row r="180" spans="1:15">
      <c r="A180" t="s">
        <v>4090</v>
      </c>
      <c r="B180" t="s">
        <v>8990</v>
      </c>
      <c r="C180" t="s">
        <v>8978</v>
      </c>
      <c r="D180" t="s">
        <v>5522</v>
      </c>
      <c r="E180" t="s">
        <v>662</v>
      </c>
      <c r="F180" t="s">
        <v>662</v>
      </c>
      <c r="G180" t="s">
        <v>8980</v>
      </c>
      <c r="H180" t="s">
        <v>8981</v>
      </c>
      <c r="I180" t="s">
        <v>3888</v>
      </c>
      <c r="J180" t="s">
        <v>6949</v>
      </c>
      <c r="K180" t="s">
        <v>9028</v>
      </c>
      <c r="L180" t="s">
        <v>9025</v>
      </c>
      <c r="M180" t="s">
        <v>9010</v>
      </c>
      <c r="N180" t="s">
        <v>9026</v>
      </c>
      <c r="O180" t="s">
        <v>9039</v>
      </c>
    </row>
    <row r="181" spans="1:15">
      <c r="A181" t="s">
        <v>4092</v>
      </c>
      <c r="B181" t="s">
        <v>9025</v>
      </c>
      <c r="C181" t="s">
        <v>8978</v>
      </c>
      <c r="D181" t="s">
        <v>8979</v>
      </c>
      <c r="E181" t="s">
        <v>5504</v>
      </c>
      <c r="F181" t="s">
        <v>662</v>
      </c>
      <c r="G181" t="s">
        <v>8980</v>
      </c>
      <c r="H181" t="s">
        <v>8981</v>
      </c>
      <c r="I181" t="s">
        <v>3886</v>
      </c>
      <c r="J181" t="s">
        <v>9075</v>
      </c>
      <c r="K181" t="s">
        <v>5493</v>
      </c>
      <c r="L181" t="s">
        <v>3874</v>
      </c>
      <c r="M181" t="s">
        <v>3888</v>
      </c>
      <c r="N181" t="s">
        <v>8977</v>
      </c>
      <c r="O181" t="s">
        <v>9076</v>
      </c>
    </row>
    <row r="182" spans="1:15">
      <c r="A182" t="s">
        <v>4093</v>
      </c>
      <c r="B182" t="s">
        <v>8993</v>
      </c>
      <c r="C182" t="s">
        <v>8978</v>
      </c>
      <c r="D182" t="s">
        <v>8979</v>
      </c>
      <c r="E182" t="s">
        <v>662</v>
      </c>
      <c r="F182" t="s">
        <v>662</v>
      </c>
      <c r="G182" t="s">
        <v>8997</v>
      </c>
      <c r="H182" t="s">
        <v>8998</v>
      </c>
      <c r="I182" t="s">
        <v>3880</v>
      </c>
      <c r="J182" t="s">
        <v>5492</v>
      </c>
      <c r="K182" t="s">
        <v>9137</v>
      </c>
      <c r="L182" t="s">
        <v>3874</v>
      </c>
      <c r="M182" t="s">
        <v>3888</v>
      </c>
      <c r="N182" t="s">
        <v>8977</v>
      </c>
      <c r="O182" t="s">
        <v>9138</v>
      </c>
    </row>
    <row r="183" spans="1:15">
      <c r="A183" t="s">
        <v>4095</v>
      </c>
      <c r="B183" t="s">
        <v>8989</v>
      </c>
      <c r="C183" t="s">
        <v>8978</v>
      </c>
      <c r="D183" t="s">
        <v>8979</v>
      </c>
      <c r="E183" t="s">
        <v>662</v>
      </c>
      <c r="F183" t="s">
        <v>662</v>
      </c>
      <c r="G183" t="s">
        <v>8997</v>
      </c>
      <c r="H183" t="s">
        <v>3868</v>
      </c>
      <c r="I183" t="s">
        <v>8984</v>
      </c>
      <c r="J183" t="s">
        <v>5492</v>
      </c>
      <c r="K183" t="s">
        <v>8986</v>
      </c>
      <c r="L183" t="s">
        <v>3883</v>
      </c>
      <c r="M183" t="s">
        <v>8984</v>
      </c>
      <c r="N183" t="s">
        <v>8991</v>
      </c>
      <c r="O183" t="s">
        <v>9139</v>
      </c>
    </row>
    <row r="184" spans="1:15">
      <c r="A184" t="s">
        <v>4096</v>
      </c>
      <c r="B184" t="s">
        <v>8991</v>
      </c>
      <c r="C184" t="s">
        <v>9002</v>
      </c>
      <c r="D184" t="s">
        <v>9140</v>
      </c>
      <c r="E184" t="s">
        <v>8995</v>
      </c>
      <c r="F184" t="s">
        <v>9110</v>
      </c>
      <c r="G184" t="s">
        <v>8997</v>
      </c>
      <c r="H184" t="s">
        <v>3868</v>
      </c>
      <c r="I184" t="s">
        <v>8984</v>
      </c>
      <c r="J184" t="s">
        <v>9006</v>
      </c>
      <c r="K184" t="s">
        <v>9020</v>
      </c>
      <c r="L184" t="s">
        <v>3888</v>
      </c>
      <c r="M184" t="s">
        <v>8977</v>
      </c>
      <c r="N184" t="s">
        <v>9010</v>
      </c>
      <c r="O184" t="s">
        <v>9141</v>
      </c>
    </row>
    <row r="185" spans="1:15">
      <c r="A185" t="s">
        <v>4097</v>
      </c>
      <c r="B185" t="s">
        <v>8991</v>
      </c>
      <c r="C185" t="s">
        <v>8978</v>
      </c>
      <c r="D185" t="s">
        <v>8979</v>
      </c>
      <c r="E185" t="s">
        <v>662</v>
      </c>
      <c r="F185" t="s">
        <v>662</v>
      </c>
      <c r="G185" t="s">
        <v>8997</v>
      </c>
      <c r="H185" t="s">
        <v>9009</v>
      </c>
      <c r="I185" t="s">
        <v>3888</v>
      </c>
      <c r="J185" t="s">
        <v>5492</v>
      </c>
      <c r="K185" t="s">
        <v>8986</v>
      </c>
      <c r="L185" t="s">
        <v>3888</v>
      </c>
      <c r="M185" t="s">
        <v>8977</v>
      </c>
      <c r="N185" t="s">
        <v>9010</v>
      </c>
      <c r="O185" t="s">
        <v>9142</v>
      </c>
    </row>
    <row r="186" spans="1:15">
      <c r="A186" t="s">
        <v>4098</v>
      </c>
      <c r="B186" t="s">
        <v>8991</v>
      </c>
      <c r="C186" t="s">
        <v>9002</v>
      </c>
      <c r="D186" t="s">
        <v>9017</v>
      </c>
      <c r="E186" t="s">
        <v>662</v>
      </c>
      <c r="F186" t="s">
        <v>8629</v>
      </c>
      <c r="G186" t="s">
        <v>9003</v>
      </c>
      <c r="H186" t="s">
        <v>3880</v>
      </c>
      <c r="I186" t="s">
        <v>8984</v>
      </c>
      <c r="J186" t="s">
        <v>5492</v>
      </c>
      <c r="K186" t="s">
        <v>9111</v>
      </c>
      <c r="L186" t="s">
        <v>3888</v>
      </c>
      <c r="M186" t="s">
        <v>8977</v>
      </c>
      <c r="N186" t="s">
        <v>9010</v>
      </c>
      <c r="O186" t="s">
        <v>8977</v>
      </c>
    </row>
    <row r="187" spans="1:15">
      <c r="A187" t="s">
        <v>4099</v>
      </c>
      <c r="B187" t="s">
        <v>8992</v>
      </c>
      <c r="C187" t="s">
        <v>9002</v>
      </c>
      <c r="D187" t="s">
        <v>9143</v>
      </c>
      <c r="E187" t="s">
        <v>662</v>
      </c>
      <c r="F187" t="s">
        <v>8629</v>
      </c>
      <c r="G187" t="s">
        <v>9003</v>
      </c>
      <c r="H187" t="s">
        <v>3883</v>
      </c>
      <c r="I187" t="s">
        <v>9048</v>
      </c>
      <c r="J187" t="s">
        <v>9144</v>
      </c>
      <c r="K187" t="s">
        <v>8986</v>
      </c>
      <c r="L187" t="s">
        <v>9016</v>
      </c>
      <c r="M187" t="s">
        <v>8988</v>
      </c>
      <c r="N187" t="s">
        <v>8990</v>
      </c>
      <c r="O187" t="s">
        <v>9145</v>
      </c>
    </row>
    <row r="188" spans="1:15">
      <c r="A188" t="s">
        <v>4100</v>
      </c>
      <c r="B188" t="s">
        <v>8992</v>
      </c>
      <c r="C188" t="s">
        <v>9002</v>
      </c>
      <c r="D188" t="s">
        <v>5522</v>
      </c>
      <c r="E188" t="s">
        <v>662</v>
      </c>
      <c r="F188" t="s">
        <v>8629</v>
      </c>
      <c r="G188" t="s">
        <v>9003</v>
      </c>
      <c r="H188" t="s">
        <v>3883</v>
      </c>
      <c r="I188" t="s">
        <v>8977</v>
      </c>
      <c r="J188" t="s">
        <v>5492</v>
      </c>
      <c r="K188" t="s">
        <v>9056</v>
      </c>
      <c r="L188" t="s">
        <v>9016</v>
      </c>
      <c r="M188" t="s">
        <v>8988</v>
      </c>
      <c r="N188" t="s">
        <v>8990</v>
      </c>
      <c r="O188" t="s">
        <v>8992</v>
      </c>
    </row>
    <row r="189" spans="1:15">
      <c r="A189" t="s">
        <v>4101</v>
      </c>
      <c r="B189" t="s">
        <v>9019</v>
      </c>
      <c r="C189" t="s">
        <v>9002</v>
      </c>
      <c r="D189" t="s">
        <v>9017</v>
      </c>
      <c r="E189" t="s">
        <v>662</v>
      </c>
      <c r="F189" t="s">
        <v>8629</v>
      </c>
      <c r="G189" t="s">
        <v>9003</v>
      </c>
      <c r="H189" t="s">
        <v>3886</v>
      </c>
      <c r="I189" t="s">
        <v>8992</v>
      </c>
      <c r="J189" t="s">
        <v>5492</v>
      </c>
      <c r="K189" t="s">
        <v>9000</v>
      </c>
      <c r="L189" t="s">
        <v>8984</v>
      </c>
      <c r="M189" t="s">
        <v>9008</v>
      </c>
      <c r="N189" t="s">
        <v>9021</v>
      </c>
      <c r="O189" t="s">
        <v>9070</v>
      </c>
    </row>
    <row r="190" spans="1:15">
      <c r="A190" t="s">
        <v>4102</v>
      </c>
      <c r="B190" t="s">
        <v>9044</v>
      </c>
      <c r="C190" t="s">
        <v>8978</v>
      </c>
      <c r="D190" t="s">
        <v>8979</v>
      </c>
      <c r="E190" t="s">
        <v>5504</v>
      </c>
      <c r="F190" t="s">
        <v>662</v>
      </c>
      <c r="G190" t="s">
        <v>8997</v>
      </c>
      <c r="H190" t="s">
        <v>3880</v>
      </c>
      <c r="I190" t="s">
        <v>3886</v>
      </c>
      <c r="J190" t="s">
        <v>5492</v>
      </c>
      <c r="K190" t="s">
        <v>9020</v>
      </c>
      <c r="L190" t="s">
        <v>8462</v>
      </c>
      <c r="M190" t="s">
        <v>9019</v>
      </c>
      <c r="N190" t="s">
        <v>8982</v>
      </c>
      <c r="O190" t="s">
        <v>9146</v>
      </c>
    </row>
    <row r="191" spans="1:15">
      <c r="A191" t="s">
        <v>4103</v>
      </c>
      <c r="B191" t="s">
        <v>8990</v>
      </c>
      <c r="C191" t="s">
        <v>8978</v>
      </c>
      <c r="D191" t="s">
        <v>5530</v>
      </c>
      <c r="E191" t="s">
        <v>5530</v>
      </c>
      <c r="F191" t="s">
        <v>662</v>
      </c>
      <c r="G191" t="s">
        <v>8997</v>
      </c>
      <c r="H191" t="s">
        <v>9133</v>
      </c>
      <c r="I191" t="s">
        <v>3880</v>
      </c>
      <c r="J191" t="s">
        <v>5492</v>
      </c>
      <c r="K191" t="s">
        <v>9111</v>
      </c>
      <c r="L191" t="s">
        <v>9025</v>
      </c>
      <c r="M191" t="s">
        <v>9010</v>
      </c>
      <c r="N191" t="s">
        <v>9026</v>
      </c>
      <c r="O191" t="s">
        <v>9147</v>
      </c>
    </row>
    <row r="192" spans="1:15">
      <c r="A192" t="s">
        <v>4104</v>
      </c>
      <c r="B192" t="s">
        <v>8977</v>
      </c>
      <c r="C192" t="s">
        <v>8978</v>
      </c>
      <c r="D192" t="s">
        <v>8979</v>
      </c>
      <c r="E192" t="s">
        <v>5504</v>
      </c>
      <c r="F192" t="s">
        <v>662</v>
      </c>
      <c r="G192" t="s">
        <v>8997</v>
      </c>
      <c r="H192" t="s">
        <v>8998</v>
      </c>
      <c r="I192" t="s">
        <v>8988</v>
      </c>
      <c r="J192" t="s">
        <v>5492</v>
      </c>
      <c r="K192" t="s">
        <v>8986</v>
      </c>
      <c r="L192" t="s">
        <v>3874</v>
      </c>
      <c r="M192" t="s">
        <v>3888</v>
      </c>
      <c r="N192" t="s">
        <v>8977</v>
      </c>
      <c r="O192" t="s">
        <v>8462</v>
      </c>
    </row>
    <row r="193" spans="1:15">
      <c r="A193" t="s">
        <v>4105</v>
      </c>
      <c r="B193" t="s">
        <v>8977</v>
      </c>
      <c r="C193" t="s">
        <v>8978</v>
      </c>
      <c r="D193" t="s">
        <v>9119</v>
      </c>
      <c r="E193" t="s">
        <v>8995</v>
      </c>
      <c r="F193" t="s">
        <v>8996</v>
      </c>
      <c r="G193" t="s">
        <v>8980</v>
      </c>
      <c r="H193" t="s">
        <v>8981</v>
      </c>
      <c r="I193" t="s">
        <v>3880</v>
      </c>
      <c r="J193" t="s">
        <v>9144</v>
      </c>
      <c r="K193" t="s">
        <v>8985</v>
      </c>
      <c r="L193" t="s">
        <v>3874</v>
      </c>
      <c r="M193" t="s">
        <v>3888</v>
      </c>
      <c r="N193" t="s">
        <v>8977</v>
      </c>
      <c r="O193" t="s">
        <v>9148</v>
      </c>
    </row>
    <row r="194" spans="1:15">
      <c r="A194" t="s">
        <v>4107</v>
      </c>
      <c r="B194" t="s">
        <v>8977</v>
      </c>
      <c r="C194" t="s">
        <v>8978</v>
      </c>
      <c r="D194" t="s">
        <v>8979</v>
      </c>
      <c r="E194" t="s">
        <v>662</v>
      </c>
      <c r="F194" t="s">
        <v>662</v>
      </c>
      <c r="G194" t="s">
        <v>8980</v>
      </c>
      <c r="H194" t="s">
        <v>8981</v>
      </c>
      <c r="I194" t="s">
        <v>8982</v>
      </c>
      <c r="J194" t="s">
        <v>8983</v>
      </c>
      <c r="K194" t="s">
        <v>5493</v>
      </c>
      <c r="L194" t="s">
        <v>3874</v>
      </c>
      <c r="M194" t="s">
        <v>3888</v>
      </c>
      <c r="N194" t="s">
        <v>8977</v>
      </c>
      <c r="O194" t="s">
        <v>8462</v>
      </c>
    </row>
    <row r="195" spans="1:15">
      <c r="A195" t="s">
        <v>4109</v>
      </c>
      <c r="B195" t="s">
        <v>8989</v>
      </c>
      <c r="C195" t="s">
        <v>8978</v>
      </c>
      <c r="D195" t="s">
        <v>9116</v>
      </c>
      <c r="E195" t="s">
        <v>8995</v>
      </c>
      <c r="F195" t="s">
        <v>662</v>
      </c>
      <c r="G195" t="s">
        <v>9003</v>
      </c>
      <c r="H195" t="s">
        <v>3874</v>
      </c>
      <c r="I195" t="s">
        <v>3888</v>
      </c>
      <c r="J195" t="s">
        <v>6949</v>
      </c>
      <c r="K195" t="s">
        <v>9020</v>
      </c>
      <c r="L195" t="s">
        <v>3883</v>
      </c>
      <c r="M195" t="s">
        <v>8984</v>
      </c>
      <c r="N195" t="s">
        <v>8991</v>
      </c>
      <c r="O195" t="s">
        <v>9083</v>
      </c>
    </row>
    <row r="196" spans="1:15">
      <c r="A196" t="s">
        <v>4110</v>
      </c>
      <c r="B196" t="s">
        <v>8989</v>
      </c>
      <c r="C196" t="s">
        <v>8978</v>
      </c>
      <c r="D196" t="s">
        <v>8979</v>
      </c>
      <c r="E196" t="s">
        <v>662</v>
      </c>
      <c r="F196" t="s">
        <v>662</v>
      </c>
      <c r="G196" t="s">
        <v>8997</v>
      </c>
      <c r="H196" t="s">
        <v>3868</v>
      </c>
      <c r="I196" t="s">
        <v>8988</v>
      </c>
      <c r="J196" t="s">
        <v>9144</v>
      </c>
      <c r="K196" t="s">
        <v>9149</v>
      </c>
      <c r="L196" t="s">
        <v>3883</v>
      </c>
      <c r="M196" t="s">
        <v>8984</v>
      </c>
      <c r="N196" t="s">
        <v>8991</v>
      </c>
      <c r="O196" t="s">
        <v>9150</v>
      </c>
    </row>
    <row r="197" spans="1:15">
      <c r="A197" t="s">
        <v>4111</v>
      </c>
      <c r="B197" t="s">
        <v>8989</v>
      </c>
      <c r="C197" t="s">
        <v>8978</v>
      </c>
      <c r="D197" t="s">
        <v>9017</v>
      </c>
      <c r="E197" t="s">
        <v>8995</v>
      </c>
      <c r="F197" t="s">
        <v>8996</v>
      </c>
      <c r="G197" t="s">
        <v>8980</v>
      </c>
      <c r="H197" t="s">
        <v>8981</v>
      </c>
      <c r="I197" t="s">
        <v>3880</v>
      </c>
      <c r="J197" t="s">
        <v>6949</v>
      </c>
      <c r="K197" t="s">
        <v>9028</v>
      </c>
      <c r="L197" t="s">
        <v>3883</v>
      </c>
      <c r="M197" t="s">
        <v>8984</v>
      </c>
      <c r="N197" t="s">
        <v>8991</v>
      </c>
      <c r="O197" t="s">
        <v>3886</v>
      </c>
    </row>
    <row r="198" spans="1:15">
      <c r="A198" t="s">
        <v>4112</v>
      </c>
      <c r="B198" t="s">
        <v>8989</v>
      </c>
      <c r="C198" t="s">
        <v>8978</v>
      </c>
      <c r="D198" t="s">
        <v>5530</v>
      </c>
      <c r="E198" t="s">
        <v>5530</v>
      </c>
      <c r="F198" t="s">
        <v>662</v>
      </c>
      <c r="G198" t="s">
        <v>8997</v>
      </c>
      <c r="H198" t="s">
        <v>3868</v>
      </c>
      <c r="I198" t="s">
        <v>8987</v>
      </c>
      <c r="J198" t="s">
        <v>9151</v>
      </c>
      <c r="K198" t="s">
        <v>8986</v>
      </c>
      <c r="L198" t="s">
        <v>3883</v>
      </c>
      <c r="M198" t="s">
        <v>8984</v>
      </c>
      <c r="N198" t="s">
        <v>8991</v>
      </c>
      <c r="O198" t="s">
        <v>9035</v>
      </c>
    </row>
    <row r="199" spans="1:15">
      <c r="A199" t="s">
        <v>4113</v>
      </c>
      <c r="B199" t="s">
        <v>8991</v>
      </c>
      <c r="C199" t="s">
        <v>8978</v>
      </c>
      <c r="D199" t="s">
        <v>8979</v>
      </c>
      <c r="E199" t="s">
        <v>5504</v>
      </c>
      <c r="F199" t="s">
        <v>662</v>
      </c>
      <c r="G199" t="s">
        <v>8997</v>
      </c>
      <c r="H199" t="s">
        <v>9009</v>
      </c>
      <c r="I199" t="s">
        <v>8977</v>
      </c>
      <c r="J199" t="s">
        <v>6949</v>
      </c>
      <c r="K199" t="s">
        <v>9014</v>
      </c>
      <c r="L199" t="s">
        <v>3890</v>
      </c>
      <c r="M199" t="s">
        <v>8993</v>
      </c>
      <c r="N199" t="s">
        <v>8987</v>
      </c>
      <c r="O199" t="s">
        <v>9152</v>
      </c>
    </row>
    <row r="200" spans="1:15">
      <c r="A200" t="s">
        <v>4114</v>
      </c>
      <c r="B200" t="s">
        <v>8991</v>
      </c>
      <c r="C200" t="s">
        <v>9002</v>
      </c>
      <c r="D200" t="s">
        <v>5522</v>
      </c>
      <c r="E200" t="s">
        <v>662</v>
      </c>
      <c r="F200" t="s">
        <v>8629</v>
      </c>
      <c r="G200" t="s">
        <v>8980</v>
      </c>
      <c r="H200" t="s">
        <v>8981</v>
      </c>
      <c r="I200" t="s">
        <v>8977</v>
      </c>
      <c r="J200" t="s">
        <v>6949</v>
      </c>
      <c r="K200" t="s">
        <v>8986</v>
      </c>
      <c r="L200" t="s">
        <v>3890</v>
      </c>
      <c r="M200" t="s">
        <v>8993</v>
      </c>
      <c r="N200" t="s">
        <v>8987</v>
      </c>
      <c r="O200" t="s">
        <v>9016</v>
      </c>
    </row>
    <row r="201" spans="1:15">
      <c r="A201" t="s">
        <v>4115</v>
      </c>
      <c r="B201" t="s">
        <v>8991</v>
      </c>
      <c r="C201" t="s">
        <v>8978</v>
      </c>
      <c r="D201" t="s">
        <v>9017</v>
      </c>
      <c r="E201" t="s">
        <v>8995</v>
      </c>
      <c r="F201" t="s">
        <v>662</v>
      </c>
      <c r="G201" t="s">
        <v>8997</v>
      </c>
      <c r="H201" t="s">
        <v>9009</v>
      </c>
      <c r="I201" t="s">
        <v>8988</v>
      </c>
      <c r="J201" t="s">
        <v>6949</v>
      </c>
      <c r="K201" t="s">
        <v>8986</v>
      </c>
      <c r="L201" t="s">
        <v>3890</v>
      </c>
      <c r="M201" t="s">
        <v>8993</v>
      </c>
      <c r="N201" t="s">
        <v>8987</v>
      </c>
      <c r="O201" t="s">
        <v>9153</v>
      </c>
    </row>
    <row r="202" spans="1:15">
      <c r="A202" t="s">
        <v>4116</v>
      </c>
      <c r="B202" t="s">
        <v>8992</v>
      </c>
      <c r="C202" t="s">
        <v>8978</v>
      </c>
      <c r="D202" t="s">
        <v>8979</v>
      </c>
      <c r="E202" t="s">
        <v>5504</v>
      </c>
      <c r="F202" t="s">
        <v>662</v>
      </c>
      <c r="G202" t="s">
        <v>8980</v>
      </c>
      <c r="H202" t="s">
        <v>8981</v>
      </c>
      <c r="I202" t="s">
        <v>8984</v>
      </c>
      <c r="J202" t="s">
        <v>6949</v>
      </c>
      <c r="K202" t="s">
        <v>9014</v>
      </c>
      <c r="L202" t="s">
        <v>9016</v>
      </c>
      <c r="M202" t="s">
        <v>8988</v>
      </c>
      <c r="N202" t="s">
        <v>8990</v>
      </c>
      <c r="O202" t="s">
        <v>8992</v>
      </c>
    </row>
    <row r="203" spans="1:15">
      <c r="A203" t="s">
        <v>4117</v>
      </c>
      <c r="B203" t="s">
        <v>8992</v>
      </c>
      <c r="C203" t="s">
        <v>8978</v>
      </c>
      <c r="D203" t="s">
        <v>9062</v>
      </c>
      <c r="E203" t="s">
        <v>662</v>
      </c>
      <c r="F203" t="s">
        <v>662</v>
      </c>
      <c r="G203" t="s">
        <v>8980</v>
      </c>
      <c r="H203" t="s">
        <v>8981</v>
      </c>
      <c r="I203" t="s">
        <v>8984</v>
      </c>
      <c r="J203" t="s">
        <v>5492</v>
      </c>
      <c r="K203" t="s">
        <v>9053</v>
      </c>
      <c r="L203" t="s">
        <v>9016</v>
      </c>
      <c r="M203" t="s">
        <v>8988</v>
      </c>
      <c r="N203" t="s">
        <v>8990</v>
      </c>
      <c r="O203" t="s">
        <v>9010</v>
      </c>
    </row>
    <row r="204" spans="1:15">
      <c r="A204" t="s">
        <v>4119</v>
      </c>
      <c r="B204" t="s">
        <v>9010</v>
      </c>
      <c r="C204" t="s">
        <v>8978</v>
      </c>
      <c r="D204" t="s">
        <v>5522</v>
      </c>
      <c r="E204" t="s">
        <v>8995</v>
      </c>
      <c r="F204" t="s">
        <v>662</v>
      </c>
      <c r="G204" t="s">
        <v>9003</v>
      </c>
      <c r="H204" t="s">
        <v>3886</v>
      </c>
      <c r="I204" t="s">
        <v>3888</v>
      </c>
      <c r="J204" t="s">
        <v>8999</v>
      </c>
      <c r="K204" t="s">
        <v>8986</v>
      </c>
      <c r="L204" t="s">
        <v>8984</v>
      </c>
      <c r="M204" t="s">
        <v>9008</v>
      </c>
      <c r="N204" t="s">
        <v>9021</v>
      </c>
      <c r="O204" t="s">
        <v>9154</v>
      </c>
    </row>
    <row r="205" spans="1:15">
      <c r="A205" t="s">
        <v>4120</v>
      </c>
      <c r="B205" t="s">
        <v>9010</v>
      </c>
      <c r="C205" t="s">
        <v>8978</v>
      </c>
      <c r="D205" t="s">
        <v>9017</v>
      </c>
      <c r="E205" t="s">
        <v>8995</v>
      </c>
      <c r="F205" t="s">
        <v>662</v>
      </c>
      <c r="G205" t="s">
        <v>8980</v>
      </c>
      <c r="H205" t="s">
        <v>8981</v>
      </c>
      <c r="I205" t="s">
        <v>8987</v>
      </c>
      <c r="J205" t="s">
        <v>8999</v>
      </c>
      <c r="K205" t="s">
        <v>8986</v>
      </c>
      <c r="L205" t="s">
        <v>8984</v>
      </c>
      <c r="M205" t="s">
        <v>9008</v>
      </c>
      <c r="N205" t="s">
        <v>9021</v>
      </c>
      <c r="O205" t="s">
        <v>9155</v>
      </c>
    </row>
    <row r="206" spans="1:15">
      <c r="A206" t="s">
        <v>4121</v>
      </c>
      <c r="B206" t="s">
        <v>8462</v>
      </c>
      <c r="C206" t="s">
        <v>8978</v>
      </c>
      <c r="D206" t="s">
        <v>5530</v>
      </c>
      <c r="E206" t="s">
        <v>5530</v>
      </c>
      <c r="F206" t="s">
        <v>662</v>
      </c>
      <c r="G206" t="s">
        <v>8997</v>
      </c>
      <c r="H206" t="s">
        <v>8998</v>
      </c>
      <c r="I206" t="s">
        <v>3874</v>
      </c>
      <c r="J206" t="s">
        <v>5492</v>
      </c>
      <c r="K206" t="s">
        <v>9000</v>
      </c>
      <c r="L206" t="s">
        <v>3874</v>
      </c>
      <c r="M206" t="s">
        <v>3888</v>
      </c>
      <c r="N206" t="s">
        <v>8977</v>
      </c>
      <c r="O206" t="s">
        <v>3888</v>
      </c>
    </row>
    <row r="207" spans="1:15">
      <c r="A207" t="s">
        <v>4123</v>
      </c>
      <c r="B207" t="s">
        <v>9025</v>
      </c>
      <c r="C207" t="s">
        <v>9064</v>
      </c>
      <c r="D207" t="s">
        <v>5522</v>
      </c>
      <c r="E207" t="s">
        <v>662</v>
      </c>
      <c r="F207" t="s">
        <v>9065</v>
      </c>
      <c r="G207" t="s">
        <v>8980</v>
      </c>
      <c r="H207" t="s">
        <v>8981</v>
      </c>
      <c r="I207" t="s">
        <v>3888</v>
      </c>
      <c r="J207" t="s">
        <v>5492</v>
      </c>
      <c r="K207" t="s">
        <v>5493</v>
      </c>
      <c r="L207" t="s">
        <v>3874</v>
      </c>
      <c r="M207" t="s">
        <v>3888</v>
      </c>
      <c r="N207" t="s">
        <v>8977</v>
      </c>
      <c r="O207" t="s">
        <v>3883</v>
      </c>
    </row>
    <row r="208" spans="1:15">
      <c r="A208" t="s">
        <v>4125</v>
      </c>
      <c r="B208" t="s">
        <v>8977</v>
      </c>
      <c r="C208" t="s">
        <v>8978</v>
      </c>
      <c r="D208" t="s">
        <v>8994</v>
      </c>
      <c r="E208" t="s">
        <v>8995</v>
      </c>
      <c r="F208" t="s">
        <v>8996</v>
      </c>
      <c r="G208" t="s">
        <v>8997</v>
      </c>
      <c r="H208" t="s">
        <v>8998</v>
      </c>
      <c r="I208" t="s">
        <v>3888</v>
      </c>
      <c r="J208" t="s">
        <v>9006</v>
      </c>
      <c r="K208" t="s">
        <v>8985</v>
      </c>
      <c r="L208" t="s">
        <v>3874</v>
      </c>
      <c r="M208" t="s">
        <v>3888</v>
      </c>
      <c r="N208" t="s">
        <v>8977</v>
      </c>
      <c r="O208" t="s">
        <v>9107</v>
      </c>
    </row>
    <row r="209" spans="1:15">
      <c r="A209" t="s">
        <v>4127</v>
      </c>
      <c r="B209" t="s">
        <v>8993</v>
      </c>
      <c r="C209" t="s">
        <v>9066</v>
      </c>
      <c r="D209" t="s">
        <v>5490</v>
      </c>
      <c r="E209" t="s">
        <v>662</v>
      </c>
      <c r="F209" t="s">
        <v>9067</v>
      </c>
      <c r="G209" t="s">
        <v>8980</v>
      </c>
      <c r="H209" t="s">
        <v>8981</v>
      </c>
      <c r="I209" t="s">
        <v>3888</v>
      </c>
      <c r="J209" t="s">
        <v>5492</v>
      </c>
      <c r="K209" t="s">
        <v>5493</v>
      </c>
      <c r="L209" t="s">
        <v>3883</v>
      </c>
      <c r="M209" t="s">
        <v>8984</v>
      </c>
      <c r="N209" t="s">
        <v>8991</v>
      </c>
      <c r="O209" t="s">
        <v>3888</v>
      </c>
    </row>
    <row r="210" spans="1:15">
      <c r="A210" t="s">
        <v>4129</v>
      </c>
      <c r="B210" t="s">
        <v>8977</v>
      </c>
      <c r="C210" t="s">
        <v>8978</v>
      </c>
      <c r="D210" t="s">
        <v>9069</v>
      </c>
      <c r="E210" t="s">
        <v>5530</v>
      </c>
      <c r="F210" t="s">
        <v>9005</v>
      </c>
      <c r="G210" t="s">
        <v>8997</v>
      </c>
      <c r="H210" t="s">
        <v>3868</v>
      </c>
      <c r="I210" t="s">
        <v>3888</v>
      </c>
      <c r="J210" t="s">
        <v>5492</v>
      </c>
      <c r="K210" t="s">
        <v>9000</v>
      </c>
      <c r="L210" t="s">
        <v>3883</v>
      </c>
      <c r="M210" t="s">
        <v>8984</v>
      </c>
      <c r="N210" t="s">
        <v>8991</v>
      </c>
      <c r="O210" t="s">
        <v>9108</v>
      </c>
    </row>
    <row r="211" spans="1:15">
      <c r="A211" t="s">
        <v>4131</v>
      </c>
      <c r="B211" t="s">
        <v>8989</v>
      </c>
      <c r="C211" t="s">
        <v>9002</v>
      </c>
      <c r="D211" t="s">
        <v>9109</v>
      </c>
      <c r="E211" t="s">
        <v>8995</v>
      </c>
      <c r="F211" t="s">
        <v>9110</v>
      </c>
      <c r="G211" t="s">
        <v>8997</v>
      </c>
      <c r="H211" t="s">
        <v>3868</v>
      </c>
      <c r="I211" t="s">
        <v>3888</v>
      </c>
      <c r="J211" t="s">
        <v>5492</v>
      </c>
      <c r="K211" t="s">
        <v>9111</v>
      </c>
      <c r="L211" t="s">
        <v>3883</v>
      </c>
      <c r="M211" t="s">
        <v>8984</v>
      </c>
      <c r="N211" t="s">
        <v>8991</v>
      </c>
      <c r="O211" t="s">
        <v>9112</v>
      </c>
    </row>
    <row r="212" spans="1:15">
      <c r="A212" t="s">
        <v>4133</v>
      </c>
      <c r="B212" t="s">
        <v>8989</v>
      </c>
      <c r="C212" t="s">
        <v>8978</v>
      </c>
      <c r="D212" t="s">
        <v>5530</v>
      </c>
      <c r="E212" t="s">
        <v>5530</v>
      </c>
      <c r="F212" t="s">
        <v>662</v>
      </c>
      <c r="G212" t="s">
        <v>8997</v>
      </c>
      <c r="H212" t="s">
        <v>9009</v>
      </c>
      <c r="I212" t="s">
        <v>3874</v>
      </c>
      <c r="J212" t="s">
        <v>5492</v>
      </c>
      <c r="K212" t="s">
        <v>9000</v>
      </c>
      <c r="L212" t="s">
        <v>3890</v>
      </c>
      <c r="M212" t="s">
        <v>8993</v>
      </c>
      <c r="N212" t="s">
        <v>8987</v>
      </c>
      <c r="O212" t="s">
        <v>8992</v>
      </c>
    </row>
    <row r="213" spans="1:15">
      <c r="A213" t="s">
        <v>4135</v>
      </c>
      <c r="B213" t="s">
        <v>8991</v>
      </c>
      <c r="C213" t="s">
        <v>9064</v>
      </c>
      <c r="D213" t="s">
        <v>5522</v>
      </c>
      <c r="E213" t="s">
        <v>662</v>
      </c>
      <c r="F213" t="s">
        <v>9065</v>
      </c>
      <c r="G213" t="s">
        <v>8980</v>
      </c>
      <c r="H213" t="s">
        <v>8981</v>
      </c>
      <c r="I213" t="s">
        <v>8984</v>
      </c>
      <c r="J213" t="s">
        <v>5492</v>
      </c>
      <c r="K213" t="s">
        <v>5493</v>
      </c>
      <c r="L213" t="s">
        <v>3890</v>
      </c>
      <c r="M213" t="s">
        <v>8993</v>
      </c>
      <c r="N213" t="s">
        <v>8987</v>
      </c>
      <c r="O213" t="s">
        <v>9113</v>
      </c>
    </row>
    <row r="214" spans="1:15">
      <c r="A214" t="s">
        <v>4137</v>
      </c>
      <c r="B214" t="s">
        <v>8991</v>
      </c>
      <c r="C214" t="s">
        <v>8978</v>
      </c>
      <c r="D214" t="s">
        <v>8979</v>
      </c>
      <c r="E214" t="s">
        <v>5504</v>
      </c>
      <c r="F214" t="s">
        <v>662</v>
      </c>
      <c r="G214" t="s">
        <v>8997</v>
      </c>
      <c r="H214" t="s">
        <v>9009</v>
      </c>
      <c r="I214" t="s">
        <v>9016</v>
      </c>
      <c r="J214" t="s">
        <v>8999</v>
      </c>
      <c r="K214" t="s">
        <v>8986</v>
      </c>
      <c r="L214" t="s">
        <v>3890</v>
      </c>
      <c r="M214" t="s">
        <v>8993</v>
      </c>
      <c r="N214" t="s">
        <v>8987</v>
      </c>
      <c r="O214" t="s">
        <v>9037</v>
      </c>
    </row>
    <row r="215" spans="1:15">
      <c r="A215" t="s">
        <v>4139</v>
      </c>
      <c r="B215" t="s">
        <v>8991</v>
      </c>
      <c r="C215" t="s">
        <v>8978</v>
      </c>
      <c r="D215" t="s">
        <v>8979</v>
      </c>
      <c r="E215" t="s">
        <v>5504</v>
      </c>
      <c r="F215" t="s">
        <v>662</v>
      </c>
      <c r="G215" t="s">
        <v>8980</v>
      </c>
      <c r="H215" t="s">
        <v>8981</v>
      </c>
      <c r="I215" t="s">
        <v>3880</v>
      </c>
      <c r="J215" t="s">
        <v>5492</v>
      </c>
      <c r="K215" t="s">
        <v>9000</v>
      </c>
      <c r="L215" t="s">
        <v>3890</v>
      </c>
      <c r="M215" t="s">
        <v>8993</v>
      </c>
      <c r="N215" t="s">
        <v>8987</v>
      </c>
      <c r="O215" t="s">
        <v>3883</v>
      </c>
    </row>
    <row r="216" spans="1:15">
      <c r="A216" t="s">
        <v>4141</v>
      </c>
      <c r="B216" t="s">
        <v>8988</v>
      </c>
      <c r="C216" t="s">
        <v>9002</v>
      </c>
      <c r="D216" t="s">
        <v>9012</v>
      </c>
      <c r="E216" t="s">
        <v>662</v>
      </c>
      <c r="F216" t="s">
        <v>8629</v>
      </c>
      <c r="G216" t="s">
        <v>9003</v>
      </c>
      <c r="H216" t="s">
        <v>3880</v>
      </c>
      <c r="I216" t="s">
        <v>3888</v>
      </c>
      <c r="J216" t="s">
        <v>5492</v>
      </c>
      <c r="K216" t="s">
        <v>5493</v>
      </c>
      <c r="L216" t="s">
        <v>3890</v>
      </c>
      <c r="M216" t="s">
        <v>8993</v>
      </c>
      <c r="N216" t="s">
        <v>8987</v>
      </c>
      <c r="O216" t="s">
        <v>3888</v>
      </c>
    </row>
    <row r="217" spans="1:15">
      <c r="A217" t="s">
        <v>4143</v>
      </c>
      <c r="B217" t="s">
        <v>9008</v>
      </c>
      <c r="C217" t="s">
        <v>9064</v>
      </c>
      <c r="D217" t="s">
        <v>5490</v>
      </c>
      <c r="E217" t="s">
        <v>662</v>
      </c>
      <c r="F217" t="s">
        <v>9065</v>
      </c>
      <c r="G217" t="s">
        <v>8980</v>
      </c>
      <c r="H217" t="s">
        <v>8981</v>
      </c>
      <c r="I217" t="s">
        <v>3888</v>
      </c>
      <c r="J217" t="s">
        <v>5492</v>
      </c>
      <c r="K217" t="s">
        <v>5493</v>
      </c>
      <c r="L217" t="s">
        <v>9016</v>
      </c>
      <c r="M217" t="s">
        <v>8988</v>
      </c>
      <c r="N217" t="s">
        <v>8990</v>
      </c>
      <c r="O217" t="s">
        <v>8977</v>
      </c>
    </row>
    <row r="218" spans="1:15">
      <c r="A218" t="s">
        <v>4145</v>
      </c>
      <c r="B218" t="s">
        <v>8992</v>
      </c>
      <c r="C218" t="s">
        <v>9066</v>
      </c>
      <c r="D218" t="s">
        <v>5490</v>
      </c>
      <c r="E218" t="s">
        <v>662</v>
      </c>
      <c r="F218" t="s">
        <v>9067</v>
      </c>
      <c r="G218" t="s">
        <v>8980</v>
      </c>
      <c r="H218" t="s">
        <v>8981</v>
      </c>
      <c r="I218" t="s">
        <v>8984</v>
      </c>
      <c r="J218" t="s">
        <v>5492</v>
      </c>
      <c r="K218" t="s">
        <v>5493</v>
      </c>
      <c r="L218" t="s">
        <v>9016</v>
      </c>
      <c r="M218" t="s">
        <v>8988</v>
      </c>
      <c r="N218" t="s">
        <v>8990</v>
      </c>
      <c r="O218" t="s">
        <v>9068</v>
      </c>
    </row>
    <row r="219" spans="1:15">
      <c r="A219" t="s">
        <v>4147</v>
      </c>
      <c r="B219" t="s">
        <v>8991</v>
      </c>
      <c r="C219" t="s">
        <v>8978</v>
      </c>
      <c r="D219" t="s">
        <v>8994</v>
      </c>
      <c r="E219" t="s">
        <v>8995</v>
      </c>
      <c r="F219" t="s">
        <v>8996</v>
      </c>
      <c r="G219" t="s">
        <v>8997</v>
      </c>
      <c r="H219" t="s">
        <v>3874</v>
      </c>
      <c r="I219" t="s">
        <v>3888</v>
      </c>
      <c r="J219" t="s">
        <v>9114</v>
      </c>
      <c r="K219" t="s">
        <v>8985</v>
      </c>
      <c r="L219" t="s">
        <v>9016</v>
      </c>
      <c r="M219" t="s">
        <v>8988</v>
      </c>
      <c r="N219" t="s">
        <v>8990</v>
      </c>
      <c r="O219" t="s">
        <v>9115</v>
      </c>
    </row>
    <row r="220" spans="1:15">
      <c r="A220" t="s">
        <v>4149</v>
      </c>
      <c r="B220" t="s">
        <v>8992</v>
      </c>
      <c r="C220" t="s">
        <v>8978</v>
      </c>
      <c r="D220" t="s">
        <v>9069</v>
      </c>
      <c r="E220" t="s">
        <v>5530</v>
      </c>
      <c r="F220" t="s">
        <v>9005</v>
      </c>
      <c r="G220" t="s">
        <v>8997</v>
      </c>
      <c r="H220" t="s">
        <v>9058</v>
      </c>
      <c r="I220" t="s">
        <v>3888</v>
      </c>
      <c r="J220" t="s">
        <v>5492</v>
      </c>
      <c r="K220" t="s">
        <v>9000</v>
      </c>
      <c r="L220" t="s">
        <v>8984</v>
      </c>
      <c r="M220" t="s">
        <v>9008</v>
      </c>
      <c r="N220" t="s">
        <v>9021</v>
      </c>
      <c r="O220" t="s">
        <v>9070</v>
      </c>
    </row>
    <row r="221" spans="1:15">
      <c r="A221" t="s">
        <v>4151</v>
      </c>
      <c r="B221" t="s">
        <v>9010</v>
      </c>
      <c r="C221" t="s">
        <v>8978</v>
      </c>
      <c r="D221" t="s">
        <v>9071</v>
      </c>
      <c r="E221" t="s">
        <v>5530</v>
      </c>
      <c r="F221" t="s">
        <v>9005</v>
      </c>
      <c r="G221" t="s">
        <v>8980</v>
      </c>
      <c r="H221" t="s">
        <v>8981</v>
      </c>
      <c r="I221" t="s">
        <v>8984</v>
      </c>
      <c r="J221" t="s">
        <v>5492</v>
      </c>
      <c r="K221" t="s">
        <v>5493</v>
      </c>
      <c r="L221" t="s">
        <v>8984</v>
      </c>
      <c r="M221" t="s">
        <v>9008</v>
      </c>
      <c r="N221" t="s">
        <v>9021</v>
      </c>
      <c r="O221" t="s">
        <v>9072</v>
      </c>
    </row>
    <row r="222" spans="1:15">
      <c r="A222" t="s">
        <v>4153</v>
      </c>
      <c r="B222" t="s">
        <v>9019</v>
      </c>
      <c r="C222" t="s">
        <v>9066</v>
      </c>
      <c r="D222" t="s">
        <v>9116</v>
      </c>
      <c r="E222" t="s">
        <v>662</v>
      </c>
      <c r="F222" t="s">
        <v>9067</v>
      </c>
      <c r="G222" t="s">
        <v>8980</v>
      </c>
      <c r="H222" t="s">
        <v>8981</v>
      </c>
      <c r="I222" t="s">
        <v>3888</v>
      </c>
      <c r="J222" t="s">
        <v>5492</v>
      </c>
      <c r="K222" t="s">
        <v>5493</v>
      </c>
      <c r="L222" t="s">
        <v>8984</v>
      </c>
      <c r="M222" t="s">
        <v>9008</v>
      </c>
      <c r="N222" t="s">
        <v>9021</v>
      </c>
      <c r="O222" t="s">
        <v>8991</v>
      </c>
    </row>
    <row r="223" spans="1:15">
      <c r="A223" t="s">
        <v>4155</v>
      </c>
      <c r="B223" t="s">
        <v>9035</v>
      </c>
      <c r="C223" t="s">
        <v>9064</v>
      </c>
      <c r="D223" t="s">
        <v>5490</v>
      </c>
      <c r="E223" t="s">
        <v>662</v>
      </c>
      <c r="F223" t="s">
        <v>9065</v>
      </c>
      <c r="G223" t="s">
        <v>8980</v>
      </c>
      <c r="H223" t="s">
        <v>8981</v>
      </c>
      <c r="I223" t="s">
        <v>3888</v>
      </c>
      <c r="J223" t="s">
        <v>5492</v>
      </c>
      <c r="K223" t="s">
        <v>5493</v>
      </c>
      <c r="L223" t="s">
        <v>8462</v>
      </c>
      <c r="M223" t="s">
        <v>9019</v>
      </c>
      <c r="N223" t="s">
        <v>8982</v>
      </c>
      <c r="O223" t="s">
        <v>9073</v>
      </c>
    </row>
    <row r="224" spans="1:15">
      <c r="A224" t="s">
        <v>4157</v>
      </c>
      <c r="B224" t="s">
        <v>9010</v>
      </c>
      <c r="C224" t="s">
        <v>9002</v>
      </c>
      <c r="D224" t="s">
        <v>9117</v>
      </c>
      <c r="E224" t="s">
        <v>8995</v>
      </c>
      <c r="F224" t="s">
        <v>9110</v>
      </c>
      <c r="G224" t="s">
        <v>8997</v>
      </c>
      <c r="H224" t="s">
        <v>3880</v>
      </c>
      <c r="I224" t="s">
        <v>3888</v>
      </c>
      <c r="J224" t="s">
        <v>5492</v>
      </c>
      <c r="K224" t="s">
        <v>5493</v>
      </c>
      <c r="L224" t="s">
        <v>8462</v>
      </c>
      <c r="M224" t="s">
        <v>9019</v>
      </c>
      <c r="N224" t="s">
        <v>8982</v>
      </c>
      <c r="O224" t="s">
        <v>9118</v>
      </c>
    </row>
    <row r="225" spans="1:15">
      <c r="A225" t="s">
        <v>4159</v>
      </c>
      <c r="B225" t="s">
        <v>8987</v>
      </c>
      <c r="C225" t="s">
        <v>9002</v>
      </c>
      <c r="D225" t="s">
        <v>9119</v>
      </c>
      <c r="E225" t="s">
        <v>662</v>
      </c>
      <c r="F225" t="s">
        <v>8629</v>
      </c>
      <c r="G225" t="s">
        <v>9003</v>
      </c>
      <c r="H225" t="s">
        <v>3888</v>
      </c>
      <c r="I225" t="s">
        <v>3888</v>
      </c>
      <c r="J225" t="s">
        <v>5492</v>
      </c>
      <c r="K225" t="s">
        <v>5493</v>
      </c>
      <c r="L225" t="s">
        <v>8462</v>
      </c>
      <c r="M225" t="s">
        <v>9019</v>
      </c>
      <c r="N225" t="s">
        <v>8982</v>
      </c>
      <c r="O225" t="s">
        <v>8991</v>
      </c>
    </row>
    <row r="226" spans="1:15">
      <c r="A226" t="s">
        <v>4161</v>
      </c>
      <c r="B226" t="s">
        <v>8990</v>
      </c>
      <c r="C226" t="s">
        <v>8978</v>
      </c>
      <c r="D226" t="s">
        <v>9071</v>
      </c>
      <c r="E226" t="s">
        <v>5530</v>
      </c>
      <c r="F226" t="s">
        <v>9005</v>
      </c>
      <c r="G226" t="s">
        <v>8980</v>
      </c>
      <c r="H226" t="s">
        <v>8981</v>
      </c>
      <c r="I226" t="s">
        <v>8984</v>
      </c>
      <c r="J226" t="s">
        <v>5492</v>
      </c>
      <c r="K226" t="s">
        <v>5493</v>
      </c>
      <c r="L226" t="s">
        <v>9025</v>
      </c>
      <c r="M226" t="s">
        <v>9010</v>
      </c>
      <c r="N226" t="s">
        <v>9026</v>
      </c>
      <c r="O226" t="s">
        <v>9074</v>
      </c>
    </row>
    <row r="227" spans="1:15">
      <c r="A227" t="s">
        <v>4163</v>
      </c>
      <c r="B227" t="s">
        <v>9044</v>
      </c>
      <c r="C227" t="s">
        <v>9066</v>
      </c>
      <c r="D227" t="s">
        <v>9116</v>
      </c>
      <c r="E227" t="s">
        <v>662</v>
      </c>
      <c r="F227" t="s">
        <v>9067</v>
      </c>
      <c r="G227" t="s">
        <v>8980</v>
      </c>
      <c r="H227" t="s">
        <v>8981</v>
      </c>
      <c r="I227" t="s">
        <v>8984</v>
      </c>
      <c r="J227" t="s">
        <v>5492</v>
      </c>
      <c r="K227" t="s">
        <v>5493</v>
      </c>
      <c r="L227" t="s">
        <v>9025</v>
      </c>
      <c r="M227" t="s">
        <v>9010</v>
      </c>
      <c r="N227" t="s">
        <v>9026</v>
      </c>
      <c r="O227" t="s">
        <v>9120</v>
      </c>
    </row>
    <row r="228" spans="1:15">
      <c r="A228" t="s">
        <v>4165</v>
      </c>
      <c r="B228" t="s">
        <v>8462</v>
      </c>
      <c r="C228" t="s">
        <v>8978</v>
      </c>
      <c r="D228" t="s">
        <v>5530</v>
      </c>
      <c r="E228" t="s">
        <v>5530</v>
      </c>
      <c r="F228" t="s">
        <v>662</v>
      </c>
      <c r="G228" t="s">
        <v>8997</v>
      </c>
      <c r="H228" t="s">
        <v>8998</v>
      </c>
      <c r="I228" t="s">
        <v>3874</v>
      </c>
      <c r="J228" t="s">
        <v>5492</v>
      </c>
      <c r="K228" t="s">
        <v>9000</v>
      </c>
      <c r="L228" t="s">
        <v>3874</v>
      </c>
      <c r="M228" t="s">
        <v>3888</v>
      </c>
      <c r="N228" t="s">
        <v>8977</v>
      </c>
      <c r="O228" t="s">
        <v>3888</v>
      </c>
    </row>
    <row r="229" spans="1:15">
      <c r="A229" t="s">
        <v>4166</v>
      </c>
      <c r="B229" t="s">
        <v>8977</v>
      </c>
      <c r="C229" t="s">
        <v>8978</v>
      </c>
      <c r="D229" t="s">
        <v>8994</v>
      </c>
      <c r="E229" t="s">
        <v>8995</v>
      </c>
      <c r="F229" t="s">
        <v>8996</v>
      </c>
      <c r="G229" t="s">
        <v>8997</v>
      </c>
      <c r="H229" t="s">
        <v>8998</v>
      </c>
      <c r="I229" t="s">
        <v>3888</v>
      </c>
      <c r="J229" t="s">
        <v>9006</v>
      </c>
      <c r="K229" t="s">
        <v>8985</v>
      </c>
      <c r="L229" t="s">
        <v>3874</v>
      </c>
      <c r="M229" t="s">
        <v>3888</v>
      </c>
      <c r="N229" t="s">
        <v>8977</v>
      </c>
      <c r="O229" t="s">
        <v>9107</v>
      </c>
    </row>
    <row r="230" spans="1:15">
      <c r="A230" t="s">
        <v>4167</v>
      </c>
      <c r="B230" t="s">
        <v>8977</v>
      </c>
      <c r="C230" t="s">
        <v>8978</v>
      </c>
      <c r="D230" t="s">
        <v>9069</v>
      </c>
      <c r="E230" t="s">
        <v>5530</v>
      </c>
      <c r="F230" t="s">
        <v>9005</v>
      </c>
      <c r="G230" t="s">
        <v>8997</v>
      </c>
      <c r="H230" t="s">
        <v>3868</v>
      </c>
      <c r="I230" t="s">
        <v>3888</v>
      </c>
      <c r="J230" t="s">
        <v>5492</v>
      </c>
      <c r="K230" t="s">
        <v>9000</v>
      </c>
      <c r="L230" t="s">
        <v>3883</v>
      </c>
      <c r="M230" t="s">
        <v>8984</v>
      </c>
      <c r="N230" t="s">
        <v>8991</v>
      </c>
      <c r="O230" t="s">
        <v>9108</v>
      </c>
    </row>
    <row r="231" spans="1:15">
      <c r="A231" t="s">
        <v>4168</v>
      </c>
      <c r="B231" t="s">
        <v>8989</v>
      </c>
      <c r="C231" t="s">
        <v>9002</v>
      </c>
      <c r="D231" t="s">
        <v>9109</v>
      </c>
      <c r="E231" t="s">
        <v>8995</v>
      </c>
      <c r="F231" t="s">
        <v>9110</v>
      </c>
      <c r="G231" t="s">
        <v>8997</v>
      </c>
      <c r="H231" t="s">
        <v>3868</v>
      </c>
      <c r="I231" t="s">
        <v>3888</v>
      </c>
      <c r="J231" t="s">
        <v>5492</v>
      </c>
      <c r="K231" t="s">
        <v>9111</v>
      </c>
      <c r="L231" t="s">
        <v>3883</v>
      </c>
      <c r="M231" t="s">
        <v>8984</v>
      </c>
      <c r="N231" t="s">
        <v>8991</v>
      </c>
      <c r="O231" t="s">
        <v>9112</v>
      </c>
    </row>
    <row r="232" spans="1:15">
      <c r="A232" t="s">
        <v>4169</v>
      </c>
      <c r="B232" t="s">
        <v>8989</v>
      </c>
      <c r="C232" t="s">
        <v>8978</v>
      </c>
      <c r="D232" t="s">
        <v>5530</v>
      </c>
      <c r="E232" t="s">
        <v>5530</v>
      </c>
      <c r="F232" t="s">
        <v>662</v>
      </c>
      <c r="G232" t="s">
        <v>8997</v>
      </c>
      <c r="H232" t="s">
        <v>9009</v>
      </c>
      <c r="I232" t="s">
        <v>3874</v>
      </c>
      <c r="J232" t="s">
        <v>5492</v>
      </c>
      <c r="K232" t="s">
        <v>9000</v>
      </c>
      <c r="L232" t="s">
        <v>3890</v>
      </c>
      <c r="M232" t="s">
        <v>8993</v>
      </c>
      <c r="N232" t="s">
        <v>8987</v>
      </c>
      <c r="O232" t="s">
        <v>8992</v>
      </c>
    </row>
    <row r="233" spans="1:15">
      <c r="A233" t="s">
        <v>4170</v>
      </c>
      <c r="B233" t="s">
        <v>8991</v>
      </c>
      <c r="C233" t="s">
        <v>9064</v>
      </c>
      <c r="D233" t="s">
        <v>5522</v>
      </c>
      <c r="E233" t="s">
        <v>662</v>
      </c>
      <c r="F233" t="s">
        <v>9065</v>
      </c>
      <c r="G233" t="s">
        <v>8980</v>
      </c>
      <c r="H233" t="s">
        <v>8981</v>
      </c>
      <c r="I233" t="s">
        <v>8984</v>
      </c>
      <c r="J233" t="s">
        <v>5492</v>
      </c>
      <c r="K233" t="s">
        <v>5493</v>
      </c>
      <c r="L233" t="s">
        <v>3890</v>
      </c>
      <c r="M233" t="s">
        <v>8993</v>
      </c>
      <c r="N233" t="s">
        <v>8987</v>
      </c>
      <c r="O233" t="s">
        <v>9113</v>
      </c>
    </row>
    <row r="234" spans="1:15">
      <c r="A234" t="s">
        <v>4171</v>
      </c>
      <c r="B234" t="s">
        <v>8991</v>
      </c>
      <c r="C234" t="s">
        <v>8978</v>
      </c>
      <c r="D234" t="s">
        <v>8979</v>
      </c>
      <c r="E234" t="s">
        <v>5504</v>
      </c>
      <c r="F234" t="s">
        <v>662</v>
      </c>
      <c r="G234" t="s">
        <v>8997</v>
      </c>
      <c r="H234" t="s">
        <v>9009</v>
      </c>
      <c r="I234" t="s">
        <v>9016</v>
      </c>
      <c r="J234" t="s">
        <v>8999</v>
      </c>
      <c r="K234" t="s">
        <v>8986</v>
      </c>
      <c r="L234" t="s">
        <v>3890</v>
      </c>
      <c r="M234" t="s">
        <v>8993</v>
      </c>
      <c r="N234" t="s">
        <v>8987</v>
      </c>
      <c r="O234" t="s">
        <v>9037</v>
      </c>
    </row>
    <row r="235" spans="1:15">
      <c r="A235" t="s">
        <v>4172</v>
      </c>
      <c r="B235" t="s">
        <v>8991</v>
      </c>
      <c r="C235" t="s">
        <v>8978</v>
      </c>
      <c r="D235" t="s">
        <v>8979</v>
      </c>
      <c r="E235" t="s">
        <v>5504</v>
      </c>
      <c r="F235" t="s">
        <v>662</v>
      </c>
      <c r="G235" t="s">
        <v>8980</v>
      </c>
      <c r="H235" t="s">
        <v>8981</v>
      </c>
      <c r="I235" t="s">
        <v>3880</v>
      </c>
      <c r="J235" t="s">
        <v>5492</v>
      </c>
      <c r="K235" t="s">
        <v>9000</v>
      </c>
      <c r="L235" t="s">
        <v>3890</v>
      </c>
      <c r="M235" t="s">
        <v>8993</v>
      </c>
      <c r="N235" t="s">
        <v>8987</v>
      </c>
      <c r="O235" t="s">
        <v>3883</v>
      </c>
    </row>
    <row r="236" spans="1:15">
      <c r="A236" t="s">
        <v>4173</v>
      </c>
      <c r="B236" t="s">
        <v>9008</v>
      </c>
      <c r="C236" t="s">
        <v>9064</v>
      </c>
      <c r="D236" t="s">
        <v>5490</v>
      </c>
      <c r="E236" t="s">
        <v>662</v>
      </c>
      <c r="F236" t="s">
        <v>9065</v>
      </c>
      <c r="G236" t="s">
        <v>8980</v>
      </c>
      <c r="H236" t="s">
        <v>8981</v>
      </c>
      <c r="I236" t="s">
        <v>3888</v>
      </c>
      <c r="J236" t="s">
        <v>5492</v>
      </c>
      <c r="K236" t="s">
        <v>5493</v>
      </c>
      <c r="L236" t="s">
        <v>9016</v>
      </c>
      <c r="M236" t="s">
        <v>8988</v>
      </c>
      <c r="N236" t="s">
        <v>8990</v>
      </c>
      <c r="O236" t="s">
        <v>8977</v>
      </c>
    </row>
    <row r="237" spans="1:15">
      <c r="A237" t="s">
        <v>4174</v>
      </c>
      <c r="B237" t="s">
        <v>8991</v>
      </c>
      <c r="C237" t="s">
        <v>8978</v>
      </c>
      <c r="D237" t="s">
        <v>8994</v>
      </c>
      <c r="E237" t="s">
        <v>8995</v>
      </c>
      <c r="F237" t="s">
        <v>8996</v>
      </c>
      <c r="G237" t="s">
        <v>8997</v>
      </c>
      <c r="H237" t="s">
        <v>3874</v>
      </c>
      <c r="I237" t="s">
        <v>3888</v>
      </c>
      <c r="J237" t="s">
        <v>9114</v>
      </c>
      <c r="K237" t="s">
        <v>8985</v>
      </c>
      <c r="L237" t="s">
        <v>9016</v>
      </c>
      <c r="M237" t="s">
        <v>8988</v>
      </c>
      <c r="N237" t="s">
        <v>8990</v>
      </c>
      <c r="O237" t="s">
        <v>9115</v>
      </c>
    </row>
    <row r="238" spans="1:15">
      <c r="A238" t="s">
        <v>4175</v>
      </c>
      <c r="B238" t="s">
        <v>9019</v>
      </c>
      <c r="C238" t="s">
        <v>9066</v>
      </c>
      <c r="D238" t="s">
        <v>9116</v>
      </c>
      <c r="E238" t="s">
        <v>662</v>
      </c>
      <c r="F238" t="s">
        <v>9067</v>
      </c>
      <c r="G238" t="s">
        <v>8980</v>
      </c>
      <c r="H238" t="s">
        <v>8981</v>
      </c>
      <c r="I238" t="s">
        <v>3888</v>
      </c>
      <c r="J238" t="s">
        <v>5492</v>
      </c>
      <c r="K238" t="s">
        <v>5493</v>
      </c>
      <c r="L238" t="s">
        <v>8984</v>
      </c>
      <c r="M238" t="s">
        <v>9008</v>
      </c>
      <c r="N238" t="s">
        <v>9021</v>
      </c>
      <c r="O238" t="s">
        <v>8991</v>
      </c>
    </row>
    <row r="239" spans="1:15">
      <c r="A239" t="s">
        <v>4176</v>
      </c>
      <c r="B239" t="s">
        <v>9010</v>
      </c>
      <c r="C239" t="s">
        <v>9002</v>
      </c>
      <c r="D239" t="s">
        <v>9117</v>
      </c>
      <c r="E239" t="s">
        <v>8995</v>
      </c>
      <c r="F239" t="s">
        <v>9110</v>
      </c>
      <c r="G239" t="s">
        <v>8997</v>
      </c>
      <c r="H239" t="s">
        <v>3880</v>
      </c>
      <c r="I239" t="s">
        <v>3888</v>
      </c>
      <c r="J239" t="s">
        <v>5492</v>
      </c>
      <c r="K239" t="s">
        <v>5493</v>
      </c>
      <c r="L239" t="s">
        <v>8462</v>
      </c>
      <c r="M239" t="s">
        <v>9019</v>
      </c>
      <c r="N239" t="s">
        <v>8982</v>
      </c>
      <c r="O239" t="s">
        <v>9118</v>
      </c>
    </row>
    <row r="240" spans="1:15">
      <c r="A240" t="s">
        <v>4177</v>
      </c>
      <c r="B240" t="s">
        <v>8987</v>
      </c>
      <c r="C240" t="s">
        <v>9002</v>
      </c>
      <c r="D240" t="s">
        <v>9119</v>
      </c>
      <c r="E240" t="s">
        <v>662</v>
      </c>
      <c r="F240" t="s">
        <v>8629</v>
      </c>
      <c r="G240" t="s">
        <v>9003</v>
      </c>
      <c r="H240" t="s">
        <v>3888</v>
      </c>
      <c r="I240" t="s">
        <v>3888</v>
      </c>
      <c r="J240" t="s">
        <v>5492</v>
      </c>
      <c r="K240" t="s">
        <v>5493</v>
      </c>
      <c r="L240" t="s">
        <v>8462</v>
      </c>
      <c r="M240" t="s">
        <v>9019</v>
      </c>
      <c r="N240" t="s">
        <v>8982</v>
      </c>
      <c r="O240" t="s">
        <v>8991</v>
      </c>
    </row>
    <row r="241" spans="1:15">
      <c r="A241" t="s">
        <v>4178</v>
      </c>
      <c r="B241" t="s">
        <v>9044</v>
      </c>
      <c r="C241" t="s">
        <v>9066</v>
      </c>
      <c r="D241" t="s">
        <v>9116</v>
      </c>
      <c r="E241" t="s">
        <v>662</v>
      </c>
      <c r="F241" t="s">
        <v>9067</v>
      </c>
      <c r="G241" t="s">
        <v>8980</v>
      </c>
      <c r="H241" t="s">
        <v>8981</v>
      </c>
      <c r="I241" t="s">
        <v>8984</v>
      </c>
      <c r="J241" t="s">
        <v>5492</v>
      </c>
      <c r="K241" t="s">
        <v>5493</v>
      </c>
      <c r="L241" t="s">
        <v>9025</v>
      </c>
      <c r="M241" t="s">
        <v>9010</v>
      </c>
      <c r="N241" t="s">
        <v>9026</v>
      </c>
      <c r="O241" t="s">
        <v>9120</v>
      </c>
    </row>
    <row r="242" spans="1:15">
      <c r="A242" t="s">
        <v>4179</v>
      </c>
      <c r="B242" t="s">
        <v>8977</v>
      </c>
      <c r="C242" t="s">
        <v>8978</v>
      </c>
      <c r="D242" t="s">
        <v>8979</v>
      </c>
      <c r="E242" t="s">
        <v>5504</v>
      </c>
      <c r="F242" t="s">
        <v>662</v>
      </c>
      <c r="G242" t="s">
        <v>8980</v>
      </c>
      <c r="H242" t="s">
        <v>8981</v>
      </c>
      <c r="I242" t="s">
        <v>9121</v>
      </c>
      <c r="J242" t="s">
        <v>7161</v>
      </c>
      <c r="K242" t="s">
        <v>9028</v>
      </c>
      <c r="L242" t="s">
        <v>3874</v>
      </c>
      <c r="M242" t="s">
        <v>3888</v>
      </c>
      <c r="N242" t="s">
        <v>8977</v>
      </c>
      <c r="O242" t="s">
        <v>9156</v>
      </c>
    </row>
    <row r="243" spans="1:15">
      <c r="A243" t="s">
        <v>4180</v>
      </c>
      <c r="B243" t="s">
        <v>8989</v>
      </c>
      <c r="C243" t="s">
        <v>8978</v>
      </c>
      <c r="D243" t="s">
        <v>8979</v>
      </c>
      <c r="E243" t="s">
        <v>662</v>
      </c>
      <c r="F243" t="s">
        <v>662</v>
      </c>
      <c r="G243" t="s">
        <v>8997</v>
      </c>
      <c r="H243" t="s">
        <v>3868</v>
      </c>
      <c r="I243" t="s">
        <v>3888</v>
      </c>
      <c r="J243" t="s">
        <v>9114</v>
      </c>
      <c r="K243" t="s">
        <v>8986</v>
      </c>
      <c r="L243" t="s">
        <v>3883</v>
      </c>
      <c r="M243" t="s">
        <v>8984</v>
      </c>
      <c r="N243" t="s">
        <v>8991</v>
      </c>
      <c r="O243" t="s">
        <v>8977</v>
      </c>
    </row>
    <row r="244" spans="1:15">
      <c r="A244" t="s">
        <v>4182</v>
      </c>
      <c r="B244" t="s">
        <v>8989</v>
      </c>
      <c r="C244" t="s">
        <v>8978</v>
      </c>
      <c r="D244" t="s">
        <v>8979</v>
      </c>
      <c r="E244" t="s">
        <v>5504</v>
      </c>
      <c r="F244" t="s">
        <v>662</v>
      </c>
      <c r="G244" t="s">
        <v>8997</v>
      </c>
      <c r="H244" t="s">
        <v>3868</v>
      </c>
      <c r="I244" t="s">
        <v>8977</v>
      </c>
      <c r="J244" t="s">
        <v>6949</v>
      </c>
      <c r="K244" t="s">
        <v>9020</v>
      </c>
      <c r="L244" t="s">
        <v>3883</v>
      </c>
      <c r="M244" t="s">
        <v>8984</v>
      </c>
      <c r="N244" t="s">
        <v>8991</v>
      </c>
      <c r="O244" t="s">
        <v>9157</v>
      </c>
    </row>
    <row r="245" spans="1:15">
      <c r="A245" t="s">
        <v>4183</v>
      </c>
      <c r="B245" t="s">
        <v>8989</v>
      </c>
      <c r="C245" t="s">
        <v>8978</v>
      </c>
      <c r="D245" t="s">
        <v>8979</v>
      </c>
      <c r="E245" t="s">
        <v>5504</v>
      </c>
      <c r="F245" t="s">
        <v>662</v>
      </c>
      <c r="G245" t="s">
        <v>8997</v>
      </c>
      <c r="H245" t="s">
        <v>3868</v>
      </c>
      <c r="I245" t="s">
        <v>8984</v>
      </c>
      <c r="J245" t="s">
        <v>6949</v>
      </c>
      <c r="K245" t="s">
        <v>9020</v>
      </c>
      <c r="L245" t="s">
        <v>3883</v>
      </c>
      <c r="M245" t="s">
        <v>8984</v>
      </c>
      <c r="N245" t="s">
        <v>8991</v>
      </c>
      <c r="O245" t="s">
        <v>9158</v>
      </c>
    </row>
    <row r="246" spans="1:15">
      <c r="A246" t="s">
        <v>4184</v>
      </c>
      <c r="B246" t="s">
        <v>8989</v>
      </c>
      <c r="C246" t="s">
        <v>9002</v>
      </c>
      <c r="D246" t="s">
        <v>8979</v>
      </c>
      <c r="E246" t="s">
        <v>5504</v>
      </c>
      <c r="F246" t="s">
        <v>9110</v>
      </c>
      <c r="G246" t="s">
        <v>8980</v>
      </c>
      <c r="H246" t="s">
        <v>8981</v>
      </c>
      <c r="I246" t="s">
        <v>3886</v>
      </c>
      <c r="J246" t="s">
        <v>6949</v>
      </c>
      <c r="K246" t="s">
        <v>9028</v>
      </c>
      <c r="L246" t="s">
        <v>3883</v>
      </c>
      <c r="M246" t="s">
        <v>8984</v>
      </c>
      <c r="N246" t="s">
        <v>8991</v>
      </c>
      <c r="O246" t="s">
        <v>9159</v>
      </c>
    </row>
    <row r="247" spans="1:15">
      <c r="A247" t="s">
        <v>4185</v>
      </c>
      <c r="B247" t="s">
        <v>8991</v>
      </c>
      <c r="C247" t="s">
        <v>8978</v>
      </c>
      <c r="D247" t="s">
        <v>8979</v>
      </c>
      <c r="E247" t="s">
        <v>5504</v>
      </c>
      <c r="F247" t="s">
        <v>662</v>
      </c>
      <c r="G247" t="s">
        <v>8997</v>
      </c>
      <c r="H247" t="s">
        <v>9009</v>
      </c>
      <c r="I247" t="s">
        <v>3880</v>
      </c>
      <c r="J247" t="s">
        <v>6949</v>
      </c>
      <c r="K247" t="s">
        <v>8986</v>
      </c>
      <c r="L247" t="s">
        <v>3890</v>
      </c>
      <c r="M247" t="s">
        <v>8993</v>
      </c>
      <c r="N247" t="s">
        <v>8987</v>
      </c>
      <c r="O247" t="s">
        <v>9139</v>
      </c>
    </row>
    <row r="248" spans="1:15">
      <c r="A248" t="s">
        <v>4186</v>
      </c>
      <c r="B248" t="s">
        <v>8991</v>
      </c>
      <c r="C248" t="s">
        <v>8978</v>
      </c>
      <c r="D248" t="s">
        <v>8979</v>
      </c>
      <c r="E248" t="s">
        <v>5504</v>
      </c>
      <c r="F248" t="s">
        <v>662</v>
      </c>
      <c r="G248" t="s">
        <v>8997</v>
      </c>
      <c r="H248" t="s">
        <v>9009</v>
      </c>
      <c r="I248" t="s">
        <v>8984</v>
      </c>
      <c r="J248" t="s">
        <v>6949</v>
      </c>
      <c r="K248" t="s">
        <v>8986</v>
      </c>
      <c r="L248" t="s">
        <v>3890</v>
      </c>
      <c r="M248" t="s">
        <v>8993</v>
      </c>
      <c r="N248" t="s">
        <v>8987</v>
      </c>
      <c r="O248" t="s">
        <v>9160</v>
      </c>
    </row>
    <row r="249" spans="1:15">
      <c r="A249" t="s">
        <v>4187</v>
      </c>
      <c r="B249" t="s">
        <v>8991</v>
      </c>
      <c r="C249" t="s">
        <v>8978</v>
      </c>
      <c r="D249" t="s">
        <v>8979</v>
      </c>
      <c r="E249" t="s">
        <v>5504</v>
      </c>
      <c r="F249" t="s">
        <v>662</v>
      </c>
      <c r="G249" t="s">
        <v>8997</v>
      </c>
      <c r="H249" t="s">
        <v>9009</v>
      </c>
      <c r="I249" t="s">
        <v>3888</v>
      </c>
      <c r="J249" t="s">
        <v>6949</v>
      </c>
      <c r="K249" t="s">
        <v>8986</v>
      </c>
      <c r="L249" t="s">
        <v>3890</v>
      </c>
      <c r="M249" t="s">
        <v>8993</v>
      </c>
      <c r="N249" t="s">
        <v>8987</v>
      </c>
      <c r="O249" t="s">
        <v>9161</v>
      </c>
    </row>
    <row r="250" spans="1:15">
      <c r="A250" t="s">
        <v>4188</v>
      </c>
      <c r="B250" t="s">
        <v>8991</v>
      </c>
      <c r="C250" t="s">
        <v>8978</v>
      </c>
      <c r="D250" t="s">
        <v>8979</v>
      </c>
      <c r="E250" t="s">
        <v>662</v>
      </c>
      <c r="F250" t="s">
        <v>662</v>
      </c>
      <c r="G250" t="s">
        <v>8980</v>
      </c>
      <c r="H250" t="s">
        <v>8981</v>
      </c>
      <c r="I250" t="s">
        <v>9162</v>
      </c>
      <c r="J250" t="s">
        <v>7006</v>
      </c>
      <c r="K250" t="s">
        <v>9104</v>
      </c>
      <c r="L250" t="s">
        <v>3890</v>
      </c>
      <c r="M250" t="s">
        <v>8993</v>
      </c>
      <c r="N250" t="s">
        <v>8987</v>
      </c>
      <c r="O250" t="s">
        <v>9102</v>
      </c>
    </row>
    <row r="251" spans="1:15">
      <c r="A251" t="s">
        <v>4189</v>
      </c>
      <c r="B251" t="s">
        <v>8991</v>
      </c>
      <c r="C251" t="s">
        <v>8978</v>
      </c>
      <c r="D251" t="s">
        <v>5522</v>
      </c>
      <c r="E251" t="s">
        <v>5504</v>
      </c>
      <c r="F251" t="s">
        <v>662</v>
      </c>
      <c r="G251" t="s">
        <v>8980</v>
      </c>
      <c r="H251" t="s">
        <v>8981</v>
      </c>
      <c r="I251" t="s">
        <v>3883</v>
      </c>
      <c r="J251" t="s">
        <v>6949</v>
      </c>
      <c r="K251" t="s">
        <v>9111</v>
      </c>
      <c r="L251" t="s">
        <v>3890</v>
      </c>
      <c r="M251" t="s">
        <v>8993</v>
      </c>
      <c r="N251" t="s">
        <v>8987</v>
      </c>
      <c r="O251" t="s">
        <v>8977</v>
      </c>
    </row>
    <row r="252" spans="1:15">
      <c r="A252" t="s">
        <v>4190</v>
      </c>
      <c r="B252" t="s">
        <v>8992</v>
      </c>
      <c r="C252" t="s">
        <v>8978</v>
      </c>
      <c r="D252" t="s">
        <v>5530</v>
      </c>
      <c r="E252" t="s">
        <v>5530</v>
      </c>
      <c r="F252" t="s">
        <v>662</v>
      </c>
      <c r="G252" t="s">
        <v>8997</v>
      </c>
      <c r="H252" t="s">
        <v>3874</v>
      </c>
      <c r="I252" t="s">
        <v>8977</v>
      </c>
      <c r="J252" t="s">
        <v>6949</v>
      </c>
      <c r="K252" t="s">
        <v>8985</v>
      </c>
      <c r="L252" t="s">
        <v>9016</v>
      </c>
      <c r="M252" t="s">
        <v>8988</v>
      </c>
      <c r="N252" t="s">
        <v>8990</v>
      </c>
      <c r="O252" t="s">
        <v>9163</v>
      </c>
    </row>
    <row r="253" spans="1:15">
      <c r="A253" t="s">
        <v>4191</v>
      </c>
      <c r="B253" t="s">
        <v>8992</v>
      </c>
      <c r="C253" t="s">
        <v>8978</v>
      </c>
      <c r="D253" t="s">
        <v>8979</v>
      </c>
      <c r="E253" t="s">
        <v>5504</v>
      </c>
      <c r="F253" t="s">
        <v>662</v>
      </c>
      <c r="G253" t="s">
        <v>8980</v>
      </c>
      <c r="H253" t="s">
        <v>8981</v>
      </c>
      <c r="I253" t="s">
        <v>9164</v>
      </c>
      <c r="J253" t="s">
        <v>5492</v>
      </c>
      <c r="K253" t="s">
        <v>5493</v>
      </c>
      <c r="L253" t="s">
        <v>9016</v>
      </c>
      <c r="M253" t="s">
        <v>8988</v>
      </c>
      <c r="N253" t="s">
        <v>8990</v>
      </c>
      <c r="O253" t="s">
        <v>9165</v>
      </c>
    </row>
    <row r="254" spans="1:15">
      <c r="A254" t="s">
        <v>4193</v>
      </c>
      <c r="B254" t="s">
        <v>8992</v>
      </c>
      <c r="C254" t="s">
        <v>8978</v>
      </c>
      <c r="D254" t="s">
        <v>5490</v>
      </c>
      <c r="E254" t="s">
        <v>5504</v>
      </c>
      <c r="F254" t="s">
        <v>662</v>
      </c>
      <c r="G254" t="s">
        <v>8980</v>
      </c>
      <c r="H254" t="s">
        <v>8981</v>
      </c>
      <c r="I254" t="s">
        <v>9048</v>
      </c>
      <c r="J254" t="s">
        <v>9006</v>
      </c>
      <c r="K254" t="s">
        <v>9028</v>
      </c>
      <c r="L254" t="s">
        <v>9016</v>
      </c>
      <c r="M254" t="s">
        <v>8988</v>
      </c>
      <c r="N254" t="s">
        <v>8990</v>
      </c>
      <c r="O254" t="s">
        <v>9166</v>
      </c>
    </row>
    <row r="255" spans="1:15">
      <c r="A255" t="s">
        <v>4194</v>
      </c>
      <c r="B255" t="s">
        <v>8992</v>
      </c>
      <c r="C255" t="s">
        <v>8978</v>
      </c>
      <c r="D255" t="s">
        <v>9017</v>
      </c>
      <c r="E255" t="s">
        <v>5504</v>
      </c>
      <c r="F255" t="s">
        <v>662</v>
      </c>
      <c r="G255" t="s">
        <v>8980</v>
      </c>
      <c r="H255" t="s">
        <v>8981</v>
      </c>
      <c r="I255" t="s">
        <v>8977</v>
      </c>
      <c r="J255" t="s">
        <v>6949</v>
      </c>
      <c r="K255" t="s">
        <v>8985</v>
      </c>
      <c r="L255" t="s">
        <v>9016</v>
      </c>
      <c r="M255" t="s">
        <v>8988</v>
      </c>
      <c r="N255" t="s">
        <v>8990</v>
      </c>
      <c r="O255" t="s">
        <v>9167</v>
      </c>
    </row>
    <row r="256" spans="1:15">
      <c r="A256" t="s">
        <v>4195</v>
      </c>
      <c r="B256" t="s">
        <v>8992</v>
      </c>
      <c r="C256" t="s">
        <v>8978</v>
      </c>
      <c r="D256" t="s">
        <v>9017</v>
      </c>
      <c r="E256" t="s">
        <v>5504</v>
      </c>
      <c r="F256" t="s">
        <v>662</v>
      </c>
      <c r="G256" t="s">
        <v>8980</v>
      </c>
      <c r="H256" t="s">
        <v>8981</v>
      </c>
      <c r="I256" t="s">
        <v>3888</v>
      </c>
      <c r="J256" t="s">
        <v>9006</v>
      </c>
      <c r="K256" t="s">
        <v>9028</v>
      </c>
      <c r="L256" t="s">
        <v>9016</v>
      </c>
      <c r="M256" t="s">
        <v>8988</v>
      </c>
      <c r="N256" t="s">
        <v>8990</v>
      </c>
      <c r="O256" t="s">
        <v>9168</v>
      </c>
    </row>
    <row r="257" spans="1:15">
      <c r="A257" t="s">
        <v>4196</v>
      </c>
      <c r="B257" t="s">
        <v>9010</v>
      </c>
      <c r="C257" t="s">
        <v>8978</v>
      </c>
      <c r="D257" t="s">
        <v>5522</v>
      </c>
      <c r="E257" t="s">
        <v>5530</v>
      </c>
      <c r="F257" t="s">
        <v>9005</v>
      </c>
      <c r="G257" t="s">
        <v>9003</v>
      </c>
      <c r="H257" t="s">
        <v>3886</v>
      </c>
      <c r="I257" t="s">
        <v>8977</v>
      </c>
      <c r="J257" t="s">
        <v>6949</v>
      </c>
      <c r="K257" t="s">
        <v>9169</v>
      </c>
      <c r="L257" t="s">
        <v>8984</v>
      </c>
      <c r="M257" t="s">
        <v>9008</v>
      </c>
      <c r="N257" t="s">
        <v>9021</v>
      </c>
      <c r="O257" t="s">
        <v>9023</v>
      </c>
    </row>
    <row r="258" spans="1:15">
      <c r="A258" t="s">
        <v>4198</v>
      </c>
      <c r="B258" t="s">
        <v>9010</v>
      </c>
      <c r="C258" t="s">
        <v>9002</v>
      </c>
      <c r="D258" t="s">
        <v>5522</v>
      </c>
      <c r="E258" t="s">
        <v>662</v>
      </c>
      <c r="F258" t="s">
        <v>8629</v>
      </c>
      <c r="G258" t="s">
        <v>8980</v>
      </c>
      <c r="H258" t="s">
        <v>8981</v>
      </c>
      <c r="I258" t="s">
        <v>3888</v>
      </c>
      <c r="J258" t="s">
        <v>6949</v>
      </c>
      <c r="K258" t="s">
        <v>9020</v>
      </c>
      <c r="L258" t="s">
        <v>8984</v>
      </c>
      <c r="M258" t="s">
        <v>9008</v>
      </c>
      <c r="N258" t="s">
        <v>9021</v>
      </c>
      <c r="O258" t="s">
        <v>8982</v>
      </c>
    </row>
    <row r="259" spans="1:15">
      <c r="A259" t="s">
        <v>4199</v>
      </c>
      <c r="B259" t="s">
        <v>9035</v>
      </c>
      <c r="C259" t="s">
        <v>8978</v>
      </c>
      <c r="D259" t="s">
        <v>9170</v>
      </c>
      <c r="E259" t="s">
        <v>662</v>
      </c>
      <c r="F259" t="s">
        <v>662</v>
      </c>
      <c r="G259" t="s">
        <v>8997</v>
      </c>
      <c r="H259" t="s">
        <v>3880</v>
      </c>
      <c r="I259" t="s">
        <v>8987</v>
      </c>
      <c r="J259" t="s">
        <v>9171</v>
      </c>
      <c r="K259" t="s">
        <v>9051</v>
      </c>
      <c r="L259" t="s">
        <v>8462</v>
      </c>
      <c r="M259" t="s">
        <v>9019</v>
      </c>
      <c r="N259" t="s">
        <v>8982</v>
      </c>
      <c r="O259" t="s">
        <v>9172</v>
      </c>
    </row>
    <row r="260" spans="1:15">
      <c r="A260" t="s">
        <v>4200</v>
      </c>
      <c r="B260" t="s">
        <v>9035</v>
      </c>
      <c r="C260" t="s">
        <v>8978</v>
      </c>
      <c r="D260" t="s">
        <v>9173</v>
      </c>
      <c r="E260" t="s">
        <v>5530</v>
      </c>
      <c r="F260" t="s">
        <v>9005</v>
      </c>
      <c r="G260" t="s">
        <v>8980</v>
      </c>
      <c r="H260" t="s">
        <v>8981</v>
      </c>
      <c r="I260" t="s">
        <v>9164</v>
      </c>
      <c r="J260" t="s">
        <v>7060</v>
      </c>
      <c r="K260" t="s">
        <v>9051</v>
      </c>
      <c r="L260" t="s">
        <v>8462</v>
      </c>
      <c r="M260" t="s">
        <v>9019</v>
      </c>
      <c r="N260" t="s">
        <v>8982</v>
      </c>
      <c r="O260" t="s">
        <v>9174</v>
      </c>
    </row>
    <row r="261" spans="1:15">
      <c r="A261" t="s">
        <v>4201</v>
      </c>
      <c r="B261" t="s">
        <v>9035</v>
      </c>
      <c r="C261" t="s">
        <v>9002</v>
      </c>
      <c r="D261" t="s">
        <v>9042</v>
      </c>
      <c r="E261" t="s">
        <v>8995</v>
      </c>
      <c r="F261" t="s">
        <v>9110</v>
      </c>
      <c r="G261" t="s">
        <v>8997</v>
      </c>
      <c r="H261" t="s">
        <v>3880</v>
      </c>
      <c r="I261" t="s">
        <v>3888</v>
      </c>
      <c r="J261" t="s">
        <v>6949</v>
      </c>
      <c r="K261" t="s">
        <v>9056</v>
      </c>
      <c r="L261" t="s">
        <v>8462</v>
      </c>
      <c r="M261" t="s">
        <v>9019</v>
      </c>
      <c r="N261" t="s">
        <v>8982</v>
      </c>
      <c r="O261" t="s">
        <v>9175</v>
      </c>
    </row>
    <row r="262" spans="1:15">
      <c r="A262" t="s">
        <v>4202</v>
      </c>
      <c r="B262" t="s">
        <v>8990</v>
      </c>
      <c r="C262" t="s">
        <v>9002</v>
      </c>
      <c r="D262" t="s">
        <v>5522</v>
      </c>
      <c r="E262" t="s">
        <v>8995</v>
      </c>
      <c r="F262" t="s">
        <v>9110</v>
      </c>
      <c r="G262" t="s">
        <v>8997</v>
      </c>
      <c r="H262" t="s">
        <v>9133</v>
      </c>
      <c r="I262" t="s">
        <v>3888</v>
      </c>
      <c r="J262" t="s">
        <v>6949</v>
      </c>
      <c r="K262" t="s">
        <v>9056</v>
      </c>
      <c r="L262" t="s">
        <v>9025</v>
      </c>
      <c r="M262" t="s">
        <v>9010</v>
      </c>
      <c r="N262" t="s">
        <v>9026</v>
      </c>
      <c r="O262" t="s">
        <v>9176</v>
      </c>
    </row>
    <row r="263" spans="1:15">
      <c r="A263" t="s">
        <v>4203</v>
      </c>
      <c r="B263" t="s">
        <v>8990</v>
      </c>
      <c r="C263" t="s">
        <v>8978</v>
      </c>
      <c r="D263" t="s">
        <v>5522</v>
      </c>
      <c r="E263" t="s">
        <v>8995</v>
      </c>
      <c r="F263" t="s">
        <v>9005</v>
      </c>
      <c r="G263" t="s">
        <v>9003</v>
      </c>
      <c r="H263" t="s">
        <v>3890</v>
      </c>
      <c r="I263" t="s">
        <v>3883</v>
      </c>
      <c r="J263" t="s">
        <v>6949</v>
      </c>
      <c r="K263" t="s">
        <v>9020</v>
      </c>
      <c r="L263" t="s">
        <v>9025</v>
      </c>
      <c r="M263" t="s">
        <v>9010</v>
      </c>
      <c r="N263" t="s">
        <v>9026</v>
      </c>
      <c r="O263" t="s">
        <v>9177</v>
      </c>
    </row>
    <row r="264" spans="1:15">
      <c r="A264" t="s">
        <v>4204</v>
      </c>
      <c r="B264" t="s">
        <v>8990</v>
      </c>
      <c r="C264" t="s">
        <v>9002</v>
      </c>
      <c r="D264" t="s">
        <v>9017</v>
      </c>
      <c r="E264" t="s">
        <v>662</v>
      </c>
      <c r="F264" t="s">
        <v>9110</v>
      </c>
      <c r="G264" t="s">
        <v>8980</v>
      </c>
      <c r="H264" t="s">
        <v>8981</v>
      </c>
      <c r="I264" t="s">
        <v>8988</v>
      </c>
      <c r="J264" t="s">
        <v>9124</v>
      </c>
      <c r="K264" t="s">
        <v>9178</v>
      </c>
      <c r="L264" t="s">
        <v>9025</v>
      </c>
      <c r="M264" t="s">
        <v>9010</v>
      </c>
      <c r="N264" t="s">
        <v>9026</v>
      </c>
      <c r="O264" t="s">
        <v>9179</v>
      </c>
    </row>
    <row r="265" spans="1:15">
      <c r="A265" t="s">
        <v>4205</v>
      </c>
      <c r="B265" t="s">
        <v>8977</v>
      </c>
      <c r="C265" t="s">
        <v>8978</v>
      </c>
      <c r="D265" t="s">
        <v>8979</v>
      </c>
      <c r="E265" t="s">
        <v>662</v>
      </c>
      <c r="F265" t="s">
        <v>662</v>
      </c>
      <c r="G265" t="s">
        <v>8980</v>
      </c>
      <c r="H265" t="s">
        <v>8981</v>
      </c>
      <c r="I265" t="s">
        <v>8982</v>
      </c>
      <c r="J265" t="s">
        <v>6949</v>
      </c>
      <c r="K265" t="s">
        <v>9051</v>
      </c>
      <c r="L265" t="s">
        <v>3874</v>
      </c>
      <c r="M265" t="s">
        <v>3888</v>
      </c>
      <c r="N265" t="s">
        <v>8977</v>
      </c>
      <c r="O265" t="s">
        <v>8988</v>
      </c>
    </row>
    <row r="266" spans="1:15">
      <c r="A266" t="s">
        <v>4206</v>
      </c>
      <c r="B266" t="s">
        <v>8977</v>
      </c>
      <c r="C266" t="s">
        <v>8978</v>
      </c>
      <c r="D266" t="s">
        <v>8979</v>
      </c>
      <c r="E266" t="s">
        <v>662</v>
      </c>
      <c r="F266" t="s">
        <v>662</v>
      </c>
      <c r="G266" t="s">
        <v>8980</v>
      </c>
      <c r="H266" t="s">
        <v>8981</v>
      </c>
      <c r="I266" t="s">
        <v>9074</v>
      </c>
      <c r="J266" t="s">
        <v>9144</v>
      </c>
      <c r="K266" t="s">
        <v>9028</v>
      </c>
      <c r="L266" t="s">
        <v>3874</v>
      </c>
      <c r="M266" t="s">
        <v>3888</v>
      </c>
      <c r="N266" t="s">
        <v>8977</v>
      </c>
      <c r="O266" t="s">
        <v>9180</v>
      </c>
    </row>
    <row r="267" spans="1:15">
      <c r="A267" t="s">
        <v>4208</v>
      </c>
      <c r="B267" t="s">
        <v>8977</v>
      </c>
      <c r="C267" t="s">
        <v>9002</v>
      </c>
      <c r="D267" t="s">
        <v>5522</v>
      </c>
      <c r="E267" t="s">
        <v>5504</v>
      </c>
      <c r="F267" t="s">
        <v>9110</v>
      </c>
      <c r="G267" t="s">
        <v>9003</v>
      </c>
      <c r="H267" t="s">
        <v>3868</v>
      </c>
      <c r="I267" t="s">
        <v>3886</v>
      </c>
      <c r="J267" t="s">
        <v>6949</v>
      </c>
      <c r="K267" t="s">
        <v>9181</v>
      </c>
      <c r="L267" t="s">
        <v>3874</v>
      </c>
      <c r="M267" t="s">
        <v>3888</v>
      </c>
      <c r="N267" t="s">
        <v>8977</v>
      </c>
      <c r="O267" t="s">
        <v>9182</v>
      </c>
    </row>
    <row r="268" spans="1:15">
      <c r="A268" t="s">
        <v>4209</v>
      </c>
      <c r="B268" t="s">
        <v>8989</v>
      </c>
      <c r="C268" t="s">
        <v>8978</v>
      </c>
      <c r="D268" t="s">
        <v>8979</v>
      </c>
      <c r="E268" t="s">
        <v>662</v>
      </c>
      <c r="F268" t="s">
        <v>662</v>
      </c>
      <c r="G268" t="s">
        <v>8980</v>
      </c>
      <c r="H268" t="s">
        <v>8981</v>
      </c>
      <c r="I268" t="s">
        <v>9102</v>
      </c>
      <c r="J268" t="s">
        <v>8774</v>
      </c>
      <c r="K268" t="s">
        <v>9137</v>
      </c>
      <c r="L268" t="s">
        <v>3883</v>
      </c>
      <c r="M268" t="s">
        <v>8984</v>
      </c>
      <c r="N268" t="s">
        <v>8991</v>
      </c>
      <c r="O268" t="s">
        <v>8992</v>
      </c>
    </row>
    <row r="269" spans="1:15">
      <c r="A269" t="s">
        <v>4211</v>
      </c>
      <c r="B269" t="s">
        <v>8989</v>
      </c>
      <c r="C269" t="s">
        <v>8978</v>
      </c>
      <c r="D269" t="s">
        <v>8979</v>
      </c>
      <c r="E269" t="s">
        <v>5504</v>
      </c>
      <c r="F269" t="s">
        <v>662</v>
      </c>
      <c r="G269" t="s">
        <v>8997</v>
      </c>
      <c r="H269" t="s">
        <v>3868</v>
      </c>
      <c r="I269" t="s">
        <v>8977</v>
      </c>
      <c r="J269" t="s">
        <v>8999</v>
      </c>
      <c r="K269" t="s">
        <v>9014</v>
      </c>
      <c r="L269" t="s">
        <v>3883</v>
      </c>
      <c r="M269" t="s">
        <v>8984</v>
      </c>
      <c r="N269" t="s">
        <v>8991</v>
      </c>
      <c r="O269" t="s">
        <v>9024</v>
      </c>
    </row>
    <row r="270" spans="1:15">
      <c r="A270" t="s">
        <v>4212</v>
      </c>
      <c r="B270" t="s">
        <v>8989</v>
      </c>
      <c r="C270" t="s">
        <v>8978</v>
      </c>
      <c r="D270" t="s">
        <v>9042</v>
      </c>
      <c r="E270" t="s">
        <v>662</v>
      </c>
      <c r="F270" t="s">
        <v>662</v>
      </c>
      <c r="G270" t="s">
        <v>9003</v>
      </c>
      <c r="H270" t="s">
        <v>3874</v>
      </c>
      <c r="I270" t="s">
        <v>3888</v>
      </c>
      <c r="J270" t="s">
        <v>9183</v>
      </c>
      <c r="K270" t="s">
        <v>5493</v>
      </c>
      <c r="L270" t="s">
        <v>3883</v>
      </c>
      <c r="M270" t="s">
        <v>8984</v>
      </c>
      <c r="N270" t="s">
        <v>8991</v>
      </c>
      <c r="O270" t="s">
        <v>9184</v>
      </c>
    </row>
    <row r="271" spans="1:15">
      <c r="A271" t="s">
        <v>4214</v>
      </c>
      <c r="B271" t="s">
        <v>8989</v>
      </c>
      <c r="C271" t="s">
        <v>8978</v>
      </c>
      <c r="D271" t="s">
        <v>9032</v>
      </c>
      <c r="E271" t="s">
        <v>5504</v>
      </c>
      <c r="F271" t="s">
        <v>662</v>
      </c>
      <c r="G271" t="s">
        <v>8997</v>
      </c>
      <c r="H271" t="s">
        <v>3868</v>
      </c>
      <c r="I271" t="s">
        <v>9185</v>
      </c>
      <c r="J271" t="s">
        <v>8999</v>
      </c>
      <c r="K271" t="s">
        <v>8986</v>
      </c>
      <c r="L271" t="s">
        <v>3883</v>
      </c>
      <c r="M271" t="s">
        <v>8984</v>
      </c>
      <c r="N271" t="s">
        <v>8991</v>
      </c>
      <c r="O271" t="s">
        <v>9186</v>
      </c>
    </row>
    <row r="272" spans="1:15">
      <c r="A272" t="s">
        <v>4215</v>
      </c>
      <c r="B272" t="s">
        <v>8991</v>
      </c>
      <c r="C272" t="s">
        <v>8978</v>
      </c>
      <c r="D272" t="s">
        <v>8979</v>
      </c>
      <c r="E272" t="s">
        <v>662</v>
      </c>
      <c r="F272" t="s">
        <v>662</v>
      </c>
      <c r="G272" t="s">
        <v>8980</v>
      </c>
      <c r="H272" t="s">
        <v>8981</v>
      </c>
      <c r="I272" t="s">
        <v>8990</v>
      </c>
      <c r="J272" t="s">
        <v>5492</v>
      </c>
      <c r="K272" t="s">
        <v>8986</v>
      </c>
      <c r="L272" t="s">
        <v>3890</v>
      </c>
      <c r="M272" t="s">
        <v>8993</v>
      </c>
      <c r="N272" t="s">
        <v>8987</v>
      </c>
      <c r="O272" t="s">
        <v>8992</v>
      </c>
    </row>
    <row r="273" spans="1:15">
      <c r="A273" t="s">
        <v>4216</v>
      </c>
      <c r="B273" t="s">
        <v>8991</v>
      </c>
      <c r="C273" t="s">
        <v>8978</v>
      </c>
      <c r="D273" t="s">
        <v>8979</v>
      </c>
      <c r="E273" t="s">
        <v>5504</v>
      </c>
      <c r="F273" t="s">
        <v>662</v>
      </c>
      <c r="G273" t="s">
        <v>8997</v>
      </c>
      <c r="H273" t="s">
        <v>9009</v>
      </c>
      <c r="I273" t="s">
        <v>9016</v>
      </c>
      <c r="J273" t="s">
        <v>8999</v>
      </c>
      <c r="K273" t="s">
        <v>8986</v>
      </c>
      <c r="L273" t="s">
        <v>3890</v>
      </c>
      <c r="M273" t="s">
        <v>8993</v>
      </c>
      <c r="N273" t="s">
        <v>8987</v>
      </c>
      <c r="O273" t="s">
        <v>9037</v>
      </c>
    </row>
    <row r="274" spans="1:15">
      <c r="A274" t="s">
        <v>4217</v>
      </c>
      <c r="B274" t="s">
        <v>8991</v>
      </c>
      <c r="C274" t="s">
        <v>8978</v>
      </c>
      <c r="D274" t="s">
        <v>8979</v>
      </c>
      <c r="E274" t="s">
        <v>5504</v>
      </c>
      <c r="F274" t="s">
        <v>662</v>
      </c>
      <c r="G274" t="s">
        <v>8997</v>
      </c>
      <c r="H274" t="s">
        <v>9009</v>
      </c>
      <c r="I274" t="s">
        <v>9016</v>
      </c>
      <c r="J274" t="s">
        <v>8999</v>
      </c>
      <c r="K274" t="s">
        <v>8986</v>
      </c>
      <c r="L274" t="s">
        <v>3890</v>
      </c>
      <c r="M274" t="s">
        <v>8993</v>
      </c>
      <c r="N274" t="s">
        <v>8987</v>
      </c>
      <c r="O274" t="s">
        <v>9037</v>
      </c>
    </row>
    <row r="275" spans="1:15">
      <c r="A275" t="s">
        <v>4218</v>
      </c>
      <c r="B275" t="s">
        <v>8991</v>
      </c>
      <c r="C275" t="s">
        <v>8978</v>
      </c>
      <c r="D275" t="s">
        <v>8979</v>
      </c>
      <c r="E275" t="s">
        <v>5504</v>
      </c>
      <c r="F275" t="s">
        <v>662</v>
      </c>
      <c r="G275" t="s">
        <v>8997</v>
      </c>
      <c r="H275" t="s">
        <v>9009</v>
      </c>
      <c r="I275" t="s">
        <v>9016</v>
      </c>
      <c r="J275" t="s">
        <v>8999</v>
      </c>
      <c r="K275" t="s">
        <v>8986</v>
      </c>
      <c r="L275" t="s">
        <v>3890</v>
      </c>
      <c r="M275" t="s">
        <v>8993</v>
      </c>
      <c r="N275" t="s">
        <v>8987</v>
      </c>
      <c r="O275" t="s">
        <v>9037</v>
      </c>
    </row>
    <row r="276" spans="1:15">
      <c r="A276" t="s">
        <v>4219</v>
      </c>
      <c r="B276" t="s">
        <v>8991</v>
      </c>
      <c r="C276" t="s">
        <v>8978</v>
      </c>
      <c r="D276" t="s">
        <v>8979</v>
      </c>
      <c r="E276" t="s">
        <v>5504</v>
      </c>
      <c r="F276" t="s">
        <v>662</v>
      </c>
      <c r="G276" t="s">
        <v>8980</v>
      </c>
      <c r="H276" t="s">
        <v>8981</v>
      </c>
      <c r="I276" t="s">
        <v>3874</v>
      </c>
      <c r="J276" t="s">
        <v>5492</v>
      </c>
      <c r="K276" t="s">
        <v>9000</v>
      </c>
      <c r="L276" t="s">
        <v>3890</v>
      </c>
      <c r="M276" t="s">
        <v>8993</v>
      </c>
      <c r="N276" t="s">
        <v>8987</v>
      </c>
      <c r="O276" t="s">
        <v>3883</v>
      </c>
    </row>
    <row r="277" spans="1:15">
      <c r="A277" t="s">
        <v>4220</v>
      </c>
      <c r="B277" t="s">
        <v>8991</v>
      </c>
      <c r="C277" t="s">
        <v>8978</v>
      </c>
      <c r="D277" t="s">
        <v>8979</v>
      </c>
      <c r="E277" t="s">
        <v>662</v>
      </c>
      <c r="F277" t="s">
        <v>662</v>
      </c>
      <c r="G277" t="s">
        <v>8980</v>
      </c>
      <c r="H277" t="s">
        <v>8981</v>
      </c>
      <c r="I277" t="s">
        <v>9132</v>
      </c>
      <c r="J277" t="s">
        <v>6949</v>
      </c>
      <c r="K277" t="s">
        <v>8986</v>
      </c>
      <c r="L277" t="s">
        <v>3890</v>
      </c>
      <c r="M277" t="s">
        <v>8993</v>
      </c>
      <c r="N277" t="s">
        <v>8987</v>
      </c>
      <c r="O277" t="s">
        <v>9016</v>
      </c>
    </row>
    <row r="278" spans="1:15">
      <c r="A278" t="s">
        <v>4221</v>
      </c>
      <c r="B278" t="s">
        <v>8991</v>
      </c>
      <c r="C278" t="s">
        <v>8978</v>
      </c>
      <c r="D278" t="s">
        <v>8979</v>
      </c>
      <c r="E278" t="s">
        <v>5504</v>
      </c>
      <c r="F278" t="s">
        <v>662</v>
      </c>
      <c r="G278" t="s">
        <v>8997</v>
      </c>
      <c r="H278" t="s">
        <v>9009</v>
      </c>
      <c r="I278" t="s">
        <v>9016</v>
      </c>
      <c r="J278" t="s">
        <v>8999</v>
      </c>
      <c r="K278" t="s">
        <v>8986</v>
      </c>
      <c r="L278" t="s">
        <v>3890</v>
      </c>
      <c r="M278" t="s">
        <v>8993</v>
      </c>
      <c r="N278" t="s">
        <v>8987</v>
      </c>
      <c r="O278" t="s">
        <v>9037</v>
      </c>
    </row>
    <row r="279" spans="1:15">
      <c r="A279" t="s">
        <v>4222</v>
      </c>
      <c r="B279" t="s">
        <v>8991</v>
      </c>
      <c r="C279" t="s">
        <v>8978</v>
      </c>
      <c r="D279" t="s">
        <v>8979</v>
      </c>
      <c r="E279" t="s">
        <v>5504</v>
      </c>
      <c r="F279" t="s">
        <v>662</v>
      </c>
      <c r="G279" t="s">
        <v>8980</v>
      </c>
      <c r="H279" t="s">
        <v>8981</v>
      </c>
      <c r="I279" t="s">
        <v>3874</v>
      </c>
      <c r="J279" t="s">
        <v>5492</v>
      </c>
      <c r="K279" t="s">
        <v>9000</v>
      </c>
      <c r="L279" t="s">
        <v>3890</v>
      </c>
      <c r="M279" t="s">
        <v>8993</v>
      </c>
      <c r="N279" t="s">
        <v>8987</v>
      </c>
      <c r="O279" t="s">
        <v>3883</v>
      </c>
    </row>
    <row r="280" spans="1:15">
      <c r="A280" t="s">
        <v>4223</v>
      </c>
      <c r="B280" t="s">
        <v>8991</v>
      </c>
      <c r="C280" t="s">
        <v>8978</v>
      </c>
      <c r="D280" t="s">
        <v>8979</v>
      </c>
      <c r="E280" t="s">
        <v>5504</v>
      </c>
      <c r="F280" t="s">
        <v>662</v>
      </c>
      <c r="G280" t="s">
        <v>8997</v>
      </c>
      <c r="H280" t="s">
        <v>9009</v>
      </c>
      <c r="I280" t="s">
        <v>9016</v>
      </c>
      <c r="J280" t="s">
        <v>8999</v>
      </c>
      <c r="K280" t="s">
        <v>8986</v>
      </c>
      <c r="L280" t="s">
        <v>3890</v>
      </c>
      <c r="M280" t="s">
        <v>8993</v>
      </c>
      <c r="N280" t="s">
        <v>8987</v>
      </c>
      <c r="O280" t="s">
        <v>9037</v>
      </c>
    </row>
    <row r="281" spans="1:15">
      <c r="A281" t="s">
        <v>4224</v>
      </c>
      <c r="B281" t="s">
        <v>8991</v>
      </c>
      <c r="C281" t="s">
        <v>8978</v>
      </c>
      <c r="D281" t="s">
        <v>8979</v>
      </c>
      <c r="E281" t="s">
        <v>5504</v>
      </c>
      <c r="F281" t="s">
        <v>662</v>
      </c>
      <c r="G281" t="s">
        <v>8980</v>
      </c>
      <c r="H281" t="s">
        <v>8981</v>
      </c>
      <c r="I281" t="s">
        <v>3874</v>
      </c>
      <c r="J281" t="s">
        <v>5492</v>
      </c>
      <c r="K281" t="s">
        <v>9000</v>
      </c>
      <c r="L281" t="s">
        <v>3890</v>
      </c>
      <c r="M281" t="s">
        <v>8993</v>
      </c>
      <c r="N281" t="s">
        <v>8987</v>
      </c>
      <c r="O281" t="s">
        <v>3883</v>
      </c>
    </row>
    <row r="282" spans="1:15">
      <c r="A282" t="s">
        <v>4225</v>
      </c>
      <c r="B282" t="s">
        <v>8991</v>
      </c>
      <c r="C282" t="s">
        <v>8978</v>
      </c>
      <c r="D282" t="s">
        <v>8979</v>
      </c>
      <c r="E282" t="s">
        <v>662</v>
      </c>
      <c r="F282" t="s">
        <v>662</v>
      </c>
      <c r="G282" t="s">
        <v>8997</v>
      </c>
      <c r="H282" t="s">
        <v>9009</v>
      </c>
      <c r="I282" t="s">
        <v>3883</v>
      </c>
      <c r="J282" t="s">
        <v>6949</v>
      </c>
      <c r="K282" t="s">
        <v>8986</v>
      </c>
      <c r="L282" t="s">
        <v>3890</v>
      </c>
      <c r="M282" t="s">
        <v>8993</v>
      </c>
      <c r="N282" t="s">
        <v>8987</v>
      </c>
      <c r="O282" t="s">
        <v>9187</v>
      </c>
    </row>
    <row r="283" spans="1:15">
      <c r="A283" t="s">
        <v>4227</v>
      </c>
      <c r="B283" t="s">
        <v>8991</v>
      </c>
      <c r="C283" t="s">
        <v>8978</v>
      </c>
      <c r="D283" t="s">
        <v>8979</v>
      </c>
      <c r="E283" t="s">
        <v>5504</v>
      </c>
      <c r="F283" t="s">
        <v>662</v>
      </c>
      <c r="G283" t="s">
        <v>8980</v>
      </c>
      <c r="H283" t="s">
        <v>8981</v>
      </c>
      <c r="I283" t="s">
        <v>3874</v>
      </c>
      <c r="J283" t="s">
        <v>5492</v>
      </c>
      <c r="K283" t="s">
        <v>9000</v>
      </c>
      <c r="L283" t="s">
        <v>3890</v>
      </c>
      <c r="M283" t="s">
        <v>8993</v>
      </c>
      <c r="N283" t="s">
        <v>8987</v>
      </c>
      <c r="O283" t="s">
        <v>3883</v>
      </c>
    </row>
    <row r="284" spans="1:15">
      <c r="A284" t="s">
        <v>4228</v>
      </c>
      <c r="B284" t="s">
        <v>8991</v>
      </c>
      <c r="C284" t="s">
        <v>8978</v>
      </c>
      <c r="D284" t="s">
        <v>8979</v>
      </c>
      <c r="E284" t="s">
        <v>8995</v>
      </c>
      <c r="F284" t="s">
        <v>662</v>
      </c>
      <c r="G284" t="s">
        <v>9003</v>
      </c>
      <c r="H284" t="s">
        <v>3880</v>
      </c>
      <c r="I284" t="s">
        <v>3880</v>
      </c>
      <c r="J284" t="s">
        <v>8999</v>
      </c>
      <c r="K284" t="s">
        <v>5493</v>
      </c>
      <c r="L284" t="s">
        <v>3890</v>
      </c>
      <c r="M284" t="s">
        <v>8993</v>
      </c>
      <c r="N284" t="s">
        <v>8987</v>
      </c>
      <c r="O284" t="s">
        <v>9025</v>
      </c>
    </row>
    <row r="285" spans="1:15">
      <c r="A285" t="s">
        <v>4230</v>
      </c>
      <c r="B285" t="s">
        <v>8991</v>
      </c>
      <c r="C285" t="s">
        <v>8978</v>
      </c>
      <c r="D285" t="s">
        <v>8979</v>
      </c>
      <c r="E285" t="s">
        <v>5504</v>
      </c>
      <c r="F285" t="s">
        <v>662</v>
      </c>
      <c r="G285" t="s">
        <v>8980</v>
      </c>
      <c r="H285" t="s">
        <v>8981</v>
      </c>
      <c r="I285" t="s">
        <v>3874</v>
      </c>
      <c r="J285" t="s">
        <v>5492</v>
      </c>
      <c r="K285" t="s">
        <v>9000</v>
      </c>
      <c r="L285" t="s">
        <v>3890</v>
      </c>
      <c r="M285" t="s">
        <v>8993</v>
      </c>
      <c r="N285" t="s">
        <v>8987</v>
      </c>
      <c r="O285" t="s">
        <v>3883</v>
      </c>
    </row>
    <row r="286" spans="1:15">
      <c r="A286" t="s">
        <v>4231</v>
      </c>
      <c r="B286" t="s">
        <v>8991</v>
      </c>
      <c r="C286" t="s">
        <v>9002</v>
      </c>
      <c r="D286" t="s">
        <v>5522</v>
      </c>
      <c r="E286" t="s">
        <v>662</v>
      </c>
      <c r="F286" t="s">
        <v>8629</v>
      </c>
      <c r="G286" t="s">
        <v>8980</v>
      </c>
      <c r="H286" t="s">
        <v>8981</v>
      </c>
      <c r="I286" t="s">
        <v>8977</v>
      </c>
      <c r="J286" t="s">
        <v>6949</v>
      </c>
      <c r="K286" t="s">
        <v>8986</v>
      </c>
      <c r="L286" t="s">
        <v>3890</v>
      </c>
      <c r="M286" t="s">
        <v>8993</v>
      </c>
      <c r="N286" t="s">
        <v>8987</v>
      </c>
      <c r="O286" t="s">
        <v>9016</v>
      </c>
    </row>
    <row r="287" spans="1:15">
      <c r="A287" t="s">
        <v>4232</v>
      </c>
      <c r="B287" t="s">
        <v>8991</v>
      </c>
      <c r="C287" t="s">
        <v>8978</v>
      </c>
      <c r="D287" t="s">
        <v>5530</v>
      </c>
      <c r="E287" t="s">
        <v>5530</v>
      </c>
      <c r="F287" t="s">
        <v>662</v>
      </c>
      <c r="G287" t="s">
        <v>8997</v>
      </c>
      <c r="H287" t="s">
        <v>9009</v>
      </c>
      <c r="I287" t="s">
        <v>3886</v>
      </c>
      <c r="J287" t="s">
        <v>6949</v>
      </c>
      <c r="K287" t="s">
        <v>9020</v>
      </c>
      <c r="L287" t="s">
        <v>3890</v>
      </c>
      <c r="M287" t="s">
        <v>8993</v>
      </c>
      <c r="N287" t="s">
        <v>8987</v>
      </c>
      <c r="O287" t="s">
        <v>9188</v>
      </c>
    </row>
    <row r="288" spans="1:15">
      <c r="A288" t="s">
        <v>4233</v>
      </c>
      <c r="B288" t="s">
        <v>8991</v>
      </c>
      <c r="C288" t="s">
        <v>9002</v>
      </c>
      <c r="D288" t="s">
        <v>9042</v>
      </c>
      <c r="E288" t="s">
        <v>662</v>
      </c>
      <c r="F288" t="s">
        <v>8629</v>
      </c>
      <c r="G288" t="s">
        <v>8980</v>
      </c>
      <c r="H288" t="s">
        <v>8981</v>
      </c>
      <c r="I288" t="s">
        <v>3888</v>
      </c>
      <c r="J288" t="s">
        <v>6949</v>
      </c>
      <c r="K288" t="s">
        <v>8985</v>
      </c>
      <c r="L288" t="s">
        <v>3890</v>
      </c>
      <c r="M288" t="s">
        <v>8993</v>
      </c>
      <c r="N288" t="s">
        <v>8987</v>
      </c>
      <c r="O288" t="s">
        <v>8990</v>
      </c>
    </row>
    <row r="289" spans="1:15">
      <c r="A289" t="s">
        <v>4234</v>
      </c>
      <c r="B289" t="s">
        <v>8992</v>
      </c>
      <c r="C289" t="s">
        <v>8978</v>
      </c>
      <c r="D289" t="s">
        <v>8979</v>
      </c>
      <c r="E289" t="s">
        <v>662</v>
      </c>
      <c r="F289" t="s">
        <v>662</v>
      </c>
      <c r="G289" t="s">
        <v>8997</v>
      </c>
      <c r="H289" t="s">
        <v>3874</v>
      </c>
      <c r="I289" t="s">
        <v>3886</v>
      </c>
      <c r="J289" t="s">
        <v>6949</v>
      </c>
      <c r="K289" t="s">
        <v>9020</v>
      </c>
      <c r="L289" t="s">
        <v>9016</v>
      </c>
      <c r="M289" t="s">
        <v>8988</v>
      </c>
      <c r="N289" t="s">
        <v>8990</v>
      </c>
      <c r="O289" t="s">
        <v>9189</v>
      </c>
    </row>
    <row r="290" spans="1:15">
      <c r="A290" t="s">
        <v>4236</v>
      </c>
      <c r="B290" t="s">
        <v>8992</v>
      </c>
      <c r="C290" t="s">
        <v>8978</v>
      </c>
      <c r="D290" t="s">
        <v>8979</v>
      </c>
      <c r="E290" t="s">
        <v>662</v>
      </c>
      <c r="F290" t="s">
        <v>662</v>
      </c>
      <c r="G290" t="s">
        <v>8980</v>
      </c>
      <c r="H290" t="s">
        <v>8981</v>
      </c>
      <c r="I290" t="s">
        <v>9190</v>
      </c>
      <c r="J290" t="s">
        <v>7161</v>
      </c>
      <c r="K290" t="s">
        <v>8986</v>
      </c>
      <c r="L290" t="s">
        <v>9016</v>
      </c>
      <c r="M290" t="s">
        <v>8988</v>
      </c>
      <c r="N290" t="s">
        <v>8990</v>
      </c>
      <c r="O290" t="s">
        <v>9047</v>
      </c>
    </row>
    <row r="291" spans="1:15">
      <c r="A291" t="s">
        <v>4237</v>
      </c>
      <c r="B291" t="s">
        <v>8992</v>
      </c>
      <c r="C291" t="s">
        <v>8978</v>
      </c>
      <c r="D291" t="s">
        <v>8979</v>
      </c>
      <c r="E291" t="s">
        <v>662</v>
      </c>
      <c r="F291" t="s">
        <v>662</v>
      </c>
      <c r="G291" t="s">
        <v>9003</v>
      </c>
      <c r="H291" t="s">
        <v>3883</v>
      </c>
      <c r="I291" t="s">
        <v>9191</v>
      </c>
      <c r="J291" t="s">
        <v>9192</v>
      </c>
      <c r="K291" t="s">
        <v>9028</v>
      </c>
      <c r="L291" t="s">
        <v>9016</v>
      </c>
      <c r="M291" t="s">
        <v>8988</v>
      </c>
      <c r="N291" t="s">
        <v>8990</v>
      </c>
      <c r="O291" t="s">
        <v>9193</v>
      </c>
    </row>
    <row r="292" spans="1:15">
      <c r="A292" t="s">
        <v>4239</v>
      </c>
      <c r="B292" t="s">
        <v>8992</v>
      </c>
      <c r="C292" t="s">
        <v>9002</v>
      </c>
      <c r="D292" t="s">
        <v>5522</v>
      </c>
      <c r="E292" t="s">
        <v>662</v>
      </c>
      <c r="F292" t="s">
        <v>8629</v>
      </c>
      <c r="G292" t="s">
        <v>8980</v>
      </c>
      <c r="H292" t="s">
        <v>8981</v>
      </c>
      <c r="I292" t="s">
        <v>8984</v>
      </c>
      <c r="J292" t="s">
        <v>6949</v>
      </c>
      <c r="K292" t="s">
        <v>8986</v>
      </c>
      <c r="L292" t="s">
        <v>9016</v>
      </c>
      <c r="M292" t="s">
        <v>8988</v>
      </c>
      <c r="N292" t="s">
        <v>8990</v>
      </c>
      <c r="O292" t="s">
        <v>8992</v>
      </c>
    </row>
    <row r="293" spans="1:15">
      <c r="A293" t="s">
        <v>4240</v>
      </c>
      <c r="B293" t="s">
        <v>8992</v>
      </c>
      <c r="C293" t="s">
        <v>9002</v>
      </c>
      <c r="D293" t="s">
        <v>5522</v>
      </c>
      <c r="E293" t="s">
        <v>5504</v>
      </c>
      <c r="F293" t="s">
        <v>9110</v>
      </c>
      <c r="G293" t="s">
        <v>9003</v>
      </c>
      <c r="H293" t="s">
        <v>3883</v>
      </c>
      <c r="I293" t="s">
        <v>3888</v>
      </c>
      <c r="J293" t="s">
        <v>6949</v>
      </c>
      <c r="K293" t="s">
        <v>9181</v>
      </c>
      <c r="L293" t="s">
        <v>9016</v>
      </c>
      <c r="M293" t="s">
        <v>8988</v>
      </c>
      <c r="N293" t="s">
        <v>8990</v>
      </c>
      <c r="O293" t="s">
        <v>9194</v>
      </c>
    </row>
    <row r="294" spans="1:15">
      <c r="A294" t="s">
        <v>4241</v>
      </c>
      <c r="B294" t="s">
        <v>8992</v>
      </c>
      <c r="C294" t="s">
        <v>8978</v>
      </c>
      <c r="D294" t="s">
        <v>9017</v>
      </c>
      <c r="E294" t="s">
        <v>5504</v>
      </c>
      <c r="F294" t="s">
        <v>662</v>
      </c>
      <c r="G294" t="s">
        <v>8997</v>
      </c>
      <c r="H294" t="s">
        <v>3874</v>
      </c>
      <c r="I294" t="s">
        <v>9195</v>
      </c>
      <c r="J294" t="s">
        <v>9196</v>
      </c>
      <c r="K294" t="s">
        <v>9197</v>
      </c>
      <c r="L294" t="s">
        <v>9016</v>
      </c>
      <c r="M294" t="s">
        <v>8988</v>
      </c>
      <c r="N294" t="s">
        <v>8990</v>
      </c>
      <c r="O294" t="s">
        <v>9198</v>
      </c>
    </row>
    <row r="295" spans="1:15">
      <c r="A295" t="s">
        <v>4242</v>
      </c>
      <c r="B295" t="s">
        <v>9010</v>
      </c>
      <c r="C295" t="s">
        <v>9002</v>
      </c>
      <c r="D295" t="s">
        <v>5522</v>
      </c>
      <c r="E295" t="s">
        <v>662</v>
      </c>
      <c r="F295" t="s">
        <v>8629</v>
      </c>
      <c r="G295" t="s">
        <v>8980</v>
      </c>
      <c r="H295" t="s">
        <v>8981</v>
      </c>
      <c r="I295" t="s">
        <v>3888</v>
      </c>
      <c r="J295" t="s">
        <v>6949</v>
      </c>
      <c r="K295" t="s">
        <v>8986</v>
      </c>
      <c r="L295" t="s">
        <v>8984</v>
      </c>
      <c r="M295" t="s">
        <v>9008</v>
      </c>
      <c r="N295" t="s">
        <v>9021</v>
      </c>
      <c r="O295" t="s">
        <v>8982</v>
      </c>
    </row>
    <row r="296" spans="1:15">
      <c r="A296" t="s">
        <v>4243</v>
      </c>
      <c r="B296" t="s">
        <v>9010</v>
      </c>
      <c r="C296" t="s">
        <v>8978</v>
      </c>
      <c r="D296" t="s">
        <v>9170</v>
      </c>
      <c r="E296" t="s">
        <v>8995</v>
      </c>
      <c r="F296" t="s">
        <v>662</v>
      </c>
      <c r="G296" t="s">
        <v>9003</v>
      </c>
      <c r="H296" t="s">
        <v>3886</v>
      </c>
      <c r="I296" t="s">
        <v>3880</v>
      </c>
      <c r="J296" t="s">
        <v>8999</v>
      </c>
      <c r="K296" t="s">
        <v>9028</v>
      </c>
      <c r="L296" t="s">
        <v>8984</v>
      </c>
      <c r="M296" t="s">
        <v>9008</v>
      </c>
      <c r="N296" t="s">
        <v>9021</v>
      </c>
      <c r="O296" t="s">
        <v>9035</v>
      </c>
    </row>
    <row r="297" spans="1:15">
      <c r="A297" t="s">
        <v>4245</v>
      </c>
      <c r="B297" t="s">
        <v>9010</v>
      </c>
      <c r="C297" t="s">
        <v>8978</v>
      </c>
      <c r="D297" t="s">
        <v>8979</v>
      </c>
      <c r="E297" t="s">
        <v>662</v>
      </c>
      <c r="F297" t="s">
        <v>662</v>
      </c>
      <c r="G297" t="s">
        <v>8980</v>
      </c>
      <c r="H297" t="s">
        <v>8981</v>
      </c>
      <c r="I297" t="s">
        <v>9199</v>
      </c>
      <c r="J297" t="s">
        <v>7006</v>
      </c>
      <c r="K297" t="s">
        <v>9028</v>
      </c>
      <c r="L297" t="s">
        <v>8984</v>
      </c>
      <c r="M297" t="s">
        <v>9008</v>
      </c>
      <c r="N297" t="s">
        <v>9021</v>
      </c>
      <c r="O297" t="s">
        <v>9048</v>
      </c>
    </row>
    <row r="298" spans="1:15">
      <c r="A298" t="s">
        <v>4246</v>
      </c>
      <c r="B298" t="s">
        <v>9010</v>
      </c>
      <c r="C298" t="s">
        <v>8978</v>
      </c>
      <c r="D298" t="s">
        <v>8979</v>
      </c>
      <c r="E298" t="s">
        <v>5504</v>
      </c>
      <c r="F298" t="s">
        <v>662</v>
      </c>
      <c r="G298" t="s">
        <v>9003</v>
      </c>
      <c r="H298" t="s">
        <v>3886</v>
      </c>
      <c r="I298" t="s">
        <v>8984</v>
      </c>
      <c r="J298" t="s">
        <v>9006</v>
      </c>
      <c r="K298" t="s">
        <v>9014</v>
      </c>
      <c r="L298" t="s">
        <v>8984</v>
      </c>
      <c r="M298" t="s">
        <v>9008</v>
      </c>
      <c r="N298" t="s">
        <v>9021</v>
      </c>
      <c r="O298" t="s">
        <v>9200</v>
      </c>
    </row>
    <row r="299" spans="1:15">
      <c r="A299" t="s">
        <v>4247</v>
      </c>
      <c r="B299" t="s">
        <v>9010</v>
      </c>
      <c r="C299" t="s">
        <v>8978</v>
      </c>
      <c r="D299" t="s">
        <v>8979</v>
      </c>
      <c r="E299" t="s">
        <v>662</v>
      </c>
      <c r="F299" t="s">
        <v>662</v>
      </c>
      <c r="G299" t="s">
        <v>8997</v>
      </c>
      <c r="H299" t="s">
        <v>9058</v>
      </c>
      <c r="I299" t="s">
        <v>8977</v>
      </c>
      <c r="J299" t="s">
        <v>6949</v>
      </c>
      <c r="K299" t="s">
        <v>8986</v>
      </c>
      <c r="L299" t="s">
        <v>8984</v>
      </c>
      <c r="M299" t="s">
        <v>9008</v>
      </c>
      <c r="N299" t="s">
        <v>9021</v>
      </c>
      <c r="O299" t="s">
        <v>9201</v>
      </c>
    </row>
    <row r="300" spans="1:15">
      <c r="A300" t="s">
        <v>4248</v>
      </c>
      <c r="B300" t="s">
        <v>9010</v>
      </c>
      <c r="C300" t="s">
        <v>8978</v>
      </c>
      <c r="D300" t="s">
        <v>5530</v>
      </c>
      <c r="E300" t="s">
        <v>5530</v>
      </c>
      <c r="F300" t="s">
        <v>662</v>
      </c>
      <c r="G300" t="s">
        <v>8997</v>
      </c>
      <c r="H300" t="s">
        <v>9058</v>
      </c>
      <c r="I300" t="s">
        <v>8984</v>
      </c>
      <c r="J300" t="s">
        <v>8999</v>
      </c>
      <c r="K300" t="s">
        <v>8986</v>
      </c>
      <c r="L300" t="s">
        <v>8984</v>
      </c>
      <c r="M300" t="s">
        <v>9008</v>
      </c>
      <c r="N300" t="s">
        <v>9021</v>
      </c>
      <c r="O300" t="s">
        <v>9202</v>
      </c>
    </row>
    <row r="301" spans="1:15">
      <c r="A301" t="s">
        <v>4249</v>
      </c>
      <c r="B301" t="s">
        <v>9010</v>
      </c>
      <c r="C301" t="s">
        <v>8978</v>
      </c>
      <c r="D301" t="s">
        <v>9017</v>
      </c>
      <c r="E301" t="s">
        <v>5504</v>
      </c>
      <c r="F301" t="s">
        <v>662</v>
      </c>
      <c r="G301" t="s">
        <v>8997</v>
      </c>
      <c r="H301" t="s">
        <v>9058</v>
      </c>
      <c r="I301" t="s">
        <v>9203</v>
      </c>
      <c r="J301" t="s">
        <v>9114</v>
      </c>
      <c r="K301" t="s">
        <v>8985</v>
      </c>
      <c r="L301" t="s">
        <v>8984</v>
      </c>
      <c r="M301" t="s">
        <v>9008</v>
      </c>
      <c r="N301" t="s">
        <v>9021</v>
      </c>
      <c r="O301" t="s">
        <v>9204</v>
      </c>
    </row>
    <row r="302" spans="1:15">
      <c r="A302" t="s">
        <v>4251</v>
      </c>
      <c r="B302" t="s">
        <v>9035</v>
      </c>
      <c r="C302" t="s">
        <v>8978</v>
      </c>
      <c r="D302" t="s">
        <v>8979</v>
      </c>
      <c r="E302" t="s">
        <v>662</v>
      </c>
      <c r="F302" t="s">
        <v>662</v>
      </c>
      <c r="G302" t="s">
        <v>8980</v>
      </c>
      <c r="H302" t="s">
        <v>8981</v>
      </c>
      <c r="I302" t="s">
        <v>9205</v>
      </c>
      <c r="J302" t="s">
        <v>7006</v>
      </c>
      <c r="K302" t="s">
        <v>9014</v>
      </c>
      <c r="L302" t="s">
        <v>8462</v>
      </c>
      <c r="M302" t="s">
        <v>9019</v>
      </c>
      <c r="N302" t="s">
        <v>8982</v>
      </c>
      <c r="O302" t="s">
        <v>9082</v>
      </c>
    </row>
    <row r="303" spans="1:15">
      <c r="A303" t="s">
        <v>4252</v>
      </c>
      <c r="B303" t="s">
        <v>9035</v>
      </c>
      <c r="C303" t="s">
        <v>9002</v>
      </c>
      <c r="D303" t="s">
        <v>5522</v>
      </c>
      <c r="E303" t="s">
        <v>662</v>
      </c>
      <c r="F303" t="s">
        <v>8629</v>
      </c>
      <c r="G303" t="s">
        <v>8980</v>
      </c>
      <c r="H303" t="s">
        <v>8981</v>
      </c>
      <c r="I303" t="s">
        <v>3888</v>
      </c>
      <c r="J303" t="s">
        <v>6949</v>
      </c>
      <c r="K303" t="s">
        <v>8986</v>
      </c>
      <c r="L303" t="s">
        <v>8462</v>
      </c>
      <c r="M303" t="s">
        <v>9019</v>
      </c>
      <c r="N303" t="s">
        <v>8982</v>
      </c>
      <c r="O303" t="s">
        <v>8982</v>
      </c>
    </row>
    <row r="304" spans="1:15">
      <c r="A304" t="s">
        <v>4253</v>
      </c>
      <c r="B304" t="s">
        <v>9035</v>
      </c>
      <c r="C304" t="s">
        <v>8978</v>
      </c>
      <c r="D304" t="s">
        <v>5530</v>
      </c>
      <c r="E304" t="s">
        <v>5530</v>
      </c>
      <c r="F304" t="s">
        <v>662</v>
      </c>
      <c r="G304" t="s">
        <v>8980</v>
      </c>
      <c r="H304" t="s">
        <v>8981</v>
      </c>
      <c r="I304" t="s">
        <v>8984</v>
      </c>
      <c r="J304" t="s">
        <v>6949</v>
      </c>
      <c r="K304" t="s">
        <v>8985</v>
      </c>
      <c r="L304" t="s">
        <v>3890</v>
      </c>
      <c r="M304" t="s">
        <v>8993</v>
      </c>
      <c r="N304" t="s">
        <v>8987</v>
      </c>
      <c r="O304" t="s">
        <v>9039</v>
      </c>
    </row>
    <row r="305" spans="1:15">
      <c r="A305" t="s">
        <v>4254</v>
      </c>
      <c r="B305" t="s">
        <v>8990</v>
      </c>
      <c r="C305" t="s">
        <v>8978</v>
      </c>
      <c r="D305" t="s">
        <v>8979</v>
      </c>
      <c r="E305" t="s">
        <v>662</v>
      </c>
      <c r="F305" t="s">
        <v>662</v>
      </c>
      <c r="G305" t="s">
        <v>8980</v>
      </c>
      <c r="H305" t="s">
        <v>8981</v>
      </c>
      <c r="I305" t="s">
        <v>9125</v>
      </c>
      <c r="J305" t="s">
        <v>7006</v>
      </c>
      <c r="K305" t="s">
        <v>9014</v>
      </c>
      <c r="L305" t="s">
        <v>9025</v>
      </c>
      <c r="M305" t="s">
        <v>9010</v>
      </c>
      <c r="N305" t="s">
        <v>9026</v>
      </c>
      <c r="O305" t="s">
        <v>9082</v>
      </c>
    </row>
    <row r="306" spans="1:15">
      <c r="A306" t="s">
        <v>4255</v>
      </c>
      <c r="B306" t="s">
        <v>8990</v>
      </c>
      <c r="C306" t="s">
        <v>8978</v>
      </c>
      <c r="D306" t="s">
        <v>9017</v>
      </c>
      <c r="E306" t="s">
        <v>5504</v>
      </c>
      <c r="F306" t="s">
        <v>662</v>
      </c>
      <c r="G306" t="s">
        <v>8997</v>
      </c>
      <c r="H306" t="s">
        <v>9133</v>
      </c>
      <c r="I306" t="s">
        <v>9048</v>
      </c>
      <c r="J306" t="s">
        <v>9206</v>
      </c>
      <c r="K306" t="s">
        <v>8986</v>
      </c>
      <c r="L306" t="s">
        <v>9025</v>
      </c>
      <c r="M306" t="s">
        <v>9010</v>
      </c>
      <c r="N306" t="s">
        <v>9026</v>
      </c>
      <c r="O306" t="s">
        <v>9207</v>
      </c>
    </row>
    <row r="307" spans="1:15">
      <c r="A307" t="s">
        <v>4257</v>
      </c>
      <c r="B307" t="s">
        <v>8990</v>
      </c>
      <c r="C307" t="s">
        <v>9002</v>
      </c>
      <c r="D307" t="s">
        <v>5522</v>
      </c>
      <c r="E307" t="s">
        <v>662</v>
      </c>
      <c r="F307" t="s">
        <v>8629</v>
      </c>
      <c r="G307" t="s">
        <v>8980</v>
      </c>
      <c r="H307" t="s">
        <v>8981</v>
      </c>
      <c r="I307" t="s">
        <v>8984</v>
      </c>
      <c r="J307" t="s">
        <v>6949</v>
      </c>
      <c r="K307" t="s">
        <v>8985</v>
      </c>
      <c r="L307" t="s">
        <v>9025</v>
      </c>
      <c r="M307" t="s">
        <v>9010</v>
      </c>
      <c r="N307" t="s">
        <v>9026</v>
      </c>
      <c r="O307" t="s">
        <v>8982</v>
      </c>
    </row>
    <row r="308" spans="1:15">
      <c r="A308" t="s">
        <v>4258</v>
      </c>
      <c r="B308" t="s">
        <v>8990</v>
      </c>
      <c r="C308" t="s">
        <v>8978</v>
      </c>
      <c r="D308" t="s">
        <v>5530</v>
      </c>
      <c r="E308" t="s">
        <v>5530</v>
      </c>
      <c r="F308" t="s">
        <v>662</v>
      </c>
      <c r="G308" t="s">
        <v>8997</v>
      </c>
      <c r="H308" t="s">
        <v>9133</v>
      </c>
      <c r="I308" t="s">
        <v>8977</v>
      </c>
      <c r="J308" t="s">
        <v>8999</v>
      </c>
      <c r="K308" t="s">
        <v>9014</v>
      </c>
      <c r="L308" t="s">
        <v>9025</v>
      </c>
      <c r="M308" t="s">
        <v>9010</v>
      </c>
      <c r="N308" t="s">
        <v>9026</v>
      </c>
      <c r="O308" t="s">
        <v>8982</v>
      </c>
    </row>
    <row r="309" spans="1:15">
      <c r="A309" t="s">
        <v>4259</v>
      </c>
      <c r="B309" t="s">
        <v>8990</v>
      </c>
      <c r="C309" t="s">
        <v>9002</v>
      </c>
      <c r="D309" t="s">
        <v>9017</v>
      </c>
      <c r="E309" t="s">
        <v>662</v>
      </c>
      <c r="F309" t="s">
        <v>8629</v>
      </c>
      <c r="G309" t="s">
        <v>8980</v>
      </c>
      <c r="H309" t="s">
        <v>8981</v>
      </c>
      <c r="I309" t="s">
        <v>8984</v>
      </c>
      <c r="J309" t="s">
        <v>6949</v>
      </c>
      <c r="K309" t="s">
        <v>9028</v>
      </c>
      <c r="L309" t="s">
        <v>9025</v>
      </c>
      <c r="M309" t="s">
        <v>9010</v>
      </c>
      <c r="N309" t="s">
        <v>9026</v>
      </c>
      <c r="O309" t="s">
        <v>9010</v>
      </c>
    </row>
    <row r="310" spans="1:15">
      <c r="A310" t="s">
        <v>4260</v>
      </c>
      <c r="B310" t="s">
        <v>8977</v>
      </c>
      <c r="C310" t="s">
        <v>8978</v>
      </c>
      <c r="D310" t="s">
        <v>8994</v>
      </c>
      <c r="E310" t="s">
        <v>8995</v>
      </c>
      <c r="F310" t="s">
        <v>8996</v>
      </c>
      <c r="G310" t="s">
        <v>8997</v>
      </c>
      <c r="H310" t="s">
        <v>8998</v>
      </c>
      <c r="I310" t="s">
        <v>3888</v>
      </c>
      <c r="J310" t="s">
        <v>9006</v>
      </c>
      <c r="K310" t="s">
        <v>8985</v>
      </c>
      <c r="L310" t="s">
        <v>3874</v>
      </c>
      <c r="M310" t="s">
        <v>3888</v>
      </c>
      <c r="N310" t="s">
        <v>8977</v>
      </c>
      <c r="O310" t="s">
        <v>9107</v>
      </c>
    </row>
    <row r="311" spans="1:15">
      <c r="A311" t="s">
        <v>4262</v>
      </c>
      <c r="B311" t="s">
        <v>8462</v>
      </c>
      <c r="C311" t="s">
        <v>8978</v>
      </c>
      <c r="D311" t="s">
        <v>5530</v>
      </c>
      <c r="E311" t="s">
        <v>5530</v>
      </c>
      <c r="F311" t="s">
        <v>662</v>
      </c>
      <c r="G311" t="s">
        <v>8997</v>
      </c>
      <c r="H311" t="s">
        <v>8998</v>
      </c>
      <c r="I311" t="s">
        <v>3874</v>
      </c>
      <c r="J311" t="s">
        <v>5492</v>
      </c>
      <c r="K311" t="s">
        <v>9000</v>
      </c>
      <c r="L311" t="s">
        <v>3874</v>
      </c>
      <c r="M311" t="s">
        <v>3888</v>
      </c>
      <c r="N311" t="s">
        <v>8977</v>
      </c>
      <c r="O311" t="s">
        <v>3888</v>
      </c>
    </row>
    <row r="312" spans="1:15">
      <c r="A312" t="s">
        <v>4263</v>
      </c>
      <c r="B312" t="s">
        <v>9025</v>
      </c>
      <c r="C312" t="s">
        <v>9064</v>
      </c>
      <c r="D312" t="s">
        <v>5522</v>
      </c>
      <c r="E312" t="s">
        <v>662</v>
      </c>
      <c r="F312" t="s">
        <v>9065</v>
      </c>
      <c r="G312" t="s">
        <v>8980</v>
      </c>
      <c r="H312" t="s">
        <v>8981</v>
      </c>
      <c r="I312" t="s">
        <v>3888</v>
      </c>
      <c r="J312" t="s">
        <v>5492</v>
      </c>
      <c r="K312" t="s">
        <v>5493</v>
      </c>
      <c r="L312" t="s">
        <v>3874</v>
      </c>
      <c r="M312" t="s">
        <v>3888</v>
      </c>
      <c r="N312" t="s">
        <v>8977</v>
      </c>
      <c r="O312" t="s">
        <v>3883</v>
      </c>
    </row>
    <row r="313" spans="1:15">
      <c r="A313" t="s">
        <v>4264</v>
      </c>
      <c r="B313" t="s">
        <v>8977</v>
      </c>
      <c r="C313" t="s">
        <v>8978</v>
      </c>
      <c r="D313" t="s">
        <v>9069</v>
      </c>
      <c r="E313" t="s">
        <v>5530</v>
      </c>
      <c r="F313" t="s">
        <v>9005</v>
      </c>
      <c r="G313" t="s">
        <v>8997</v>
      </c>
      <c r="H313" t="s">
        <v>3868</v>
      </c>
      <c r="I313" t="s">
        <v>3888</v>
      </c>
      <c r="J313" t="s">
        <v>5492</v>
      </c>
      <c r="K313" t="s">
        <v>9000</v>
      </c>
      <c r="L313" t="s">
        <v>3883</v>
      </c>
      <c r="M313" t="s">
        <v>8984</v>
      </c>
      <c r="N313" t="s">
        <v>8991</v>
      </c>
      <c r="O313" t="s">
        <v>9108</v>
      </c>
    </row>
    <row r="314" spans="1:15">
      <c r="A314" t="s">
        <v>4265</v>
      </c>
      <c r="B314" t="s">
        <v>8989</v>
      </c>
      <c r="C314" t="s">
        <v>9002</v>
      </c>
      <c r="D314" t="s">
        <v>9109</v>
      </c>
      <c r="E314" t="s">
        <v>8995</v>
      </c>
      <c r="F314" t="s">
        <v>9110</v>
      </c>
      <c r="G314" t="s">
        <v>8997</v>
      </c>
      <c r="H314" t="s">
        <v>3868</v>
      </c>
      <c r="I314" t="s">
        <v>3888</v>
      </c>
      <c r="J314" t="s">
        <v>5492</v>
      </c>
      <c r="K314" t="s">
        <v>9111</v>
      </c>
      <c r="L314" t="s">
        <v>3883</v>
      </c>
      <c r="M314" t="s">
        <v>8984</v>
      </c>
      <c r="N314" t="s">
        <v>8991</v>
      </c>
      <c r="O314" t="s">
        <v>9112</v>
      </c>
    </row>
    <row r="315" spans="1:15">
      <c r="A315" t="s">
        <v>4266</v>
      </c>
      <c r="B315" t="s">
        <v>8993</v>
      </c>
      <c r="C315" t="s">
        <v>9066</v>
      </c>
      <c r="D315" t="s">
        <v>5490</v>
      </c>
      <c r="E315" t="s">
        <v>662</v>
      </c>
      <c r="F315" t="s">
        <v>9067</v>
      </c>
      <c r="G315" t="s">
        <v>8980</v>
      </c>
      <c r="H315" t="s">
        <v>8981</v>
      </c>
      <c r="I315" t="s">
        <v>3888</v>
      </c>
      <c r="J315" t="s">
        <v>5492</v>
      </c>
      <c r="K315" t="s">
        <v>5493</v>
      </c>
      <c r="L315" t="s">
        <v>3883</v>
      </c>
      <c r="M315" t="s">
        <v>8984</v>
      </c>
      <c r="N315" t="s">
        <v>8991</v>
      </c>
      <c r="O315" t="s">
        <v>3888</v>
      </c>
    </row>
    <row r="316" spans="1:15">
      <c r="A316" t="s">
        <v>4267</v>
      </c>
      <c r="B316" t="s">
        <v>8991</v>
      </c>
      <c r="C316" t="s">
        <v>8978</v>
      </c>
      <c r="D316" t="s">
        <v>8979</v>
      </c>
      <c r="E316" t="s">
        <v>5504</v>
      </c>
      <c r="F316" t="s">
        <v>662</v>
      </c>
      <c r="G316" t="s">
        <v>8997</v>
      </c>
      <c r="H316" t="s">
        <v>9009</v>
      </c>
      <c r="I316" t="s">
        <v>9016</v>
      </c>
      <c r="J316" t="s">
        <v>8999</v>
      </c>
      <c r="K316" t="s">
        <v>8986</v>
      </c>
      <c r="L316" t="s">
        <v>3890</v>
      </c>
      <c r="M316" t="s">
        <v>8993</v>
      </c>
      <c r="N316" t="s">
        <v>8987</v>
      </c>
      <c r="O316" t="s">
        <v>9037</v>
      </c>
    </row>
    <row r="317" spans="1:15">
      <c r="A317" t="s">
        <v>4268</v>
      </c>
      <c r="B317" t="s">
        <v>8991</v>
      </c>
      <c r="C317" t="s">
        <v>8978</v>
      </c>
      <c r="D317" t="s">
        <v>8979</v>
      </c>
      <c r="E317" t="s">
        <v>5504</v>
      </c>
      <c r="F317" t="s">
        <v>662</v>
      </c>
      <c r="G317" t="s">
        <v>8980</v>
      </c>
      <c r="H317" t="s">
        <v>8981</v>
      </c>
      <c r="I317" t="s">
        <v>3880</v>
      </c>
      <c r="J317" t="s">
        <v>5492</v>
      </c>
      <c r="K317" t="s">
        <v>9000</v>
      </c>
      <c r="L317" t="s">
        <v>3890</v>
      </c>
      <c r="M317" t="s">
        <v>8993</v>
      </c>
      <c r="N317" t="s">
        <v>8987</v>
      </c>
      <c r="O317" t="s">
        <v>3883</v>
      </c>
    </row>
    <row r="318" spans="1:15">
      <c r="A318" t="s">
        <v>4270</v>
      </c>
      <c r="B318" t="s">
        <v>8988</v>
      </c>
      <c r="C318" t="s">
        <v>9002</v>
      </c>
      <c r="D318" t="s">
        <v>9012</v>
      </c>
      <c r="E318" t="s">
        <v>662</v>
      </c>
      <c r="F318" t="s">
        <v>8629</v>
      </c>
      <c r="G318" t="s">
        <v>9003</v>
      </c>
      <c r="H318" t="s">
        <v>3880</v>
      </c>
      <c r="I318" t="s">
        <v>3888</v>
      </c>
      <c r="J318" t="s">
        <v>5492</v>
      </c>
      <c r="K318" t="s">
        <v>5493</v>
      </c>
      <c r="L318" t="s">
        <v>3890</v>
      </c>
      <c r="M318" t="s">
        <v>8993</v>
      </c>
      <c r="N318" t="s">
        <v>8987</v>
      </c>
      <c r="O318" t="s">
        <v>3888</v>
      </c>
    </row>
    <row r="319" spans="1:15">
      <c r="A319" t="s">
        <v>4271</v>
      </c>
      <c r="B319" t="s">
        <v>8989</v>
      </c>
      <c r="C319" t="s">
        <v>8978</v>
      </c>
      <c r="D319" t="s">
        <v>5530</v>
      </c>
      <c r="E319" t="s">
        <v>5530</v>
      </c>
      <c r="F319" t="s">
        <v>662</v>
      </c>
      <c r="G319" t="s">
        <v>8997</v>
      </c>
      <c r="H319" t="s">
        <v>9009</v>
      </c>
      <c r="I319" t="s">
        <v>3874</v>
      </c>
      <c r="J319" t="s">
        <v>5492</v>
      </c>
      <c r="K319" t="s">
        <v>9000</v>
      </c>
      <c r="L319" t="s">
        <v>3890</v>
      </c>
      <c r="M319" t="s">
        <v>8993</v>
      </c>
      <c r="N319" t="s">
        <v>8987</v>
      </c>
      <c r="O319" t="s">
        <v>8992</v>
      </c>
    </row>
    <row r="320" spans="1:15">
      <c r="A320" t="s">
        <v>4272</v>
      </c>
      <c r="B320" t="s">
        <v>8991</v>
      </c>
      <c r="C320" t="s">
        <v>9064</v>
      </c>
      <c r="D320" t="s">
        <v>5522</v>
      </c>
      <c r="E320" t="s">
        <v>662</v>
      </c>
      <c r="F320" t="s">
        <v>9065</v>
      </c>
      <c r="G320" t="s">
        <v>8980</v>
      </c>
      <c r="H320" t="s">
        <v>8981</v>
      </c>
      <c r="I320" t="s">
        <v>8984</v>
      </c>
      <c r="J320" t="s">
        <v>5492</v>
      </c>
      <c r="K320" t="s">
        <v>5493</v>
      </c>
      <c r="L320" t="s">
        <v>3890</v>
      </c>
      <c r="M320" t="s">
        <v>8993</v>
      </c>
      <c r="N320" t="s">
        <v>8987</v>
      </c>
      <c r="O320" t="s">
        <v>9113</v>
      </c>
    </row>
    <row r="321" spans="1:15">
      <c r="A321" t="s">
        <v>4273</v>
      </c>
      <c r="B321" t="s">
        <v>8991</v>
      </c>
      <c r="C321" t="s">
        <v>8978</v>
      </c>
      <c r="D321" t="s">
        <v>8994</v>
      </c>
      <c r="E321" t="s">
        <v>8995</v>
      </c>
      <c r="F321" t="s">
        <v>8996</v>
      </c>
      <c r="G321" t="s">
        <v>8997</v>
      </c>
      <c r="H321" t="s">
        <v>3874</v>
      </c>
      <c r="I321" t="s">
        <v>3888</v>
      </c>
      <c r="J321" t="s">
        <v>9114</v>
      </c>
      <c r="K321" t="s">
        <v>8985</v>
      </c>
      <c r="L321" t="s">
        <v>9016</v>
      </c>
      <c r="M321" t="s">
        <v>8988</v>
      </c>
      <c r="N321" t="s">
        <v>8990</v>
      </c>
      <c r="O321" t="s">
        <v>9115</v>
      </c>
    </row>
    <row r="322" spans="1:15">
      <c r="A322" t="s">
        <v>4274</v>
      </c>
      <c r="B322" t="s">
        <v>9008</v>
      </c>
      <c r="C322" t="s">
        <v>9064</v>
      </c>
      <c r="D322" t="s">
        <v>5490</v>
      </c>
      <c r="E322" t="s">
        <v>662</v>
      </c>
      <c r="F322" t="s">
        <v>9065</v>
      </c>
      <c r="G322" t="s">
        <v>8980</v>
      </c>
      <c r="H322" t="s">
        <v>8981</v>
      </c>
      <c r="I322" t="s">
        <v>3888</v>
      </c>
      <c r="J322" t="s">
        <v>5492</v>
      </c>
      <c r="K322" t="s">
        <v>5493</v>
      </c>
      <c r="L322" t="s">
        <v>9016</v>
      </c>
      <c r="M322" t="s">
        <v>8988</v>
      </c>
      <c r="N322" t="s">
        <v>8990</v>
      </c>
      <c r="O322" t="s">
        <v>8977</v>
      </c>
    </row>
    <row r="323" spans="1:15">
      <c r="A323" t="s">
        <v>4275</v>
      </c>
      <c r="B323" t="s">
        <v>8992</v>
      </c>
      <c r="C323" t="s">
        <v>9066</v>
      </c>
      <c r="D323" t="s">
        <v>5490</v>
      </c>
      <c r="E323" t="s">
        <v>662</v>
      </c>
      <c r="F323" t="s">
        <v>9067</v>
      </c>
      <c r="G323" t="s">
        <v>8980</v>
      </c>
      <c r="H323" t="s">
        <v>8981</v>
      </c>
      <c r="I323" t="s">
        <v>8984</v>
      </c>
      <c r="J323" t="s">
        <v>5492</v>
      </c>
      <c r="K323" t="s">
        <v>5493</v>
      </c>
      <c r="L323" t="s">
        <v>9016</v>
      </c>
      <c r="M323" t="s">
        <v>8988</v>
      </c>
      <c r="N323" t="s">
        <v>8990</v>
      </c>
      <c r="O323" t="s">
        <v>9068</v>
      </c>
    </row>
    <row r="324" spans="1:15">
      <c r="A324" t="s">
        <v>4276</v>
      </c>
      <c r="B324" t="s">
        <v>8992</v>
      </c>
      <c r="C324" t="s">
        <v>8978</v>
      </c>
      <c r="D324" t="s">
        <v>9069</v>
      </c>
      <c r="E324" t="s">
        <v>5530</v>
      </c>
      <c r="F324" t="s">
        <v>9005</v>
      </c>
      <c r="G324" t="s">
        <v>8997</v>
      </c>
      <c r="H324" t="s">
        <v>9058</v>
      </c>
      <c r="I324" t="s">
        <v>3888</v>
      </c>
      <c r="J324" t="s">
        <v>5492</v>
      </c>
      <c r="K324" t="s">
        <v>9000</v>
      </c>
      <c r="L324" t="s">
        <v>8984</v>
      </c>
      <c r="M324" t="s">
        <v>9008</v>
      </c>
      <c r="N324" t="s">
        <v>9021</v>
      </c>
      <c r="O324" t="s">
        <v>9070</v>
      </c>
    </row>
    <row r="325" spans="1:15">
      <c r="A325" t="s">
        <v>4277</v>
      </c>
      <c r="B325" t="s">
        <v>9010</v>
      </c>
      <c r="C325" t="s">
        <v>8978</v>
      </c>
      <c r="D325" t="s">
        <v>9071</v>
      </c>
      <c r="E325" t="s">
        <v>5530</v>
      </c>
      <c r="F325" t="s">
        <v>9005</v>
      </c>
      <c r="G325" t="s">
        <v>8980</v>
      </c>
      <c r="H325" t="s">
        <v>8981</v>
      </c>
      <c r="I325" t="s">
        <v>8984</v>
      </c>
      <c r="J325" t="s">
        <v>5492</v>
      </c>
      <c r="K325" t="s">
        <v>5493</v>
      </c>
      <c r="L325" t="s">
        <v>8984</v>
      </c>
      <c r="M325" t="s">
        <v>9008</v>
      </c>
      <c r="N325" t="s">
        <v>9021</v>
      </c>
      <c r="O325" t="s">
        <v>9072</v>
      </c>
    </row>
    <row r="326" spans="1:15">
      <c r="A326" t="s">
        <v>4278</v>
      </c>
      <c r="B326" t="s">
        <v>9019</v>
      </c>
      <c r="C326" t="s">
        <v>9066</v>
      </c>
      <c r="D326" t="s">
        <v>9116</v>
      </c>
      <c r="E326" t="s">
        <v>662</v>
      </c>
      <c r="F326" t="s">
        <v>9067</v>
      </c>
      <c r="G326" t="s">
        <v>8980</v>
      </c>
      <c r="H326" t="s">
        <v>8981</v>
      </c>
      <c r="I326" t="s">
        <v>3888</v>
      </c>
      <c r="J326" t="s">
        <v>5492</v>
      </c>
      <c r="K326" t="s">
        <v>5493</v>
      </c>
      <c r="L326" t="s">
        <v>8984</v>
      </c>
      <c r="M326" t="s">
        <v>9008</v>
      </c>
      <c r="N326" t="s">
        <v>9021</v>
      </c>
      <c r="O326" t="s">
        <v>8991</v>
      </c>
    </row>
    <row r="327" spans="1:15">
      <c r="A327" t="s">
        <v>4279</v>
      </c>
      <c r="B327" t="s">
        <v>9010</v>
      </c>
      <c r="C327" t="s">
        <v>9002</v>
      </c>
      <c r="D327" t="s">
        <v>9117</v>
      </c>
      <c r="E327" t="s">
        <v>8995</v>
      </c>
      <c r="F327" t="s">
        <v>9110</v>
      </c>
      <c r="G327" t="s">
        <v>8997</v>
      </c>
      <c r="H327" t="s">
        <v>3880</v>
      </c>
      <c r="I327" t="s">
        <v>3888</v>
      </c>
      <c r="J327" t="s">
        <v>5492</v>
      </c>
      <c r="K327" t="s">
        <v>5493</v>
      </c>
      <c r="L327" t="s">
        <v>8462</v>
      </c>
      <c r="M327" t="s">
        <v>9019</v>
      </c>
      <c r="N327" t="s">
        <v>8982</v>
      </c>
      <c r="O327" t="s">
        <v>9118</v>
      </c>
    </row>
    <row r="328" spans="1:15">
      <c r="A328" t="s">
        <v>4280</v>
      </c>
      <c r="B328" t="s">
        <v>8987</v>
      </c>
      <c r="C328" t="s">
        <v>9002</v>
      </c>
      <c r="D328" t="s">
        <v>9119</v>
      </c>
      <c r="E328" t="s">
        <v>662</v>
      </c>
      <c r="F328" t="s">
        <v>8629</v>
      </c>
      <c r="G328" t="s">
        <v>9003</v>
      </c>
      <c r="H328" t="s">
        <v>3888</v>
      </c>
      <c r="I328" t="s">
        <v>3888</v>
      </c>
      <c r="J328" t="s">
        <v>5492</v>
      </c>
      <c r="K328" t="s">
        <v>5493</v>
      </c>
      <c r="L328" t="s">
        <v>8462</v>
      </c>
      <c r="M328" t="s">
        <v>9019</v>
      </c>
      <c r="N328" t="s">
        <v>8982</v>
      </c>
      <c r="O328" t="s">
        <v>8991</v>
      </c>
    </row>
    <row r="329" spans="1:15">
      <c r="A329" t="s">
        <v>4281</v>
      </c>
      <c r="B329" t="s">
        <v>9035</v>
      </c>
      <c r="C329" t="s">
        <v>9064</v>
      </c>
      <c r="D329" t="s">
        <v>5490</v>
      </c>
      <c r="E329" t="s">
        <v>662</v>
      </c>
      <c r="F329" t="s">
        <v>9065</v>
      </c>
      <c r="G329" t="s">
        <v>8980</v>
      </c>
      <c r="H329" t="s">
        <v>8981</v>
      </c>
      <c r="I329" t="s">
        <v>3888</v>
      </c>
      <c r="J329" t="s">
        <v>5492</v>
      </c>
      <c r="K329" t="s">
        <v>5493</v>
      </c>
      <c r="L329" t="s">
        <v>8462</v>
      </c>
      <c r="M329" t="s">
        <v>9019</v>
      </c>
      <c r="N329" t="s">
        <v>8982</v>
      </c>
      <c r="O329" t="s">
        <v>9073</v>
      </c>
    </row>
    <row r="330" spans="1:15">
      <c r="A330" t="s">
        <v>4282</v>
      </c>
      <c r="B330" t="s">
        <v>8990</v>
      </c>
      <c r="C330" t="s">
        <v>8978</v>
      </c>
      <c r="D330" t="s">
        <v>9071</v>
      </c>
      <c r="E330" t="s">
        <v>5530</v>
      </c>
      <c r="F330" t="s">
        <v>9005</v>
      </c>
      <c r="G330" t="s">
        <v>8980</v>
      </c>
      <c r="H330" t="s">
        <v>8981</v>
      </c>
      <c r="I330" t="s">
        <v>8984</v>
      </c>
      <c r="J330" t="s">
        <v>5492</v>
      </c>
      <c r="K330" t="s">
        <v>5493</v>
      </c>
      <c r="L330" t="s">
        <v>9025</v>
      </c>
      <c r="M330" t="s">
        <v>9010</v>
      </c>
      <c r="N330" t="s">
        <v>9026</v>
      </c>
      <c r="O330" t="s">
        <v>9074</v>
      </c>
    </row>
    <row r="331" spans="1:15">
      <c r="A331" t="s">
        <v>4283</v>
      </c>
      <c r="B331" t="s">
        <v>9044</v>
      </c>
      <c r="C331" t="s">
        <v>9066</v>
      </c>
      <c r="D331" t="s">
        <v>9116</v>
      </c>
      <c r="E331" t="s">
        <v>662</v>
      </c>
      <c r="F331" t="s">
        <v>9067</v>
      </c>
      <c r="G331" t="s">
        <v>8980</v>
      </c>
      <c r="H331" t="s">
        <v>8981</v>
      </c>
      <c r="I331" t="s">
        <v>8984</v>
      </c>
      <c r="J331" t="s">
        <v>5492</v>
      </c>
      <c r="K331" t="s">
        <v>5493</v>
      </c>
      <c r="L331" t="s">
        <v>9025</v>
      </c>
      <c r="M331" t="s">
        <v>9010</v>
      </c>
      <c r="N331" t="s">
        <v>9026</v>
      </c>
      <c r="O331" t="s">
        <v>9120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D11"/>
  <sheetViews>
    <sheetView workbookViewId="0"/>
  </sheetViews>
  <sheetFormatPr baseColWidth="10" defaultColWidth="9.140625" defaultRowHeight="15"/>
  <cols>
    <col min="1" max="1" width="11.28515625" style="48" customWidth="1"/>
    <col min="2" max="2" width="12.42578125" style="48" customWidth="1"/>
    <col min="3" max="4" width="2.42578125" style="48" customWidth="1"/>
  </cols>
  <sheetData>
    <row r="1" spans="1:4">
      <c r="A1" t="s">
        <v>9208</v>
      </c>
      <c r="B1" t="s">
        <v>9209</v>
      </c>
      <c r="C1" t="s">
        <v>7350</v>
      </c>
      <c r="D1" t="s">
        <v>359</v>
      </c>
    </row>
    <row r="2" spans="1:4">
      <c r="A2">
        <v>1</v>
      </c>
      <c r="B2" t="s">
        <v>5486</v>
      </c>
      <c r="C2">
        <v>2</v>
      </c>
      <c r="D2">
        <v>3</v>
      </c>
    </row>
    <row r="3" spans="1:4">
      <c r="A3">
        <v>2</v>
      </c>
      <c r="B3" t="s">
        <v>5496</v>
      </c>
      <c r="C3">
        <v>2</v>
      </c>
      <c r="D3">
        <v>3</v>
      </c>
    </row>
    <row r="4" spans="1:4">
      <c r="A4">
        <v>3</v>
      </c>
      <c r="B4" t="s">
        <v>5497</v>
      </c>
      <c r="C4">
        <v>2</v>
      </c>
      <c r="D4">
        <v>3</v>
      </c>
    </row>
    <row r="5" spans="1:4">
      <c r="A5">
        <v>4</v>
      </c>
      <c r="B5" t="s">
        <v>5498</v>
      </c>
      <c r="C5">
        <v>2</v>
      </c>
      <c r="D5">
        <v>3</v>
      </c>
    </row>
    <row r="6" spans="1:4">
      <c r="A6">
        <v>5</v>
      </c>
      <c r="B6" t="s">
        <v>5499</v>
      </c>
      <c r="C6">
        <v>3</v>
      </c>
      <c r="D6">
        <v>4</v>
      </c>
    </row>
    <row r="7" spans="1:4">
      <c r="A7">
        <v>6</v>
      </c>
      <c r="B7" t="s">
        <v>7385</v>
      </c>
      <c r="C7">
        <v>4</v>
      </c>
      <c r="D7">
        <v>7</v>
      </c>
    </row>
    <row r="8" spans="1:4">
      <c r="A8">
        <v>7</v>
      </c>
      <c r="B8" t="s">
        <v>5500</v>
      </c>
      <c r="C8">
        <v>8</v>
      </c>
      <c r="D8">
        <v>13</v>
      </c>
    </row>
    <row r="9" spans="1:4">
      <c r="A9">
        <v>8</v>
      </c>
      <c r="B9" t="s">
        <v>5501</v>
      </c>
      <c r="C9">
        <v>9</v>
      </c>
      <c r="D9">
        <v>14</v>
      </c>
    </row>
    <row r="10" spans="1:4">
      <c r="A10">
        <v>9</v>
      </c>
      <c r="B10" t="s">
        <v>9210</v>
      </c>
      <c r="C10">
        <v>15</v>
      </c>
      <c r="D10">
        <v>25</v>
      </c>
    </row>
    <row r="11" spans="1:4">
      <c r="A11">
        <v>10</v>
      </c>
      <c r="B11" t="s">
        <v>9211</v>
      </c>
      <c r="C11">
        <v>24</v>
      </c>
      <c r="D11">
        <v>39</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L61"/>
  <sheetViews>
    <sheetView showGridLines="0" workbookViewId="0"/>
  </sheetViews>
  <sheetFormatPr baseColWidth="10" defaultColWidth="9.140625" defaultRowHeight="15"/>
  <cols>
    <col min="1" max="1" width="20" style="48" customWidth="1"/>
    <col min="2" max="2" width="28" style="48" customWidth="1"/>
    <col min="3" max="3" width="12" style="48" customWidth="1"/>
    <col min="4" max="4" width="72" style="48" customWidth="1"/>
    <col min="5" max="5" width="18" style="48" customWidth="1"/>
    <col min="6" max="6" width="24" style="48" customWidth="1"/>
    <col min="7" max="8" width="14" style="48" customWidth="1"/>
    <col min="9" max="9" width="20" style="48" customWidth="1"/>
    <col min="10" max="11" width="11" style="48" customWidth="1"/>
    <col min="12" max="12" width="16" style="48" customWidth="1"/>
  </cols>
  <sheetData>
    <row r="1" spans="1:12" ht="27.95" customHeight="1">
      <c r="A1" s="57" t="s">
        <v>8643</v>
      </c>
      <c r="B1" s="57" t="s">
        <v>5474</v>
      </c>
      <c r="C1" s="57" t="s">
        <v>9212</v>
      </c>
      <c r="D1" s="57" t="s">
        <v>15</v>
      </c>
      <c r="E1" s="57" t="s">
        <v>5477</v>
      </c>
      <c r="F1" s="57" t="s">
        <v>5479</v>
      </c>
      <c r="G1" s="57" t="s">
        <v>5480</v>
      </c>
      <c r="H1" s="57" t="s">
        <v>5481</v>
      </c>
      <c r="I1" s="57" t="s">
        <v>9213</v>
      </c>
      <c r="J1" s="57" t="s">
        <v>9214</v>
      </c>
      <c r="K1" s="57" t="s">
        <v>9215</v>
      </c>
      <c r="L1" s="57" t="s">
        <v>9216</v>
      </c>
    </row>
    <row r="2" spans="1:12" ht="60" customHeight="1">
      <c r="A2" s="58" t="s">
        <v>9217</v>
      </c>
      <c r="B2" s="58" t="s">
        <v>9218</v>
      </c>
      <c r="C2" s="58" t="s">
        <v>9219</v>
      </c>
      <c r="D2" s="58" t="s">
        <v>9220</v>
      </c>
      <c r="E2" s="58" t="s">
        <v>662</v>
      </c>
      <c r="F2" s="58" t="s">
        <v>9221</v>
      </c>
      <c r="G2" s="58" t="s">
        <v>8999</v>
      </c>
      <c r="H2" s="58" t="s">
        <v>5492</v>
      </c>
      <c r="I2" s="58" t="s">
        <v>5493</v>
      </c>
      <c r="J2" s="59">
        <v>1</v>
      </c>
      <c r="K2" s="59">
        <v>3</v>
      </c>
      <c r="L2" s="58" t="s">
        <v>8988</v>
      </c>
    </row>
    <row r="3" spans="1:12" ht="60" customHeight="1">
      <c r="A3" s="58" t="s">
        <v>9217</v>
      </c>
      <c r="B3" s="58" t="s">
        <v>9222</v>
      </c>
      <c r="C3" s="58" t="s">
        <v>9219</v>
      </c>
      <c r="D3" s="58" t="s">
        <v>9223</v>
      </c>
      <c r="E3" s="58" t="s">
        <v>662</v>
      </c>
      <c r="F3" s="58" t="s">
        <v>9224</v>
      </c>
      <c r="G3" s="58" t="s">
        <v>8999</v>
      </c>
      <c r="H3" s="58" t="s">
        <v>5492</v>
      </c>
      <c r="I3" s="58" t="s">
        <v>5493</v>
      </c>
      <c r="J3" s="59">
        <v>1</v>
      </c>
      <c r="K3" s="59">
        <v>4</v>
      </c>
      <c r="L3" s="58" t="s">
        <v>9024</v>
      </c>
    </row>
    <row r="4" spans="1:12" ht="60" customHeight="1">
      <c r="A4" s="58" t="s">
        <v>9217</v>
      </c>
      <c r="B4" s="58" t="s">
        <v>9225</v>
      </c>
      <c r="C4" s="58" t="s">
        <v>9226</v>
      </c>
      <c r="D4" s="58" t="s">
        <v>9227</v>
      </c>
      <c r="E4" s="58" t="s">
        <v>8995</v>
      </c>
      <c r="F4" s="58" t="s">
        <v>9228</v>
      </c>
      <c r="G4" s="58" t="s">
        <v>7161</v>
      </c>
      <c r="H4" s="58" t="s">
        <v>5492</v>
      </c>
      <c r="I4" s="58" t="s">
        <v>9229</v>
      </c>
      <c r="J4" s="59">
        <v>3</v>
      </c>
      <c r="K4" s="59">
        <v>13</v>
      </c>
      <c r="L4" s="58" t="s">
        <v>9130</v>
      </c>
    </row>
    <row r="5" spans="1:12" ht="60" customHeight="1">
      <c r="A5" s="58" t="s">
        <v>9217</v>
      </c>
      <c r="B5" s="58" t="s">
        <v>9230</v>
      </c>
      <c r="C5" s="58" t="s">
        <v>9219</v>
      </c>
      <c r="D5" s="58" t="s">
        <v>9231</v>
      </c>
      <c r="E5" s="58" t="s">
        <v>5530</v>
      </c>
      <c r="F5" s="58" t="s">
        <v>9232</v>
      </c>
      <c r="G5" s="58" t="s">
        <v>8999</v>
      </c>
      <c r="H5" s="58" t="s">
        <v>5492</v>
      </c>
      <c r="I5" s="58" t="s">
        <v>5493</v>
      </c>
      <c r="J5" s="59">
        <v>5</v>
      </c>
      <c r="K5" s="59">
        <v>12</v>
      </c>
      <c r="L5" s="58" t="s">
        <v>9233</v>
      </c>
    </row>
    <row r="6" spans="1:12" ht="60" customHeight="1">
      <c r="A6" s="58" t="s">
        <v>9217</v>
      </c>
      <c r="B6" s="58" t="s">
        <v>9234</v>
      </c>
      <c r="C6" s="58" t="s">
        <v>9219</v>
      </c>
      <c r="D6" s="58" t="s">
        <v>9235</v>
      </c>
      <c r="E6" s="58" t="s">
        <v>8995</v>
      </c>
      <c r="F6" s="58" t="s">
        <v>9042</v>
      </c>
      <c r="G6" s="58" t="s">
        <v>8999</v>
      </c>
      <c r="H6" s="58" t="s">
        <v>5492</v>
      </c>
      <c r="I6" s="58" t="s">
        <v>9236</v>
      </c>
      <c r="J6" s="59">
        <v>4</v>
      </c>
      <c r="K6" s="59">
        <v>12</v>
      </c>
      <c r="L6" s="58" t="s">
        <v>9074</v>
      </c>
    </row>
    <row r="7" spans="1:12" ht="60" customHeight="1">
      <c r="A7" s="58" t="s">
        <v>9217</v>
      </c>
      <c r="B7" s="58" t="s">
        <v>9237</v>
      </c>
      <c r="C7" s="58" t="s">
        <v>9238</v>
      </c>
      <c r="D7" s="58" t="s">
        <v>9239</v>
      </c>
      <c r="E7" s="58" t="s">
        <v>5530</v>
      </c>
      <c r="F7" s="58" t="s">
        <v>9240</v>
      </c>
      <c r="G7" s="58" t="s">
        <v>6966</v>
      </c>
      <c r="H7" s="58" t="s">
        <v>5492</v>
      </c>
      <c r="I7" s="58" t="s">
        <v>9241</v>
      </c>
      <c r="J7" s="59">
        <v>6</v>
      </c>
      <c r="K7" s="59">
        <v>20</v>
      </c>
      <c r="L7" s="58" t="s">
        <v>9242</v>
      </c>
    </row>
    <row r="8" spans="1:12" ht="60" customHeight="1">
      <c r="A8" s="58" t="s">
        <v>9217</v>
      </c>
      <c r="B8" s="58" t="s">
        <v>9243</v>
      </c>
      <c r="C8" s="58" t="s">
        <v>9238</v>
      </c>
      <c r="D8" s="58" t="s">
        <v>9244</v>
      </c>
      <c r="E8" s="58" t="s">
        <v>8995</v>
      </c>
      <c r="F8" s="58" t="s">
        <v>9245</v>
      </c>
      <c r="G8" s="58" t="s">
        <v>6966</v>
      </c>
      <c r="H8" s="58" t="s">
        <v>5492</v>
      </c>
      <c r="I8" s="58" t="s">
        <v>9246</v>
      </c>
      <c r="J8" s="59">
        <v>7</v>
      </c>
      <c r="K8" s="59">
        <v>25</v>
      </c>
      <c r="L8" s="58" t="s">
        <v>9247</v>
      </c>
    </row>
    <row r="9" spans="1:12" ht="60" customHeight="1">
      <c r="A9" s="58" t="s">
        <v>9217</v>
      </c>
      <c r="B9" s="58" t="s">
        <v>9248</v>
      </c>
      <c r="C9" s="58" t="s">
        <v>9219</v>
      </c>
      <c r="D9" s="58" t="s">
        <v>9249</v>
      </c>
      <c r="E9" s="58" t="s">
        <v>5530</v>
      </c>
      <c r="F9" s="58" t="s">
        <v>9250</v>
      </c>
      <c r="G9" s="58" t="s">
        <v>9251</v>
      </c>
      <c r="H9" s="58" t="s">
        <v>5492</v>
      </c>
      <c r="I9" s="58" t="s">
        <v>9020</v>
      </c>
      <c r="J9" s="59">
        <v>3</v>
      </c>
      <c r="K9" s="59">
        <v>13</v>
      </c>
      <c r="L9" s="58" t="s">
        <v>9074</v>
      </c>
    </row>
    <row r="10" spans="1:12" ht="60" customHeight="1">
      <c r="A10" s="58" t="s">
        <v>9217</v>
      </c>
      <c r="B10" s="58" t="s">
        <v>9252</v>
      </c>
      <c r="C10" s="58" t="s">
        <v>9226</v>
      </c>
      <c r="D10" s="58" t="s">
        <v>9253</v>
      </c>
      <c r="E10" s="58" t="s">
        <v>5504</v>
      </c>
      <c r="F10" s="58" t="s">
        <v>8979</v>
      </c>
      <c r="G10" s="58" t="s">
        <v>9254</v>
      </c>
      <c r="H10" s="58" t="s">
        <v>5492</v>
      </c>
      <c r="I10" s="58" t="s">
        <v>9255</v>
      </c>
      <c r="J10" s="59">
        <v>2</v>
      </c>
      <c r="K10" s="59">
        <v>10</v>
      </c>
      <c r="L10" s="58" t="s">
        <v>8462</v>
      </c>
    </row>
    <row r="11" spans="1:12" ht="60" customHeight="1">
      <c r="A11" s="58" t="s">
        <v>9217</v>
      </c>
      <c r="B11" s="58" t="s">
        <v>9256</v>
      </c>
      <c r="C11" s="58" t="s">
        <v>9238</v>
      </c>
      <c r="D11" s="58" t="s">
        <v>9257</v>
      </c>
      <c r="E11" s="58" t="s">
        <v>5504</v>
      </c>
      <c r="F11" s="58" t="s">
        <v>8979</v>
      </c>
      <c r="G11" s="58" t="s">
        <v>9258</v>
      </c>
      <c r="H11" s="58" t="s">
        <v>5492</v>
      </c>
      <c r="I11" s="58" t="s">
        <v>9259</v>
      </c>
      <c r="J11" s="59">
        <v>5</v>
      </c>
      <c r="K11" s="59">
        <v>12</v>
      </c>
      <c r="L11" s="58" t="s">
        <v>9260</v>
      </c>
    </row>
    <row r="12" spans="1:12" ht="60" customHeight="1">
      <c r="A12" s="58" t="s">
        <v>9217</v>
      </c>
      <c r="B12" s="58" t="s">
        <v>9261</v>
      </c>
      <c r="C12" s="58" t="s">
        <v>9238</v>
      </c>
      <c r="D12" s="58" t="s">
        <v>9262</v>
      </c>
      <c r="E12" s="58" t="s">
        <v>5504</v>
      </c>
      <c r="F12" s="58" t="s">
        <v>8979</v>
      </c>
      <c r="G12" s="58" t="s">
        <v>9263</v>
      </c>
      <c r="H12" s="58" t="s">
        <v>5492</v>
      </c>
      <c r="I12" s="58" t="s">
        <v>5493</v>
      </c>
      <c r="J12" s="59">
        <v>7</v>
      </c>
      <c r="K12" s="59">
        <v>15</v>
      </c>
      <c r="L12" s="58" t="s">
        <v>9264</v>
      </c>
    </row>
    <row r="13" spans="1:12" ht="60" customHeight="1">
      <c r="A13" s="58" t="s">
        <v>9217</v>
      </c>
      <c r="B13" s="58" t="s">
        <v>9265</v>
      </c>
      <c r="C13" s="58" t="s">
        <v>9219</v>
      </c>
      <c r="D13" s="58" t="s">
        <v>9266</v>
      </c>
      <c r="E13" s="58" t="s">
        <v>5530</v>
      </c>
      <c r="F13" s="58" t="s">
        <v>9267</v>
      </c>
      <c r="G13" s="58" t="s">
        <v>9251</v>
      </c>
      <c r="H13" s="58" t="s">
        <v>5492</v>
      </c>
      <c r="I13" s="58" t="s">
        <v>9268</v>
      </c>
      <c r="J13" s="59">
        <v>1</v>
      </c>
      <c r="K13" s="59">
        <v>12</v>
      </c>
      <c r="L13" s="58" t="s">
        <v>9010</v>
      </c>
    </row>
    <row r="14" spans="1:12" ht="60" customHeight="1">
      <c r="A14" s="58" t="s">
        <v>9217</v>
      </c>
      <c r="B14" s="58" t="s">
        <v>9269</v>
      </c>
      <c r="C14" s="58" t="s">
        <v>9219</v>
      </c>
      <c r="D14" s="58" t="s">
        <v>9270</v>
      </c>
      <c r="E14" s="58" t="s">
        <v>5530</v>
      </c>
      <c r="F14" s="58" t="s">
        <v>5522</v>
      </c>
      <c r="G14" s="58" t="s">
        <v>8999</v>
      </c>
      <c r="H14" s="58" t="s">
        <v>5492</v>
      </c>
      <c r="I14" s="58" t="s">
        <v>9271</v>
      </c>
      <c r="J14" s="59">
        <v>3</v>
      </c>
      <c r="K14" s="59">
        <v>11</v>
      </c>
      <c r="L14" s="58" t="s">
        <v>9272</v>
      </c>
    </row>
    <row r="15" spans="1:12" ht="60" customHeight="1">
      <c r="A15" s="58" t="s">
        <v>9273</v>
      </c>
      <c r="B15" s="58" t="s">
        <v>9274</v>
      </c>
      <c r="C15" s="58" t="s">
        <v>9219</v>
      </c>
      <c r="D15" s="58" t="s">
        <v>9275</v>
      </c>
      <c r="E15" s="58" t="s">
        <v>5530</v>
      </c>
      <c r="F15" s="58" t="s">
        <v>5530</v>
      </c>
      <c r="G15" s="58" t="s">
        <v>8999</v>
      </c>
      <c r="H15" s="58" t="s">
        <v>5492</v>
      </c>
      <c r="I15" s="58" t="s">
        <v>9276</v>
      </c>
      <c r="J15" s="59">
        <v>3</v>
      </c>
      <c r="K15" s="59">
        <v>13</v>
      </c>
      <c r="L15" s="58" t="s">
        <v>9277</v>
      </c>
    </row>
    <row r="16" spans="1:12" ht="60" customHeight="1">
      <c r="A16" s="58" t="s">
        <v>9273</v>
      </c>
      <c r="B16" s="58" t="s">
        <v>9278</v>
      </c>
      <c r="C16" s="58" t="s">
        <v>9219</v>
      </c>
      <c r="D16" s="58" t="s">
        <v>9279</v>
      </c>
      <c r="E16" s="58" t="s">
        <v>5530</v>
      </c>
      <c r="F16" s="58" t="s">
        <v>9280</v>
      </c>
      <c r="G16" s="58" t="s">
        <v>8999</v>
      </c>
      <c r="H16" s="58" t="s">
        <v>5492</v>
      </c>
      <c r="I16" s="58" t="s">
        <v>9281</v>
      </c>
      <c r="J16" s="59">
        <v>4</v>
      </c>
      <c r="K16" s="59">
        <v>13</v>
      </c>
      <c r="L16" s="58" t="s">
        <v>9282</v>
      </c>
    </row>
    <row r="17" spans="1:12" ht="60" customHeight="1">
      <c r="A17" s="58" t="s">
        <v>9273</v>
      </c>
      <c r="B17" s="58" t="s">
        <v>9283</v>
      </c>
      <c r="C17" s="58" t="s">
        <v>9219</v>
      </c>
      <c r="D17" s="58" t="s">
        <v>9284</v>
      </c>
      <c r="E17" s="58" t="s">
        <v>5530</v>
      </c>
      <c r="F17" s="58" t="s">
        <v>9285</v>
      </c>
      <c r="G17" s="58" t="s">
        <v>8999</v>
      </c>
      <c r="H17" s="58" t="s">
        <v>5492</v>
      </c>
      <c r="I17" s="58" t="s">
        <v>9276</v>
      </c>
      <c r="J17" s="59">
        <v>2</v>
      </c>
      <c r="K17" s="59">
        <v>13</v>
      </c>
      <c r="L17" s="58" t="s">
        <v>9074</v>
      </c>
    </row>
    <row r="18" spans="1:12" ht="60" customHeight="1">
      <c r="A18" s="58" t="s">
        <v>9273</v>
      </c>
      <c r="B18" s="58" t="s">
        <v>9286</v>
      </c>
      <c r="C18" s="58" t="s">
        <v>9219</v>
      </c>
      <c r="D18" s="58" t="s">
        <v>9287</v>
      </c>
      <c r="E18" s="58" t="s">
        <v>662</v>
      </c>
      <c r="F18" s="58" t="s">
        <v>9042</v>
      </c>
      <c r="G18" s="58" t="s">
        <v>8999</v>
      </c>
      <c r="H18" s="58" t="s">
        <v>5492</v>
      </c>
      <c r="I18" s="58" t="s">
        <v>5493</v>
      </c>
      <c r="J18" s="59">
        <v>3</v>
      </c>
      <c r="K18" s="59">
        <v>13</v>
      </c>
      <c r="L18" s="58" t="s">
        <v>9288</v>
      </c>
    </row>
    <row r="19" spans="1:12" ht="60" customHeight="1">
      <c r="A19" s="58" t="s">
        <v>9273</v>
      </c>
      <c r="B19" s="58" t="s">
        <v>9289</v>
      </c>
      <c r="C19" s="58" t="s">
        <v>9226</v>
      </c>
      <c r="D19" s="58" t="s">
        <v>9290</v>
      </c>
      <c r="E19" s="58" t="s">
        <v>662</v>
      </c>
      <c r="F19" s="58" t="s">
        <v>8979</v>
      </c>
      <c r="G19" s="58" t="s">
        <v>7161</v>
      </c>
      <c r="H19" s="58" t="s">
        <v>5492</v>
      </c>
      <c r="I19" s="58" t="s">
        <v>5493</v>
      </c>
      <c r="J19" s="59">
        <v>6</v>
      </c>
      <c r="K19" s="59">
        <v>16</v>
      </c>
      <c r="L19" s="58" t="s">
        <v>9190</v>
      </c>
    </row>
    <row r="20" spans="1:12" ht="60" customHeight="1">
      <c r="A20" s="58" t="s">
        <v>9273</v>
      </c>
      <c r="B20" s="58" t="s">
        <v>9291</v>
      </c>
      <c r="C20" s="58" t="s">
        <v>9226</v>
      </c>
      <c r="D20" s="58" t="s">
        <v>9292</v>
      </c>
      <c r="E20" s="58" t="s">
        <v>5504</v>
      </c>
      <c r="F20" s="58" t="s">
        <v>8979</v>
      </c>
      <c r="G20" s="58" t="s">
        <v>7161</v>
      </c>
      <c r="H20" s="58" t="s">
        <v>5492</v>
      </c>
      <c r="I20" s="58" t="s">
        <v>5493</v>
      </c>
      <c r="J20" s="59">
        <v>1</v>
      </c>
      <c r="K20" s="59">
        <v>10</v>
      </c>
      <c r="L20" s="58" t="s">
        <v>8462</v>
      </c>
    </row>
    <row r="21" spans="1:12" ht="60" customHeight="1">
      <c r="A21" s="58" t="s">
        <v>9273</v>
      </c>
      <c r="B21" s="58" t="s">
        <v>9293</v>
      </c>
      <c r="C21" s="58" t="s">
        <v>9226</v>
      </c>
      <c r="D21" s="58" t="s">
        <v>9294</v>
      </c>
      <c r="E21" s="58" t="s">
        <v>5530</v>
      </c>
      <c r="F21" s="58" t="s">
        <v>5522</v>
      </c>
      <c r="G21" s="58" t="s">
        <v>7161</v>
      </c>
      <c r="H21" s="58" t="s">
        <v>5492</v>
      </c>
      <c r="I21" s="58" t="s">
        <v>9295</v>
      </c>
      <c r="J21" s="59">
        <v>5</v>
      </c>
      <c r="K21" s="59">
        <v>14</v>
      </c>
      <c r="L21" s="58" t="s">
        <v>9296</v>
      </c>
    </row>
    <row r="22" spans="1:12" ht="60" customHeight="1">
      <c r="A22" s="58" t="s">
        <v>9273</v>
      </c>
      <c r="B22" s="58" t="s">
        <v>9297</v>
      </c>
      <c r="C22" s="58" t="s">
        <v>9226</v>
      </c>
      <c r="D22" s="58" t="s">
        <v>9298</v>
      </c>
      <c r="E22" s="58" t="s">
        <v>5530</v>
      </c>
      <c r="F22" s="58" t="s">
        <v>5522</v>
      </c>
      <c r="G22" s="58" t="s">
        <v>7161</v>
      </c>
      <c r="H22" s="58" t="s">
        <v>5492</v>
      </c>
      <c r="I22" s="58" t="s">
        <v>9299</v>
      </c>
      <c r="J22" s="59">
        <v>4</v>
      </c>
      <c r="K22" s="59">
        <v>17</v>
      </c>
      <c r="L22" s="58" t="s">
        <v>9300</v>
      </c>
    </row>
    <row r="23" spans="1:12" ht="60" customHeight="1">
      <c r="A23" s="58" t="s">
        <v>9273</v>
      </c>
      <c r="B23" s="58" t="s">
        <v>9301</v>
      </c>
      <c r="C23" s="58" t="s">
        <v>9226</v>
      </c>
      <c r="D23" s="58" t="s">
        <v>9302</v>
      </c>
      <c r="E23" s="58" t="s">
        <v>5530</v>
      </c>
      <c r="F23" s="58" t="s">
        <v>5530</v>
      </c>
      <c r="G23" s="58" t="s">
        <v>7161</v>
      </c>
      <c r="H23" s="58" t="s">
        <v>5492</v>
      </c>
      <c r="I23" s="58" t="s">
        <v>9303</v>
      </c>
      <c r="J23" s="59">
        <v>3</v>
      </c>
      <c r="K23" s="59">
        <v>13</v>
      </c>
      <c r="L23" s="58" t="s">
        <v>9130</v>
      </c>
    </row>
    <row r="24" spans="1:12" ht="60" customHeight="1">
      <c r="A24" s="58" t="s">
        <v>9273</v>
      </c>
      <c r="B24" s="58" t="s">
        <v>9304</v>
      </c>
      <c r="C24" s="58" t="s">
        <v>9226</v>
      </c>
      <c r="D24" s="58" t="s">
        <v>9305</v>
      </c>
      <c r="E24" s="58" t="s">
        <v>662</v>
      </c>
      <c r="F24" s="58" t="s">
        <v>8979</v>
      </c>
      <c r="G24" s="58" t="s">
        <v>7161</v>
      </c>
      <c r="H24" s="58" t="s">
        <v>5492</v>
      </c>
      <c r="I24" s="58" t="s">
        <v>5493</v>
      </c>
      <c r="J24" s="59">
        <v>6</v>
      </c>
      <c r="K24" s="59">
        <v>16</v>
      </c>
      <c r="L24" s="58" t="s">
        <v>9136</v>
      </c>
    </row>
    <row r="25" spans="1:12" ht="60" customHeight="1">
      <c r="A25" s="58" t="s">
        <v>9273</v>
      </c>
      <c r="B25" s="58" t="s">
        <v>9306</v>
      </c>
      <c r="C25" s="58" t="s">
        <v>9238</v>
      </c>
      <c r="D25" s="58" t="s">
        <v>9307</v>
      </c>
      <c r="E25" s="58" t="s">
        <v>662</v>
      </c>
      <c r="F25" s="58" t="s">
        <v>8979</v>
      </c>
      <c r="G25" s="58" t="s">
        <v>9308</v>
      </c>
      <c r="H25" s="58" t="s">
        <v>5492</v>
      </c>
      <c r="I25" s="58" t="s">
        <v>5493</v>
      </c>
      <c r="J25" s="59">
        <v>7</v>
      </c>
      <c r="K25" s="59">
        <v>21</v>
      </c>
      <c r="L25" s="58" t="s">
        <v>9309</v>
      </c>
    </row>
    <row r="26" spans="1:12" ht="60" customHeight="1">
      <c r="A26" s="58" t="s">
        <v>9310</v>
      </c>
      <c r="B26" s="58" t="s">
        <v>9311</v>
      </c>
      <c r="C26" s="58" t="s">
        <v>9238</v>
      </c>
      <c r="D26" s="58" t="s">
        <v>9312</v>
      </c>
      <c r="E26" s="58" t="s">
        <v>8995</v>
      </c>
      <c r="F26" s="58" t="s">
        <v>9313</v>
      </c>
      <c r="G26" s="58" t="s">
        <v>9258</v>
      </c>
      <c r="H26" s="58" t="s">
        <v>5492</v>
      </c>
      <c r="I26" s="58" t="s">
        <v>9314</v>
      </c>
      <c r="J26" s="59">
        <v>2</v>
      </c>
      <c r="K26" s="59">
        <v>7</v>
      </c>
      <c r="L26" s="58" t="s">
        <v>9288</v>
      </c>
    </row>
    <row r="27" spans="1:12" ht="60" customHeight="1">
      <c r="A27" s="58" t="s">
        <v>9310</v>
      </c>
      <c r="B27" s="58" t="s">
        <v>1752</v>
      </c>
      <c r="C27" s="58" t="s">
        <v>9219</v>
      </c>
      <c r="D27" s="58" t="s">
        <v>9315</v>
      </c>
      <c r="E27" s="58" t="s">
        <v>662</v>
      </c>
      <c r="F27" s="58" t="s">
        <v>5530</v>
      </c>
      <c r="G27" s="58" t="s">
        <v>8999</v>
      </c>
      <c r="H27" s="58" t="s">
        <v>5492</v>
      </c>
      <c r="I27" s="58" t="s">
        <v>9303</v>
      </c>
      <c r="J27" s="59">
        <v>3</v>
      </c>
      <c r="K27" s="59">
        <v>14</v>
      </c>
      <c r="L27" s="58" t="s">
        <v>9074</v>
      </c>
    </row>
    <row r="28" spans="1:12" ht="60" customHeight="1">
      <c r="A28" s="58" t="s">
        <v>9310</v>
      </c>
      <c r="B28" s="58" t="s">
        <v>734</v>
      </c>
      <c r="C28" s="58" t="s">
        <v>9219</v>
      </c>
      <c r="D28" s="58" t="s">
        <v>9316</v>
      </c>
      <c r="E28" s="58" t="s">
        <v>5530</v>
      </c>
      <c r="F28" s="58" t="s">
        <v>5530</v>
      </c>
      <c r="G28" s="58" t="s">
        <v>8999</v>
      </c>
      <c r="H28" s="58" t="s">
        <v>5492</v>
      </c>
      <c r="I28" s="58" t="s">
        <v>9303</v>
      </c>
      <c r="J28" s="59">
        <v>3</v>
      </c>
      <c r="K28" s="59">
        <v>14</v>
      </c>
      <c r="L28" s="58" t="s">
        <v>9074</v>
      </c>
    </row>
    <row r="29" spans="1:12" ht="60" customHeight="1">
      <c r="A29" s="58" t="s">
        <v>9310</v>
      </c>
      <c r="B29" s="58" t="s">
        <v>9317</v>
      </c>
      <c r="C29" s="58" t="s">
        <v>9219</v>
      </c>
      <c r="D29" s="58" t="s">
        <v>9318</v>
      </c>
      <c r="E29" s="58" t="s">
        <v>5530</v>
      </c>
      <c r="F29" s="58" t="s">
        <v>5530</v>
      </c>
      <c r="G29" s="58" t="s">
        <v>8999</v>
      </c>
      <c r="H29" s="58" t="s">
        <v>5492</v>
      </c>
      <c r="I29" s="58" t="s">
        <v>9303</v>
      </c>
      <c r="J29" s="59">
        <v>4</v>
      </c>
      <c r="K29" s="59">
        <v>17</v>
      </c>
      <c r="L29" s="58" t="s">
        <v>9121</v>
      </c>
    </row>
    <row r="30" spans="1:12" ht="60" customHeight="1">
      <c r="A30" s="58" t="s">
        <v>9310</v>
      </c>
      <c r="B30" s="58" t="s">
        <v>9319</v>
      </c>
      <c r="C30" s="58" t="s">
        <v>9238</v>
      </c>
      <c r="D30" s="58" t="s">
        <v>9320</v>
      </c>
      <c r="E30" s="58" t="s">
        <v>662</v>
      </c>
      <c r="F30" s="58" t="s">
        <v>9321</v>
      </c>
      <c r="G30" s="58" t="s">
        <v>9322</v>
      </c>
      <c r="H30" s="58" t="s">
        <v>5492</v>
      </c>
      <c r="I30" s="58" t="s">
        <v>5493</v>
      </c>
      <c r="J30" s="59">
        <v>6</v>
      </c>
      <c r="K30" s="59">
        <v>7</v>
      </c>
      <c r="L30" s="58" t="s">
        <v>9052</v>
      </c>
    </row>
    <row r="31" spans="1:12" ht="60" customHeight="1">
      <c r="A31" s="58" t="s">
        <v>9310</v>
      </c>
      <c r="B31" s="58" t="s">
        <v>9323</v>
      </c>
      <c r="C31" s="58" t="s">
        <v>9226</v>
      </c>
      <c r="D31" s="58" t="s">
        <v>9324</v>
      </c>
      <c r="E31" s="58" t="s">
        <v>5530</v>
      </c>
      <c r="F31" s="58" t="s">
        <v>9119</v>
      </c>
      <c r="G31" s="58" t="s">
        <v>7161</v>
      </c>
      <c r="H31" s="58" t="s">
        <v>5492</v>
      </c>
      <c r="I31" s="58" t="s">
        <v>9325</v>
      </c>
      <c r="J31" s="59">
        <v>5</v>
      </c>
      <c r="K31" s="59">
        <v>15</v>
      </c>
      <c r="L31" s="58" t="s">
        <v>9326</v>
      </c>
    </row>
    <row r="32" spans="1:12" ht="60" customHeight="1">
      <c r="A32" s="58" t="s">
        <v>9310</v>
      </c>
      <c r="B32" s="58" t="s">
        <v>9327</v>
      </c>
      <c r="C32" s="58" t="s">
        <v>9238</v>
      </c>
      <c r="D32" s="58" t="s">
        <v>9328</v>
      </c>
      <c r="E32" s="58" t="s">
        <v>5530</v>
      </c>
      <c r="F32" s="58" t="s">
        <v>9329</v>
      </c>
      <c r="G32" s="58" t="s">
        <v>9258</v>
      </c>
      <c r="H32" s="58" t="s">
        <v>5492</v>
      </c>
      <c r="I32" s="58" t="s">
        <v>9330</v>
      </c>
      <c r="J32" s="59">
        <v>7</v>
      </c>
      <c r="K32" s="59">
        <v>17</v>
      </c>
      <c r="L32" s="58" t="s">
        <v>9331</v>
      </c>
    </row>
    <row r="33" spans="1:12" ht="60" customHeight="1">
      <c r="A33" s="58" t="s">
        <v>9310</v>
      </c>
      <c r="B33" s="58" t="s">
        <v>9332</v>
      </c>
      <c r="C33" s="58" t="s">
        <v>9219</v>
      </c>
      <c r="D33" s="58" t="s">
        <v>9333</v>
      </c>
      <c r="E33" s="58" t="s">
        <v>5530</v>
      </c>
      <c r="F33" s="58" t="s">
        <v>9119</v>
      </c>
      <c r="G33" s="58" t="s">
        <v>8999</v>
      </c>
      <c r="H33" s="58" t="s">
        <v>5492</v>
      </c>
      <c r="I33" s="58" t="s">
        <v>9325</v>
      </c>
      <c r="J33" s="59">
        <v>4</v>
      </c>
      <c r="K33" s="59">
        <v>15</v>
      </c>
      <c r="L33" s="58" t="s">
        <v>9334</v>
      </c>
    </row>
    <row r="34" spans="1:12" ht="60" customHeight="1">
      <c r="A34" s="58" t="s">
        <v>9310</v>
      </c>
      <c r="B34" s="58" t="s">
        <v>9335</v>
      </c>
      <c r="C34" s="58" t="s">
        <v>9226</v>
      </c>
      <c r="D34" s="58" t="s">
        <v>9336</v>
      </c>
      <c r="E34" s="58" t="s">
        <v>5504</v>
      </c>
      <c r="F34" s="58" t="s">
        <v>8979</v>
      </c>
      <c r="G34" s="58" t="s">
        <v>7161</v>
      </c>
      <c r="H34" s="58" t="s">
        <v>5492</v>
      </c>
      <c r="I34" s="58" t="s">
        <v>5493</v>
      </c>
      <c r="J34" s="59">
        <v>1</v>
      </c>
      <c r="K34" s="59">
        <v>10</v>
      </c>
      <c r="L34" s="58" t="s">
        <v>8462</v>
      </c>
    </row>
    <row r="35" spans="1:12" ht="60" customHeight="1">
      <c r="A35" s="58" t="s">
        <v>9310</v>
      </c>
      <c r="B35" s="58" t="s">
        <v>9337</v>
      </c>
      <c r="C35" s="58" t="s">
        <v>9219</v>
      </c>
      <c r="D35" s="58" t="s">
        <v>9338</v>
      </c>
      <c r="E35" s="58" t="s">
        <v>5530</v>
      </c>
      <c r="F35" s="58" t="s">
        <v>5530</v>
      </c>
      <c r="G35" s="58" t="s">
        <v>8999</v>
      </c>
      <c r="H35" s="58" t="s">
        <v>5492</v>
      </c>
      <c r="I35" s="58" t="s">
        <v>9325</v>
      </c>
      <c r="J35" s="59">
        <v>2</v>
      </c>
      <c r="K35" s="59">
        <v>12</v>
      </c>
      <c r="L35" s="58" t="s">
        <v>9074</v>
      </c>
    </row>
    <row r="36" spans="1:12" ht="60" customHeight="1">
      <c r="A36" s="58" t="s">
        <v>9339</v>
      </c>
      <c r="B36" s="58" t="s">
        <v>248</v>
      </c>
      <c r="C36" s="58" t="s">
        <v>9226</v>
      </c>
      <c r="D36" s="58" t="s">
        <v>9340</v>
      </c>
      <c r="E36" s="58" t="s">
        <v>662</v>
      </c>
      <c r="F36" s="58" t="s">
        <v>9341</v>
      </c>
      <c r="G36" s="58" t="s">
        <v>9342</v>
      </c>
      <c r="H36" s="58" t="s">
        <v>5492</v>
      </c>
      <c r="I36" s="58" t="s">
        <v>9259</v>
      </c>
      <c r="J36" s="59">
        <v>2</v>
      </c>
      <c r="K36" s="59">
        <v>12</v>
      </c>
      <c r="L36" s="58" t="s">
        <v>8982</v>
      </c>
    </row>
    <row r="37" spans="1:12" ht="60" customHeight="1">
      <c r="A37" s="58" t="s">
        <v>9339</v>
      </c>
      <c r="B37" s="58" t="s">
        <v>9343</v>
      </c>
      <c r="C37" s="58" t="s">
        <v>9226</v>
      </c>
      <c r="D37" s="58" t="s">
        <v>9344</v>
      </c>
      <c r="E37" s="58" t="s">
        <v>662</v>
      </c>
      <c r="F37" s="58" t="s">
        <v>8979</v>
      </c>
      <c r="G37" s="58" t="s">
        <v>9342</v>
      </c>
      <c r="H37" s="58" t="s">
        <v>5492</v>
      </c>
      <c r="I37" s="58" t="s">
        <v>9330</v>
      </c>
      <c r="J37" s="59">
        <v>1</v>
      </c>
      <c r="K37" s="59">
        <v>12</v>
      </c>
      <c r="L37" s="58" t="s">
        <v>9345</v>
      </c>
    </row>
    <row r="38" spans="1:12" ht="60" customHeight="1">
      <c r="A38" s="58" t="s">
        <v>9339</v>
      </c>
      <c r="B38" s="58" t="s">
        <v>9346</v>
      </c>
      <c r="C38" s="58" t="s">
        <v>9238</v>
      </c>
      <c r="D38" s="58" t="s">
        <v>9347</v>
      </c>
      <c r="E38" s="58" t="s">
        <v>662</v>
      </c>
      <c r="F38" s="58" t="s">
        <v>8979</v>
      </c>
      <c r="G38" s="58" t="s">
        <v>9348</v>
      </c>
      <c r="H38" s="58" t="s">
        <v>5492</v>
      </c>
      <c r="I38" s="58" t="s">
        <v>9349</v>
      </c>
      <c r="J38" s="59">
        <v>3</v>
      </c>
      <c r="K38" s="59">
        <v>16</v>
      </c>
      <c r="L38" s="58" t="s">
        <v>9277</v>
      </c>
    </row>
    <row r="39" spans="1:12" ht="60" customHeight="1">
      <c r="A39" s="58" t="s">
        <v>9339</v>
      </c>
      <c r="B39" s="58" t="s">
        <v>9350</v>
      </c>
      <c r="C39" s="58" t="s">
        <v>9238</v>
      </c>
      <c r="D39" s="58" t="s">
        <v>9351</v>
      </c>
      <c r="E39" s="58" t="s">
        <v>662</v>
      </c>
      <c r="F39" s="58" t="s">
        <v>8979</v>
      </c>
      <c r="G39" s="58" t="s">
        <v>9348</v>
      </c>
      <c r="H39" s="58" t="s">
        <v>5492</v>
      </c>
      <c r="I39" s="58" t="s">
        <v>9330</v>
      </c>
      <c r="J39" s="59">
        <v>6</v>
      </c>
      <c r="K39" s="59">
        <v>17</v>
      </c>
      <c r="L39" s="58" t="s">
        <v>9136</v>
      </c>
    </row>
    <row r="40" spans="1:12" ht="60" customHeight="1">
      <c r="A40" s="58" t="s">
        <v>9339</v>
      </c>
      <c r="B40" s="58" t="s">
        <v>9352</v>
      </c>
      <c r="C40" s="58" t="s">
        <v>9226</v>
      </c>
      <c r="D40" s="58" t="s">
        <v>9353</v>
      </c>
      <c r="E40" s="58" t="s">
        <v>662</v>
      </c>
      <c r="F40" s="58" t="s">
        <v>8979</v>
      </c>
      <c r="G40" s="58" t="s">
        <v>9354</v>
      </c>
      <c r="H40" s="58" t="s">
        <v>5492</v>
      </c>
      <c r="I40" s="58" t="s">
        <v>9355</v>
      </c>
      <c r="J40" s="59">
        <v>7</v>
      </c>
      <c r="K40" s="59">
        <v>15</v>
      </c>
      <c r="L40" s="58" t="s">
        <v>9356</v>
      </c>
    </row>
    <row r="41" spans="1:12" ht="60" customHeight="1">
      <c r="A41" s="58" t="s">
        <v>9339</v>
      </c>
      <c r="B41" s="58" t="s">
        <v>9357</v>
      </c>
      <c r="C41" s="58" t="s">
        <v>9226</v>
      </c>
      <c r="D41" s="58" t="s">
        <v>9358</v>
      </c>
      <c r="E41" s="58" t="s">
        <v>5530</v>
      </c>
      <c r="F41" s="58" t="s">
        <v>5530</v>
      </c>
      <c r="G41" s="58" t="s">
        <v>7161</v>
      </c>
      <c r="H41" s="58" t="s">
        <v>5492</v>
      </c>
      <c r="I41" s="58" t="s">
        <v>9276</v>
      </c>
      <c r="J41" s="59">
        <v>1</v>
      </c>
      <c r="K41" s="59">
        <v>7</v>
      </c>
      <c r="L41" s="58" t="s">
        <v>9288</v>
      </c>
    </row>
    <row r="42" spans="1:12" ht="60" customHeight="1">
      <c r="A42" s="58" t="s">
        <v>9339</v>
      </c>
      <c r="B42" s="58" t="s">
        <v>9359</v>
      </c>
      <c r="C42" s="58" t="s">
        <v>9226</v>
      </c>
      <c r="D42" s="58" t="s">
        <v>9360</v>
      </c>
      <c r="E42" s="58" t="s">
        <v>5504</v>
      </c>
      <c r="F42" s="58" t="s">
        <v>8979</v>
      </c>
      <c r="G42" s="58" t="s">
        <v>7161</v>
      </c>
      <c r="H42" s="58" t="s">
        <v>5492</v>
      </c>
      <c r="I42" s="58" t="s">
        <v>5493</v>
      </c>
      <c r="J42" s="59">
        <v>1</v>
      </c>
      <c r="K42" s="59">
        <v>10</v>
      </c>
      <c r="L42" s="58" t="s">
        <v>8462</v>
      </c>
    </row>
    <row r="43" spans="1:12" ht="60" customHeight="1">
      <c r="A43" s="58" t="s">
        <v>9339</v>
      </c>
      <c r="B43" s="58" t="s">
        <v>9361</v>
      </c>
      <c r="C43" s="58" t="s">
        <v>9226</v>
      </c>
      <c r="D43" s="58" t="s">
        <v>9362</v>
      </c>
      <c r="E43" s="58" t="s">
        <v>5504</v>
      </c>
      <c r="F43" s="58" t="s">
        <v>8979</v>
      </c>
      <c r="G43" s="58" t="s">
        <v>9363</v>
      </c>
      <c r="H43" s="58" t="s">
        <v>5492</v>
      </c>
      <c r="I43" s="58" t="s">
        <v>9330</v>
      </c>
      <c r="J43" s="59">
        <v>3</v>
      </c>
      <c r="K43" s="59">
        <v>15</v>
      </c>
      <c r="L43" s="58" t="s">
        <v>9364</v>
      </c>
    </row>
    <row r="44" spans="1:12" ht="60" customHeight="1">
      <c r="A44" s="58" t="s">
        <v>9339</v>
      </c>
      <c r="B44" s="58" t="s">
        <v>9365</v>
      </c>
      <c r="C44" s="58" t="s">
        <v>9238</v>
      </c>
      <c r="D44" s="58" t="s">
        <v>9366</v>
      </c>
      <c r="E44" s="58" t="s">
        <v>662</v>
      </c>
      <c r="F44" s="58" t="s">
        <v>8979</v>
      </c>
      <c r="G44" s="58" t="s">
        <v>9263</v>
      </c>
      <c r="H44" s="58" t="s">
        <v>5492</v>
      </c>
      <c r="I44" s="58" t="s">
        <v>5493</v>
      </c>
      <c r="J44" s="59">
        <v>6</v>
      </c>
      <c r="K44" s="59">
        <v>16</v>
      </c>
      <c r="L44" s="58" t="s">
        <v>9367</v>
      </c>
    </row>
    <row r="45" spans="1:12" ht="60" customHeight="1">
      <c r="A45" s="58" t="s">
        <v>9339</v>
      </c>
      <c r="B45" s="58" t="s">
        <v>9368</v>
      </c>
      <c r="C45" s="58" t="s">
        <v>9226</v>
      </c>
      <c r="D45" s="58" t="s">
        <v>9369</v>
      </c>
      <c r="E45" s="58" t="s">
        <v>662</v>
      </c>
      <c r="F45" s="58" t="s">
        <v>8979</v>
      </c>
      <c r="G45" s="58" t="s">
        <v>7161</v>
      </c>
      <c r="H45" s="58" t="s">
        <v>5492</v>
      </c>
      <c r="I45" s="58" t="s">
        <v>9263</v>
      </c>
      <c r="J45" s="59">
        <v>4</v>
      </c>
      <c r="K45" s="59">
        <v>10</v>
      </c>
      <c r="L45" s="58" t="s">
        <v>9277</v>
      </c>
    </row>
    <row r="46" spans="1:12" ht="60" customHeight="1">
      <c r="A46" s="58" t="s">
        <v>9339</v>
      </c>
      <c r="B46" s="58" t="s">
        <v>9370</v>
      </c>
      <c r="C46" s="58" t="s">
        <v>9226</v>
      </c>
      <c r="D46" s="58" t="s">
        <v>9371</v>
      </c>
      <c r="E46" s="58" t="s">
        <v>662</v>
      </c>
      <c r="F46" s="58" t="s">
        <v>8979</v>
      </c>
      <c r="G46" s="58" t="s">
        <v>7060</v>
      </c>
      <c r="H46" s="58" t="s">
        <v>5492</v>
      </c>
      <c r="I46" s="58" t="s">
        <v>9263</v>
      </c>
      <c r="J46" s="59">
        <v>7</v>
      </c>
      <c r="K46" s="59">
        <v>15</v>
      </c>
      <c r="L46" s="58" t="s">
        <v>9356</v>
      </c>
    </row>
    <row r="47" spans="1:12" ht="60" customHeight="1">
      <c r="A47" s="58" t="s">
        <v>9372</v>
      </c>
      <c r="B47" s="58" t="s">
        <v>9373</v>
      </c>
      <c r="C47" s="58" t="s">
        <v>9226</v>
      </c>
      <c r="D47" s="58" t="s">
        <v>9374</v>
      </c>
      <c r="E47" s="58" t="s">
        <v>5504</v>
      </c>
      <c r="F47" s="58" t="s">
        <v>8979</v>
      </c>
      <c r="G47" s="58" t="s">
        <v>7161</v>
      </c>
      <c r="H47" s="58" t="s">
        <v>5492</v>
      </c>
      <c r="I47" s="58" t="s">
        <v>5493</v>
      </c>
      <c r="J47" s="59">
        <v>1</v>
      </c>
      <c r="K47" s="59">
        <v>10</v>
      </c>
      <c r="L47" s="58" t="s">
        <v>8462</v>
      </c>
    </row>
    <row r="48" spans="1:12" ht="60" customHeight="1">
      <c r="A48" s="58" t="s">
        <v>9372</v>
      </c>
      <c r="B48" s="58" t="s">
        <v>9375</v>
      </c>
      <c r="C48" s="58" t="s">
        <v>9226</v>
      </c>
      <c r="D48" s="58" t="s">
        <v>9376</v>
      </c>
      <c r="E48" s="58" t="s">
        <v>5530</v>
      </c>
      <c r="F48" s="58" t="s">
        <v>5530</v>
      </c>
      <c r="G48" s="58" t="s">
        <v>7161</v>
      </c>
      <c r="H48" s="58" t="s">
        <v>5492</v>
      </c>
      <c r="I48" s="58" t="s">
        <v>9295</v>
      </c>
      <c r="J48" s="59">
        <v>5</v>
      </c>
      <c r="K48" s="59">
        <v>14</v>
      </c>
      <c r="L48" s="58" t="s">
        <v>9296</v>
      </c>
    </row>
    <row r="49" spans="1:12" ht="60" customHeight="1">
      <c r="A49" s="58" t="s">
        <v>9372</v>
      </c>
      <c r="B49" s="58" t="s">
        <v>9377</v>
      </c>
      <c r="C49" s="58" t="s">
        <v>9226</v>
      </c>
      <c r="D49" s="58" t="s">
        <v>9378</v>
      </c>
      <c r="E49" s="58" t="s">
        <v>662</v>
      </c>
      <c r="F49" s="58" t="s">
        <v>9341</v>
      </c>
      <c r="G49" s="58" t="s">
        <v>9342</v>
      </c>
      <c r="H49" s="58" t="s">
        <v>5492</v>
      </c>
      <c r="I49" s="58" t="s">
        <v>9379</v>
      </c>
      <c r="J49" s="59">
        <v>2</v>
      </c>
      <c r="K49" s="59">
        <v>12</v>
      </c>
      <c r="L49" s="58" t="s">
        <v>8982</v>
      </c>
    </row>
    <row r="50" spans="1:12" ht="60" customHeight="1">
      <c r="A50" s="58" t="s">
        <v>9372</v>
      </c>
      <c r="B50" s="58" t="s">
        <v>9380</v>
      </c>
      <c r="C50" s="58" t="s">
        <v>9238</v>
      </c>
      <c r="D50" s="58" t="s">
        <v>9381</v>
      </c>
      <c r="E50" s="58" t="s">
        <v>5504</v>
      </c>
      <c r="F50" s="58" t="s">
        <v>9280</v>
      </c>
      <c r="G50" s="58" t="s">
        <v>9382</v>
      </c>
      <c r="H50" s="58" t="s">
        <v>5492</v>
      </c>
      <c r="I50" s="58" t="s">
        <v>5493</v>
      </c>
      <c r="J50" s="59">
        <v>4</v>
      </c>
      <c r="K50" s="59">
        <v>7</v>
      </c>
      <c r="L50" s="58" t="s">
        <v>9288</v>
      </c>
    </row>
    <row r="51" spans="1:12" ht="60" customHeight="1">
      <c r="A51" s="58" t="s">
        <v>9372</v>
      </c>
      <c r="B51" s="58" t="s">
        <v>9383</v>
      </c>
      <c r="C51" s="58" t="s">
        <v>9238</v>
      </c>
      <c r="D51" s="58" t="s">
        <v>9384</v>
      </c>
      <c r="E51" s="58" t="s">
        <v>5530</v>
      </c>
      <c r="F51" s="58" t="s">
        <v>8979</v>
      </c>
      <c r="G51" s="58" t="s">
        <v>9382</v>
      </c>
      <c r="H51" s="58" t="s">
        <v>5492</v>
      </c>
      <c r="I51" s="58" t="s">
        <v>5493</v>
      </c>
      <c r="J51" s="59">
        <v>5</v>
      </c>
      <c r="K51" s="59">
        <v>16</v>
      </c>
      <c r="L51" s="58" t="s">
        <v>9345</v>
      </c>
    </row>
    <row r="52" spans="1:12" ht="60" customHeight="1">
      <c r="A52" s="58" t="s">
        <v>9372</v>
      </c>
      <c r="B52" s="58" t="s">
        <v>9385</v>
      </c>
      <c r="C52" s="58" t="s">
        <v>9226</v>
      </c>
      <c r="D52" s="58" t="s">
        <v>9386</v>
      </c>
      <c r="E52" s="58" t="s">
        <v>5530</v>
      </c>
      <c r="F52" s="58" t="s">
        <v>5530</v>
      </c>
      <c r="G52" s="58" t="s">
        <v>9342</v>
      </c>
      <c r="H52" s="58" t="s">
        <v>5492</v>
      </c>
      <c r="I52" s="58" t="s">
        <v>9387</v>
      </c>
      <c r="J52" s="59">
        <v>3</v>
      </c>
      <c r="K52" s="59">
        <v>11</v>
      </c>
      <c r="L52" s="58" t="s">
        <v>9052</v>
      </c>
    </row>
    <row r="53" spans="1:12" ht="60" customHeight="1">
      <c r="A53" s="58" t="s">
        <v>9372</v>
      </c>
      <c r="B53" s="58" t="s">
        <v>9388</v>
      </c>
      <c r="C53" s="58" t="s">
        <v>9226</v>
      </c>
      <c r="D53" s="58" t="s">
        <v>9389</v>
      </c>
      <c r="E53" s="58" t="s">
        <v>5530</v>
      </c>
      <c r="F53" s="58" t="s">
        <v>5530</v>
      </c>
      <c r="G53" s="58" t="s">
        <v>9342</v>
      </c>
      <c r="H53" s="58" t="s">
        <v>5492</v>
      </c>
      <c r="I53" s="58" t="s">
        <v>9387</v>
      </c>
      <c r="J53" s="59">
        <v>4</v>
      </c>
      <c r="K53" s="59">
        <v>17</v>
      </c>
      <c r="L53" s="58" t="s">
        <v>9048</v>
      </c>
    </row>
    <row r="54" spans="1:12" ht="60" customHeight="1">
      <c r="A54" s="58" t="s">
        <v>9372</v>
      </c>
      <c r="B54" s="58" t="s">
        <v>9390</v>
      </c>
      <c r="C54" s="58" t="s">
        <v>9238</v>
      </c>
      <c r="D54" s="58" t="s">
        <v>9391</v>
      </c>
      <c r="E54" s="58" t="s">
        <v>662</v>
      </c>
      <c r="F54" s="58" t="s">
        <v>8979</v>
      </c>
      <c r="G54" s="58" t="s">
        <v>9308</v>
      </c>
      <c r="H54" s="58" t="s">
        <v>5492</v>
      </c>
      <c r="I54" s="58" t="s">
        <v>5493</v>
      </c>
      <c r="J54" s="59">
        <v>7</v>
      </c>
      <c r="K54" s="59">
        <v>21</v>
      </c>
      <c r="L54" s="58" t="s">
        <v>9247</v>
      </c>
    </row>
    <row r="55" spans="1:12" ht="60" customHeight="1">
      <c r="A55" s="58" t="s">
        <v>9372</v>
      </c>
      <c r="B55" s="58" t="s">
        <v>9365</v>
      </c>
      <c r="C55" s="58" t="s">
        <v>9238</v>
      </c>
      <c r="D55" s="58" t="s">
        <v>9392</v>
      </c>
      <c r="E55" s="58" t="s">
        <v>662</v>
      </c>
      <c r="F55" s="58" t="s">
        <v>8979</v>
      </c>
      <c r="G55" s="58" t="s">
        <v>9263</v>
      </c>
      <c r="H55" s="58" t="s">
        <v>5492</v>
      </c>
      <c r="I55" s="58" t="s">
        <v>5493</v>
      </c>
      <c r="J55" s="59">
        <v>6</v>
      </c>
      <c r="K55" s="59">
        <v>16</v>
      </c>
      <c r="L55" s="58" t="s">
        <v>9367</v>
      </c>
    </row>
    <row r="56" spans="1:12" ht="60" customHeight="1">
      <c r="A56" s="58" t="s">
        <v>9372</v>
      </c>
      <c r="B56" s="58" t="s">
        <v>9368</v>
      </c>
      <c r="C56" s="58" t="s">
        <v>9226</v>
      </c>
      <c r="D56" s="58" t="s">
        <v>9393</v>
      </c>
      <c r="E56" s="58" t="s">
        <v>662</v>
      </c>
      <c r="F56" s="58" t="s">
        <v>8979</v>
      </c>
      <c r="G56" s="58" t="s">
        <v>7161</v>
      </c>
      <c r="H56" s="58" t="s">
        <v>5492</v>
      </c>
      <c r="I56" s="58" t="s">
        <v>9379</v>
      </c>
      <c r="J56" s="59">
        <v>4</v>
      </c>
      <c r="K56" s="59">
        <v>13</v>
      </c>
      <c r="L56" s="58" t="s">
        <v>9277</v>
      </c>
    </row>
    <row r="57" spans="1:12" ht="60" customHeight="1">
      <c r="A57" s="58" t="s">
        <v>9372</v>
      </c>
      <c r="B57" s="58" t="s">
        <v>9394</v>
      </c>
      <c r="C57" s="58" t="s">
        <v>9238</v>
      </c>
      <c r="D57" s="58" t="s">
        <v>9395</v>
      </c>
      <c r="E57" s="58" t="s">
        <v>662</v>
      </c>
      <c r="F57" s="58" t="s">
        <v>8979</v>
      </c>
      <c r="G57" s="58" t="s">
        <v>7171</v>
      </c>
      <c r="H57" s="58" t="s">
        <v>5492</v>
      </c>
      <c r="I57" s="58" t="s">
        <v>5493</v>
      </c>
      <c r="J57" s="59">
        <v>4</v>
      </c>
      <c r="K57" s="59">
        <v>7</v>
      </c>
      <c r="L57" s="58">
        <v>50</v>
      </c>
    </row>
    <row r="58" spans="1:12" ht="60" customHeight="1">
      <c r="A58" s="58" t="s">
        <v>9372</v>
      </c>
      <c r="B58" s="58" t="s">
        <v>9396</v>
      </c>
      <c r="C58" s="58" t="s">
        <v>9238</v>
      </c>
      <c r="D58" s="58" t="s">
        <v>9397</v>
      </c>
      <c r="E58" s="58" t="s">
        <v>5530</v>
      </c>
      <c r="F58" s="58" t="s">
        <v>5530</v>
      </c>
      <c r="G58" s="58" t="s">
        <v>9398</v>
      </c>
      <c r="H58" s="58" t="s">
        <v>5492</v>
      </c>
      <c r="I58" s="58" t="s">
        <v>9399</v>
      </c>
      <c r="J58" s="59">
        <v>1</v>
      </c>
      <c r="K58" s="59">
        <v>7</v>
      </c>
      <c r="L58" s="58" t="s">
        <v>9288</v>
      </c>
    </row>
    <row r="59" spans="1:12" ht="60" customHeight="1">
      <c r="A59" s="58" t="s">
        <v>9372</v>
      </c>
      <c r="B59" s="58" t="s">
        <v>9400</v>
      </c>
      <c r="C59" s="58" t="s">
        <v>9219</v>
      </c>
      <c r="D59" s="58" t="s">
        <v>9401</v>
      </c>
      <c r="E59" s="58" t="s">
        <v>5530</v>
      </c>
      <c r="F59" s="58" t="s">
        <v>5530</v>
      </c>
      <c r="G59" s="58" t="s">
        <v>9251</v>
      </c>
      <c r="H59" s="58" t="s">
        <v>5492</v>
      </c>
      <c r="I59" s="58" t="s">
        <v>9402</v>
      </c>
      <c r="J59" s="59">
        <v>3</v>
      </c>
      <c r="K59" s="59">
        <v>13</v>
      </c>
      <c r="L59" s="58" t="s">
        <v>9048</v>
      </c>
    </row>
    <row r="60" spans="1:12" ht="60" customHeight="1">
      <c r="A60" s="58" t="s">
        <v>9372</v>
      </c>
      <c r="B60" s="58" t="s">
        <v>9403</v>
      </c>
      <c r="C60" s="58" t="s">
        <v>9226</v>
      </c>
      <c r="D60" s="58" t="s">
        <v>9404</v>
      </c>
      <c r="E60" s="58" t="s">
        <v>5530</v>
      </c>
      <c r="F60" s="58" t="s">
        <v>8979</v>
      </c>
      <c r="G60" s="58" t="s">
        <v>9342</v>
      </c>
      <c r="H60" s="58" t="s">
        <v>5492</v>
      </c>
      <c r="I60" s="58" t="s">
        <v>5493</v>
      </c>
      <c r="J60" s="59">
        <v>5</v>
      </c>
      <c r="K60" s="59">
        <v>15</v>
      </c>
      <c r="L60" s="58">
        <v>125</v>
      </c>
    </row>
    <row r="61" spans="1:12" ht="60" customHeight="1">
      <c r="A61" s="58" t="s">
        <v>9372</v>
      </c>
      <c r="B61" s="58" t="s">
        <v>9405</v>
      </c>
      <c r="C61" s="58" t="s">
        <v>9219</v>
      </c>
      <c r="D61" s="58" t="s">
        <v>9406</v>
      </c>
      <c r="E61" s="58" t="s">
        <v>5530</v>
      </c>
      <c r="F61" s="58" t="s">
        <v>5522</v>
      </c>
      <c r="G61" s="58" t="s">
        <v>9407</v>
      </c>
      <c r="H61" s="58" t="s">
        <v>9408</v>
      </c>
      <c r="I61" s="58" t="s">
        <v>5493</v>
      </c>
      <c r="J61" s="59">
        <v>4</v>
      </c>
      <c r="K61" s="59">
        <v>15</v>
      </c>
      <c r="L61" s="58">
        <v>70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51</vt:i4>
      </vt:variant>
    </vt:vector>
  </HeadingPairs>
  <TitlesOfParts>
    <vt:vector size="51" baseType="lpstr">
      <vt:lpstr>Werte</vt:lpstr>
      <vt:lpstr>EP-Stufe-Kreis</vt:lpstr>
      <vt:lpstr>WHK-Spez-Kosten</vt:lpstr>
      <vt:lpstr>Eigenschaften-Kosten</vt:lpstr>
      <vt:lpstr>Voelker-Maxima</vt:lpstr>
      <vt:lpstr>PSI-Zauberstufen</vt:lpstr>
      <vt:lpstr>KI-Baum-Kanten</vt:lpstr>
      <vt:lpstr>Preisliste</vt:lpstr>
      <vt:lpstr>Alchemika</vt:lpstr>
      <vt:lpstr>Ruestungstabelle</vt:lpstr>
      <vt:lpstr>NK-Material</vt:lpstr>
      <vt:lpstr>NK-Anpassung</vt:lpstr>
      <vt:lpstr>NK-Schaftmaterial</vt:lpstr>
      <vt:lpstr>NK-Fertigung</vt:lpstr>
      <vt:lpstr>NK-Waffen-Basis</vt:lpstr>
      <vt:lpstr>Entwickeln</vt:lpstr>
      <vt:lpstr>Schild-Material</vt:lpstr>
      <vt:lpstr>Schild-Fertigung</vt:lpstr>
      <vt:lpstr>Schild-Bespannung</vt:lpstr>
      <vt:lpstr>Schild-Verplatung</vt:lpstr>
      <vt:lpstr>Artefakt-Magus-Faehigkeiten</vt:lpstr>
      <vt:lpstr>Artefakt-Seelensteine</vt:lpstr>
      <vt:lpstr>Artefakt-Manamultiplikator</vt:lpstr>
      <vt:lpstr>Artefakt-Basis</vt:lpstr>
      <vt:lpstr>Artefakt-Kosten</vt:lpstr>
      <vt:lpstr>Verfuegbarkeit-Modifikatoren</vt:lpstr>
      <vt:lpstr>Ruestung-Basis</vt:lpstr>
      <vt:lpstr>Ruestung-Addons</vt:lpstr>
      <vt:lpstr>Ruestung-Verarbeitung</vt:lpstr>
      <vt:lpstr>Ruestung-Anpassung</vt:lpstr>
      <vt:lpstr>Munition-Feuerwaffen</vt:lpstr>
      <vt:lpstr>Munition-Ressourcen</vt:lpstr>
      <vt:lpstr>Boegen-Basis</vt:lpstr>
      <vt:lpstr>Pfeile-Basis</vt:lpstr>
      <vt:lpstr>Armbrust-Basis</vt:lpstr>
      <vt:lpstr>Bolzen-Basis</vt:lpstr>
      <vt:lpstr>Runengewehr-Basis</vt:lpstr>
      <vt:lpstr>Runengewehr-Munition</vt:lpstr>
      <vt:lpstr>Runengewehr-Gewehrrunen</vt:lpstr>
      <vt:lpstr>Sprachstufe-Kosten</vt:lpstr>
      <vt:lpstr>Kulturstufe-Kosten</vt:lpstr>
      <vt:lpstr>Boegen</vt:lpstr>
      <vt:lpstr>Armbrust</vt:lpstr>
      <vt:lpstr>Feuerwaffen-Munition</vt:lpstr>
      <vt:lpstr>Pfeile</vt:lpstr>
      <vt:lpstr>Bolzen</vt:lpstr>
      <vt:lpstr>Feuerwaffen</vt:lpstr>
      <vt:lpstr>Feuerwaffen-Ressourcen</vt:lpstr>
      <vt:lpstr>Spruchmagie-Details</vt:lpstr>
      <vt:lpstr>Artefakt-Wirkungsstufen</vt:lpstr>
      <vt:lpstr>Geweihte-Wunder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 Jö</cp:lastModifiedBy>
  <dcterms:created xsi:type="dcterms:W3CDTF">2026-08-28T21:55:00Z</dcterms:created>
  <dcterms:modified xsi:type="dcterms:W3CDTF">2026-09-29T19:43:50Z</dcterms:modified>
</cp:coreProperties>
</file>