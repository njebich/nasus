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s Western Rollenspiel\LLM\"/>
    </mc:Choice>
  </mc:AlternateContent>
  <xr:revisionPtr revIDLastSave="0" documentId="13_ncr:1_{CF0054FC-1C86-4EDE-8EB3-B110A816513D}" xr6:coauthVersionLast="47" xr6:coauthVersionMax="47" xr10:uidLastSave="{00000000-0000-0000-0000-000000000000}"/>
  <bookViews>
    <workbookView xWindow="1125" yWindow="0" windowWidth="26010" windowHeight="20880" xr2:uid="{00000000-000D-0000-FFFF-FFFF00000000}"/>
  </bookViews>
  <sheets>
    <sheet name="Waffen" sheetId="1" r:id="rId1"/>
    <sheet name="Munition" sheetId="2" r:id="rId2"/>
    <sheet name="Legende" sheetId="3" r:id="rId3"/>
    <sheet name="Ressourcen-Waffen" sheetId="4" r:id="rId4"/>
    <sheet name="Ressourcen-Munition" sheetId="5" r:id="rId5"/>
  </sheets>
  <definedNames>
    <definedName name="_FilterDatabase_0" localSheetId="1">Munition!$A$1:$I$1</definedName>
    <definedName name="_FilterDatabase_0" localSheetId="3">'Ressourcen-Waffen'!$A$1:$AI$65</definedName>
    <definedName name="_FilterDatabase_0" localSheetId="0">Waffen!$A$1:$AE$90</definedName>
    <definedName name="_xlnm._FilterDatabase" localSheetId="1" hidden="1">Munition!$A$1:$I$1</definedName>
    <definedName name="_xlnm._FilterDatabase" localSheetId="3" hidden="1">'Ressourcen-Waffen'!$A$1:$AI$65</definedName>
    <definedName name="_xlnm._FilterDatabase" localSheetId="0" hidden="1">Waffen!$A$1:$AE$100</definedName>
    <definedName name="Anpassung">Waffen!$A$91:$A$93</definedName>
    <definedName name="gobherstellung">'Ressourcen-Waffen'!$AL$3:$AL$9</definedName>
    <definedName name="Herstellung">'Ressourcen-Waffen'!$AM$3:$AM$8</definedName>
    <definedName name="Modifikatoren">'Ressourcen-Waffen'!$B$45:$AI$54</definedName>
    <definedName name="Res">'Ressourcen-Waffen'!$A$1:$AI$54</definedName>
    <definedName name="Ressourcen">'Ressourcen-Waffen'!$A$2:$AJ$54</definedName>
    <definedName name="Verarb">Waffen!$A$94:$A$100</definedName>
    <definedName name="verarbeitung">Waffen!$A$95:$A$100</definedName>
    <definedName name="verftab">'Ressourcen-Waffen'!$AO$3:$AP$9</definedName>
    <definedName name="wtab">'Ressourcen-Waffen'!$AJ$3:$AK$12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5" l="1"/>
  <c r="F16" i="5"/>
  <c r="F15" i="5"/>
  <c r="F14" i="5"/>
  <c r="F6" i="5"/>
  <c r="M17" i="5" s="1"/>
  <c r="C5" i="5"/>
  <c r="D5" i="5" s="1"/>
  <c r="I11" i="5" s="1"/>
  <c r="D4" i="5"/>
  <c r="G11" i="5" s="1"/>
  <c r="D3" i="5"/>
  <c r="H11" i="5" s="1"/>
  <c r="D2" i="5"/>
  <c r="J11" i="5" s="1"/>
  <c r="J16" i="5" s="1"/>
  <c r="K29" i="4"/>
  <c r="K28" i="4"/>
  <c r="K27" i="4"/>
  <c r="K26" i="4"/>
  <c r="K25" i="4"/>
  <c r="K24" i="4"/>
  <c r="K23" i="4"/>
  <c r="K22" i="4"/>
  <c r="K21" i="4"/>
  <c r="K20" i="4"/>
  <c r="K19" i="4"/>
  <c r="K18" i="4"/>
  <c r="K84" i="1" s="1"/>
  <c r="K17" i="4"/>
  <c r="K19" i="1" s="1"/>
  <c r="K16" i="4"/>
  <c r="K83" i="1" s="1"/>
  <c r="K15" i="4"/>
  <c r="K13" i="1" s="1"/>
  <c r="K14" i="4"/>
  <c r="K13" i="4"/>
  <c r="K12" i="4"/>
  <c r="K11" i="4"/>
  <c r="K10" i="4"/>
  <c r="K9" i="4"/>
  <c r="K8" i="4"/>
  <c r="K7" i="4"/>
  <c r="K6" i="4"/>
  <c r="K5" i="4"/>
  <c r="K4" i="4"/>
  <c r="K3" i="4"/>
  <c r="K2" i="4"/>
  <c r="AE87" i="1"/>
  <c r="AD87" i="1"/>
  <c r="AC87" i="1"/>
  <c r="AB87" i="1"/>
  <c r="AF87" i="1" s="1"/>
  <c r="AA87" i="1"/>
  <c r="Z87" i="1"/>
  <c r="Y87" i="1"/>
  <c r="X87" i="1"/>
  <c r="W87" i="1"/>
  <c r="V87" i="1"/>
  <c r="U87" i="1"/>
  <c r="T87" i="1"/>
  <c r="S87" i="1"/>
  <c r="R87" i="1"/>
  <c r="Q87" i="1"/>
  <c r="P87" i="1"/>
  <c r="O87" i="1"/>
  <c r="N87" i="1"/>
  <c r="M87" i="1"/>
  <c r="L87" i="1"/>
  <c r="K87" i="1"/>
  <c r="AE86" i="1"/>
  <c r="AD86" i="1"/>
  <c r="AC86" i="1" s="1"/>
  <c r="AB86" i="1"/>
  <c r="AF86" i="1" s="1"/>
  <c r="AA86" i="1"/>
  <c r="Z86" i="1"/>
  <c r="Y86" i="1"/>
  <c r="X86" i="1"/>
  <c r="W86" i="1"/>
  <c r="V86" i="1"/>
  <c r="U86" i="1"/>
  <c r="T86" i="1"/>
  <c r="S86" i="1"/>
  <c r="R86" i="1"/>
  <c r="Q86" i="1"/>
  <c r="P86" i="1"/>
  <c r="O86" i="1"/>
  <c r="N86" i="1"/>
  <c r="M86" i="1"/>
  <c r="L86" i="1"/>
  <c r="AE85" i="1"/>
  <c r="AD85" i="1"/>
  <c r="AC85" i="1" s="1"/>
  <c r="AB85" i="1"/>
  <c r="AF85" i="1" s="1"/>
  <c r="AA85" i="1"/>
  <c r="Z85" i="1"/>
  <c r="Y85" i="1"/>
  <c r="X85" i="1"/>
  <c r="W85" i="1"/>
  <c r="V85" i="1"/>
  <c r="U85" i="1"/>
  <c r="T85" i="1"/>
  <c r="S85" i="1"/>
  <c r="R85" i="1"/>
  <c r="Q85" i="1"/>
  <c r="P85" i="1"/>
  <c r="O85" i="1"/>
  <c r="N85" i="1"/>
  <c r="M85" i="1"/>
  <c r="L85" i="1"/>
  <c r="K85" i="1"/>
  <c r="AE84" i="1"/>
  <c r="AD84" i="1"/>
  <c r="AB84" i="1"/>
  <c r="AF84" i="1" s="1"/>
  <c r="AA84" i="1"/>
  <c r="Z84" i="1"/>
  <c r="Y84" i="1"/>
  <c r="X84" i="1"/>
  <c r="W84" i="1"/>
  <c r="V84" i="1"/>
  <c r="U84" i="1"/>
  <c r="T84" i="1"/>
  <c r="S84" i="1"/>
  <c r="R84" i="1"/>
  <c r="Q84" i="1"/>
  <c r="P84" i="1"/>
  <c r="O84" i="1"/>
  <c r="N84" i="1"/>
  <c r="M84" i="1"/>
  <c r="L84" i="1"/>
  <c r="AE83" i="1"/>
  <c r="AD83" i="1"/>
  <c r="AB83" i="1"/>
  <c r="AF83" i="1" s="1"/>
  <c r="AA83" i="1"/>
  <c r="Z83" i="1"/>
  <c r="Y83" i="1"/>
  <c r="X83" i="1"/>
  <c r="W83" i="1"/>
  <c r="V83" i="1"/>
  <c r="U83" i="1"/>
  <c r="T83" i="1"/>
  <c r="S83" i="1"/>
  <c r="R83" i="1"/>
  <c r="Q83" i="1"/>
  <c r="P83" i="1"/>
  <c r="O83" i="1"/>
  <c r="N83" i="1"/>
  <c r="M83" i="1"/>
  <c r="L83" i="1"/>
  <c r="AE82" i="1"/>
  <c r="AD82" i="1"/>
  <c r="AC82" i="1" s="1"/>
  <c r="AB82" i="1"/>
  <c r="AF82" i="1" s="1"/>
  <c r="AA82" i="1"/>
  <c r="Z82" i="1"/>
  <c r="Y82" i="1"/>
  <c r="X82" i="1"/>
  <c r="W82" i="1"/>
  <c r="V82" i="1"/>
  <c r="U82" i="1"/>
  <c r="T82" i="1"/>
  <c r="S82" i="1"/>
  <c r="R82" i="1"/>
  <c r="Q82" i="1"/>
  <c r="P82" i="1"/>
  <c r="O82" i="1"/>
  <c r="N82" i="1"/>
  <c r="M82" i="1"/>
  <c r="L82" i="1"/>
  <c r="K82" i="1"/>
  <c r="AE81" i="1"/>
  <c r="AD81" i="1"/>
  <c r="AB81" i="1"/>
  <c r="AF81" i="1" s="1"/>
  <c r="AA81" i="1"/>
  <c r="Z81" i="1"/>
  <c r="Y81" i="1"/>
  <c r="X81" i="1"/>
  <c r="W81" i="1"/>
  <c r="V81" i="1"/>
  <c r="U81" i="1"/>
  <c r="T81" i="1"/>
  <c r="S81" i="1"/>
  <c r="R81" i="1"/>
  <c r="Q81" i="1"/>
  <c r="P81" i="1"/>
  <c r="O81" i="1"/>
  <c r="N81" i="1"/>
  <c r="M81" i="1"/>
  <c r="L81" i="1"/>
  <c r="K81" i="1"/>
  <c r="AE80" i="1"/>
  <c r="AD80" i="1"/>
  <c r="AC80" i="1" s="1"/>
  <c r="AB80" i="1"/>
  <c r="AF80" i="1" s="1"/>
  <c r="AA80" i="1"/>
  <c r="Z80" i="1"/>
  <c r="Y80" i="1"/>
  <c r="X80" i="1"/>
  <c r="W80" i="1"/>
  <c r="V80" i="1"/>
  <c r="U80" i="1"/>
  <c r="T80" i="1"/>
  <c r="S80" i="1"/>
  <c r="R80" i="1"/>
  <c r="Q80" i="1"/>
  <c r="P80" i="1"/>
  <c r="O80" i="1"/>
  <c r="N80" i="1"/>
  <c r="M80" i="1"/>
  <c r="L80" i="1"/>
  <c r="K80" i="1"/>
  <c r="AE79" i="1"/>
  <c r="AC79" i="1" s="1"/>
  <c r="AD79" i="1"/>
  <c r="AB79" i="1"/>
  <c r="AF79" i="1" s="1"/>
  <c r="AA79" i="1"/>
  <c r="Z79" i="1"/>
  <c r="Y79" i="1"/>
  <c r="X79" i="1"/>
  <c r="W79" i="1"/>
  <c r="V79" i="1"/>
  <c r="U79" i="1"/>
  <c r="T79" i="1"/>
  <c r="S79" i="1"/>
  <c r="R79" i="1"/>
  <c r="Q79" i="1"/>
  <c r="P79" i="1"/>
  <c r="O79" i="1"/>
  <c r="N79" i="1"/>
  <c r="M79" i="1"/>
  <c r="L79" i="1"/>
  <c r="K79" i="1"/>
  <c r="AE78" i="1"/>
  <c r="AD78" i="1"/>
  <c r="AB78" i="1"/>
  <c r="AF78" i="1" s="1"/>
  <c r="AA78" i="1"/>
  <c r="Z78" i="1"/>
  <c r="Y78" i="1"/>
  <c r="X78" i="1"/>
  <c r="W78" i="1"/>
  <c r="V78" i="1"/>
  <c r="U78" i="1"/>
  <c r="T78" i="1"/>
  <c r="S78" i="1"/>
  <c r="R78" i="1"/>
  <c r="Q78" i="1"/>
  <c r="P78" i="1"/>
  <c r="O78" i="1"/>
  <c r="N78" i="1"/>
  <c r="M78" i="1"/>
  <c r="L78" i="1"/>
  <c r="K78" i="1"/>
  <c r="AE77" i="1"/>
  <c r="AD77" i="1"/>
  <c r="AB77" i="1"/>
  <c r="AF77" i="1" s="1"/>
  <c r="AA77" i="1"/>
  <c r="Z77" i="1"/>
  <c r="Y77" i="1"/>
  <c r="X77" i="1"/>
  <c r="W77" i="1"/>
  <c r="V77" i="1"/>
  <c r="U77" i="1"/>
  <c r="T77" i="1"/>
  <c r="S77" i="1"/>
  <c r="R77" i="1"/>
  <c r="Q77" i="1"/>
  <c r="P77" i="1"/>
  <c r="O77" i="1"/>
  <c r="N77" i="1"/>
  <c r="M77" i="1"/>
  <c r="L77" i="1"/>
  <c r="K77" i="1"/>
  <c r="AE76" i="1"/>
  <c r="AC76" i="1" s="1"/>
  <c r="AD76" i="1"/>
  <c r="AB76" i="1"/>
  <c r="AF76" i="1" s="1"/>
  <c r="AA76" i="1"/>
  <c r="Z76" i="1"/>
  <c r="Y76" i="1"/>
  <c r="X76" i="1"/>
  <c r="W76" i="1"/>
  <c r="V76" i="1"/>
  <c r="U76" i="1"/>
  <c r="T76" i="1"/>
  <c r="S76" i="1"/>
  <c r="R76" i="1"/>
  <c r="Q76" i="1"/>
  <c r="P76" i="1"/>
  <c r="O76" i="1"/>
  <c r="N76" i="1"/>
  <c r="M76" i="1"/>
  <c r="L76" i="1"/>
  <c r="K76" i="1"/>
  <c r="AE75" i="1"/>
  <c r="AD75" i="1"/>
  <c r="AB75" i="1"/>
  <c r="AF75" i="1" s="1"/>
  <c r="AA75" i="1"/>
  <c r="Z75" i="1"/>
  <c r="Y75" i="1"/>
  <c r="X75" i="1"/>
  <c r="W75" i="1"/>
  <c r="V75" i="1"/>
  <c r="U75" i="1"/>
  <c r="T75" i="1"/>
  <c r="S75" i="1"/>
  <c r="R75" i="1"/>
  <c r="Q75" i="1"/>
  <c r="P75" i="1"/>
  <c r="O75" i="1"/>
  <c r="N75" i="1"/>
  <c r="M75" i="1"/>
  <c r="L75" i="1"/>
  <c r="K75" i="1"/>
  <c r="AE74" i="1"/>
  <c r="AD74" i="1"/>
  <c r="AC74" i="1" s="1"/>
  <c r="AB74" i="1"/>
  <c r="AF74" i="1" s="1"/>
  <c r="AA74" i="1"/>
  <c r="Z74" i="1"/>
  <c r="Y74" i="1"/>
  <c r="X74" i="1"/>
  <c r="W74" i="1"/>
  <c r="V74" i="1"/>
  <c r="U74" i="1"/>
  <c r="T74" i="1"/>
  <c r="S74" i="1"/>
  <c r="R74" i="1"/>
  <c r="Q74" i="1"/>
  <c r="P74" i="1"/>
  <c r="O74" i="1"/>
  <c r="N74" i="1"/>
  <c r="M74" i="1"/>
  <c r="L74" i="1"/>
  <c r="K74" i="1"/>
  <c r="AE73" i="1"/>
  <c r="AD73" i="1"/>
  <c r="AB73" i="1"/>
  <c r="AF73" i="1" s="1"/>
  <c r="AA73" i="1"/>
  <c r="Z73" i="1"/>
  <c r="Y73" i="1"/>
  <c r="X73" i="1"/>
  <c r="W73" i="1"/>
  <c r="V73" i="1"/>
  <c r="U73" i="1"/>
  <c r="T73" i="1"/>
  <c r="S73" i="1"/>
  <c r="R73" i="1"/>
  <c r="Q73" i="1"/>
  <c r="P73" i="1"/>
  <c r="O73" i="1"/>
  <c r="N73" i="1"/>
  <c r="M73" i="1"/>
  <c r="L73" i="1"/>
  <c r="K73" i="1"/>
  <c r="AE72" i="1"/>
  <c r="AD72" i="1"/>
  <c r="AC72" i="1" s="1"/>
  <c r="AB72" i="1"/>
  <c r="AF72" i="1" s="1"/>
  <c r="AA72" i="1"/>
  <c r="Z72" i="1"/>
  <c r="Y72" i="1"/>
  <c r="X72" i="1"/>
  <c r="W72" i="1"/>
  <c r="V72" i="1"/>
  <c r="U72" i="1"/>
  <c r="T72" i="1"/>
  <c r="S72" i="1"/>
  <c r="R72" i="1"/>
  <c r="Q72" i="1"/>
  <c r="P72" i="1"/>
  <c r="O72" i="1"/>
  <c r="N72" i="1"/>
  <c r="M72" i="1"/>
  <c r="L72" i="1"/>
  <c r="K72" i="1"/>
  <c r="AE71" i="1"/>
  <c r="AD71" i="1"/>
  <c r="AC71" i="1" s="1"/>
  <c r="AB71" i="1"/>
  <c r="AF71" i="1" s="1"/>
  <c r="AA71" i="1"/>
  <c r="Z71" i="1"/>
  <c r="Y71" i="1"/>
  <c r="X71" i="1"/>
  <c r="W71" i="1"/>
  <c r="V71" i="1"/>
  <c r="U71" i="1"/>
  <c r="T71" i="1"/>
  <c r="S71" i="1"/>
  <c r="R71" i="1"/>
  <c r="Q71" i="1"/>
  <c r="P71" i="1"/>
  <c r="O71" i="1"/>
  <c r="N71" i="1"/>
  <c r="M71" i="1"/>
  <c r="L71" i="1"/>
  <c r="K71" i="1"/>
  <c r="AE70" i="1"/>
  <c r="AD70" i="1"/>
  <c r="AB70" i="1"/>
  <c r="AF70" i="1" s="1"/>
  <c r="AA70" i="1"/>
  <c r="Z70" i="1"/>
  <c r="Y70" i="1"/>
  <c r="X70" i="1"/>
  <c r="W70" i="1"/>
  <c r="V70" i="1"/>
  <c r="U70" i="1"/>
  <c r="T70" i="1"/>
  <c r="S70" i="1"/>
  <c r="R70" i="1"/>
  <c r="Q70" i="1"/>
  <c r="P70" i="1"/>
  <c r="O70" i="1"/>
  <c r="N70" i="1"/>
  <c r="M70" i="1"/>
  <c r="L70" i="1"/>
  <c r="K70" i="1"/>
  <c r="AE69" i="1"/>
  <c r="AD69" i="1"/>
  <c r="AC69" i="1" s="1"/>
  <c r="AB69" i="1"/>
  <c r="AF69" i="1" s="1"/>
  <c r="AA69" i="1"/>
  <c r="Z69" i="1"/>
  <c r="Y69" i="1"/>
  <c r="X69" i="1"/>
  <c r="W69" i="1"/>
  <c r="V69" i="1"/>
  <c r="U69" i="1"/>
  <c r="T69" i="1"/>
  <c r="S69" i="1"/>
  <c r="R69" i="1"/>
  <c r="Q69" i="1"/>
  <c r="P69" i="1"/>
  <c r="O69" i="1"/>
  <c r="N69" i="1"/>
  <c r="M69" i="1"/>
  <c r="L69" i="1"/>
  <c r="K69" i="1"/>
  <c r="AF68" i="1"/>
  <c r="AE68" i="1"/>
  <c r="AC68" i="1" s="1"/>
  <c r="AD68" i="1"/>
  <c r="AB68" i="1"/>
  <c r="AA68" i="1"/>
  <c r="Z68" i="1"/>
  <c r="Y68" i="1"/>
  <c r="X68" i="1"/>
  <c r="W68" i="1"/>
  <c r="V68" i="1"/>
  <c r="U68" i="1"/>
  <c r="T68" i="1"/>
  <c r="S68" i="1"/>
  <c r="R68" i="1"/>
  <c r="Q68" i="1"/>
  <c r="P68" i="1"/>
  <c r="O68" i="1"/>
  <c r="N68" i="1"/>
  <c r="M68" i="1"/>
  <c r="L68" i="1"/>
  <c r="AE67" i="1"/>
  <c r="AD67" i="1"/>
  <c r="AC67" i="1" s="1"/>
  <c r="AB67" i="1"/>
  <c r="AF67" i="1" s="1"/>
  <c r="AA67" i="1"/>
  <c r="Z67" i="1"/>
  <c r="Y67" i="1"/>
  <c r="X67" i="1"/>
  <c r="W67" i="1"/>
  <c r="V67" i="1"/>
  <c r="U67" i="1"/>
  <c r="T67" i="1"/>
  <c r="S67" i="1"/>
  <c r="R67" i="1"/>
  <c r="Q67" i="1"/>
  <c r="P67" i="1"/>
  <c r="O67" i="1"/>
  <c r="N67" i="1"/>
  <c r="M67" i="1"/>
  <c r="L67" i="1"/>
  <c r="AE66" i="1"/>
  <c r="AD66" i="1"/>
  <c r="AC66" i="1" s="1"/>
  <c r="AB66" i="1"/>
  <c r="AF66" i="1" s="1"/>
  <c r="AA66" i="1"/>
  <c r="Z66" i="1"/>
  <c r="Y66" i="1"/>
  <c r="X66" i="1"/>
  <c r="W66" i="1"/>
  <c r="V66" i="1"/>
  <c r="U66" i="1"/>
  <c r="T66" i="1"/>
  <c r="S66" i="1"/>
  <c r="R66" i="1"/>
  <c r="Q66" i="1"/>
  <c r="P66" i="1"/>
  <c r="O66" i="1"/>
  <c r="N66" i="1"/>
  <c r="M66" i="1"/>
  <c r="L66" i="1"/>
  <c r="K66" i="1"/>
  <c r="AE65" i="1"/>
  <c r="AD65" i="1"/>
  <c r="AC65" i="1" s="1"/>
  <c r="AB65" i="1"/>
  <c r="AF65" i="1" s="1"/>
  <c r="AA65" i="1"/>
  <c r="Z65" i="1"/>
  <c r="Y65" i="1"/>
  <c r="X65" i="1"/>
  <c r="W65" i="1"/>
  <c r="V65" i="1"/>
  <c r="U65" i="1"/>
  <c r="T65" i="1"/>
  <c r="S65" i="1"/>
  <c r="R65" i="1"/>
  <c r="Q65" i="1"/>
  <c r="P65" i="1"/>
  <c r="O65" i="1"/>
  <c r="N65" i="1"/>
  <c r="M65" i="1"/>
  <c r="L65" i="1"/>
  <c r="K65" i="1"/>
  <c r="AE64" i="1"/>
  <c r="AD64" i="1"/>
  <c r="AC64" i="1"/>
  <c r="AB64" i="1"/>
  <c r="AF64" i="1" s="1"/>
  <c r="AA64" i="1"/>
  <c r="Z64" i="1"/>
  <c r="Y64" i="1"/>
  <c r="X64" i="1"/>
  <c r="W64" i="1"/>
  <c r="V64" i="1"/>
  <c r="U64" i="1"/>
  <c r="T64" i="1"/>
  <c r="S64" i="1"/>
  <c r="R64" i="1"/>
  <c r="Q64" i="1"/>
  <c r="P64" i="1"/>
  <c r="O64" i="1"/>
  <c r="N64" i="1"/>
  <c r="M64" i="1"/>
  <c r="L64" i="1"/>
  <c r="K64" i="1"/>
  <c r="AE63" i="1"/>
  <c r="AD63" i="1"/>
  <c r="AC63" i="1" s="1"/>
  <c r="AB63" i="1"/>
  <c r="AF63" i="1" s="1"/>
  <c r="AA63" i="1"/>
  <c r="Z63" i="1"/>
  <c r="Y63" i="1"/>
  <c r="X63" i="1"/>
  <c r="W63" i="1"/>
  <c r="V63" i="1"/>
  <c r="U63" i="1"/>
  <c r="T63" i="1"/>
  <c r="S63" i="1"/>
  <c r="R63" i="1"/>
  <c r="Q63" i="1"/>
  <c r="P63" i="1"/>
  <c r="O63" i="1"/>
  <c r="N63" i="1"/>
  <c r="M63" i="1"/>
  <c r="L63" i="1"/>
  <c r="K63" i="1"/>
  <c r="AE62" i="1"/>
  <c r="AD62" i="1"/>
  <c r="AC62" i="1" s="1"/>
  <c r="AB62" i="1"/>
  <c r="AF62" i="1" s="1"/>
  <c r="AA62" i="1"/>
  <c r="Z62" i="1"/>
  <c r="Y62" i="1"/>
  <c r="X62" i="1"/>
  <c r="W62" i="1"/>
  <c r="V62" i="1"/>
  <c r="U62" i="1"/>
  <c r="T62" i="1"/>
  <c r="S62" i="1"/>
  <c r="R62" i="1"/>
  <c r="Q62" i="1"/>
  <c r="P62" i="1"/>
  <c r="O62" i="1"/>
  <c r="N62" i="1"/>
  <c r="M62" i="1"/>
  <c r="L62" i="1"/>
  <c r="K62" i="1"/>
  <c r="AE61" i="1"/>
  <c r="AD61" i="1"/>
  <c r="AC61" i="1" s="1"/>
  <c r="AB61" i="1"/>
  <c r="AF61" i="1" s="1"/>
  <c r="AA61" i="1"/>
  <c r="Z61" i="1"/>
  <c r="Y61" i="1"/>
  <c r="X61" i="1"/>
  <c r="W61" i="1"/>
  <c r="V61" i="1"/>
  <c r="U61" i="1"/>
  <c r="T61" i="1"/>
  <c r="S61" i="1"/>
  <c r="R61" i="1"/>
  <c r="Q61" i="1"/>
  <c r="P61" i="1"/>
  <c r="O61" i="1"/>
  <c r="N61" i="1"/>
  <c r="M61" i="1"/>
  <c r="L61" i="1"/>
  <c r="K61" i="1"/>
  <c r="AF60" i="1"/>
  <c r="AE60" i="1"/>
  <c r="AD60" i="1"/>
  <c r="AB60" i="1"/>
  <c r="AA60" i="1"/>
  <c r="Z60" i="1"/>
  <c r="Y60" i="1"/>
  <c r="X60" i="1"/>
  <c r="W60" i="1"/>
  <c r="V60" i="1"/>
  <c r="U60" i="1"/>
  <c r="T60" i="1"/>
  <c r="S60" i="1"/>
  <c r="R60" i="1"/>
  <c r="Q60" i="1"/>
  <c r="P60" i="1"/>
  <c r="O60" i="1"/>
  <c r="N60" i="1"/>
  <c r="M60" i="1"/>
  <c r="L60" i="1"/>
  <c r="K60" i="1"/>
  <c r="AE59" i="1"/>
  <c r="AD59" i="1"/>
  <c r="AC59" i="1" s="1"/>
  <c r="AB59" i="1"/>
  <c r="AF59" i="1" s="1"/>
  <c r="AA59" i="1"/>
  <c r="Z59" i="1"/>
  <c r="Y59" i="1"/>
  <c r="X59" i="1"/>
  <c r="W59" i="1"/>
  <c r="V59" i="1"/>
  <c r="U59" i="1"/>
  <c r="T59" i="1"/>
  <c r="S59" i="1"/>
  <c r="R59" i="1"/>
  <c r="Q59" i="1"/>
  <c r="P59" i="1"/>
  <c r="O59" i="1"/>
  <c r="N59" i="1"/>
  <c r="M59" i="1"/>
  <c r="L59" i="1"/>
  <c r="K59" i="1"/>
  <c r="AE58" i="1"/>
  <c r="AD58" i="1"/>
  <c r="AC58" i="1"/>
  <c r="AB58" i="1"/>
  <c r="AF58" i="1" s="1"/>
  <c r="AA58" i="1"/>
  <c r="Z58" i="1"/>
  <c r="Y58" i="1"/>
  <c r="X58" i="1"/>
  <c r="W58" i="1"/>
  <c r="V58" i="1"/>
  <c r="U58" i="1"/>
  <c r="T58" i="1"/>
  <c r="S58" i="1"/>
  <c r="R58" i="1"/>
  <c r="Q58" i="1"/>
  <c r="P58" i="1"/>
  <c r="O58" i="1"/>
  <c r="N58" i="1"/>
  <c r="M58" i="1"/>
  <c r="L58" i="1"/>
  <c r="K58" i="1"/>
  <c r="AE57" i="1"/>
  <c r="AD57" i="1"/>
  <c r="AB57" i="1"/>
  <c r="AF57" i="1" s="1"/>
  <c r="AA57" i="1"/>
  <c r="Z57" i="1"/>
  <c r="Y57" i="1"/>
  <c r="X57" i="1"/>
  <c r="W57" i="1"/>
  <c r="V57" i="1"/>
  <c r="U57" i="1"/>
  <c r="T57" i="1"/>
  <c r="S57" i="1"/>
  <c r="R57" i="1"/>
  <c r="Q57" i="1"/>
  <c r="P57" i="1"/>
  <c r="O57" i="1"/>
  <c r="N57" i="1"/>
  <c r="M57" i="1"/>
  <c r="L57" i="1"/>
  <c r="K57" i="1"/>
  <c r="AE56" i="1"/>
  <c r="AD56" i="1"/>
  <c r="AC56" i="1" s="1"/>
  <c r="AB56" i="1"/>
  <c r="AF56" i="1" s="1"/>
  <c r="AA56" i="1"/>
  <c r="Z56" i="1"/>
  <c r="Y56" i="1"/>
  <c r="X56" i="1"/>
  <c r="W56" i="1"/>
  <c r="V56" i="1"/>
  <c r="U56" i="1"/>
  <c r="T56" i="1"/>
  <c r="S56" i="1"/>
  <c r="R56" i="1"/>
  <c r="Q56" i="1"/>
  <c r="P56" i="1"/>
  <c r="O56" i="1"/>
  <c r="N56" i="1"/>
  <c r="M56" i="1"/>
  <c r="L56" i="1"/>
  <c r="K56" i="1"/>
  <c r="AE55" i="1"/>
  <c r="AD55" i="1"/>
  <c r="AC55" i="1"/>
  <c r="AB55" i="1"/>
  <c r="AF55" i="1" s="1"/>
  <c r="AA55" i="1"/>
  <c r="Z55" i="1"/>
  <c r="Y55" i="1"/>
  <c r="X55" i="1"/>
  <c r="W55" i="1"/>
  <c r="V55" i="1"/>
  <c r="U55" i="1"/>
  <c r="T55" i="1"/>
  <c r="S55" i="1"/>
  <c r="R55" i="1"/>
  <c r="Q55" i="1"/>
  <c r="P55" i="1"/>
  <c r="O55" i="1"/>
  <c r="N55" i="1"/>
  <c r="M55" i="1"/>
  <c r="L55" i="1"/>
  <c r="K55" i="1"/>
  <c r="AE54" i="1"/>
  <c r="AD54" i="1"/>
  <c r="AC54" i="1" s="1"/>
  <c r="AB54" i="1"/>
  <c r="AF54" i="1" s="1"/>
  <c r="AA54" i="1"/>
  <c r="Z54" i="1"/>
  <c r="Y54" i="1"/>
  <c r="X54" i="1"/>
  <c r="W54" i="1"/>
  <c r="V54" i="1"/>
  <c r="U54" i="1"/>
  <c r="T54" i="1"/>
  <c r="S54" i="1"/>
  <c r="R54" i="1"/>
  <c r="Q54" i="1"/>
  <c r="P54" i="1"/>
  <c r="O54" i="1"/>
  <c r="N54" i="1"/>
  <c r="M54" i="1"/>
  <c r="L54" i="1"/>
  <c r="K54" i="1"/>
  <c r="AE53" i="1"/>
  <c r="AD53" i="1"/>
  <c r="AB53" i="1"/>
  <c r="AF53" i="1" s="1"/>
  <c r="AA53" i="1"/>
  <c r="Z53" i="1"/>
  <c r="Y53" i="1"/>
  <c r="X53" i="1"/>
  <c r="W53" i="1"/>
  <c r="V53" i="1"/>
  <c r="U53" i="1"/>
  <c r="T53" i="1"/>
  <c r="S53" i="1"/>
  <c r="R53" i="1"/>
  <c r="Q53" i="1"/>
  <c r="P53" i="1"/>
  <c r="O53" i="1"/>
  <c r="N53" i="1"/>
  <c r="M53" i="1"/>
  <c r="L53" i="1"/>
  <c r="K53" i="1"/>
  <c r="AF52" i="1"/>
  <c r="AE52" i="1"/>
  <c r="AD52" i="1"/>
  <c r="AB52" i="1"/>
  <c r="AA52" i="1"/>
  <c r="Z52" i="1"/>
  <c r="Y52" i="1"/>
  <c r="X52" i="1"/>
  <c r="W52" i="1"/>
  <c r="V52" i="1"/>
  <c r="U52" i="1"/>
  <c r="T52" i="1"/>
  <c r="S52" i="1"/>
  <c r="R52" i="1"/>
  <c r="Q52" i="1"/>
  <c r="P52" i="1"/>
  <c r="O52" i="1"/>
  <c r="N52" i="1"/>
  <c r="M52" i="1"/>
  <c r="L52" i="1"/>
  <c r="K52" i="1"/>
  <c r="AE51" i="1"/>
  <c r="AD51" i="1"/>
  <c r="AB51" i="1"/>
  <c r="AF51" i="1" s="1"/>
  <c r="AA51" i="1"/>
  <c r="Z51" i="1"/>
  <c r="Y51" i="1"/>
  <c r="X51" i="1"/>
  <c r="W51" i="1"/>
  <c r="V51" i="1"/>
  <c r="U51" i="1"/>
  <c r="T51" i="1"/>
  <c r="S51" i="1"/>
  <c r="R51" i="1"/>
  <c r="Q51" i="1"/>
  <c r="P51" i="1"/>
  <c r="O51" i="1"/>
  <c r="N51" i="1"/>
  <c r="M51" i="1"/>
  <c r="L51" i="1"/>
  <c r="K51" i="1"/>
  <c r="AF50" i="1"/>
  <c r="AE50" i="1"/>
  <c r="AD50" i="1"/>
  <c r="AC50" i="1"/>
  <c r="AB50" i="1"/>
  <c r="AA50" i="1"/>
  <c r="Z50" i="1"/>
  <c r="Y50" i="1"/>
  <c r="X50" i="1"/>
  <c r="W50" i="1"/>
  <c r="V50" i="1"/>
  <c r="U50" i="1"/>
  <c r="T50" i="1"/>
  <c r="S50" i="1"/>
  <c r="R50" i="1"/>
  <c r="Q50" i="1"/>
  <c r="P50" i="1"/>
  <c r="O50" i="1"/>
  <c r="N50" i="1"/>
  <c r="M50" i="1"/>
  <c r="L50" i="1"/>
  <c r="K50" i="1"/>
  <c r="AE49" i="1"/>
  <c r="AD49" i="1"/>
  <c r="AB49" i="1"/>
  <c r="AF49" i="1" s="1"/>
  <c r="AA49" i="1"/>
  <c r="Z49" i="1"/>
  <c r="Y49" i="1"/>
  <c r="X49" i="1"/>
  <c r="W49" i="1"/>
  <c r="V49" i="1"/>
  <c r="U49" i="1"/>
  <c r="T49" i="1"/>
  <c r="S49" i="1"/>
  <c r="R49" i="1"/>
  <c r="Q49" i="1"/>
  <c r="P49" i="1"/>
  <c r="O49" i="1"/>
  <c r="N49" i="1"/>
  <c r="M49" i="1"/>
  <c r="L49" i="1"/>
  <c r="K49" i="1"/>
  <c r="AE48" i="1"/>
  <c r="AD48" i="1"/>
  <c r="AC48" i="1"/>
  <c r="AB48" i="1"/>
  <c r="AF48" i="1" s="1"/>
  <c r="AA48" i="1"/>
  <c r="Z48" i="1"/>
  <c r="Y48" i="1"/>
  <c r="X48" i="1"/>
  <c r="W48" i="1"/>
  <c r="V48" i="1"/>
  <c r="U48" i="1"/>
  <c r="T48" i="1"/>
  <c r="S48" i="1"/>
  <c r="R48" i="1"/>
  <c r="Q48" i="1"/>
  <c r="P48" i="1"/>
  <c r="O48" i="1"/>
  <c r="N48" i="1"/>
  <c r="M48" i="1"/>
  <c r="L48" i="1"/>
  <c r="K48" i="1"/>
  <c r="AE47" i="1"/>
  <c r="AD47" i="1"/>
  <c r="AC47" i="1" s="1"/>
  <c r="AB47" i="1"/>
  <c r="AF47" i="1" s="1"/>
  <c r="AA47" i="1"/>
  <c r="Z47" i="1"/>
  <c r="Y47" i="1"/>
  <c r="X47" i="1"/>
  <c r="W47" i="1"/>
  <c r="V47" i="1"/>
  <c r="U47" i="1"/>
  <c r="T47" i="1"/>
  <c r="S47" i="1"/>
  <c r="R47" i="1"/>
  <c r="Q47" i="1"/>
  <c r="P47" i="1"/>
  <c r="O47" i="1"/>
  <c r="N47" i="1"/>
  <c r="M47" i="1"/>
  <c r="L47" i="1"/>
  <c r="K47" i="1"/>
  <c r="AE46" i="1"/>
  <c r="AD46" i="1"/>
  <c r="AC46" i="1" s="1"/>
  <c r="AB46" i="1"/>
  <c r="AF46" i="1" s="1"/>
  <c r="AA46" i="1"/>
  <c r="Z46" i="1"/>
  <c r="Y46" i="1"/>
  <c r="X46" i="1"/>
  <c r="W46" i="1"/>
  <c r="V46" i="1"/>
  <c r="U46" i="1"/>
  <c r="T46" i="1"/>
  <c r="S46" i="1"/>
  <c r="R46" i="1"/>
  <c r="Q46" i="1"/>
  <c r="P46" i="1"/>
  <c r="O46" i="1"/>
  <c r="N46" i="1"/>
  <c r="M46" i="1"/>
  <c r="L46" i="1"/>
  <c r="K46" i="1"/>
  <c r="AE45" i="1"/>
  <c r="AD45" i="1"/>
  <c r="AB45" i="1"/>
  <c r="AF45" i="1" s="1"/>
  <c r="AA45" i="1"/>
  <c r="Z45" i="1"/>
  <c r="Y45" i="1"/>
  <c r="X45" i="1"/>
  <c r="W45" i="1"/>
  <c r="V45" i="1"/>
  <c r="U45" i="1"/>
  <c r="T45" i="1"/>
  <c r="S45" i="1"/>
  <c r="R45" i="1"/>
  <c r="Q45" i="1"/>
  <c r="P45" i="1"/>
  <c r="O45" i="1"/>
  <c r="N45" i="1"/>
  <c r="M45" i="1"/>
  <c r="L45" i="1"/>
  <c r="K45" i="1"/>
  <c r="AF44" i="1"/>
  <c r="AE44" i="1"/>
  <c r="AC44" i="1" s="1"/>
  <c r="AD44" i="1"/>
  <c r="AB44" i="1"/>
  <c r="AA44" i="1"/>
  <c r="Z44" i="1"/>
  <c r="Y44" i="1"/>
  <c r="X44" i="1"/>
  <c r="W44" i="1"/>
  <c r="V44" i="1"/>
  <c r="U44" i="1"/>
  <c r="T44" i="1"/>
  <c r="S44" i="1"/>
  <c r="R44" i="1"/>
  <c r="Q44" i="1"/>
  <c r="P44" i="1"/>
  <c r="O44" i="1"/>
  <c r="N44" i="1"/>
  <c r="M44" i="1"/>
  <c r="L44" i="1"/>
  <c r="K44" i="1"/>
  <c r="AE43" i="1"/>
  <c r="AD43" i="1"/>
  <c r="AC43" i="1" s="1"/>
  <c r="AB43" i="1"/>
  <c r="AF43" i="1" s="1"/>
  <c r="AA43" i="1"/>
  <c r="Z43" i="1"/>
  <c r="Y43" i="1"/>
  <c r="X43" i="1"/>
  <c r="W43" i="1"/>
  <c r="V43" i="1"/>
  <c r="U43" i="1"/>
  <c r="T43" i="1"/>
  <c r="S43" i="1"/>
  <c r="R43" i="1"/>
  <c r="Q43" i="1"/>
  <c r="P43" i="1"/>
  <c r="O43" i="1"/>
  <c r="N43" i="1"/>
  <c r="M43" i="1"/>
  <c r="L43" i="1"/>
  <c r="K43" i="1"/>
  <c r="AF42" i="1"/>
  <c r="AE42" i="1"/>
  <c r="AD42" i="1"/>
  <c r="AC42" i="1"/>
  <c r="AB42" i="1"/>
  <c r="AA42" i="1"/>
  <c r="Z42" i="1"/>
  <c r="Y42" i="1"/>
  <c r="X42" i="1"/>
  <c r="W42" i="1"/>
  <c r="V42" i="1"/>
  <c r="U42" i="1"/>
  <c r="T42" i="1"/>
  <c r="S42" i="1"/>
  <c r="R42" i="1"/>
  <c r="Q42" i="1"/>
  <c r="P42" i="1"/>
  <c r="O42" i="1"/>
  <c r="N42" i="1"/>
  <c r="M42" i="1"/>
  <c r="L42" i="1"/>
  <c r="K42" i="1"/>
  <c r="AE41" i="1"/>
  <c r="AD41" i="1"/>
  <c r="AB41" i="1"/>
  <c r="AF41" i="1" s="1"/>
  <c r="AA41" i="1"/>
  <c r="Z41" i="1"/>
  <c r="Y41" i="1"/>
  <c r="X41" i="1"/>
  <c r="W41" i="1"/>
  <c r="V41" i="1"/>
  <c r="U41" i="1"/>
  <c r="T41" i="1"/>
  <c r="S41" i="1"/>
  <c r="R41" i="1"/>
  <c r="Q41" i="1"/>
  <c r="P41" i="1"/>
  <c r="O41" i="1"/>
  <c r="N41" i="1"/>
  <c r="M41" i="1"/>
  <c r="L41" i="1"/>
  <c r="K41" i="1"/>
  <c r="AE40" i="1"/>
  <c r="AD40" i="1"/>
  <c r="AC40" i="1" s="1"/>
  <c r="AB40" i="1"/>
  <c r="AF40" i="1" s="1"/>
  <c r="AA40" i="1"/>
  <c r="Z40" i="1"/>
  <c r="Y40" i="1"/>
  <c r="X40" i="1"/>
  <c r="W40" i="1"/>
  <c r="V40" i="1"/>
  <c r="U40" i="1"/>
  <c r="T40" i="1"/>
  <c r="S40" i="1"/>
  <c r="R40" i="1"/>
  <c r="Q40" i="1"/>
  <c r="P40" i="1"/>
  <c r="O40" i="1"/>
  <c r="N40" i="1"/>
  <c r="M40" i="1"/>
  <c r="L40" i="1"/>
  <c r="K40" i="1"/>
  <c r="AE39" i="1"/>
  <c r="AD39" i="1"/>
  <c r="AC39" i="1" s="1"/>
  <c r="AB39" i="1"/>
  <c r="AF39" i="1" s="1"/>
  <c r="AA39" i="1"/>
  <c r="Z39" i="1"/>
  <c r="Y39" i="1"/>
  <c r="X39" i="1"/>
  <c r="W39" i="1"/>
  <c r="V39" i="1"/>
  <c r="U39" i="1"/>
  <c r="T39" i="1"/>
  <c r="S39" i="1"/>
  <c r="R39" i="1"/>
  <c r="Q39" i="1"/>
  <c r="P39" i="1"/>
  <c r="O39" i="1"/>
  <c r="N39" i="1"/>
  <c r="M39" i="1"/>
  <c r="L39" i="1"/>
  <c r="K39" i="1"/>
  <c r="AE38" i="1"/>
  <c r="AD38" i="1"/>
  <c r="AC38" i="1" s="1"/>
  <c r="AB38" i="1"/>
  <c r="AF38" i="1" s="1"/>
  <c r="AA38" i="1"/>
  <c r="Z38" i="1"/>
  <c r="Y38" i="1"/>
  <c r="X38" i="1"/>
  <c r="W38" i="1"/>
  <c r="V38" i="1"/>
  <c r="U38" i="1"/>
  <c r="T38" i="1"/>
  <c r="S38" i="1"/>
  <c r="R38" i="1"/>
  <c r="Q38" i="1"/>
  <c r="P38" i="1"/>
  <c r="O38" i="1"/>
  <c r="N38" i="1"/>
  <c r="M38" i="1"/>
  <c r="L38" i="1"/>
  <c r="K38" i="1"/>
  <c r="AF37" i="1"/>
  <c r="AE37" i="1"/>
  <c r="AD37" i="1"/>
  <c r="AC37" i="1" s="1"/>
  <c r="AB37" i="1"/>
  <c r="AA37" i="1"/>
  <c r="Z37" i="1"/>
  <c r="Y37" i="1"/>
  <c r="X37" i="1"/>
  <c r="W37" i="1"/>
  <c r="V37" i="1"/>
  <c r="U37" i="1"/>
  <c r="T37" i="1"/>
  <c r="S37" i="1"/>
  <c r="R37" i="1"/>
  <c r="Q37" i="1"/>
  <c r="P37" i="1"/>
  <c r="O37" i="1"/>
  <c r="N37" i="1"/>
  <c r="M37" i="1"/>
  <c r="L37" i="1"/>
  <c r="K37" i="1"/>
  <c r="AE36" i="1"/>
  <c r="AC36" i="1" s="1"/>
  <c r="AD36" i="1"/>
  <c r="AB36" i="1"/>
  <c r="AF36" i="1" s="1"/>
  <c r="AA36" i="1"/>
  <c r="Z36" i="1"/>
  <c r="Y36" i="1"/>
  <c r="X36" i="1"/>
  <c r="W36" i="1"/>
  <c r="V36" i="1"/>
  <c r="U36" i="1"/>
  <c r="T36" i="1"/>
  <c r="S36" i="1"/>
  <c r="R36" i="1"/>
  <c r="Q36" i="1"/>
  <c r="P36" i="1"/>
  <c r="O36" i="1"/>
  <c r="N36" i="1"/>
  <c r="M36" i="1"/>
  <c r="L36" i="1"/>
  <c r="K36" i="1"/>
  <c r="AE35" i="1"/>
  <c r="AD35" i="1"/>
  <c r="AC35" i="1" s="1"/>
  <c r="AB35" i="1"/>
  <c r="AF35" i="1" s="1"/>
  <c r="AA35" i="1"/>
  <c r="Z35" i="1"/>
  <c r="Y35" i="1"/>
  <c r="X35" i="1"/>
  <c r="W35" i="1"/>
  <c r="V35" i="1"/>
  <c r="U35" i="1"/>
  <c r="T35" i="1"/>
  <c r="S35" i="1"/>
  <c r="R35" i="1"/>
  <c r="Q35" i="1"/>
  <c r="P35" i="1"/>
  <c r="O35" i="1"/>
  <c r="N35" i="1"/>
  <c r="M35" i="1"/>
  <c r="L35" i="1"/>
  <c r="K35" i="1"/>
  <c r="AE34" i="1"/>
  <c r="AD34" i="1"/>
  <c r="AC34" i="1"/>
  <c r="AB34" i="1"/>
  <c r="AF34" i="1" s="1"/>
  <c r="AA34" i="1"/>
  <c r="Z34" i="1"/>
  <c r="Y34" i="1"/>
  <c r="X34" i="1"/>
  <c r="W34" i="1"/>
  <c r="V34" i="1"/>
  <c r="U34" i="1"/>
  <c r="T34" i="1"/>
  <c r="S34" i="1"/>
  <c r="R34" i="1"/>
  <c r="Q34" i="1"/>
  <c r="P34" i="1"/>
  <c r="O34" i="1"/>
  <c r="N34" i="1"/>
  <c r="M34" i="1"/>
  <c r="L34" i="1"/>
  <c r="K34" i="1"/>
  <c r="AE33" i="1"/>
  <c r="AD33" i="1"/>
  <c r="AB33" i="1"/>
  <c r="AF33" i="1" s="1"/>
  <c r="AA33" i="1"/>
  <c r="Z33" i="1"/>
  <c r="Y33" i="1"/>
  <c r="X33" i="1"/>
  <c r="W33" i="1"/>
  <c r="V33" i="1"/>
  <c r="U33" i="1"/>
  <c r="T33" i="1"/>
  <c r="S33" i="1"/>
  <c r="R33" i="1"/>
  <c r="Q33" i="1"/>
  <c r="P33" i="1"/>
  <c r="O33" i="1"/>
  <c r="N33" i="1"/>
  <c r="M33" i="1"/>
  <c r="L33" i="1"/>
  <c r="K33" i="1"/>
  <c r="AE32" i="1"/>
  <c r="AD32" i="1"/>
  <c r="AC32" i="1" s="1"/>
  <c r="AB32" i="1"/>
  <c r="AF32" i="1" s="1"/>
  <c r="AA32" i="1"/>
  <c r="Z32" i="1"/>
  <c r="Y32" i="1"/>
  <c r="X32" i="1"/>
  <c r="W32" i="1"/>
  <c r="V32" i="1"/>
  <c r="U32" i="1"/>
  <c r="T32" i="1"/>
  <c r="S32" i="1"/>
  <c r="R32" i="1"/>
  <c r="Q32" i="1"/>
  <c r="P32" i="1"/>
  <c r="O32" i="1"/>
  <c r="N32" i="1"/>
  <c r="M32" i="1"/>
  <c r="L32" i="1"/>
  <c r="K32" i="1"/>
  <c r="AE31" i="1"/>
  <c r="AD31" i="1"/>
  <c r="AC31" i="1"/>
  <c r="AB31" i="1"/>
  <c r="AF31" i="1" s="1"/>
  <c r="AA31" i="1"/>
  <c r="Z31" i="1"/>
  <c r="Y31" i="1"/>
  <c r="X31" i="1"/>
  <c r="W31" i="1"/>
  <c r="V31" i="1"/>
  <c r="U31" i="1"/>
  <c r="T31" i="1"/>
  <c r="S31" i="1"/>
  <c r="R31" i="1"/>
  <c r="Q31" i="1"/>
  <c r="P31" i="1"/>
  <c r="O31" i="1"/>
  <c r="N31" i="1"/>
  <c r="M31" i="1"/>
  <c r="L31" i="1"/>
  <c r="K31" i="1"/>
  <c r="AE30" i="1"/>
  <c r="AD30" i="1"/>
  <c r="AC30" i="1" s="1"/>
  <c r="AB30" i="1"/>
  <c r="AF30" i="1" s="1"/>
  <c r="AA30" i="1"/>
  <c r="Z30" i="1"/>
  <c r="Y30" i="1"/>
  <c r="X30" i="1"/>
  <c r="W30" i="1"/>
  <c r="V30" i="1"/>
  <c r="U30" i="1"/>
  <c r="T30" i="1"/>
  <c r="S30" i="1"/>
  <c r="R30" i="1"/>
  <c r="Q30" i="1"/>
  <c r="P30" i="1"/>
  <c r="O30" i="1"/>
  <c r="N30" i="1"/>
  <c r="M30" i="1"/>
  <c r="L30" i="1"/>
  <c r="K30" i="1"/>
  <c r="AF29" i="1"/>
  <c r="AE29" i="1"/>
  <c r="AD29" i="1"/>
  <c r="AC29" i="1" s="1"/>
  <c r="AB29" i="1"/>
  <c r="AA29" i="1"/>
  <c r="Z29" i="1"/>
  <c r="Y29" i="1"/>
  <c r="X29" i="1"/>
  <c r="W29" i="1"/>
  <c r="V29" i="1"/>
  <c r="U29" i="1"/>
  <c r="T29" i="1"/>
  <c r="S29" i="1"/>
  <c r="R29" i="1"/>
  <c r="Q29" i="1"/>
  <c r="P29" i="1"/>
  <c r="O29" i="1"/>
  <c r="N29" i="1"/>
  <c r="M29" i="1"/>
  <c r="L29" i="1"/>
  <c r="K29" i="1"/>
  <c r="AE28" i="1"/>
  <c r="AC28" i="1" s="1"/>
  <c r="AD28" i="1"/>
  <c r="AB28" i="1"/>
  <c r="AF28" i="1" s="1"/>
  <c r="AA28" i="1"/>
  <c r="Z28" i="1"/>
  <c r="Y28" i="1"/>
  <c r="X28" i="1"/>
  <c r="W28" i="1"/>
  <c r="V28" i="1"/>
  <c r="U28" i="1"/>
  <c r="T28" i="1"/>
  <c r="S28" i="1"/>
  <c r="R28" i="1"/>
  <c r="Q28" i="1"/>
  <c r="P28" i="1"/>
  <c r="O28" i="1"/>
  <c r="N28" i="1"/>
  <c r="M28" i="1"/>
  <c r="L28" i="1"/>
  <c r="K28" i="1"/>
  <c r="AE27" i="1"/>
  <c r="AD27" i="1"/>
  <c r="AC27" i="1" s="1"/>
  <c r="AB27" i="1"/>
  <c r="AF27" i="1" s="1"/>
  <c r="AA27" i="1"/>
  <c r="Z27" i="1"/>
  <c r="Y27" i="1"/>
  <c r="X27" i="1"/>
  <c r="W27" i="1"/>
  <c r="V27" i="1"/>
  <c r="U27" i="1"/>
  <c r="T27" i="1"/>
  <c r="S27" i="1"/>
  <c r="R27" i="1"/>
  <c r="Q27" i="1"/>
  <c r="P27" i="1"/>
  <c r="O27" i="1"/>
  <c r="N27" i="1"/>
  <c r="M27" i="1"/>
  <c r="L27" i="1"/>
  <c r="K27" i="1"/>
  <c r="AE26" i="1"/>
  <c r="AD26" i="1"/>
  <c r="AC26" i="1" s="1"/>
  <c r="AB26" i="1"/>
  <c r="AF26" i="1" s="1"/>
  <c r="AA26" i="1"/>
  <c r="Z26" i="1"/>
  <c r="Y26" i="1"/>
  <c r="X26" i="1"/>
  <c r="W26" i="1"/>
  <c r="V26" i="1"/>
  <c r="U26" i="1"/>
  <c r="T26" i="1"/>
  <c r="S26" i="1"/>
  <c r="R26" i="1"/>
  <c r="Q26" i="1"/>
  <c r="P26" i="1"/>
  <c r="O26" i="1"/>
  <c r="N26" i="1"/>
  <c r="M26" i="1"/>
  <c r="L26" i="1"/>
  <c r="K26" i="1"/>
  <c r="AE25" i="1"/>
  <c r="AD25" i="1"/>
  <c r="AC25" i="1" s="1"/>
  <c r="AB25" i="1"/>
  <c r="AF25" i="1" s="1"/>
  <c r="AA25" i="1"/>
  <c r="Z25" i="1"/>
  <c r="Y25" i="1"/>
  <c r="X25" i="1"/>
  <c r="W25" i="1"/>
  <c r="V25" i="1"/>
  <c r="U25" i="1"/>
  <c r="T25" i="1"/>
  <c r="S25" i="1"/>
  <c r="R25" i="1"/>
  <c r="Q25" i="1"/>
  <c r="P25" i="1"/>
  <c r="O25" i="1"/>
  <c r="N25" i="1"/>
  <c r="M25" i="1"/>
  <c r="L25" i="1"/>
  <c r="K25" i="1"/>
  <c r="AE24" i="1"/>
  <c r="AD24" i="1"/>
  <c r="AC24" i="1"/>
  <c r="AB24" i="1"/>
  <c r="AF24" i="1" s="1"/>
  <c r="AA24" i="1"/>
  <c r="Z24" i="1"/>
  <c r="Y24" i="1"/>
  <c r="X24" i="1"/>
  <c r="W24" i="1"/>
  <c r="V24" i="1"/>
  <c r="U24" i="1"/>
  <c r="T24" i="1"/>
  <c r="S24" i="1"/>
  <c r="R24" i="1"/>
  <c r="Q24" i="1"/>
  <c r="P24" i="1"/>
  <c r="O24" i="1"/>
  <c r="N24" i="1"/>
  <c r="M24" i="1"/>
  <c r="L24" i="1"/>
  <c r="K24" i="1"/>
  <c r="AE23" i="1"/>
  <c r="AD23" i="1"/>
  <c r="AC23" i="1" s="1"/>
  <c r="AB23" i="1"/>
  <c r="AF23" i="1" s="1"/>
  <c r="AA23" i="1"/>
  <c r="Z23" i="1"/>
  <c r="Y23" i="1"/>
  <c r="X23" i="1"/>
  <c r="W23" i="1"/>
  <c r="V23" i="1"/>
  <c r="U23" i="1"/>
  <c r="T23" i="1"/>
  <c r="S23" i="1"/>
  <c r="R23" i="1"/>
  <c r="Q23" i="1"/>
  <c r="P23" i="1"/>
  <c r="O23" i="1"/>
  <c r="N23" i="1"/>
  <c r="M23" i="1"/>
  <c r="L23" i="1"/>
  <c r="K23" i="1"/>
  <c r="AE22" i="1"/>
  <c r="AD22" i="1"/>
  <c r="AB22" i="1"/>
  <c r="AF22" i="1" s="1"/>
  <c r="AA22" i="1"/>
  <c r="Z22" i="1"/>
  <c r="Y22" i="1"/>
  <c r="X22" i="1"/>
  <c r="W22" i="1"/>
  <c r="V22" i="1"/>
  <c r="U22" i="1"/>
  <c r="T22" i="1"/>
  <c r="S22" i="1"/>
  <c r="R22" i="1"/>
  <c r="Q22" i="1"/>
  <c r="P22" i="1"/>
  <c r="O22" i="1"/>
  <c r="N22" i="1"/>
  <c r="M22" i="1"/>
  <c r="L22" i="1"/>
  <c r="K22" i="1"/>
  <c r="AE21" i="1"/>
  <c r="AD21" i="1"/>
  <c r="AB21" i="1"/>
  <c r="AF21" i="1" s="1"/>
  <c r="AA21" i="1"/>
  <c r="Z21" i="1"/>
  <c r="Y21" i="1"/>
  <c r="X21" i="1"/>
  <c r="W21" i="1"/>
  <c r="V21" i="1"/>
  <c r="U21" i="1"/>
  <c r="T21" i="1"/>
  <c r="S21" i="1"/>
  <c r="R21" i="1"/>
  <c r="Q21" i="1"/>
  <c r="P21" i="1"/>
  <c r="O21" i="1"/>
  <c r="N21" i="1"/>
  <c r="M21" i="1"/>
  <c r="L21" i="1"/>
  <c r="K21" i="1"/>
  <c r="AE20" i="1"/>
  <c r="AD20" i="1"/>
  <c r="AB20" i="1"/>
  <c r="AF20" i="1" s="1"/>
  <c r="AA20" i="1"/>
  <c r="Z20" i="1"/>
  <c r="Y20" i="1"/>
  <c r="X20" i="1"/>
  <c r="W20" i="1"/>
  <c r="V20" i="1"/>
  <c r="U20" i="1"/>
  <c r="T20" i="1"/>
  <c r="S20" i="1"/>
  <c r="R20" i="1"/>
  <c r="Q20" i="1"/>
  <c r="P20" i="1"/>
  <c r="O20" i="1"/>
  <c r="N20" i="1"/>
  <c r="M20" i="1"/>
  <c r="L20" i="1"/>
  <c r="K20" i="1"/>
  <c r="AE19" i="1"/>
  <c r="AD19" i="1"/>
  <c r="AB19" i="1"/>
  <c r="AF19" i="1" s="1"/>
  <c r="AA19" i="1"/>
  <c r="Z19" i="1"/>
  <c r="Y19" i="1"/>
  <c r="X19" i="1"/>
  <c r="W19" i="1"/>
  <c r="V19" i="1"/>
  <c r="U19" i="1"/>
  <c r="T19" i="1"/>
  <c r="S19" i="1"/>
  <c r="R19" i="1"/>
  <c r="Q19" i="1"/>
  <c r="P19" i="1"/>
  <c r="O19" i="1"/>
  <c r="N19" i="1"/>
  <c r="M19" i="1"/>
  <c r="L19" i="1"/>
  <c r="AF18" i="1"/>
  <c r="AE18" i="1"/>
  <c r="AC18" i="1" s="1"/>
  <c r="AD18" i="1"/>
  <c r="AB18" i="1"/>
  <c r="AA18" i="1"/>
  <c r="Z18" i="1"/>
  <c r="Y18" i="1"/>
  <c r="X18" i="1"/>
  <c r="W18" i="1"/>
  <c r="V18" i="1"/>
  <c r="U18" i="1"/>
  <c r="T18" i="1"/>
  <c r="S18" i="1"/>
  <c r="R18" i="1"/>
  <c r="Q18" i="1"/>
  <c r="P18" i="1"/>
  <c r="O18" i="1"/>
  <c r="N18" i="1"/>
  <c r="M18" i="1"/>
  <c r="L18" i="1"/>
  <c r="K18" i="1"/>
  <c r="AE17" i="1"/>
  <c r="AD17" i="1"/>
  <c r="AC17" i="1" s="1"/>
  <c r="AB17" i="1"/>
  <c r="AF17" i="1" s="1"/>
  <c r="AA17" i="1"/>
  <c r="Z17" i="1"/>
  <c r="Y17" i="1"/>
  <c r="X17" i="1"/>
  <c r="W17" i="1"/>
  <c r="V17" i="1"/>
  <c r="U17" i="1"/>
  <c r="T17" i="1"/>
  <c r="S17" i="1"/>
  <c r="R17" i="1"/>
  <c r="Q17" i="1"/>
  <c r="P17" i="1"/>
  <c r="O17" i="1"/>
  <c r="N17" i="1"/>
  <c r="M17" i="1"/>
  <c r="L17" i="1"/>
  <c r="K17" i="1"/>
  <c r="AE16" i="1"/>
  <c r="AD16" i="1"/>
  <c r="AC16" i="1" s="1"/>
  <c r="AB16" i="1"/>
  <c r="AF16" i="1" s="1"/>
  <c r="AA16" i="1"/>
  <c r="Z16" i="1"/>
  <c r="Y16" i="1"/>
  <c r="X16" i="1"/>
  <c r="W16" i="1"/>
  <c r="V16" i="1"/>
  <c r="U16" i="1"/>
  <c r="T16" i="1"/>
  <c r="S16" i="1"/>
  <c r="R16" i="1"/>
  <c r="Q16" i="1"/>
  <c r="P16" i="1"/>
  <c r="O16" i="1"/>
  <c r="N16" i="1"/>
  <c r="M16" i="1"/>
  <c r="L16" i="1"/>
  <c r="K16" i="1"/>
  <c r="AE15" i="1"/>
  <c r="AD15" i="1"/>
  <c r="AC15" i="1" s="1"/>
  <c r="AB15" i="1"/>
  <c r="AF15" i="1" s="1"/>
  <c r="AA15" i="1"/>
  <c r="Z15" i="1"/>
  <c r="Y15" i="1"/>
  <c r="X15" i="1"/>
  <c r="W15" i="1"/>
  <c r="V15" i="1"/>
  <c r="U15" i="1"/>
  <c r="T15" i="1"/>
  <c r="S15" i="1"/>
  <c r="R15" i="1"/>
  <c r="Q15" i="1"/>
  <c r="P15" i="1"/>
  <c r="O15" i="1"/>
  <c r="N15" i="1"/>
  <c r="M15" i="1"/>
  <c r="L15" i="1"/>
  <c r="K15" i="1"/>
  <c r="AE14" i="1"/>
  <c r="AD14" i="1"/>
  <c r="AB14" i="1"/>
  <c r="AF14" i="1" s="1"/>
  <c r="AA14" i="1"/>
  <c r="Z14" i="1"/>
  <c r="Y14" i="1"/>
  <c r="X14" i="1"/>
  <c r="W14" i="1"/>
  <c r="V14" i="1"/>
  <c r="U14" i="1"/>
  <c r="T14" i="1"/>
  <c r="S14" i="1"/>
  <c r="R14" i="1"/>
  <c r="Q14" i="1"/>
  <c r="P14" i="1"/>
  <c r="O14" i="1"/>
  <c r="N14" i="1"/>
  <c r="M14" i="1"/>
  <c r="L14" i="1"/>
  <c r="K14" i="1"/>
  <c r="AF13" i="1"/>
  <c r="AE13" i="1"/>
  <c r="AD13" i="1"/>
  <c r="AB13" i="1"/>
  <c r="AA13" i="1"/>
  <c r="Z13" i="1"/>
  <c r="Y13" i="1"/>
  <c r="X13" i="1"/>
  <c r="W13" i="1"/>
  <c r="V13" i="1"/>
  <c r="U13" i="1"/>
  <c r="T13" i="1"/>
  <c r="S13" i="1"/>
  <c r="R13" i="1"/>
  <c r="Q13" i="1"/>
  <c r="P13" i="1"/>
  <c r="O13" i="1"/>
  <c r="N13" i="1"/>
  <c r="M13" i="1"/>
  <c r="L13" i="1"/>
  <c r="AE12" i="1"/>
  <c r="AD12" i="1"/>
  <c r="AB12" i="1"/>
  <c r="AF12" i="1" s="1"/>
  <c r="AA12" i="1"/>
  <c r="Z12" i="1"/>
  <c r="Y12" i="1"/>
  <c r="X12" i="1"/>
  <c r="W12" i="1"/>
  <c r="V12" i="1"/>
  <c r="U12" i="1"/>
  <c r="T12" i="1"/>
  <c r="S12" i="1"/>
  <c r="R12" i="1"/>
  <c r="Q12" i="1"/>
  <c r="P12" i="1"/>
  <c r="O12" i="1"/>
  <c r="N12" i="1"/>
  <c r="M12" i="1"/>
  <c r="L12" i="1"/>
  <c r="K12" i="1"/>
  <c r="AE11" i="1"/>
  <c r="AD11" i="1"/>
  <c r="AB11" i="1"/>
  <c r="AF11" i="1" s="1"/>
  <c r="AA11" i="1"/>
  <c r="Z11" i="1"/>
  <c r="Y11" i="1"/>
  <c r="X11" i="1"/>
  <c r="W11" i="1"/>
  <c r="V11" i="1"/>
  <c r="U11" i="1"/>
  <c r="T11" i="1"/>
  <c r="S11" i="1"/>
  <c r="R11" i="1"/>
  <c r="Q11" i="1"/>
  <c r="P11" i="1"/>
  <c r="O11" i="1"/>
  <c r="N11" i="1"/>
  <c r="M11" i="1"/>
  <c r="L11" i="1"/>
  <c r="K11" i="1"/>
  <c r="AE10" i="1"/>
  <c r="AD10" i="1"/>
  <c r="AC10" i="1"/>
  <c r="AB10" i="1"/>
  <c r="AF10" i="1" s="1"/>
  <c r="AA10" i="1"/>
  <c r="Z10" i="1"/>
  <c r="Y10" i="1"/>
  <c r="X10" i="1"/>
  <c r="W10" i="1"/>
  <c r="V10" i="1"/>
  <c r="U10" i="1"/>
  <c r="T10" i="1"/>
  <c r="S10" i="1"/>
  <c r="R10" i="1"/>
  <c r="Q10" i="1"/>
  <c r="P10" i="1"/>
  <c r="O10" i="1"/>
  <c r="N10" i="1"/>
  <c r="M10" i="1"/>
  <c r="L10" i="1"/>
  <c r="K10" i="1"/>
  <c r="AE9" i="1"/>
  <c r="AD9" i="1"/>
  <c r="AC9" i="1" s="1"/>
  <c r="AB9" i="1"/>
  <c r="AF9" i="1" s="1"/>
  <c r="AA9" i="1"/>
  <c r="Z9" i="1"/>
  <c r="Y9" i="1"/>
  <c r="X9" i="1"/>
  <c r="W9" i="1"/>
  <c r="V9" i="1"/>
  <c r="U9" i="1"/>
  <c r="T9" i="1"/>
  <c r="S9" i="1"/>
  <c r="R9" i="1"/>
  <c r="Q9" i="1"/>
  <c r="P9" i="1"/>
  <c r="O9" i="1"/>
  <c r="N9" i="1"/>
  <c r="M9" i="1"/>
  <c r="L9" i="1"/>
  <c r="K9" i="1"/>
  <c r="AE8" i="1"/>
  <c r="AD8" i="1"/>
  <c r="AB8" i="1"/>
  <c r="AF8" i="1" s="1"/>
  <c r="AA8" i="1"/>
  <c r="Z8" i="1"/>
  <c r="Y8" i="1"/>
  <c r="X8" i="1"/>
  <c r="W8" i="1"/>
  <c r="V8" i="1"/>
  <c r="U8" i="1"/>
  <c r="T8" i="1"/>
  <c r="S8" i="1"/>
  <c r="R8" i="1"/>
  <c r="Q8" i="1"/>
  <c r="P8" i="1"/>
  <c r="O8" i="1"/>
  <c r="N8" i="1"/>
  <c r="M8" i="1"/>
  <c r="L8" i="1"/>
  <c r="K8" i="1"/>
  <c r="AE7" i="1"/>
  <c r="AD7" i="1"/>
  <c r="AC7" i="1"/>
  <c r="AB7" i="1"/>
  <c r="AF7" i="1" s="1"/>
  <c r="AA7" i="1"/>
  <c r="Z7" i="1"/>
  <c r="Y7" i="1"/>
  <c r="X7" i="1"/>
  <c r="W7" i="1"/>
  <c r="V7" i="1"/>
  <c r="U7" i="1"/>
  <c r="T7" i="1"/>
  <c r="S7" i="1"/>
  <c r="R7" i="1"/>
  <c r="Q7" i="1"/>
  <c r="P7" i="1"/>
  <c r="O7" i="1"/>
  <c r="N7" i="1"/>
  <c r="M7" i="1"/>
  <c r="L7" i="1"/>
  <c r="K7" i="1"/>
  <c r="AE6" i="1"/>
  <c r="AD6" i="1"/>
  <c r="AC6" i="1" s="1"/>
  <c r="AB6" i="1"/>
  <c r="AF6" i="1" s="1"/>
  <c r="AA6" i="1"/>
  <c r="Z6" i="1"/>
  <c r="Y6" i="1"/>
  <c r="X6" i="1"/>
  <c r="W6" i="1"/>
  <c r="V6" i="1"/>
  <c r="U6" i="1"/>
  <c r="T6" i="1"/>
  <c r="S6" i="1"/>
  <c r="R6" i="1"/>
  <c r="Q6" i="1"/>
  <c r="P6" i="1"/>
  <c r="O6" i="1"/>
  <c r="N6" i="1"/>
  <c r="M6" i="1"/>
  <c r="L6" i="1"/>
  <c r="K6" i="1"/>
  <c r="AF5" i="1"/>
  <c r="AE5" i="1"/>
  <c r="AD5" i="1"/>
  <c r="AB5" i="1"/>
  <c r="AA5" i="1"/>
  <c r="Z5" i="1"/>
  <c r="Y5" i="1"/>
  <c r="X5" i="1"/>
  <c r="W5" i="1"/>
  <c r="V5" i="1"/>
  <c r="U5" i="1"/>
  <c r="T5" i="1"/>
  <c r="S5" i="1"/>
  <c r="R5" i="1"/>
  <c r="Q5" i="1"/>
  <c r="P5" i="1"/>
  <c r="O5" i="1"/>
  <c r="N5" i="1"/>
  <c r="M5" i="1"/>
  <c r="L5" i="1"/>
  <c r="K5" i="1"/>
  <c r="AE4" i="1"/>
  <c r="AC4" i="1" s="1"/>
  <c r="AD4" i="1"/>
  <c r="AB4" i="1"/>
  <c r="AF4" i="1" s="1"/>
  <c r="AA4" i="1"/>
  <c r="Z4" i="1"/>
  <c r="Y4" i="1"/>
  <c r="X4" i="1"/>
  <c r="W4" i="1"/>
  <c r="V4" i="1"/>
  <c r="U4" i="1"/>
  <c r="T4" i="1"/>
  <c r="S4" i="1"/>
  <c r="R4" i="1"/>
  <c r="Q4" i="1"/>
  <c r="P4" i="1"/>
  <c r="O4" i="1"/>
  <c r="N4" i="1"/>
  <c r="M4" i="1"/>
  <c r="L4" i="1"/>
  <c r="K4" i="1"/>
  <c r="AE3" i="1"/>
  <c r="AD3" i="1"/>
  <c r="AC3" i="1"/>
  <c r="AB3" i="1"/>
  <c r="AF3" i="1" s="1"/>
  <c r="AA3" i="1"/>
  <c r="Z3" i="1"/>
  <c r="Y3" i="1"/>
  <c r="X3" i="1"/>
  <c r="W3" i="1"/>
  <c r="V3" i="1"/>
  <c r="U3" i="1"/>
  <c r="T3" i="1"/>
  <c r="S3" i="1"/>
  <c r="R3" i="1"/>
  <c r="Q3" i="1"/>
  <c r="P3" i="1"/>
  <c r="O3" i="1"/>
  <c r="N3" i="1"/>
  <c r="M3" i="1"/>
  <c r="L3" i="1"/>
  <c r="K3" i="1"/>
  <c r="AE2" i="1"/>
  <c r="AC2" i="1" s="1"/>
  <c r="AD2" i="1"/>
  <c r="AB2" i="1"/>
  <c r="AF2" i="1" s="1"/>
  <c r="AA2" i="1"/>
  <c r="Z2" i="1"/>
  <c r="Y2" i="1"/>
  <c r="X2" i="1"/>
  <c r="W2" i="1"/>
  <c r="V2" i="1"/>
  <c r="U2" i="1"/>
  <c r="T2" i="1"/>
  <c r="S2" i="1"/>
  <c r="R2" i="1"/>
  <c r="Q2" i="1"/>
  <c r="P2" i="1"/>
  <c r="O2" i="1"/>
  <c r="N2" i="1"/>
  <c r="M2" i="1"/>
  <c r="L2" i="1"/>
  <c r="K2" i="1"/>
  <c r="AC13" i="1" l="1"/>
  <c r="AC41" i="1"/>
  <c r="AC51" i="1"/>
  <c r="AC83" i="1"/>
  <c r="AC14" i="1"/>
  <c r="AC21" i="1"/>
  <c r="AC45" i="1"/>
  <c r="AC73" i="1"/>
  <c r="AC20" i="1"/>
  <c r="AC84" i="1"/>
  <c r="AC52" i="1"/>
  <c r="AC70" i="1"/>
  <c r="AC77" i="1"/>
  <c r="AC11" i="1"/>
  <c r="AC49" i="1"/>
  <c r="K67" i="1"/>
  <c r="M14" i="5"/>
  <c r="AC22" i="1"/>
  <c r="AC81" i="1"/>
  <c r="M15" i="5"/>
  <c r="AC8" i="1"/>
  <c r="AC53" i="1"/>
  <c r="AC60" i="1"/>
  <c r="AC78" i="1"/>
  <c r="K68" i="1"/>
  <c r="M16" i="5"/>
  <c r="AC5" i="1"/>
  <c r="AC12" i="1"/>
  <c r="AC19" i="1"/>
  <c r="AC33" i="1"/>
  <c r="AC57" i="1"/>
  <c r="AC75" i="1"/>
  <c r="G17" i="5"/>
  <c r="G15" i="5"/>
  <c r="G16" i="5"/>
  <c r="G14" i="5"/>
  <c r="I17" i="5"/>
  <c r="I15" i="5"/>
  <c r="I16" i="5"/>
  <c r="I14" i="5"/>
  <c r="H17" i="5"/>
  <c r="H15" i="5"/>
  <c r="H16" i="5"/>
  <c r="H14" i="5"/>
  <c r="J15" i="5"/>
  <c r="J17" i="5"/>
  <c r="K86" i="1"/>
  <c r="J14" i="5"/>
  <c r="K15" i="5" l="1"/>
  <c r="N15" i="5" s="1"/>
  <c r="D41" i="5" s="1"/>
  <c r="K17" i="5"/>
  <c r="N17" i="5" s="1"/>
  <c r="D54" i="5" s="1"/>
  <c r="K16" i="5"/>
  <c r="N16" i="5" s="1"/>
  <c r="D48" i="5"/>
  <c r="D50" i="5"/>
  <c r="D47" i="5"/>
  <c r="D49" i="5"/>
  <c r="D42" i="5"/>
  <c r="D36" i="5"/>
  <c r="K14" i="5"/>
  <c r="N14" i="5" s="1"/>
  <c r="D39" i="5" l="1"/>
  <c r="I39" i="5" s="1"/>
  <c r="I18" i="2" s="1"/>
  <c r="D37" i="5"/>
  <c r="H37" i="5" s="1"/>
  <c r="H16" i="2" s="1"/>
  <c r="D45" i="5"/>
  <c r="I45" i="5" s="1"/>
  <c r="I24" i="2" s="1"/>
  <c r="D40" i="5"/>
  <c r="I40" i="5" s="1"/>
  <c r="I19" i="2" s="1"/>
  <c r="D35" i="5"/>
  <c r="D14" i="2" s="1"/>
  <c r="D44" i="5"/>
  <c r="H44" i="5" s="1"/>
  <c r="H23" i="2" s="1"/>
  <c r="D43" i="5"/>
  <c r="H43" i="5" s="1"/>
  <c r="H22" i="2" s="1"/>
  <c r="D52" i="5"/>
  <c r="D38" i="5"/>
  <c r="D55" i="5"/>
  <c r="I55" i="5" s="1"/>
  <c r="I34" i="2" s="1"/>
  <c r="D46" i="5"/>
  <c r="I46" i="5" s="1"/>
  <c r="I25" i="2" s="1"/>
  <c r="D53" i="5"/>
  <c r="F53" i="5" s="1"/>
  <c r="F32" i="2" s="1"/>
  <c r="D56" i="5"/>
  <c r="I56" i="5" s="1"/>
  <c r="I35" i="2" s="1"/>
  <c r="D51" i="5"/>
  <c r="G51" i="5" s="1"/>
  <c r="G30" i="2" s="1"/>
  <c r="F45" i="5"/>
  <c r="F24" i="2" s="1"/>
  <c r="E45" i="5"/>
  <c r="E24" i="2" s="1"/>
  <c r="D24" i="2"/>
  <c r="I36" i="5"/>
  <c r="I15" i="2" s="1"/>
  <c r="H36" i="5"/>
  <c r="H15" i="2" s="1"/>
  <c r="G36" i="5"/>
  <c r="G15" i="2" s="1"/>
  <c r="F36" i="5"/>
  <c r="F15" i="2" s="1"/>
  <c r="E36" i="5"/>
  <c r="E15" i="2" s="1"/>
  <c r="D15" i="2"/>
  <c r="I42" i="5"/>
  <c r="I21" i="2" s="1"/>
  <c r="H42" i="5"/>
  <c r="H21" i="2" s="1"/>
  <c r="G42" i="5"/>
  <c r="G21" i="2" s="1"/>
  <c r="F42" i="5"/>
  <c r="F21" i="2" s="1"/>
  <c r="E42" i="5"/>
  <c r="E21" i="2" s="1"/>
  <c r="D21" i="2"/>
  <c r="F51" i="5"/>
  <c r="F30" i="2" s="1"/>
  <c r="E51" i="5"/>
  <c r="E30" i="2" s="1"/>
  <c r="D30" i="2"/>
  <c r="I51" i="5"/>
  <c r="I30" i="2" s="1"/>
  <c r="F39" i="5"/>
  <c r="F18" i="2" s="1"/>
  <c r="E39" i="5"/>
  <c r="E18" i="2" s="1"/>
  <c r="D18" i="2"/>
  <c r="D30" i="5"/>
  <c r="D27" i="5"/>
  <c r="D32" i="5"/>
  <c r="D24" i="5"/>
  <c r="D29" i="5"/>
  <c r="D34" i="5"/>
  <c r="D26" i="5"/>
  <c r="D31" i="5"/>
  <c r="D23" i="5"/>
  <c r="D28" i="5"/>
  <c r="D33" i="5"/>
  <c r="D25" i="5"/>
  <c r="I52" i="5"/>
  <c r="I31" i="2" s="1"/>
  <c r="H52" i="5"/>
  <c r="H31" i="2" s="1"/>
  <c r="G52" i="5"/>
  <c r="G31" i="2" s="1"/>
  <c r="F52" i="5"/>
  <c r="F31" i="2" s="1"/>
  <c r="E52" i="5"/>
  <c r="E31" i="2" s="1"/>
  <c r="D31" i="2"/>
  <c r="E38" i="5"/>
  <c r="E17" i="2" s="1"/>
  <c r="D17" i="2"/>
  <c r="I38" i="5"/>
  <c r="I17" i="2" s="1"/>
  <c r="H38" i="5"/>
  <c r="H17" i="2" s="1"/>
  <c r="G38" i="5"/>
  <c r="G17" i="2" s="1"/>
  <c r="F38" i="5"/>
  <c r="F17" i="2" s="1"/>
  <c r="E46" i="5"/>
  <c r="E25" i="2" s="1"/>
  <c r="D25" i="2"/>
  <c r="G46" i="5"/>
  <c r="G25" i="2" s="1"/>
  <c r="F46" i="5"/>
  <c r="F25" i="2" s="1"/>
  <c r="D20" i="2"/>
  <c r="I41" i="5"/>
  <c r="I20" i="2" s="1"/>
  <c r="H41" i="5"/>
  <c r="H20" i="2" s="1"/>
  <c r="G41" i="5"/>
  <c r="G20" i="2" s="1"/>
  <c r="F41" i="5"/>
  <c r="F20" i="2" s="1"/>
  <c r="E41" i="5"/>
  <c r="E20" i="2" s="1"/>
  <c r="E37" i="5"/>
  <c r="E16" i="2" s="1"/>
  <c r="D16" i="2"/>
  <c r="H55" i="5"/>
  <c r="H34" i="2" s="1"/>
  <c r="G55" i="5"/>
  <c r="G34" i="2" s="1"/>
  <c r="F55" i="5"/>
  <c r="F34" i="2" s="1"/>
  <c r="E55" i="5"/>
  <c r="E34" i="2" s="1"/>
  <c r="D34" i="2"/>
  <c r="I53" i="5"/>
  <c r="I32" i="2" s="1"/>
  <c r="H53" i="5"/>
  <c r="H32" i="2" s="1"/>
  <c r="G53" i="5"/>
  <c r="G32" i="2" s="1"/>
  <c r="D28" i="2"/>
  <c r="I49" i="5"/>
  <c r="I28" i="2" s="1"/>
  <c r="H49" i="5"/>
  <c r="H28" i="2" s="1"/>
  <c r="G49" i="5"/>
  <c r="G28" i="2" s="1"/>
  <c r="F49" i="5"/>
  <c r="F28" i="2" s="1"/>
  <c r="E49" i="5"/>
  <c r="E28" i="2" s="1"/>
  <c r="H56" i="5"/>
  <c r="H35" i="2" s="1"/>
  <c r="G56" i="5"/>
  <c r="G35" i="2" s="1"/>
  <c r="F56" i="5"/>
  <c r="F35" i="2" s="1"/>
  <c r="E56" i="5"/>
  <c r="E35" i="2" s="1"/>
  <c r="D35" i="2"/>
  <c r="I47" i="5"/>
  <c r="I26" i="2" s="1"/>
  <c r="H47" i="5"/>
  <c r="H26" i="2" s="1"/>
  <c r="G47" i="5"/>
  <c r="G26" i="2" s="1"/>
  <c r="F47" i="5"/>
  <c r="F26" i="2" s="1"/>
  <c r="E47" i="5"/>
  <c r="E26" i="2" s="1"/>
  <c r="D26" i="2"/>
  <c r="I50" i="5"/>
  <c r="I29" i="2" s="1"/>
  <c r="H50" i="5"/>
  <c r="H29" i="2" s="1"/>
  <c r="G50" i="5"/>
  <c r="G29" i="2" s="1"/>
  <c r="F50" i="5"/>
  <c r="F29" i="2" s="1"/>
  <c r="E50" i="5"/>
  <c r="E29" i="2" s="1"/>
  <c r="D29" i="2"/>
  <c r="E54" i="5"/>
  <c r="E33" i="2" s="1"/>
  <c r="D33" i="2"/>
  <c r="I54" i="5"/>
  <c r="I33" i="2" s="1"/>
  <c r="H54" i="5"/>
  <c r="H33" i="2" s="1"/>
  <c r="G54" i="5"/>
  <c r="G33" i="2" s="1"/>
  <c r="F54" i="5"/>
  <c r="F33" i="2" s="1"/>
  <c r="I48" i="5"/>
  <c r="I27" i="2" s="1"/>
  <c r="H48" i="5"/>
  <c r="H27" i="2" s="1"/>
  <c r="G48" i="5"/>
  <c r="G27" i="2" s="1"/>
  <c r="F48" i="5"/>
  <c r="F27" i="2" s="1"/>
  <c r="E48" i="5"/>
  <c r="E27" i="2" s="1"/>
  <c r="D27" i="2"/>
  <c r="E35" i="5" l="1"/>
  <c r="E14" i="2" s="1"/>
  <c r="I43" i="5"/>
  <c r="I22" i="2" s="1"/>
  <c r="I44" i="5"/>
  <c r="I23" i="2" s="1"/>
  <c r="G45" i="5"/>
  <c r="G24" i="2" s="1"/>
  <c r="H46" i="5"/>
  <c r="H25" i="2" s="1"/>
  <c r="F35" i="5"/>
  <c r="F14" i="2" s="1"/>
  <c r="D22" i="2"/>
  <c r="D19" i="2"/>
  <c r="H45" i="5"/>
  <c r="H24" i="2" s="1"/>
  <c r="G35" i="5"/>
  <c r="G14" i="2" s="1"/>
  <c r="E43" i="5"/>
  <c r="E22" i="2" s="1"/>
  <c r="E40" i="5"/>
  <c r="E19" i="2" s="1"/>
  <c r="F40" i="5"/>
  <c r="F19" i="2" s="1"/>
  <c r="D23" i="2"/>
  <c r="F44" i="5"/>
  <c r="F23" i="2" s="1"/>
  <c r="F43" i="5"/>
  <c r="F22" i="2" s="1"/>
  <c r="G43" i="5"/>
  <c r="G22" i="2" s="1"/>
  <c r="F37" i="5"/>
  <c r="F16" i="2" s="1"/>
  <c r="G39" i="5"/>
  <c r="G18" i="2" s="1"/>
  <c r="D32" i="2"/>
  <c r="H39" i="5"/>
  <c r="H18" i="2" s="1"/>
  <c r="E53" i="5"/>
  <c r="E32" i="2" s="1"/>
  <c r="I37" i="5"/>
  <c r="I16" i="2" s="1"/>
  <c r="H35" i="5"/>
  <c r="H14" i="2" s="1"/>
  <c r="G40" i="5"/>
  <c r="G19" i="2" s="1"/>
  <c r="H40" i="5"/>
  <c r="H19" i="2" s="1"/>
  <c r="G37" i="5"/>
  <c r="G16" i="2" s="1"/>
  <c r="H51" i="5"/>
  <c r="H30" i="2" s="1"/>
  <c r="E44" i="5"/>
  <c r="E23" i="2" s="1"/>
  <c r="I35" i="5"/>
  <c r="I14" i="2" s="1"/>
  <c r="G44" i="5"/>
  <c r="G23" i="2" s="1"/>
  <c r="I26" i="5"/>
  <c r="I5" i="2" s="1"/>
  <c r="H26" i="5"/>
  <c r="H5" i="2" s="1"/>
  <c r="G26" i="5"/>
  <c r="G5" i="2" s="1"/>
  <c r="F26" i="5"/>
  <c r="F5" i="2" s="1"/>
  <c r="E26" i="5"/>
  <c r="E5" i="2" s="1"/>
  <c r="D5" i="2"/>
  <c r="I23" i="5"/>
  <c r="I2" i="2" s="1"/>
  <c r="H23" i="5"/>
  <c r="H2" i="2" s="1"/>
  <c r="G23" i="5"/>
  <c r="G2" i="2" s="1"/>
  <c r="F23" i="5"/>
  <c r="F2" i="2" s="1"/>
  <c r="E23" i="5"/>
  <c r="E2" i="2" s="1"/>
  <c r="D2" i="2"/>
  <c r="I29" i="5"/>
  <c r="I8" i="2" s="1"/>
  <c r="H29" i="5"/>
  <c r="H8" i="2" s="1"/>
  <c r="G29" i="5"/>
  <c r="G8" i="2" s="1"/>
  <c r="F29" i="5"/>
  <c r="F8" i="2" s="1"/>
  <c r="E29" i="5"/>
  <c r="E8" i="2" s="1"/>
  <c r="D8" i="2"/>
  <c r="I24" i="5"/>
  <c r="I3" i="2" s="1"/>
  <c r="H24" i="5"/>
  <c r="H3" i="2" s="1"/>
  <c r="G24" i="5"/>
  <c r="G3" i="2" s="1"/>
  <c r="F24" i="5"/>
  <c r="F3" i="2" s="1"/>
  <c r="E24" i="5"/>
  <c r="E3" i="2" s="1"/>
  <c r="D3" i="2"/>
  <c r="I31" i="5"/>
  <c r="I10" i="2" s="1"/>
  <c r="H31" i="5"/>
  <c r="H10" i="2" s="1"/>
  <c r="G31" i="5"/>
  <c r="G10" i="2" s="1"/>
  <c r="F31" i="5"/>
  <c r="F10" i="2" s="1"/>
  <c r="E31" i="5"/>
  <c r="E10" i="2" s="1"/>
  <c r="D10" i="2"/>
  <c r="I34" i="5"/>
  <c r="I13" i="2" s="1"/>
  <c r="H34" i="5"/>
  <c r="H13" i="2" s="1"/>
  <c r="G34" i="5"/>
  <c r="G13" i="2" s="1"/>
  <c r="F34" i="5"/>
  <c r="F13" i="2" s="1"/>
  <c r="E34" i="5"/>
  <c r="E13" i="2" s="1"/>
  <c r="D13" i="2"/>
  <c r="I32" i="5"/>
  <c r="I11" i="2" s="1"/>
  <c r="H32" i="5"/>
  <c r="H11" i="2" s="1"/>
  <c r="G32" i="5"/>
  <c r="G11" i="2" s="1"/>
  <c r="F32" i="5"/>
  <c r="F11" i="2" s="1"/>
  <c r="E32" i="5"/>
  <c r="E11" i="2" s="1"/>
  <c r="D11" i="2"/>
  <c r="E30" i="5"/>
  <c r="E9" i="2" s="1"/>
  <c r="D9" i="2"/>
  <c r="I30" i="5"/>
  <c r="I9" i="2" s="1"/>
  <c r="H30" i="5"/>
  <c r="H9" i="2" s="1"/>
  <c r="G30" i="5"/>
  <c r="G9" i="2" s="1"/>
  <c r="F30" i="5"/>
  <c r="F9" i="2" s="1"/>
  <c r="I28" i="5"/>
  <c r="I7" i="2" s="1"/>
  <c r="H28" i="5"/>
  <c r="H7" i="2" s="1"/>
  <c r="G28" i="5"/>
  <c r="G7" i="2" s="1"/>
  <c r="F28" i="5"/>
  <c r="F7" i="2" s="1"/>
  <c r="E28" i="5"/>
  <c r="E7" i="2" s="1"/>
  <c r="D7" i="2"/>
  <c r="G27" i="5"/>
  <c r="G6" i="2" s="1"/>
  <c r="F27" i="5"/>
  <c r="F6" i="2" s="1"/>
  <c r="E27" i="5"/>
  <c r="E6" i="2" s="1"/>
  <c r="D6" i="2"/>
  <c r="I27" i="5"/>
  <c r="I6" i="2" s="1"/>
  <c r="H27" i="5"/>
  <c r="H6" i="2" s="1"/>
  <c r="D12" i="2"/>
  <c r="I33" i="5"/>
  <c r="I12" i="2" s="1"/>
  <c r="H33" i="5"/>
  <c r="H12" i="2" s="1"/>
  <c r="G33" i="5"/>
  <c r="G12" i="2" s="1"/>
  <c r="F33" i="5"/>
  <c r="F12" i="2" s="1"/>
  <c r="E33" i="5"/>
  <c r="E12" i="2" s="1"/>
  <c r="D4" i="2"/>
  <c r="I25" i="5"/>
  <c r="I4" i="2" s="1"/>
  <c r="H25" i="5"/>
  <c r="H4" i="2" s="1"/>
  <c r="G25" i="5"/>
  <c r="G4" i="2" s="1"/>
  <c r="F25" i="5"/>
  <c r="F4" i="2" s="1"/>
  <c r="E25" i="5"/>
  <c r="E4" i="2" s="1"/>
</calcChain>
</file>

<file path=xl/sharedStrings.xml><?xml version="1.0" encoding="utf-8"?>
<sst xmlns="http://schemas.openxmlformats.org/spreadsheetml/2006/main" count="1406" uniqueCount="380">
  <si>
    <t>Name</t>
  </si>
  <si>
    <t>Volk</t>
  </si>
  <si>
    <t>Typ</t>
  </si>
  <si>
    <t>Bauart</t>
  </si>
  <si>
    <t>Lademechanik</t>
  </si>
  <si>
    <t>Schloss</t>
  </si>
  <si>
    <t>Lauf</t>
  </si>
  <si>
    <t>Munition</t>
  </si>
  <si>
    <t>Verarbeitung</t>
  </si>
  <si>
    <t>Anpassung</t>
  </si>
  <si>
    <t>Gewicht</t>
  </si>
  <si>
    <t>Min. Stä</t>
  </si>
  <si>
    <t>1.W</t>
  </si>
  <si>
    <t>2.W</t>
  </si>
  <si>
    <t>Fixschaden</t>
  </si>
  <si>
    <t>RB</t>
  </si>
  <si>
    <t>Kaliber</t>
  </si>
  <si>
    <t>10m</t>
  </si>
  <si>
    <t>30m</t>
  </si>
  <si>
    <t>60m</t>
  </si>
  <si>
    <t>100m</t>
  </si>
  <si>
    <t>150m</t>
  </si>
  <si>
    <t>210m</t>
  </si>
  <si>
    <t>RW</t>
  </si>
  <si>
    <t>Nachladezeit</t>
  </si>
  <si>
    <t>Nachladen TaW-Teiler</t>
  </si>
  <si>
    <t>Patzermodifikator</t>
  </si>
  <si>
    <t>Verfügbarkeit</t>
  </si>
  <si>
    <t>Preis</t>
  </si>
  <si>
    <t>Herstellungszeit</t>
  </si>
  <si>
    <t>Materialpreis</t>
  </si>
  <si>
    <t>Verfuegbarkeit (1-7)</t>
  </si>
  <si>
    <t>Hakenbüchse</t>
  </si>
  <si>
    <t>Dalkinisch</t>
  </si>
  <si>
    <t>Gewehr</t>
  </si>
  <si>
    <t>Vorderlader</t>
  </si>
  <si>
    <t>Luntenschloss</t>
  </si>
  <si>
    <t>Glattlauf</t>
  </si>
  <si>
    <t>Blei</t>
  </si>
  <si>
    <t>Massenfabrikation</t>
  </si>
  <si>
    <t>Von der Stange</t>
  </si>
  <si>
    <t>Muskete</t>
  </si>
  <si>
    <t>Normal</t>
  </si>
  <si>
    <t>Schweres Gewehr</t>
  </si>
  <si>
    <t>Schwer</t>
  </si>
  <si>
    <t>Langpistole</t>
  </si>
  <si>
    <t>Pistole</t>
  </si>
  <si>
    <t>Langlauf</t>
  </si>
  <si>
    <t>Normal P</t>
  </si>
  <si>
    <t>verb. Langpistole</t>
  </si>
  <si>
    <t>Steinschloss</t>
  </si>
  <si>
    <t>Schalarr</t>
  </si>
  <si>
    <t>Drow</t>
  </si>
  <si>
    <t>Karabiner</t>
  </si>
  <si>
    <t>Hinterlader</t>
  </si>
  <si>
    <t>Nadelzündung</t>
  </si>
  <si>
    <t>Papier Patrone</t>
  </si>
  <si>
    <t>Schapschu</t>
  </si>
  <si>
    <t>Klapplauf</t>
  </si>
  <si>
    <t>Schlagbolzen</t>
  </si>
  <si>
    <t>Gezogen</t>
  </si>
  <si>
    <t>Messing Patrone</t>
  </si>
  <si>
    <t>Ssussun</t>
  </si>
  <si>
    <t>Wissperr</t>
  </si>
  <si>
    <t>Dunar</t>
  </si>
  <si>
    <t>Schatten</t>
  </si>
  <si>
    <t>Schwer P</t>
  </si>
  <si>
    <t>Suliss</t>
  </si>
  <si>
    <t>Taschenalb</t>
  </si>
  <si>
    <t>Pocket Pistol</t>
  </si>
  <si>
    <t>Adler</t>
  </si>
  <si>
    <t>Elfisch</t>
  </si>
  <si>
    <t>Bussard</t>
  </si>
  <si>
    <t>Kondor</t>
  </si>
  <si>
    <t>Jagd</t>
  </si>
  <si>
    <t>Perkussionsschloss</t>
  </si>
  <si>
    <t>Marodeur</t>
  </si>
  <si>
    <t>Präzisionsgewehr</t>
  </si>
  <si>
    <t>Minas</t>
  </si>
  <si>
    <t>Seriemas</t>
  </si>
  <si>
    <t>Karabiner VL</t>
  </si>
  <si>
    <t>Blitz</t>
  </si>
  <si>
    <t>Falke</t>
  </si>
  <si>
    <t>Radschloss</t>
  </si>
  <si>
    <t>Schantie</t>
  </si>
  <si>
    <t>Schwalbe</t>
  </si>
  <si>
    <t>Bestgarr</t>
  </si>
  <si>
    <t>Goblinisch</t>
  </si>
  <si>
    <t>Block- oder Scharnierverschluss</t>
  </si>
  <si>
    <t>Boogarr</t>
  </si>
  <si>
    <t>Donnerbüchse</t>
  </si>
  <si>
    <t>Deegarr</t>
  </si>
  <si>
    <t>Duegarr</t>
  </si>
  <si>
    <t>Doppelläufig</t>
  </si>
  <si>
    <t>Felpgarr</t>
  </si>
  <si>
    <t>Felpteske</t>
  </si>
  <si>
    <t>Froggler</t>
  </si>
  <si>
    <t>Billig</t>
  </si>
  <si>
    <t>Garr</t>
  </si>
  <si>
    <t>Gliksik</t>
  </si>
  <si>
    <t>Gnarrgarr</t>
  </si>
  <si>
    <t>Goldbeißer</t>
  </si>
  <si>
    <t>Kickgarr</t>
  </si>
  <si>
    <t>Metgarr</t>
  </si>
  <si>
    <t>Schwere Hakenbüchse (Trolltöter)</t>
  </si>
  <si>
    <t>Modsgarr</t>
  </si>
  <si>
    <t>Nargarr</t>
  </si>
  <si>
    <t>Scopgarr</t>
  </si>
  <si>
    <t>Harpunengewehr</t>
  </si>
  <si>
    <t>Harpune</t>
  </si>
  <si>
    <t>Silberbeißer</t>
  </si>
  <si>
    <t>Slipgarr</t>
  </si>
  <si>
    <t>Tikgarr</t>
  </si>
  <si>
    <t>Bestskueek</t>
  </si>
  <si>
    <t>Blizskueek</t>
  </si>
  <si>
    <t>Booskueek</t>
  </si>
  <si>
    <t>Böller</t>
  </si>
  <si>
    <t>Dueskueek</t>
  </si>
  <si>
    <t>Doppelläufig P</t>
  </si>
  <si>
    <t>Duetarskueek</t>
  </si>
  <si>
    <t>Fips</t>
  </si>
  <si>
    <t>Hydra</t>
  </si>
  <si>
    <t>Vierläufig P</t>
  </si>
  <si>
    <t>Nackskueek</t>
  </si>
  <si>
    <t>Skueek</t>
  </si>
  <si>
    <t>Slipskueek</t>
  </si>
  <si>
    <t>Tarskueek</t>
  </si>
  <si>
    <t>Durass</t>
  </si>
  <si>
    <t>Orkisch</t>
  </si>
  <si>
    <t>Exekutierer</t>
  </si>
  <si>
    <t>Irat</t>
  </si>
  <si>
    <t>Kaboom</t>
  </si>
  <si>
    <t>Kakrotz</t>
  </si>
  <si>
    <t>Metnar</t>
  </si>
  <si>
    <t>Scharwar</t>
  </si>
  <si>
    <t>Schopkrotz</t>
  </si>
  <si>
    <t>Blobschlopsch</t>
  </si>
  <si>
    <t>Boom</t>
  </si>
  <si>
    <t>Kenp</t>
  </si>
  <si>
    <t>Kok'sche</t>
  </si>
  <si>
    <t>Ork’sche</t>
  </si>
  <si>
    <t>Balrog</t>
  </si>
  <si>
    <t>Zwergisch</t>
  </si>
  <si>
    <t>Borstbüchse</t>
  </si>
  <si>
    <t>Eisenbeißer</t>
  </si>
  <si>
    <t>Fafnir</t>
  </si>
  <si>
    <t>Grimmbar</t>
  </si>
  <si>
    <t>Levitas</t>
  </si>
  <si>
    <t>Lindwurm</t>
  </si>
  <si>
    <t>Lohdrim</t>
  </si>
  <si>
    <t>Magmass</t>
  </si>
  <si>
    <t>Mjölnir</t>
  </si>
  <si>
    <t>Skorpion</t>
  </si>
  <si>
    <t>Smaug</t>
  </si>
  <si>
    <t>Stahlbeisser</t>
  </si>
  <si>
    <t>Wyvern</t>
  </si>
  <si>
    <t>Bifrost</t>
  </si>
  <si>
    <t>Drache</t>
  </si>
  <si>
    <t>Drako</t>
  </si>
  <si>
    <t>Feuerspucker</t>
  </si>
  <si>
    <t>Wyrm</t>
  </si>
  <si>
    <t>Geeignet für</t>
  </si>
  <si>
    <t>Art</t>
  </si>
  <si>
    <t>Preis (1Schuss)</t>
  </si>
  <si>
    <t>Preis (10 Schuss)</t>
  </si>
  <si>
    <t>Preis (50 Schuss)</t>
  </si>
  <si>
    <t>Preis (100 Schuss)</t>
  </si>
  <si>
    <t>Preis (500 Schuss)</t>
  </si>
  <si>
    <t>Preis (1.000 Schuss)</t>
  </si>
  <si>
    <t>Besonderheiten</t>
  </si>
  <si>
    <t>S.P.&amp;Blei</t>
  </si>
  <si>
    <t>VL. Papierpatrone</t>
  </si>
  <si>
    <t>Reduziert die Nachladezeit um 5 Sekunden</t>
  </si>
  <si>
    <t>Papierpatrone</t>
  </si>
  <si>
    <t>Patronenwaffen</t>
  </si>
  <si>
    <t>Messingpatrone</t>
  </si>
  <si>
    <t>Der Name, unter dem die Feuerwaffe bei ihrem Urspungsvolk bekannt geworden ist.</t>
  </si>
  <si>
    <t>Grobe Bauform der Waffe</t>
  </si>
  <si>
    <t>Pistole:</t>
  </si>
  <si>
    <t>Die Pistole (Faustfeuerwaffe) ist eine Schusswaffe, die zur Kategorie der Handfeuerwaffen gehört. Sie zeichnet sich dadurch aus, dass man sie problemlos einhändig führen kann. Pistolen sind meistens nur für kurze Reichweiten geeignet.</t>
  </si>
  <si>
    <t>Gewehr:</t>
  </si>
  <si>
    <t>Das Gewehr ist nach zwergischen Sprachgebrauch - mit Ausnahme des Luftgewehrs - eine zu den Handfeuerwaffen zählende Schusswaffe, die als Schulterwaffe (von der Schulter geschossen) mit zwei Händen zu bedienen ist. Durch ihre Länge sind Gewehre im Allgemeinen nicht so gut geeignet für den Nahkampf. Dafür sind sie auf größeren Reichweiten den Pistolen haushoch überlegen.</t>
  </si>
  <si>
    <t>Legt die spezifische Bauform fest.</t>
  </si>
  <si>
    <t>Normal:</t>
  </si>
  <si>
    <t>Eine Standardwaffe ohne Besonderheiten.</t>
  </si>
  <si>
    <t>Billig:</t>
  </si>
  <si>
    <t>Diese Waffe ist für sehr wenig Gold zu haben. Allerdings ist sie deshalb auch alles andere als zuverlässig und genau.</t>
  </si>
  <si>
    <t>Böller:</t>
  </si>
  <si>
    <t>Sehr großkalibrige, kurzläufige Pistole, die für Kurzreichweiten entworfen wurde.</t>
  </si>
  <si>
    <t>Donnerbüchse:</t>
  </si>
  <si>
    <t>Sehr großkalibriges, kurzläufiges Gewehr, das für Kurzreichweiten entworfen wurde.</t>
  </si>
  <si>
    <t>Doppelläufig:</t>
  </si>
  <si>
    <t>Eine Waffe mit 2 Rohren/Läufen, die beide zugleich oder einzeln abgefeuert werden können. Es gibt also 2 Möglickeiten eine solche Waffe abzufeuern.  1) Beide Rohre direkt hintereinander innerhalb einer Sekunde (Kampfrunde)  2) Nur ein Rohr (nur einen Schuss). Der zweite Schuss innerhalb einer Sekunde (Kampfrunde) ist  um den Rückstoß der Waffe erschwert.</t>
  </si>
  <si>
    <t>Hakenbüchse:</t>
  </si>
  <si>
    <t>Ein sehr schweres Gewehr, das auf ungehemmte Feuerkraft setzt, dabei aber sehr unhandlich und schwer ist.</t>
  </si>
  <si>
    <t>Harpunengewehr:</t>
  </si>
  <si>
    <t>???</t>
  </si>
  <si>
    <t>Jagd:</t>
  </si>
  <si>
    <t>Eine für die Jagd konzipierte Waffe.</t>
  </si>
  <si>
    <t>Langlauf:</t>
  </si>
  <si>
    <t>Eine Pistole mit verlängertem Lauf/Rohr. Damit sind Schüsse auf größere Distanz als mit normalen Pistolen möglich. Allerdings geht der längere Lauf zu Ungunsten des Handlings, wodurch die Pistole auf Nahreichweiten unhandlicher wird.</t>
  </si>
  <si>
    <t>Präzisionsgewehr:</t>
  </si>
  <si>
    <t>Ein Präzisionsgewehr ist ein langläufiges Gewehr mit gezogenem Lauf (Büchse), das dazu konzipiert wurde, Ziele in sehr großer Entfernung zu treffen.</t>
  </si>
  <si>
    <t>Schwer:</t>
  </si>
  <si>
    <t>Ein/e großkalibrige/s Gewehr/Pistole.</t>
  </si>
  <si>
    <t>Schwere Hakenbüchse:</t>
  </si>
  <si>
    <t>Eine riesige und extrem schwere Muskete. Eigentlich schon fast eine kleine Kanone. Sie eignet sich aufgrund ihrer Schwerfälligkeit ausschließlich als Verteidigungswaffe, wobei sie vorwiegend von Burgmauern herab eingesetzt wird.</t>
  </si>
  <si>
    <t>Vierläufig:</t>
  </si>
  <si>
    <t>Eine Waffe mit 4 Rohren/Läufen, die zugleich oder nacheinander abgefeuert werden können. Das ermöglicht maximal 2 Schuss pro Sekunde (Kampfrunde). Der zweite Schuss innerhalb einer Sekunde (Kampfrunde) ist  um den Rückstoß der Waffe erschwert.</t>
  </si>
  <si>
    <t>Pocket Pistol (Holdout):</t>
  </si>
  <si>
    <t>Holdout-Pistolen sind leichte und kleine Waffen, die sehr unauffällig sind. Der Nachteil der Holdouts liegt darin, dass sie wenig Man-Stopping-Power besitzen und nur auf sehr kurzen Distanzen treffgenau  sind.</t>
  </si>
  <si>
    <t>Karabiner:</t>
  </si>
  <si>
    <t>Karabiner sind kurzläufige Gewehre. Ursprünglich wurden leichte Militärgewehre mit im Verhältnis zum Infanteriegewehr kürzerem Lauf, und manchmal für schwächere Patronen konzipiert, Karabiner genannt, welche bei der Kavallerie und anderen berittenen Truppenteilen eingesetzt wurden.</t>
  </si>
  <si>
    <t>Gibt an, auf welche Weise die Waffe geladen wird.</t>
  </si>
  <si>
    <t>Block-/Scharnierverschluss:</t>
  </si>
  <si>
    <t>Der Eisenbeißer der Zwerge war das erste Patronengewehr mit Block-/Schanierverschluss. Es ist ein Einzellader mit einem nach oben zu öffnenden Block- oder Scharnierverschluss. Wie alle seine Vorgänger hat das Gewehr ein vorne liegendes Seitenschloss und einen außen liegendem Hahn.</t>
  </si>
  <si>
    <t>Hinterlader:</t>
  </si>
  <si>
    <t>Hinterlader sind Schusswaffen, deren Lauf an beiden Enden offen ist und bei denen das Projektil und die Treibladung durch die hintere Öffnung in die Kammer gebracht werden. Meist wird dazu eine Papier-Patrone verwendet. Die Ladeseite des Laufs wird durch den Verschluss der Waffe abgedichtet, der typischerweise auch die Auslösevorrichtung enthält.</t>
  </si>
  <si>
    <t>Klapplauf:</t>
  </si>
  <si>
    <t>Bei Klapplaufwaffen lässt sich das Rohr durch ein Scharnier am hinteren Ende abklappen und ermöglicht so das Laden der Waffe mit Patronen.</t>
  </si>
  <si>
    <t>Vorderlader:</t>
  </si>
  <si>
    <t>Der Vorderlader ist die ursprüngliche Form der Feuerwaffe. Die Waffe wird mit Treibladung und Projektil durch die Mündung geladen. Das hintere Ende des Laufes ist fest verschlossen und verfügt nur über ein kleines Zündloch, durch das ein mittels Lunte (Luntenschloss), Feuerstein (Steinschloss), Radschloss oder Zündhütchen (Perkussionswaffe) erzeugter Funke oder Feuerstrahl die Treibladung zündet. Vorderladerwaffen werden klassisch mit Schwarzpulver und einem Bleigeschoss geladen. Dazu kommt oft noch ein Schusspflaster zur Abdichtung.</t>
  </si>
  <si>
    <t>Das Schloss ist der Mechanismus zur Zündung der Ladung einer Feuerwaffe.</t>
  </si>
  <si>
    <t>Luntenschloss:</t>
  </si>
  <si>
    <t>Ein Hebel bewegt die brennende Lunte an das Zündloch.</t>
  </si>
  <si>
    <t>Radschloss:</t>
  </si>
  <si>
    <t>Ein Reibrad-Uhrwerk und Schwefelkies erzeugen Funken.</t>
  </si>
  <si>
    <t>Steinschloss:</t>
  </si>
  <si>
    <t>Ein Feuerstein schlägt auf Metall und erzeugt Funken</t>
  </si>
  <si>
    <t>Perkussionsschloss:</t>
  </si>
  <si>
    <t>Ein Hahn schlägt auf ein schlagempfindliches Anzündhütchen.</t>
  </si>
  <si>
    <t>Nadelzündung:</t>
  </si>
  <si>
    <t>Die Nadelzündung (auch Zündnadelzündung) ist ein Verfahren der Schussauslösung bei Schusswaffen, bei welchem die Entzündung der Treibladung durch eine spitze Nadel bewirkt wird. Diese Nadel wird durch eine gespannte Feder in das in der Patrone befindliche Zündelement eingestoßen. Der dazugehörige Mechanismus wird Zündnadelschloss genannt. Bei der Zündnadelpatrone von Zworg wurden die Komponenten Geschoss, Treibladung und Zündelement erstmals zusammen als Einheits-Papierpatrone hergestellt. Erste Waffen mit Zündnadelzündung waren Vorderlader, der Durchbruch stellte sich erst als Hinterlader ein, diese wurden  von Johann Emanuel von Zworg entwickelt. Obwohl schon früh in Kartharsis eingeführt, stellte sich ein großes internationales Interesse erst spät ein, als das vom Goblinischen Ingenieur Fips Goldfluss entwickelte Zündnadelgewehr produktionsreif wurde. Wenige Jahre später  war das Zündnadelsystem bereits technisch überholt. Die Zündnadelzündung mit Papierpatronen wurde von der Schlagbolzenzündung mit Metallpatronen abgelöst.</t>
  </si>
  <si>
    <t>Schlagbolzen / Hahnschloss:</t>
  </si>
  <si>
    <t>Beim Hahnschloss schlägt ein durch den Daumen fassbarer Hahn auf einen Zündstift (Stift, welcher geschlagen wird, um zu zünden), der die Kraft weitergibt und die Patrone zündet. Beim Schlagbolzen ist das anders, die Arbeit macht hier der gespannte gefederte Bolzen, dessen Masse und seine Zündspitze die Patrone zündet (Bolzen, der selber schlägt).</t>
  </si>
  <si>
    <t>Als Lauf wird allgemein das Rohr einer Schusswaffe bezeichnet, das der Führung des Projektils und der Aufnahme der Treibladung oder der Patrone dient. Im strengen Sinne bezeichnet Lauf </t>
  </si>
  <si>
    <t>nur den Abschnitt des Rohres der Waffe, der beim Schuss vom Projektil durchlaufen wird. Das hintere Ende des Laufs, in das die Patrone geladen wird, wird als Patronenlager bezeichnet.</t>
  </si>
  <si>
    <t>Die Bohrung des Laufes wird auch als Seele (Laufseele) bezeichnet, deren Längsachse als Seelenachse.</t>
  </si>
  <si>
    <t>Glattlauf:</t>
  </si>
  <si>
    <t>Läufe von Pistolen und Gewehren mit glatten Läufen sind völlig glatt, wie der Name schon sagt. Das Geschoss verlässt den Lauf ohne jegliche Stabilisierung und ist daher eher ungenau.</t>
  </si>
  <si>
    <t>Gezogen:</t>
  </si>
  <si>
    <t>Läufe von Pistolen und Gewehren mit gezogenen Läufen weisen spiralförmig in das Laufinnere geschnittene oder gepresste Züge auf, deren spiraliger Verlauf den Projektilen einen Drall verleiht und sie so stabilisiert. Eine Sonderform ist der Polygonlauf, der statt scharfkantiger Züge einen als Vieleck geformten Innenquerschnitt besitzt.</t>
  </si>
  <si>
    <t>Legt fest, mit welcher Munitionsart die Waffe geladen werden kann. Eine Waffe kann ausschließlich mit der für sie passenden Munition geladen werden.</t>
  </si>
  <si>
    <t>Blei:</t>
  </si>
  <si>
    <t>Hierbei werden Schwarzpulver als Treibmittel und eine Bleikugel als Projektil separat gehandhabt.</t>
  </si>
  <si>
    <t>Papierpatrone (Vorderlader):</t>
  </si>
  <si>
    <t>Vorläufer der modernen Metallpatrone war die Papierpatrone.  Hierbei enthielt eine längliche, verklebte Papierhülse das Schießpulver und die Bleikugel. Diese erste Generation der Papierpatrone diente nur der Bereitstellung einer abgemessenen Pulvermenge und des Projektils und wurde bei Vorderladern verwendet. Zum Laden der Waffe biss der Schütze die Papierhülse hinten auf, wobei die Waffe mit der zweiten Hand gehalten werden musste, gab etwas Pulver auf die Zündpfanne und leerte den Rest in den Lauf der Muskete. Um nicht aus dem Zündloch auszutreten, musste das Pulver eine ausreichend grobe Körnung aufweisen. Das Papier samt Projektil wurde anschließend nachgeschoben. Das Papier glich als Dichtmaterial die großen Fertigungstoleranzen der gegossenen Kugel im Lauf aus. Gezündet wurde die Ladung mittels Steinschloss und des Pulvers in der Pulverpfanne, später durch ein Zündhütchen.</t>
  </si>
  <si>
    <t>Papierpatrone (Hinterlader):</t>
  </si>
  <si>
    <t>Die Patrone enthält Geschoss, Treibladung und Zündmittel als Einheit. Das Geschoss aus Blei sitzt in einem Treibspiegel aus Pappe. Unterhalb des Treibspiegels befindet sich das Anzündmittel, die Treibladung aus Schwarzpulver ist darunter. Zusammengehalten werden die Komponenten der Patrone durch eine starke Papierhülle. Die Patrone wird von hinten in den Lauf geladen; die Waffe ist ein Hinterlader. Die bewegliche Kammer wird fest an das Rohr gedrückt und somit nach hinten gasdicht abgeschlossen. Im Gegensatz zu dem außen angebrachten Stein- bzw. Perkussionsschloss, befindet sich das Schlösschen innerhalb der Waffe (Innenzündung). Die Zündung erfolgt mit einer Zündnadel, die beim Abzug durch eine gespannte Spiralfeder in die Patrone hineingetrieben wird. Die lange Zündnadel muss erst die Papierhülle und das Treibmittel durchstoßen, um zu der Zündpille gelangen.</t>
  </si>
  <si>
    <t>Messingpatrone:</t>
  </si>
  <si>
    <t>Eine Messingpatrone fasst die zum Abfeuern eines Projektils aus einer Feuerwaffe notwendigen Komponenten in einer Einheit zusammen. Sie wird einfach in die Waffe geladen und ist dann feuerbereit</t>
  </si>
  <si>
    <t>Die angegebene Zahl bezeichnet das Leergewicht der Waffe.  Unter dem Leergewicht versteht man die Masse eines nach festgelegten Maßstäben gewogenen Objekts.</t>
  </si>
  <si>
    <t>In diesem Fall das Gewicht der Waffe ohne Munition und Anbauteile, wie z.B ein Bajonett.</t>
  </si>
  <si>
    <t>Mindeststärke</t>
  </si>
  <si>
    <t>Dies ist der Mindestwert der Eigenschaft Stärke, über den ein Schütze verfügen muss, um die Waffe ohne Abzüge führen zu können. Beträgt die Stärke des Charakters weniger, so werden seine Fernkampfproben mit der Waffe erschwert.</t>
  </si>
  <si>
    <t>Stärke</t>
  </si>
  <si>
    <t>Erschwerung</t>
  </si>
  <si>
    <t>-1 bis -3</t>
  </si>
  <si>
    <t>Probenwert halbiert (:2)</t>
  </si>
  <si>
    <t>-4 bis -8</t>
  </si>
  <si>
    <t>Probenwert geviertelt (:4)</t>
  </si>
  <si>
    <t>-9 bis -13</t>
  </si>
  <si>
    <t>Probenwert geachtelt (:8)</t>
  </si>
  <si>
    <t>-14+</t>
  </si>
  <si>
    <t>Probenwert gesechzehntelt (:16)</t>
  </si>
  <si>
    <t>RÜCKSTOß</t>
  </si>
  <si>
    <t>Der Rückstoß einer Waffe entspricht der Mindeststärke der Waffe</t>
  </si>
  <si>
    <t>Der erste Schuss ist immer ohne Rückstoß, will der Charakter einen zweiten oder noch mehr Schüsse hintereinander abfeuern, wird jeder</t>
  </si>
  <si>
    <t>Schuss schwerer. Wenn eine Waffe zum Beispiel einen Rückstoß von 10 hat und der Schütze 4 Schuss abfeuern will, so sind die</t>
  </si>
  <si>
    <t>Erschwerungen 0;10;20;30.</t>
  </si>
  <si>
    <t>Der durch die Schüsse aufgebaute Rückstoß ist rundenübergreifend. Am Ende jeder Runde baut</t>
  </si>
  <si>
    <t>der Charakter den angesammelten Rückstoss mit seinem Stärkewert ab. Ein Beispiel: ein Charakter feuert 2 Schuss aus einer vierläufigen Waffe mit</t>
  </si>
  <si>
    <t>Rückstoß 8. Am Ende der Runde hat er also einen Rückstoß von 16 angesammelt. Der Charakter hat eine Stärke von 12, also leidet er am</t>
  </si>
  <si>
    <t>Anfang der nächsten Runde immer noch unter Rückstoß 4. Er kann sich nun entscheiden, ob er noch eine Sekunde wartet, um die Waffe</t>
  </si>
  <si>
    <t>wieder voll unter Kontrolle zu bringen, oder ob er die beiden ihm verbliebenen Schüsse abfeuert, wobei der erste Schuss bereits um 4 erschwert ist, der zweite um 12.</t>
  </si>
  <si>
    <t>Schadenswürfel und Fixschaden</t>
  </si>
  <si>
    <t>Die TP (Trefferpunkte) einer Feuerwaffe besteht aus drei Elementen: Dem ersten Schadenswürfel(1.Würfel), dem zweiten Schadenswürfel(2. Würfel) und dem Fixschaden. Alle drei Elemente werden bei einem Schuss addiert, um den Schaden zu ermitteln, den das Geschoss anrichtet.</t>
  </si>
  <si>
    <t>Würfel:</t>
  </si>
  <si>
    <t>Das W steht für Würfel und die Zahl bezeichnet wieviele Seiten der Würfel hat. Ein W8 bezeichnet also einen 8-seitigen Würfel.</t>
  </si>
  <si>
    <t>Fixschaden:</t>
  </si>
  <si>
    <t>Diese Zahl wird zum Ergebnis des Würfelwurfs addiert.</t>
  </si>
  <si>
    <t>RB (Rüstungsbrechend)</t>
  </si>
  <si>
    <t>Gibt an, in welchem Maße eine Waffe den Rüstungschutz des Getroffenen ignoriert. Eine Waffe mit RB18 ignoriert bis zu 18 Punkte Rüstungsschutz. Wird der Träger einer Rüstung mit RS20 von dieser Waffe getroffen, so wirken nur noch 2 Punkte RS gegen die angerichteten Trefferpunkte der Waffe.</t>
  </si>
  <si>
    <t>Überzählige Punkte RB verfallen.</t>
  </si>
  <si>
    <t>Das Kaliber (kurz Kal.) ist ein Maß für den Durchmesser von Projektilen (Bei Nasus in Millimeter). Auch der Innendurchmesser des Laufes einer Waffe wird als Kaliber bezeichnet. Handelt es sich um einen gezogenen Lauf,</t>
  </si>
  <si>
    <t>so unterscheidet man zwischen Innenkaliber, dem Durchmesser zwischen den Feldern (den hervorstehenden Teilen der Laufinnenwand)</t>
  </si>
  <si>
    <t>und dem Außenkaliber, dem Durchmesser zwischen den Zügen (den eingeschnittenen Teilen der Laufinnenwand). Oft wird das Wort Kaliber auch in der Bedeutung von Munitionstyp oder Patronentyp benutzt.</t>
  </si>
  <si>
    <t>Eine Feuerwaffe muss mit Munition des gleichen Kalibers wie ihr Lauf geladen werden.</t>
  </si>
  <si>
    <t>Ausnahme:Bei allen Vorderladern mit Glattlauf ist es möglich, Geschosse mit einer Abweichung von 1mm zu laden. In diesem Fall wird der Schuss mit der Waffe um 1 erschwert.</t>
  </si>
  <si>
    <t>Reichweitenmodifikatoren</t>
  </si>
  <si>
    <t>Dieser Wert wird auf den Feuerwaffen-Basiswert des Schützen addiert. Dies ergibt den Probenwert des Schützen für die Trefferermittlung auf</t>
  </si>
  <si>
    <t>der jeweiligen Reichweite. Der für „10m“ ermittelte Probenwert findet im Bereich 0-10m Anwendung. Ab 10,x Metern wird bis 30m der für „30m“ ermittelte Probenwert verwendet und so fort. Ab einer Schussdistanz größer 210m wird der Probenwert ermittelt, indem man den doppelten 210m-Modifikator auf den Feuerwaffen-Basiswert des schützen addiert.</t>
  </si>
  <si>
    <t>RW (Reichweite)</t>
  </si>
  <si>
    <t>Gibt an, in welchen Intervallen (Angabe in Meter) das Geschoss an Kraft verliert. Beträgt die RW beispielsweise 100, so verliert das Geschoss alle 100m 1TP. Sinken die TP einer Waffe auf 0,</t>
  </si>
  <si>
    <t>so fällt es zu Boden. Wird die Reichweite in Klammern angegeben, z.B. (15), so gibt dies die Maximalreichweite der Waffe an, d.h. die Reichweite, bis zu der die Waffe TP anrichtet.</t>
  </si>
  <si>
    <t>Dieser Wert gibt die Grundnachladezeit der Feuerwaffe in Sekunden (Kampfrunden) an.</t>
  </si>
  <si>
    <t>Nachlade-Teiler</t>
  </si>
  <si>
    <t>Durch diesen Wert wird die Summe aus der Geschicklichkeit und der Nachladefertigkeit eines Schützen geteilt, wodurch wir den Wert (in Sekunden/Kampfrunden) erhalten, um den ein Schütze seine Waffe schneller als die Grundnachladezeit nachladen kann.</t>
  </si>
  <si>
    <t>[(Geschicklichkeit + Ladeschütze X) : Nachlade-Teiler]</t>
  </si>
  <si>
    <t>Eine Beispielrechnung sieht so aus:</t>
  </si>
  <si>
    <t>Der Charakter Horst hat eine Geschicklichkeit von 16 und 6 Punkte in Ladeschütze Patrone. Er benutzt ein Gewehr des Typs Balrog mit einer Nachladezeit von 9 Sekunden und einem Nachlade-Teiler von 6.</t>
  </si>
  <si>
    <t>1) 16 (Geschicklichkeit) + 6 (Ladeschütze Patrone) = 22</t>
  </si>
  <si>
    <t>2) 22 : 6 (Nachlade-Teiler) = 3,66666 → aufgerundet 4</t>
  </si>
  <si>
    <t>3) 9 (Grundnachladezeit der Balrog) - 4 = 5</t>
  </si>
  <si>
    <t>Horst braucht also 5 Sekunden (Kampfrunden) um seine Balrog nachzuladen.</t>
  </si>
  <si>
    <t>Würfelt ein Schütze bei einer Feuerwaffenprobe einen Patzer, erleidet seine Waffe eventuell eine Fehlfunktion. Um dies zu ermitteln, wirft er einen W12, addiert den Patzermodifikator der Waffe und teilt dem Meister das Ergebnis mit, welches dieser dann mit der Feuerwaffenpatzertabelle im Meisterscreen vergleicht.</t>
  </si>
  <si>
    <t>Beispiel:</t>
  </si>
  <si>
    <t>1) Horst würfelt beim Abfeuern seiner Balrog (Patzermodifikator -7)  einen Patzer.</t>
  </si>
  <si>
    <t>2) Horst wirft einen W12…. Das Ergebnis ist eine 10.</t>
  </si>
  <si>
    <t>3) 10 -7 = 3</t>
  </si>
  <si>
    <t>4) Der Meister schaut in der Feuerwaffenpatzertabelle nach, welche Auswirkungen diese 3 auf Horst hat und teilt ihm die Misere mit.</t>
  </si>
  <si>
    <t>Der Kaufpreis der Waffe in Silberdublonen vor Steuern und Zöllen.</t>
  </si>
  <si>
    <t>Der Meister ist angehalten, den Preis mit den jeweiligen Steuern und Zöllen des potenziellen Erwerbsortes zu modifizieren.</t>
  </si>
  <si>
    <t>Gibt die für die Herstellung der Feuerwaffe benötigte Zeit in Tagen an.</t>
  </si>
  <si>
    <t>1.Würfel</t>
  </si>
  <si>
    <t>2.Würfel</t>
  </si>
  <si>
    <t>Lohn/d</t>
  </si>
  <si>
    <t>Stahl/kg in D</t>
  </si>
  <si>
    <t>Holz/kg in D</t>
  </si>
  <si>
    <t>Gewicht Stahl in kg</t>
  </si>
  <si>
    <t>Gewicht Holz in kg</t>
  </si>
  <si>
    <t>Würfeltabelle</t>
  </si>
  <si>
    <t>Goblins</t>
  </si>
  <si>
    <t>Alle anderen</t>
  </si>
  <si>
    <t>Verftabelle</t>
  </si>
  <si>
    <t>W2</t>
  </si>
  <si>
    <t>Ausschuss</t>
  </si>
  <si>
    <t>W3</t>
  </si>
  <si>
    <t>Gob. Massenfabrikation</t>
  </si>
  <si>
    <t>W4</t>
  </si>
  <si>
    <t>Gesellenarbeit</t>
  </si>
  <si>
    <t>W6</t>
  </si>
  <si>
    <t>Meisterarbeit</t>
  </si>
  <si>
    <t>Billig P</t>
  </si>
  <si>
    <t>W8</t>
  </si>
  <si>
    <t>Großmeisterarbeit</t>
  </si>
  <si>
    <t>Lademechanismus</t>
  </si>
  <si>
    <t>W10</t>
  </si>
  <si>
    <t>Einzelstück</t>
  </si>
  <si>
    <t>W12</t>
  </si>
  <si>
    <t>W15</t>
  </si>
  <si>
    <t>W20</t>
  </si>
  <si>
    <t>W30</t>
  </si>
  <si>
    <t>TYP</t>
  </si>
  <si>
    <t>Vierläufig</t>
  </si>
  <si>
    <t>Angepasst</t>
  </si>
  <si>
    <t>Perfekt Angepasst</t>
  </si>
  <si>
    <t>Grund-werte</t>
  </si>
  <si>
    <t>D/KG</t>
  </si>
  <si>
    <t>MassenF. D/KG</t>
  </si>
  <si>
    <t>D/Tag</t>
  </si>
  <si>
    <t>Messing</t>
  </si>
  <si>
    <t>Kugelgießer</t>
  </si>
  <si>
    <t>(Schwarz-)Pulvermischer</t>
  </si>
  <si>
    <t>Schwarzpulver</t>
  </si>
  <si>
    <t>Munitiosmanofaktur Pauschale/tag</t>
  </si>
  <si>
    <t>Bezahlung beinhaltet Nanofakturkosten und 3 Vorabeiter</t>
  </si>
  <si>
    <t>Papier</t>
  </si>
  <si>
    <t>Komplette Manofaktur</t>
  </si>
  <si>
    <t>Bezahlung beinhaltet Nanofakturkosten, 3 Vorabeiter, 6 (Schwarz-)Pulvermischer, 9Kugelgießer</t>
  </si>
  <si>
    <t>Preise Pro kg</t>
  </si>
  <si>
    <t>Schwazpulver/kg</t>
  </si>
  <si>
    <t>Blei/kg</t>
  </si>
  <si>
    <t>Papier/kg</t>
  </si>
  <si>
    <t>Messing/kg</t>
  </si>
  <si>
    <t>Gesammt Gewicht/kg</t>
  </si>
  <si>
    <t>Preis Schwazpulver</t>
  </si>
  <si>
    <t>Preis Blei</t>
  </si>
  <si>
    <t>Preis Papier</t>
  </si>
  <si>
    <t>Preis Messing</t>
  </si>
  <si>
    <t>Materieal Preis Gesammt</t>
  </si>
  <si>
    <t>Manofaktur ausstoß pro tag</t>
  </si>
  <si>
    <t>Herstellungskosten</t>
  </si>
  <si>
    <t>Gesammtkostem/Schuss</t>
  </si>
  <si>
    <t>Blei(+Schwatzpulver)</t>
  </si>
  <si>
    <t>VL.Papier Patrone</t>
  </si>
  <si>
    <t>Preis (50Schuss)</t>
  </si>
  <si>
    <t>Preis (100Schuss)</t>
  </si>
  <si>
    <t>Preis (500Schuss)</t>
  </si>
  <si>
    <t>Preis (1.000Schuss)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</si>
</sst>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quot;kg&quot;"/>
    <numFmt numFmtId="165" formatCode="0&quot;mm&quot;"/>
    <numFmt numFmtId="166" formatCode="_-* #,##0.000\ [$ރ.-465]_-;_-* #,##0.000\ [$ރ.-465]\-;_-* \-???\ [$ރ.-465]_-;_-@_-"/>
    <numFmt numFmtId="167" formatCode="0.0&quot; Tage&quot;"/>
    <numFmt numFmtId="168" formatCode="#,##0.00\ [$ރ.-465]_-"/>
    <numFmt numFmtId="169" formatCode="0.0"/>
    <numFmt numFmtId="170" formatCode="#,##0.000"/>
  </numFmts>
  <fonts count="16" x14ac:knownFonts="1">
    <font>
      <sz val="11"/>
      <color rgb="FF000000"/>
      <name val="Calibri"/>
      <family val="2"/>
      <charset val="1"/>
    </font>
    <font>
      <b/>
      <sz val="11"/>
      <color rgb="FF000000"/>
      <name val="Calibri"/>
      <family val="2"/>
      <charset val="1"/>
    </font>
    <font>
      <sz val="11"/>
      <name val="Calibri"/>
      <family val="2"/>
      <charset val="1"/>
    </font>
    <font>
      <b/>
      <sz val="11"/>
      <color rgb="FF000000"/>
      <name val="Bookman Old Style"/>
      <family val="1"/>
      <charset val="1"/>
    </font>
    <font>
      <b/>
      <sz val="11"/>
      <name val="Bookman Old Style"/>
      <family val="1"/>
      <charset val="1"/>
    </font>
    <font>
      <b/>
      <sz val="11"/>
      <color rgb="FFFFFFFF"/>
      <name val="Calibri"/>
      <family val="2"/>
      <charset val="1"/>
    </font>
    <font>
      <sz val="11"/>
      <color rgb="FFFFFFFF"/>
      <name val="Calibri"/>
      <family val="2"/>
      <charset val="1"/>
    </font>
    <font>
      <sz val="11"/>
      <color rgb="FF000000"/>
      <name val="Bookman Old Style"/>
      <family val="1"/>
      <charset val="1"/>
    </font>
    <font>
      <b/>
      <i/>
      <sz val="22"/>
      <color rgb="FF000000"/>
      <name val="Bookman Old Style"/>
      <family val="1"/>
      <charset val="1"/>
    </font>
    <font>
      <b/>
      <u/>
      <sz val="12"/>
      <color rgb="FF000000"/>
      <name val="Bookman Old Style"/>
      <family val="1"/>
      <charset val="1"/>
    </font>
    <font>
      <b/>
      <u/>
      <sz val="11"/>
      <color rgb="FF000000"/>
      <name val="Bookman Old Style"/>
      <family val="1"/>
      <charset val="1"/>
    </font>
    <font>
      <b/>
      <sz val="11"/>
      <color rgb="FFFF0000"/>
      <name val="Calibri"/>
      <family val="2"/>
      <charset val="1"/>
    </font>
    <font>
      <b/>
      <sz val="11"/>
      <name val="Calibri"/>
      <family val="2"/>
      <charset val="1"/>
    </font>
    <font>
      <b/>
      <sz val="11"/>
      <color rgb="FF4472C4"/>
      <name val="Calibri"/>
      <family val="2"/>
      <charset val="1"/>
    </font>
    <font>
      <sz val="11"/>
      <color rgb="FFFF0000"/>
      <name val="Calibri"/>
      <family val="2"/>
      <charset val="1"/>
    </font>
    <font>
      <b/>
      <sz val="11"/>
      <color theme="0"/>
      <name val="Calibri"/>
      <family val="2"/>
    </font>
  </fonts>
  <fills count="19">
    <fill>
      <patternFill patternType="none"/>
    </fill>
    <fill>
      <patternFill patternType="gray125"/>
    </fill>
    <fill>
      <patternFill patternType="solid">
        <fgColor rgb="FF0070C0"/>
        <bgColor rgb="FF008080"/>
      </patternFill>
    </fill>
    <fill>
      <patternFill patternType="solid">
        <fgColor rgb="FF000000"/>
        <bgColor rgb="FF003300"/>
      </patternFill>
    </fill>
    <fill>
      <patternFill patternType="solid">
        <fgColor rgb="FFD0CECE"/>
        <bgColor rgb="FFD9D9D9"/>
      </patternFill>
    </fill>
    <fill>
      <patternFill patternType="solid">
        <fgColor rgb="FFAFABAB"/>
        <bgColor rgb="FFA6A6A6"/>
      </patternFill>
    </fill>
    <fill>
      <patternFill patternType="solid">
        <fgColor rgb="FFBF9000"/>
        <bgColor rgb="FF808000"/>
      </patternFill>
    </fill>
    <fill>
      <patternFill patternType="solid">
        <fgColor rgb="FF70AD47"/>
        <bgColor rgb="FF99CC00"/>
      </patternFill>
    </fill>
    <fill>
      <patternFill patternType="solid">
        <fgColor rgb="FFFFC000"/>
        <bgColor rgb="FFFFFF00"/>
      </patternFill>
    </fill>
    <fill>
      <patternFill patternType="solid">
        <fgColor rgb="FFC00000"/>
        <bgColor rgb="FFFF0000"/>
      </patternFill>
    </fill>
    <fill>
      <patternFill patternType="solid">
        <fgColor rgb="FF843C0B"/>
        <bgColor rgb="FF993366"/>
      </patternFill>
    </fill>
    <fill>
      <patternFill patternType="solid">
        <fgColor rgb="FFD6DCE5"/>
        <bgColor rgb="FFD9D9D9"/>
      </patternFill>
    </fill>
    <fill>
      <patternFill patternType="solid">
        <fgColor rgb="FFA6A6A6"/>
        <bgColor rgb="FFAFABAB"/>
      </patternFill>
    </fill>
    <fill>
      <patternFill patternType="solid">
        <fgColor rgb="FFE7E6E6"/>
        <bgColor rgb="FFF2F2F2"/>
      </patternFill>
    </fill>
    <fill>
      <patternFill patternType="solid">
        <fgColor rgb="FFF8CBAD"/>
        <bgColor rgb="FFD0CECE"/>
      </patternFill>
    </fill>
    <fill>
      <patternFill patternType="solid">
        <fgColor rgb="FFD9D9D9"/>
        <bgColor rgb="FFD6DCE5"/>
      </patternFill>
    </fill>
    <fill>
      <patternFill patternType="solid">
        <fgColor rgb="FFF2F2F2"/>
        <bgColor rgb="FFE7E6E6"/>
      </patternFill>
    </fill>
    <fill>
      <patternFill patternType="solid">
        <fgColor rgb="FF767171"/>
        <bgColor rgb="FF666699"/>
      </patternFill>
    </fill>
    <fill>
      <patternFill patternType="solid">
        <fgColor rgb="FFADB9CA"/>
        <bgColor rgb="FFAFABAB"/>
      </patternFill>
    </fill>
  </fills>
  <borders count="42">
    <border>
      <left/>
      <right/>
      <top/>
      <bottom/>
      <diagonal/>
    </border>
    <border>
      <left/>
      <right style="hair">
        <color auto="1"/>
      </right>
      <top/>
      <bottom/>
      <diagonal/>
    </border>
    <border>
      <left style="hair">
        <color auto="1"/>
      </left>
      <right/>
      <top/>
      <bottom/>
      <diagonal/>
    </border>
    <border>
      <left style="hair">
        <color auto="1"/>
      </left>
      <right style="hair">
        <color auto="1"/>
      </right>
      <top/>
      <bottom/>
      <diagonal/>
    </border>
    <border>
      <left/>
      <right style="thin">
        <color auto="1"/>
      </right>
      <top/>
      <bottom/>
      <diagonal/>
    </border>
    <border>
      <left style="thin">
        <color auto="1"/>
      </left>
      <right/>
      <top/>
      <bottom/>
      <diagonal/>
    </border>
    <border>
      <left/>
      <right style="thick">
        <color auto="1"/>
      </right>
      <top/>
      <bottom/>
      <diagonal/>
    </border>
    <border>
      <left style="thick">
        <color auto="1"/>
      </left>
      <right style="thick">
        <color auto="1"/>
      </right>
      <top/>
      <bottom/>
      <diagonal/>
    </border>
    <border>
      <left style="thick">
        <color auto="1"/>
      </left>
      <right/>
      <top/>
      <bottom/>
      <diagonal/>
    </border>
    <border>
      <left/>
      <right/>
      <top/>
      <bottom style="double">
        <color auto="1"/>
      </bottom>
      <diagonal/>
    </border>
    <border>
      <left/>
      <right style="thick">
        <color auto="1"/>
      </right>
      <top/>
      <bottom style="double">
        <color auto="1"/>
      </bottom>
      <diagonal/>
    </border>
    <border>
      <left style="thick">
        <color auto="1"/>
      </left>
      <right style="thick">
        <color auto="1"/>
      </right>
      <top/>
      <bottom style="double">
        <color auto="1"/>
      </bottom>
      <diagonal/>
    </border>
    <border>
      <left style="thick">
        <color auto="1"/>
      </left>
      <right/>
      <top/>
      <bottom style="double">
        <color auto="1"/>
      </bottom>
      <diagonal/>
    </border>
    <border>
      <left/>
      <right/>
      <top style="double">
        <color auto="1"/>
      </top>
      <bottom/>
      <diagonal/>
    </border>
    <border>
      <left/>
      <right style="thick">
        <color auto="1"/>
      </right>
      <top style="double">
        <color auto="1"/>
      </top>
      <bottom/>
      <diagonal/>
    </border>
    <border>
      <left style="thick">
        <color auto="1"/>
      </left>
      <right style="thick">
        <color auto="1"/>
      </right>
      <top style="double">
        <color auto="1"/>
      </top>
      <bottom/>
      <diagonal/>
    </border>
    <border>
      <left style="thick">
        <color auto="1"/>
      </left>
      <right/>
      <top style="double">
        <color auto="1"/>
      </top>
      <bottom/>
      <diagonal/>
    </border>
    <border>
      <left/>
      <right/>
      <top/>
      <bottom style="medium">
        <color auto="1"/>
      </bottom>
      <diagonal/>
    </border>
    <border>
      <left/>
      <right/>
      <top style="medium">
        <color auto="1"/>
      </top>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style="thick">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medium">
        <color auto="1"/>
      </left>
      <right style="double">
        <color auto="1"/>
      </right>
      <top style="medium">
        <color auto="1"/>
      </top>
      <bottom style="thick">
        <color auto="1"/>
      </bottom>
      <diagonal/>
    </border>
    <border>
      <left style="double">
        <color auto="1"/>
      </left>
      <right style="medium">
        <color auto="1"/>
      </right>
      <top style="medium">
        <color auto="1"/>
      </top>
      <bottom style="thick">
        <color auto="1"/>
      </bottom>
      <diagonal/>
    </border>
    <border>
      <left/>
      <right/>
      <top style="thin">
        <color auto="1"/>
      </top>
      <bottom/>
      <diagonal/>
    </border>
    <border>
      <left/>
      <right style="medium">
        <color auto="1"/>
      </right>
      <top style="thin">
        <color auto="1"/>
      </top>
      <bottom/>
      <diagonal/>
    </border>
    <border>
      <left style="medium">
        <color auto="1"/>
      </left>
      <right style="medium">
        <color auto="1"/>
      </right>
      <top style="thick">
        <color auto="1"/>
      </top>
      <bottom/>
      <diagonal/>
    </border>
    <border>
      <left style="medium">
        <color auto="1"/>
      </left>
      <right/>
      <top style="thin">
        <color auto="1"/>
      </top>
      <bottom/>
      <diagonal/>
    </border>
    <border>
      <left style="medium">
        <color auto="1"/>
      </left>
      <right style="double">
        <color auto="1"/>
      </right>
      <top style="thick">
        <color auto="1"/>
      </top>
      <bottom/>
      <diagonal/>
    </border>
    <border>
      <left style="double">
        <color auto="1"/>
      </left>
      <right style="medium">
        <color auto="1"/>
      </right>
      <top style="thick">
        <color auto="1"/>
      </top>
      <bottom/>
      <diagonal/>
    </border>
    <border>
      <left style="medium">
        <color auto="1"/>
      </left>
      <right style="medium">
        <color auto="1"/>
      </right>
      <top/>
      <bottom/>
      <diagonal/>
    </border>
    <border>
      <left style="medium">
        <color auto="1"/>
      </left>
      <right style="double">
        <color auto="1"/>
      </right>
      <top/>
      <bottom/>
      <diagonal/>
    </border>
    <border>
      <left style="double">
        <color auto="1"/>
      </left>
      <right style="medium">
        <color auto="1"/>
      </right>
      <top/>
      <bottom/>
      <diagonal/>
    </border>
    <border>
      <left style="medium">
        <color auto="1"/>
      </left>
      <right style="medium">
        <color auto="1"/>
      </right>
      <top/>
      <bottom style="medium">
        <color auto="1"/>
      </bottom>
      <diagonal/>
    </border>
    <border>
      <left style="medium">
        <color auto="1"/>
      </left>
      <right style="double">
        <color auto="1"/>
      </right>
      <top/>
      <bottom style="medium">
        <color auto="1"/>
      </bottom>
      <diagonal/>
    </border>
    <border>
      <left style="double">
        <color auto="1"/>
      </left>
      <right style="medium">
        <color auto="1"/>
      </right>
      <top/>
      <bottom style="medium">
        <color auto="1"/>
      </bottom>
      <diagonal/>
    </border>
    <border>
      <left/>
      <right style="medium">
        <color auto="1"/>
      </right>
      <top style="medium">
        <color auto="1"/>
      </top>
      <bottom style="thick">
        <color auto="1"/>
      </bottom>
      <diagonal/>
    </border>
    <border>
      <left/>
      <right style="medium">
        <color auto="1"/>
      </right>
      <top style="thick">
        <color auto="1"/>
      </top>
      <bottom/>
      <diagonal/>
    </border>
    <border>
      <left/>
      <right style="medium">
        <color auto="1"/>
      </right>
      <top/>
      <bottom/>
      <diagonal/>
    </border>
    <border>
      <left/>
      <right style="medium">
        <color auto="1"/>
      </right>
      <top/>
      <bottom style="medium">
        <color auto="1"/>
      </bottom>
      <diagonal/>
    </border>
  </borders>
  <cellStyleXfs count="1">
    <xf numFmtId="0" fontId="0" fillId="0" borderId="0"/>
  </cellStyleXfs>
  <cellXfs count="171">
    <xf numFmtId="0" fontId="0" fillId="0" borderId="0" xfId="0"/>
    <xf numFmtId="0" fontId="1" fillId="0" borderId="1" xfId="0" applyFont="1" applyBorder="1"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xf>
    <xf numFmtId="0" fontId="0" fillId="0" borderId="0" xfId="0" applyAlignment="1">
      <alignment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right" vertical="center"/>
    </xf>
    <xf numFmtId="0" fontId="0" fillId="0" borderId="0" xfId="0" applyAlignment="1">
      <alignment horizontal="right"/>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4" fillId="0" borderId="0" xfId="0" applyFont="1" applyAlignment="1">
      <alignment horizontal="center"/>
    </xf>
    <xf numFmtId="164" fontId="3" fillId="0" borderId="0" xfId="0" applyNumberFormat="1" applyFont="1" applyAlignment="1">
      <alignment horizontal="left" vertical="center"/>
    </xf>
    <xf numFmtId="165" fontId="3" fillId="0" borderId="0" xfId="0" applyNumberFormat="1"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166" fontId="3" fillId="0" borderId="8" xfId="0" applyNumberFormat="1" applyFont="1" applyBorder="1" applyAlignment="1">
      <alignment horizontal="left" vertical="center"/>
    </xf>
    <xf numFmtId="167" fontId="3" fillId="0" borderId="0" xfId="0" applyNumberFormat="1" applyFont="1" applyAlignment="1">
      <alignment horizontal="left"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0" fillId="0" borderId="5" xfId="0" applyBorder="1"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166" fontId="0" fillId="0" borderId="8" xfId="0" applyNumberFormat="1" applyBorder="1" applyAlignment="1">
      <alignment horizontal="right" vertical="center"/>
    </xf>
    <xf numFmtId="167" fontId="0" fillId="0" borderId="0" xfId="0" applyNumberFormat="1" applyAlignment="1">
      <alignment horizontal="right"/>
    </xf>
    <xf numFmtId="0" fontId="0" fillId="4" borderId="5" xfId="0" applyFill="1" applyBorder="1" applyAlignment="1">
      <alignment horizontal="center" vertical="center"/>
    </xf>
    <xf numFmtId="0" fontId="5" fillId="3" borderId="0" xfId="0" applyFont="1" applyFill="1" applyAlignment="1">
      <alignment horizontal="center" vertical="center"/>
    </xf>
    <xf numFmtId="0" fontId="5" fillId="3" borderId="4" xfId="0" applyFont="1" applyFill="1" applyBorder="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1" fillId="7" borderId="0" xfId="0" applyFont="1" applyFill="1" applyAlignment="1">
      <alignment horizontal="center" vertical="center"/>
    </xf>
    <xf numFmtId="0" fontId="1" fillId="7" borderId="4" xfId="0" applyFont="1" applyFill="1" applyBorder="1" applyAlignment="1">
      <alignment horizontal="center" vertical="center"/>
    </xf>
    <xf numFmtId="0" fontId="1" fillId="8" borderId="0" xfId="0" applyFont="1" applyFill="1" applyAlignment="1">
      <alignment horizontal="center" vertical="center"/>
    </xf>
    <xf numFmtId="0" fontId="1" fillId="8" borderId="4" xfId="0" applyFont="1" applyFill="1" applyBorder="1" applyAlignment="1">
      <alignment horizontal="center" vertical="center"/>
    </xf>
    <xf numFmtId="0" fontId="1" fillId="9" borderId="0" xfId="0" applyFont="1" applyFill="1" applyAlignment="1">
      <alignment horizontal="center" vertical="center"/>
    </xf>
    <xf numFmtId="0" fontId="1" fillId="9" borderId="4" xfId="0" applyFont="1" applyFill="1" applyBorder="1" applyAlignment="1">
      <alignment horizontal="center" vertical="center"/>
    </xf>
    <xf numFmtId="0" fontId="1" fillId="10" borderId="0" xfId="0" applyFont="1" applyFill="1" applyAlignment="1">
      <alignment horizontal="center" vertical="center"/>
    </xf>
    <xf numFmtId="0" fontId="1" fillId="10" borderId="4" xfId="0" applyFont="1" applyFill="1" applyBorder="1" applyAlignment="1">
      <alignment horizontal="center" vertical="center"/>
    </xf>
    <xf numFmtId="0" fontId="0" fillId="0" borderId="0" xfId="0" applyAlignment="1">
      <alignment horizontal="right" vertical="center"/>
    </xf>
    <xf numFmtId="168" fontId="0" fillId="0" borderId="0" xfId="0" applyNumberFormat="1" applyAlignment="1">
      <alignment horizontal="left" vertical="center"/>
    </xf>
    <xf numFmtId="165" fontId="0" fillId="0" borderId="6" xfId="0" applyNumberFormat="1" applyBorder="1" applyAlignment="1">
      <alignment horizontal="center" vertical="center"/>
    </xf>
    <xf numFmtId="168" fontId="0" fillId="0" borderId="7" xfId="0" applyNumberFormat="1" applyBorder="1" applyAlignment="1">
      <alignment horizontal="center" vertical="center"/>
    </xf>
    <xf numFmtId="168" fontId="0" fillId="0" borderId="8" xfId="0" applyNumberFormat="1" applyBorder="1" applyAlignment="1">
      <alignment horizontal="right" vertical="center"/>
    </xf>
    <xf numFmtId="0" fontId="0" fillId="0" borderId="9" xfId="0" applyBorder="1" applyAlignment="1">
      <alignment horizontal="center" vertical="center"/>
    </xf>
    <xf numFmtId="0" fontId="6" fillId="3" borderId="9" xfId="0" applyFont="1" applyFill="1" applyBorder="1" applyAlignment="1">
      <alignment horizontal="left" vertical="center"/>
    </xf>
    <xf numFmtId="165" fontId="0" fillId="0" borderId="10" xfId="0" applyNumberFormat="1" applyBorder="1" applyAlignment="1">
      <alignment horizontal="center" vertical="center"/>
    </xf>
    <xf numFmtId="168" fontId="0" fillId="0" borderId="11" xfId="0" applyNumberFormat="1" applyBorder="1" applyAlignment="1">
      <alignment horizontal="center" vertical="center"/>
    </xf>
    <xf numFmtId="168" fontId="0" fillId="0" borderId="12" xfId="0" applyNumberFormat="1" applyBorder="1" applyAlignment="1">
      <alignment horizontal="right" vertical="center"/>
    </xf>
    <xf numFmtId="168" fontId="0" fillId="0" borderId="9" xfId="0" applyNumberFormat="1" applyBorder="1" applyAlignment="1">
      <alignment horizontal="right" vertical="center"/>
    </xf>
    <xf numFmtId="0" fontId="0" fillId="0" borderId="9" xfId="0" applyBorder="1" applyAlignment="1">
      <alignment horizontal="left"/>
    </xf>
    <xf numFmtId="0" fontId="0" fillId="0" borderId="9" xfId="0" applyBorder="1"/>
    <xf numFmtId="0" fontId="6" fillId="3" borderId="0" xfId="0" applyFont="1" applyFill="1" applyAlignment="1">
      <alignment horizontal="left" vertical="center"/>
    </xf>
    <xf numFmtId="168" fontId="0" fillId="0" borderId="0" xfId="0" applyNumberFormat="1" applyAlignment="1">
      <alignment horizontal="right" vertical="center"/>
    </xf>
    <xf numFmtId="0" fontId="0" fillId="0" borderId="0" xfId="0" applyAlignment="1">
      <alignment horizontal="left"/>
    </xf>
    <xf numFmtId="0" fontId="0" fillId="0" borderId="0" xfId="0"/>
    <xf numFmtId="0" fontId="0" fillId="0" borderId="13" xfId="0" applyBorder="1" applyAlignment="1">
      <alignment horizontal="center" vertical="center"/>
    </xf>
    <xf numFmtId="0" fontId="0" fillId="5" borderId="13" xfId="0" applyFill="1" applyBorder="1" applyAlignment="1">
      <alignment horizontal="left" vertical="center"/>
    </xf>
    <xf numFmtId="165" fontId="0" fillId="0" borderId="14" xfId="0" applyNumberFormat="1" applyBorder="1" applyAlignment="1">
      <alignment horizontal="center" vertical="center"/>
    </xf>
    <xf numFmtId="168" fontId="0" fillId="0" borderId="15" xfId="0" applyNumberFormat="1" applyBorder="1" applyAlignment="1">
      <alignment horizontal="center" vertical="center"/>
    </xf>
    <xf numFmtId="168" fontId="0" fillId="0" borderId="16" xfId="0" applyNumberFormat="1" applyBorder="1" applyAlignment="1">
      <alignment horizontal="right" vertical="center"/>
    </xf>
    <xf numFmtId="168" fontId="0" fillId="0" borderId="13" xfId="0" applyNumberFormat="1" applyBorder="1" applyAlignment="1">
      <alignment horizontal="right" vertical="center"/>
    </xf>
    <xf numFmtId="0" fontId="0" fillId="0" borderId="13" xfId="0" applyBorder="1" applyAlignment="1">
      <alignment horizontal="left"/>
    </xf>
    <xf numFmtId="0" fontId="0" fillId="0" borderId="13" xfId="0" applyBorder="1"/>
    <xf numFmtId="0" fontId="0" fillId="5" borderId="0" xfId="0" applyFill="1" applyAlignment="1">
      <alignment horizontal="left" vertical="center"/>
    </xf>
    <xf numFmtId="0" fontId="0" fillId="5" borderId="9" xfId="0" applyFill="1" applyBorder="1" applyAlignment="1">
      <alignment horizontal="left" vertical="center"/>
    </xf>
    <xf numFmtId="0" fontId="0" fillId="6" borderId="13" xfId="0" applyFill="1" applyBorder="1" applyAlignment="1">
      <alignment horizontal="left" vertical="center"/>
    </xf>
    <xf numFmtId="0" fontId="0" fillId="6" borderId="0" xfId="0" applyFill="1" applyAlignment="1">
      <alignment horizontal="left" vertical="center"/>
    </xf>
    <xf numFmtId="0" fontId="7" fillId="0" borderId="0" xfId="0" applyFont="1" applyAlignment="1">
      <alignment vertical="top"/>
    </xf>
    <xf numFmtId="0" fontId="7" fillId="0" borderId="0" xfId="0" applyFont="1"/>
    <xf numFmtId="0" fontId="8" fillId="0" borderId="17" xfId="0" applyFont="1" applyBorder="1" applyAlignment="1">
      <alignment vertical="top"/>
    </xf>
    <xf numFmtId="0" fontId="7" fillId="0" borderId="17" xfId="0" applyFont="1" applyBorder="1" applyAlignment="1">
      <alignment vertical="top"/>
    </xf>
    <xf numFmtId="0" fontId="7" fillId="0" borderId="18" xfId="0" applyFont="1" applyBorder="1" applyAlignment="1">
      <alignment vertical="top"/>
    </xf>
    <xf numFmtId="0" fontId="9" fillId="0" borderId="0" xfId="0" applyFont="1" applyAlignment="1">
      <alignment horizontal="right" vertical="top"/>
    </xf>
    <xf numFmtId="0" fontId="7" fillId="0" borderId="0" xfId="0" applyFont="1" applyAlignment="1">
      <alignment vertical="top" wrapText="1"/>
    </xf>
    <xf numFmtId="0" fontId="7" fillId="0" borderId="18" xfId="0" applyFont="1" applyBorder="1" applyAlignment="1">
      <alignment horizontal="left" vertical="top"/>
    </xf>
    <xf numFmtId="0" fontId="10" fillId="0" borderId="0" xfId="0" applyFont="1" applyAlignment="1">
      <alignment horizontal="right" vertical="top"/>
    </xf>
    <xf numFmtId="0" fontId="3" fillId="0" borderId="0" xfId="0" applyFont="1" applyAlignment="1">
      <alignment vertical="top"/>
    </xf>
    <xf numFmtId="49" fontId="7" fillId="0" borderId="0" xfId="0" applyNumberFormat="1" applyFont="1" applyAlignment="1">
      <alignment vertical="top"/>
    </xf>
    <xf numFmtId="0" fontId="10" fillId="0" borderId="0" xfId="0" applyFont="1" applyAlignment="1">
      <alignment vertical="top"/>
    </xf>
    <xf numFmtId="49" fontId="7" fillId="0" borderId="0" xfId="0" applyNumberFormat="1" applyFont="1" applyAlignment="1">
      <alignment vertical="top" wrapText="1"/>
    </xf>
    <xf numFmtId="0" fontId="10" fillId="0" borderId="17" xfId="0" applyFont="1" applyBorder="1" applyAlignment="1">
      <alignment vertical="top"/>
    </xf>
    <xf numFmtId="49" fontId="7" fillId="0" borderId="17" xfId="0" applyNumberFormat="1" applyFont="1" applyBorder="1" applyAlignment="1">
      <alignment vertical="top" wrapText="1"/>
    </xf>
    <xf numFmtId="0" fontId="10" fillId="0" borderId="18" xfId="0" applyFont="1" applyBorder="1" applyAlignment="1">
      <alignment vertical="top"/>
    </xf>
    <xf numFmtId="49" fontId="7" fillId="0" borderId="18" xfId="0" applyNumberFormat="1" applyFont="1" applyBorder="1" applyAlignment="1">
      <alignment vertical="top" wrapText="1"/>
    </xf>
    <xf numFmtId="49" fontId="7" fillId="0" borderId="17" xfId="0" applyNumberFormat="1" applyFont="1" applyBorder="1" applyAlignment="1">
      <alignment vertical="top"/>
    </xf>
    <xf numFmtId="49" fontId="7" fillId="0" borderId="18" xfId="0" applyNumberFormat="1" applyFont="1" applyBorder="1" applyAlignment="1">
      <alignment vertical="top"/>
    </xf>
    <xf numFmtId="0" fontId="11" fillId="0" borderId="0" xfId="0" applyFont="1" applyAlignment="1">
      <alignment horizontal="center" vertical="center"/>
    </xf>
    <xf numFmtId="169" fontId="0" fillId="0" borderId="0" xfId="0" applyNumberFormat="1" applyAlignment="1">
      <alignment horizontal="center" vertical="center"/>
    </xf>
    <xf numFmtId="0" fontId="0" fillId="11" borderId="0" xfId="0" applyFill="1" applyAlignment="1">
      <alignment horizontal="left" vertical="center"/>
    </xf>
    <xf numFmtId="0" fontId="0" fillId="11" borderId="0" xfId="0" applyFill="1" applyAlignment="1">
      <alignment horizontal="center" vertical="center"/>
    </xf>
    <xf numFmtId="0" fontId="1" fillId="11" borderId="0" xfId="0" applyFont="1" applyFill="1" applyAlignment="1">
      <alignment horizontal="center" vertical="center"/>
    </xf>
    <xf numFmtId="169" fontId="0" fillId="11" borderId="0" xfId="0" applyNumberFormat="1" applyFill="1" applyAlignment="1">
      <alignment horizontal="center" vertical="center"/>
    </xf>
    <xf numFmtId="0" fontId="11" fillId="11" borderId="0" xfId="0" applyFont="1" applyFill="1" applyAlignment="1">
      <alignment horizontal="center" vertical="center"/>
    </xf>
    <xf numFmtId="0" fontId="0" fillId="12" borderId="0" xfId="0" applyFill="1" applyAlignment="1">
      <alignment horizontal="left" vertical="center"/>
    </xf>
    <xf numFmtId="0" fontId="0" fillId="12" borderId="0" xfId="0" applyFill="1" applyAlignment="1">
      <alignment horizontal="center" vertical="center"/>
    </xf>
    <xf numFmtId="0" fontId="1" fillId="12" borderId="0" xfId="0" applyFont="1" applyFill="1" applyAlignment="1">
      <alignment horizontal="center" vertical="center"/>
    </xf>
    <xf numFmtId="0" fontId="0" fillId="13" borderId="0" xfId="0" applyFill="1" applyAlignment="1">
      <alignment horizontal="left" vertical="center"/>
    </xf>
    <xf numFmtId="0" fontId="0" fillId="13" borderId="0" xfId="0" applyFill="1" applyAlignment="1">
      <alignment horizontal="center" vertical="center"/>
    </xf>
    <xf numFmtId="0" fontId="1" fillId="13" borderId="0" xfId="0" applyFont="1" applyFill="1" applyAlignment="1">
      <alignment horizontal="center" vertical="center"/>
    </xf>
    <xf numFmtId="169" fontId="0" fillId="13" borderId="0" xfId="0" applyNumberFormat="1" applyFill="1" applyAlignment="1">
      <alignment horizontal="center" vertical="center"/>
    </xf>
    <xf numFmtId="0" fontId="11" fillId="13" borderId="0" xfId="0" applyFont="1" applyFill="1" applyAlignment="1">
      <alignment horizontal="center" vertical="center"/>
    </xf>
    <xf numFmtId="0" fontId="1" fillId="14" borderId="0" xfId="0" applyFont="1" applyFill="1" applyAlignment="1">
      <alignment horizontal="left" vertical="center"/>
    </xf>
    <xf numFmtId="0" fontId="1" fillId="14" borderId="0" xfId="0" applyFont="1" applyFill="1" applyAlignment="1">
      <alignment horizontal="center" vertical="center"/>
    </xf>
    <xf numFmtId="0" fontId="0" fillId="14" borderId="0" xfId="0" applyFill="1" applyAlignment="1">
      <alignment horizontal="center" vertical="center"/>
    </xf>
    <xf numFmtId="169" fontId="0" fillId="14" borderId="0" xfId="0" applyNumberFormat="1" applyFill="1" applyAlignment="1">
      <alignment horizontal="center" vertical="center"/>
    </xf>
    <xf numFmtId="0" fontId="12" fillId="14" borderId="0" xfId="0" applyFont="1" applyFill="1" applyAlignment="1">
      <alignment horizontal="left" vertical="center"/>
    </xf>
    <xf numFmtId="0" fontId="0" fillId="15" borderId="0" xfId="0" applyFill="1" applyAlignment="1">
      <alignment horizontal="left" vertical="center"/>
    </xf>
    <xf numFmtId="0" fontId="0" fillId="15" borderId="0" xfId="0" applyFill="1" applyAlignment="1">
      <alignment horizontal="center" vertical="center"/>
    </xf>
    <xf numFmtId="0" fontId="1" fillId="15" borderId="0" xfId="0" applyFont="1" applyFill="1" applyAlignment="1">
      <alignment horizontal="center" vertical="center"/>
    </xf>
    <xf numFmtId="169" fontId="0" fillId="15" borderId="0" xfId="0" applyNumberFormat="1" applyFill="1" applyAlignment="1">
      <alignment horizontal="center" vertical="center"/>
    </xf>
    <xf numFmtId="0" fontId="11" fillId="15" borderId="0" xfId="0" applyFont="1" applyFill="1" applyAlignment="1">
      <alignment horizontal="center" vertical="center"/>
    </xf>
    <xf numFmtId="0" fontId="0" fillId="16" borderId="0" xfId="0" applyFill="1" applyAlignment="1">
      <alignment horizontal="left" vertical="center"/>
    </xf>
    <xf numFmtId="0" fontId="0" fillId="16" borderId="0" xfId="0" applyFill="1" applyAlignment="1">
      <alignment horizontal="center" vertical="center"/>
    </xf>
    <xf numFmtId="0" fontId="1" fillId="16" borderId="0" xfId="0" applyFont="1" applyFill="1" applyAlignment="1">
      <alignment horizontal="center" vertical="center"/>
    </xf>
    <xf numFmtId="169" fontId="0" fillId="16" borderId="0" xfId="0" applyNumberFormat="1" applyFill="1" applyAlignment="1">
      <alignment horizontal="center" vertical="center"/>
    </xf>
    <xf numFmtId="0" fontId="0" fillId="17" borderId="0" xfId="0" applyFill="1" applyAlignment="1">
      <alignment horizontal="left" vertical="center"/>
    </xf>
    <xf numFmtId="0" fontId="1" fillId="17" borderId="0" xfId="0" applyFont="1" applyFill="1" applyAlignment="1">
      <alignment horizontal="center" vertical="center"/>
    </xf>
    <xf numFmtId="169" fontId="0" fillId="17" borderId="0" xfId="0" applyNumberFormat="1" applyFill="1" applyAlignment="1">
      <alignment horizontal="center" vertical="center"/>
    </xf>
    <xf numFmtId="0" fontId="0" fillId="17" borderId="0" xfId="0" applyFill="1" applyAlignment="1">
      <alignment horizontal="center" vertical="center"/>
    </xf>
    <xf numFmtId="0" fontId="0" fillId="18" borderId="0" xfId="0" applyFill="1" applyAlignment="1">
      <alignment horizontal="left" vertical="center"/>
    </xf>
    <xf numFmtId="0" fontId="0" fillId="18" borderId="0" xfId="0" applyFill="1" applyAlignment="1">
      <alignment horizontal="center" vertical="center"/>
    </xf>
    <xf numFmtId="0" fontId="1" fillId="18" borderId="0" xfId="0" applyFont="1" applyFill="1" applyAlignment="1">
      <alignment horizontal="center" vertical="center"/>
    </xf>
    <xf numFmtId="169" fontId="0" fillId="18" borderId="0" xfId="0" applyNumberFormat="1" applyFill="1" applyAlignment="1">
      <alignment horizontal="center" vertical="center"/>
    </xf>
    <xf numFmtId="0" fontId="0" fillId="0" borderId="0" xfId="0" applyAlignment="1">
      <alignment horizontal="center"/>
    </xf>
    <xf numFmtId="170" fontId="0" fillId="0" borderId="0" xfId="0" applyNumberFormat="1" applyAlignment="1">
      <alignment horizontal="right"/>
    </xf>
    <xf numFmtId="3" fontId="0" fillId="0" borderId="0" xfId="0" applyNumberFormat="1" applyAlignment="1">
      <alignment horizontal="center"/>
    </xf>
    <xf numFmtId="168" fontId="0" fillId="0" borderId="0" xfId="0" applyNumberFormat="1"/>
    <xf numFmtId="0" fontId="13" fillId="0" borderId="0" xfId="0" applyFont="1" applyAlignment="1">
      <alignment horizontal="center"/>
    </xf>
    <xf numFmtId="0" fontId="14" fillId="0" borderId="0" xfId="0" applyFont="1" applyAlignment="1">
      <alignment horizontal="center"/>
    </xf>
    <xf numFmtId="170" fontId="0" fillId="0" borderId="0" xfId="0" applyNumberFormat="1"/>
    <xf numFmtId="0" fontId="0" fillId="0" borderId="19" xfId="0" applyBorder="1"/>
    <xf numFmtId="0" fontId="0" fillId="0" borderId="20" xfId="0" applyBorder="1"/>
    <xf numFmtId="170" fontId="0" fillId="0" borderId="21" xfId="0" applyNumberFormat="1" applyBorder="1"/>
    <xf numFmtId="0" fontId="0" fillId="0" borderId="22" xfId="0" applyBorder="1"/>
    <xf numFmtId="0" fontId="0" fillId="0" borderId="21" xfId="0" applyBorder="1"/>
    <xf numFmtId="3" fontId="0" fillId="0" borderId="23" xfId="0" applyNumberFormat="1" applyBorder="1" applyAlignment="1">
      <alignment horizontal="left"/>
    </xf>
    <xf numFmtId="0" fontId="0" fillId="0" borderId="24" xfId="0" applyBorder="1"/>
    <xf numFmtId="0" fontId="0" fillId="0" borderId="26" xfId="0" applyBorder="1"/>
    <xf numFmtId="0" fontId="13" fillId="0" borderId="26" xfId="0" applyFont="1" applyBorder="1"/>
    <xf numFmtId="0" fontId="13" fillId="0" borderId="27" xfId="0" applyFont="1" applyBorder="1"/>
    <xf numFmtId="170" fontId="14" fillId="0" borderId="28" xfId="0" applyNumberFormat="1" applyFont="1" applyBorder="1"/>
    <xf numFmtId="0" fontId="14" fillId="0" borderId="29" xfId="0" applyFont="1" applyBorder="1"/>
    <xf numFmtId="0" fontId="14" fillId="0" borderId="26" xfId="0" applyFont="1" applyBorder="1"/>
    <xf numFmtId="0" fontId="14" fillId="0" borderId="27" xfId="0" applyFont="1" applyBorder="1"/>
    <xf numFmtId="0" fontId="14" fillId="0" borderId="28" xfId="0" applyFont="1" applyBorder="1"/>
    <xf numFmtId="3" fontId="13" fillId="0" borderId="0" xfId="0" applyNumberFormat="1" applyFont="1" applyAlignment="1">
      <alignment horizontal="center"/>
    </xf>
    <xf numFmtId="0" fontId="14" fillId="0" borderId="30" xfId="0" applyFont="1" applyBorder="1"/>
    <xf numFmtId="0" fontId="13" fillId="0" borderId="0" xfId="0" applyFont="1"/>
    <xf numFmtId="170" fontId="14" fillId="0" borderId="32" xfId="0" applyNumberFormat="1" applyFont="1" applyBorder="1"/>
    <xf numFmtId="0" fontId="14" fillId="0" borderId="0" xfId="0" applyFont="1"/>
    <xf numFmtId="0" fontId="14" fillId="0" borderId="32" xfId="0" applyFont="1" applyBorder="1"/>
    <xf numFmtId="0" fontId="14" fillId="0" borderId="33" xfId="0" applyFont="1" applyBorder="1"/>
    <xf numFmtId="170" fontId="14" fillId="0" borderId="35" xfId="0" applyNumberFormat="1" applyFont="1" applyBorder="1"/>
    <xf numFmtId="0" fontId="14" fillId="0" borderId="35" xfId="0" applyFont="1" applyBorder="1"/>
    <xf numFmtId="0" fontId="14" fillId="0" borderId="36" xfId="0" applyFont="1" applyBorder="1"/>
    <xf numFmtId="0" fontId="15" fillId="3"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168" fontId="14" fillId="0" borderId="37" xfId="0" applyNumberFormat="1" applyFont="1" applyBorder="1" applyAlignment="1">
      <alignment horizontal="center"/>
    </xf>
    <xf numFmtId="0" fontId="0" fillId="0" borderId="41" xfId="0" applyBorder="1"/>
    <xf numFmtId="168" fontId="14" fillId="0" borderId="34" xfId="0" applyNumberFormat="1" applyFont="1" applyBorder="1" applyAlignment="1">
      <alignment horizontal="center"/>
    </xf>
    <xf numFmtId="0" fontId="0" fillId="0" borderId="40" xfId="0" applyBorder="1"/>
    <xf numFmtId="168" fontId="0" fillId="0" borderId="25" xfId="0" applyNumberFormat="1" applyBorder="1" applyAlignment="1">
      <alignment horizontal="center"/>
    </xf>
    <xf numFmtId="0" fontId="0" fillId="0" borderId="38" xfId="0" applyBorder="1"/>
    <xf numFmtId="168" fontId="14" fillId="0" borderId="31" xfId="0" applyNumberFormat="1" applyFont="1" applyBorder="1" applyAlignment="1">
      <alignment horizontal="center"/>
    </xf>
    <xf numFmtId="0" fontId="0" fillId="0" borderId="39" xfId="0" applyBorder="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ADB9CA"/>
      <rgbColor rgb="FF767171"/>
      <rgbColor rgb="FFAFABAB"/>
      <rgbColor rgb="FF993366"/>
      <rgbColor rgb="FFF2F2F2"/>
      <rgbColor rgb="FFE7E6E6"/>
      <rgbColor rgb="FF660066"/>
      <rgbColor rgb="FFFF8080"/>
      <rgbColor rgb="FF0070C0"/>
      <rgbColor rgb="FFD6DCE5"/>
      <rgbColor rgb="FF000080"/>
      <rgbColor rgb="FFFF00FF"/>
      <rgbColor rgb="FFFFFF00"/>
      <rgbColor rgb="FF00FFFF"/>
      <rgbColor rgb="FF800080"/>
      <rgbColor rgb="FF800000"/>
      <rgbColor rgb="FF008080"/>
      <rgbColor rgb="FF0000FF"/>
      <rgbColor rgb="FF00CCFF"/>
      <rgbColor rgb="FFCCFFFF"/>
      <rgbColor rgb="FFD9D9D9"/>
      <rgbColor rgb="FFFFFF99"/>
      <rgbColor rgb="FFD0CECE"/>
      <rgbColor rgb="FFFF99CC"/>
      <rgbColor rgb="FFCC99FF"/>
      <rgbColor rgb="FFF8CBAD"/>
      <rgbColor rgb="FF4472C4"/>
      <rgbColor rgb="FF33CCCC"/>
      <rgbColor rgb="FF99CC00"/>
      <rgbColor rgb="FFFFC000"/>
      <rgbColor rgb="FFBF9000"/>
      <rgbColor rgb="FFFF6600"/>
      <rgbColor rgb="FF666699"/>
      <rgbColor rgb="FFA6A6A6"/>
      <rgbColor rgb="FF003366"/>
      <rgbColor rgb="FF70AD47"/>
      <rgbColor rgb="FF003300"/>
      <rgbColor rgb="FF333300"/>
      <rgbColor rgb="FF843C0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00"/>
  <sheetViews>
    <sheetView tabSelected="1" zoomScaleNormal="100" workbookViewId="0">
      <pane xSplit="1" ySplit="1" topLeftCell="B2" activePane="bottomRight" state="frozen"/>
      <selection pane="topRight" activeCell="B1" sqref="B1"/>
      <selection pane="bottomLeft" activeCell="A2" sqref="A2"/>
      <selection pane="bottomRight" activeCell="C6" sqref="C6"/>
    </sheetView>
  </sheetViews>
  <sheetFormatPr baseColWidth="10" defaultColWidth="9.140625" defaultRowHeight="15" x14ac:dyDescent="0.25"/>
  <cols>
    <col min="1" max="1" width="17.85546875" style="162" customWidth="1"/>
    <col min="2" max="2" width="10.28515625" style="1" customWidth="1"/>
    <col min="3" max="3" width="17.85546875" style="2" customWidth="1"/>
    <col min="4" max="7" width="17.85546875" style="162" customWidth="1"/>
    <col min="8" max="8" width="17.85546875" style="3" customWidth="1"/>
    <col min="9" max="9" width="21.28515625" style="3" customWidth="1"/>
    <col min="10" max="10" width="18.5703125" style="3" customWidth="1"/>
    <col min="11" max="11" width="10.140625" style="59" customWidth="1"/>
    <col min="12" max="12" width="11.42578125" style="162" customWidth="1"/>
    <col min="13" max="13" width="11.28515625" style="162" customWidth="1"/>
    <col min="14" max="14" width="11.42578125" style="162" customWidth="1"/>
    <col min="15" max="15" width="15.85546875" style="162" customWidth="1"/>
    <col min="16" max="16" width="4.85546875" style="162" customWidth="1"/>
    <col min="17" max="17" width="10.42578125" style="162" customWidth="1"/>
    <col min="18" max="18" width="6.5703125" style="162" customWidth="1"/>
    <col min="19" max="20" width="6.7109375" style="162" customWidth="1"/>
    <col min="21" max="23" width="8.140625" style="162" customWidth="1"/>
    <col min="24" max="24" width="10.85546875" style="162" customWidth="1"/>
    <col min="25" max="25" width="12.140625" style="4" customWidth="1"/>
    <col min="26" max="26" width="4.28515625" style="161" customWidth="1"/>
    <col min="27" max="27" width="8.85546875" style="5" customWidth="1"/>
    <col min="28" max="28" width="8.85546875" style="6" customWidth="1"/>
    <col min="29" max="29" width="13.140625" style="7" customWidth="1"/>
    <col min="30" max="30" width="10.42578125" style="8" customWidth="1"/>
    <col min="31" max="1025" width="11.42578125" style="162" customWidth="1"/>
  </cols>
  <sheetData>
    <row r="1" spans="1:32" s="9" customFormat="1" x14ac:dyDescent="0.25">
      <c r="A1" s="9" t="s">
        <v>0</v>
      </c>
      <c r="B1" s="10" t="s">
        <v>1</v>
      </c>
      <c r="C1" s="11" t="s">
        <v>2</v>
      </c>
      <c r="D1" s="9" t="s">
        <v>3</v>
      </c>
      <c r="E1" s="9" t="s">
        <v>4</v>
      </c>
      <c r="F1" s="9" t="s">
        <v>5</v>
      </c>
      <c r="G1" s="9" t="s">
        <v>6</v>
      </c>
      <c r="H1" s="12" t="s">
        <v>7</v>
      </c>
      <c r="I1" s="12" t="s">
        <v>8</v>
      </c>
      <c r="J1" s="12" t="s">
        <v>9</v>
      </c>
      <c r="K1" s="13" t="s">
        <v>10</v>
      </c>
      <c r="L1" s="9" t="s">
        <v>11</v>
      </c>
      <c r="M1" s="9" t="s">
        <v>12</v>
      </c>
      <c r="N1" s="9" t="s">
        <v>13</v>
      </c>
      <c r="O1" s="9" t="s">
        <v>14</v>
      </c>
      <c r="P1" s="9" t="s">
        <v>15</v>
      </c>
      <c r="Q1" s="14" t="s">
        <v>16</v>
      </c>
      <c r="R1" s="9" t="s">
        <v>17</v>
      </c>
      <c r="S1" s="9" t="s">
        <v>18</v>
      </c>
      <c r="T1" s="9" t="s">
        <v>19</v>
      </c>
      <c r="U1" s="9" t="s">
        <v>20</v>
      </c>
      <c r="V1" s="9" t="s">
        <v>21</v>
      </c>
      <c r="W1" s="9" t="s">
        <v>22</v>
      </c>
      <c r="X1" s="9" t="s">
        <v>23</v>
      </c>
      <c r="Y1" s="15" t="s">
        <v>24</v>
      </c>
      <c r="Z1" s="16" t="s">
        <v>25</v>
      </c>
      <c r="AA1" s="17" t="s">
        <v>26</v>
      </c>
      <c r="AB1" s="18" t="s">
        <v>27</v>
      </c>
      <c r="AC1" s="19" t="s">
        <v>28</v>
      </c>
      <c r="AD1" s="20" t="s">
        <v>29</v>
      </c>
      <c r="AE1" s="9" t="s">
        <v>30</v>
      </c>
      <c r="AF1" t="s">
        <v>31</v>
      </c>
    </row>
    <row r="2" spans="1:32" x14ac:dyDescent="0.25">
      <c r="A2" s="21" t="s">
        <v>32</v>
      </c>
      <c r="B2" s="22" t="s">
        <v>33</v>
      </c>
      <c r="C2" s="30" t="s">
        <v>34</v>
      </c>
      <c r="D2" s="162" t="s">
        <v>32</v>
      </c>
      <c r="E2" s="162" t="s">
        <v>35</v>
      </c>
      <c r="F2" s="162" t="s">
        <v>36</v>
      </c>
      <c r="G2" s="162" t="s">
        <v>37</v>
      </c>
      <c r="H2" s="160" t="s">
        <v>38</v>
      </c>
      <c r="I2" s="24" t="s">
        <v>39</v>
      </c>
      <c r="J2" s="24" t="s">
        <v>40</v>
      </c>
      <c r="K2" s="25">
        <f t="shared" ref="K2:K33" si="0">VLOOKUP(B2,Res,11,0)+VLOOKUP(C2,Res,11,0)+VLOOKUP(D2,Res,11,0)+VLOOKUP(E2,Res,11,0)+VLOOKUP(G2,Res,11,0)</f>
        <v>6.8</v>
      </c>
      <c r="L2" s="162">
        <f t="shared" ref="L2:L33" si="1">VLOOKUP(B2,Res,12,0)+VLOOKUP(C2,Res,12,0)+VLOOKUP(D2,Res,12,0)+VLOOKUP(J2,Res,12,0)</f>
        <v>14</v>
      </c>
      <c r="M2" s="162" t="str">
        <f t="shared" ref="M2:M33" si="2">VLOOKUP(VLOOKUP(B2,Res,13,0)+VLOOKUP(C2,Res,13,0)+VLOOKUP(D2,Res,13,0),wtab,2,0)</f>
        <v>W12</v>
      </c>
      <c r="N2" s="162" t="str">
        <f t="shared" ref="N2:N33" si="3">VLOOKUP(VLOOKUP(B2,Res,14,0)+VLOOKUP(C2,Res,14,0)+VLOOKUP(D2,Res,14,0),wtab,2,0)</f>
        <v>W10</v>
      </c>
      <c r="O2" s="162">
        <f t="shared" ref="O2:O33" si="4">VLOOKUP(B2,Res,15,0)+VLOOKUP(C2,Res,15,0)+VLOOKUP(D2,Res,15,0)</f>
        <v>2</v>
      </c>
      <c r="P2" s="162">
        <f t="shared" ref="P2:P33" si="5">VLOOKUP(B2,Res,16,0)+VLOOKUP(C2,Res,16,0)+VLOOKUP(D2,Res,16,0)+VLOOKUP(E2,Res,16,0)</f>
        <v>14</v>
      </c>
      <c r="Q2" s="162">
        <f t="shared" ref="Q2:Q33" si="6">VLOOKUP(B2,Res,17,0)+VLOOKUP(C2,Res,17,0)+VLOOKUP(D2,Res,17,0)+VLOOKUP(E2,Res,17,0)</f>
        <v>19</v>
      </c>
      <c r="R2" s="162">
        <f t="shared" ref="R2:R33" si="7">VLOOKUP(B2,Res,18,0)+VLOOKUP(C2,Res,18,0)+VLOOKUP(D2,Res,18,0)+VLOOKUP(F2,Res,18,0)+VLOOKUP(G2,Res,18,0)+VLOOKUP(I2,Res,18,0)+VLOOKUP(J2,Res,18,0)</f>
        <v>-1</v>
      </c>
      <c r="S2" s="162">
        <f t="shared" ref="S2:S33" si="8">VLOOKUP(B2,Res,19,0)+VLOOKUP(C2,Res,19,0)+VLOOKUP(D2,Res,19,0)+VLOOKUP(F2,Res,19,0)+VLOOKUP(G2,Res,19,0)+VLOOKUP(I2,Res,19,0)+VLOOKUP(J2,Res,19,0)</f>
        <v>-5</v>
      </c>
      <c r="T2" s="162">
        <f t="shared" ref="T2:T33" si="9">VLOOKUP(B2,Res,20,0)+VLOOKUP(C2,Res,20,0)+VLOOKUP(D2,Res,20,0)+VLOOKUP(F2,Res,20,0)+VLOOKUP(G2,Res,20,0)+VLOOKUP(I2,Res,20,0)+VLOOKUP(J2,Res,20,0)</f>
        <v>-9</v>
      </c>
      <c r="U2" s="162">
        <f t="shared" ref="U2:U33" si="10">VLOOKUP(B2,Res,21,0)+VLOOKUP(C2,Res,21,0)+VLOOKUP(D2,Res,21,0)+VLOOKUP(F2,Res,21,0)+VLOOKUP(G2,Res,21,0)+VLOOKUP(I2,Res,21,0)+VLOOKUP(J2,Res,21,0)</f>
        <v>-15</v>
      </c>
      <c r="V2" s="162">
        <f t="shared" ref="V2:V33" si="11">VLOOKUP(B2,Res,22,0)+VLOOKUP(C2,Res,22,0)+VLOOKUP(D2,Res,22,0)+VLOOKUP(F2,Res,22,0)+VLOOKUP(G2,Res,22,0)+VLOOKUP(I2,Res,22,0)+VLOOKUP(J2,Res,22,0)</f>
        <v>-23</v>
      </c>
      <c r="W2" s="162">
        <f t="shared" ref="W2:W33" si="12">VLOOKUP(B2,Res,23,0)+VLOOKUP(C2,Res,23,0)+VLOOKUP(D2,Res,23,0)+VLOOKUP(F2,Res,23,0)+VLOOKUP(G2,Res,23,0)+VLOOKUP(I2,Res,23,0)+VLOOKUP(J2,Res,23,0)</f>
        <v>-31</v>
      </c>
      <c r="X2" s="162">
        <f t="shared" ref="X2:X33" si="13">VLOOKUP(B2,Res,24,0)+VLOOKUP(C2,Res,24,0)+VLOOKUP(D2,Res,24,0)+VLOOKUP(G2,Res,24,0)</f>
        <v>60</v>
      </c>
      <c r="Y2" s="162">
        <f t="shared" ref="Y2:Y33" si="14">VLOOKUP(D2,Res,25,0)+VLOOKUP(E2,Res,25,0)+VLOOKUP(F2,Res,25,0)</f>
        <v>39</v>
      </c>
      <c r="Z2" s="162">
        <f t="shared" ref="Z2:Z33" si="15">VLOOKUP(E2,Res,26,0)</f>
        <v>3</v>
      </c>
      <c r="AA2" s="26">
        <f t="shared" ref="AA2:AA33" si="16">VLOOKUP(B2,Res,27,0)+VLOOKUP(D2,Res,27,0)+VLOOKUP(F2,Res,27,0)+VLOOKUP(I2,Res,27,0)</f>
        <v>4</v>
      </c>
      <c r="AB2" s="27">
        <f t="shared" ref="AB2:AB33" si="17">VLOOKUP(B2,Res,28,0)+VLOOKUP(C2,Res,28,0)+VLOOKUP(D2,Res,28,0)+VLOOKUP(E2,Res,28,0)+VLOOKUP(F2,Res,28,0)+VLOOKUP(G2,Res,28,0)+VLOOKUP(I2,Res,28,0)+VLOOKUP(J2,Res,28,0)</f>
        <v>105</v>
      </c>
      <c r="AC2" s="28">
        <f t="shared" ref="AC2:AC33" si="18">VLOOKUP(I2,Res,31,0)*AD2+AE2</f>
        <v>614.69999999999993</v>
      </c>
      <c r="AD2" s="29">
        <f t="shared" ref="AD2:AD33" si="19">VLOOKUP(B2,Res,30,0)+VLOOKUP(C2,Res,30,0)+VLOOKUP(D2,Res,30,0)+VLOOKUP(F2,Res,30,0)+VLOOKUP(G2,Res,30,0)+VLOOKUP(I2,Res,30,0)+VLOOKUP(J2,Res,30,0)</f>
        <v>6.1999999999999993</v>
      </c>
      <c r="AE2" s="162">
        <f t="shared" ref="AE2:AE33" si="20">(VLOOKUP(C2,Res,32,0)+VLOOKUP(I2,Res,32,0))*(VLOOKUP(B2,Res,34,0)+VLOOKUP(C2,Res,34,0)+VLOOKUP(D2,Res,34,0)+VLOOKUP(E2,Res,34,0)+VLOOKUP(G2,Res,34,0))+VLOOKUP(B2,Res,35,0)+VLOOKUP(C2,Res,35,0)+VLOOKUP(D2,Res,35,0)</f>
        <v>589.9</v>
      </c>
      <c r="AF2">
        <f t="shared" ref="AF2:AF33" si="21">VLOOKUP(AB2,verftab,2,1)</f>
        <v>5</v>
      </c>
    </row>
    <row r="3" spans="1:32" x14ac:dyDescent="0.25">
      <c r="A3" s="21" t="s">
        <v>41</v>
      </c>
      <c r="B3" s="22" t="s">
        <v>33</v>
      </c>
      <c r="C3" s="30" t="s">
        <v>34</v>
      </c>
      <c r="D3" s="162" t="s">
        <v>42</v>
      </c>
      <c r="E3" s="162" t="s">
        <v>35</v>
      </c>
      <c r="F3" s="162" t="s">
        <v>36</v>
      </c>
      <c r="G3" s="162" t="s">
        <v>37</v>
      </c>
      <c r="H3" s="160" t="s">
        <v>38</v>
      </c>
      <c r="I3" s="24" t="s">
        <v>39</v>
      </c>
      <c r="J3" s="24" t="s">
        <v>40</v>
      </c>
      <c r="K3" s="25">
        <f t="shared" si="0"/>
        <v>3.8</v>
      </c>
      <c r="L3" s="162">
        <f t="shared" si="1"/>
        <v>10</v>
      </c>
      <c r="M3" s="162" t="str">
        <f t="shared" si="2"/>
        <v>W8</v>
      </c>
      <c r="N3" s="162" t="str">
        <f t="shared" si="3"/>
        <v>W8</v>
      </c>
      <c r="O3" s="162">
        <f t="shared" si="4"/>
        <v>1</v>
      </c>
      <c r="P3" s="162">
        <f t="shared" si="5"/>
        <v>11</v>
      </c>
      <c r="Q3" s="162">
        <f t="shared" si="6"/>
        <v>17</v>
      </c>
      <c r="R3" s="162">
        <f t="shared" si="7"/>
        <v>3</v>
      </c>
      <c r="S3" s="162">
        <f t="shared" si="8"/>
        <v>-3</v>
      </c>
      <c r="T3" s="162">
        <f t="shared" si="9"/>
        <v>-9</v>
      </c>
      <c r="U3" s="162">
        <f t="shared" si="10"/>
        <v>-15</v>
      </c>
      <c r="V3" s="162">
        <f t="shared" si="11"/>
        <v>-23</v>
      </c>
      <c r="W3" s="162">
        <f t="shared" si="12"/>
        <v>-31</v>
      </c>
      <c r="X3" s="162">
        <f t="shared" si="13"/>
        <v>40</v>
      </c>
      <c r="Y3" s="162">
        <f t="shared" si="14"/>
        <v>31</v>
      </c>
      <c r="Z3" s="162">
        <f t="shared" si="15"/>
        <v>3</v>
      </c>
      <c r="AA3" s="26">
        <f t="shared" si="16"/>
        <v>4</v>
      </c>
      <c r="AB3" s="27">
        <f t="shared" si="17"/>
        <v>130</v>
      </c>
      <c r="AC3" s="28">
        <f t="shared" si="18"/>
        <v>242.70000000000002</v>
      </c>
      <c r="AD3" s="29">
        <f t="shared" si="19"/>
        <v>3.2</v>
      </c>
      <c r="AE3" s="162">
        <f t="shared" si="20"/>
        <v>229.9</v>
      </c>
      <c r="AF3">
        <f t="shared" si="21"/>
        <v>3</v>
      </c>
    </row>
    <row r="4" spans="1:32" x14ac:dyDescent="0.25">
      <c r="A4" s="21" t="s">
        <v>43</v>
      </c>
      <c r="B4" s="22" t="s">
        <v>33</v>
      </c>
      <c r="C4" s="30" t="s">
        <v>34</v>
      </c>
      <c r="D4" s="162" t="s">
        <v>44</v>
      </c>
      <c r="E4" s="162" t="s">
        <v>35</v>
      </c>
      <c r="F4" s="162" t="s">
        <v>36</v>
      </c>
      <c r="G4" s="162" t="s">
        <v>37</v>
      </c>
      <c r="H4" s="160" t="s">
        <v>38</v>
      </c>
      <c r="I4" s="24" t="s">
        <v>39</v>
      </c>
      <c r="J4" s="24" t="s">
        <v>40</v>
      </c>
      <c r="K4" s="25">
        <f t="shared" si="0"/>
        <v>4.8</v>
      </c>
      <c r="L4" s="162">
        <f t="shared" si="1"/>
        <v>12</v>
      </c>
      <c r="M4" s="162" t="str">
        <f t="shared" si="2"/>
        <v>W10</v>
      </c>
      <c r="N4" s="162" t="str">
        <f t="shared" si="3"/>
        <v>W10</v>
      </c>
      <c r="O4" s="162">
        <f t="shared" si="4"/>
        <v>2</v>
      </c>
      <c r="P4" s="162">
        <f t="shared" si="5"/>
        <v>12</v>
      </c>
      <c r="Q4" s="162">
        <f t="shared" si="6"/>
        <v>18</v>
      </c>
      <c r="R4" s="162">
        <f t="shared" si="7"/>
        <v>1</v>
      </c>
      <c r="S4" s="162">
        <f t="shared" si="8"/>
        <v>-4</v>
      </c>
      <c r="T4" s="162">
        <f t="shared" si="9"/>
        <v>-9</v>
      </c>
      <c r="U4" s="162">
        <f t="shared" si="10"/>
        <v>-15</v>
      </c>
      <c r="V4" s="162">
        <f t="shared" si="11"/>
        <v>-23</v>
      </c>
      <c r="W4" s="162">
        <f t="shared" si="12"/>
        <v>-31</v>
      </c>
      <c r="X4" s="162">
        <f t="shared" si="13"/>
        <v>60</v>
      </c>
      <c r="Y4" s="162">
        <f t="shared" si="14"/>
        <v>33</v>
      </c>
      <c r="Z4" s="162">
        <f t="shared" si="15"/>
        <v>3</v>
      </c>
      <c r="AA4" s="26">
        <f t="shared" si="16"/>
        <v>4</v>
      </c>
      <c r="AB4" s="27">
        <f t="shared" si="17"/>
        <v>120</v>
      </c>
      <c r="AC4" s="28">
        <f t="shared" si="18"/>
        <v>366.7</v>
      </c>
      <c r="AD4" s="29">
        <f t="shared" si="19"/>
        <v>4.1999999999999993</v>
      </c>
      <c r="AE4" s="162">
        <f t="shared" si="20"/>
        <v>349.9</v>
      </c>
      <c r="AF4">
        <f t="shared" si="21"/>
        <v>4</v>
      </c>
    </row>
    <row r="5" spans="1:32" x14ac:dyDescent="0.25">
      <c r="A5" s="21" t="s">
        <v>45</v>
      </c>
      <c r="B5" s="22" t="s">
        <v>33</v>
      </c>
      <c r="C5" s="23" t="s">
        <v>46</v>
      </c>
      <c r="D5" s="162" t="s">
        <v>47</v>
      </c>
      <c r="E5" s="162" t="s">
        <v>35</v>
      </c>
      <c r="F5" s="162" t="s">
        <v>36</v>
      </c>
      <c r="G5" s="162" t="s">
        <v>37</v>
      </c>
      <c r="H5" s="160" t="s">
        <v>38</v>
      </c>
      <c r="I5" s="24" t="s">
        <v>39</v>
      </c>
      <c r="J5" s="24" t="s">
        <v>40</v>
      </c>
      <c r="K5" s="25">
        <f t="shared" si="0"/>
        <v>1.85</v>
      </c>
      <c r="L5" s="162">
        <f t="shared" si="1"/>
        <v>7</v>
      </c>
      <c r="M5" s="162" t="str">
        <f t="shared" si="2"/>
        <v>W8</v>
      </c>
      <c r="N5" s="162" t="str">
        <f t="shared" si="3"/>
        <v>W10</v>
      </c>
      <c r="O5" s="162">
        <f t="shared" si="4"/>
        <v>1</v>
      </c>
      <c r="P5" s="162">
        <f t="shared" si="5"/>
        <v>6</v>
      </c>
      <c r="Q5" s="162">
        <f t="shared" si="6"/>
        <v>14</v>
      </c>
      <c r="R5" s="162">
        <f t="shared" si="7"/>
        <v>5</v>
      </c>
      <c r="S5" s="162">
        <f t="shared" si="8"/>
        <v>-1</v>
      </c>
      <c r="T5" s="162">
        <f t="shared" si="9"/>
        <v>-13</v>
      </c>
      <c r="U5" s="162">
        <f t="shared" si="10"/>
        <v>-25</v>
      </c>
      <c r="V5" s="162">
        <f t="shared" si="11"/>
        <v>-40</v>
      </c>
      <c r="W5" s="162">
        <f t="shared" si="12"/>
        <v>-56</v>
      </c>
      <c r="X5" s="162">
        <f t="shared" si="13"/>
        <v>40</v>
      </c>
      <c r="Y5" s="162">
        <f t="shared" si="14"/>
        <v>31</v>
      </c>
      <c r="Z5" s="162">
        <f t="shared" si="15"/>
        <v>3</v>
      </c>
      <c r="AA5" s="26">
        <f t="shared" si="16"/>
        <v>4</v>
      </c>
      <c r="AB5" s="27">
        <f t="shared" si="17"/>
        <v>115</v>
      </c>
      <c r="AC5" s="28">
        <f t="shared" si="18"/>
        <v>170.55</v>
      </c>
      <c r="AD5" s="29">
        <f t="shared" si="19"/>
        <v>3.5</v>
      </c>
      <c r="AE5" s="162">
        <f t="shared" si="20"/>
        <v>156.55000000000001</v>
      </c>
      <c r="AF5">
        <f t="shared" si="21"/>
        <v>4</v>
      </c>
    </row>
    <row r="6" spans="1:32" x14ac:dyDescent="0.25">
      <c r="A6" s="21" t="s">
        <v>46</v>
      </c>
      <c r="B6" s="22" t="s">
        <v>33</v>
      </c>
      <c r="C6" s="23" t="s">
        <v>46</v>
      </c>
      <c r="D6" s="162" t="s">
        <v>48</v>
      </c>
      <c r="E6" s="162" t="s">
        <v>35</v>
      </c>
      <c r="F6" s="162" t="s">
        <v>36</v>
      </c>
      <c r="G6" s="162" t="s">
        <v>37</v>
      </c>
      <c r="H6" s="160" t="s">
        <v>38</v>
      </c>
      <c r="I6" s="24" t="s">
        <v>39</v>
      </c>
      <c r="J6" s="24" t="s">
        <v>40</v>
      </c>
      <c r="K6" s="25">
        <f t="shared" si="0"/>
        <v>1.55</v>
      </c>
      <c r="L6" s="162">
        <f t="shared" si="1"/>
        <v>7</v>
      </c>
      <c r="M6" s="162" t="str">
        <f t="shared" si="2"/>
        <v>W8</v>
      </c>
      <c r="N6" s="162" t="str">
        <f t="shared" si="3"/>
        <v>W8</v>
      </c>
      <c r="O6" s="162">
        <f t="shared" si="4"/>
        <v>0</v>
      </c>
      <c r="P6" s="162">
        <f t="shared" si="5"/>
        <v>6</v>
      </c>
      <c r="Q6" s="162">
        <f t="shared" si="6"/>
        <v>14</v>
      </c>
      <c r="R6" s="162">
        <f t="shared" si="7"/>
        <v>6</v>
      </c>
      <c r="S6" s="162">
        <f t="shared" si="8"/>
        <v>-3</v>
      </c>
      <c r="T6" s="162">
        <f t="shared" si="9"/>
        <v>-14</v>
      </c>
      <c r="U6" s="162">
        <f t="shared" si="10"/>
        <v>-26</v>
      </c>
      <c r="V6" s="162">
        <f t="shared" si="11"/>
        <v>-41</v>
      </c>
      <c r="W6" s="162">
        <f t="shared" si="12"/>
        <v>-57</v>
      </c>
      <c r="X6" s="162">
        <f t="shared" si="13"/>
        <v>30</v>
      </c>
      <c r="Y6" s="162">
        <f t="shared" si="14"/>
        <v>31</v>
      </c>
      <c r="Z6" s="162">
        <f t="shared" si="15"/>
        <v>3</v>
      </c>
      <c r="AA6" s="26">
        <f t="shared" si="16"/>
        <v>4</v>
      </c>
      <c r="AB6" s="27">
        <f t="shared" si="17"/>
        <v>130</v>
      </c>
      <c r="AC6" s="28">
        <f t="shared" si="18"/>
        <v>132.55000000000001</v>
      </c>
      <c r="AD6" s="29">
        <f t="shared" si="19"/>
        <v>3</v>
      </c>
      <c r="AE6" s="162">
        <f t="shared" si="20"/>
        <v>120.55</v>
      </c>
      <c r="AF6">
        <f t="shared" si="21"/>
        <v>3</v>
      </c>
    </row>
    <row r="7" spans="1:32" x14ac:dyDescent="0.25">
      <c r="A7" s="21" t="s">
        <v>49</v>
      </c>
      <c r="B7" s="22" t="s">
        <v>33</v>
      </c>
      <c r="C7" s="23" t="s">
        <v>46</v>
      </c>
      <c r="D7" s="162" t="s">
        <v>47</v>
      </c>
      <c r="E7" s="162" t="s">
        <v>35</v>
      </c>
      <c r="F7" s="162" t="s">
        <v>50</v>
      </c>
      <c r="G7" s="162" t="s">
        <v>37</v>
      </c>
      <c r="H7" s="160" t="s">
        <v>38</v>
      </c>
      <c r="I7" s="24" t="s">
        <v>39</v>
      </c>
      <c r="J7" s="24" t="s">
        <v>40</v>
      </c>
      <c r="K7" s="25">
        <f t="shared" si="0"/>
        <v>1.85</v>
      </c>
      <c r="L7" s="162">
        <f t="shared" si="1"/>
        <v>7</v>
      </c>
      <c r="M7" s="162" t="str">
        <f t="shared" si="2"/>
        <v>W8</v>
      </c>
      <c r="N7" s="162" t="str">
        <f t="shared" si="3"/>
        <v>W10</v>
      </c>
      <c r="O7" s="162">
        <f t="shared" si="4"/>
        <v>1</v>
      </c>
      <c r="P7" s="162">
        <f t="shared" si="5"/>
        <v>6</v>
      </c>
      <c r="Q7" s="162">
        <f t="shared" si="6"/>
        <v>14</v>
      </c>
      <c r="R7" s="162">
        <f t="shared" si="7"/>
        <v>6</v>
      </c>
      <c r="S7" s="162">
        <f t="shared" si="8"/>
        <v>0</v>
      </c>
      <c r="T7" s="162">
        <f t="shared" si="9"/>
        <v>-12</v>
      </c>
      <c r="U7" s="162">
        <f t="shared" si="10"/>
        <v>-24</v>
      </c>
      <c r="V7" s="162">
        <f t="shared" si="11"/>
        <v>-39</v>
      </c>
      <c r="W7" s="162">
        <f t="shared" si="12"/>
        <v>-55</v>
      </c>
      <c r="X7" s="162">
        <f t="shared" si="13"/>
        <v>40</v>
      </c>
      <c r="Y7" s="162">
        <f t="shared" si="14"/>
        <v>30</v>
      </c>
      <c r="Z7" s="162">
        <f t="shared" si="15"/>
        <v>3</v>
      </c>
      <c r="AA7" s="26">
        <f t="shared" si="16"/>
        <v>3</v>
      </c>
      <c r="AB7" s="27">
        <f t="shared" si="17"/>
        <v>115</v>
      </c>
      <c r="AC7" s="28">
        <f t="shared" si="18"/>
        <v>174.55</v>
      </c>
      <c r="AD7" s="29">
        <f t="shared" si="19"/>
        <v>4.5</v>
      </c>
      <c r="AE7" s="162">
        <f t="shared" si="20"/>
        <v>156.55000000000001</v>
      </c>
      <c r="AF7">
        <f t="shared" si="21"/>
        <v>4</v>
      </c>
    </row>
    <row r="8" spans="1:32" x14ac:dyDescent="0.25">
      <c r="A8" s="31" t="s">
        <v>51</v>
      </c>
      <c r="B8" s="32" t="s">
        <v>52</v>
      </c>
      <c r="C8" s="30" t="s">
        <v>34</v>
      </c>
      <c r="D8" s="162" t="s">
        <v>53</v>
      </c>
      <c r="E8" s="162" t="s">
        <v>54</v>
      </c>
      <c r="F8" s="162" t="s">
        <v>55</v>
      </c>
      <c r="G8" s="162" t="s">
        <v>37</v>
      </c>
      <c r="H8" s="33" t="s">
        <v>56</v>
      </c>
      <c r="I8" s="24" t="s">
        <v>39</v>
      </c>
      <c r="J8" s="24" t="s">
        <v>40</v>
      </c>
      <c r="K8" s="25">
        <f t="shared" si="0"/>
        <v>4</v>
      </c>
      <c r="L8" s="162">
        <f t="shared" si="1"/>
        <v>10</v>
      </c>
      <c r="M8" s="162" t="str">
        <f t="shared" si="2"/>
        <v>W12</v>
      </c>
      <c r="N8" s="162" t="str">
        <f t="shared" si="3"/>
        <v>W10</v>
      </c>
      <c r="O8" s="162">
        <f t="shared" si="4"/>
        <v>1</v>
      </c>
      <c r="P8" s="162">
        <f t="shared" si="5"/>
        <v>11</v>
      </c>
      <c r="Q8" s="162">
        <f t="shared" si="6"/>
        <v>18</v>
      </c>
      <c r="R8" s="162">
        <f t="shared" si="7"/>
        <v>9</v>
      </c>
      <c r="S8" s="162">
        <f t="shared" si="8"/>
        <v>1</v>
      </c>
      <c r="T8" s="162">
        <f t="shared" si="9"/>
        <v>-7</v>
      </c>
      <c r="U8" s="162">
        <f t="shared" si="10"/>
        <v>-15</v>
      </c>
      <c r="V8" s="162">
        <f t="shared" si="11"/>
        <v>-25</v>
      </c>
      <c r="W8" s="162">
        <f t="shared" si="12"/>
        <v>-36</v>
      </c>
      <c r="X8" s="162">
        <f t="shared" si="13"/>
        <v>30</v>
      </c>
      <c r="Y8" s="162">
        <f t="shared" si="14"/>
        <v>11</v>
      </c>
      <c r="Z8" s="162">
        <f t="shared" si="15"/>
        <v>6</v>
      </c>
      <c r="AA8" s="26">
        <f t="shared" si="16"/>
        <v>-1</v>
      </c>
      <c r="AB8" s="27">
        <f t="shared" si="17"/>
        <v>80</v>
      </c>
      <c r="AC8" s="28">
        <f t="shared" si="18"/>
        <v>298.59999999999991</v>
      </c>
      <c r="AD8" s="29">
        <f t="shared" si="19"/>
        <v>8.1999999999999993</v>
      </c>
      <c r="AE8" s="162">
        <f t="shared" si="20"/>
        <v>265.7999999999999</v>
      </c>
      <c r="AF8">
        <f t="shared" si="21"/>
        <v>6</v>
      </c>
    </row>
    <row r="9" spans="1:32" x14ac:dyDescent="0.25">
      <c r="A9" s="31" t="s">
        <v>57</v>
      </c>
      <c r="B9" s="32" t="s">
        <v>52</v>
      </c>
      <c r="C9" s="30" t="s">
        <v>34</v>
      </c>
      <c r="D9" s="162" t="s">
        <v>53</v>
      </c>
      <c r="E9" s="162" t="s">
        <v>58</v>
      </c>
      <c r="F9" s="162" t="s">
        <v>59</v>
      </c>
      <c r="G9" s="162" t="s">
        <v>60</v>
      </c>
      <c r="H9" s="34" t="s">
        <v>61</v>
      </c>
      <c r="I9" s="24" t="s">
        <v>39</v>
      </c>
      <c r="J9" s="24" t="s">
        <v>40</v>
      </c>
      <c r="K9" s="25">
        <f t="shared" si="0"/>
        <v>4.1500000000000004</v>
      </c>
      <c r="L9" s="162">
        <f t="shared" si="1"/>
        <v>10</v>
      </c>
      <c r="M9" s="162" t="str">
        <f t="shared" si="2"/>
        <v>W12</v>
      </c>
      <c r="N9" s="162" t="str">
        <f t="shared" si="3"/>
        <v>W10</v>
      </c>
      <c r="O9" s="162">
        <f t="shared" si="4"/>
        <v>1</v>
      </c>
      <c r="P9" s="162">
        <f t="shared" si="5"/>
        <v>17</v>
      </c>
      <c r="Q9" s="162">
        <f t="shared" si="6"/>
        <v>12</v>
      </c>
      <c r="R9" s="162">
        <f t="shared" si="7"/>
        <v>11</v>
      </c>
      <c r="S9" s="162">
        <f t="shared" si="8"/>
        <v>4</v>
      </c>
      <c r="T9" s="162">
        <f t="shared" si="9"/>
        <v>-4</v>
      </c>
      <c r="U9" s="162">
        <f t="shared" si="10"/>
        <v>-13</v>
      </c>
      <c r="V9" s="162">
        <f t="shared" si="11"/>
        <v>-24</v>
      </c>
      <c r="W9" s="162">
        <f t="shared" si="12"/>
        <v>-35</v>
      </c>
      <c r="X9" s="162">
        <f t="shared" si="13"/>
        <v>60</v>
      </c>
      <c r="Y9" s="162">
        <f t="shared" si="14"/>
        <v>9</v>
      </c>
      <c r="Z9" s="162">
        <f t="shared" si="15"/>
        <v>6</v>
      </c>
      <c r="AA9" s="26">
        <f t="shared" si="16"/>
        <v>-2</v>
      </c>
      <c r="AB9" s="27">
        <f t="shared" si="17"/>
        <v>50</v>
      </c>
      <c r="AC9" s="28">
        <f t="shared" si="18"/>
        <v>326.59999999999991</v>
      </c>
      <c r="AD9" s="29">
        <f t="shared" si="19"/>
        <v>10.7</v>
      </c>
      <c r="AE9" s="162">
        <f t="shared" si="20"/>
        <v>283.7999999999999</v>
      </c>
      <c r="AF9">
        <f t="shared" si="21"/>
        <v>7</v>
      </c>
    </row>
    <row r="10" spans="1:32" x14ac:dyDescent="0.25">
      <c r="A10" s="31" t="s">
        <v>62</v>
      </c>
      <c r="B10" s="32" t="s">
        <v>52</v>
      </c>
      <c r="C10" s="30" t="s">
        <v>34</v>
      </c>
      <c r="D10" s="162" t="s">
        <v>42</v>
      </c>
      <c r="E10" s="162" t="s">
        <v>35</v>
      </c>
      <c r="F10" s="162" t="s">
        <v>50</v>
      </c>
      <c r="G10" s="162" t="s">
        <v>37</v>
      </c>
      <c r="H10" s="160" t="s">
        <v>38</v>
      </c>
      <c r="I10" s="24" t="s">
        <v>39</v>
      </c>
      <c r="J10" s="24" t="s">
        <v>40</v>
      </c>
      <c r="K10" s="25">
        <f t="shared" si="0"/>
        <v>4.8</v>
      </c>
      <c r="L10" s="162">
        <f t="shared" si="1"/>
        <v>11</v>
      </c>
      <c r="M10" s="162" t="str">
        <f t="shared" si="2"/>
        <v>W12</v>
      </c>
      <c r="N10" s="162" t="str">
        <f t="shared" si="3"/>
        <v>W10</v>
      </c>
      <c r="O10" s="162">
        <f t="shared" si="4"/>
        <v>1</v>
      </c>
      <c r="P10" s="162">
        <f t="shared" si="5"/>
        <v>11</v>
      </c>
      <c r="Q10" s="162">
        <f t="shared" si="6"/>
        <v>18</v>
      </c>
      <c r="R10" s="162">
        <f t="shared" si="7"/>
        <v>5</v>
      </c>
      <c r="S10" s="162">
        <f t="shared" si="8"/>
        <v>-1</v>
      </c>
      <c r="T10" s="162">
        <f t="shared" si="9"/>
        <v>-7</v>
      </c>
      <c r="U10" s="162">
        <f t="shared" si="10"/>
        <v>-13</v>
      </c>
      <c r="V10" s="162">
        <f t="shared" si="11"/>
        <v>-21</v>
      </c>
      <c r="W10" s="162">
        <f t="shared" si="12"/>
        <v>-30</v>
      </c>
      <c r="X10" s="162">
        <f t="shared" si="13"/>
        <v>40</v>
      </c>
      <c r="Y10" s="162">
        <f t="shared" si="14"/>
        <v>30</v>
      </c>
      <c r="Z10" s="162">
        <f t="shared" si="15"/>
        <v>3</v>
      </c>
      <c r="AA10" s="26">
        <f t="shared" si="16"/>
        <v>1</v>
      </c>
      <c r="AB10" s="27">
        <f t="shared" si="17"/>
        <v>120</v>
      </c>
      <c r="AC10" s="28">
        <f t="shared" si="18"/>
        <v>374.7</v>
      </c>
      <c r="AD10" s="29">
        <f t="shared" si="19"/>
        <v>6.1999999999999993</v>
      </c>
      <c r="AE10" s="162">
        <f t="shared" si="20"/>
        <v>349.9</v>
      </c>
      <c r="AF10">
        <f t="shared" si="21"/>
        <v>4</v>
      </c>
    </row>
    <row r="11" spans="1:32" x14ac:dyDescent="0.25">
      <c r="A11" s="31" t="s">
        <v>63</v>
      </c>
      <c r="B11" s="32" t="s">
        <v>52</v>
      </c>
      <c r="C11" s="30" t="s">
        <v>34</v>
      </c>
      <c r="D11" s="162" t="s">
        <v>42</v>
      </c>
      <c r="E11" s="162" t="s">
        <v>54</v>
      </c>
      <c r="F11" s="162" t="s">
        <v>55</v>
      </c>
      <c r="G11" s="162" t="s">
        <v>37</v>
      </c>
      <c r="H11" s="33" t="s">
        <v>56</v>
      </c>
      <c r="I11" s="24" t="s">
        <v>39</v>
      </c>
      <c r="J11" s="24" t="s">
        <v>40</v>
      </c>
      <c r="K11" s="25">
        <f t="shared" si="0"/>
        <v>4.8999999999999995</v>
      </c>
      <c r="L11" s="162">
        <f t="shared" si="1"/>
        <v>11</v>
      </c>
      <c r="M11" s="162" t="str">
        <f t="shared" si="2"/>
        <v>W12</v>
      </c>
      <c r="N11" s="162" t="str">
        <f t="shared" si="3"/>
        <v>W10</v>
      </c>
      <c r="O11" s="162">
        <f t="shared" si="4"/>
        <v>1</v>
      </c>
      <c r="P11" s="162">
        <f t="shared" si="5"/>
        <v>11</v>
      </c>
      <c r="Q11" s="162">
        <f t="shared" si="6"/>
        <v>18</v>
      </c>
      <c r="R11" s="162">
        <f t="shared" si="7"/>
        <v>7</v>
      </c>
      <c r="S11" s="162">
        <f t="shared" si="8"/>
        <v>1</v>
      </c>
      <c r="T11" s="162">
        <f t="shared" si="9"/>
        <v>-5</v>
      </c>
      <c r="U11" s="162">
        <f t="shared" si="10"/>
        <v>-11</v>
      </c>
      <c r="V11" s="162">
        <f t="shared" si="11"/>
        <v>-19</v>
      </c>
      <c r="W11" s="162">
        <f t="shared" si="12"/>
        <v>-28</v>
      </c>
      <c r="X11" s="162">
        <f t="shared" si="13"/>
        <v>40</v>
      </c>
      <c r="Y11" s="162">
        <f t="shared" si="14"/>
        <v>11</v>
      </c>
      <c r="Z11" s="162">
        <f t="shared" si="15"/>
        <v>6</v>
      </c>
      <c r="AA11" s="26">
        <f t="shared" si="16"/>
        <v>-1</v>
      </c>
      <c r="AB11" s="27">
        <f t="shared" si="17"/>
        <v>100</v>
      </c>
      <c r="AC11" s="28">
        <f t="shared" si="18"/>
        <v>394.7</v>
      </c>
      <c r="AD11" s="29">
        <f t="shared" si="19"/>
        <v>8.1999999999999993</v>
      </c>
      <c r="AE11" s="162">
        <f t="shared" si="20"/>
        <v>361.9</v>
      </c>
      <c r="AF11">
        <f t="shared" si="21"/>
        <v>5</v>
      </c>
    </row>
    <row r="12" spans="1:32" x14ac:dyDescent="0.25">
      <c r="A12" s="31" t="s">
        <v>64</v>
      </c>
      <c r="B12" s="32" t="s">
        <v>52</v>
      </c>
      <c r="C12" s="23" t="s">
        <v>46</v>
      </c>
      <c r="D12" s="162" t="s">
        <v>48</v>
      </c>
      <c r="E12" s="162" t="s">
        <v>58</v>
      </c>
      <c r="F12" s="162" t="s">
        <v>59</v>
      </c>
      <c r="G12" s="162" t="s">
        <v>60</v>
      </c>
      <c r="H12" s="34" t="s">
        <v>61</v>
      </c>
      <c r="I12" s="24" t="s">
        <v>39</v>
      </c>
      <c r="J12" s="24" t="s">
        <v>40</v>
      </c>
      <c r="K12" s="25">
        <f t="shared" si="0"/>
        <v>2.8</v>
      </c>
      <c r="L12" s="162">
        <f t="shared" si="1"/>
        <v>8</v>
      </c>
      <c r="M12" s="162" t="str">
        <f t="shared" si="2"/>
        <v>W12</v>
      </c>
      <c r="N12" s="162" t="str">
        <f t="shared" si="3"/>
        <v>W10</v>
      </c>
      <c r="O12" s="162">
        <f t="shared" si="4"/>
        <v>0</v>
      </c>
      <c r="P12" s="162">
        <f t="shared" si="5"/>
        <v>12</v>
      </c>
      <c r="Q12" s="162">
        <f t="shared" si="6"/>
        <v>9</v>
      </c>
      <c r="R12" s="162">
        <f t="shared" si="7"/>
        <v>12</v>
      </c>
      <c r="S12" s="162">
        <f t="shared" si="8"/>
        <v>4</v>
      </c>
      <c r="T12" s="162">
        <f t="shared" si="9"/>
        <v>-7</v>
      </c>
      <c r="U12" s="162">
        <f t="shared" si="10"/>
        <v>-20</v>
      </c>
      <c r="V12" s="162">
        <f t="shared" si="11"/>
        <v>-36</v>
      </c>
      <c r="W12" s="162">
        <f t="shared" si="12"/>
        <v>-53</v>
      </c>
      <c r="X12" s="162">
        <f t="shared" si="13"/>
        <v>60</v>
      </c>
      <c r="Y12" s="162">
        <f t="shared" si="14"/>
        <v>9</v>
      </c>
      <c r="Z12" s="162">
        <f t="shared" si="15"/>
        <v>6</v>
      </c>
      <c r="AA12" s="26">
        <f t="shared" si="16"/>
        <v>-2</v>
      </c>
      <c r="AB12" s="27">
        <f t="shared" si="17"/>
        <v>70</v>
      </c>
      <c r="AC12" s="28">
        <f t="shared" si="18"/>
        <v>312.55</v>
      </c>
      <c r="AD12" s="29">
        <f t="shared" si="19"/>
        <v>10.5</v>
      </c>
      <c r="AE12" s="162">
        <f t="shared" si="20"/>
        <v>270.55</v>
      </c>
      <c r="AF12">
        <f t="shared" si="21"/>
        <v>6</v>
      </c>
    </row>
    <row r="13" spans="1:32" x14ac:dyDescent="0.25">
      <c r="A13" s="31" t="s">
        <v>65</v>
      </c>
      <c r="B13" s="32" t="s">
        <v>52</v>
      </c>
      <c r="C13" s="23" t="s">
        <v>46</v>
      </c>
      <c r="D13" s="162" t="s">
        <v>66</v>
      </c>
      <c r="E13" s="162" t="s">
        <v>58</v>
      </c>
      <c r="F13" s="162" t="s">
        <v>59</v>
      </c>
      <c r="G13" s="162" t="s">
        <v>60</v>
      </c>
      <c r="H13" s="34" t="s">
        <v>61</v>
      </c>
      <c r="I13" s="24" t="s">
        <v>39</v>
      </c>
      <c r="J13" s="24" t="s">
        <v>40</v>
      </c>
      <c r="K13" s="25">
        <f t="shared" si="0"/>
        <v>3.3</v>
      </c>
      <c r="L13" s="162">
        <f t="shared" si="1"/>
        <v>10</v>
      </c>
      <c r="M13" s="162" t="str">
        <f t="shared" si="2"/>
        <v>W15</v>
      </c>
      <c r="N13" s="162" t="str">
        <f t="shared" si="3"/>
        <v>W12</v>
      </c>
      <c r="O13" s="162">
        <f t="shared" si="4"/>
        <v>1</v>
      </c>
      <c r="P13" s="162">
        <f t="shared" si="5"/>
        <v>13</v>
      </c>
      <c r="Q13" s="162">
        <f t="shared" si="6"/>
        <v>10</v>
      </c>
      <c r="R13" s="162">
        <f t="shared" si="7"/>
        <v>10</v>
      </c>
      <c r="S13" s="162">
        <f t="shared" si="8"/>
        <v>3</v>
      </c>
      <c r="T13" s="162">
        <f t="shared" si="9"/>
        <v>-7</v>
      </c>
      <c r="U13" s="162">
        <f t="shared" si="10"/>
        <v>-20</v>
      </c>
      <c r="V13" s="162">
        <f t="shared" si="11"/>
        <v>-36</v>
      </c>
      <c r="W13" s="162">
        <f t="shared" si="12"/>
        <v>-53</v>
      </c>
      <c r="X13" s="162">
        <f t="shared" si="13"/>
        <v>80</v>
      </c>
      <c r="Y13" s="162">
        <f t="shared" si="14"/>
        <v>11</v>
      </c>
      <c r="Z13" s="162">
        <f t="shared" si="15"/>
        <v>6</v>
      </c>
      <c r="AA13" s="26">
        <f t="shared" si="16"/>
        <v>-2</v>
      </c>
      <c r="AB13" s="27">
        <f t="shared" si="17"/>
        <v>60</v>
      </c>
      <c r="AC13" s="28">
        <f t="shared" si="18"/>
        <v>374.55</v>
      </c>
      <c r="AD13" s="29">
        <f t="shared" si="19"/>
        <v>11</v>
      </c>
      <c r="AE13" s="162">
        <f t="shared" si="20"/>
        <v>330.55</v>
      </c>
      <c r="AF13">
        <f t="shared" si="21"/>
        <v>7</v>
      </c>
    </row>
    <row r="14" spans="1:32" x14ac:dyDescent="0.25">
      <c r="A14" s="31" t="s">
        <v>67</v>
      </c>
      <c r="B14" s="32" t="s">
        <v>52</v>
      </c>
      <c r="C14" s="23" t="s">
        <v>46</v>
      </c>
      <c r="D14" s="162" t="s">
        <v>48</v>
      </c>
      <c r="E14" s="162" t="s">
        <v>35</v>
      </c>
      <c r="F14" s="162" t="s">
        <v>50</v>
      </c>
      <c r="G14" s="162" t="s">
        <v>37</v>
      </c>
      <c r="H14" s="160" t="s">
        <v>38</v>
      </c>
      <c r="I14" s="24" t="s">
        <v>39</v>
      </c>
      <c r="J14" s="24" t="s">
        <v>40</v>
      </c>
      <c r="K14" s="25">
        <f t="shared" si="0"/>
        <v>2.5499999999999998</v>
      </c>
      <c r="L14" s="162">
        <f t="shared" si="1"/>
        <v>8</v>
      </c>
      <c r="M14" s="162" t="str">
        <f t="shared" si="2"/>
        <v>W12</v>
      </c>
      <c r="N14" s="162" t="str">
        <f t="shared" si="3"/>
        <v>W10</v>
      </c>
      <c r="O14" s="162">
        <f t="shared" si="4"/>
        <v>0</v>
      </c>
      <c r="P14" s="162">
        <f t="shared" si="5"/>
        <v>6</v>
      </c>
      <c r="Q14" s="162">
        <f t="shared" si="6"/>
        <v>15</v>
      </c>
      <c r="R14" s="162">
        <f t="shared" si="7"/>
        <v>8</v>
      </c>
      <c r="S14" s="162">
        <f t="shared" si="8"/>
        <v>-1</v>
      </c>
      <c r="T14" s="162">
        <f t="shared" si="9"/>
        <v>-12</v>
      </c>
      <c r="U14" s="162">
        <f t="shared" si="10"/>
        <v>-24</v>
      </c>
      <c r="V14" s="162">
        <f t="shared" si="11"/>
        <v>-39</v>
      </c>
      <c r="W14" s="162">
        <f t="shared" si="12"/>
        <v>-56</v>
      </c>
      <c r="X14" s="162">
        <f t="shared" si="13"/>
        <v>30</v>
      </c>
      <c r="Y14" s="162">
        <f t="shared" si="14"/>
        <v>30</v>
      </c>
      <c r="Z14" s="162">
        <f t="shared" si="15"/>
        <v>3</v>
      </c>
      <c r="AA14" s="26">
        <f t="shared" si="16"/>
        <v>1</v>
      </c>
      <c r="AB14" s="27">
        <f t="shared" si="17"/>
        <v>120</v>
      </c>
      <c r="AC14" s="28">
        <f t="shared" si="18"/>
        <v>264.55</v>
      </c>
      <c r="AD14" s="29">
        <f t="shared" si="19"/>
        <v>6</v>
      </c>
      <c r="AE14" s="162">
        <f t="shared" si="20"/>
        <v>240.55</v>
      </c>
      <c r="AF14">
        <f t="shared" si="21"/>
        <v>4</v>
      </c>
    </row>
    <row r="15" spans="1:32" x14ac:dyDescent="0.25">
      <c r="A15" s="31" t="s">
        <v>68</v>
      </c>
      <c r="B15" s="32" t="s">
        <v>52</v>
      </c>
      <c r="C15" s="23" t="s">
        <v>46</v>
      </c>
      <c r="D15" s="162" t="s">
        <v>69</v>
      </c>
      <c r="E15" s="162" t="s">
        <v>58</v>
      </c>
      <c r="F15" s="162" t="s">
        <v>59</v>
      </c>
      <c r="G15" s="162" t="s">
        <v>60</v>
      </c>
      <c r="H15" s="34" t="s">
        <v>61</v>
      </c>
      <c r="I15" s="24" t="s">
        <v>39</v>
      </c>
      <c r="J15" s="24" t="s">
        <v>40</v>
      </c>
      <c r="K15" s="25">
        <f t="shared" si="0"/>
        <v>2.1</v>
      </c>
      <c r="L15" s="162">
        <f t="shared" si="1"/>
        <v>6</v>
      </c>
      <c r="M15" s="162" t="str">
        <f t="shared" si="2"/>
        <v>W8</v>
      </c>
      <c r="N15" s="162" t="str">
        <f t="shared" si="3"/>
        <v>W6</v>
      </c>
      <c r="O15" s="162">
        <f t="shared" si="4"/>
        <v>0</v>
      </c>
      <c r="P15" s="162">
        <f t="shared" si="5"/>
        <v>15</v>
      </c>
      <c r="Q15" s="162">
        <f t="shared" si="6"/>
        <v>7</v>
      </c>
      <c r="R15" s="162">
        <f t="shared" si="7"/>
        <v>16</v>
      </c>
      <c r="S15" s="162">
        <f t="shared" si="8"/>
        <v>-1</v>
      </c>
      <c r="T15" s="162">
        <f t="shared" si="9"/>
        <v>-17</v>
      </c>
      <c r="U15" s="162">
        <f t="shared" si="10"/>
        <v>-40</v>
      </c>
      <c r="V15" s="162">
        <f t="shared" si="11"/>
        <v>-76</v>
      </c>
      <c r="W15" s="162">
        <f t="shared" si="12"/>
        <v>-133</v>
      </c>
      <c r="X15" s="162">
        <f t="shared" si="13"/>
        <v>50</v>
      </c>
      <c r="Y15" s="162">
        <f t="shared" si="14"/>
        <v>8</v>
      </c>
      <c r="Z15" s="162">
        <f t="shared" si="15"/>
        <v>6</v>
      </c>
      <c r="AA15" s="26">
        <f t="shared" si="16"/>
        <v>-4</v>
      </c>
      <c r="AB15" s="27">
        <f t="shared" si="17"/>
        <v>55</v>
      </c>
      <c r="AC15" s="28">
        <f t="shared" si="18"/>
        <v>268.35000000000002</v>
      </c>
      <c r="AD15" s="29">
        <f t="shared" si="19"/>
        <v>14.5</v>
      </c>
      <c r="AE15" s="162">
        <f t="shared" si="20"/>
        <v>210.35000000000002</v>
      </c>
      <c r="AF15">
        <f t="shared" si="21"/>
        <v>7</v>
      </c>
    </row>
    <row r="16" spans="1:32" x14ac:dyDescent="0.25">
      <c r="A16" s="35" t="s">
        <v>70</v>
      </c>
      <c r="B16" s="36" t="s">
        <v>71</v>
      </c>
      <c r="C16" s="30" t="s">
        <v>34</v>
      </c>
      <c r="D16" s="162" t="s">
        <v>42</v>
      </c>
      <c r="E16" s="162" t="s">
        <v>35</v>
      </c>
      <c r="F16" s="162" t="s">
        <v>50</v>
      </c>
      <c r="G16" s="162" t="s">
        <v>37</v>
      </c>
      <c r="H16" s="160" t="s">
        <v>38</v>
      </c>
      <c r="I16" s="24" t="s">
        <v>39</v>
      </c>
      <c r="J16" s="24" t="s">
        <v>40</v>
      </c>
      <c r="K16" s="25">
        <f t="shared" si="0"/>
        <v>3.8</v>
      </c>
      <c r="L16" s="162">
        <f t="shared" si="1"/>
        <v>10</v>
      </c>
      <c r="M16" s="162" t="str">
        <f t="shared" si="2"/>
        <v>W8</v>
      </c>
      <c r="N16" s="162" t="str">
        <f t="shared" si="3"/>
        <v>W8</v>
      </c>
      <c r="O16" s="162">
        <f t="shared" si="4"/>
        <v>1</v>
      </c>
      <c r="P16" s="162">
        <f t="shared" si="5"/>
        <v>11</v>
      </c>
      <c r="Q16" s="162">
        <f t="shared" si="6"/>
        <v>17</v>
      </c>
      <c r="R16" s="162">
        <f t="shared" si="7"/>
        <v>6</v>
      </c>
      <c r="S16" s="162">
        <f t="shared" si="8"/>
        <v>1</v>
      </c>
      <c r="T16" s="162">
        <f t="shared" si="9"/>
        <v>-4</v>
      </c>
      <c r="U16" s="162">
        <f t="shared" si="10"/>
        <v>-10</v>
      </c>
      <c r="V16" s="162">
        <f t="shared" si="11"/>
        <v>-17</v>
      </c>
      <c r="W16" s="162">
        <f t="shared" si="12"/>
        <v>-25</v>
      </c>
      <c r="X16" s="162">
        <f t="shared" si="13"/>
        <v>60</v>
      </c>
      <c r="Y16" s="162">
        <f t="shared" si="14"/>
        <v>30</v>
      </c>
      <c r="Z16" s="162">
        <f t="shared" si="15"/>
        <v>3</v>
      </c>
      <c r="AA16" s="26">
        <f t="shared" si="16"/>
        <v>1</v>
      </c>
      <c r="AB16" s="27">
        <f t="shared" si="17"/>
        <v>140</v>
      </c>
      <c r="AC16" s="28">
        <f t="shared" si="18"/>
        <v>254.7</v>
      </c>
      <c r="AD16" s="29">
        <f t="shared" si="19"/>
        <v>6.1999999999999993</v>
      </c>
      <c r="AE16" s="162">
        <f t="shared" si="20"/>
        <v>229.9</v>
      </c>
      <c r="AF16">
        <f t="shared" si="21"/>
        <v>3</v>
      </c>
    </row>
    <row r="17" spans="1:32" x14ac:dyDescent="0.25">
      <c r="A17" s="35" t="s">
        <v>72</v>
      </c>
      <c r="B17" s="36" t="s">
        <v>71</v>
      </c>
      <c r="C17" s="30" t="s">
        <v>34</v>
      </c>
      <c r="D17" s="162" t="s">
        <v>53</v>
      </c>
      <c r="E17" s="162" t="s">
        <v>58</v>
      </c>
      <c r="F17" s="162" t="s">
        <v>59</v>
      </c>
      <c r="G17" s="162" t="s">
        <v>60</v>
      </c>
      <c r="H17" s="34" t="s">
        <v>61</v>
      </c>
      <c r="I17" s="24" t="s">
        <v>39</v>
      </c>
      <c r="J17" s="24" t="s">
        <v>40</v>
      </c>
      <c r="K17" s="25">
        <f t="shared" si="0"/>
        <v>3.15</v>
      </c>
      <c r="L17" s="162">
        <f t="shared" si="1"/>
        <v>9</v>
      </c>
      <c r="M17" s="162" t="str">
        <f t="shared" si="2"/>
        <v>W8</v>
      </c>
      <c r="N17" s="162" t="str">
        <f t="shared" si="3"/>
        <v>W8</v>
      </c>
      <c r="O17" s="162">
        <f t="shared" si="4"/>
        <v>1</v>
      </c>
      <c r="P17" s="162">
        <f t="shared" si="5"/>
        <v>17</v>
      </c>
      <c r="Q17" s="162">
        <f t="shared" si="6"/>
        <v>11</v>
      </c>
      <c r="R17" s="162">
        <f t="shared" si="7"/>
        <v>12</v>
      </c>
      <c r="S17" s="162">
        <f t="shared" si="8"/>
        <v>6</v>
      </c>
      <c r="T17" s="162">
        <f t="shared" si="9"/>
        <v>-1</v>
      </c>
      <c r="U17" s="162">
        <f t="shared" si="10"/>
        <v>-10</v>
      </c>
      <c r="V17" s="162">
        <f t="shared" si="11"/>
        <v>-20</v>
      </c>
      <c r="W17" s="162">
        <f t="shared" si="12"/>
        <v>-30</v>
      </c>
      <c r="X17" s="162">
        <f t="shared" si="13"/>
        <v>80</v>
      </c>
      <c r="Y17" s="162">
        <f t="shared" si="14"/>
        <v>9</v>
      </c>
      <c r="Z17" s="162">
        <f t="shared" si="15"/>
        <v>6</v>
      </c>
      <c r="AA17" s="26">
        <f t="shared" si="16"/>
        <v>-2</v>
      </c>
      <c r="AB17" s="27">
        <f t="shared" si="17"/>
        <v>70</v>
      </c>
      <c r="AC17" s="28">
        <f t="shared" si="18"/>
        <v>206.59999999999997</v>
      </c>
      <c r="AD17" s="29">
        <f t="shared" si="19"/>
        <v>10.7</v>
      </c>
      <c r="AE17" s="162">
        <f t="shared" si="20"/>
        <v>163.79999999999998</v>
      </c>
      <c r="AF17">
        <f t="shared" si="21"/>
        <v>6</v>
      </c>
    </row>
    <row r="18" spans="1:32" x14ac:dyDescent="0.25">
      <c r="A18" s="35" t="s">
        <v>73</v>
      </c>
      <c r="B18" s="36" t="s">
        <v>71</v>
      </c>
      <c r="C18" s="30" t="s">
        <v>34</v>
      </c>
      <c r="D18" s="162" t="s">
        <v>74</v>
      </c>
      <c r="E18" s="162" t="s">
        <v>35</v>
      </c>
      <c r="F18" s="162" t="s">
        <v>75</v>
      </c>
      <c r="G18" s="162" t="s">
        <v>60</v>
      </c>
      <c r="H18" s="160" t="s">
        <v>38</v>
      </c>
      <c r="I18" s="24" t="s">
        <v>39</v>
      </c>
      <c r="J18" s="24" t="s">
        <v>40</v>
      </c>
      <c r="K18" s="25">
        <f t="shared" si="0"/>
        <v>3.9499999999999997</v>
      </c>
      <c r="L18" s="162">
        <f t="shared" si="1"/>
        <v>10</v>
      </c>
      <c r="M18" s="162" t="str">
        <f t="shared" si="2"/>
        <v>W8</v>
      </c>
      <c r="N18" s="162" t="str">
        <f t="shared" si="3"/>
        <v>W8</v>
      </c>
      <c r="O18" s="162">
        <f t="shared" si="4"/>
        <v>2</v>
      </c>
      <c r="P18" s="162">
        <f t="shared" si="5"/>
        <v>11</v>
      </c>
      <c r="Q18" s="162">
        <f t="shared" si="6"/>
        <v>17</v>
      </c>
      <c r="R18" s="162">
        <f t="shared" si="7"/>
        <v>8</v>
      </c>
      <c r="S18" s="162">
        <f t="shared" si="8"/>
        <v>5</v>
      </c>
      <c r="T18" s="162">
        <f t="shared" si="9"/>
        <v>1</v>
      </c>
      <c r="U18" s="162">
        <f t="shared" si="10"/>
        <v>-5</v>
      </c>
      <c r="V18" s="162">
        <f t="shared" si="11"/>
        <v>-12</v>
      </c>
      <c r="W18" s="162">
        <f t="shared" si="12"/>
        <v>-19</v>
      </c>
      <c r="X18" s="162">
        <f t="shared" si="13"/>
        <v>100</v>
      </c>
      <c r="Y18" s="162">
        <f t="shared" si="14"/>
        <v>29</v>
      </c>
      <c r="Z18" s="162">
        <f t="shared" si="15"/>
        <v>3</v>
      </c>
      <c r="AA18" s="26">
        <f t="shared" si="16"/>
        <v>0</v>
      </c>
      <c r="AB18" s="27">
        <f t="shared" si="17"/>
        <v>105</v>
      </c>
      <c r="AC18" s="28">
        <f t="shared" si="18"/>
        <v>290.7</v>
      </c>
      <c r="AD18" s="29">
        <f t="shared" si="19"/>
        <v>10.7</v>
      </c>
      <c r="AE18" s="162">
        <f t="shared" si="20"/>
        <v>247.89999999999998</v>
      </c>
      <c r="AF18">
        <f t="shared" si="21"/>
        <v>5</v>
      </c>
    </row>
    <row r="19" spans="1:32" x14ac:dyDescent="0.25">
      <c r="A19" s="35" t="s">
        <v>76</v>
      </c>
      <c r="B19" s="36" t="s">
        <v>71</v>
      </c>
      <c r="C19" s="30" t="s">
        <v>34</v>
      </c>
      <c r="D19" s="162" t="s">
        <v>77</v>
      </c>
      <c r="E19" s="162" t="s">
        <v>58</v>
      </c>
      <c r="F19" s="162" t="s">
        <v>59</v>
      </c>
      <c r="G19" s="162" t="s">
        <v>60</v>
      </c>
      <c r="H19" s="34" t="s">
        <v>61</v>
      </c>
      <c r="I19" s="24" t="s">
        <v>39</v>
      </c>
      <c r="J19" s="24" t="s">
        <v>40</v>
      </c>
      <c r="K19" s="25">
        <f t="shared" si="0"/>
        <v>4.75</v>
      </c>
      <c r="L19" s="162">
        <f t="shared" si="1"/>
        <v>10</v>
      </c>
      <c r="M19" s="162" t="str">
        <f t="shared" si="2"/>
        <v>W8</v>
      </c>
      <c r="N19" s="162" t="str">
        <f t="shared" si="3"/>
        <v>W8</v>
      </c>
      <c r="O19" s="162">
        <f t="shared" si="4"/>
        <v>3</v>
      </c>
      <c r="P19" s="162">
        <f t="shared" si="5"/>
        <v>17</v>
      </c>
      <c r="Q19" s="162">
        <f t="shared" si="6"/>
        <v>11</v>
      </c>
      <c r="R19" s="162">
        <f t="shared" si="7"/>
        <v>8</v>
      </c>
      <c r="S19" s="162">
        <f t="shared" si="8"/>
        <v>6</v>
      </c>
      <c r="T19" s="162">
        <f t="shared" si="9"/>
        <v>3</v>
      </c>
      <c r="U19" s="162">
        <f t="shared" si="10"/>
        <v>-3</v>
      </c>
      <c r="V19" s="162">
        <f t="shared" si="11"/>
        <v>-10</v>
      </c>
      <c r="W19" s="162">
        <f t="shared" si="12"/>
        <v>-17</v>
      </c>
      <c r="X19" s="162">
        <f t="shared" si="13"/>
        <v>120</v>
      </c>
      <c r="Y19" s="162">
        <f t="shared" si="14"/>
        <v>10</v>
      </c>
      <c r="Z19" s="162">
        <f t="shared" si="15"/>
        <v>6</v>
      </c>
      <c r="AA19" s="26">
        <f t="shared" si="16"/>
        <v>-2</v>
      </c>
      <c r="AB19" s="27">
        <f t="shared" si="17"/>
        <v>60</v>
      </c>
      <c r="AC19" s="28">
        <f t="shared" si="18"/>
        <v>398.69999999999993</v>
      </c>
      <c r="AD19" s="29">
        <f t="shared" si="19"/>
        <v>13.7</v>
      </c>
      <c r="AE19" s="162">
        <f t="shared" si="20"/>
        <v>343.89999999999992</v>
      </c>
      <c r="AF19">
        <f t="shared" si="21"/>
        <v>7</v>
      </c>
    </row>
    <row r="20" spans="1:32" x14ac:dyDescent="0.25">
      <c r="A20" s="35" t="s">
        <v>78</v>
      </c>
      <c r="B20" s="36" t="s">
        <v>71</v>
      </c>
      <c r="C20" s="30" t="s">
        <v>34</v>
      </c>
      <c r="D20" s="162" t="s">
        <v>74</v>
      </c>
      <c r="E20" s="162" t="s">
        <v>58</v>
      </c>
      <c r="F20" s="162" t="s">
        <v>59</v>
      </c>
      <c r="G20" s="162" t="s">
        <v>60</v>
      </c>
      <c r="H20" s="34" t="s">
        <v>61</v>
      </c>
      <c r="I20" s="24" t="s">
        <v>39</v>
      </c>
      <c r="J20" s="24" t="s">
        <v>40</v>
      </c>
      <c r="K20" s="25">
        <f t="shared" si="0"/>
        <v>4.05</v>
      </c>
      <c r="L20" s="162">
        <f t="shared" si="1"/>
        <v>10</v>
      </c>
      <c r="M20" s="162" t="str">
        <f t="shared" si="2"/>
        <v>W8</v>
      </c>
      <c r="N20" s="162" t="str">
        <f t="shared" si="3"/>
        <v>W8</v>
      </c>
      <c r="O20" s="162">
        <f t="shared" si="4"/>
        <v>2</v>
      </c>
      <c r="P20" s="162">
        <f t="shared" si="5"/>
        <v>17</v>
      </c>
      <c r="Q20" s="162">
        <f t="shared" si="6"/>
        <v>11</v>
      </c>
      <c r="R20" s="162">
        <f t="shared" si="7"/>
        <v>9</v>
      </c>
      <c r="S20" s="162">
        <f t="shared" si="8"/>
        <v>6</v>
      </c>
      <c r="T20" s="162">
        <f t="shared" si="9"/>
        <v>2</v>
      </c>
      <c r="U20" s="162">
        <f t="shared" si="10"/>
        <v>-4</v>
      </c>
      <c r="V20" s="162">
        <f t="shared" si="11"/>
        <v>-11</v>
      </c>
      <c r="W20" s="162">
        <f t="shared" si="12"/>
        <v>-18</v>
      </c>
      <c r="X20" s="162">
        <f t="shared" si="13"/>
        <v>100</v>
      </c>
      <c r="Y20" s="162">
        <f t="shared" si="14"/>
        <v>9</v>
      </c>
      <c r="Z20" s="162">
        <f t="shared" si="15"/>
        <v>6</v>
      </c>
      <c r="AA20" s="26">
        <f t="shared" si="16"/>
        <v>-2</v>
      </c>
      <c r="AB20" s="27">
        <f t="shared" si="17"/>
        <v>75</v>
      </c>
      <c r="AC20" s="28">
        <f t="shared" si="18"/>
        <v>310.7</v>
      </c>
      <c r="AD20" s="29">
        <f t="shared" si="19"/>
        <v>12.7</v>
      </c>
      <c r="AE20" s="162">
        <f t="shared" si="20"/>
        <v>259.89999999999998</v>
      </c>
      <c r="AF20">
        <f t="shared" si="21"/>
        <v>6</v>
      </c>
    </row>
    <row r="21" spans="1:32" x14ac:dyDescent="0.25">
      <c r="A21" s="35" t="s">
        <v>79</v>
      </c>
      <c r="B21" s="36" t="s">
        <v>71</v>
      </c>
      <c r="C21" s="30" t="s">
        <v>34</v>
      </c>
      <c r="D21" s="162" t="s">
        <v>80</v>
      </c>
      <c r="E21" s="162" t="s">
        <v>35</v>
      </c>
      <c r="F21" s="162" t="s">
        <v>75</v>
      </c>
      <c r="G21" s="162" t="s">
        <v>60</v>
      </c>
      <c r="H21" s="160" t="s">
        <v>38</v>
      </c>
      <c r="I21" s="24" t="s">
        <v>39</v>
      </c>
      <c r="J21" s="24" t="s">
        <v>40</v>
      </c>
      <c r="K21" s="25">
        <f t="shared" si="0"/>
        <v>3.05</v>
      </c>
      <c r="L21" s="162">
        <f t="shared" si="1"/>
        <v>9</v>
      </c>
      <c r="M21" s="162" t="str">
        <f t="shared" si="2"/>
        <v>W8</v>
      </c>
      <c r="N21" s="162" t="str">
        <f t="shared" si="3"/>
        <v>W8</v>
      </c>
      <c r="O21" s="162">
        <f t="shared" si="4"/>
        <v>1</v>
      </c>
      <c r="P21" s="162">
        <f t="shared" si="5"/>
        <v>11</v>
      </c>
      <c r="Q21" s="162">
        <f t="shared" si="6"/>
        <v>17</v>
      </c>
      <c r="R21" s="162">
        <f t="shared" si="7"/>
        <v>11</v>
      </c>
      <c r="S21" s="162">
        <f t="shared" si="8"/>
        <v>5</v>
      </c>
      <c r="T21" s="162">
        <f t="shared" si="9"/>
        <v>-2</v>
      </c>
      <c r="U21" s="162">
        <f t="shared" si="10"/>
        <v>-11</v>
      </c>
      <c r="V21" s="162">
        <f t="shared" si="11"/>
        <v>-21</v>
      </c>
      <c r="W21" s="162">
        <f t="shared" si="12"/>
        <v>-31</v>
      </c>
      <c r="X21" s="162">
        <f t="shared" si="13"/>
        <v>80</v>
      </c>
      <c r="Y21" s="162">
        <f t="shared" si="14"/>
        <v>28</v>
      </c>
      <c r="Z21" s="162">
        <f t="shared" si="15"/>
        <v>3</v>
      </c>
      <c r="AA21" s="26">
        <f t="shared" si="16"/>
        <v>0</v>
      </c>
      <c r="AB21" s="27">
        <f t="shared" si="17"/>
        <v>110</v>
      </c>
      <c r="AC21" s="28">
        <f t="shared" si="18"/>
        <v>186.59999999999997</v>
      </c>
      <c r="AD21" s="29">
        <f t="shared" si="19"/>
        <v>8.6999999999999993</v>
      </c>
      <c r="AE21" s="162">
        <f t="shared" si="20"/>
        <v>151.79999999999998</v>
      </c>
      <c r="AF21">
        <f t="shared" si="21"/>
        <v>4</v>
      </c>
    </row>
    <row r="22" spans="1:32" x14ac:dyDescent="0.25">
      <c r="A22" s="35" t="s">
        <v>81</v>
      </c>
      <c r="B22" s="36" t="s">
        <v>71</v>
      </c>
      <c r="C22" s="23" t="s">
        <v>46</v>
      </c>
      <c r="D22" s="162" t="s">
        <v>48</v>
      </c>
      <c r="E22" s="162" t="s">
        <v>58</v>
      </c>
      <c r="F22" s="162" t="s">
        <v>59</v>
      </c>
      <c r="G22" s="162" t="s">
        <v>60</v>
      </c>
      <c r="H22" s="34" t="s">
        <v>61</v>
      </c>
      <c r="I22" s="24" t="s">
        <v>39</v>
      </c>
      <c r="J22" s="24" t="s">
        <v>40</v>
      </c>
      <c r="K22" s="25">
        <f t="shared" si="0"/>
        <v>1.8</v>
      </c>
      <c r="L22" s="162">
        <f t="shared" si="1"/>
        <v>7</v>
      </c>
      <c r="M22" s="162" t="str">
        <f t="shared" si="2"/>
        <v>W8</v>
      </c>
      <c r="N22" s="162" t="str">
        <f t="shared" si="3"/>
        <v>W8</v>
      </c>
      <c r="O22" s="162">
        <f t="shared" si="4"/>
        <v>0</v>
      </c>
      <c r="P22" s="162">
        <f t="shared" si="5"/>
        <v>12</v>
      </c>
      <c r="Q22" s="162">
        <f t="shared" si="6"/>
        <v>8</v>
      </c>
      <c r="R22" s="162">
        <f t="shared" si="7"/>
        <v>13</v>
      </c>
      <c r="S22" s="162">
        <f t="shared" si="8"/>
        <v>6</v>
      </c>
      <c r="T22" s="162">
        <f t="shared" si="9"/>
        <v>-4</v>
      </c>
      <c r="U22" s="162">
        <f t="shared" si="10"/>
        <v>-17</v>
      </c>
      <c r="V22" s="162">
        <f t="shared" si="11"/>
        <v>-32</v>
      </c>
      <c r="W22" s="162">
        <f t="shared" si="12"/>
        <v>-48</v>
      </c>
      <c r="X22" s="162">
        <f t="shared" si="13"/>
        <v>80</v>
      </c>
      <c r="Y22" s="162">
        <f t="shared" si="14"/>
        <v>9</v>
      </c>
      <c r="Z22" s="162">
        <f t="shared" si="15"/>
        <v>6</v>
      </c>
      <c r="AA22" s="26">
        <f t="shared" si="16"/>
        <v>-2</v>
      </c>
      <c r="AB22" s="27">
        <f t="shared" si="17"/>
        <v>90</v>
      </c>
      <c r="AC22" s="28">
        <f t="shared" si="18"/>
        <v>192.55</v>
      </c>
      <c r="AD22" s="29">
        <f t="shared" si="19"/>
        <v>10.5</v>
      </c>
      <c r="AE22" s="162">
        <f t="shared" si="20"/>
        <v>150.55000000000001</v>
      </c>
      <c r="AF22">
        <f t="shared" si="21"/>
        <v>5</v>
      </c>
    </row>
    <row r="23" spans="1:32" x14ac:dyDescent="0.25">
      <c r="A23" s="35" t="s">
        <v>82</v>
      </c>
      <c r="B23" s="36" t="s">
        <v>71</v>
      </c>
      <c r="C23" s="23" t="s">
        <v>46</v>
      </c>
      <c r="D23" s="162" t="s">
        <v>47</v>
      </c>
      <c r="E23" s="162" t="s">
        <v>35</v>
      </c>
      <c r="F23" s="162" t="s">
        <v>83</v>
      </c>
      <c r="G23" s="162" t="s">
        <v>60</v>
      </c>
      <c r="H23" s="160" t="s">
        <v>38</v>
      </c>
      <c r="I23" s="24" t="s">
        <v>39</v>
      </c>
      <c r="J23" s="24" t="s">
        <v>40</v>
      </c>
      <c r="K23" s="25">
        <f t="shared" si="0"/>
        <v>2</v>
      </c>
      <c r="L23" s="162">
        <f t="shared" si="1"/>
        <v>7</v>
      </c>
      <c r="M23" s="162" t="str">
        <f t="shared" si="2"/>
        <v>W8</v>
      </c>
      <c r="N23" s="162" t="str">
        <f t="shared" si="3"/>
        <v>W10</v>
      </c>
      <c r="O23" s="162">
        <f t="shared" si="4"/>
        <v>1</v>
      </c>
      <c r="P23" s="162">
        <f t="shared" si="5"/>
        <v>6</v>
      </c>
      <c r="Q23" s="162">
        <f t="shared" si="6"/>
        <v>14</v>
      </c>
      <c r="R23" s="162">
        <f t="shared" si="7"/>
        <v>12</v>
      </c>
      <c r="S23" s="162">
        <f t="shared" si="8"/>
        <v>8</v>
      </c>
      <c r="T23" s="162">
        <f t="shared" si="9"/>
        <v>-3</v>
      </c>
      <c r="U23" s="162">
        <f t="shared" si="10"/>
        <v>-16</v>
      </c>
      <c r="V23" s="162">
        <f t="shared" si="11"/>
        <v>-31</v>
      </c>
      <c r="W23" s="162">
        <f t="shared" si="12"/>
        <v>-47</v>
      </c>
      <c r="X23" s="162">
        <f t="shared" si="13"/>
        <v>90</v>
      </c>
      <c r="Y23" s="162">
        <f t="shared" si="14"/>
        <v>33</v>
      </c>
      <c r="Z23" s="162">
        <f t="shared" si="15"/>
        <v>3</v>
      </c>
      <c r="AA23" s="26">
        <f t="shared" si="16"/>
        <v>1</v>
      </c>
      <c r="AB23" s="27">
        <f t="shared" si="17"/>
        <v>85</v>
      </c>
      <c r="AC23" s="28">
        <f t="shared" si="18"/>
        <v>246.55</v>
      </c>
      <c r="AD23" s="29">
        <f t="shared" si="19"/>
        <v>18</v>
      </c>
      <c r="AE23" s="162">
        <f t="shared" si="20"/>
        <v>174.55</v>
      </c>
      <c r="AF23">
        <f t="shared" si="21"/>
        <v>6</v>
      </c>
    </row>
    <row r="24" spans="1:32" x14ac:dyDescent="0.25">
      <c r="A24" s="35" t="s">
        <v>84</v>
      </c>
      <c r="B24" s="36" t="s">
        <v>71</v>
      </c>
      <c r="C24" s="23" t="s">
        <v>46</v>
      </c>
      <c r="D24" s="162" t="s">
        <v>47</v>
      </c>
      <c r="E24" s="162" t="s">
        <v>58</v>
      </c>
      <c r="F24" s="162" t="s">
        <v>59</v>
      </c>
      <c r="G24" s="162" t="s">
        <v>60</v>
      </c>
      <c r="H24" s="34" t="s">
        <v>61</v>
      </c>
      <c r="I24" s="24" t="s">
        <v>39</v>
      </c>
      <c r="J24" s="24" t="s">
        <v>40</v>
      </c>
      <c r="K24" s="25">
        <f t="shared" si="0"/>
        <v>2.1</v>
      </c>
      <c r="L24" s="162">
        <f t="shared" si="1"/>
        <v>7</v>
      </c>
      <c r="M24" s="162" t="str">
        <f t="shared" si="2"/>
        <v>W8</v>
      </c>
      <c r="N24" s="162" t="str">
        <f t="shared" si="3"/>
        <v>W10</v>
      </c>
      <c r="O24" s="162">
        <f t="shared" si="4"/>
        <v>1</v>
      </c>
      <c r="P24" s="162">
        <f t="shared" si="5"/>
        <v>12</v>
      </c>
      <c r="Q24" s="162">
        <f t="shared" si="6"/>
        <v>8</v>
      </c>
      <c r="R24" s="162">
        <f t="shared" si="7"/>
        <v>12</v>
      </c>
      <c r="S24" s="162">
        <f t="shared" si="8"/>
        <v>8</v>
      </c>
      <c r="T24" s="162">
        <f t="shared" si="9"/>
        <v>-3</v>
      </c>
      <c r="U24" s="162">
        <f t="shared" si="10"/>
        <v>-16</v>
      </c>
      <c r="V24" s="162">
        <f t="shared" si="11"/>
        <v>-31</v>
      </c>
      <c r="W24" s="162">
        <f t="shared" si="12"/>
        <v>-47</v>
      </c>
      <c r="X24" s="162">
        <f t="shared" si="13"/>
        <v>90</v>
      </c>
      <c r="Y24" s="162">
        <f t="shared" si="14"/>
        <v>9</v>
      </c>
      <c r="Z24" s="162">
        <f t="shared" si="15"/>
        <v>6</v>
      </c>
      <c r="AA24" s="26">
        <f t="shared" si="16"/>
        <v>-2</v>
      </c>
      <c r="AB24" s="27">
        <f t="shared" si="17"/>
        <v>75</v>
      </c>
      <c r="AC24" s="28">
        <f t="shared" si="18"/>
        <v>230.55</v>
      </c>
      <c r="AD24" s="29">
        <f t="shared" si="19"/>
        <v>11</v>
      </c>
      <c r="AE24" s="162">
        <f t="shared" si="20"/>
        <v>186.55</v>
      </c>
      <c r="AF24">
        <f t="shared" si="21"/>
        <v>6</v>
      </c>
    </row>
    <row r="25" spans="1:32" x14ac:dyDescent="0.25">
      <c r="A25" s="35" t="s">
        <v>85</v>
      </c>
      <c r="B25" s="36" t="s">
        <v>71</v>
      </c>
      <c r="C25" s="23" t="s">
        <v>46</v>
      </c>
      <c r="D25" s="162" t="s">
        <v>48</v>
      </c>
      <c r="E25" s="162" t="s">
        <v>35</v>
      </c>
      <c r="F25" s="162" t="s">
        <v>50</v>
      </c>
      <c r="G25" s="162" t="s">
        <v>37</v>
      </c>
      <c r="H25" s="160" t="s">
        <v>38</v>
      </c>
      <c r="I25" s="24" t="s">
        <v>39</v>
      </c>
      <c r="J25" s="24" t="s">
        <v>40</v>
      </c>
      <c r="K25" s="25">
        <f t="shared" si="0"/>
        <v>1.55</v>
      </c>
      <c r="L25" s="162">
        <f t="shared" si="1"/>
        <v>7</v>
      </c>
      <c r="M25" s="162" t="str">
        <f t="shared" si="2"/>
        <v>W8</v>
      </c>
      <c r="N25" s="162" t="str">
        <f t="shared" si="3"/>
        <v>W8</v>
      </c>
      <c r="O25" s="162">
        <f t="shared" si="4"/>
        <v>0</v>
      </c>
      <c r="P25" s="162">
        <f t="shared" si="5"/>
        <v>6</v>
      </c>
      <c r="Q25" s="162">
        <f t="shared" si="6"/>
        <v>14</v>
      </c>
      <c r="R25" s="162">
        <f t="shared" si="7"/>
        <v>9</v>
      </c>
      <c r="S25" s="162">
        <f t="shared" si="8"/>
        <v>1</v>
      </c>
      <c r="T25" s="162">
        <f t="shared" si="9"/>
        <v>-9</v>
      </c>
      <c r="U25" s="162">
        <f t="shared" si="10"/>
        <v>-21</v>
      </c>
      <c r="V25" s="162">
        <f t="shared" si="11"/>
        <v>-35</v>
      </c>
      <c r="W25" s="162">
        <f t="shared" si="12"/>
        <v>-51</v>
      </c>
      <c r="X25" s="162">
        <f t="shared" si="13"/>
        <v>50</v>
      </c>
      <c r="Y25" s="162">
        <f t="shared" si="14"/>
        <v>30</v>
      </c>
      <c r="Z25" s="162">
        <f t="shared" si="15"/>
        <v>3</v>
      </c>
      <c r="AA25" s="26">
        <f t="shared" si="16"/>
        <v>1</v>
      </c>
      <c r="AB25" s="27">
        <f t="shared" si="17"/>
        <v>140</v>
      </c>
      <c r="AC25" s="28">
        <f t="shared" si="18"/>
        <v>144.55000000000001</v>
      </c>
      <c r="AD25" s="29">
        <f t="shared" si="19"/>
        <v>6</v>
      </c>
      <c r="AE25" s="162">
        <f t="shared" si="20"/>
        <v>120.55</v>
      </c>
      <c r="AF25">
        <f t="shared" si="21"/>
        <v>3</v>
      </c>
    </row>
    <row r="26" spans="1:32" x14ac:dyDescent="0.25">
      <c r="A26" s="37" t="s">
        <v>86</v>
      </c>
      <c r="B26" s="38" t="s">
        <v>87</v>
      </c>
      <c r="C26" s="30" t="s">
        <v>34</v>
      </c>
      <c r="D26" s="162" t="s">
        <v>42</v>
      </c>
      <c r="E26" s="162" t="s">
        <v>88</v>
      </c>
      <c r="F26" s="162" t="s">
        <v>59</v>
      </c>
      <c r="G26" s="162" t="s">
        <v>60</v>
      </c>
      <c r="H26" s="34" t="s">
        <v>61</v>
      </c>
      <c r="I26" s="24" t="s">
        <v>39</v>
      </c>
      <c r="J26" s="24" t="s">
        <v>40</v>
      </c>
      <c r="K26" s="25">
        <f t="shared" si="0"/>
        <v>3.3499999999999996</v>
      </c>
      <c r="L26" s="162">
        <f t="shared" si="1"/>
        <v>7</v>
      </c>
      <c r="M26" s="162" t="str">
        <f t="shared" si="2"/>
        <v>W8</v>
      </c>
      <c r="N26" s="162" t="str">
        <f t="shared" si="3"/>
        <v>W8</v>
      </c>
      <c r="O26" s="162">
        <f t="shared" si="4"/>
        <v>1</v>
      </c>
      <c r="P26" s="162">
        <f t="shared" si="5"/>
        <v>20</v>
      </c>
      <c r="Q26" s="162">
        <f t="shared" si="6"/>
        <v>10</v>
      </c>
      <c r="R26" s="162">
        <f t="shared" si="7"/>
        <v>6</v>
      </c>
      <c r="S26" s="162">
        <f t="shared" si="8"/>
        <v>2</v>
      </c>
      <c r="T26" s="162">
        <f t="shared" si="9"/>
        <v>-3</v>
      </c>
      <c r="U26" s="162">
        <f t="shared" si="10"/>
        <v>-11</v>
      </c>
      <c r="V26" s="162">
        <f t="shared" si="11"/>
        <v>-19</v>
      </c>
      <c r="W26" s="162">
        <f t="shared" si="12"/>
        <v>-27</v>
      </c>
      <c r="X26" s="162">
        <f t="shared" si="13"/>
        <v>70</v>
      </c>
      <c r="Y26" s="162">
        <f t="shared" si="14"/>
        <v>8</v>
      </c>
      <c r="Z26" s="162">
        <f t="shared" si="15"/>
        <v>6</v>
      </c>
      <c r="AA26" s="26">
        <f t="shared" si="16"/>
        <v>1</v>
      </c>
      <c r="AB26" s="27">
        <f t="shared" si="17"/>
        <v>100</v>
      </c>
      <c r="AC26" s="28">
        <f t="shared" si="18"/>
        <v>222.5</v>
      </c>
      <c r="AD26" s="29">
        <f t="shared" si="19"/>
        <v>5.6999999999999993</v>
      </c>
      <c r="AE26" s="162">
        <f t="shared" si="20"/>
        <v>199.70000000000002</v>
      </c>
      <c r="AF26">
        <f t="shared" si="21"/>
        <v>5</v>
      </c>
    </row>
    <row r="27" spans="1:32" x14ac:dyDescent="0.25">
      <c r="A27" s="37" t="s">
        <v>89</v>
      </c>
      <c r="B27" s="38" t="s">
        <v>87</v>
      </c>
      <c r="C27" s="30" t="s">
        <v>34</v>
      </c>
      <c r="D27" s="162" t="s">
        <v>90</v>
      </c>
      <c r="E27" s="162" t="s">
        <v>35</v>
      </c>
      <c r="F27" s="162" t="s">
        <v>50</v>
      </c>
      <c r="G27" s="162" t="s">
        <v>37</v>
      </c>
      <c r="H27" s="160" t="s">
        <v>38</v>
      </c>
      <c r="I27" s="24" t="s">
        <v>39</v>
      </c>
      <c r="J27" s="24" t="s">
        <v>40</v>
      </c>
      <c r="K27" s="25">
        <f t="shared" si="0"/>
        <v>4.0999999999999996</v>
      </c>
      <c r="L27" s="162">
        <f t="shared" si="1"/>
        <v>9</v>
      </c>
      <c r="M27" s="162" t="str">
        <f t="shared" si="2"/>
        <v>W10</v>
      </c>
      <c r="N27" s="162" t="str">
        <f t="shared" si="3"/>
        <v>W10</v>
      </c>
      <c r="O27" s="162">
        <f t="shared" si="4"/>
        <v>4</v>
      </c>
      <c r="P27" s="162">
        <f t="shared" si="5"/>
        <v>11</v>
      </c>
      <c r="Q27" s="162">
        <f t="shared" si="6"/>
        <v>19</v>
      </c>
      <c r="R27" s="162">
        <f t="shared" si="7"/>
        <v>2</v>
      </c>
      <c r="S27" s="162">
        <f t="shared" si="8"/>
        <v>-8</v>
      </c>
      <c r="T27" s="162">
        <f t="shared" si="9"/>
        <v>-18</v>
      </c>
      <c r="U27" s="162">
        <f t="shared" si="10"/>
        <v>-30</v>
      </c>
      <c r="V27" s="162">
        <f t="shared" si="11"/>
        <v>-42</v>
      </c>
      <c r="W27" s="162">
        <f t="shared" si="12"/>
        <v>-55</v>
      </c>
      <c r="X27" s="162">
        <f t="shared" si="13"/>
        <v>20</v>
      </c>
      <c r="Y27" s="162">
        <f t="shared" si="14"/>
        <v>32</v>
      </c>
      <c r="Z27" s="162">
        <f t="shared" si="15"/>
        <v>3</v>
      </c>
      <c r="AA27" s="26">
        <f t="shared" si="16"/>
        <v>4</v>
      </c>
      <c r="AB27" s="27">
        <f t="shared" si="17"/>
        <v>145</v>
      </c>
      <c r="AC27" s="28">
        <f t="shared" si="18"/>
        <v>298.5</v>
      </c>
      <c r="AD27" s="29">
        <f t="shared" si="19"/>
        <v>2.2000000000000002</v>
      </c>
      <c r="AE27" s="162">
        <f t="shared" si="20"/>
        <v>289.7</v>
      </c>
      <c r="AF27">
        <f t="shared" si="21"/>
        <v>3</v>
      </c>
    </row>
    <row r="28" spans="1:32" x14ac:dyDescent="0.25">
      <c r="A28" s="37" t="s">
        <v>91</v>
      </c>
      <c r="B28" s="38" t="s">
        <v>87</v>
      </c>
      <c r="C28" s="30" t="s">
        <v>34</v>
      </c>
      <c r="D28" s="162" t="s">
        <v>77</v>
      </c>
      <c r="E28" s="162" t="s">
        <v>58</v>
      </c>
      <c r="F28" s="162" t="s">
        <v>59</v>
      </c>
      <c r="G28" s="162" t="s">
        <v>60</v>
      </c>
      <c r="H28" s="34" t="s">
        <v>61</v>
      </c>
      <c r="I28" s="24" t="s">
        <v>39</v>
      </c>
      <c r="J28" s="24" t="s">
        <v>40</v>
      </c>
      <c r="K28" s="25">
        <f t="shared" si="0"/>
        <v>4.05</v>
      </c>
      <c r="L28" s="162">
        <f t="shared" si="1"/>
        <v>7</v>
      </c>
      <c r="M28" s="162" t="str">
        <f t="shared" si="2"/>
        <v>W8</v>
      </c>
      <c r="N28" s="162" t="str">
        <f t="shared" si="3"/>
        <v>W8</v>
      </c>
      <c r="O28" s="162">
        <f t="shared" si="4"/>
        <v>3</v>
      </c>
      <c r="P28" s="162">
        <f t="shared" si="5"/>
        <v>20</v>
      </c>
      <c r="Q28" s="162">
        <f t="shared" si="6"/>
        <v>10</v>
      </c>
      <c r="R28" s="162">
        <f t="shared" si="7"/>
        <v>4</v>
      </c>
      <c r="S28" s="162">
        <f t="shared" si="8"/>
        <v>2</v>
      </c>
      <c r="T28" s="162">
        <f t="shared" si="9"/>
        <v>-1</v>
      </c>
      <c r="U28" s="162">
        <f t="shared" si="10"/>
        <v>-8</v>
      </c>
      <c r="V28" s="162">
        <f t="shared" si="11"/>
        <v>-15</v>
      </c>
      <c r="W28" s="162">
        <f t="shared" si="12"/>
        <v>-22</v>
      </c>
      <c r="X28" s="162">
        <f t="shared" si="13"/>
        <v>100</v>
      </c>
      <c r="Y28" s="162">
        <f t="shared" si="14"/>
        <v>10</v>
      </c>
      <c r="Z28" s="162">
        <f t="shared" si="15"/>
        <v>6</v>
      </c>
      <c r="AA28" s="26">
        <f t="shared" si="16"/>
        <v>1</v>
      </c>
      <c r="AB28" s="27">
        <f t="shared" si="17"/>
        <v>80</v>
      </c>
      <c r="AC28" s="28">
        <f t="shared" si="18"/>
        <v>318.49999999999994</v>
      </c>
      <c r="AD28" s="29">
        <f t="shared" si="19"/>
        <v>8.6999999999999993</v>
      </c>
      <c r="AE28" s="162">
        <f t="shared" si="20"/>
        <v>283.69999999999993</v>
      </c>
      <c r="AF28">
        <f t="shared" si="21"/>
        <v>6</v>
      </c>
    </row>
    <row r="29" spans="1:32" x14ac:dyDescent="0.25">
      <c r="A29" s="37" t="s">
        <v>92</v>
      </c>
      <c r="B29" s="38" t="s">
        <v>87</v>
      </c>
      <c r="C29" s="30" t="s">
        <v>34</v>
      </c>
      <c r="D29" s="162" t="s">
        <v>93</v>
      </c>
      <c r="E29" s="162" t="s">
        <v>35</v>
      </c>
      <c r="F29" s="162" t="s">
        <v>50</v>
      </c>
      <c r="G29" s="162" t="s">
        <v>37</v>
      </c>
      <c r="H29" s="160" t="s">
        <v>38</v>
      </c>
      <c r="I29" s="24" t="s">
        <v>39</v>
      </c>
      <c r="J29" s="24" t="s">
        <v>40</v>
      </c>
      <c r="K29" s="25">
        <f t="shared" si="0"/>
        <v>4.5999999999999996</v>
      </c>
      <c r="L29" s="162">
        <f t="shared" si="1"/>
        <v>8</v>
      </c>
      <c r="M29" s="162" t="str">
        <f t="shared" si="2"/>
        <v>W8</v>
      </c>
      <c r="N29" s="162" t="str">
        <f t="shared" si="3"/>
        <v>W6</v>
      </c>
      <c r="O29" s="162">
        <f t="shared" si="4"/>
        <v>1</v>
      </c>
      <c r="P29" s="162">
        <f t="shared" si="5"/>
        <v>14</v>
      </c>
      <c r="Q29" s="162">
        <f t="shared" si="6"/>
        <v>15</v>
      </c>
      <c r="R29" s="162">
        <f t="shared" si="7"/>
        <v>1</v>
      </c>
      <c r="S29" s="162">
        <f t="shared" si="8"/>
        <v>-4</v>
      </c>
      <c r="T29" s="162">
        <f t="shared" si="9"/>
        <v>-9</v>
      </c>
      <c r="U29" s="162">
        <f t="shared" si="10"/>
        <v>-16</v>
      </c>
      <c r="V29" s="162">
        <f t="shared" si="11"/>
        <v>-23</v>
      </c>
      <c r="W29" s="162">
        <f t="shared" si="12"/>
        <v>-31</v>
      </c>
      <c r="X29" s="162">
        <f t="shared" si="13"/>
        <v>40</v>
      </c>
      <c r="Y29" s="162">
        <f t="shared" si="14"/>
        <v>34</v>
      </c>
      <c r="Z29" s="162">
        <f t="shared" si="15"/>
        <v>3</v>
      </c>
      <c r="AA29" s="26">
        <f t="shared" si="16"/>
        <v>4</v>
      </c>
      <c r="AB29" s="27">
        <f t="shared" si="17"/>
        <v>130</v>
      </c>
      <c r="AC29" s="28">
        <f t="shared" si="18"/>
        <v>362.5</v>
      </c>
      <c r="AD29" s="29">
        <f t="shared" si="19"/>
        <v>3.2</v>
      </c>
      <c r="AE29" s="162">
        <f t="shared" si="20"/>
        <v>349.7</v>
      </c>
      <c r="AF29">
        <f t="shared" si="21"/>
        <v>3</v>
      </c>
    </row>
    <row r="30" spans="1:32" x14ac:dyDescent="0.25">
      <c r="A30" s="37" t="s">
        <v>94</v>
      </c>
      <c r="B30" s="38" t="s">
        <v>87</v>
      </c>
      <c r="C30" s="30" t="s">
        <v>34</v>
      </c>
      <c r="D30" s="162" t="s">
        <v>53</v>
      </c>
      <c r="E30" s="162" t="s">
        <v>54</v>
      </c>
      <c r="F30" s="162" t="s">
        <v>55</v>
      </c>
      <c r="G30" s="162" t="s">
        <v>60</v>
      </c>
      <c r="H30" s="33" t="s">
        <v>56</v>
      </c>
      <c r="I30" s="24" t="s">
        <v>39</v>
      </c>
      <c r="J30" s="24" t="s">
        <v>40</v>
      </c>
      <c r="K30" s="25">
        <f t="shared" si="0"/>
        <v>2.4499999999999997</v>
      </c>
      <c r="L30" s="162">
        <f t="shared" si="1"/>
        <v>6</v>
      </c>
      <c r="M30" s="162" t="str">
        <f t="shared" si="2"/>
        <v>W8</v>
      </c>
      <c r="N30" s="162" t="str">
        <f t="shared" si="3"/>
        <v>W8</v>
      </c>
      <c r="O30" s="162">
        <f t="shared" si="4"/>
        <v>1</v>
      </c>
      <c r="P30" s="162">
        <f t="shared" si="5"/>
        <v>14</v>
      </c>
      <c r="Q30" s="162">
        <f t="shared" si="6"/>
        <v>16</v>
      </c>
      <c r="R30" s="162">
        <f t="shared" si="7"/>
        <v>8</v>
      </c>
      <c r="S30" s="162">
        <f t="shared" si="8"/>
        <v>2</v>
      </c>
      <c r="T30" s="162">
        <f t="shared" si="9"/>
        <v>-5</v>
      </c>
      <c r="U30" s="162">
        <f t="shared" si="10"/>
        <v>-15</v>
      </c>
      <c r="V30" s="162">
        <f t="shared" si="11"/>
        <v>-25</v>
      </c>
      <c r="W30" s="162">
        <f t="shared" si="12"/>
        <v>-35</v>
      </c>
      <c r="X30" s="162">
        <f t="shared" si="13"/>
        <v>60</v>
      </c>
      <c r="Y30" s="162">
        <f t="shared" si="14"/>
        <v>11</v>
      </c>
      <c r="Z30" s="162">
        <f t="shared" si="15"/>
        <v>6</v>
      </c>
      <c r="AA30" s="26">
        <f t="shared" si="16"/>
        <v>2</v>
      </c>
      <c r="AB30" s="27">
        <f t="shared" si="17"/>
        <v>110</v>
      </c>
      <c r="AC30" s="28">
        <f t="shared" si="18"/>
        <v>122.39999999999999</v>
      </c>
      <c r="AD30" s="29">
        <f t="shared" si="19"/>
        <v>4.7</v>
      </c>
      <c r="AE30" s="162">
        <f t="shared" si="20"/>
        <v>103.6</v>
      </c>
      <c r="AF30">
        <f t="shared" si="21"/>
        <v>4</v>
      </c>
    </row>
    <row r="31" spans="1:32" x14ac:dyDescent="0.25">
      <c r="A31" s="37" t="s">
        <v>95</v>
      </c>
      <c r="B31" s="38" t="s">
        <v>87</v>
      </c>
      <c r="C31" s="30" t="s">
        <v>34</v>
      </c>
      <c r="D31" s="162" t="s">
        <v>42</v>
      </c>
      <c r="E31" s="162" t="s">
        <v>54</v>
      </c>
      <c r="F31" s="162" t="s">
        <v>55</v>
      </c>
      <c r="G31" s="162" t="s">
        <v>60</v>
      </c>
      <c r="H31" s="33" t="s">
        <v>56</v>
      </c>
      <c r="I31" s="24" t="s">
        <v>39</v>
      </c>
      <c r="J31" s="24" t="s">
        <v>40</v>
      </c>
      <c r="K31" s="25">
        <f t="shared" si="0"/>
        <v>3.3499999999999996</v>
      </c>
      <c r="L31" s="162">
        <f t="shared" si="1"/>
        <v>7</v>
      </c>
      <c r="M31" s="162" t="str">
        <f t="shared" si="2"/>
        <v>W8</v>
      </c>
      <c r="N31" s="162" t="str">
        <f t="shared" si="3"/>
        <v>W8</v>
      </c>
      <c r="O31" s="162">
        <f t="shared" si="4"/>
        <v>1</v>
      </c>
      <c r="P31" s="162">
        <f t="shared" si="5"/>
        <v>14</v>
      </c>
      <c r="Q31" s="162">
        <f t="shared" si="6"/>
        <v>16</v>
      </c>
      <c r="R31" s="162">
        <f t="shared" si="7"/>
        <v>6</v>
      </c>
      <c r="S31" s="162">
        <f t="shared" si="8"/>
        <v>2</v>
      </c>
      <c r="T31" s="162">
        <f t="shared" si="9"/>
        <v>-3</v>
      </c>
      <c r="U31" s="162">
        <f t="shared" si="10"/>
        <v>-11</v>
      </c>
      <c r="V31" s="162">
        <f t="shared" si="11"/>
        <v>-19</v>
      </c>
      <c r="W31" s="162">
        <f t="shared" si="12"/>
        <v>-27</v>
      </c>
      <c r="X31" s="162">
        <f t="shared" si="13"/>
        <v>70</v>
      </c>
      <c r="Y31" s="162">
        <f t="shared" si="14"/>
        <v>11</v>
      </c>
      <c r="Z31" s="162">
        <f t="shared" si="15"/>
        <v>6</v>
      </c>
      <c r="AA31" s="26">
        <f t="shared" si="16"/>
        <v>2</v>
      </c>
      <c r="AB31" s="27">
        <f t="shared" si="17"/>
        <v>130</v>
      </c>
      <c r="AC31" s="28">
        <f t="shared" si="18"/>
        <v>218.50000000000003</v>
      </c>
      <c r="AD31" s="29">
        <f t="shared" si="19"/>
        <v>4.7</v>
      </c>
      <c r="AE31" s="162">
        <f t="shared" si="20"/>
        <v>199.70000000000002</v>
      </c>
      <c r="AF31">
        <f t="shared" si="21"/>
        <v>3</v>
      </c>
    </row>
    <row r="32" spans="1:32" x14ac:dyDescent="0.25">
      <c r="A32" s="37" t="s">
        <v>96</v>
      </c>
      <c r="B32" s="38" t="s">
        <v>87</v>
      </c>
      <c r="C32" s="30" t="s">
        <v>34</v>
      </c>
      <c r="D32" s="162" t="s">
        <v>97</v>
      </c>
      <c r="E32" s="162" t="s">
        <v>35</v>
      </c>
      <c r="F32" s="162" t="s">
        <v>50</v>
      </c>
      <c r="G32" s="162" t="s">
        <v>37</v>
      </c>
      <c r="H32" s="160" t="s">
        <v>38</v>
      </c>
      <c r="I32" s="24" t="s">
        <v>39</v>
      </c>
      <c r="J32" s="24" t="s">
        <v>40</v>
      </c>
      <c r="K32" s="25">
        <f t="shared" si="0"/>
        <v>2.5999999999999996</v>
      </c>
      <c r="L32" s="162">
        <f t="shared" si="1"/>
        <v>6</v>
      </c>
      <c r="M32" s="162" t="str">
        <f t="shared" si="2"/>
        <v>W8</v>
      </c>
      <c r="N32" s="162" t="str">
        <f t="shared" si="3"/>
        <v>W8</v>
      </c>
      <c r="O32" s="162">
        <f t="shared" si="4"/>
        <v>1</v>
      </c>
      <c r="P32" s="162">
        <f t="shared" si="5"/>
        <v>14</v>
      </c>
      <c r="Q32" s="162">
        <f t="shared" si="6"/>
        <v>16</v>
      </c>
      <c r="R32" s="162">
        <f t="shared" si="7"/>
        <v>1</v>
      </c>
      <c r="S32" s="162">
        <f t="shared" si="8"/>
        <v>-4</v>
      </c>
      <c r="T32" s="162">
        <f t="shared" si="9"/>
        <v>-10</v>
      </c>
      <c r="U32" s="162">
        <f t="shared" si="10"/>
        <v>-17</v>
      </c>
      <c r="V32" s="162">
        <f t="shared" si="11"/>
        <v>-25</v>
      </c>
      <c r="W32" s="162">
        <f t="shared" si="12"/>
        <v>-33</v>
      </c>
      <c r="X32" s="162">
        <f t="shared" si="13"/>
        <v>30</v>
      </c>
      <c r="Y32" s="162">
        <f t="shared" si="14"/>
        <v>30</v>
      </c>
      <c r="Z32" s="162">
        <f t="shared" si="15"/>
        <v>3</v>
      </c>
      <c r="AA32" s="26">
        <f t="shared" si="16"/>
        <v>5</v>
      </c>
      <c r="AB32" s="27">
        <f t="shared" si="17"/>
        <v>170</v>
      </c>
      <c r="AC32" s="28">
        <f t="shared" si="18"/>
        <v>112.49999999999999</v>
      </c>
      <c r="AD32" s="29">
        <f t="shared" si="19"/>
        <v>0.70000000000000018</v>
      </c>
      <c r="AE32" s="162">
        <f t="shared" si="20"/>
        <v>109.69999999999999</v>
      </c>
      <c r="AF32">
        <f t="shared" si="21"/>
        <v>1</v>
      </c>
    </row>
    <row r="33" spans="1:32" x14ac:dyDescent="0.25">
      <c r="A33" s="37" t="s">
        <v>98</v>
      </c>
      <c r="B33" s="38" t="s">
        <v>87</v>
      </c>
      <c r="C33" s="30" t="s">
        <v>34</v>
      </c>
      <c r="D33" s="162" t="s">
        <v>42</v>
      </c>
      <c r="E33" s="162" t="s">
        <v>35</v>
      </c>
      <c r="F33" s="162" t="s">
        <v>50</v>
      </c>
      <c r="G33" s="162" t="s">
        <v>37</v>
      </c>
      <c r="H33" s="160" t="s">
        <v>38</v>
      </c>
      <c r="I33" s="24" t="s">
        <v>39</v>
      </c>
      <c r="J33" s="24" t="s">
        <v>40</v>
      </c>
      <c r="K33" s="25">
        <f t="shared" si="0"/>
        <v>3.0999999999999996</v>
      </c>
      <c r="L33" s="162">
        <f t="shared" si="1"/>
        <v>7</v>
      </c>
      <c r="M33" s="162" t="str">
        <f t="shared" si="2"/>
        <v>W8</v>
      </c>
      <c r="N33" s="162" t="str">
        <f t="shared" si="3"/>
        <v>W8</v>
      </c>
      <c r="O33" s="162">
        <f t="shared" si="4"/>
        <v>1</v>
      </c>
      <c r="P33" s="162">
        <f t="shared" si="5"/>
        <v>14</v>
      </c>
      <c r="Q33" s="162">
        <f t="shared" si="6"/>
        <v>16</v>
      </c>
      <c r="R33" s="162">
        <f t="shared" si="7"/>
        <v>2</v>
      </c>
      <c r="S33" s="162">
        <f t="shared" si="8"/>
        <v>-3</v>
      </c>
      <c r="T33" s="162">
        <f t="shared" si="9"/>
        <v>-8</v>
      </c>
      <c r="U33" s="162">
        <f t="shared" si="10"/>
        <v>-15</v>
      </c>
      <c r="V33" s="162">
        <f t="shared" si="11"/>
        <v>-22</v>
      </c>
      <c r="W33" s="162">
        <f t="shared" si="12"/>
        <v>-30</v>
      </c>
      <c r="X33" s="162">
        <f t="shared" si="13"/>
        <v>40</v>
      </c>
      <c r="Y33" s="162">
        <f t="shared" si="14"/>
        <v>30</v>
      </c>
      <c r="Z33" s="162">
        <f t="shared" si="15"/>
        <v>3</v>
      </c>
      <c r="AA33" s="26">
        <f t="shared" si="16"/>
        <v>4</v>
      </c>
      <c r="AB33" s="27">
        <f t="shared" si="17"/>
        <v>160</v>
      </c>
      <c r="AC33" s="28">
        <f t="shared" si="18"/>
        <v>174.50000000000003</v>
      </c>
      <c r="AD33" s="29">
        <f t="shared" si="19"/>
        <v>1.2000000000000002</v>
      </c>
      <c r="AE33" s="162">
        <f t="shared" si="20"/>
        <v>169.70000000000002</v>
      </c>
      <c r="AF33">
        <f t="shared" si="21"/>
        <v>2</v>
      </c>
    </row>
    <row r="34" spans="1:32" x14ac:dyDescent="0.25">
      <c r="A34" s="37" t="s">
        <v>99</v>
      </c>
      <c r="B34" s="38" t="s">
        <v>87</v>
      </c>
      <c r="C34" s="30" t="s">
        <v>34</v>
      </c>
      <c r="D34" s="162" t="s">
        <v>42</v>
      </c>
      <c r="E34" s="162" t="s">
        <v>58</v>
      </c>
      <c r="F34" s="162" t="s">
        <v>59</v>
      </c>
      <c r="G34" s="162" t="s">
        <v>60</v>
      </c>
      <c r="H34" s="34" t="s">
        <v>61</v>
      </c>
      <c r="I34" s="24" t="s">
        <v>39</v>
      </c>
      <c r="J34" s="24" t="s">
        <v>40</v>
      </c>
      <c r="K34" s="25">
        <f t="shared" ref="K34:K65" si="22">VLOOKUP(B34,Res,11,0)+VLOOKUP(C34,Res,11,0)+VLOOKUP(D34,Res,11,0)+VLOOKUP(E34,Res,11,0)+VLOOKUP(G34,Res,11,0)</f>
        <v>3.3499999999999996</v>
      </c>
      <c r="L34" s="162">
        <f t="shared" ref="L34:L65" si="23">VLOOKUP(B34,Res,12,0)+VLOOKUP(C34,Res,12,0)+VLOOKUP(D34,Res,12,0)+VLOOKUP(J34,Res,12,0)</f>
        <v>7</v>
      </c>
      <c r="M34" s="162" t="str">
        <f t="shared" ref="M34:M65" si="24">VLOOKUP(VLOOKUP(B34,Res,13,0)+VLOOKUP(C34,Res,13,0)+VLOOKUP(D34,Res,13,0),wtab,2,0)</f>
        <v>W8</v>
      </c>
      <c r="N34" s="162" t="str">
        <f t="shared" ref="N34:N65" si="25">VLOOKUP(VLOOKUP(B34,Res,14,0)+VLOOKUP(C34,Res,14,0)+VLOOKUP(D34,Res,14,0),wtab,2,0)</f>
        <v>W8</v>
      </c>
      <c r="O34" s="162">
        <f t="shared" ref="O34:O65" si="26">VLOOKUP(B34,Res,15,0)+VLOOKUP(C34,Res,15,0)+VLOOKUP(D34,Res,15,0)</f>
        <v>1</v>
      </c>
      <c r="P34" s="162">
        <f t="shared" ref="P34:P65" si="27">VLOOKUP(B34,Res,16,0)+VLOOKUP(C34,Res,16,0)+VLOOKUP(D34,Res,16,0)+VLOOKUP(E34,Res,16,0)</f>
        <v>20</v>
      </c>
      <c r="Q34" s="162">
        <f t="shared" ref="Q34:Q65" si="28">VLOOKUP(B34,Res,17,0)+VLOOKUP(C34,Res,17,0)+VLOOKUP(D34,Res,17,0)+VLOOKUP(E34,Res,17,0)</f>
        <v>10</v>
      </c>
      <c r="R34" s="162">
        <f t="shared" ref="R34:R65" si="29">VLOOKUP(B34,Res,18,0)+VLOOKUP(C34,Res,18,0)+VLOOKUP(D34,Res,18,0)+VLOOKUP(F34,Res,18,0)+VLOOKUP(G34,Res,18,0)+VLOOKUP(I34,Res,18,0)+VLOOKUP(J34,Res,18,0)</f>
        <v>6</v>
      </c>
      <c r="S34" s="162">
        <f t="shared" ref="S34:S65" si="30">VLOOKUP(B34,Res,19,0)+VLOOKUP(C34,Res,19,0)+VLOOKUP(D34,Res,19,0)+VLOOKUP(F34,Res,19,0)+VLOOKUP(G34,Res,19,0)+VLOOKUP(I34,Res,19,0)+VLOOKUP(J34,Res,19,0)</f>
        <v>2</v>
      </c>
      <c r="T34" s="162">
        <f t="shared" ref="T34:T65" si="31">VLOOKUP(B34,Res,20,0)+VLOOKUP(C34,Res,20,0)+VLOOKUP(D34,Res,20,0)+VLOOKUP(F34,Res,20,0)+VLOOKUP(G34,Res,20,0)+VLOOKUP(I34,Res,20,0)+VLOOKUP(J34,Res,20,0)</f>
        <v>-3</v>
      </c>
      <c r="U34" s="162">
        <f t="shared" ref="U34:U65" si="32">VLOOKUP(B34,Res,21,0)+VLOOKUP(C34,Res,21,0)+VLOOKUP(D34,Res,21,0)+VLOOKUP(F34,Res,21,0)+VLOOKUP(G34,Res,21,0)+VLOOKUP(I34,Res,21,0)+VLOOKUP(J34,Res,21,0)</f>
        <v>-11</v>
      </c>
      <c r="V34" s="162">
        <f t="shared" ref="V34:V65" si="33">VLOOKUP(B34,Res,22,0)+VLOOKUP(C34,Res,22,0)+VLOOKUP(D34,Res,22,0)+VLOOKUP(F34,Res,22,0)+VLOOKUP(G34,Res,22,0)+VLOOKUP(I34,Res,22,0)+VLOOKUP(J34,Res,22,0)</f>
        <v>-19</v>
      </c>
      <c r="W34" s="162">
        <f t="shared" ref="W34:W65" si="34">VLOOKUP(B34,Res,23,0)+VLOOKUP(C34,Res,23,0)+VLOOKUP(D34,Res,23,0)+VLOOKUP(F34,Res,23,0)+VLOOKUP(G34,Res,23,0)+VLOOKUP(I34,Res,23,0)+VLOOKUP(J34,Res,23,0)</f>
        <v>-27</v>
      </c>
      <c r="X34" s="162">
        <f t="shared" ref="X34:X65" si="35">VLOOKUP(B34,Res,24,0)+VLOOKUP(C34,Res,24,0)+VLOOKUP(D34,Res,24,0)+VLOOKUP(G34,Res,24,0)</f>
        <v>70</v>
      </c>
      <c r="Y34" s="162">
        <f t="shared" ref="Y34:Y65" si="36">VLOOKUP(D34,Res,25,0)+VLOOKUP(E34,Res,25,0)+VLOOKUP(F34,Res,25,0)</f>
        <v>9</v>
      </c>
      <c r="Z34" s="162">
        <f t="shared" ref="Z34:Z65" si="37">VLOOKUP(E34,Res,26,0)</f>
        <v>6</v>
      </c>
      <c r="AA34" s="26">
        <f t="shared" ref="AA34:AA65" si="38">VLOOKUP(B34,Res,27,0)+VLOOKUP(D34,Res,27,0)+VLOOKUP(F34,Res,27,0)+VLOOKUP(I34,Res,27,0)</f>
        <v>1</v>
      </c>
      <c r="AB34" s="27">
        <f t="shared" ref="AB34:AB65" si="39">VLOOKUP(B34,Res,28,0)+VLOOKUP(C34,Res,28,0)+VLOOKUP(D34,Res,28,0)+VLOOKUP(E34,Res,28,0)+VLOOKUP(F34,Res,28,0)+VLOOKUP(G34,Res,28,0)+VLOOKUP(I34,Res,28,0)+VLOOKUP(J34,Res,28,0)</f>
        <v>110</v>
      </c>
      <c r="AC34" s="28">
        <f t="shared" ref="AC34:AC65" si="40">VLOOKUP(I34,Res,31,0)*AD34+AE34</f>
        <v>222.5</v>
      </c>
      <c r="AD34" s="29">
        <f t="shared" ref="AD34:AD65" si="41">VLOOKUP(B34,Res,30,0)+VLOOKUP(C34,Res,30,0)+VLOOKUP(D34,Res,30,0)+VLOOKUP(F34,Res,30,0)+VLOOKUP(G34,Res,30,0)+VLOOKUP(I34,Res,30,0)+VLOOKUP(J34,Res,30,0)</f>
        <v>5.6999999999999993</v>
      </c>
      <c r="AE34" s="162">
        <f t="shared" ref="AE34:AE65" si="42">(VLOOKUP(C34,Res,32,0)+VLOOKUP(I34,Res,32,0))*(VLOOKUP(B34,Res,34,0)+VLOOKUP(C34,Res,34,0)+VLOOKUP(D34,Res,34,0)+VLOOKUP(E34,Res,34,0)+VLOOKUP(G34,Res,34,0))+VLOOKUP(B34,Res,35,0)+VLOOKUP(C34,Res,35,0)+VLOOKUP(D34,Res,35,0)</f>
        <v>199.70000000000002</v>
      </c>
      <c r="AF34">
        <f t="shared" ref="AF34:AF65" si="43">VLOOKUP(AB34,verftab,2,1)</f>
        <v>4</v>
      </c>
    </row>
    <row r="35" spans="1:32" x14ac:dyDescent="0.25">
      <c r="A35" s="37" t="s">
        <v>100</v>
      </c>
      <c r="B35" s="38" t="s">
        <v>87</v>
      </c>
      <c r="C35" s="30" t="s">
        <v>34</v>
      </c>
      <c r="D35" s="162" t="s">
        <v>32</v>
      </c>
      <c r="E35" s="162" t="s">
        <v>35</v>
      </c>
      <c r="F35" s="162" t="s">
        <v>50</v>
      </c>
      <c r="G35" s="162" t="s">
        <v>37</v>
      </c>
      <c r="H35" s="160" t="s">
        <v>38</v>
      </c>
      <c r="I35" s="24" t="s">
        <v>39</v>
      </c>
      <c r="J35" s="24" t="s">
        <v>40</v>
      </c>
      <c r="K35" s="25">
        <f t="shared" si="22"/>
        <v>6.1</v>
      </c>
      <c r="L35" s="162">
        <f t="shared" si="23"/>
        <v>11</v>
      </c>
      <c r="M35" s="162" t="str">
        <f t="shared" si="24"/>
        <v>W12</v>
      </c>
      <c r="N35" s="162" t="str">
        <f t="shared" si="25"/>
        <v>W10</v>
      </c>
      <c r="O35" s="162">
        <f t="shared" si="26"/>
        <v>2</v>
      </c>
      <c r="P35" s="162">
        <f t="shared" si="27"/>
        <v>17</v>
      </c>
      <c r="Q35" s="162">
        <f t="shared" si="28"/>
        <v>18</v>
      </c>
      <c r="R35" s="162">
        <f t="shared" si="29"/>
        <v>-2</v>
      </c>
      <c r="S35" s="162">
        <f t="shared" si="30"/>
        <v>-5</v>
      </c>
      <c r="T35" s="162">
        <f t="shared" si="31"/>
        <v>-8</v>
      </c>
      <c r="U35" s="162">
        <f t="shared" si="32"/>
        <v>-15</v>
      </c>
      <c r="V35" s="162">
        <f t="shared" si="33"/>
        <v>-22</v>
      </c>
      <c r="W35" s="162">
        <f t="shared" si="34"/>
        <v>-30</v>
      </c>
      <c r="X35" s="162">
        <f t="shared" si="35"/>
        <v>60</v>
      </c>
      <c r="Y35" s="162">
        <f t="shared" si="36"/>
        <v>38</v>
      </c>
      <c r="Z35" s="162">
        <f t="shared" si="37"/>
        <v>3</v>
      </c>
      <c r="AA35" s="26">
        <f t="shared" si="38"/>
        <v>4</v>
      </c>
      <c r="AB35" s="27">
        <f t="shared" si="39"/>
        <v>135</v>
      </c>
      <c r="AC35" s="28">
        <f t="shared" si="40"/>
        <v>546.49999999999989</v>
      </c>
      <c r="AD35" s="29">
        <f t="shared" si="41"/>
        <v>4.2</v>
      </c>
      <c r="AE35" s="162">
        <f t="shared" si="42"/>
        <v>529.69999999999993</v>
      </c>
      <c r="AF35">
        <f t="shared" si="43"/>
        <v>3</v>
      </c>
    </row>
    <row r="36" spans="1:32" x14ac:dyDescent="0.25">
      <c r="A36" s="37" t="s">
        <v>101</v>
      </c>
      <c r="B36" s="38" t="s">
        <v>87</v>
      </c>
      <c r="C36" s="30" t="s">
        <v>34</v>
      </c>
      <c r="D36" s="162" t="s">
        <v>44</v>
      </c>
      <c r="E36" s="162" t="s">
        <v>88</v>
      </c>
      <c r="F36" s="162" t="s">
        <v>59</v>
      </c>
      <c r="G36" s="162" t="s">
        <v>60</v>
      </c>
      <c r="H36" s="34" t="s">
        <v>61</v>
      </c>
      <c r="I36" s="24" t="s">
        <v>39</v>
      </c>
      <c r="J36" s="24" t="s">
        <v>40</v>
      </c>
      <c r="K36" s="25">
        <f t="shared" si="22"/>
        <v>4.3499999999999996</v>
      </c>
      <c r="L36" s="162">
        <f t="shared" si="23"/>
        <v>9</v>
      </c>
      <c r="M36" s="162" t="str">
        <f t="shared" si="24"/>
        <v>W10</v>
      </c>
      <c r="N36" s="162" t="str">
        <f t="shared" si="25"/>
        <v>W10</v>
      </c>
      <c r="O36" s="162">
        <f t="shared" si="26"/>
        <v>2</v>
      </c>
      <c r="P36" s="162">
        <f t="shared" si="27"/>
        <v>21</v>
      </c>
      <c r="Q36" s="162">
        <f t="shared" si="28"/>
        <v>11</v>
      </c>
      <c r="R36" s="162">
        <f t="shared" si="29"/>
        <v>4</v>
      </c>
      <c r="S36" s="162">
        <f t="shared" si="30"/>
        <v>1</v>
      </c>
      <c r="T36" s="162">
        <f t="shared" si="31"/>
        <v>-3</v>
      </c>
      <c r="U36" s="162">
        <f t="shared" si="32"/>
        <v>-11</v>
      </c>
      <c r="V36" s="162">
        <f t="shared" si="33"/>
        <v>-19</v>
      </c>
      <c r="W36" s="162">
        <f t="shared" si="34"/>
        <v>-27</v>
      </c>
      <c r="X36" s="162">
        <f t="shared" si="35"/>
        <v>90</v>
      </c>
      <c r="Y36" s="162">
        <f t="shared" si="36"/>
        <v>10</v>
      </c>
      <c r="Z36" s="162">
        <f t="shared" si="37"/>
        <v>6</v>
      </c>
      <c r="AA36" s="26">
        <f t="shared" si="38"/>
        <v>1</v>
      </c>
      <c r="AB36" s="27">
        <f t="shared" si="39"/>
        <v>90</v>
      </c>
      <c r="AC36" s="28">
        <f t="shared" si="40"/>
        <v>346.5</v>
      </c>
      <c r="AD36" s="29">
        <f t="shared" si="41"/>
        <v>6.6999999999999993</v>
      </c>
      <c r="AE36" s="162">
        <f t="shared" si="42"/>
        <v>319.7</v>
      </c>
      <c r="AF36">
        <f t="shared" si="43"/>
        <v>5</v>
      </c>
    </row>
    <row r="37" spans="1:32" x14ac:dyDescent="0.25">
      <c r="A37" s="37" t="s">
        <v>102</v>
      </c>
      <c r="B37" s="38" t="s">
        <v>87</v>
      </c>
      <c r="C37" s="30" t="s">
        <v>34</v>
      </c>
      <c r="D37" s="162" t="s">
        <v>74</v>
      </c>
      <c r="E37" s="162" t="s">
        <v>58</v>
      </c>
      <c r="F37" s="162" t="s">
        <v>59</v>
      </c>
      <c r="G37" s="162" t="s">
        <v>60</v>
      </c>
      <c r="H37" s="34" t="s">
        <v>61</v>
      </c>
      <c r="I37" s="24" t="s">
        <v>39</v>
      </c>
      <c r="J37" s="24" t="s">
        <v>40</v>
      </c>
      <c r="K37" s="25">
        <f t="shared" si="22"/>
        <v>3.3499999999999996</v>
      </c>
      <c r="L37" s="162">
        <f t="shared" si="23"/>
        <v>7</v>
      </c>
      <c r="M37" s="162" t="str">
        <f t="shared" si="24"/>
        <v>W8</v>
      </c>
      <c r="N37" s="162" t="str">
        <f t="shared" si="25"/>
        <v>W8</v>
      </c>
      <c r="O37" s="162">
        <f t="shared" si="26"/>
        <v>2</v>
      </c>
      <c r="P37" s="162">
        <f t="shared" si="27"/>
        <v>20</v>
      </c>
      <c r="Q37" s="162">
        <f t="shared" si="28"/>
        <v>10</v>
      </c>
      <c r="R37" s="162">
        <f t="shared" si="29"/>
        <v>5</v>
      </c>
      <c r="S37" s="162">
        <f t="shared" si="30"/>
        <v>2</v>
      </c>
      <c r="T37" s="162">
        <f t="shared" si="31"/>
        <v>-2</v>
      </c>
      <c r="U37" s="162">
        <f t="shared" si="32"/>
        <v>-9</v>
      </c>
      <c r="V37" s="162">
        <f t="shared" si="33"/>
        <v>-16</v>
      </c>
      <c r="W37" s="162">
        <f t="shared" si="34"/>
        <v>-23</v>
      </c>
      <c r="X37" s="162">
        <f t="shared" si="35"/>
        <v>80</v>
      </c>
      <c r="Y37" s="162">
        <f t="shared" si="36"/>
        <v>9</v>
      </c>
      <c r="Z37" s="162">
        <f t="shared" si="37"/>
        <v>6</v>
      </c>
      <c r="AA37" s="26">
        <f t="shared" si="38"/>
        <v>1</v>
      </c>
      <c r="AB37" s="27">
        <f t="shared" si="39"/>
        <v>95</v>
      </c>
      <c r="AC37" s="28">
        <f t="shared" si="40"/>
        <v>230.5</v>
      </c>
      <c r="AD37" s="29">
        <f t="shared" si="41"/>
        <v>7.6999999999999993</v>
      </c>
      <c r="AE37" s="162">
        <f t="shared" si="42"/>
        <v>199.70000000000002</v>
      </c>
      <c r="AF37">
        <f t="shared" si="43"/>
        <v>5</v>
      </c>
    </row>
    <row r="38" spans="1:32" x14ac:dyDescent="0.25">
      <c r="A38" s="37" t="s">
        <v>103</v>
      </c>
      <c r="B38" s="38" t="s">
        <v>87</v>
      </c>
      <c r="C38" s="30" t="s">
        <v>34</v>
      </c>
      <c r="D38" s="161" t="s">
        <v>104</v>
      </c>
      <c r="E38" s="162" t="s">
        <v>35</v>
      </c>
      <c r="F38" s="162" t="s">
        <v>50</v>
      </c>
      <c r="G38" s="162" t="s">
        <v>37</v>
      </c>
      <c r="H38" s="160" t="s">
        <v>38</v>
      </c>
      <c r="I38" s="24" t="s">
        <v>39</v>
      </c>
      <c r="J38" s="24" t="s">
        <v>40</v>
      </c>
      <c r="K38" s="25">
        <f t="shared" si="22"/>
        <v>11.1</v>
      </c>
      <c r="L38" s="162">
        <f t="shared" si="23"/>
        <v>15</v>
      </c>
      <c r="M38" s="162" t="str">
        <f t="shared" si="24"/>
        <v>W12</v>
      </c>
      <c r="N38" s="162" t="str">
        <f t="shared" si="25"/>
        <v>W12</v>
      </c>
      <c r="O38" s="162">
        <f t="shared" si="26"/>
        <v>3</v>
      </c>
      <c r="P38" s="162">
        <f t="shared" si="27"/>
        <v>18</v>
      </c>
      <c r="Q38" s="162">
        <f t="shared" si="28"/>
        <v>20</v>
      </c>
      <c r="R38" s="162">
        <f t="shared" si="29"/>
        <v>-4</v>
      </c>
      <c r="S38" s="162">
        <f t="shared" si="30"/>
        <v>-6</v>
      </c>
      <c r="T38" s="162">
        <f t="shared" si="31"/>
        <v>-9</v>
      </c>
      <c r="U38" s="162">
        <f t="shared" si="32"/>
        <v>-15</v>
      </c>
      <c r="V38" s="162">
        <f t="shared" si="33"/>
        <v>-22</v>
      </c>
      <c r="W38" s="162">
        <f t="shared" si="34"/>
        <v>-30</v>
      </c>
      <c r="X38" s="162">
        <f t="shared" si="35"/>
        <v>90</v>
      </c>
      <c r="Y38" s="162">
        <f t="shared" si="36"/>
        <v>42</v>
      </c>
      <c r="Z38" s="162">
        <f t="shared" si="37"/>
        <v>3</v>
      </c>
      <c r="AA38" s="26">
        <f t="shared" si="38"/>
        <v>4</v>
      </c>
      <c r="AB38" s="27">
        <f t="shared" si="39"/>
        <v>135</v>
      </c>
      <c r="AC38" s="28">
        <f t="shared" si="40"/>
        <v>1158.5</v>
      </c>
      <c r="AD38" s="29">
        <f t="shared" si="41"/>
        <v>7.1999999999999993</v>
      </c>
      <c r="AE38" s="162">
        <f t="shared" si="42"/>
        <v>1129.7</v>
      </c>
      <c r="AF38">
        <f t="shared" si="43"/>
        <v>3</v>
      </c>
    </row>
    <row r="39" spans="1:32" x14ac:dyDescent="0.25">
      <c r="A39" s="37" t="s">
        <v>105</v>
      </c>
      <c r="B39" s="38" t="s">
        <v>87</v>
      </c>
      <c r="C39" s="30" t="s">
        <v>34</v>
      </c>
      <c r="D39" s="162" t="s">
        <v>93</v>
      </c>
      <c r="E39" s="162" t="s">
        <v>58</v>
      </c>
      <c r="F39" s="162" t="s">
        <v>59</v>
      </c>
      <c r="G39" s="162" t="s">
        <v>60</v>
      </c>
      <c r="H39" s="34" t="s">
        <v>61</v>
      </c>
      <c r="I39" s="24" t="s">
        <v>39</v>
      </c>
      <c r="J39" s="24" t="s">
        <v>40</v>
      </c>
      <c r="K39" s="25">
        <f t="shared" si="22"/>
        <v>4.8499999999999996</v>
      </c>
      <c r="L39" s="162">
        <f t="shared" si="23"/>
        <v>8</v>
      </c>
      <c r="M39" s="162" t="str">
        <f t="shared" si="24"/>
        <v>W8</v>
      </c>
      <c r="N39" s="162" t="str">
        <f t="shared" si="25"/>
        <v>W6</v>
      </c>
      <c r="O39" s="162">
        <f t="shared" si="26"/>
        <v>1</v>
      </c>
      <c r="P39" s="162">
        <f t="shared" si="27"/>
        <v>20</v>
      </c>
      <c r="Q39" s="162">
        <f t="shared" si="28"/>
        <v>9</v>
      </c>
      <c r="R39" s="162">
        <f t="shared" si="29"/>
        <v>5</v>
      </c>
      <c r="S39" s="162">
        <f t="shared" si="30"/>
        <v>1</v>
      </c>
      <c r="T39" s="162">
        <f t="shared" si="31"/>
        <v>-4</v>
      </c>
      <c r="U39" s="162">
        <f t="shared" si="32"/>
        <v>-12</v>
      </c>
      <c r="V39" s="162">
        <f t="shared" si="33"/>
        <v>-20</v>
      </c>
      <c r="W39" s="162">
        <f t="shared" si="34"/>
        <v>-28</v>
      </c>
      <c r="X39" s="162">
        <f t="shared" si="35"/>
        <v>70</v>
      </c>
      <c r="Y39" s="162">
        <f t="shared" si="36"/>
        <v>13</v>
      </c>
      <c r="Z39" s="162">
        <f t="shared" si="37"/>
        <v>6</v>
      </c>
      <c r="AA39" s="26">
        <f t="shared" si="38"/>
        <v>1</v>
      </c>
      <c r="AB39" s="27">
        <f t="shared" si="39"/>
        <v>80</v>
      </c>
      <c r="AC39" s="28">
        <f t="shared" si="40"/>
        <v>410.5</v>
      </c>
      <c r="AD39" s="29">
        <f t="shared" si="41"/>
        <v>7.6999999999999993</v>
      </c>
      <c r="AE39" s="162">
        <f t="shared" si="42"/>
        <v>379.7</v>
      </c>
      <c r="AF39">
        <f t="shared" si="43"/>
        <v>6</v>
      </c>
    </row>
    <row r="40" spans="1:32" x14ac:dyDescent="0.25">
      <c r="A40" s="37" t="s">
        <v>106</v>
      </c>
      <c r="B40" s="38" t="s">
        <v>87</v>
      </c>
      <c r="C40" s="30" t="s">
        <v>34</v>
      </c>
      <c r="D40" s="162" t="s">
        <v>74</v>
      </c>
      <c r="E40" s="162" t="s">
        <v>35</v>
      </c>
      <c r="F40" s="162" t="s">
        <v>50</v>
      </c>
      <c r="G40" s="162" t="s">
        <v>37</v>
      </c>
      <c r="H40" s="160" t="s">
        <v>38</v>
      </c>
      <c r="I40" s="24" t="s">
        <v>39</v>
      </c>
      <c r="J40" s="24" t="s">
        <v>40</v>
      </c>
      <c r="K40" s="25">
        <f t="shared" si="22"/>
        <v>3.0999999999999996</v>
      </c>
      <c r="L40" s="162">
        <f t="shared" si="23"/>
        <v>7</v>
      </c>
      <c r="M40" s="162" t="str">
        <f t="shared" si="24"/>
        <v>W8</v>
      </c>
      <c r="N40" s="162" t="str">
        <f t="shared" si="25"/>
        <v>W8</v>
      </c>
      <c r="O40" s="162">
        <f t="shared" si="26"/>
        <v>2</v>
      </c>
      <c r="P40" s="162">
        <f t="shared" si="27"/>
        <v>14</v>
      </c>
      <c r="Q40" s="162">
        <f t="shared" si="28"/>
        <v>16</v>
      </c>
      <c r="R40" s="162">
        <f t="shared" si="29"/>
        <v>1</v>
      </c>
      <c r="S40" s="162">
        <f t="shared" si="30"/>
        <v>-3</v>
      </c>
      <c r="T40" s="162">
        <f t="shared" si="31"/>
        <v>-7</v>
      </c>
      <c r="U40" s="162">
        <f t="shared" si="32"/>
        <v>-13</v>
      </c>
      <c r="V40" s="162">
        <f t="shared" si="33"/>
        <v>-19</v>
      </c>
      <c r="W40" s="162">
        <f t="shared" si="34"/>
        <v>-26</v>
      </c>
      <c r="X40" s="162">
        <f t="shared" si="35"/>
        <v>50</v>
      </c>
      <c r="Y40" s="162">
        <f t="shared" si="36"/>
        <v>30</v>
      </c>
      <c r="Z40" s="162">
        <f t="shared" si="37"/>
        <v>3</v>
      </c>
      <c r="AA40" s="26">
        <f t="shared" si="38"/>
        <v>4</v>
      </c>
      <c r="AB40" s="27">
        <f t="shared" si="39"/>
        <v>145</v>
      </c>
      <c r="AC40" s="28">
        <f t="shared" si="40"/>
        <v>182.50000000000003</v>
      </c>
      <c r="AD40" s="29">
        <f t="shared" si="41"/>
        <v>3.2</v>
      </c>
      <c r="AE40" s="162">
        <f t="shared" si="42"/>
        <v>169.70000000000002</v>
      </c>
      <c r="AF40">
        <f t="shared" si="43"/>
        <v>3</v>
      </c>
    </row>
    <row r="41" spans="1:32" x14ac:dyDescent="0.25">
      <c r="A41" s="37" t="s">
        <v>107</v>
      </c>
      <c r="B41" s="38" t="s">
        <v>87</v>
      </c>
      <c r="C41" s="30" t="s">
        <v>34</v>
      </c>
      <c r="D41" s="162" t="s">
        <v>108</v>
      </c>
      <c r="E41" s="162" t="s">
        <v>35</v>
      </c>
      <c r="F41" s="162" t="s">
        <v>83</v>
      </c>
      <c r="G41" s="162" t="s">
        <v>37</v>
      </c>
      <c r="H41" s="3" t="s">
        <v>109</v>
      </c>
      <c r="I41" s="24" t="s">
        <v>39</v>
      </c>
      <c r="J41" s="24" t="s">
        <v>40</v>
      </c>
      <c r="K41" s="25">
        <f t="shared" si="22"/>
        <v>3.0999999999999996</v>
      </c>
      <c r="L41" s="162">
        <f t="shared" si="23"/>
        <v>7</v>
      </c>
      <c r="M41" s="162" t="str">
        <f t="shared" si="24"/>
        <v>W8</v>
      </c>
      <c r="N41" s="162" t="str">
        <f t="shared" si="25"/>
        <v>W8</v>
      </c>
      <c r="O41" s="162">
        <f t="shared" si="26"/>
        <v>1</v>
      </c>
      <c r="P41" s="162">
        <f t="shared" si="27"/>
        <v>14</v>
      </c>
      <c r="Q41" s="162">
        <f t="shared" si="28"/>
        <v>16</v>
      </c>
      <c r="R41" s="162">
        <f t="shared" si="29"/>
        <v>4</v>
      </c>
      <c r="S41" s="162">
        <f t="shared" si="30"/>
        <v>-1</v>
      </c>
      <c r="T41" s="162">
        <f t="shared" si="31"/>
        <v>-6</v>
      </c>
      <c r="U41" s="162">
        <f t="shared" si="32"/>
        <v>-13</v>
      </c>
      <c r="V41" s="162">
        <f t="shared" si="33"/>
        <v>-20</v>
      </c>
      <c r="W41" s="162">
        <f t="shared" si="34"/>
        <v>-28</v>
      </c>
      <c r="X41" s="162">
        <f t="shared" si="35"/>
        <v>40</v>
      </c>
      <c r="Y41" s="162">
        <f t="shared" si="36"/>
        <v>33</v>
      </c>
      <c r="Z41" s="162">
        <f t="shared" si="37"/>
        <v>3</v>
      </c>
      <c r="AA41" s="26">
        <f t="shared" si="38"/>
        <v>4</v>
      </c>
      <c r="AB41" s="27">
        <f t="shared" si="39"/>
        <v>80</v>
      </c>
      <c r="AC41" s="28">
        <f t="shared" si="40"/>
        <v>214.5</v>
      </c>
      <c r="AD41" s="29">
        <f t="shared" si="41"/>
        <v>11.2</v>
      </c>
      <c r="AE41" s="162">
        <f t="shared" si="42"/>
        <v>169.70000000000002</v>
      </c>
      <c r="AF41">
        <f t="shared" si="43"/>
        <v>6</v>
      </c>
    </row>
    <row r="42" spans="1:32" x14ac:dyDescent="0.25">
      <c r="A42" s="37" t="s">
        <v>110</v>
      </c>
      <c r="B42" s="38" t="s">
        <v>87</v>
      </c>
      <c r="C42" s="30" t="s">
        <v>34</v>
      </c>
      <c r="D42" s="162" t="s">
        <v>53</v>
      </c>
      <c r="E42" s="162" t="s">
        <v>88</v>
      </c>
      <c r="F42" s="162" t="s">
        <v>59</v>
      </c>
      <c r="G42" s="162" t="s">
        <v>60</v>
      </c>
      <c r="H42" s="34" t="s">
        <v>61</v>
      </c>
      <c r="I42" s="24" t="s">
        <v>39</v>
      </c>
      <c r="J42" s="24" t="s">
        <v>40</v>
      </c>
      <c r="K42" s="25">
        <f t="shared" si="22"/>
        <v>2.4499999999999997</v>
      </c>
      <c r="L42" s="162">
        <f t="shared" si="23"/>
        <v>6</v>
      </c>
      <c r="M42" s="162" t="str">
        <f t="shared" si="24"/>
        <v>W8</v>
      </c>
      <c r="N42" s="162" t="str">
        <f t="shared" si="25"/>
        <v>W8</v>
      </c>
      <c r="O42" s="162">
        <f t="shared" si="26"/>
        <v>1</v>
      </c>
      <c r="P42" s="162">
        <f t="shared" si="27"/>
        <v>20</v>
      </c>
      <c r="Q42" s="162">
        <f t="shared" si="28"/>
        <v>10</v>
      </c>
      <c r="R42" s="162">
        <f t="shared" si="29"/>
        <v>8</v>
      </c>
      <c r="S42" s="162">
        <f t="shared" si="30"/>
        <v>2</v>
      </c>
      <c r="T42" s="162">
        <f t="shared" si="31"/>
        <v>-5</v>
      </c>
      <c r="U42" s="162">
        <f t="shared" si="32"/>
        <v>-15</v>
      </c>
      <c r="V42" s="162">
        <f t="shared" si="33"/>
        <v>-25</v>
      </c>
      <c r="W42" s="162">
        <f t="shared" si="34"/>
        <v>-35</v>
      </c>
      <c r="X42" s="162">
        <f t="shared" si="35"/>
        <v>60</v>
      </c>
      <c r="Y42" s="162">
        <f t="shared" si="36"/>
        <v>8</v>
      </c>
      <c r="Z42" s="162">
        <f t="shared" si="37"/>
        <v>6</v>
      </c>
      <c r="AA42" s="26">
        <f t="shared" si="38"/>
        <v>1</v>
      </c>
      <c r="AB42" s="27">
        <f t="shared" si="39"/>
        <v>80</v>
      </c>
      <c r="AC42" s="28">
        <f t="shared" si="40"/>
        <v>126.39999999999999</v>
      </c>
      <c r="AD42" s="29">
        <f t="shared" si="41"/>
        <v>5.6999999999999993</v>
      </c>
      <c r="AE42" s="162">
        <f t="shared" si="42"/>
        <v>103.6</v>
      </c>
      <c r="AF42">
        <f t="shared" si="43"/>
        <v>6</v>
      </c>
    </row>
    <row r="43" spans="1:32" x14ac:dyDescent="0.25">
      <c r="A43" s="37" t="s">
        <v>111</v>
      </c>
      <c r="B43" s="38" t="s">
        <v>87</v>
      </c>
      <c r="C43" s="30" t="s">
        <v>34</v>
      </c>
      <c r="D43" s="162" t="s">
        <v>80</v>
      </c>
      <c r="E43" s="162" t="s">
        <v>35</v>
      </c>
      <c r="F43" s="162" t="s">
        <v>75</v>
      </c>
      <c r="G43" s="162" t="s">
        <v>60</v>
      </c>
      <c r="H43" s="160" t="s">
        <v>38</v>
      </c>
      <c r="I43" s="24" t="s">
        <v>39</v>
      </c>
      <c r="J43" s="24" t="s">
        <v>40</v>
      </c>
      <c r="K43" s="25">
        <f t="shared" si="22"/>
        <v>2.3499999999999996</v>
      </c>
      <c r="L43" s="162">
        <f t="shared" si="23"/>
        <v>6</v>
      </c>
      <c r="M43" s="162" t="str">
        <f t="shared" si="24"/>
        <v>W8</v>
      </c>
      <c r="N43" s="162" t="str">
        <f t="shared" si="25"/>
        <v>W8</v>
      </c>
      <c r="O43" s="162">
        <f t="shared" si="26"/>
        <v>1</v>
      </c>
      <c r="P43" s="162">
        <f t="shared" si="27"/>
        <v>14</v>
      </c>
      <c r="Q43" s="162">
        <f t="shared" si="28"/>
        <v>16</v>
      </c>
      <c r="R43" s="162">
        <f t="shared" si="29"/>
        <v>7</v>
      </c>
      <c r="S43" s="162">
        <f t="shared" si="30"/>
        <v>1</v>
      </c>
      <c r="T43" s="162">
        <f t="shared" si="31"/>
        <v>-6</v>
      </c>
      <c r="U43" s="162">
        <f t="shared" si="32"/>
        <v>-16</v>
      </c>
      <c r="V43" s="162">
        <f t="shared" si="33"/>
        <v>-26</v>
      </c>
      <c r="W43" s="162">
        <f t="shared" si="34"/>
        <v>-36</v>
      </c>
      <c r="X43" s="162">
        <f t="shared" si="35"/>
        <v>60</v>
      </c>
      <c r="Y43" s="162">
        <f t="shared" si="36"/>
        <v>28</v>
      </c>
      <c r="Z43" s="162">
        <f t="shared" si="37"/>
        <v>3</v>
      </c>
      <c r="AA43" s="26">
        <f t="shared" si="38"/>
        <v>3</v>
      </c>
      <c r="AB43" s="27">
        <f t="shared" si="39"/>
        <v>130</v>
      </c>
      <c r="AC43" s="28">
        <f t="shared" si="40"/>
        <v>106.39999999999999</v>
      </c>
      <c r="AD43" s="29">
        <f t="shared" si="41"/>
        <v>3.7</v>
      </c>
      <c r="AE43" s="162">
        <f t="shared" si="42"/>
        <v>91.6</v>
      </c>
      <c r="AF43">
        <f t="shared" si="43"/>
        <v>3</v>
      </c>
    </row>
    <row r="44" spans="1:32" x14ac:dyDescent="0.25">
      <c r="A44" s="37" t="s">
        <v>112</v>
      </c>
      <c r="B44" s="38" t="s">
        <v>87</v>
      </c>
      <c r="C44" s="30" t="s">
        <v>34</v>
      </c>
      <c r="D44" s="162" t="s">
        <v>44</v>
      </c>
      <c r="E44" s="162" t="s">
        <v>35</v>
      </c>
      <c r="F44" s="162" t="s">
        <v>50</v>
      </c>
      <c r="G44" s="162" t="s">
        <v>37</v>
      </c>
      <c r="H44" s="160" t="s">
        <v>38</v>
      </c>
      <c r="I44" s="24" t="s">
        <v>39</v>
      </c>
      <c r="J44" s="24" t="s">
        <v>40</v>
      </c>
      <c r="K44" s="25">
        <f t="shared" si="22"/>
        <v>4.0999999999999996</v>
      </c>
      <c r="L44" s="162">
        <f t="shared" si="23"/>
        <v>9</v>
      </c>
      <c r="M44" s="162" t="str">
        <f t="shared" si="24"/>
        <v>W10</v>
      </c>
      <c r="N44" s="162" t="str">
        <f t="shared" si="25"/>
        <v>W10</v>
      </c>
      <c r="O44" s="162">
        <f t="shared" si="26"/>
        <v>2</v>
      </c>
      <c r="P44" s="162">
        <f t="shared" si="27"/>
        <v>15</v>
      </c>
      <c r="Q44" s="162">
        <f t="shared" si="28"/>
        <v>17</v>
      </c>
      <c r="R44" s="162">
        <f t="shared" si="29"/>
        <v>0</v>
      </c>
      <c r="S44" s="162">
        <f t="shared" si="30"/>
        <v>-4</v>
      </c>
      <c r="T44" s="162">
        <f t="shared" si="31"/>
        <v>-8</v>
      </c>
      <c r="U44" s="162">
        <f t="shared" si="32"/>
        <v>-15</v>
      </c>
      <c r="V44" s="162">
        <f t="shared" si="33"/>
        <v>-22</v>
      </c>
      <c r="W44" s="162">
        <f t="shared" si="34"/>
        <v>-30</v>
      </c>
      <c r="X44" s="162">
        <f t="shared" si="35"/>
        <v>60</v>
      </c>
      <c r="Y44" s="162">
        <f t="shared" si="36"/>
        <v>32</v>
      </c>
      <c r="Z44" s="162">
        <f t="shared" si="37"/>
        <v>3</v>
      </c>
      <c r="AA44" s="26">
        <f t="shared" si="38"/>
        <v>4</v>
      </c>
      <c r="AB44" s="27">
        <f t="shared" si="39"/>
        <v>150</v>
      </c>
      <c r="AC44" s="28">
        <f t="shared" si="40"/>
        <v>298.5</v>
      </c>
      <c r="AD44" s="29">
        <f t="shared" si="41"/>
        <v>2.2000000000000002</v>
      </c>
      <c r="AE44" s="162">
        <f t="shared" si="42"/>
        <v>289.7</v>
      </c>
      <c r="AF44">
        <f t="shared" si="43"/>
        <v>2</v>
      </c>
    </row>
    <row r="45" spans="1:32" x14ac:dyDescent="0.25">
      <c r="A45" s="37" t="s">
        <v>113</v>
      </c>
      <c r="B45" s="38" t="s">
        <v>87</v>
      </c>
      <c r="C45" s="23" t="s">
        <v>46</v>
      </c>
      <c r="D45" s="162" t="s">
        <v>47</v>
      </c>
      <c r="E45" s="162" t="s">
        <v>58</v>
      </c>
      <c r="F45" s="162" t="s">
        <v>59</v>
      </c>
      <c r="G45" s="162" t="s">
        <v>60</v>
      </c>
      <c r="H45" s="34" t="s">
        <v>61</v>
      </c>
      <c r="I45" s="24" t="s">
        <v>39</v>
      </c>
      <c r="J45" s="24" t="s">
        <v>40</v>
      </c>
      <c r="K45" s="25">
        <f t="shared" si="22"/>
        <v>1.4000000000000001</v>
      </c>
      <c r="L45" s="162">
        <f t="shared" si="23"/>
        <v>4</v>
      </c>
      <c r="M45" s="162" t="str">
        <f t="shared" si="24"/>
        <v>W8</v>
      </c>
      <c r="N45" s="162" t="str">
        <f t="shared" si="25"/>
        <v>W10</v>
      </c>
      <c r="O45" s="162">
        <f t="shared" si="26"/>
        <v>1</v>
      </c>
      <c r="P45" s="162">
        <f t="shared" si="27"/>
        <v>15</v>
      </c>
      <c r="Q45" s="162">
        <f t="shared" si="28"/>
        <v>7</v>
      </c>
      <c r="R45" s="162">
        <f t="shared" si="29"/>
        <v>8</v>
      </c>
      <c r="S45" s="162">
        <f t="shared" si="30"/>
        <v>4</v>
      </c>
      <c r="T45" s="162">
        <f t="shared" si="31"/>
        <v>-7</v>
      </c>
      <c r="U45" s="162">
        <f t="shared" si="32"/>
        <v>-21</v>
      </c>
      <c r="V45" s="162">
        <f t="shared" si="33"/>
        <v>-36</v>
      </c>
      <c r="W45" s="162">
        <f t="shared" si="34"/>
        <v>-52</v>
      </c>
      <c r="X45" s="162">
        <f t="shared" si="35"/>
        <v>70</v>
      </c>
      <c r="Y45" s="162">
        <f t="shared" si="36"/>
        <v>9</v>
      </c>
      <c r="Z45" s="162">
        <f t="shared" si="37"/>
        <v>6</v>
      </c>
      <c r="AA45" s="26">
        <f t="shared" si="38"/>
        <v>1</v>
      </c>
      <c r="AB45" s="27">
        <f t="shared" si="39"/>
        <v>95</v>
      </c>
      <c r="AC45" s="28">
        <f t="shared" si="40"/>
        <v>150.35</v>
      </c>
      <c r="AD45" s="29">
        <f t="shared" si="41"/>
        <v>6</v>
      </c>
      <c r="AE45" s="162">
        <f t="shared" si="42"/>
        <v>126.35</v>
      </c>
      <c r="AF45">
        <f t="shared" si="43"/>
        <v>5</v>
      </c>
    </row>
    <row r="46" spans="1:32" x14ac:dyDescent="0.25">
      <c r="A46" s="37" t="s">
        <v>114</v>
      </c>
      <c r="B46" s="38" t="s">
        <v>87</v>
      </c>
      <c r="C46" s="23" t="s">
        <v>46</v>
      </c>
      <c r="D46" s="162" t="s">
        <v>47</v>
      </c>
      <c r="E46" s="162" t="s">
        <v>35</v>
      </c>
      <c r="F46" s="162" t="s">
        <v>75</v>
      </c>
      <c r="G46" s="162" t="s">
        <v>60</v>
      </c>
      <c r="H46" s="160" t="s">
        <v>38</v>
      </c>
      <c r="I46" s="24" t="s">
        <v>39</v>
      </c>
      <c r="J46" s="24" t="s">
        <v>40</v>
      </c>
      <c r="K46" s="25">
        <f t="shared" si="22"/>
        <v>1.3</v>
      </c>
      <c r="L46" s="162">
        <f t="shared" si="23"/>
        <v>4</v>
      </c>
      <c r="M46" s="162" t="str">
        <f t="shared" si="24"/>
        <v>W8</v>
      </c>
      <c r="N46" s="162" t="str">
        <f t="shared" si="25"/>
        <v>W10</v>
      </c>
      <c r="O46" s="162">
        <f t="shared" si="26"/>
        <v>1</v>
      </c>
      <c r="P46" s="162">
        <f t="shared" si="27"/>
        <v>9</v>
      </c>
      <c r="Q46" s="162">
        <f t="shared" si="28"/>
        <v>13</v>
      </c>
      <c r="R46" s="162">
        <f t="shared" si="29"/>
        <v>7</v>
      </c>
      <c r="S46" s="162">
        <f t="shared" si="30"/>
        <v>3</v>
      </c>
      <c r="T46" s="162">
        <f t="shared" si="31"/>
        <v>-8</v>
      </c>
      <c r="U46" s="162">
        <f t="shared" si="32"/>
        <v>-22</v>
      </c>
      <c r="V46" s="162">
        <f t="shared" si="33"/>
        <v>-37</v>
      </c>
      <c r="W46" s="162">
        <f t="shared" si="34"/>
        <v>-53</v>
      </c>
      <c r="X46" s="162">
        <f t="shared" si="35"/>
        <v>70</v>
      </c>
      <c r="Y46" s="162">
        <f t="shared" si="36"/>
        <v>29</v>
      </c>
      <c r="Z46" s="162">
        <f t="shared" si="37"/>
        <v>3</v>
      </c>
      <c r="AA46" s="26">
        <f t="shared" si="38"/>
        <v>3</v>
      </c>
      <c r="AB46" s="27">
        <f t="shared" si="39"/>
        <v>125</v>
      </c>
      <c r="AC46" s="28">
        <f t="shared" si="40"/>
        <v>130.35000000000002</v>
      </c>
      <c r="AD46" s="29">
        <f t="shared" si="41"/>
        <v>4</v>
      </c>
      <c r="AE46" s="162">
        <f t="shared" si="42"/>
        <v>114.35000000000001</v>
      </c>
      <c r="AF46">
        <f t="shared" si="43"/>
        <v>4</v>
      </c>
    </row>
    <row r="47" spans="1:32" x14ac:dyDescent="0.25">
      <c r="A47" s="37" t="s">
        <v>115</v>
      </c>
      <c r="B47" s="38" t="s">
        <v>87</v>
      </c>
      <c r="C47" s="23" t="s">
        <v>46</v>
      </c>
      <c r="D47" s="162" t="s">
        <v>116</v>
      </c>
      <c r="E47" s="162" t="s">
        <v>35</v>
      </c>
      <c r="F47" s="162" t="s">
        <v>50</v>
      </c>
      <c r="G47" s="162" t="s">
        <v>37</v>
      </c>
      <c r="H47" s="160" t="s">
        <v>38</v>
      </c>
      <c r="I47" s="24" t="s">
        <v>39</v>
      </c>
      <c r="J47" s="24" t="s">
        <v>40</v>
      </c>
      <c r="K47" s="25">
        <f t="shared" si="22"/>
        <v>1.1500000000000001</v>
      </c>
      <c r="L47" s="162">
        <f t="shared" si="23"/>
        <v>6</v>
      </c>
      <c r="M47" s="162" t="str">
        <f t="shared" si="24"/>
        <v>W10</v>
      </c>
      <c r="N47" s="162" t="str">
        <f t="shared" si="25"/>
        <v>W10</v>
      </c>
      <c r="O47" s="162">
        <f t="shared" si="26"/>
        <v>3</v>
      </c>
      <c r="P47" s="162">
        <f t="shared" si="27"/>
        <v>6</v>
      </c>
      <c r="Q47" s="162">
        <f t="shared" si="28"/>
        <v>16</v>
      </c>
      <c r="R47" s="162">
        <f t="shared" si="29"/>
        <v>5</v>
      </c>
      <c r="S47" s="162">
        <f t="shared" si="30"/>
        <v>-8</v>
      </c>
      <c r="T47" s="162">
        <f t="shared" si="31"/>
        <v>-23</v>
      </c>
      <c r="U47" s="162">
        <f t="shared" si="32"/>
        <v>-41</v>
      </c>
      <c r="V47" s="162">
        <f t="shared" si="33"/>
        <v>-60</v>
      </c>
      <c r="W47" s="162">
        <f t="shared" si="34"/>
        <v>-81</v>
      </c>
      <c r="X47" s="162">
        <f t="shared" si="35"/>
        <v>20</v>
      </c>
      <c r="Y47" s="162">
        <f t="shared" si="36"/>
        <v>32</v>
      </c>
      <c r="Z47" s="162">
        <f t="shared" si="37"/>
        <v>3</v>
      </c>
      <c r="AA47" s="26">
        <f t="shared" si="38"/>
        <v>4</v>
      </c>
      <c r="AB47" s="27">
        <f t="shared" si="39"/>
        <v>150</v>
      </c>
      <c r="AC47" s="28">
        <f t="shared" si="40"/>
        <v>104.35</v>
      </c>
      <c r="AD47" s="29">
        <f t="shared" si="41"/>
        <v>2</v>
      </c>
      <c r="AE47" s="162">
        <f t="shared" si="42"/>
        <v>96.35</v>
      </c>
      <c r="AF47">
        <f t="shared" si="43"/>
        <v>2</v>
      </c>
    </row>
    <row r="48" spans="1:32" x14ac:dyDescent="0.25">
      <c r="A48" s="37" t="s">
        <v>117</v>
      </c>
      <c r="B48" s="38" t="s">
        <v>87</v>
      </c>
      <c r="C48" s="23" t="s">
        <v>46</v>
      </c>
      <c r="D48" s="162" t="s">
        <v>118</v>
      </c>
      <c r="E48" s="162" t="s">
        <v>35</v>
      </c>
      <c r="F48" s="162" t="s">
        <v>50</v>
      </c>
      <c r="G48" s="162" t="s">
        <v>37</v>
      </c>
      <c r="H48" s="160" t="s">
        <v>38</v>
      </c>
      <c r="I48" s="24" t="s">
        <v>39</v>
      </c>
      <c r="J48" s="24" t="s">
        <v>40</v>
      </c>
      <c r="K48" s="25">
        <f t="shared" si="22"/>
        <v>1.4500000000000002</v>
      </c>
      <c r="L48" s="162">
        <f t="shared" si="23"/>
        <v>5</v>
      </c>
      <c r="M48" s="162" t="str">
        <f t="shared" si="24"/>
        <v>W8</v>
      </c>
      <c r="N48" s="162" t="str">
        <f t="shared" si="25"/>
        <v>W6</v>
      </c>
      <c r="O48" s="162">
        <f t="shared" si="26"/>
        <v>0</v>
      </c>
      <c r="P48" s="162">
        <f t="shared" si="27"/>
        <v>9</v>
      </c>
      <c r="Q48" s="162">
        <f t="shared" si="28"/>
        <v>12</v>
      </c>
      <c r="R48" s="162">
        <f t="shared" si="29"/>
        <v>4</v>
      </c>
      <c r="S48" s="162">
        <f t="shared" si="30"/>
        <v>-4</v>
      </c>
      <c r="T48" s="162">
        <f t="shared" si="31"/>
        <v>-14</v>
      </c>
      <c r="U48" s="162">
        <f t="shared" si="32"/>
        <v>-27</v>
      </c>
      <c r="V48" s="162">
        <f t="shared" si="33"/>
        <v>-41</v>
      </c>
      <c r="W48" s="162">
        <f t="shared" si="34"/>
        <v>-57</v>
      </c>
      <c r="X48" s="162">
        <f t="shared" si="35"/>
        <v>30</v>
      </c>
      <c r="Y48" s="162">
        <f t="shared" si="36"/>
        <v>33</v>
      </c>
      <c r="Z48" s="162">
        <f t="shared" si="37"/>
        <v>3</v>
      </c>
      <c r="AA48" s="26">
        <f t="shared" si="38"/>
        <v>4</v>
      </c>
      <c r="AB48" s="27">
        <f t="shared" si="39"/>
        <v>130</v>
      </c>
      <c r="AC48" s="28">
        <f t="shared" si="40"/>
        <v>140.35000000000002</v>
      </c>
      <c r="AD48" s="29">
        <f t="shared" si="41"/>
        <v>2</v>
      </c>
      <c r="AE48" s="162">
        <f t="shared" si="42"/>
        <v>132.35000000000002</v>
      </c>
      <c r="AF48">
        <f t="shared" si="43"/>
        <v>3</v>
      </c>
    </row>
    <row r="49" spans="1:32" x14ac:dyDescent="0.25">
      <c r="A49" s="37" t="s">
        <v>119</v>
      </c>
      <c r="B49" s="38" t="s">
        <v>87</v>
      </c>
      <c r="C49" s="23" t="s">
        <v>46</v>
      </c>
      <c r="D49" s="162" t="s">
        <v>118</v>
      </c>
      <c r="E49" s="162" t="s">
        <v>58</v>
      </c>
      <c r="F49" s="162" t="s">
        <v>59</v>
      </c>
      <c r="G49" s="162" t="s">
        <v>60</v>
      </c>
      <c r="H49" s="34" t="s">
        <v>61</v>
      </c>
      <c r="I49" s="24" t="s">
        <v>39</v>
      </c>
      <c r="J49" s="24" t="s">
        <v>40</v>
      </c>
      <c r="K49" s="25">
        <f t="shared" si="22"/>
        <v>1.7000000000000002</v>
      </c>
      <c r="L49" s="162">
        <f t="shared" si="23"/>
        <v>5</v>
      </c>
      <c r="M49" s="162" t="str">
        <f t="shared" si="24"/>
        <v>W8</v>
      </c>
      <c r="N49" s="162" t="str">
        <f t="shared" si="25"/>
        <v>W6</v>
      </c>
      <c r="O49" s="162">
        <f t="shared" si="26"/>
        <v>0</v>
      </c>
      <c r="P49" s="162">
        <f t="shared" si="27"/>
        <v>15</v>
      </c>
      <c r="Q49" s="162">
        <f t="shared" si="28"/>
        <v>6</v>
      </c>
      <c r="R49" s="162">
        <f t="shared" si="29"/>
        <v>8</v>
      </c>
      <c r="S49" s="162">
        <f t="shared" si="30"/>
        <v>1</v>
      </c>
      <c r="T49" s="162">
        <f t="shared" si="31"/>
        <v>-9</v>
      </c>
      <c r="U49" s="162">
        <f t="shared" si="32"/>
        <v>-23</v>
      </c>
      <c r="V49" s="162">
        <f t="shared" si="33"/>
        <v>-38</v>
      </c>
      <c r="W49" s="162">
        <f t="shared" si="34"/>
        <v>-54</v>
      </c>
      <c r="X49" s="162">
        <f t="shared" si="35"/>
        <v>60</v>
      </c>
      <c r="Y49" s="162">
        <f t="shared" si="36"/>
        <v>12</v>
      </c>
      <c r="Z49" s="162">
        <f t="shared" si="37"/>
        <v>6</v>
      </c>
      <c r="AA49" s="26">
        <f t="shared" si="38"/>
        <v>1</v>
      </c>
      <c r="AB49" s="27">
        <f t="shared" si="39"/>
        <v>80</v>
      </c>
      <c r="AC49" s="28">
        <f t="shared" si="40"/>
        <v>188.35000000000002</v>
      </c>
      <c r="AD49" s="29">
        <f t="shared" si="41"/>
        <v>6.5</v>
      </c>
      <c r="AE49" s="162">
        <f t="shared" si="42"/>
        <v>162.35000000000002</v>
      </c>
      <c r="AF49">
        <f t="shared" si="43"/>
        <v>6</v>
      </c>
    </row>
    <row r="50" spans="1:32" x14ac:dyDescent="0.25">
      <c r="A50" s="37" t="s">
        <v>120</v>
      </c>
      <c r="B50" s="38" t="s">
        <v>87</v>
      </c>
      <c r="C50" s="23" t="s">
        <v>46</v>
      </c>
      <c r="D50" s="162" t="s">
        <v>69</v>
      </c>
      <c r="E50" s="162" t="s">
        <v>58</v>
      </c>
      <c r="F50" s="162" t="s">
        <v>59</v>
      </c>
      <c r="G50" s="162" t="s">
        <v>60</v>
      </c>
      <c r="H50" s="34" t="s">
        <v>61</v>
      </c>
      <c r="I50" s="24" t="s">
        <v>39</v>
      </c>
      <c r="J50" s="24" t="s">
        <v>40</v>
      </c>
      <c r="K50" s="25">
        <f t="shared" si="22"/>
        <v>0.40000000000000013</v>
      </c>
      <c r="L50" s="162">
        <f t="shared" si="23"/>
        <v>2</v>
      </c>
      <c r="M50" s="162" t="str">
        <f t="shared" si="24"/>
        <v>W4</v>
      </c>
      <c r="N50" s="162" t="str">
        <f t="shared" si="25"/>
        <v>W4</v>
      </c>
      <c r="O50" s="162">
        <f t="shared" si="26"/>
        <v>0</v>
      </c>
      <c r="P50" s="162">
        <f t="shared" si="27"/>
        <v>18</v>
      </c>
      <c r="Q50" s="162">
        <f t="shared" si="28"/>
        <v>5</v>
      </c>
      <c r="R50" s="162">
        <f t="shared" si="29"/>
        <v>13</v>
      </c>
      <c r="S50" s="162">
        <f t="shared" si="30"/>
        <v>-3</v>
      </c>
      <c r="T50" s="162">
        <f t="shared" si="31"/>
        <v>-18</v>
      </c>
      <c r="U50" s="162">
        <f t="shared" si="32"/>
        <v>-42</v>
      </c>
      <c r="V50" s="162">
        <f t="shared" si="33"/>
        <v>-77</v>
      </c>
      <c r="W50" s="162">
        <f t="shared" si="34"/>
        <v>-133</v>
      </c>
      <c r="X50" s="162">
        <f t="shared" si="35"/>
        <v>50</v>
      </c>
      <c r="Y50" s="162">
        <f t="shared" si="36"/>
        <v>8</v>
      </c>
      <c r="Z50" s="162">
        <f t="shared" si="37"/>
        <v>6</v>
      </c>
      <c r="AA50" s="26">
        <f t="shared" si="38"/>
        <v>-1</v>
      </c>
      <c r="AB50" s="27">
        <f t="shared" si="39"/>
        <v>95</v>
      </c>
      <c r="AC50" s="28">
        <f t="shared" si="40"/>
        <v>68.150000000000006</v>
      </c>
      <c r="AD50" s="29">
        <f t="shared" si="41"/>
        <v>9.5</v>
      </c>
      <c r="AE50" s="162">
        <f t="shared" si="42"/>
        <v>30.150000000000002</v>
      </c>
      <c r="AF50">
        <f t="shared" si="43"/>
        <v>5</v>
      </c>
    </row>
    <row r="51" spans="1:32" x14ac:dyDescent="0.25">
      <c r="A51" s="37" t="s">
        <v>121</v>
      </c>
      <c r="B51" s="38" t="s">
        <v>87</v>
      </c>
      <c r="C51" s="23" t="s">
        <v>46</v>
      </c>
      <c r="D51" s="162" t="s">
        <v>122</v>
      </c>
      <c r="E51" s="162" t="s">
        <v>35</v>
      </c>
      <c r="F51" s="162" t="s">
        <v>83</v>
      </c>
      <c r="G51" s="162" t="s">
        <v>37</v>
      </c>
      <c r="H51" s="160" t="s">
        <v>38</v>
      </c>
      <c r="I51" s="24" t="s">
        <v>39</v>
      </c>
      <c r="J51" s="24" t="s">
        <v>40</v>
      </c>
      <c r="K51" s="25">
        <f t="shared" si="22"/>
        <v>2.95</v>
      </c>
      <c r="L51" s="162">
        <f t="shared" si="23"/>
        <v>6</v>
      </c>
      <c r="M51" s="162" t="str">
        <f t="shared" si="24"/>
        <v>W6</v>
      </c>
      <c r="N51" s="162" t="str">
        <f t="shared" si="25"/>
        <v>W6</v>
      </c>
      <c r="O51" s="162">
        <f t="shared" si="26"/>
        <v>0</v>
      </c>
      <c r="P51" s="162">
        <f t="shared" si="27"/>
        <v>9</v>
      </c>
      <c r="Q51" s="162">
        <f t="shared" si="28"/>
        <v>12</v>
      </c>
      <c r="R51" s="162">
        <f t="shared" si="29"/>
        <v>5</v>
      </c>
      <c r="S51" s="162">
        <f t="shared" si="30"/>
        <v>-3</v>
      </c>
      <c r="T51" s="162">
        <f t="shared" si="31"/>
        <v>-13</v>
      </c>
      <c r="U51" s="162">
        <f t="shared" si="32"/>
        <v>-26</v>
      </c>
      <c r="V51" s="162">
        <f t="shared" si="33"/>
        <v>-40</v>
      </c>
      <c r="W51" s="162">
        <f t="shared" si="34"/>
        <v>-56</v>
      </c>
      <c r="X51" s="162">
        <f t="shared" si="35"/>
        <v>30</v>
      </c>
      <c r="Y51" s="162">
        <f t="shared" si="36"/>
        <v>38</v>
      </c>
      <c r="Z51" s="162">
        <f t="shared" si="37"/>
        <v>3</v>
      </c>
      <c r="AA51" s="26">
        <f t="shared" si="38"/>
        <v>4</v>
      </c>
      <c r="AB51" s="27">
        <f t="shared" si="39"/>
        <v>90</v>
      </c>
      <c r="AC51" s="28">
        <f t="shared" si="40"/>
        <v>380.35</v>
      </c>
      <c r="AD51" s="29">
        <f t="shared" si="41"/>
        <v>17</v>
      </c>
      <c r="AE51" s="162">
        <f t="shared" si="42"/>
        <v>312.35000000000002</v>
      </c>
      <c r="AF51">
        <f t="shared" si="43"/>
        <v>5</v>
      </c>
    </row>
    <row r="52" spans="1:32" x14ac:dyDescent="0.25">
      <c r="A52" s="37" t="s">
        <v>123</v>
      </c>
      <c r="B52" s="38" t="s">
        <v>87</v>
      </c>
      <c r="C52" s="23" t="s">
        <v>46</v>
      </c>
      <c r="D52" s="162" t="s">
        <v>47</v>
      </c>
      <c r="E52" s="162" t="s">
        <v>35</v>
      </c>
      <c r="F52" s="162" t="s">
        <v>83</v>
      </c>
      <c r="G52" s="162" t="s">
        <v>37</v>
      </c>
      <c r="H52" s="160" t="s">
        <v>38</v>
      </c>
      <c r="I52" s="24" t="s">
        <v>39</v>
      </c>
      <c r="J52" s="24" t="s">
        <v>40</v>
      </c>
      <c r="K52" s="25">
        <f t="shared" si="22"/>
        <v>1.1500000000000001</v>
      </c>
      <c r="L52" s="162">
        <f t="shared" si="23"/>
        <v>4</v>
      </c>
      <c r="M52" s="162" t="str">
        <f t="shared" si="24"/>
        <v>W8</v>
      </c>
      <c r="N52" s="162" t="str">
        <f t="shared" si="25"/>
        <v>W10</v>
      </c>
      <c r="O52" s="162">
        <f t="shared" si="26"/>
        <v>1</v>
      </c>
      <c r="P52" s="162">
        <f t="shared" si="27"/>
        <v>9</v>
      </c>
      <c r="Q52" s="162">
        <f t="shared" si="28"/>
        <v>13</v>
      </c>
      <c r="R52" s="162">
        <f t="shared" si="29"/>
        <v>6</v>
      </c>
      <c r="S52" s="162">
        <f t="shared" si="30"/>
        <v>1</v>
      </c>
      <c r="T52" s="162">
        <f t="shared" si="31"/>
        <v>-10</v>
      </c>
      <c r="U52" s="162">
        <f t="shared" si="32"/>
        <v>-23</v>
      </c>
      <c r="V52" s="162">
        <f t="shared" si="33"/>
        <v>-37</v>
      </c>
      <c r="W52" s="162">
        <f t="shared" si="34"/>
        <v>-53</v>
      </c>
      <c r="X52" s="162">
        <f t="shared" si="35"/>
        <v>40</v>
      </c>
      <c r="Y52" s="162">
        <f t="shared" si="36"/>
        <v>33</v>
      </c>
      <c r="Z52" s="162">
        <f t="shared" si="37"/>
        <v>3</v>
      </c>
      <c r="AA52" s="26">
        <f t="shared" si="38"/>
        <v>4</v>
      </c>
      <c r="AB52" s="27">
        <f t="shared" si="39"/>
        <v>115</v>
      </c>
      <c r="AC52" s="28">
        <f t="shared" si="40"/>
        <v>142.35</v>
      </c>
      <c r="AD52" s="29">
        <f t="shared" si="41"/>
        <v>11.5</v>
      </c>
      <c r="AE52" s="162">
        <f t="shared" si="42"/>
        <v>96.35</v>
      </c>
      <c r="AF52">
        <f t="shared" si="43"/>
        <v>4</v>
      </c>
    </row>
    <row r="53" spans="1:32" x14ac:dyDescent="0.25">
      <c r="A53" s="37" t="s">
        <v>124</v>
      </c>
      <c r="B53" s="38" t="s">
        <v>87</v>
      </c>
      <c r="C53" s="23" t="s">
        <v>46</v>
      </c>
      <c r="D53" s="162" t="s">
        <v>48</v>
      </c>
      <c r="E53" s="162" t="s">
        <v>35</v>
      </c>
      <c r="F53" s="162" t="s">
        <v>50</v>
      </c>
      <c r="G53" s="162" t="s">
        <v>37</v>
      </c>
      <c r="H53" s="160" t="s">
        <v>38</v>
      </c>
      <c r="I53" s="24" t="s">
        <v>39</v>
      </c>
      <c r="J53" s="24" t="s">
        <v>40</v>
      </c>
      <c r="K53" s="25">
        <f t="shared" si="22"/>
        <v>0.85000000000000009</v>
      </c>
      <c r="L53" s="162">
        <f t="shared" si="23"/>
        <v>4</v>
      </c>
      <c r="M53" s="162" t="str">
        <f t="shared" si="24"/>
        <v>W8</v>
      </c>
      <c r="N53" s="162" t="str">
        <f t="shared" si="25"/>
        <v>W8</v>
      </c>
      <c r="O53" s="162">
        <f t="shared" si="26"/>
        <v>0</v>
      </c>
      <c r="P53" s="162">
        <f t="shared" si="27"/>
        <v>9</v>
      </c>
      <c r="Q53" s="162">
        <f t="shared" si="28"/>
        <v>13</v>
      </c>
      <c r="R53" s="162">
        <f t="shared" si="29"/>
        <v>5</v>
      </c>
      <c r="S53" s="162">
        <f t="shared" si="30"/>
        <v>-3</v>
      </c>
      <c r="T53" s="162">
        <f t="shared" si="31"/>
        <v>-13</v>
      </c>
      <c r="U53" s="162">
        <f t="shared" si="32"/>
        <v>-26</v>
      </c>
      <c r="V53" s="162">
        <f t="shared" si="33"/>
        <v>-40</v>
      </c>
      <c r="W53" s="162">
        <f t="shared" si="34"/>
        <v>-56</v>
      </c>
      <c r="X53" s="162">
        <f t="shared" si="35"/>
        <v>30</v>
      </c>
      <c r="Y53" s="162">
        <f t="shared" si="36"/>
        <v>30</v>
      </c>
      <c r="Z53" s="162">
        <f t="shared" si="37"/>
        <v>3</v>
      </c>
      <c r="AA53" s="26">
        <f t="shared" si="38"/>
        <v>4</v>
      </c>
      <c r="AB53" s="27">
        <f t="shared" si="39"/>
        <v>160</v>
      </c>
      <c r="AC53" s="28">
        <f t="shared" si="40"/>
        <v>64.349999999999994</v>
      </c>
      <c r="AD53" s="29">
        <f t="shared" si="41"/>
        <v>1</v>
      </c>
      <c r="AE53" s="162">
        <f t="shared" si="42"/>
        <v>60.349999999999994</v>
      </c>
      <c r="AF53">
        <f t="shared" si="43"/>
        <v>2</v>
      </c>
    </row>
    <row r="54" spans="1:32" x14ac:dyDescent="0.25">
      <c r="A54" s="37" t="s">
        <v>125</v>
      </c>
      <c r="B54" s="38" t="s">
        <v>87</v>
      </c>
      <c r="C54" s="23" t="s">
        <v>46</v>
      </c>
      <c r="D54" s="162" t="s">
        <v>48</v>
      </c>
      <c r="E54" s="162" t="s">
        <v>35</v>
      </c>
      <c r="F54" s="162" t="s">
        <v>75</v>
      </c>
      <c r="G54" s="162" t="s">
        <v>60</v>
      </c>
      <c r="H54" s="160" t="s">
        <v>38</v>
      </c>
      <c r="I54" s="24" t="s">
        <v>39</v>
      </c>
      <c r="J54" s="24" t="s">
        <v>40</v>
      </c>
      <c r="K54" s="25">
        <f t="shared" si="22"/>
        <v>1</v>
      </c>
      <c r="L54" s="162">
        <f t="shared" si="23"/>
        <v>4</v>
      </c>
      <c r="M54" s="162" t="str">
        <f t="shared" si="24"/>
        <v>W8</v>
      </c>
      <c r="N54" s="162" t="str">
        <f t="shared" si="25"/>
        <v>W8</v>
      </c>
      <c r="O54" s="162">
        <f t="shared" si="26"/>
        <v>0</v>
      </c>
      <c r="P54" s="162">
        <f t="shared" si="27"/>
        <v>9</v>
      </c>
      <c r="Q54" s="162">
        <f t="shared" si="28"/>
        <v>13</v>
      </c>
      <c r="R54" s="162">
        <f t="shared" si="29"/>
        <v>8</v>
      </c>
      <c r="S54" s="162">
        <f t="shared" si="30"/>
        <v>1</v>
      </c>
      <c r="T54" s="162">
        <f t="shared" si="31"/>
        <v>-9</v>
      </c>
      <c r="U54" s="162">
        <f t="shared" si="32"/>
        <v>-23</v>
      </c>
      <c r="V54" s="162">
        <f t="shared" si="33"/>
        <v>-38</v>
      </c>
      <c r="W54" s="162">
        <f t="shared" si="34"/>
        <v>-54</v>
      </c>
      <c r="X54" s="162">
        <f t="shared" si="35"/>
        <v>60</v>
      </c>
      <c r="Y54" s="162">
        <f t="shared" si="36"/>
        <v>29</v>
      </c>
      <c r="Z54" s="162">
        <f t="shared" si="37"/>
        <v>3</v>
      </c>
      <c r="AA54" s="26">
        <f t="shared" si="38"/>
        <v>3</v>
      </c>
      <c r="AB54" s="27">
        <f t="shared" si="39"/>
        <v>140</v>
      </c>
      <c r="AC54" s="28">
        <f t="shared" si="40"/>
        <v>92.35</v>
      </c>
      <c r="AD54" s="29">
        <f t="shared" si="41"/>
        <v>3.5</v>
      </c>
      <c r="AE54" s="162">
        <f t="shared" si="42"/>
        <v>78.349999999999994</v>
      </c>
      <c r="AF54">
        <f t="shared" si="43"/>
        <v>3</v>
      </c>
    </row>
    <row r="55" spans="1:32" x14ac:dyDescent="0.25">
      <c r="A55" s="37" t="s">
        <v>126</v>
      </c>
      <c r="B55" s="38" t="s">
        <v>87</v>
      </c>
      <c r="C55" s="23" t="s">
        <v>46</v>
      </c>
      <c r="D55" s="162" t="s">
        <v>48</v>
      </c>
      <c r="E55" s="162" t="s">
        <v>58</v>
      </c>
      <c r="F55" s="162" t="s">
        <v>59</v>
      </c>
      <c r="G55" s="162" t="s">
        <v>60</v>
      </c>
      <c r="H55" s="34" t="s">
        <v>61</v>
      </c>
      <c r="I55" s="24" t="s">
        <v>39</v>
      </c>
      <c r="J55" s="24" t="s">
        <v>40</v>
      </c>
      <c r="K55" s="25">
        <f t="shared" si="22"/>
        <v>1.1000000000000001</v>
      </c>
      <c r="L55" s="162">
        <f t="shared" si="23"/>
        <v>4</v>
      </c>
      <c r="M55" s="162" t="str">
        <f t="shared" si="24"/>
        <v>W8</v>
      </c>
      <c r="N55" s="162" t="str">
        <f t="shared" si="25"/>
        <v>W8</v>
      </c>
      <c r="O55" s="162">
        <f t="shared" si="26"/>
        <v>0</v>
      </c>
      <c r="P55" s="162">
        <f t="shared" si="27"/>
        <v>15</v>
      </c>
      <c r="Q55" s="162">
        <f t="shared" si="28"/>
        <v>7</v>
      </c>
      <c r="R55" s="162">
        <f t="shared" si="29"/>
        <v>9</v>
      </c>
      <c r="S55" s="162">
        <f t="shared" si="30"/>
        <v>2</v>
      </c>
      <c r="T55" s="162">
        <f t="shared" si="31"/>
        <v>-8</v>
      </c>
      <c r="U55" s="162">
        <f t="shared" si="32"/>
        <v>-22</v>
      </c>
      <c r="V55" s="162">
        <f t="shared" si="33"/>
        <v>-37</v>
      </c>
      <c r="W55" s="162">
        <f t="shared" si="34"/>
        <v>-53</v>
      </c>
      <c r="X55" s="162">
        <f t="shared" si="35"/>
        <v>60</v>
      </c>
      <c r="Y55" s="162">
        <f t="shared" si="36"/>
        <v>9</v>
      </c>
      <c r="Z55" s="162">
        <f t="shared" si="37"/>
        <v>6</v>
      </c>
      <c r="AA55" s="26">
        <f t="shared" si="38"/>
        <v>1</v>
      </c>
      <c r="AB55" s="27">
        <f t="shared" si="39"/>
        <v>110</v>
      </c>
      <c r="AC55" s="28">
        <f t="shared" si="40"/>
        <v>112.35</v>
      </c>
      <c r="AD55" s="29">
        <f t="shared" si="41"/>
        <v>5.5</v>
      </c>
      <c r="AE55" s="162">
        <f t="shared" si="42"/>
        <v>90.35</v>
      </c>
      <c r="AF55">
        <f t="shared" si="43"/>
        <v>4</v>
      </c>
    </row>
    <row r="56" spans="1:32" x14ac:dyDescent="0.25">
      <c r="A56" s="39" t="s">
        <v>127</v>
      </c>
      <c r="B56" s="40" t="s">
        <v>128</v>
      </c>
      <c r="C56" s="30" t="s">
        <v>34</v>
      </c>
      <c r="D56" s="162" t="s">
        <v>32</v>
      </c>
      <c r="E56" s="162" t="s">
        <v>35</v>
      </c>
      <c r="F56" s="162" t="s">
        <v>50</v>
      </c>
      <c r="G56" s="162" t="s">
        <v>37</v>
      </c>
      <c r="H56" s="160" t="s">
        <v>38</v>
      </c>
      <c r="I56" s="24" t="s">
        <v>39</v>
      </c>
      <c r="J56" s="24" t="s">
        <v>40</v>
      </c>
      <c r="K56" s="25">
        <f t="shared" si="22"/>
        <v>8.8000000000000007</v>
      </c>
      <c r="L56" s="162">
        <f t="shared" si="23"/>
        <v>17</v>
      </c>
      <c r="M56" s="162" t="str">
        <f t="shared" si="24"/>
        <v>W20</v>
      </c>
      <c r="N56" s="162" t="str">
        <f t="shared" si="25"/>
        <v>W15</v>
      </c>
      <c r="O56" s="162">
        <f t="shared" si="26"/>
        <v>3</v>
      </c>
      <c r="P56" s="162">
        <f t="shared" si="27"/>
        <v>13</v>
      </c>
      <c r="Q56" s="162">
        <f t="shared" si="28"/>
        <v>21</v>
      </c>
      <c r="R56" s="162">
        <f t="shared" si="29"/>
        <v>-1</v>
      </c>
      <c r="S56" s="162">
        <f t="shared" si="30"/>
        <v>-5</v>
      </c>
      <c r="T56" s="162">
        <f t="shared" si="31"/>
        <v>-9</v>
      </c>
      <c r="U56" s="162">
        <f t="shared" si="32"/>
        <v>-16</v>
      </c>
      <c r="V56" s="162">
        <f t="shared" si="33"/>
        <v>-24</v>
      </c>
      <c r="W56" s="162">
        <f t="shared" si="34"/>
        <v>-33</v>
      </c>
      <c r="X56" s="162">
        <f t="shared" si="35"/>
        <v>50</v>
      </c>
      <c r="Y56" s="162">
        <f t="shared" si="36"/>
        <v>38</v>
      </c>
      <c r="Z56" s="162">
        <f t="shared" si="37"/>
        <v>3</v>
      </c>
      <c r="AA56" s="26">
        <f t="shared" si="38"/>
        <v>3</v>
      </c>
      <c r="AB56" s="27">
        <f t="shared" si="39"/>
        <v>95</v>
      </c>
      <c r="AC56" s="28">
        <f t="shared" si="40"/>
        <v>739.69999999999993</v>
      </c>
      <c r="AD56" s="29">
        <f t="shared" si="41"/>
        <v>7.1999999999999993</v>
      </c>
      <c r="AE56" s="162">
        <f t="shared" si="42"/>
        <v>710.9</v>
      </c>
      <c r="AF56">
        <f t="shared" si="43"/>
        <v>5</v>
      </c>
    </row>
    <row r="57" spans="1:32" x14ac:dyDescent="0.25">
      <c r="A57" s="39" t="s">
        <v>129</v>
      </c>
      <c r="B57" s="40" t="s">
        <v>128</v>
      </c>
      <c r="C57" s="30" t="s">
        <v>34</v>
      </c>
      <c r="D57" s="162" t="s">
        <v>90</v>
      </c>
      <c r="E57" s="162" t="s">
        <v>35</v>
      </c>
      <c r="F57" s="162" t="s">
        <v>50</v>
      </c>
      <c r="G57" s="162" t="s">
        <v>37</v>
      </c>
      <c r="H57" s="160" t="s">
        <v>38</v>
      </c>
      <c r="I57" s="24" t="s">
        <v>39</v>
      </c>
      <c r="J57" s="24" t="s">
        <v>40</v>
      </c>
      <c r="K57" s="25">
        <f t="shared" si="22"/>
        <v>6.8</v>
      </c>
      <c r="L57" s="162">
        <f t="shared" si="23"/>
        <v>15</v>
      </c>
      <c r="M57" s="162" t="str">
        <f t="shared" si="24"/>
        <v>W15</v>
      </c>
      <c r="N57" s="162" t="str">
        <f t="shared" si="25"/>
        <v>W15</v>
      </c>
      <c r="O57" s="162">
        <f t="shared" si="26"/>
        <v>5</v>
      </c>
      <c r="P57" s="162">
        <f t="shared" si="27"/>
        <v>7</v>
      </c>
      <c r="Q57" s="162">
        <f t="shared" si="28"/>
        <v>22</v>
      </c>
      <c r="R57" s="162">
        <f t="shared" si="29"/>
        <v>3</v>
      </c>
      <c r="S57" s="162">
        <f t="shared" si="30"/>
        <v>-8</v>
      </c>
      <c r="T57" s="162">
        <f t="shared" si="31"/>
        <v>-19</v>
      </c>
      <c r="U57" s="162">
        <f t="shared" si="32"/>
        <v>-31</v>
      </c>
      <c r="V57" s="162">
        <f t="shared" si="33"/>
        <v>-44</v>
      </c>
      <c r="W57" s="162">
        <f t="shared" si="34"/>
        <v>-58</v>
      </c>
      <c r="X57" s="162">
        <f t="shared" si="35"/>
        <v>10</v>
      </c>
      <c r="Y57" s="162">
        <f t="shared" si="36"/>
        <v>32</v>
      </c>
      <c r="Z57" s="162">
        <f t="shared" si="37"/>
        <v>3</v>
      </c>
      <c r="AA57" s="26">
        <f t="shared" si="38"/>
        <v>3</v>
      </c>
      <c r="AB57" s="27">
        <f t="shared" si="39"/>
        <v>105</v>
      </c>
      <c r="AC57" s="28">
        <f t="shared" si="40"/>
        <v>491.7</v>
      </c>
      <c r="AD57" s="29">
        <f t="shared" si="41"/>
        <v>5.1999999999999993</v>
      </c>
      <c r="AE57" s="162">
        <f t="shared" si="42"/>
        <v>470.9</v>
      </c>
      <c r="AF57">
        <f t="shared" si="43"/>
        <v>5</v>
      </c>
    </row>
    <row r="58" spans="1:32" x14ac:dyDescent="0.25">
      <c r="A58" s="39" t="s">
        <v>130</v>
      </c>
      <c r="B58" s="40" t="s">
        <v>128</v>
      </c>
      <c r="C58" s="30" t="s">
        <v>34</v>
      </c>
      <c r="D58" s="162" t="s">
        <v>44</v>
      </c>
      <c r="E58" s="162" t="s">
        <v>35</v>
      </c>
      <c r="F58" s="162" t="s">
        <v>50</v>
      </c>
      <c r="G58" s="162" t="s">
        <v>37</v>
      </c>
      <c r="H58" s="160" t="s">
        <v>38</v>
      </c>
      <c r="I58" s="24" t="s">
        <v>39</v>
      </c>
      <c r="J58" s="24" t="s">
        <v>40</v>
      </c>
      <c r="K58" s="25">
        <f t="shared" si="22"/>
        <v>6.8</v>
      </c>
      <c r="L58" s="162">
        <f t="shared" si="23"/>
        <v>15</v>
      </c>
      <c r="M58" s="162" t="str">
        <f t="shared" si="24"/>
        <v>W15</v>
      </c>
      <c r="N58" s="162" t="str">
        <f t="shared" si="25"/>
        <v>W15</v>
      </c>
      <c r="O58" s="162">
        <f t="shared" si="26"/>
        <v>3</v>
      </c>
      <c r="P58" s="162">
        <f t="shared" si="27"/>
        <v>11</v>
      </c>
      <c r="Q58" s="162">
        <f t="shared" si="28"/>
        <v>20</v>
      </c>
      <c r="R58" s="162">
        <f t="shared" si="29"/>
        <v>1</v>
      </c>
      <c r="S58" s="162">
        <f t="shared" si="30"/>
        <v>-4</v>
      </c>
      <c r="T58" s="162">
        <f t="shared" si="31"/>
        <v>-9</v>
      </c>
      <c r="U58" s="162">
        <f t="shared" si="32"/>
        <v>-16</v>
      </c>
      <c r="V58" s="162">
        <f t="shared" si="33"/>
        <v>-24</v>
      </c>
      <c r="W58" s="162">
        <f t="shared" si="34"/>
        <v>-33</v>
      </c>
      <c r="X58" s="162">
        <f t="shared" si="35"/>
        <v>50</v>
      </c>
      <c r="Y58" s="162">
        <f t="shared" si="36"/>
        <v>32</v>
      </c>
      <c r="Z58" s="162">
        <f t="shared" si="37"/>
        <v>3</v>
      </c>
      <c r="AA58" s="26">
        <f t="shared" si="38"/>
        <v>3</v>
      </c>
      <c r="AB58" s="27">
        <f t="shared" si="39"/>
        <v>110</v>
      </c>
      <c r="AC58" s="28">
        <f t="shared" si="40"/>
        <v>491.7</v>
      </c>
      <c r="AD58" s="29">
        <f t="shared" si="41"/>
        <v>5.1999999999999993</v>
      </c>
      <c r="AE58" s="162">
        <f t="shared" si="42"/>
        <v>470.9</v>
      </c>
      <c r="AF58">
        <f t="shared" si="43"/>
        <v>4</v>
      </c>
    </row>
    <row r="59" spans="1:32" x14ac:dyDescent="0.25">
      <c r="A59" s="39" t="s">
        <v>131</v>
      </c>
      <c r="B59" s="40" t="s">
        <v>128</v>
      </c>
      <c r="C59" s="30" t="s">
        <v>34</v>
      </c>
      <c r="D59" s="162" t="s">
        <v>42</v>
      </c>
      <c r="E59" s="162" t="s">
        <v>35</v>
      </c>
      <c r="F59" s="162" t="s">
        <v>50</v>
      </c>
      <c r="G59" s="162" t="s">
        <v>37</v>
      </c>
      <c r="H59" s="160" t="s">
        <v>38</v>
      </c>
      <c r="I59" s="24" t="s">
        <v>39</v>
      </c>
      <c r="J59" s="24" t="s">
        <v>40</v>
      </c>
      <c r="K59" s="25">
        <f t="shared" si="22"/>
        <v>5.8</v>
      </c>
      <c r="L59" s="162">
        <f t="shared" si="23"/>
        <v>13</v>
      </c>
      <c r="M59" s="162" t="str">
        <f t="shared" si="24"/>
        <v>W12</v>
      </c>
      <c r="N59" s="162" t="str">
        <f t="shared" si="25"/>
        <v>W12</v>
      </c>
      <c r="O59" s="162">
        <f t="shared" si="26"/>
        <v>2</v>
      </c>
      <c r="P59" s="162">
        <f t="shared" si="27"/>
        <v>10</v>
      </c>
      <c r="Q59" s="162">
        <f t="shared" si="28"/>
        <v>19</v>
      </c>
      <c r="R59" s="162">
        <f t="shared" si="29"/>
        <v>3</v>
      </c>
      <c r="S59" s="162">
        <f t="shared" si="30"/>
        <v>-3</v>
      </c>
      <c r="T59" s="162">
        <f t="shared" si="31"/>
        <v>-9</v>
      </c>
      <c r="U59" s="162">
        <f t="shared" si="32"/>
        <v>-16</v>
      </c>
      <c r="V59" s="162">
        <f t="shared" si="33"/>
        <v>-24</v>
      </c>
      <c r="W59" s="162">
        <f t="shared" si="34"/>
        <v>-33</v>
      </c>
      <c r="X59" s="162">
        <f t="shared" si="35"/>
        <v>30</v>
      </c>
      <c r="Y59" s="162">
        <f t="shared" si="36"/>
        <v>30</v>
      </c>
      <c r="Z59" s="162">
        <f t="shared" si="37"/>
        <v>3</v>
      </c>
      <c r="AA59" s="26">
        <f t="shared" si="38"/>
        <v>3</v>
      </c>
      <c r="AB59" s="27">
        <f t="shared" si="39"/>
        <v>120</v>
      </c>
      <c r="AC59" s="28">
        <f t="shared" si="40"/>
        <v>367.7</v>
      </c>
      <c r="AD59" s="29">
        <f t="shared" si="41"/>
        <v>4.2</v>
      </c>
      <c r="AE59" s="162">
        <f t="shared" si="42"/>
        <v>350.9</v>
      </c>
      <c r="AF59">
        <f t="shared" si="43"/>
        <v>4</v>
      </c>
    </row>
    <row r="60" spans="1:32" x14ac:dyDescent="0.25">
      <c r="A60" s="39" t="s">
        <v>132</v>
      </c>
      <c r="B60" s="40" t="s">
        <v>128</v>
      </c>
      <c r="C60" s="30" t="s">
        <v>34</v>
      </c>
      <c r="D60" s="162" t="s">
        <v>80</v>
      </c>
      <c r="E60" s="162" t="s">
        <v>35</v>
      </c>
      <c r="F60" s="162" t="s">
        <v>75</v>
      </c>
      <c r="G60" s="162" t="s">
        <v>37</v>
      </c>
      <c r="H60" s="160" t="s">
        <v>38</v>
      </c>
      <c r="I60" s="24" t="s">
        <v>39</v>
      </c>
      <c r="J60" s="24" t="s">
        <v>40</v>
      </c>
      <c r="K60" s="25">
        <f t="shared" si="22"/>
        <v>4.8999999999999995</v>
      </c>
      <c r="L60" s="162">
        <f t="shared" si="23"/>
        <v>12</v>
      </c>
      <c r="M60" s="162" t="str">
        <f t="shared" si="24"/>
        <v>W12</v>
      </c>
      <c r="N60" s="162" t="str">
        <f t="shared" si="25"/>
        <v>W12</v>
      </c>
      <c r="O60" s="162">
        <f t="shared" si="26"/>
        <v>2</v>
      </c>
      <c r="P60" s="162">
        <f t="shared" si="27"/>
        <v>10</v>
      </c>
      <c r="Q60" s="162">
        <f t="shared" si="28"/>
        <v>19</v>
      </c>
      <c r="R60" s="162">
        <f t="shared" si="29"/>
        <v>6</v>
      </c>
      <c r="S60" s="162">
        <f t="shared" si="30"/>
        <v>-2</v>
      </c>
      <c r="T60" s="162">
        <f t="shared" si="31"/>
        <v>-10</v>
      </c>
      <c r="U60" s="162">
        <f t="shared" si="32"/>
        <v>-19</v>
      </c>
      <c r="V60" s="162">
        <f t="shared" si="33"/>
        <v>-29</v>
      </c>
      <c r="W60" s="162">
        <f t="shared" si="34"/>
        <v>-40</v>
      </c>
      <c r="X60" s="162">
        <f t="shared" si="35"/>
        <v>20</v>
      </c>
      <c r="Y60" s="162">
        <f t="shared" si="36"/>
        <v>28</v>
      </c>
      <c r="Z60" s="162">
        <f t="shared" si="37"/>
        <v>3</v>
      </c>
      <c r="AA60" s="26">
        <f t="shared" si="38"/>
        <v>2</v>
      </c>
      <c r="AB60" s="27">
        <f t="shared" si="39"/>
        <v>100</v>
      </c>
      <c r="AC60" s="28">
        <f t="shared" si="40"/>
        <v>275.59999999999997</v>
      </c>
      <c r="AD60" s="29">
        <f t="shared" si="41"/>
        <v>5.1999999999999993</v>
      </c>
      <c r="AE60" s="162">
        <f t="shared" si="42"/>
        <v>254.79999999999995</v>
      </c>
      <c r="AF60">
        <f t="shared" si="43"/>
        <v>5</v>
      </c>
    </row>
    <row r="61" spans="1:32" x14ac:dyDescent="0.25">
      <c r="A61" s="39" t="s">
        <v>133</v>
      </c>
      <c r="B61" s="40" t="s">
        <v>128</v>
      </c>
      <c r="C61" s="30" t="s">
        <v>34</v>
      </c>
      <c r="D61" s="161" t="s">
        <v>104</v>
      </c>
      <c r="E61" s="162" t="s">
        <v>35</v>
      </c>
      <c r="F61" s="162" t="s">
        <v>50</v>
      </c>
      <c r="G61" s="162" t="s">
        <v>37</v>
      </c>
      <c r="H61" s="160" t="s">
        <v>38</v>
      </c>
      <c r="I61" s="24" t="s">
        <v>39</v>
      </c>
      <c r="J61" s="24" t="s">
        <v>40</v>
      </c>
      <c r="K61" s="25">
        <f t="shared" si="22"/>
        <v>13.8</v>
      </c>
      <c r="L61" s="162">
        <f t="shared" si="23"/>
        <v>21</v>
      </c>
      <c r="M61" s="162" t="str">
        <f t="shared" si="24"/>
        <v>W20</v>
      </c>
      <c r="N61" s="162" t="str">
        <f t="shared" si="25"/>
        <v>W20</v>
      </c>
      <c r="O61" s="162">
        <f t="shared" si="26"/>
        <v>4</v>
      </c>
      <c r="P61" s="162">
        <f t="shared" si="27"/>
        <v>14</v>
      </c>
      <c r="Q61" s="162">
        <f t="shared" si="28"/>
        <v>23</v>
      </c>
      <c r="R61" s="162">
        <f t="shared" si="29"/>
        <v>-3</v>
      </c>
      <c r="S61" s="162">
        <f t="shared" si="30"/>
        <v>-6</v>
      </c>
      <c r="T61" s="162">
        <f t="shared" si="31"/>
        <v>-10</v>
      </c>
      <c r="U61" s="162">
        <f t="shared" si="32"/>
        <v>-16</v>
      </c>
      <c r="V61" s="162">
        <f t="shared" si="33"/>
        <v>-24</v>
      </c>
      <c r="W61" s="162">
        <f t="shared" si="34"/>
        <v>-33</v>
      </c>
      <c r="X61" s="162">
        <f t="shared" si="35"/>
        <v>80</v>
      </c>
      <c r="Y61" s="162">
        <f t="shared" si="36"/>
        <v>42</v>
      </c>
      <c r="Z61" s="162">
        <f t="shared" si="37"/>
        <v>3</v>
      </c>
      <c r="AA61" s="26">
        <f t="shared" si="38"/>
        <v>3</v>
      </c>
      <c r="AB61" s="27">
        <f t="shared" si="39"/>
        <v>95</v>
      </c>
      <c r="AC61" s="28">
        <f t="shared" si="40"/>
        <v>1351.7</v>
      </c>
      <c r="AD61" s="29">
        <f t="shared" si="41"/>
        <v>10.199999999999999</v>
      </c>
      <c r="AE61" s="162">
        <f t="shared" si="42"/>
        <v>1310.9</v>
      </c>
      <c r="AF61">
        <f t="shared" si="43"/>
        <v>5</v>
      </c>
    </row>
    <row r="62" spans="1:32" x14ac:dyDescent="0.25">
      <c r="A62" s="39" t="s">
        <v>134</v>
      </c>
      <c r="B62" s="40" t="s">
        <v>128</v>
      </c>
      <c r="C62" s="30" t="s">
        <v>34</v>
      </c>
      <c r="D62" s="162" t="s">
        <v>42</v>
      </c>
      <c r="E62" s="162" t="s">
        <v>54</v>
      </c>
      <c r="F62" s="162" t="s">
        <v>55</v>
      </c>
      <c r="G62" s="162" t="s">
        <v>37</v>
      </c>
      <c r="H62" s="33" t="s">
        <v>56</v>
      </c>
      <c r="I62" s="24" t="s">
        <v>39</v>
      </c>
      <c r="J62" s="24" t="s">
        <v>40</v>
      </c>
      <c r="K62" s="25">
        <f t="shared" si="22"/>
        <v>5.8999999999999995</v>
      </c>
      <c r="L62" s="162">
        <f t="shared" si="23"/>
        <v>13</v>
      </c>
      <c r="M62" s="162" t="str">
        <f t="shared" si="24"/>
        <v>W12</v>
      </c>
      <c r="N62" s="162" t="str">
        <f t="shared" si="25"/>
        <v>W12</v>
      </c>
      <c r="O62" s="162">
        <f t="shared" si="26"/>
        <v>2</v>
      </c>
      <c r="P62" s="162">
        <f t="shared" si="27"/>
        <v>10</v>
      </c>
      <c r="Q62" s="162">
        <f t="shared" si="28"/>
        <v>19</v>
      </c>
      <c r="R62" s="162">
        <f t="shared" si="29"/>
        <v>5</v>
      </c>
      <c r="S62" s="162">
        <f t="shared" si="30"/>
        <v>-1</v>
      </c>
      <c r="T62" s="162">
        <f t="shared" si="31"/>
        <v>-7</v>
      </c>
      <c r="U62" s="162">
        <f t="shared" si="32"/>
        <v>-14</v>
      </c>
      <c r="V62" s="162">
        <f t="shared" si="33"/>
        <v>-22</v>
      </c>
      <c r="W62" s="162">
        <f t="shared" si="34"/>
        <v>-31</v>
      </c>
      <c r="X62" s="162">
        <f t="shared" si="35"/>
        <v>30</v>
      </c>
      <c r="Y62" s="162">
        <f t="shared" si="36"/>
        <v>11</v>
      </c>
      <c r="Z62" s="162">
        <f t="shared" si="37"/>
        <v>6</v>
      </c>
      <c r="AA62" s="26">
        <f t="shared" si="38"/>
        <v>1</v>
      </c>
      <c r="AB62" s="27">
        <f t="shared" si="39"/>
        <v>100</v>
      </c>
      <c r="AC62" s="28">
        <f t="shared" si="40"/>
        <v>387.7</v>
      </c>
      <c r="AD62" s="29">
        <f t="shared" si="41"/>
        <v>6.1999999999999993</v>
      </c>
      <c r="AE62" s="162">
        <f t="shared" si="42"/>
        <v>362.9</v>
      </c>
      <c r="AF62">
        <f t="shared" si="43"/>
        <v>5</v>
      </c>
    </row>
    <row r="63" spans="1:32" x14ac:dyDescent="0.25">
      <c r="A63" s="39" t="s">
        <v>135</v>
      </c>
      <c r="B63" s="40" t="s">
        <v>128</v>
      </c>
      <c r="C63" s="30" t="s">
        <v>34</v>
      </c>
      <c r="D63" s="162" t="s">
        <v>80</v>
      </c>
      <c r="E63" s="162" t="s">
        <v>35</v>
      </c>
      <c r="F63" s="162" t="s">
        <v>50</v>
      </c>
      <c r="G63" s="162" t="s">
        <v>37</v>
      </c>
      <c r="H63" s="160" t="s">
        <v>38</v>
      </c>
      <c r="I63" s="24" t="s">
        <v>39</v>
      </c>
      <c r="J63" s="24" t="s">
        <v>40</v>
      </c>
      <c r="K63" s="25">
        <f t="shared" si="22"/>
        <v>4.8999999999999995</v>
      </c>
      <c r="L63" s="162">
        <f t="shared" si="23"/>
        <v>12</v>
      </c>
      <c r="M63" s="162" t="str">
        <f t="shared" si="24"/>
        <v>W12</v>
      </c>
      <c r="N63" s="162" t="str">
        <f t="shared" si="25"/>
        <v>W12</v>
      </c>
      <c r="O63" s="162">
        <f t="shared" si="26"/>
        <v>2</v>
      </c>
      <c r="P63" s="162">
        <f t="shared" si="27"/>
        <v>10</v>
      </c>
      <c r="Q63" s="162">
        <f t="shared" si="28"/>
        <v>19</v>
      </c>
      <c r="R63" s="162">
        <f t="shared" si="29"/>
        <v>5</v>
      </c>
      <c r="S63" s="162">
        <f t="shared" si="30"/>
        <v>-3</v>
      </c>
      <c r="T63" s="162">
        <f t="shared" si="31"/>
        <v>-11</v>
      </c>
      <c r="U63" s="162">
        <f t="shared" si="32"/>
        <v>-20</v>
      </c>
      <c r="V63" s="162">
        <f t="shared" si="33"/>
        <v>-30</v>
      </c>
      <c r="W63" s="162">
        <f t="shared" si="34"/>
        <v>-41</v>
      </c>
      <c r="X63" s="162">
        <f t="shared" si="35"/>
        <v>20</v>
      </c>
      <c r="Y63" s="162">
        <f t="shared" si="36"/>
        <v>29</v>
      </c>
      <c r="Z63" s="162">
        <f t="shared" si="37"/>
        <v>3</v>
      </c>
      <c r="AA63" s="26">
        <f t="shared" si="38"/>
        <v>3</v>
      </c>
      <c r="AB63" s="27">
        <f t="shared" si="39"/>
        <v>110</v>
      </c>
      <c r="AC63" s="28">
        <f t="shared" si="40"/>
        <v>271.59999999999997</v>
      </c>
      <c r="AD63" s="29">
        <f t="shared" si="41"/>
        <v>4.2</v>
      </c>
      <c r="AE63" s="162">
        <f t="shared" si="42"/>
        <v>254.79999999999995</v>
      </c>
      <c r="AF63">
        <f t="shared" si="43"/>
        <v>4</v>
      </c>
    </row>
    <row r="64" spans="1:32" x14ac:dyDescent="0.25">
      <c r="A64" s="39" t="s">
        <v>136</v>
      </c>
      <c r="B64" s="40" t="s">
        <v>128</v>
      </c>
      <c r="C64" s="23" t="s">
        <v>46</v>
      </c>
      <c r="D64" s="162" t="s">
        <v>48</v>
      </c>
      <c r="E64" s="162" t="s">
        <v>35</v>
      </c>
      <c r="F64" s="162" t="s">
        <v>75</v>
      </c>
      <c r="G64" s="162" t="s">
        <v>37</v>
      </c>
      <c r="H64" s="160" t="s">
        <v>38</v>
      </c>
      <c r="I64" s="24" t="s">
        <v>39</v>
      </c>
      <c r="J64" s="24" t="s">
        <v>40</v>
      </c>
      <c r="K64" s="25">
        <f t="shared" si="22"/>
        <v>3.55</v>
      </c>
      <c r="L64" s="162">
        <f t="shared" si="23"/>
        <v>10</v>
      </c>
      <c r="M64" s="162" t="str">
        <f t="shared" si="24"/>
        <v>W12</v>
      </c>
      <c r="N64" s="162" t="str">
        <f t="shared" si="25"/>
        <v>W12</v>
      </c>
      <c r="O64" s="162">
        <f t="shared" si="26"/>
        <v>1</v>
      </c>
      <c r="P64" s="162">
        <f t="shared" si="27"/>
        <v>5</v>
      </c>
      <c r="Q64" s="162">
        <f t="shared" si="28"/>
        <v>16</v>
      </c>
      <c r="R64" s="162">
        <f t="shared" si="29"/>
        <v>7</v>
      </c>
      <c r="S64" s="162">
        <f t="shared" si="30"/>
        <v>-2</v>
      </c>
      <c r="T64" s="162">
        <f t="shared" si="31"/>
        <v>-13</v>
      </c>
      <c r="U64" s="162">
        <f t="shared" si="32"/>
        <v>-26</v>
      </c>
      <c r="V64" s="162">
        <f t="shared" si="33"/>
        <v>-41</v>
      </c>
      <c r="W64" s="162">
        <f t="shared" si="34"/>
        <v>-58</v>
      </c>
      <c r="X64" s="162">
        <f t="shared" si="35"/>
        <v>20</v>
      </c>
      <c r="Y64" s="162">
        <f t="shared" si="36"/>
        <v>29</v>
      </c>
      <c r="Z64" s="162">
        <f t="shared" si="37"/>
        <v>3</v>
      </c>
      <c r="AA64" s="26">
        <f t="shared" si="38"/>
        <v>2</v>
      </c>
      <c r="AB64" s="27">
        <f t="shared" si="39"/>
        <v>110</v>
      </c>
      <c r="AC64" s="28">
        <f t="shared" si="40"/>
        <v>261.55</v>
      </c>
      <c r="AD64" s="29">
        <f t="shared" si="41"/>
        <v>5</v>
      </c>
      <c r="AE64" s="162">
        <f t="shared" si="42"/>
        <v>241.55</v>
      </c>
      <c r="AF64">
        <f t="shared" si="43"/>
        <v>4</v>
      </c>
    </row>
    <row r="65" spans="1:32" x14ac:dyDescent="0.25">
      <c r="A65" s="39" t="s">
        <v>137</v>
      </c>
      <c r="B65" s="40" t="s">
        <v>128</v>
      </c>
      <c r="C65" s="23" t="s">
        <v>46</v>
      </c>
      <c r="D65" s="162" t="s">
        <v>48</v>
      </c>
      <c r="E65" s="162" t="s">
        <v>35</v>
      </c>
      <c r="F65" s="162" t="s">
        <v>50</v>
      </c>
      <c r="G65" s="162" t="s">
        <v>37</v>
      </c>
      <c r="H65" s="160" t="s">
        <v>38</v>
      </c>
      <c r="I65" s="24" t="s">
        <v>39</v>
      </c>
      <c r="J65" s="24" t="s">
        <v>40</v>
      </c>
      <c r="K65" s="25">
        <f t="shared" si="22"/>
        <v>3.55</v>
      </c>
      <c r="L65" s="162">
        <f t="shared" si="23"/>
        <v>10</v>
      </c>
      <c r="M65" s="162" t="str">
        <f t="shared" si="24"/>
        <v>W12</v>
      </c>
      <c r="N65" s="162" t="str">
        <f t="shared" si="25"/>
        <v>W12</v>
      </c>
      <c r="O65" s="162">
        <f t="shared" si="26"/>
        <v>1</v>
      </c>
      <c r="P65" s="162">
        <f t="shared" si="27"/>
        <v>5</v>
      </c>
      <c r="Q65" s="162">
        <f t="shared" si="28"/>
        <v>16</v>
      </c>
      <c r="R65" s="162">
        <f t="shared" si="29"/>
        <v>6</v>
      </c>
      <c r="S65" s="162">
        <f t="shared" si="30"/>
        <v>-3</v>
      </c>
      <c r="T65" s="162">
        <f t="shared" si="31"/>
        <v>-14</v>
      </c>
      <c r="U65" s="162">
        <f t="shared" si="32"/>
        <v>-27</v>
      </c>
      <c r="V65" s="162">
        <f t="shared" si="33"/>
        <v>-42</v>
      </c>
      <c r="W65" s="162">
        <f t="shared" si="34"/>
        <v>-59</v>
      </c>
      <c r="X65" s="162">
        <f t="shared" si="35"/>
        <v>20</v>
      </c>
      <c r="Y65" s="162">
        <f t="shared" si="36"/>
        <v>30</v>
      </c>
      <c r="Z65" s="162">
        <f t="shared" si="37"/>
        <v>3</v>
      </c>
      <c r="AA65" s="26">
        <f t="shared" si="38"/>
        <v>3</v>
      </c>
      <c r="AB65" s="27">
        <f t="shared" si="39"/>
        <v>120</v>
      </c>
      <c r="AC65" s="28">
        <f t="shared" si="40"/>
        <v>257.55</v>
      </c>
      <c r="AD65" s="29">
        <f t="shared" si="41"/>
        <v>4</v>
      </c>
      <c r="AE65" s="162">
        <f t="shared" si="42"/>
        <v>241.55</v>
      </c>
      <c r="AF65">
        <f t="shared" si="43"/>
        <v>4</v>
      </c>
    </row>
    <row r="66" spans="1:32" x14ac:dyDescent="0.25">
      <c r="A66" s="39" t="s">
        <v>138</v>
      </c>
      <c r="B66" s="40" t="s">
        <v>128</v>
      </c>
      <c r="C66" s="23" t="s">
        <v>46</v>
      </c>
      <c r="D66" s="162" t="s">
        <v>48</v>
      </c>
      <c r="E66" s="162" t="s">
        <v>58</v>
      </c>
      <c r="F66" s="162" t="s">
        <v>59</v>
      </c>
      <c r="G66" s="162" t="s">
        <v>60</v>
      </c>
      <c r="H66" s="34" t="s">
        <v>61</v>
      </c>
      <c r="I66" s="24" t="s">
        <v>39</v>
      </c>
      <c r="J66" s="24" t="s">
        <v>40</v>
      </c>
      <c r="K66" s="25">
        <f t="shared" ref="K66:K87" si="44">VLOOKUP(B66,Res,11,0)+VLOOKUP(C66,Res,11,0)+VLOOKUP(D66,Res,11,0)+VLOOKUP(E66,Res,11,0)+VLOOKUP(G66,Res,11,0)</f>
        <v>3.8</v>
      </c>
      <c r="L66" s="162">
        <f t="shared" ref="L66:L87" si="45">VLOOKUP(B66,Res,12,0)+VLOOKUP(C66,Res,12,0)+VLOOKUP(D66,Res,12,0)+VLOOKUP(J66,Res,12,0)</f>
        <v>10</v>
      </c>
      <c r="M66" s="162" t="str">
        <f t="shared" ref="M66:M87" si="46">VLOOKUP(VLOOKUP(B66,Res,13,0)+VLOOKUP(C66,Res,13,0)+VLOOKUP(D66,Res,13,0),wtab,2,0)</f>
        <v>W12</v>
      </c>
      <c r="N66" s="162" t="str">
        <f t="shared" ref="N66:N87" si="47">VLOOKUP(VLOOKUP(B66,Res,14,0)+VLOOKUP(C66,Res,14,0)+VLOOKUP(D66,Res,14,0),wtab,2,0)</f>
        <v>W12</v>
      </c>
      <c r="O66" s="162">
        <f t="shared" ref="O66:O87" si="48">VLOOKUP(B66,Res,15,0)+VLOOKUP(C66,Res,15,0)+VLOOKUP(D66,Res,15,0)</f>
        <v>1</v>
      </c>
      <c r="P66" s="162">
        <f t="shared" ref="P66:P87" si="49">VLOOKUP(B66,Res,16,0)+VLOOKUP(C66,Res,16,0)+VLOOKUP(D66,Res,16,0)+VLOOKUP(E66,Res,16,0)</f>
        <v>11</v>
      </c>
      <c r="Q66" s="162">
        <f t="shared" ref="Q66:Q87" si="50">VLOOKUP(B66,Res,17,0)+VLOOKUP(C66,Res,17,0)+VLOOKUP(D66,Res,17,0)+VLOOKUP(E66,Res,17,0)</f>
        <v>10</v>
      </c>
      <c r="R66" s="162">
        <f t="shared" ref="R66:R87" si="51">VLOOKUP(B66,Res,18,0)+VLOOKUP(C66,Res,18,0)+VLOOKUP(D66,Res,18,0)+VLOOKUP(F66,Res,18,0)+VLOOKUP(G66,Res,18,0)+VLOOKUP(I66,Res,18,0)+VLOOKUP(J66,Res,18,0)</f>
        <v>10</v>
      </c>
      <c r="S66" s="162">
        <f t="shared" ref="S66:S87" si="52">VLOOKUP(B66,Res,19,0)+VLOOKUP(C66,Res,19,0)+VLOOKUP(D66,Res,19,0)+VLOOKUP(F66,Res,19,0)+VLOOKUP(G66,Res,19,0)+VLOOKUP(I66,Res,19,0)+VLOOKUP(J66,Res,19,0)</f>
        <v>2</v>
      </c>
      <c r="T66" s="162">
        <f t="shared" ref="T66:T87" si="53">VLOOKUP(B66,Res,20,0)+VLOOKUP(C66,Res,20,0)+VLOOKUP(D66,Res,20,0)+VLOOKUP(F66,Res,20,0)+VLOOKUP(G66,Res,20,0)+VLOOKUP(I66,Res,20,0)+VLOOKUP(J66,Res,20,0)</f>
        <v>-9</v>
      </c>
      <c r="U66" s="162">
        <f t="shared" ref="U66:U87" si="54">VLOOKUP(B66,Res,21,0)+VLOOKUP(C66,Res,21,0)+VLOOKUP(D66,Res,21,0)+VLOOKUP(F66,Res,21,0)+VLOOKUP(G66,Res,21,0)+VLOOKUP(I66,Res,21,0)+VLOOKUP(J66,Res,21,0)</f>
        <v>-23</v>
      </c>
      <c r="V66" s="162">
        <f t="shared" ref="V66:V87" si="55">VLOOKUP(B66,Res,22,0)+VLOOKUP(C66,Res,22,0)+VLOOKUP(D66,Res,22,0)+VLOOKUP(F66,Res,22,0)+VLOOKUP(G66,Res,22,0)+VLOOKUP(I66,Res,22,0)+VLOOKUP(J66,Res,22,0)</f>
        <v>-39</v>
      </c>
      <c r="W66" s="162">
        <f t="shared" ref="W66:W87" si="56">VLOOKUP(B66,Res,23,0)+VLOOKUP(C66,Res,23,0)+VLOOKUP(D66,Res,23,0)+VLOOKUP(F66,Res,23,0)+VLOOKUP(G66,Res,23,0)+VLOOKUP(I66,Res,23,0)+VLOOKUP(J66,Res,23,0)</f>
        <v>-56</v>
      </c>
      <c r="X66" s="162">
        <f t="shared" ref="X66:X87" si="57">VLOOKUP(B66,Res,24,0)+VLOOKUP(C66,Res,24,0)+VLOOKUP(D66,Res,24,0)+VLOOKUP(G66,Res,24,0)</f>
        <v>50</v>
      </c>
      <c r="Y66" s="162">
        <f t="shared" ref="Y66:Y87" si="58">VLOOKUP(D66,Res,25,0)+VLOOKUP(E66,Res,25,0)+VLOOKUP(F66,Res,25,0)</f>
        <v>9</v>
      </c>
      <c r="Z66" s="162">
        <f t="shared" ref="Z66:Z87" si="59">VLOOKUP(E66,Res,26,0)</f>
        <v>6</v>
      </c>
      <c r="AA66" s="26">
        <f t="shared" ref="AA66:AA87" si="60">VLOOKUP(B66,Res,27,0)+VLOOKUP(D66,Res,27,0)+VLOOKUP(F66,Res,27,0)+VLOOKUP(I66,Res,27,0)</f>
        <v>0</v>
      </c>
      <c r="AB66" s="27">
        <f t="shared" ref="AB66:AB87" si="61">VLOOKUP(B66,Res,28,0)+VLOOKUP(C66,Res,28,0)+VLOOKUP(D66,Res,28,0)+VLOOKUP(E66,Res,28,0)+VLOOKUP(F66,Res,28,0)+VLOOKUP(G66,Res,28,0)+VLOOKUP(I66,Res,28,0)+VLOOKUP(J66,Res,28,0)</f>
        <v>70</v>
      </c>
      <c r="AC66" s="28">
        <f t="shared" ref="AC66:AC97" si="62">VLOOKUP(I66,Res,31,0)*AD66+AE66</f>
        <v>305.55</v>
      </c>
      <c r="AD66" s="29">
        <f t="shared" ref="AD66:AD87" si="63">VLOOKUP(B66,Res,30,0)+VLOOKUP(C66,Res,30,0)+VLOOKUP(D66,Res,30,0)+VLOOKUP(F66,Res,30,0)+VLOOKUP(G66,Res,30,0)+VLOOKUP(I66,Res,30,0)+VLOOKUP(J66,Res,30,0)</f>
        <v>8.5</v>
      </c>
      <c r="AE66" s="162">
        <f t="shared" ref="AE66:AE87" si="64">(VLOOKUP(C66,Res,32,0)+VLOOKUP(I66,Res,32,0))*(VLOOKUP(B66,Res,34,0)+VLOOKUP(C66,Res,34,0)+VLOOKUP(D66,Res,34,0)+VLOOKUP(E66,Res,34,0)+VLOOKUP(G66,Res,34,0))+VLOOKUP(B66,Res,35,0)+VLOOKUP(C66,Res,35,0)+VLOOKUP(D66,Res,35,0)</f>
        <v>271.55</v>
      </c>
      <c r="AF66">
        <f t="shared" ref="AF66:AF87" si="65">VLOOKUP(AB66,verftab,2,1)</f>
        <v>6</v>
      </c>
    </row>
    <row r="67" spans="1:32" x14ac:dyDescent="0.25">
      <c r="A67" s="39" t="s">
        <v>139</v>
      </c>
      <c r="B67" s="40" t="s">
        <v>128</v>
      </c>
      <c r="C67" s="23" t="s">
        <v>46</v>
      </c>
      <c r="D67" s="162" t="s">
        <v>66</v>
      </c>
      <c r="E67" s="162" t="s">
        <v>35</v>
      </c>
      <c r="F67" s="162" t="s">
        <v>75</v>
      </c>
      <c r="G67" s="162" t="s">
        <v>37</v>
      </c>
      <c r="H67" s="160" t="s">
        <v>38</v>
      </c>
      <c r="I67" s="24" t="s">
        <v>39</v>
      </c>
      <c r="J67" s="24" t="s">
        <v>40</v>
      </c>
      <c r="K67" s="25">
        <f t="shared" si="44"/>
        <v>4.05</v>
      </c>
      <c r="L67" s="162">
        <f t="shared" si="45"/>
        <v>12</v>
      </c>
      <c r="M67" s="162" t="str">
        <f t="shared" si="46"/>
        <v>W15</v>
      </c>
      <c r="N67" s="162" t="str">
        <f t="shared" si="47"/>
        <v>W15</v>
      </c>
      <c r="O67" s="162">
        <f t="shared" si="48"/>
        <v>2</v>
      </c>
      <c r="P67" s="162">
        <f t="shared" si="49"/>
        <v>6</v>
      </c>
      <c r="Q67" s="162">
        <f t="shared" si="50"/>
        <v>17</v>
      </c>
      <c r="R67" s="162">
        <f t="shared" si="51"/>
        <v>5</v>
      </c>
      <c r="S67" s="162">
        <f t="shared" si="52"/>
        <v>-3</v>
      </c>
      <c r="T67" s="162">
        <f t="shared" si="53"/>
        <v>-13</v>
      </c>
      <c r="U67" s="162">
        <f t="shared" si="54"/>
        <v>-26</v>
      </c>
      <c r="V67" s="162">
        <f t="shared" si="55"/>
        <v>-41</v>
      </c>
      <c r="W67" s="162">
        <f t="shared" si="56"/>
        <v>-58</v>
      </c>
      <c r="X67" s="162">
        <f t="shared" si="57"/>
        <v>40</v>
      </c>
      <c r="Y67" s="162">
        <f t="shared" si="58"/>
        <v>31</v>
      </c>
      <c r="Z67" s="162">
        <f t="shared" si="59"/>
        <v>3</v>
      </c>
      <c r="AA67" s="26">
        <f t="shared" si="60"/>
        <v>2</v>
      </c>
      <c r="AB67" s="27">
        <f t="shared" si="61"/>
        <v>100</v>
      </c>
      <c r="AC67" s="28">
        <f t="shared" si="62"/>
        <v>323.55</v>
      </c>
      <c r="AD67" s="29">
        <f t="shared" si="63"/>
        <v>5.5</v>
      </c>
      <c r="AE67" s="162">
        <f t="shared" si="64"/>
        <v>301.55</v>
      </c>
      <c r="AF67">
        <f t="shared" si="65"/>
        <v>5</v>
      </c>
    </row>
    <row r="68" spans="1:32" x14ac:dyDescent="0.25">
      <c r="A68" s="39" t="s">
        <v>140</v>
      </c>
      <c r="B68" s="40" t="s">
        <v>128</v>
      </c>
      <c r="C68" s="23" t="s">
        <v>46</v>
      </c>
      <c r="D68" s="162" t="s">
        <v>66</v>
      </c>
      <c r="E68" s="162" t="s">
        <v>35</v>
      </c>
      <c r="F68" s="162" t="s">
        <v>50</v>
      </c>
      <c r="G68" s="162" t="s">
        <v>37</v>
      </c>
      <c r="H68" s="160" t="s">
        <v>38</v>
      </c>
      <c r="I68" s="24" t="s">
        <v>39</v>
      </c>
      <c r="J68" s="24" t="s">
        <v>40</v>
      </c>
      <c r="K68" s="25">
        <f t="shared" si="44"/>
        <v>4.05</v>
      </c>
      <c r="L68" s="162">
        <f t="shared" si="45"/>
        <v>12</v>
      </c>
      <c r="M68" s="162" t="str">
        <f t="shared" si="46"/>
        <v>W15</v>
      </c>
      <c r="N68" s="162" t="str">
        <f t="shared" si="47"/>
        <v>W15</v>
      </c>
      <c r="O68" s="162">
        <f t="shared" si="48"/>
        <v>2</v>
      </c>
      <c r="P68" s="162">
        <f t="shared" si="49"/>
        <v>6</v>
      </c>
      <c r="Q68" s="162">
        <f t="shared" si="50"/>
        <v>17</v>
      </c>
      <c r="R68" s="162">
        <f t="shared" si="51"/>
        <v>4</v>
      </c>
      <c r="S68" s="162">
        <f t="shared" si="52"/>
        <v>-4</v>
      </c>
      <c r="T68" s="162">
        <f t="shared" si="53"/>
        <v>-14</v>
      </c>
      <c r="U68" s="162">
        <f t="shared" si="54"/>
        <v>-27</v>
      </c>
      <c r="V68" s="162">
        <f t="shared" si="55"/>
        <v>-42</v>
      </c>
      <c r="W68" s="162">
        <f t="shared" si="56"/>
        <v>-59</v>
      </c>
      <c r="X68" s="162">
        <f t="shared" si="57"/>
        <v>40</v>
      </c>
      <c r="Y68" s="162">
        <f t="shared" si="58"/>
        <v>32</v>
      </c>
      <c r="Z68" s="162">
        <f t="shared" si="59"/>
        <v>3</v>
      </c>
      <c r="AA68" s="26">
        <f t="shared" si="60"/>
        <v>3</v>
      </c>
      <c r="AB68" s="27">
        <f t="shared" si="61"/>
        <v>110</v>
      </c>
      <c r="AC68" s="28">
        <f t="shared" si="62"/>
        <v>319.55</v>
      </c>
      <c r="AD68" s="29">
        <f t="shared" si="63"/>
        <v>4.5</v>
      </c>
      <c r="AE68" s="162">
        <f t="shared" si="64"/>
        <v>301.55</v>
      </c>
      <c r="AF68">
        <f t="shared" si="65"/>
        <v>4</v>
      </c>
    </row>
    <row r="69" spans="1:32" x14ac:dyDescent="0.25">
      <c r="A69" s="41" t="s">
        <v>141</v>
      </c>
      <c r="B69" s="42" t="s">
        <v>142</v>
      </c>
      <c r="C69" s="30" t="s">
        <v>34</v>
      </c>
      <c r="D69" s="162" t="s">
        <v>42</v>
      </c>
      <c r="E69" s="162" t="s">
        <v>58</v>
      </c>
      <c r="F69" s="162" t="s">
        <v>59</v>
      </c>
      <c r="G69" s="162" t="s">
        <v>60</v>
      </c>
      <c r="H69" s="34" t="s">
        <v>61</v>
      </c>
      <c r="I69" s="24" t="s">
        <v>39</v>
      </c>
      <c r="J69" s="24" t="s">
        <v>40</v>
      </c>
      <c r="K69" s="25">
        <f t="shared" si="44"/>
        <v>5.05</v>
      </c>
      <c r="L69" s="162">
        <f t="shared" si="45"/>
        <v>11</v>
      </c>
      <c r="M69" s="162" t="str">
        <f t="shared" si="46"/>
        <v>W10</v>
      </c>
      <c r="N69" s="162" t="str">
        <f t="shared" si="47"/>
        <v>W10</v>
      </c>
      <c r="O69" s="162">
        <f t="shared" si="48"/>
        <v>1</v>
      </c>
      <c r="P69" s="162">
        <f t="shared" si="49"/>
        <v>19</v>
      </c>
      <c r="Q69" s="162">
        <f t="shared" si="50"/>
        <v>11</v>
      </c>
      <c r="R69" s="162">
        <f t="shared" si="51"/>
        <v>8</v>
      </c>
      <c r="S69" s="162">
        <f t="shared" si="52"/>
        <v>4</v>
      </c>
      <c r="T69" s="162">
        <f t="shared" si="53"/>
        <v>-1</v>
      </c>
      <c r="U69" s="162">
        <f t="shared" si="54"/>
        <v>-8</v>
      </c>
      <c r="V69" s="162">
        <f t="shared" si="55"/>
        <v>-16</v>
      </c>
      <c r="W69" s="162">
        <f t="shared" si="56"/>
        <v>-24</v>
      </c>
      <c r="X69" s="162">
        <f t="shared" si="57"/>
        <v>70</v>
      </c>
      <c r="Y69" s="162">
        <f t="shared" si="58"/>
        <v>9</v>
      </c>
      <c r="Z69" s="162">
        <f t="shared" si="59"/>
        <v>6</v>
      </c>
      <c r="AA69" s="26">
        <f t="shared" si="60"/>
        <v>-5</v>
      </c>
      <c r="AB69" s="27">
        <f t="shared" si="61"/>
        <v>90</v>
      </c>
      <c r="AC69" s="28">
        <f t="shared" si="62"/>
        <v>426.7</v>
      </c>
      <c r="AD69" s="29">
        <f t="shared" si="63"/>
        <v>11.7</v>
      </c>
      <c r="AE69" s="162">
        <f t="shared" si="64"/>
        <v>379.9</v>
      </c>
      <c r="AF69">
        <f t="shared" si="65"/>
        <v>5</v>
      </c>
    </row>
    <row r="70" spans="1:32" x14ac:dyDescent="0.25">
      <c r="A70" s="41" t="s">
        <v>143</v>
      </c>
      <c r="B70" s="42" t="s">
        <v>142</v>
      </c>
      <c r="C70" s="30" t="s">
        <v>34</v>
      </c>
      <c r="D70" s="162" t="s">
        <v>44</v>
      </c>
      <c r="E70" s="162" t="s">
        <v>35</v>
      </c>
      <c r="F70" s="162" t="s">
        <v>75</v>
      </c>
      <c r="G70" s="162" t="s">
        <v>60</v>
      </c>
      <c r="H70" s="160" t="s">
        <v>38</v>
      </c>
      <c r="I70" s="24" t="s">
        <v>39</v>
      </c>
      <c r="J70" s="24" t="s">
        <v>40</v>
      </c>
      <c r="K70" s="25">
        <f t="shared" si="44"/>
        <v>5.95</v>
      </c>
      <c r="L70" s="162">
        <f t="shared" si="45"/>
        <v>13</v>
      </c>
      <c r="M70" s="162" t="str">
        <f t="shared" si="46"/>
        <v>W12</v>
      </c>
      <c r="N70" s="162" t="str">
        <f t="shared" si="47"/>
        <v>W12</v>
      </c>
      <c r="O70" s="162">
        <f t="shared" si="48"/>
        <v>2</v>
      </c>
      <c r="P70" s="162">
        <f t="shared" si="49"/>
        <v>14</v>
      </c>
      <c r="Q70" s="162">
        <f t="shared" si="50"/>
        <v>18</v>
      </c>
      <c r="R70" s="162">
        <f t="shared" si="51"/>
        <v>5</v>
      </c>
      <c r="S70" s="162">
        <f t="shared" si="52"/>
        <v>2</v>
      </c>
      <c r="T70" s="162">
        <f t="shared" si="53"/>
        <v>-2</v>
      </c>
      <c r="U70" s="162">
        <f t="shared" si="54"/>
        <v>-9</v>
      </c>
      <c r="V70" s="162">
        <f t="shared" si="55"/>
        <v>-17</v>
      </c>
      <c r="W70" s="162">
        <f t="shared" si="56"/>
        <v>-25</v>
      </c>
      <c r="X70" s="162">
        <f t="shared" si="57"/>
        <v>90</v>
      </c>
      <c r="Y70" s="162">
        <f t="shared" si="58"/>
        <v>31</v>
      </c>
      <c r="Z70" s="162">
        <f t="shared" si="59"/>
        <v>3</v>
      </c>
      <c r="AA70" s="26">
        <f t="shared" si="60"/>
        <v>-3</v>
      </c>
      <c r="AB70" s="27">
        <f t="shared" si="61"/>
        <v>110</v>
      </c>
      <c r="AC70" s="28">
        <f t="shared" si="62"/>
        <v>530.69999999999993</v>
      </c>
      <c r="AD70" s="29">
        <f t="shared" si="63"/>
        <v>10.7</v>
      </c>
      <c r="AE70" s="162">
        <f t="shared" si="64"/>
        <v>487.9</v>
      </c>
      <c r="AF70">
        <f t="shared" si="65"/>
        <v>4</v>
      </c>
    </row>
    <row r="71" spans="1:32" x14ac:dyDescent="0.25">
      <c r="A71" s="41" t="s">
        <v>144</v>
      </c>
      <c r="B71" s="42" t="s">
        <v>142</v>
      </c>
      <c r="C71" s="30" t="s">
        <v>34</v>
      </c>
      <c r="D71" s="162" t="s">
        <v>44</v>
      </c>
      <c r="E71" s="162" t="s">
        <v>88</v>
      </c>
      <c r="F71" s="162" t="s">
        <v>59</v>
      </c>
      <c r="G71" s="162" t="s">
        <v>60</v>
      </c>
      <c r="H71" s="34" t="s">
        <v>61</v>
      </c>
      <c r="I71" s="24" t="s">
        <v>39</v>
      </c>
      <c r="J71" s="24" t="s">
        <v>40</v>
      </c>
      <c r="K71" s="25">
        <f t="shared" si="44"/>
        <v>6.05</v>
      </c>
      <c r="L71" s="162">
        <f t="shared" si="45"/>
        <v>13</v>
      </c>
      <c r="M71" s="162" t="str">
        <f t="shared" si="46"/>
        <v>W12</v>
      </c>
      <c r="N71" s="162" t="str">
        <f t="shared" si="47"/>
        <v>W12</v>
      </c>
      <c r="O71" s="162">
        <f t="shared" si="48"/>
        <v>2</v>
      </c>
      <c r="P71" s="162">
        <f t="shared" si="49"/>
        <v>20</v>
      </c>
      <c r="Q71" s="162">
        <f t="shared" si="50"/>
        <v>12</v>
      </c>
      <c r="R71" s="162">
        <f t="shared" si="51"/>
        <v>6</v>
      </c>
      <c r="S71" s="162">
        <f t="shared" si="52"/>
        <v>3</v>
      </c>
      <c r="T71" s="162">
        <f t="shared" si="53"/>
        <v>-1</v>
      </c>
      <c r="U71" s="162">
        <f t="shared" si="54"/>
        <v>-8</v>
      </c>
      <c r="V71" s="162">
        <f t="shared" si="55"/>
        <v>-16</v>
      </c>
      <c r="W71" s="162">
        <f t="shared" si="56"/>
        <v>-24</v>
      </c>
      <c r="X71" s="162">
        <f t="shared" si="57"/>
        <v>90</v>
      </c>
      <c r="Y71" s="162">
        <f t="shared" si="58"/>
        <v>10</v>
      </c>
      <c r="Z71" s="162">
        <f t="shared" si="59"/>
        <v>6</v>
      </c>
      <c r="AA71" s="26">
        <f t="shared" si="60"/>
        <v>-5</v>
      </c>
      <c r="AB71" s="27">
        <f t="shared" si="61"/>
        <v>70</v>
      </c>
      <c r="AC71" s="28">
        <f t="shared" si="62"/>
        <v>550.70000000000005</v>
      </c>
      <c r="AD71" s="29">
        <f t="shared" si="63"/>
        <v>12.7</v>
      </c>
      <c r="AE71" s="162">
        <f t="shared" si="64"/>
        <v>499.90000000000003</v>
      </c>
      <c r="AF71">
        <f t="shared" si="65"/>
        <v>6</v>
      </c>
    </row>
    <row r="72" spans="1:32" x14ac:dyDescent="0.25">
      <c r="A72" s="41" t="s">
        <v>145</v>
      </c>
      <c r="B72" s="42" t="s">
        <v>142</v>
      </c>
      <c r="C72" s="30" t="s">
        <v>34</v>
      </c>
      <c r="D72" s="162" t="s">
        <v>42</v>
      </c>
      <c r="E72" s="162" t="s">
        <v>54</v>
      </c>
      <c r="F72" s="162" t="s">
        <v>55</v>
      </c>
      <c r="G72" s="162" t="s">
        <v>60</v>
      </c>
      <c r="H72" s="33" t="s">
        <v>56</v>
      </c>
      <c r="I72" s="24" t="s">
        <v>39</v>
      </c>
      <c r="J72" s="24" t="s">
        <v>40</v>
      </c>
      <c r="K72" s="25">
        <f t="shared" si="44"/>
        <v>5.05</v>
      </c>
      <c r="L72" s="162">
        <f t="shared" si="45"/>
        <v>11</v>
      </c>
      <c r="M72" s="162" t="str">
        <f t="shared" si="46"/>
        <v>W10</v>
      </c>
      <c r="N72" s="162" t="str">
        <f t="shared" si="47"/>
        <v>W10</v>
      </c>
      <c r="O72" s="162">
        <f t="shared" si="48"/>
        <v>1</v>
      </c>
      <c r="P72" s="162">
        <f t="shared" si="49"/>
        <v>13</v>
      </c>
      <c r="Q72" s="162">
        <f t="shared" si="50"/>
        <v>17</v>
      </c>
      <c r="R72" s="162">
        <f t="shared" si="51"/>
        <v>8</v>
      </c>
      <c r="S72" s="162">
        <f t="shared" si="52"/>
        <v>4</v>
      </c>
      <c r="T72" s="162">
        <f t="shared" si="53"/>
        <v>-1</v>
      </c>
      <c r="U72" s="162">
        <f t="shared" si="54"/>
        <v>-8</v>
      </c>
      <c r="V72" s="162">
        <f t="shared" si="55"/>
        <v>-16</v>
      </c>
      <c r="W72" s="162">
        <f t="shared" si="56"/>
        <v>-24</v>
      </c>
      <c r="X72" s="162">
        <f t="shared" si="57"/>
        <v>70</v>
      </c>
      <c r="Y72" s="162">
        <f t="shared" si="58"/>
        <v>11</v>
      </c>
      <c r="Z72" s="162">
        <f t="shared" si="59"/>
        <v>6</v>
      </c>
      <c r="AA72" s="26">
        <f t="shared" si="60"/>
        <v>-4</v>
      </c>
      <c r="AB72" s="27">
        <f t="shared" si="61"/>
        <v>110</v>
      </c>
      <c r="AC72" s="28">
        <f t="shared" si="62"/>
        <v>422.7</v>
      </c>
      <c r="AD72" s="29">
        <f t="shared" si="63"/>
        <v>10.7</v>
      </c>
      <c r="AE72" s="162">
        <f t="shared" si="64"/>
        <v>379.9</v>
      </c>
      <c r="AF72">
        <f t="shared" si="65"/>
        <v>4</v>
      </c>
    </row>
    <row r="73" spans="1:32" x14ac:dyDescent="0.25">
      <c r="A73" s="41" t="s">
        <v>146</v>
      </c>
      <c r="B73" s="42" t="s">
        <v>142</v>
      </c>
      <c r="C73" s="30" t="s">
        <v>34</v>
      </c>
      <c r="D73" s="162" t="s">
        <v>80</v>
      </c>
      <c r="E73" s="162" t="s">
        <v>35</v>
      </c>
      <c r="F73" s="162" t="s">
        <v>75</v>
      </c>
      <c r="G73" s="162" t="s">
        <v>60</v>
      </c>
      <c r="H73" s="160" t="s">
        <v>38</v>
      </c>
      <c r="I73" s="24" t="s">
        <v>39</v>
      </c>
      <c r="J73" s="24" t="s">
        <v>40</v>
      </c>
      <c r="K73" s="25">
        <f t="shared" si="44"/>
        <v>4.05</v>
      </c>
      <c r="L73" s="162">
        <f t="shared" si="45"/>
        <v>10</v>
      </c>
      <c r="M73" s="162" t="str">
        <f t="shared" si="46"/>
        <v>W10</v>
      </c>
      <c r="N73" s="162" t="str">
        <f t="shared" si="47"/>
        <v>W10</v>
      </c>
      <c r="O73" s="162">
        <f t="shared" si="48"/>
        <v>1</v>
      </c>
      <c r="P73" s="162">
        <f t="shared" si="49"/>
        <v>13</v>
      </c>
      <c r="Q73" s="162">
        <f t="shared" si="50"/>
        <v>17</v>
      </c>
      <c r="R73" s="162">
        <f t="shared" si="51"/>
        <v>9</v>
      </c>
      <c r="S73" s="162">
        <f t="shared" si="52"/>
        <v>3</v>
      </c>
      <c r="T73" s="162">
        <f t="shared" si="53"/>
        <v>-4</v>
      </c>
      <c r="U73" s="162">
        <f t="shared" si="54"/>
        <v>-13</v>
      </c>
      <c r="V73" s="162">
        <f t="shared" si="55"/>
        <v>-23</v>
      </c>
      <c r="W73" s="162">
        <f t="shared" si="56"/>
        <v>-33</v>
      </c>
      <c r="X73" s="162">
        <f t="shared" si="57"/>
        <v>60</v>
      </c>
      <c r="Y73" s="162">
        <f t="shared" si="58"/>
        <v>28</v>
      </c>
      <c r="Z73" s="162">
        <f t="shared" si="59"/>
        <v>3</v>
      </c>
      <c r="AA73" s="26">
        <f t="shared" si="60"/>
        <v>-3</v>
      </c>
      <c r="AB73" s="27">
        <f t="shared" si="61"/>
        <v>110</v>
      </c>
      <c r="AC73" s="28">
        <f t="shared" si="62"/>
        <v>310.59999999999991</v>
      </c>
      <c r="AD73" s="29">
        <f t="shared" si="63"/>
        <v>9.6999999999999993</v>
      </c>
      <c r="AE73" s="162">
        <f t="shared" si="64"/>
        <v>271.7999999999999</v>
      </c>
      <c r="AF73">
        <f t="shared" si="65"/>
        <v>4</v>
      </c>
    </row>
    <row r="74" spans="1:32" x14ac:dyDescent="0.25">
      <c r="A74" s="41" t="s">
        <v>147</v>
      </c>
      <c r="B74" s="42" t="s">
        <v>142</v>
      </c>
      <c r="C74" s="30" t="s">
        <v>34</v>
      </c>
      <c r="D74" s="162" t="s">
        <v>74</v>
      </c>
      <c r="E74" s="162" t="s">
        <v>35</v>
      </c>
      <c r="F74" s="162" t="s">
        <v>83</v>
      </c>
      <c r="G74" s="162" t="s">
        <v>60</v>
      </c>
      <c r="H74" s="160" t="s">
        <v>38</v>
      </c>
      <c r="I74" s="24" t="s">
        <v>39</v>
      </c>
      <c r="J74" s="24" t="s">
        <v>40</v>
      </c>
      <c r="K74" s="25">
        <f t="shared" si="44"/>
        <v>4.95</v>
      </c>
      <c r="L74" s="162">
        <f t="shared" si="45"/>
        <v>11</v>
      </c>
      <c r="M74" s="162" t="str">
        <f t="shared" si="46"/>
        <v>W10</v>
      </c>
      <c r="N74" s="162" t="str">
        <f t="shared" si="47"/>
        <v>W10</v>
      </c>
      <c r="O74" s="162">
        <f t="shared" si="48"/>
        <v>2</v>
      </c>
      <c r="P74" s="162">
        <f t="shared" si="49"/>
        <v>13</v>
      </c>
      <c r="Q74" s="162">
        <f t="shared" si="50"/>
        <v>17</v>
      </c>
      <c r="R74" s="162">
        <f t="shared" si="51"/>
        <v>7</v>
      </c>
      <c r="S74" s="162">
        <f t="shared" si="52"/>
        <v>4</v>
      </c>
      <c r="T74" s="162">
        <f t="shared" si="53"/>
        <v>0</v>
      </c>
      <c r="U74" s="162">
        <f t="shared" si="54"/>
        <v>-6</v>
      </c>
      <c r="V74" s="162">
        <f t="shared" si="55"/>
        <v>-13</v>
      </c>
      <c r="W74" s="162">
        <f t="shared" si="56"/>
        <v>-20</v>
      </c>
      <c r="X74" s="162">
        <f t="shared" si="57"/>
        <v>80</v>
      </c>
      <c r="Y74" s="162">
        <f t="shared" si="58"/>
        <v>33</v>
      </c>
      <c r="Z74" s="162">
        <f t="shared" si="59"/>
        <v>3</v>
      </c>
      <c r="AA74" s="26">
        <f t="shared" si="60"/>
        <v>-2</v>
      </c>
      <c r="AB74" s="27">
        <f t="shared" si="61"/>
        <v>85</v>
      </c>
      <c r="AC74" s="28">
        <f t="shared" si="62"/>
        <v>450.7</v>
      </c>
      <c r="AD74" s="29">
        <f t="shared" si="63"/>
        <v>20.7</v>
      </c>
      <c r="AE74" s="162">
        <f t="shared" si="64"/>
        <v>367.9</v>
      </c>
      <c r="AF74">
        <f t="shared" si="65"/>
        <v>6</v>
      </c>
    </row>
    <row r="75" spans="1:32" x14ac:dyDescent="0.25">
      <c r="A75" s="41" t="s">
        <v>148</v>
      </c>
      <c r="B75" s="42" t="s">
        <v>142</v>
      </c>
      <c r="C75" s="30" t="s">
        <v>34</v>
      </c>
      <c r="D75" s="162" t="s">
        <v>42</v>
      </c>
      <c r="E75" s="162" t="s">
        <v>35</v>
      </c>
      <c r="F75" s="162" t="s">
        <v>75</v>
      </c>
      <c r="G75" s="162" t="s">
        <v>60</v>
      </c>
      <c r="H75" s="160" t="s">
        <v>38</v>
      </c>
      <c r="I75" s="24" t="s">
        <v>39</v>
      </c>
      <c r="J75" s="24" t="s">
        <v>40</v>
      </c>
      <c r="K75" s="25">
        <f t="shared" si="44"/>
        <v>4.95</v>
      </c>
      <c r="L75" s="162">
        <f t="shared" si="45"/>
        <v>11</v>
      </c>
      <c r="M75" s="162" t="str">
        <f t="shared" si="46"/>
        <v>W10</v>
      </c>
      <c r="N75" s="162" t="str">
        <f t="shared" si="47"/>
        <v>W10</v>
      </c>
      <c r="O75" s="162">
        <f t="shared" si="48"/>
        <v>1</v>
      </c>
      <c r="P75" s="162">
        <f t="shared" si="49"/>
        <v>13</v>
      </c>
      <c r="Q75" s="162">
        <f t="shared" si="50"/>
        <v>17</v>
      </c>
      <c r="R75" s="162">
        <f t="shared" si="51"/>
        <v>7</v>
      </c>
      <c r="S75" s="162">
        <f t="shared" si="52"/>
        <v>3</v>
      </c>
      <c r="T75" s="162">
        <f t="shared" si="53"/>
        <v>-2</v>
      </c>
      <c r="U75" s="162">
        <f t="shared" si="54"/>
        <v>-9</v>
      </c>
      <c r="V75" s="162">
        <f t="shared" si="55"/>
        <v>-17</v>
      </c>
      <c r="W75" s="162">
        <f t="shared" si="56"/>
        <v>-25</v>
      </c>
      <c r="X75" s="162">
        <f t="shared" si="57"/>
        <v>70</v>
      </c>
      <c r="Y75" s="162">
        <f t="shared" si="58"/>
        <v>29</v>
      </c>
      <c r="Z75" s="162">
        <f t="shared" si="59"/>
        <v>3</v>
      </c>
      <c r="AA75" s="26">
        <f t="shared" si="60"/>
        <v>-3</v>
      </c>
      <c r="AB75" s="27">
        <f t="shared" si="61"/>
        <v>120</v>
      </c>
      <c r="AC75" s="28">
        <f t="shared" si="62"/>
        <v>406.7</v>
      </c>
      <c r="AD75" s="29">
        <f t="shared" si="63"/>
        <v>9.6999999999999993</v>
      </c>
      <c r="AE75" s="162">
        <f t="shared" si="64"/>
        <v>367.9</v>
      </c>
      <c r="AF75">
        <f t="shared" si="65"/>
        <v>4</v>
      </c>
    </row>
    <row r="76" spans="1:32" x14ac:dyDescent="0.25">
      <c r="A76" s="41" t="s">
        <v>149</v>
      </c>
      <c r="B76" s="42" t="s">
        <v>142</v>
      </c>
      <c r="C76" s="30" t="s">
        <v>34</v>
      </c>
      <c r="D76" s="162" t="s">
        <v>32</v>
      </c>
      <c r="E76" s="162" t="s">
        <v>35</v>
      </c>
      <c r="F76" s="162" t="s">
        <v>50</v>
      </c>
      <c r="G76" s="162" t="s">
        <v>37</v>
      </c>
      <c r="H76" s="160" t="s">
        <v>38</v>
      </c>
      <c r="I76" s="24" t="s">
        <v>39</v>
      </c>
      <c r="J76" s="24" t="s">
        <v>40</v>
      </c>
      <c r="K76" s="25">
        <f t="shared" si="44"/>
        <v>7.8</v>
      </c>
      <c r="L76" s="162">
        <f t="shared" si="45"/>
        <v>15</v>
      </c>
      <c r="M76" s="162" t="str">
        <f t="shared" si="46"/>
        <v>W15</v>
      </c>
      <c r="N76" s="162" t="str">
        <f t="shared" si="47"/>
        <v>W12</v>
      </c>
      <c r="O76" s="162">
        <f t="shared" si="48"/>
        <v>2</v>
      </c>
      <c r="P76" s="162">
        <f t="shared" si="49"/>
        <v>16</v>
      </c>
      <c r="Q76" s="162">
        <f t="shared" si="50"/>
        <v>19</v>
      </c>
      <c r="R76" s="162">
        <f t="shared" si="51"/>
        <v>0</v>
      </c>
      <c r="S76" s="162">
        <f t="shared" si="52"/>
        <v>-3</v>
      </c>
      <c r="T76" s="162">
        <f t="shared" si="53"/>
        <v>-6</v>
      </c>
      <c r="U76" s="162">
        <f t="shared" si="54"/>
        <v>-12</v>
      </c>
      <c r="V76" s="162">
        <f t="shared" si="55"/>
        <v>-19</v>
      </c>
      <c r="W76" s="162">
        <f t="shared" si="56"/>
        <v>-27</v>
      </c>
      <c r="X76" s="162">
        <f t="shared" si="57"/>
        <v>60</v>
      </c>
      <c r="Y76" s="162">
        <f t="shared" si="58"/>
        <v>38</v>
      </c>
      <c r="Z76" s="162">
        <f t="shared" si="59"/>
        <v>3</v>
      </c>
      <c r="AA76" s="26">
        <f t="shared" si="60"/>
        <v>-2</v>
      </c>
      <c r="AB76" s="27">
        <f t="shared" si="61"/>
        <v>115</v>
      </c>
      <c r="AC76" s="28">
        <f t="shared" si="62"/>
        <v>750.69999999999993</v>
      </c>
      <c r="AD76" s="29">
        <f t="shared" si="63"/>
        <v>10.199999999999999</v>
      </c>
      <c r="AE76" s="162">
        <f t="shared" si="64"/>
        <v>709.9</v>
      </c>
      <c r="AF76">
        <f t="shared" si="65"/>
        <v>4</v>
      </c>
    </row>
    <row r="77" spans="1:32" x14ac:dyDescent="0.25">
      <c r="A77" s="41" t="s">
        <v>150</v>
      </c>
      <c r="B77" s="42" t="s">
        <v>142</v>
      </c>
      <c r="C77" s="30" t="s">
        <v>34</v>
      </c>
      <c r="D77" s="162" t="s">
        <v>53</v>
      </c>
      <c r="E77" s="162" t="s">
        <v>54</v>
      </c>
      <c r="F77" s="162" t="s">
        <v>55</v>
      </c>
      <c r="G77" s="162" t="s">
        <v>60</v>
      </c>
      <c r="H77" s="33" t="s">
        <v>56</v>
      </c>
      <c r="I77" s="24" t="s">
        <v>39</v>
      </c>
      <c r="J77" s="24" t="s">
        <v>40</v>
      </c>
      <c r="K77" s="25">
        <f t="shared" si="44"/>
        <v>4.1500000000000004</v>
      </c>
      <c r="L77" s="162">
        <f t="shared" si="45"/>
        <v>10</v>
      </c>
      <c r="M77" s="162" t="str">
        <f t="shared" si="46"/>
        <v>W10</v>
      </c>
      <c r="N77" s="162" t="str">
        <f t="shared" si="47"/>
        <v>W10</v>
      </c>
      <c r="O77" s="162">
        <f t="shared" si="48"/>
        <v>1</v>
      </c>
      <c r="P77" s="162">
        <f t="shared" si="49"/>
        <v>13</v>
      </c>
      <c r="Q77" s="162">
        <f t="shared" si="50"/>
        <v>17</v>
      </c>
      <c r="R77" s="162">
        <f t="shared" si="51"/>
        <v>10</v>
      </c>
      <c r="S77" s="162">
        <f t="shared" si="52"/>
        <v>4</v>
      </c>
      <c r="T77" s="162">
        <f t="shared" si="53"/>
        <v>-3</v>
      </c>
      <c r="U77" s="162">
        <f t="shared" si="54"/>
        <v>-12</v>
      </c>
      <c r="V77" s="162">
        <f t="shared" si="55"/>
        <v>-22</v>
      </c>
      <c r="W77" s="162">
        <f t="shared" si="56"/>
        <v>-32</v>
      </c>
      <c r="X77" s="162">
        <f t="shared" si="57"/>
        <v>60</v>
      </c>
      <c r="Y77" s="162">
        <f t="shared" si="58"/>
        <v>11</v>
      </c>
      <c r="Z77" s="162">
        <f t="shared" si="59"/>
        <v>6</v>
      </c>
      <c r="AA77" s="26">
        <f t="shared" si="60"/>
        <v>-4</v>
      </c>
      <c r="AB77" s="27">
        <f t="shared" si="61"/>
        <v>90</v>
      </c>
      <c r="AC77" s="28">
        <f t="shared" si="62"/>
        <v>326.59999999999991</v>
      </c>
      <c r="AD77" s="29">
        <f t="shared" si="63"/>
        <v>10.7</v>
      </c>
      <c r="AE77" s="162">
        <f t="shared" si="64"/>
        <v>283.7999999999999</v>
      </c>
      <c r="AF77">
        <f t="shared" si="65"/>
        <v>5</v>
      </c>
    </row>
    <row r="78" spans="1:32" x14ac:dyDescent="0.25">
      <c r="A78" s="41" t="s">
        <v>151</v>
      </c>
      <c r="B78" s="42" t="s">
        <v>142</v>
      </c>
      <c r="C78" s="30" t="s">
        <v>34</v>
      </c>
      <c r="D78" s="162" t="s">
        <v>93</v>
      </c>
      <c r="E78" s="162" t="s">
        <v>35</v>
      </c>
      <c r="F78" s="162" t="s">
        <v>50</v>
      </c>
      <c r="G78" s="162" t="s">
        <v>37</v>
      </c>
      <c r="H78" s="160" t="s">
        <v>38</v>
      </c>
      <c r="I78" s="24" t="s">
        <v>39</v>
      </c>
      <c r="J78" s="24" t="s">
        <v>40</v>
      </c>
      <c r="K78" s="25">
        <f t="shared" si="44"/>
        <v>6.3</v>
      </c>
      <c r="L78" s="162">
        <f t="shared" si="45"/>
        <v>12</v>
      </c>
      <c r="M78" s="162" t="str">
        <f t="shared" si="46"/>
        <v>W10</v>
      </c>
      <c r="N78" s="162" t="str">
        <f t="shared" si="47"/>
        <v>W8</v>
      </c>
      <c r="O78" s="162">
        <f t="shared" si="48"/>
        <v>1</v>
      </c>
      <c r="P78" s="162">
        <f t="shared" si="49"/>
        <v>13</v>
      </c>
      <c r="Q78" s="162">
        <f t="shared" si="50"/>
        <v>16</v>
      </c>
      <c r="R78" s="162">
        <f t="shared" si="51"/>
        <v>3</v>
      </c>
      <c r="S78" s="162">
        <f t="shared" si="52"/>
        <v>-2</v>
      </c>
      <c r="T78" s="162">
        <f t="shared" si="53"/>
        <v>-7</v>
      </c>
      <c r="U78" s="162">
        <f t="shared" si="54"/>
        <v>-13</v>
      </c>
      <c r="V78" s="162">
        <f t="shared" si="55"/>
        <v>-20</v>
      </c>
      <c r="W78" s="162">
        <f t="shared" si="56"/>
        <v>-28</v>
      </c>
      <c r="X78" s="162">
        <f t="shared" si="57"/>
        <v>40</v>
      </c>
      <c r="Y78" s="162">
        <f t="shared" si="58"/>
        <v>34</v>
      </c>
      <c r="Z78" s="162">
        <f t="shared" si="59"/>
        <v>3</v>
      </c>
      <c r="AA78" s="26">
        <f t="shared" si="60"/>
        <v>-2</v>
      </c>
      <c r="AB78" s="27">
        <f t="shared" si="61"/>
        <v>110</v>
      </c>
      <c r="AC78" s="28">
        <f t="shared" si="62"/>
        <v>566.69999999999993</v>
      </c>
      <c r="AD78" s="29">
        <f t="shared" si="63"/>
        <v>9.1999999999999993</v>
      </c>
      <c r="AE78" s="162">
        <f t="shared" si="64"/>
        <v>529.9</v>
      </c>
      <c r="AF78">
        <f t="shared" si="65"/>
        <v>4</v>
      </c>
    </row>
    <row r="79" spans="1:32" x14ac:dyDescent="0.25">
      <c r="A79" s="41" t="s">
        <v>152</v>
      </c>
      <c r="B79" s="42" t="s">
        <v>142</v>
      </c>
      <c r="C79" s="30" t="s">
        <v>34</v>
      </c>
      <c r="D79" s="162" t="s">
        <v>108</v>
      </c>
      <c r="E79" s="162" t="s">
        <v>35</v>
      </c>
      <c r="F79" s="162" t="s">
        <v>83</v>
      </c>
      <c r="G79" s="162" t="s">
        <v>37</v>
      </c>
      <c r="H79" s="3" t="s">
        <v>109</v>
      </c>
      <c r="I79" s="24" t="s">
        <v>39</v>
      </c>
      <c r="J79" s="24" t="s">
        <v>40</v>
      </c>
      <c r="K79" s="25">
        <f t="shared" si="44"/>
        <v>4.8</v>
      </c>
      <c r="L79" s="162">
        <f t="shared" si="45"/>
        <v>11</v>
      </c>
      <c r="M79" s="162" t="str">
        <f t="shared" si="46"/>
        <v>W10</v>
      </c>
      <c r="N79" s="162" t="str">
        <f t="shared" si="47"/>
        <v>W10</v>
      </c>
      <c r="O79" s="162">
        <f t="shared" si="48"/>
        <v>1</v>
      </c>
      <c r="P79" s="162">
        <f t="shared" si="49"/>
        <v>13</v>
      </c>
      <c r="Q79" s="162">
        <f t="shared" si="50"/>
        <v>17</v>
      </c>
      <c r="R79" s="162">
        <f t="shared" si="51"/>
        <v>6</v>
      </c>
      <c r="S79" s="162">
        <f t="shared" si="52"/>
        <v>1</v>
      </c>
      <c r="T79" s="162">
        <f t="shared" si="53"/>
        <v>-4</v>
      </c>
      <c r="U79" s="162">
        <f t="shared" si="54"/>
        <v>-10</v>
      </c>
      <c r="V79" s="162">
        <f t="shared" si="55"/>
        <v>-17</v>
      </c>
      <c r="W79" s="162">
        <f t="shared" si="56"/>
        <v>-25</v>
      </c>
      <c r="X79" s="162">
        <f t="shared" si="57"/>
        <v>40</v>
      </c>
      <c r="Y79" s="162">
        <f t="shared" si="58"/>
        <v>33</v>
      </c>
      <c r="Z79" s="162">
        <f t="shared" si="59"/>
        <v>3</v>
      </c>
      <c r="AA79" s="26">
        <f t="shared" si="60"/>
        <v>-2</v>
      </c>
      <c r="AB79" s="27">
        <f t="shared" si="61"/>
        <v>60</v>
      </c>
      <c r="AC79" s="28">
        <f t="shared" si="62"/>
        <v>418.7</v>
      </c>
      <c r="AD79" s="29">
        <f t="shared" si="63"/>
        <v>17.2</v>
      </c>
      <c r="AE79" s="162">
        <f t="shared" si="64"/>
        <v>349.9</v>
      </c>
      <c r="AF79">
        <f t="shared" si="65"/>
        <v>7</v>
      </c>
    </row>
    <row r="80" spans="1:32" x14ac:dyDescent="0.25">
      <c r="A80" s="41" t="s">
        <v>153</v>
      </c>
      <c r="B80" s="42" t="s">
        <v>142</v>
      </c>
      <c r="C80" s="30" t="s">
        <v>34</v>
      </c>
      <c r="D80" s="162" t="s">
        <v>90</v>
      </c>
      <c r="E80" s="162" t="s">
        <v>35</v>
      </c>
      <c r="F80" s="162" t="s">
        <v>50</v>
      </c>
      <c r="G80" s="162" t="s">
        <v>37</v>
      </c>
      <c r="H80" s="160" t="s">
        <v>38</v>
      </c>
      <c r="I80" s="24" t="s">
        <v>39</v>
      </c>
      <c r="J80" s="24" t="s">
        <v>40</v>
      </c>
      <c r="K80" s="25">
        <f t="shared" si="44"/>
        <v>5.8</v>
      </c>
      <c r="L80" s="162">
        <f t="shared" si="45"/>
        <v>13</v>
      </c>
      <c r="M80" s="162" t="str">
        <f t="shared" si="46"/>
        <v>W12</v>
      </c>
      <c r="N80" s="162" t="str">
        <f t="shared" si="47"/>
        <v>W12</v>
      </c>
      <c r="O80" s="162">
        <f t="shared" si="48"/>
        <v>4</v>
      </c>
      <c r="P80" s="162">
        <f t="shared" si="49"/>
        <v>10</v>
      </c>
      <c r="Q80" s="162">
        <f t="shared" si="50"/>
        <v>20</v>
      </c>
      <c r="R80" s="162">
        <f t="shared" si="51"/>
        <v>4</v>
      </c>
      <c r="S80" s="162">
        <f t="shared" si="52"/>
        <v>-6</v>
      </c>
      <c r="T80" s="162">
        <f t="shared" si="53"/>
        <v>-16</v>
      </c>
      <c r="U80" s="162">
        <f t="shared" si="54"/>
        <v>-27</v>
      </c>
      <c r="V80" s="162">
        <f t="shared" si="55"/>
        <v>-39</v>
      </c>
      <c r="W80" s="162">
        <f t="shared" si="56"/>
        <v>-52</v>
      </c>
      <c r="X80" s="162">
        <f t="shared" si="57"/>
        <v>20</v>
      </c>
      <c r="Y80" s="162">
        <f t="shared" si="58"/>
        <v>32</v>
      </c>
      <c r="Z80" s="162">
        <f t="shared" si="59"/>
        <v>3</v>
      </c>
      <c r="AA80" s="26">
        <f t="shared" si="60"/>
        <v>-2</v>
      </c>
      <c r="AB80" s="27">
        <f t="shared" si="61"/>
        <v>125</v>
      </c>
      <c r="AC80" s="28">
        <f t="shared" si="62"/>
        <v>502.7</v>
      </c>
      <c r="AD80" s="29">
        <f t="shared" si="63"/>
        <v>8.1999999999999993</v>
      </c>
      <c r="AE80" s="162">
        <f t="shared" si="64"/>
        <v>469.9</v>
      </c>
      <c r="AF80">
        <f t="shared" si="65"/>
        <v>4</v>
      </c>
    </row>
    <row r="81" spans="1:32" x14ac:dyDescent="0.25">
      <c r="A81" s="41" t="s">
        <v>154</v>
      </c>
      <c r="B81" s="42" t="s">
        <v>142</v>
      </c>
      <c r="C81" s="30" t="s">
        <v>34</v>
      </c>
      <c r="D81" s="162" t="s">
        <v>53</v>
      </c>
      <c r="E81" s="162" t="s">
        <v>88</v>
      </c>
      <c r="F81" s="162" t="s">
        <v>59</v>
      </c>
      <c r="G81" s="162" t="s">
        <v>60</v>
      </c>
      <c r="H81" s="34" t="s">
        <v>61</v>
      </c>
      <c r="I81" s="24" t="s">
        <v>39</v>
      </c>
      <c r="J81" s="24" t="s">
        <v>40</v>
      </c>
      <c r="K81" s="25">
        <f t="shared" si="44"/>
        <v>4.1500000000000004</v>
      </c>
      <c r="L81" s="162">
        <f t="shared" si="45"/>
        <v>10</v>
      </c>
      <c r="M81" s="162" t="str">
        <f t="shared" si="46"/>
        <v>W10</v>
      </c>
      <c r="N81" s="162" t="str">
        <f t="shared" si="47"/>
        <v>W10</v>
      </c>
      <c r="O81" s="162">
        <f t="shared" si="48"/>
        <v>1</v>
      </c>
      <c r="P81" s="162">
        <f t="shared" si="49"/>
        <v>19</v>
      </c>
      <c r="Q81" s="162">
        <f t="shared" si="50"/>
        <v>11</v>
      </c>
      <c r="R81" s="162">
        <f t="shared" si="51"/>
        <v>10</v>
      </c>
      <c r="S81" s="162">
        <f t="shared" si="52"/>
        <v>4</v>
      </c>
      <c r="T81" s="162">
        <f t="shared" si="53"/>
        <v>-3</v>
      </c>
      <c r="U81" s="162">
        <f t="shared" si="54"/>
        <v>-12</v>
      </c>
      <c r="V81" s="162">
        <f t="shared" si="55"/>
        <v>-22</v>
      </c>
      <c r="W81" s="162">
        <f t="shared" si="56"/>
        <v>-32</v>
      </c>
      <c r="X81" s="162">
        <f t="shared" si="57"/>
        <v>60</v>
      </c>
      <c r="Y81" s="162">
        <f t="shared" si="58"/>
        <v>8</v>
      </c>
      <c r="Z81" s="162">
        <f t="shared" si="59"/>
        <v>6</v>
      </c>
      <c r="AA81" s="26">
        <f t="shared" si="60"/>
        <v>-5</v>
      </c>
      <c r="AB81" s="27">
        <f t="shared" si="61"/>
        <v>60</v>
      </c>
      <c r="AC81" s="28">
        <f t="shared" si="62"/>
        <v>330.59999999999991</v>
      </c>
      <c r="AD81" s="29">
        <f t="shared" si="63"/>
        <v>11.7</v>
      </c>
      <c r="AE81" s="162">
        <f t="shared" si="64"/>
        <v>283.7999999999999</v>
      </c>
      <c r="AF81">
        <f t="shared" si="65"/>
        <v>7</v>
      </c>
    </row>
    <row r="82" spans="1:32" x14ac:dyDescent="0.25">
      <c r="A82" s="41" t="s">
        <v>155</v>
      </c>
      <c r="B82" s="42" t="s">
        <v>142</v>
      </c>
      <c r="C82" s="30" t="s">
        <v>34</v>
      </c>
      <c r="D82" s="162" t="s">
        <v>42</v>
      </c>
      <c r="E82" s="162" t="s">
        <v>35</v>
      </c>
      <c r="F82" s="162" t="s">
        <v>50</v>
      </c>
      <c r="G82" s="162" t="s">
        <v>37</v>
      </c>
      <c r="H82" s="160" t="s">
        <v>38</v>
      </c>
      <c r="I82" s="24" t="s">
        <v>39</v>
      </c>
      <c r="J82" s="24" t="s">
        <v>40</v>
      </c>
      <c r="K82" s="25">
        <f t="shared" si="44"/>
        <v>4.8</v>
      </c>
      <c r="L82" s="162">
        <f t="shared" si="45"/>
        <v>11</v>
      </c>
      <c r="M82" s="162" t="str">
        <f t="shared" si="46"/>
        <v>W10</v>
      </c>
      <c r="N82" s="162" t="str">
        <f t="shared" si="47"/>
        <v>W10</v>
      </c>
      <c r="O82" s="162">
        <f t="shared" si="48"/>
        <v>1</v>
      </c>
      <c r="P82" s="162">
        <f t="shared" si="49"/>
        <v>13</v>
      </c>
      <c r="Q82" s="162">
        <f t="shared" si="50"/>
        <v>17</v>
      </c>
      <c r="R82" s="162">
        <f t="shared" si="51"/>
        <v>4</v>
      </c>
      <c r="S82" s="162">
        <f t="shared" si="52"/>
        <v>-1</v>
      </c>
      <c r="T82" s="162">
        <f t="shared" si="53"/>
        <v>-6</v>
      </c>
      <c r="U82" s="162">
        <f t="shared" si="54"/>
        <v>-12</v>
      </c>
      <c r="V82" s="162">
        <f t="shared" si="55"/>
        <v>-19</v>
      </c>
      <c r="W82" s="162">
        <f t="shared" si="56"/>
        <v>-27</v>
      </c>
      <c r="X82" s="162">
        <f t="shared" si="57"/>
        <v>40</v>
      </c>
      <c r="Y82" s="162">
        <f t="shared" si="58"/>
        <v>30</v>
      </c>
      <c r="Z82" s="162">
        <f t="shared" si="59"/>
        <v>3</v>
      </c>
      <c r="AA82" s="26">
        <f t="shared" si="60"/>
        <v>-2</v>
      </c>
      <c r="AB82" s="27">
        <f t="shared" si="61"/>
        <v>140</v>
      </c>
      <c r="AC82" s="28">
        <f t="shared" si="62"/>
        <v>378.7</v>
      </c>
      <c r="AD82" s="29">
        <f t="shared" si="63"/>
        <v>7.1999999999999993</v>
      </c>
      <c r="AE82" s="162">
        <f t="shared" si="64"/>
        <v>349.9</v>
      </c>
      <c r="AF82">
        <f t="shared" si="65"/>
        <v>3</v>
      </c>
    </row>
    <row r="83" spans="1:32" x14ac:dyDescent="0.25">
      <c r="A83" s="41" t="s">
        <v>156</v>
      </c>
      <c r="B83" s="42" t="s">
        <v>142</v>
      </c>
      <c r="C83" s="23" t="s">
        <v>46</v>
      </c>
      <c r="D83" s="162" t="s">
        <v>118</v>
      </c>
      <c r="E83" s="162" t="s">
        <v>35</v>
      </c>
      <c r="F83" s="162" t="s">
        <v>50</v>
      </c>
      <c r="G83" s="162" t="s">
        <v>37</v>
      </c>
      <c r="H83" s="160" t="s">
        <v>38</v>
      </c>
      <c r="I83" s="24" t="s">
        <v>39</v>
      </c>
      <c r="J83" s="24" t="s">
        <v>40</v>
      </c>
      <c r="K83" s="25">
        <f t="shared" si="44"/>
        <v>3.15</v>
      </c>
      <c r="L83" s="162">
        <f t="shared" si="45"/>
        <v>9</v>
      </c>
      <c r="M83" s="162" t="str">
        <f t="shared" si="46"/>
        <v>W10</v>
      </c>
      <c r="N83" s="162" t="str">
        <f t="shared" si="47"/>
        <v>W8</v>
      </c>
      <c r="O83" s="162">
        <f t="shared" si="48"/>
        <v>0</v>
      </c>
      <c r="P83" s="162">
        <f t="shared" si="49"/>
        <v>8</v>
      </c>
      <c r="Q83" s="162">
        <f t="shared" si="50"/>
        <v>13</v>
      </c>
      <c r="R83" s="162">
        <f t="shared" si="51"/>
        <v>6</v>
      </c>
      <c r="S83" s="162">
        <f t="shared" si="52"/>
        <v>-2</v>
      </c>
      <c r="T83" s="162">
        <f t="shared" si="53"/>
        <v>-12</v>
      </c>
      <c r="U83" s="162">
        <f t="shared" si="54"/>
        <v>-24</v>
      </c>
      <c r="V83" s="162">
        <f t="shared" si="55"/>
        <v>-38</v>
      </c>
      <c r="W83" s="162">
        <f t="shared" si="56"/>
        <v>-54</v>
      </c>
      <c r="X83" s="162">
        <f t="shared" si="57"/>
        <v>30</v>
      </c>
      <c r="Y83" s="162">
        <f t="shared" si="58"/>
        <v>33</v>
      </c>
      <c r="Z83" s="162">
        <f t="shared" si="59"/>
        <v>3</v>
      </c>
      <c r="AA83" s="26">
        <f t="shared" si="60"/>
        <v>-2</v>
      </c>
      <c r="AB83" s="27">
        <f t="shared" si="61"/>
        <v>110</v>
      </c>
      <c r="AC83" s="28">
        <f t="shared" si="62"/>
        <v>344.55</v>
      </c>
      <c r="AD83" s="29">
        <f t="shared" si="63"/>
        <v>8</v>
      </c>
      <c r="AE83" s="162">
        <f t="shared" si="64"/>
        <v>312.55</v>
      </c>
      <c r="AF83">
        <f t="shared" si="65"/>
        <v>4</v>
      </c>
    </row>
    <row r="84" spans="1:32" x14ac:dyDescent="0.25">
      <c r="A84" s="41" t="s">
        <v>157</v>
      </c>
      <c r="B84" s="42" t="s">
        <v>142</v>
      </c>
      <c r="C84" s="23" t="s">
        <v>46</v>
      </c>
      <c r="D84" s="162" t="s">
        <v>48</v>
      </c>
      <c r="E84" s="162" t="s">
        <v>58</v>
      </c>
      <c r="F84" s="162" t="s">
        <v>59</v>
      </c>
      <c r="G84" s="162" t="s">
        <v>60</v>
      </c>
      <c r="H84" s="34" t="s">
        <v>61</v>
      </c>
      <c r="I84" s="24" t="s">
        <v>39</v>
      </c>
      <c r="J84" s="24" t="s">
        <v>40</v>
      </c>
      <c r="K84" s="25">
        <f t="shared" si="44"/>
        <v>2.8</v>
      </c>
      <c r="L84" s="162">
        <f t="shared" si="45"/>
        <v>8</v>
      </c>
      <c r="M84" s="162" t="str">
        <f t="shared" si="46"/>
        <v>W10</v>
      </c>
      <c r="N84" s="162" t="str">
        <f t="shared" si="47"/>
        <v>W10</v>
      </c>
      <c r="O84" s="162">
        <f t="shared" si="48"/>
        <v>0</v>
      </c>
      <c r="P84" s="162">
        <f t="shared" si="49"/>
        <v>14</v>
      </c>
      <c r="Q84" s="162">
        <f t="shared" si="50"/>
        <v>8</v>
      </c>
      <c r="R84" s="162">
        <f t="shared" si="51"/>
        <v>11</v>
      </c>
      <c r="S84" s="162">
        <f t="shared" si="52"/>
        <v>4</v>
      </c>
      <c r="T84" s="162">
        <f t="shared" si="53"/>
        <v>-6</v>
      </c>
      <c r="U84" s="162">
        <f t="shared" si="54"/>
        <v>-19</v>
      </c>
      <c r="V84" s="162">
        <f t="shared" si="55"/>
        <v>-34</v>
      </c>
      <c r="W84" s="162">
        <f t="shared" si="56"/>
        <v>-50</v>
      </c>
      <c r="X84" s="162">
        <f t="shared" si="57"/>
        <v>60</v>
      </c>
      <c r="Y84" s="162">
        <f t="shared" si="58"/>
        <v>9</v>
      </c>
      <c r="Z84" s="162">
        <f t="shared" si="59"/>
        <v>6</v>
      </c>
      <c r="AA84" s="26">
        <f t="shared" si="60"/>
        <v>-5</v>
      </c>
      <c r="AB84" s="27">
        <f t="shared" si="61"/>
        <v>90</v>
      </c>
      <c r="AC84" s="28">
        <f t="shared" si="62"/>
        <v>316.55</v>
      </c>
      <c r="AD84" s="29">
        <f t="shared" si="63"/>
        <v>11.5</v>
      </c>
      <c r="AE84" s="162">
        <f t="shared" si="64"/>
        <v>270.55</v>
      </c>
      <c r="AF84">
        <f t="shared" si="65"/>
        <v>5</v>
      </c>
    </row>
    <row r="85" spans="1:32" x14ac:dyDescent="0.25">
      <c r="A85" s="41" t="s">
        <v>158</v>
      </c>
      <c r="B85" s="42" t="s">
        <v>142</v>
      </c>
      <c r="C85" s="23" t="s">
        <v>46</v>
      </c>
      <c r="D85" s="162" t="s">
        <v>116</v>
      </c>
      <c r="E85" s="162" t="s">
        <v>35</v>
      </c>
      <c r="F85" s="162" t="s">
        <v>50</v>
      </c>
      <c r="G85" s="162" t="s">
        <v>37</v>
      </c>
      <c r="H85" s="160" t="s">
        <v>38</v>
      </c>
      <c r="I85" s="24" t="s">
        <v>39</v>
      </c>
      <c r="J85" s="24" t="s">
        <v>40</v>
      </c>
      <c r="K85" s="25">
        <f t="shared" si="44"/>
        <v>2.8499999999999996</v>
      </c>
      <c r="L85" s="162">
        <f t="shared" si="45"/>
        <v>10</v>
      </c>
      <c r="M85" s="162" t="str">
        <f t="shared" si="46"/>
        <v>W12</v>
      </c>
      <c r="N85" s="162" t="str">
        <f t="shared" si="47"/>
        <v>W12</v>
      </c>
      <c r="O85" s="162">
        <f t="shared" si="48"/>
        <v>3</v>
      </c>
      <c r="P85" s="162">
        <f t="shared" si="49"/>
        <v>5</v>
      </c>
      <c r="Q85" s="162">
        <f t="shared" si="50"/>
        <v>17</v>
      </c>
      <c r="R85" s="162">
        <f t="shared" si="51"/>
        <v>7</v>
      </c>
      <c r="S85" s="162">
        <f t="shared" si="52"/>
        <v>-6</v>
      </c>
      <c r="T85" s="162">
        <f t="shared" si="53"/>
        <v>-21</v>
      </c>
      <c r="U85" s="162">
        <f t="shared" si="54"/>
        <v>-38</v>
      </c>
      <c r="V85" s="162">
        <f t="shared" si="55"/>
        <v>-57</v>
      </c>
      <c r="W85" s="162">
        <f t="shared" si="56"/>
        <v>-78</v>
      </c>
      <c r="X85" s="162">
        <f t="shared" si="57"/>
        <v>20</v>
      </c>
      <c r="Y85" s="162">
        <f t="shared" si="58"/>
        <v>32</v>
      </c>
      <c r="Z85" s="162">
        <f t="shared" si="59"/>
        <v>3</v>
      </c>
      <c r="AA85" s="26">
        <f t="shared" si="60"/>
        <v>-2</v>
      </c>
      <c r="AB85" s="27">
        <f t="shared" si="61"/>
        <v>130</v>
      </c>
      <c r="AC85" s="28">
        <f t="shared" si="62"/>
        <v>308.55</v>
      </c>
      <c r="AD85" s="29">
        <f t="shared" si="63"/>
        <v>8</v>
      </c>
      <c r="AE85" s="162">
        <f t="shared" si="64"/>
        <v>276.55</v>
      </c>
      <c r="AF85">
        <f t="shared" si="65"/>
        <v>3</v>
      </c>
    </row>
    <row r="86" spans="1:32" x14ac:dyDescent="0.25">
      <c r="A86" s="41" t="s">
        <v>159</v>
      </c>
      <c r="B86" s="42" t="s">
        <v>142</v>
      </c>
      <c r="C86" s="23" t="s">
        <v>46</v>
      </c>
      <c r="D86" s="162" t="s">
        <v>118</v>
      </c>
      <c r="E86" s="162" t="s">
        <v>58</v>
      </c>
      <c r="F86" s="162" t="s">
        <v>59</v>
      </c>
      <c r="G86" s="162" t="s">
        <v>60</v>
      </c>
      <c r="H86" s="34" t="s">
        <v>61</v>
      </c>
      <c r="I86" s="24" t="s">
        <v>39</v>
      </c>
      <c r="J86" s="24" t="s">
        <v>40</v>
      </c>
      <c r="K86" s="25">
        <f t="shared" si="44"/>
        <v>3.4</v>
      </c>
      <c r="L86" s="162">
        <f t="shared" si="45"/>
        <v>9</v>
      </c>
      <c r="M86" s="162" t="str">
        <f t="shared" si="46"/>
        <v>W10</v>
      </c>
      <c r="N86" s="162" t="str">
        <f t="shared" si="47"/>
        <v>W8</v>
      </c>
      <c r="O86" s="162">
        <f t="shared" si="48"/>
        <v>0</v>
      </c>
      <c r="P86" s="162">
        <f t="shared" si="49"/>
        <v>14</v>
      </c>
      <c r="Q86" s="162">
        <f t="shared" si="50"/>
        <v>7</v>
      </c>
      <c r="R86" s="162">
        <f t="shared" si="51"/>
        <v>10</v>
      </c>
      <c r="S86" s="162">
        <f t="shared" si="52"/>
        <v>3</v>
      </c>
      <c r="T86" s="162">
        <f t="shared" si="53"/>
        <v>-7</v>
      </c>
      <c r="U86" s="162">
        <f t="shared" si="54"/>
        <v>-20</v>
      </c>
      <c r="V86" s="162">
        <f t="shared" si="55"/>
        <v>-35</v>
      </c>
      <c r="W86" s="162">
        <f t="shared" si="56"/>
        <v>-51</v>
      </c>
      <c r="X86" s="162">
        <f t="shared" si="57"/>
        <v>60</v>
      </c>
      <c r="Y86" s="162">
        <f t="shared" si="58"/>
        <v>12</v>
      </c>
      <c r="Z86" s="162">
        <f t="shared" si="59"/>
        <v>6</v>
      </c>
      <c r="AA86" s="26">
        <f t="shared" si="60"/>
        <v>-5</v>
      </c>
      <c r="AB86" s="27">
        <f t="shared" si="61"/>
        <v>60</v>
      </c>
      <c r="AC86" s="28">
        <f t="shared" si="62"/>
        <v>392.55</v>
      </c>
      <c r="AD86" s="29">
        <f t="shared" si="63"/>
        <v>12.5</v>
      </c>
      <c r="AE86" s="162">
        <f t="shared" si="64"/>
        <v>342.55</v>
      </c>
      <c r="AF86">
        <f t="shared" si="65"/>
        <v>7</v>
      </c>
    </row>
    <row r="87" spans="1:32" x14ac:dyDescent="0.25">
      <c r="A87" s="41" t="s">
        <v>160</v>
      </c>
      <c r="B87" s="42" t="s">
        <v>142</v>
      </c>
      <c r="C87" s="23" t="s">
        <v>46</v>
      </c>
      <c r="D87" s="162" t="s">
        <v>48</v>
      </c>
      <c r="E87" s="162" t="s">
        <v>35</v>
      </c>
      <c r="F87" s="162" t="s">
        <v>50</v>
      </c>
      <c r="G87" s="162" t="s">
        <v>37</v>
      </c>
      <c r="H87" s="160" t="s">
        <v>38</v>
      </c>
      <c r="I87" s="24" t="s">
        <v>39</v>
      </c>
      <c r="J87" s="24" t="s">
        <v>40</v>
      </c>
      <c r="K87" s="25">
        <f t="shared" si="44"/>
        <v>2.5499999999999998</v>
      </c>
      <c r="L87" s="162">
        <f t="shared" si="45"/>
        <v>8</v>
      </c>
      <c r="M87" s="162" t="str">
        <f t="shared" si="46"/>
        <v>W10</v>
      </c>
      <c r="N87" s="162" t="str">
        <f t="shared" si="47"/>
        <v>W10</v>
      </c>
      <c r="O87" s="162">
        <f t="shared" si="48"/>
        <v>0</v>
      </c>
      <c r="P87" s="162">
        <f t="shared" si="49"/>
        <v>8</v>
      </c>
      <c r="Q87" s="162">
        <f t="shared" si="50"/>
        <v>14</v>
      </c>
      <c r="R87" s="162">
        <f t="shared" si="51"/>
        <v>7</v>
      </c>
      <c r="S87" s="162">
        <f t="shared" si="52"/>
        <v>-1</v>
      </c>
      <c r="T87" s="162">
        <f t="shared" si="53"/>
        <v>-11</v>
      </c>
      <c r="U87" s="162">
        <f t="shared" si="54"/>
        <v>-23</v>
      </c>
      <c r="V87" s="162">
        <f t="shared" si="55"/>
        <v>-37</v>
      </c>
      <c r="W87" s="162">
        <f t="shared" si="56"/>
        <v>-53</v>
      </c>
      <c r="X87" s="162">
        <f t="shared" si="57"/>
        <v>30</v>
      </c>
      <c r="Y87" s="162">
        <f t="shared" si="58"/>
        <v>30</v>
      </c>
      <c r="Z87" s="162">
        <f t="shared" si="59"/>
        <v>3</v>
      </c>
      <c r="AA87" s="26">
        <f t="shared" si="60"/>
        <v>-2</v>
      </c>
      <c r="AB87" s="27">
        <f t="shared" si="61"/>
        <v>140</v>
      </c>
      <c r="AC87" s="28">
        <f t="shared" si="62"/>
        <v>268.55</v>
      </c>
      <c r="AD87" s="29">
        <f t="shared" si="63"/>
        <v>7</v>
      </c>
      <c r="AE87" s="162">
        <f t="shared" si="64"/>
        <v>240.55</v>
      </c>
      <c r="AF87">
        <f t="shared" si="65"/>
        <v>3</v>
      </c>
    </row>
    <row r="90" spans="1:32" x14ac:dyDescent="0.25">
      <c r="A90" s="16"/>
    </row>
    <row r="91" spans="1:32" x14ac:dyDescent="0.25">
      <c r="A91" s="161"/>
    </row>
    <row r="92" spans="1:32" x14ac:dyDescent="0.25">
      <c r="A92" s="161"/>
    </row>
    <row r="93" spans="1:32" x14ac:dyDescent="0.25">
      <c r="A93" s="161"/>
    </row>
    <row r="94" spans="1:32" x14ac:dyDescent="0.25">
      <c r="A94" s="161"/>
    </row>
    <row r="95" spans="1:32" x14ac:dyDescent="0.25">
      <c r="A95" s="161"/>
    </row>
    <row r="96" spans="1:32" x14ac:dyDescent="0.25">
      <c r="A96" s="161"/>
    </row>
    <row r="97" spans="1:1" x14ac:dyDescent="0.25">
      <c r="A97" s="161"/>
    </row>
    <row r="98" spans="1:1" x14ac:dyDescent="0.25">
      <c r="A98" s="161"/>
    </row>
    <row r="99" spans="1:1" x14ac:dyDescent="0.25">
      <c r="A99" s="161"/>
    </row>
    <row r="100" spans="1:1" x14ac:dyDescent="0.25">
      <c r="A100" s="161"/>
    </row>
  </sheetData>
  <autoFilter ref="A1:AE100" xr:uid="{00000000-0009-0000-0000-000000000000}">
    <sortState xmlns:xlrd2="http://schemas.microsoft.com/office/spreadsheetml/2017/richdata2" ref="A2:AE100">
      <sortCondition ref="B1:B100"/>
    </sortState>
  </autoFilter>
  <dataValidations count="2">
    <dataValidation type="list" allowBlank="1" showInputMessage="1" showErrorMessage="1" sqref="J2:J87" xr:uid="{00000000-0002-0000-0000-000000000000}">
      <formula1>Anpassung</formula1>
      <formula2>0</formula2>
    </dataValidation>
    <dataValidation type="list" allowBlank="1" showInputMessage="1" showErrorMessage="1" sqref="I2:I87" xr:uid="{00000000-0002-0000-0000-000001000000}">
      <formula1>gobherstellung</formula1>
    </dataValidation>
  </dataValidations>
  <pageMargins left="0.7" right="0.7" top="0.78749999999999998" bottom="0.78749999999999998" header="0.51180555555555496" footer="0.51180555555555496"/>
  <pageSetup paperSize="9" firstPageNumber="0"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35"/>
  <sheetViews>
    <sheetView zoomScaleNormal="100" workbookViewId="0">
      <selection activeCell="A4" sqref="A4"/>
    </sheetView>
  </sheetViews>
  <sheetFormatPr baseColWidth="10" defaultColWidth="9.140625" defaultRowHeight="15" x14ac:dyDescent="0.25"/>
  <cols>
    <col min="1" max="1" width="16.7109375" style="162" customWidth="1"/>
    <col min="2" max="2" width="11.42578125" style="43" customWidth="1"/>
    <col min="3" max="3" width="11.42578125" style="5" customWidth="1"/>
    <col min="4" max="4" width="18.7109375" style="6" customWidth="1"/>
    <col min="5" max="5" width="15.5703125" style="7" customWidth="1"/>
    <col min="6" max="6" width="15.5703125" style="43" customWidth="1"/>
    <col min="7" max="8" width="16.28515625" style="43" customWidth="1"/>
    <col min="9" max="9" width="17.85546875" style="43" customWidth="1"/>
    <col min="10" max="10" width="60.42578125" style="58" customWidth="1"/>
    <col min="11" max="1025" width="11.42578125" style="59" customWidth="1"/>
  </cols>
  <sheetData>
    <row r="1" spans="1:10" x14ac:dyDescent="0.25">
      <c r="A1" s="162" t="s">
        <v>161</v>
      </c>
      <c r="B1" s="162" t="s">
        <v>162</v>
      </c>
      <c r="C1" s="45" t="s">
        <v>16</v>
      </c>
      <c r="D1" s="46" t="s">
        <v>163</v>
      </c>
      <c r="E1" s="47" t="s">
        <v>164</v>
      </c>
      <c r="F1" s="57" t="s">
        <v>165</v>
      </c>
      <c r="G1" s="57" t="s">
        <v>166</v>
      </c>
      <c r="H1" s="57" t="s">
        <v>167</v>
      </c>
      <c r="I1" s="57" t="s">
        <v>168</v>
      </c>
      <c r="J1" s="44" t="s">
        <v>169</v>
      </c>
    </row>
    <row r="2" spans="1:10" x14ac:dyDescent="0.25">
      <c r="A2" s="162" t="s">
        <v>35</v>
      </c>
      <c r="B2" s="56" t="s">
        <v>170</v>
      </c>
      <c r="C2" s="45">
        <v>12</v>
      </c>
      <c r="D2" s="46">
        <f>'Ressourcen-Munition'!D23</f>
        <v>0.36691200000000002</v>
      </c>
      <c r="E2" s="47">
        <f>'Ressourcen-Munition'!E23</f>
        <v>3.6691200000000004</v>
      </c>
      <c r="F2" s="57">
        <f>'Ressourcen-Munition'!F23</f>
        <v>18.345600000000001</v>
      </c>
      <c r="G2" s="57">
        <f>'Ressourcen-Munition'!G23</f>
        <v>36.691200000000002</v>
      </c>
      <c r="H2" s="57">
        <f>'Ressourcen-Munition'!H23</f>
        <v>183.45600000000002</v>
      </c>
      <c r="I2" s="57">
        <f>'Ressourcen-Munition'!I23</f>
        <v>366.91200000000003</v>
      </c>
    </row>
    <row r="3" spans="1:10" x14ac:dyDescent="0.25">
      <c r="A3" s="162" t="s">
        <v>35</v>
      </c>
      <c r="B3" s="56" t="s">
        <v>170</v>
      </c>
      <c r="C3" s="45">
        <v>13</v>
      </c>
      <c r="D3" s="46">
        <f>'Ressourcen-Munition'!D24</f>
        <v>0.37455600000000006</v>
      </c>
      <c r="E3" s="47">
        <f>'Ressourcen-Munition'!E24</f>
        <v>3.7455600000000007</v>
      </c>
      <c r="F3" s="57">
        <f>'Ressourcen-Munition'!F24</f>
        <v>18.727800000000002</v>
      </c>
      <c r="G3" s="57">
        <f>'Ressourcen-Munition'!G24</f>
        <v>37.455600000000004</v>
      </c>
      <c r="H3" s="57">
        <f>'Ressourcen-Munition'!H24</f>
        <v>187.27800000000002</v>
      </c>
      <c r="I3" s="57">
        <f>'Ressourcen-Munition'!I24</f>
        <v>374.55600000000004</v>
      </c>
    </row>
    <row r="4" spans="1:10" x14ac:dyDescent="0.25">
      <c r="A4" s="162" t="s">
        <v>35</v>
      </c>
      <c r="B4" s="56" t="s">
        <v>170</v>
      </c>
      <c r="C4" s="45">
        <v>14</v>
      </c>
      <c r="D4" s="46">
        <f>'Ressourcen-Munition'!D25</f>
        <v>0.38220000000000004</v>
      </c>
      <c r="E4" s="47">
        <f>'Ressourcen-Munition'!E25</f>
        <v>3.8220000000000005</v>
      </c>
      <c r="F4" s="57">
        <f>'Ressourcen-Munition'!F25</f>
        <v>19.110000000000003</v>
      </c>
      <c r="G4" s="57">
        <f>'Ressourcen-Munition'!G25</f>
        <v>38.220000000000006</v>
      </c>
      <c r="H4" s="57">
        <f>'Ressourcen-Munition'!H25</f>
        <v>191.10000000000002</v>
      </c>
      <c r="I4" s="57">
        <f>'Ressourcen-Munition'!I25</f>
        <v>382.20000000000005</v>
      </c>
    </row>
    <row r="5" spans="1:10" x14ac:dyDescent="0.25">
      <c r="A5" s="162" t="s">
        <v>35</v>
      </c>
      <c r="B5" s="56" t="s">
        <v>170</v>
      </c>
      <c r="C5" s="45">
        <v>15</v>
      </c>
      <c r="D5" s="46">
        <f>'Ressourcen-Munition'!D26</f>
        <v>0.38984400000000002</v>
      </c>
      <c r="E5" s="47">
        <f>'Ressourcen-Munition'!E26</f>
        <v>3.8984400000000003</v>
      </c>
      <c r="F5" s="57">
        <f>'Ressourcen-Munition'!F26</f>
        <v>19.4922</v>
      </c>
      <c r="G5" s="57">
        <f>'Ressourcen-Munition'!G26</f>
        <v>38.984400000000001</v>
      </c>
      <c r="H5" s="57">
        <f>'Ressourcen-Munition'!H26</f>
        <v>194.92200000000003</v>
      </c>
      <c r="I5" s="57">
        <f>'Ressourcen-Munition'!I26</f>
        <v>389.84400000000005</v>
      </c>
    </row>
    <row r="6" spans="1:10" x14ac:dyDescent="0.25">
      <c r="A6" s="162" t="s">
        <v>35</v>
      </c>
      <c r="B6" s="56" t="s">
        <v>170</v>
      </c>
      <c r="C6" s="45">
        <v>16</v>
      </c>
      <c r="D6" s="46">
        <f>'Ressourcen-Munition'!D27</f>
        <v>0.39748800000000006</v>
      </c>
      <c r="E6" s="47">
        <f>'Ressourcen-Munition'!E27</f>
        <v>3.9748800000000006</v>
      </c>
      <c r="F6" s="57">
        <f>'Ressourcen-Munition'!F27</f>
        <v>19.874400000000001</v>
      </c>
      <c r="G6" s="57">
        <f>'Ressourcen-Munition'!G27</f>
        <v>39.748800000000003</v>
      </c>
      <c r="H6" s="57">
        <f>'Ressourcen-Munition'!H27</f>
        <v>198.74400000000003</v>
      </c>
      <c r="I6" s="57">
        <f>'Ressourcen-Munition'!I27</f>
        <v>397.48800000000006</v>
      </c>
    </row>
    <row r="7" spans="1:10" x14ac:dyDescent="0.25">
      <c r="A7" s="162" t="s">
        <v>35</v>
      </c>
      <c r="B7" s="56" t="s">
        <v>170</v>
      </c>
      <c r="C7" s="45">
        <v>17</v>
      </c>
      <c r="D7" s="46">
        <f>'Ressourcen-Munition'!D28</f>
        <v>0.40513200000000005</v>
      </c>
      <c r="E7" s="47">
        <f>'Ressourcen-Munition'!E28</f>
        <v>4.0513200000000005</v>
      </c>
      <c r="F7" s="57">
        <f>'Ressourcen-Munition'!F28</f>
        <v>20.256600000000002</v>
      </c>
      <c r="G7" s="57">
        <f>'Ressourcen-Munition'!G28</f>
        <v>40.513200000000005</v>
      </c>
      <c r="H7" s="57">
        <f>'Ressourcen-Munition'!H28</f>
        <v>202.56600000000003</v>
      </c>
      <c r="I7" s="57">
        <f>'Ressourcen-Munition'!I28</f>
        <v>405.13200000000006</v>
      </c>
    </row>
    <row r="8" spans="1:10" x14ac:dyDescent="0.25">
      <c r="A8" s="162" t="s">
        <v>35</v>
      </c>
      <c r="B8" s="56" t="s">
        <v>170</v>
      </c>
      <c r="C8" s="45">
        <v>18</v>
      </c>
      <c r="D8" s="46">
        <f>'Ressourcen-Munition'!D29</f>
        <v>0.41277600000000009</v>
      </c>
      <c r="E8" s="47">
        <f>'Ressourcen-Munition'!E29</f>
        <v>4.1277600000000012</v>
      </c>
      <c r="F8" s="57">
        <f>'Ressourcen-Munition'!F29</f>
        <v>20.638800000000003</v>
      </c>
      <c r="G8" s="57">
        <f>'Ressourcen-Munition'!G29</f>
        <v>41.277600000000007</v>
      </c>
      <c r="H8" s="57">
        <f>'Ressourcen-Munition'!H29</f>
        <v>206.38800000000003</v>
      </c>
      <c r="I8" s="57">
        <f>'Ressourcen-Munition'!I29</f>
        <v>412.77600000000007</v>
      </c>
    </row>
    <row r="9" spans="1:10" x14ac:dyDescent="0.25">
      <c r="A9" s="162" t="s">
        <v>35</v>
      </c>
      <c r="B9" s="56" t="s">
        <v>170</v>
      </c>
      <c r="C9" s="45">
        <v>19</v>
      </c>
      <c r="D9" s="46">
        <f>'Ressourcen-Munition'!D30</f>
        <v>0.42042000000000007</v>
      </c>
      <c r="E9" s="47">
        <f>'Ressourcen-Munition'!E30</f>
        <v>4.204200000000001</v>
      </c>
      <c r="F9" s="57">
        <f>'Ressourcen-Munition'!F30</f>
        <v>21.021000000000004</v>
      </c>
      <c r="G9" s="57">
        <f>'Ressourcen-Munition'!G30</f>
        <v>42.042000000000009</v>
      </c>
      <c r="H9" s="57">
        <f>'Ressourcen-Munition'!H30</f>
        <v>210.21000000000004</v>
      </c>
      <c r="I9" s="57">
        <f>'Ressourcen-Munition'!I30</f>
        <v>420.42000000000007</v>
      </c>
    </row>
    <row r="10" spans="1:10" x14ac:dyDescent="0.25">
      <c r="A10" s="162" t="s">
        <v>35</v>
      </c>
      <c r="B10" s="56" t="s">
        <v>170</v>
      </c>
      <c r="C10" s="45">
        <v>20</v>
      </c>
      <c r="D10" s="46">
        <f>'Ressourcen-Munition'!D31</f>
        <v>0.42806400000000011</v>
      </c>
      <c r="E10" s="47">
        <f>'Ressourcen-Munition'!E31</f>
        <v>4.2806400000000009</v>
      </c>
      <c r="F10" s="57">
        <f>'Ressourcen-Munition'!F31</f>
        <v>21.403200000000005</v>
      </c>
      <c r="G10" s="57">
        <f>'Ressourcen-Munition'!G31</f>
        <v>42.806400000000011</v>
      </c>
      <c r="H10" s="57">
        <f>'Ressourcen-Munition'!H31</f>
        <v>214.03200000000007</v>
      </c>
      <c r="I10" s="57">
        <f>'Ressourcen-Munition'!I31</f>
        <v>428.06400000000014</v>
      </c>
    </row>
    <row r="11" spans="1:10" x14ac:dyDescent="0.25">
      <c r="A11" s="162" t="s">
        <v>35</v>
      </c>
      <c r="B11" s="56" t="s">
        <v>170</v>
      </c>
      <c r="C11" s="45">
        <v>21</v>
      </c>
      <c r="D11" s="46">
        <f>'Ressourcen-Munition'!D32</f>
        <v>0.43570799999999998</v>
      </c>
      <c r="E11" s="47">
        <f>'Ressourcen-Munition'!E32</f>
        <v>4.3570799999999998</v>
      </c>
      <c r="F11" s="57">
        <f>'Ressourcen-Munition'!F32</f>
        <v>21.785399999999999</v>
      </c>
      <c r="G11" s="57">
        <f>'Ressourcen-Munition'!G32</f>
        <v>43.570799999999998</v>
      </c>
      <c r="H11" s="57">
        <f>'Ressourcen-Munition'!H32</f>
        <v>217.85399999999998</v>
      </c>
      <c r="I11" s="57">
        <f>'Ressourcen-Munition'!I32</f>
        <v>435.70799999999997</v>
      </c>
    </row>
    <row r="12" spans="1:10" x14ac:dyDescent="0.25">
      <c r="A12" s="162" t="s">
        <v>35</v>
      </c>
      <c r="B12" s="56" t="s">
        <v>170</v>
      </c>
      <c r="C12" s="45">
        <v>22</v>
      </c>
      <c r="D12" s="46">
        <f>'Ressourcen-Munition'!D33</f>
        <v>0.44335200000000002</v>
      </c>
      <c r="E12" s="47">
        <f>'Ressourcen-Munition'!E33</f>
        <v>4.4335200000000006</v>
      </c>
      <c r="F12" s="57">
        <f>'Ressourcen-Munition'!F33</f>
        <v>22.1676</v>
      </c>
      <c r="G12" s="57">
        <f>'Ressourcen-Munition'!G33</f>
        <v>44.3352</v>
      </c>
      <c r="H12" s="57">
        <f>'Ressourcen-Munition'!H33</f>
        <v>221.67600000000002</v>
      </c>
      <c r="I12" s="57">
        <f>'Ressourcen-Munition'!I33</f>
        <v>443.35200000000003</v>
      </c>
    </row>
    <row r="13" spans="1:10" s="55" customFormat="1" x14ac:dyDescent="0.25">
      <c r="A13" s="48" t="s">
        <v>35</v>
      </c>
      <c r="B13" s="49" t="s">
        <v>170</v>
      </c>
      <c r="C13" s="50">
        <v>23</v>
      </c>
      <c r="D13" s="51">
        <f>'Ressourcen-Munition'!D34</f>
        <v>0.45099600000000001</v>
      </c>
      <c r="E13" s="52">
        <f>'Ressourcen-Munition'!E34</f>
        <v>4.5099600000000004</v>
      </c>
      <c r="F13" s="53">
        <f>'Ressourcen-Munition'!F34</f>
        <v>22.549800000000001</v>
      </c>
      <c r="G13" s="53">
        <f>'Ressourcen-Munition'!G34</f>
        <v>45.099600000000002</v>
      </c>
      <c r="H13" s="53">
        <f>'Ressourcen-Munition'!H34</f>
        <v>225.49799999999999</v>
      </c>
      <c r="I13" s="53">
        <f>'Ressourcen-Munition'!I34</f>
        <v>450.99599999999998</v>
      </c>
      <c r="J13" s="54"/>
    </row>
    <row r="14" spans="1:10" x14ac:dyDescent="0.25">
      <c r="A14" s="162" t="s">
        <v>35</v>
      </c>
      <c r="B14" s="56" t="s">
        <v>171</v>
      </c>
      <c r="C14" s="45">
        <v>12</v>
      </c>
      <c r="D14" s="46">
        <f>'Ressourcen-Munition'!D35</f>
        <v>0.40885500000000002</v>
      </c>
      <c r="E14" s="47">
        <f>'Ressourcen-Munition'!E35</f>
        <v>4.0885500000000006</v>
      </c>
      <c r="F14" s="57">
        <f>'Ressourcen-Munition'!F35</f>
        <v>20.44275</v>
      </c>
      <c r="G14" s="57">
        <f>'Ressourcen-Munition'!G35</f>
        <v>40.8855</v>
      </c>
      <c r="H14" s="57">
        <f>'Ressourcen-Munition'!H35</f>
        <v>204.42750000000001</v>
      </c>
      <c r="I14" s="57">
        <f>'Ressourcen-Munition'!I35</f>
        <v>408.85500000000002</v>
      </c>
      <c r="J14" s="58" t="s">
        <v>172</v>
      </c>
    </row>
    <row r="15" spans="1:10" x14ac:dyDescent="0.25">
      <c r="A15" s="162" t="s">
        <v>35</v>
      </c>
      <c r="B15" s="56" t="s">
        <v>171</v>
      </c>
      <c r="C15" s="45">
        <v>13</v>
      </c>
      <c r="D15" s="46">
        <f>'Ressourcen-Munition'!D36</f>
        <v>0.41517750000000003</v>
      </c>
      <c r="E15" s="47">
        <f>'Ressourcen-Munition'!E36</f>
        <v>4.1517750000000007</v>
      </c>
      <c r="F15" s="57">
        <f>'Ressourcen-Munition'!F36</f>
        <v>20.758875000000003</v>
      </c>
      <c r="G15" s="57">
        <f>'Ressourcen-Munition'!G36</f>
        <v>41.517750000000007</v>
      </c>
      <c r="H15" s="57">
        <f>'Ressourcen-Munition'!H36</f>
        <v>207.58875</v>
      </c>
      <c r="I15" s="57">
        <f>'Ressourcen-Munition'!I36</f>
        <v>415.17750000000001</v>
      </c>
      <c r="J15" s="58" t="s">
        <v>172</v>
      </c>
    </row>
    <row r="16" spans="1:10" x14ac:dyDescent="0.25">
      <c r="A16" s="162" t="s">
        <v>35</v>
      </c>
      <c r="B16" s="56" t="s">
        <v>171</v>
      </c>
      <c r="C16" s="45">
        <v>14</v>
      </c>
      <c r="D16" s="46">
        <f>'Ressourcen-Munition'!D37</f>
        <v>0.42150000000000004</v>
      </c>
      <c r="E16" s="47">
        <f>'Ressourcen-Munition'!E37</f>
        <v>4.2150000000000007</v>
      </c>
      <c r="F16" s="57">
        <f>'Ressourcen-Munition'!F37</f>
        <v>21.075000000000003</v>
      </c>
      <c r="G16" s="57">
        <f>'Ressourcen-Munition'!G37</f>
        <v>42.150000000000006</v>
      </c>
      <c r="H16" s="57">
        <f>'Ressourcen-Munition'!H37</f>
        <v>210.75000000000003</v>
      </c>
      <c r="I16" s="57">
        <f>'Ressourcen-Munition'!I37</f>
        <v>421.50000000000006</v>
      </c>
      <c r="J16" s="58" t="s">
        <v>172</v>
      </c>
    </row>
    <row r="17" spans="1:10" x14ac:dyDescent="0.25">
      <c r="A17" s="162" t="s">
        <v>35</v>
      </c>
      <c r="B17" s="56" t="s">
        <v>171</v>
      </c>
      <c r="C17" s="45">
        <v>15</v>
      </c>
      <c r="D17" s="46">
        <f>'Ressourcen-Munition'!D38</f>
        <v>0.42782249999999999</v>
      </c>
      <c r="E17" s="47">
        <f>'Ressourcen-Munition'!E38</f>
        <v>4.2782249999999999</v>
      </c>
      <c r="F17" s="57">
        <f>'Ressourcen-Munition'!F38</f>
        <v>21.391124999999999</v>
      </c>
      <c r="G17" s="57">
        <f>'Ressourcen-Munition'!G38</f>
        <v>42.782249999999998</v>
      </c>
      <c r="H17" s="57">
        <f>'Ressourcen-Munition'!H38</f>
        <v>213.91125</v>
      </c>
      <c r="I17" s="57">
        <f>'Ressourcen-Munition'!I38</f>
        <v>427.82249999999999</v>
      </c>
      <c r="J17" s="58" t="s">
        <v>172</v>
      </c>
    </row>
    <row r="18" spans="1:10" x14ac:dyDescent="0.25">
      <c r="A18" s="162" t="s">
        <v>35</v>
      </c>
      <c r="B18" s="56" t="s">
        <v>171</v>
      </c>
      <c r="C18" s="45">
        <v>16</v>
      </c>
      <c r="D18" s="46">
        <f>'Ressourcen-Munition'!D39</f>
        <v>0.43414500000000006</v>
      </c>
      <c r="E18" s="47">
        <f>'Ressourcen-Munition'!E39</f>
        <v>4.3414500000000009</v>
      </c>
      <c r="F18" s="57">
        <f>'Ressourcen-Munition'!F39</f>
        <v>21.707250000000002</v>
      </c>
      <c r="G18" s="57">
        <f>'Ressourcen-Munition'!G39</f>
        <v>43.414500000000004</v>
      </c>
      <c r="H18" s="57">
        <f>'Ressourcen-Munition'!H39</f>
        <v>217.07250000000002</v>
      </c>
      <c r="I18" s="57">
        <f>'Ressourcen-Munition'!I39</f>
        <v>434.14500000000004</v>
      </c>
      <c r="J18" s="58" t="s">
        <v>172</v>
      </c>
    </row>
    <row r="19" spans="1:10" x14ac:dyDescent="0.25">
      <c r="A19" s="162" t="s">
        <v>35</v>
      </c>
      <c r="B19" s="56" t="s">
        <v>171</v>
      </c>
      <c r="C19" s="45">
        <v>17</v>
      </c>
      <c r="D19" s="46">
        <f>'Ressourcen-Munition'!D40</f>
        <v>0.44046750000000001</v>
      </c>
      <c r="E19" s="47">
        <f>'Ressourcen-Munition'!E40</f>
        <v>4.4046750000000001</v>
      </c>
      <c r="F19" s="57">
        <f>'Ressourcen-Munition'!F40</f>
        <v>22.023375000000001</v>
      </c>
      <c r="G19" s="57">
        <f>'Ressourcen-Munition'!G40</f>
        <v>44.046750000000003</v>
      </c>
      <c r="H19" s="57">
        <f>'Ressourcen-Munition'!H40</f>
        <v>220.23375000000001</v>
      </c>
      <c r="I19" s="57">
        <f>'Ressourcen-Munition'!I40</f>
        <v>440.46750000000003</v>
      </c>
      <c r="J19" s="58" t="s">
        <v>172</v>
      </c>
    </row>
    <row r="20" spans="1:10" x14ac:dyDescent="0.25">
      <c r="A20" s="162" t="s">
        <v>35</v>
      </c>
      <c r="B20" s="56" t="s">
        <v>171</v>
      </c>
      <c r="C20" s="45">
        <v>18</v>
      </c>
      <c r="D20" s="46">
        <f>'Ressourcen-Munition'!D41</f>
        <v>0.44679000000000008</v>
      </c>
      <c r="E20" s="47">
        <f>'Ressourcen-Munition'!E41</f>
        <v>4.4679000000000011</v>
      </c>
      <c r="F20" s="57">
        <f>'Ressourcen-Munition'!F41</f>
        <v>22.339500000000005</v>
      </c>
      <c r="G20" s="57">
        <f>'Ressourcen-Munition'!G41</f>
        <v>44.679000000000009</v>
      </c>
      <c r="H20" s="57">
        <f>'Ressourcen-Munition'!H41</f>
        <v>223.39500000000004</v>
      </c>
      <c r="I20" s="57">
        <f>'Ressourcen-Munition'!I41</f>
        <v>446.79000000000008</v>
      </c>
      <c r="J20" s="58" t="s">
        <v>172</v>
      </c>
    </row>
    <row r="21" spans="1:10" x14ac:dyDescent="0.25">
      <c r="A21" s="162" t="s">
        <v>35</v>
      </c>
      <c r="B21" s="56" t="s">
        <v>171</v>
      </c>
      <c r="C21" s="45">
        <v>19</v>
      </c>
      <c r="D21" s="46">
        <f>'Ressourcen-Munition'!D42</f>
        <v>0.45311250000000003</v>
      </c>
      <c r="E21" s="47">
        <f>'Ressourcen-Munition'!E42</f>
        <v>4.5311250000000003</v>
      </c>
      <c r="F21" s="57">
        <f>'Ressourcen-Munition'!F42</f>
        <v>22.655625000000001</v>
      </c>
      <c r="G21" s="57">
        <f>'Ressourcen-Munition'!G42</f>
        <v>45.311250000000001</v>
      </c>
      <c r="H21" s="57">
        <f>'Ressourcen-Munition'!H42</f>
        <v>226.55625000000001</v>
      </c>
      <c r="I21" s="57">
        <f>'Ressourcen-Munition'!I42</f>
        <v>453.11250000000001</v>
      </c>
      <c r="J21" s="58" t="s">
        <v>172</v>
      </c>
    </row>
    <row r="22" spans="1:10" x14ac:dyDescent="0.25">
      <c r="A22" s="162" t="s">
        <v>35</v>
      </c>
      <c r="B22" s="56" t="s">
        <v>171</v>
      </c>
      <c r="C22" s="45">
        <v>20</v>
      </c>
      <c r="D22" s="46">
        <f>'Ressourcen-Munition'!D43</f>
        <v>0.45943500000000009</v>
      </c>
      <c r="E22" s="47">
        <f>'Ressourcen-Munition'!E43</f>
        <v>4.5943500000000013</v>
      </c>
      <c r="F22" s="57">
        <f>'Ressourcen-Munition'!F43</f>
        <v>22.971750000000004</v>
      </c>
      <c r="G22" s="57">
        <f>'Ressourcen-Munition'!G43</f>
        <v>45.943500000000007</v>
      </c>
      <c r="H22" s="57">
        <f>'Ressourcen-Munition'!H43</f>
        <v>229.71750000000006</v>
      </c>
      <c r="I22" s="57">
        <f>'Ressourcen-Munition'!I43</f>
        <v>459.43500000000012</v>
      </c>
      <c r="J22" s="58" t="s">
        <v>172</v>
      </c>
    </row>
    <row r="23" spans="1:10" x14ac:dyDescent="0.25">
      <c r="A23" s="162" t="s">
        <v>35</v>
      </c>
      <c r="B23" s="56" t="s">
        <v>171</v>
      </c>
      <c r="C23" s="45">
        <v>21</v>
      </c>
      <c r="D23" s="46">
        <f>'Ressourcen-Munition'!D44</f>
        <v>0.46575750000000005</v>
      </c>
      <c r="E23" s="47">
        <f>'Ressourcen-Munition'!E44</f>
        <v>4.6575750000000005</v>
      </c>
      <c r="F23" s="57">
        <f>'Ressourcen-Munition'!F44</f>
        <v>23.287875000000003</v>
      </c>
      <c r="G23" s="57">
        <f>'Ressourcen-Munition'!G44</f>
        <v>46.575750000000006</v>
      </c>
      <c r="H23" s="57">
        <f>'Ressourcen-Munition'!H44</f>
        <v>232.87875000000003</v>
      </c>
      <c r="I23" s="57">
        <f>'Ressourcen-Munition'!I44</f>
        <v>465.75750000000005</v>
      </c>
      <c r="J23" s="58" t="s">
        <v>172</v>
      </c>
    </row>
    <row r="24" spans="1:10" x14ac:dyDescent="0.25">
      <c r="A24" s="162" t="s">
        <v>35</v>
      </c>
      <c r="B24" s="56" t="s">
        <v>171</v>
      </c>
      <c r="C24" s="45">
        <v>22</v>
      </c>
      <c r="D24" s="46">
        <f>'Ressourcen-Munition'!D45</f>
        <v>0.47208000000000011</v>
      </c>
      <c r="E24" s="47">
        <f>'Ressourcen-Munition'!E45</f>
        <v>4.7208000000000014</v>
      </c>
      <c r="F24" s="57">
        <f>'Ressourcen-Munition'!F45</f>
        <v>23.604000000000006</v>
      </c>
      <c r="G24" s="57">
        <f>'Ressourcen-Munition'!G45</f>
        <v>47.208000000000013</v>
      </c>
      <c r="H24" s="57">
        <f>'Ressourcen-Munition'!H45</f>
        <v>236.04000000000005</v>
      </c>
      <c r="I24" s="57">
        <f>'Ressourcen-Munition'!I45</f>
        <v>472.0800000000001</v>
      </c>
      <c r="J24" s="58" t="s">
        <v>172</v>
      </c>
    </row>
    <row r="25" spans="1:10" x14ac:dyDescent="0.25">
      <c r="A25" s="162" t="s">
        <v>35</v>
      </c>
      <c r="B25" s="56" t="s">
        <v>171</v>
      </c>
      <c r="C25" s="50">
        <v>23</v>
      </c>
      <c r="D25" s="46">
        <f>'Ressourcen-Munition'!D46</f>
        <v>0.47840250000000006</v>
      </c>
      <c r="E25" s="47">
        <f>'Ressourcen-Munition'!E46</f>
        <v>4.7840250000000006</v>
      </c>
      <c r="F25" s="57">
        <f>'Ressourcen-Munition'!F46</f>
        <v>23.920125000000002</v>
      </c>
      <c r="G25" s="57">
        <f>'Ressourcen-Munition'!G46</f>
        <v>47.840250000000005</v>
      </c>
      <c r="H25" s="57">
        <f>'Ressourcen-Munition'!H46</f>
        <v>239.20125000000004</v>
      </c>
      <c r="I25" s="57">
        <f>'Ressourcen-Munition'!I46</f>
        <v>478.40250000000009</v>
      </c>
      <c r="J25" s="58" t="s">
        <v>172</v>
      </c>
    </row>
    <row r="26" spans="1:10" s="67" customFormat="1" x14ac:dyDescent="0.25">
      <c r="A26" s="60" t="s">
        <v>54</v>
      </c>
      <c r="B26" s="61" t="s">
        <v>173</v>
      </c>
      <c r="C26" s="62">
        <v>16</v>
      </c>
      <c r="D26" s="63">
        <f>'Ressourcen-Munition'!D47</f>
        <v>0.68066666666666675</v>
      </c>
      <c r="E26" s="64">
        <f>'Ressourcen-Munition'!E47</f>
        <v>6.8066666666666675</v>
      </c>
      <c r="F26" s="65">
        <f>'Ressourcen-Munition'!F47</f>
        <v>34.033333333333339</v>
      </c>
      <c r="G26" s="65">
        <f>'Ressourcen-Munition'!G47</f>
        <v>68.066666666666677</v>
      </c>
      <c r="H26" s="65">
        <f>'Ressourcen-Munition'!H47</f>
        <v>340.33333333333337</v>
      </c>
      <c r="I26" s="65">
        <f>'Ressourcen-Munition'!I47</f>
        <v>680.66666666666674</v>
      </c>
      <c r="J26" s="66"/>
    </row>
    <row r="27" spans="1:10" x14ac:dyDescent="0.25">
      <c r="A27" s="162" t="s">
        <v>54</v>
      </c>
      <c r="B27" s="68" t="s">
        <v>173</v>
      </c>
      <c r="C27" s="45">
        <v>17</v>
      </c>
      <c r="D27" s="46">
        <f>'Ressourcen-Munition'!D48</f>
        <v>0.70108666666666675</v>
      </c>
      <c r="E27" s="47">
        <f>'Ressourcen-Munition'!E48</f>
        <v>7.0108666666666677</v>
      </c>
      <c r="F27" s="57">
        <f>'Ressourcen-Munition'!F48</f>
        <v>35.054333333333339</v>
      </c>
      <c r="G27" s="57">
        <f>'Ressourcen-Munition'!G48</f>
        <v>70.108666666666679</v>
      </c>
      <c r="H27" s="57">
        <f>'Ressourcen-Munition'!H48</f>
        <v>350.54333333333335</v>
      </c>
      <c r="I27" s="57">
        <f>'Ressourcen-Munition'!I48</f>
        <v>701.0866666666667</v>
      </c>
    </row>
    <row r="28" spans="1:10" x14ac:dyDescent="0.25">
      <c r="A28" s="162" t="s">
        <v>54</v>
      </c>
      <c r="B28" s="68" t="s">
        <v>173</v>
      </c>
      <c r="C28" s="45">
        <v>18</v>
      </c>
      <c r="D28" s="46">
        <f>'Ressourcen-Munition'!D49</f>
        <v>0.72150666666666674</v>
      </c>
      <c r="E28" s="47">
        <f>'Ressourcen-Munition'!E49</f>
        <v>7.215066666666667</v>
      </c>
      <c r="F28" s="57">
        <f>'Ressourcen-Munition'!F49</f>
        <v>36.07533333333334</v>
      </c>
      <c r="G28" s="57">
        <f>'Ressourcen-Munition'!G49</f>
        <v>72.15066666666668</v>
      </c>
      <c r="H28" s="57">
        <f>'Ressourcen-Munition'!H49</f>
        <v>360.75333333333339</v>
      </c>
      <c r="I28" s="57">
        <f>'Ressourcen-Munition'!I49</f>
        <v>721.50666666666677</v>
      </c>
    </row>
    <row r="29" spans="1:10" s="55" customFormat="1" x14ac:dyDescent="0.25">
      <c r="A29" s="48" t="s">
        <v>54</v>
      </c>
      <c r="B29" s="69" t="s">
        <v>173</v>
      </c>
      <c r="C29" s="50">
        <v>19</v>
      </c>
      <c r="D29" s="51">
        <f>'Ressourcen-Munition'!D50</f>
        <v>0.74192666666666685</v>
      </c>
      <c r="E29" s="52">
        <f>'Ressourcen-Munition'!E50</f>
        <v>7.4192666666666689</v>
      </c>
      <c r="F29" s="53">
        <f>'Ressourcen-Munition'!F50</f>
        <v>37.096333333333341</v>
      </c>
      <c r="G29" s="53">
        <f>'Ressourcen-Munition'!G50</f>
        <v>74.192666666666682</v>
      </c>
      <c r="H29" s="53">
        <f>'Ressourcen-Munition'!H50</f>
        <v>370.96333333333342</v>
      </c>
      <c r="I29" s="53">
        <f>'Ressourcen-Munition'!I50</f>
        <v>741.92666666666685</v>
      </c>
      <c r="J29" s="54"/>
    </row>
    <row r="30" spans="1:10" s="67" customFormat="1" x14ac:dyDescent="0.25">
      <c r="A30" s="60" t="s">
        <v>174</v>
      </c>
      <c r="B30" s="70" t="s">
        <v>175</v>
      </c>
      <c r="C30" s="62">
        <v>7</v>
      </c>
      <c r="D30" s="63">
        <f>'Ressourcen-Munition'!D51</f>
        <v>0.78139999999999998</v>
      </c>
      <c r="E30" s="64">
        <f>'Ressourcen-Munition'!E51</f>
        <v>7.8140000000000001</v>
      </c>
      <c r="F30" s="65">
        <f>'Ressourcen-Munition'!F51</f>
        <v>39.07</v>
      </c>
      <c r="G30" s="65">
        <f>'Ressourcen-Munition'!G51</f>
        <v>78.14</v>
      </c>
      <c r="H30" s="65">
        <f>'Ressourcen-Munition'!H51</f>
        <v>390.7</v>
      </c>
      <c r="I30" s="65">
        <f>'Ressourcen-Munition'!I51</f>
        <v>781.4</v>
      </c>
      <c r="J30" s="66"/>
    </row>
    <row r="31" spans="1:10" x14ac:dyDescent="0.25">
      <c r="A31" s="162" t="s">
        <v>174</v>
      </c>
      <c r="B31" s="71" t="s">
        <v>175</v>
      </c>
      <c r="C31" s="45">
        <v>8</v>
      </c>
      <c r="D31" s="46">
        <f>'Ressourcen-Munition'!D52</f>
        <v>0.82515840000000007</v>
      </c>
      <c r="E31" s="47">
        <f>'Ressourcen-Munition'!E52</f>
        <v>8.2515840000000011</v>
      </c>
      <c r="F31" s="57">
        <f>'Ressourcen-Munition'!F52</f>
        <v>41.257920000000006</v>
      </c>
      <c r="G31" s="57">
        <f>'Ressourcen-Munition'!G52</f>
        <v>82.515840000000011</v>
      </c>
      <c r="H31" s="57">
        <f>'Ressourcen-Munition'!H52</f>
        <v>412.57920000000001</v>
      </c>
      <c r="I31" s="57">
        <f>'Ressourcen-Munition'!I52</f>
        <v>825.15840000000003</v>
      </c>
    </row>
    <row r="32" spans="1:10" x14ac:dyDescent="0.25">
      <c r="A32" s="162" t="s">
        <v>174</v>
      </c>
      <c r="B32" s="71" t="s">
        <v>175</v>
      </c>
      <c r="C32" s="45">
        <v>9</v>
      </c>
      <c r="D32" s="46">
        <f>'Ressourcen-Munition'!D53</f>
        <v>0.86891680000000004</v>
      </c>
      <c r="E32" s="47">
        <f>'Ressourcen-Munition'!E53</f>
        <v>8.6891680000000004</v>
      </c>
      <c r="F32" s="57">
        <f>'Ressourcen-Munition'!F53</f>
        <v>43.445840000000004</v>
      </c>
      <c r="G32" s="57">
        <f>'Ressourcen-Munition'!G53</f>
        <v>86.891680000000008</v>
      </c>
      <c r="H32" s="57">
        <f>'Ressourcen-Munition'!H53</f>
        <v>434.45840000000004</v>
      </c>
      <c r="I32" s="57">
        <f>'Ressourcen-Munition'!I53</f>
        <v>868.91680000000008</v>
      </c>
    </row>
    <row r="33" spans="1:9" x14ac:dyDescent="0.25">
      <c r="A33" s="162" t="s">
        <v>174</v>
      </c>
      <c r="B33" s="71" t="s">
        <v>175</v>
      </c>
      <c r="C33" s="45">
        <v>10</v>
      </c>
      <c r="D33" s="46">
        <f>'Ressourcen-Munition'!D54</f>
        <v>0.91267519999999991</v>
      </c>
      <c r="E33" s="47">
        <f>'Ressourcen-Munition'!E54</f>
        <v>9.1267519999999998</v>
      </c>
      <c r="F33" s="57">
        <f>'Ressourcen-Munition'!F54</f>
        <v>45.633759999999995</v>
      </c>
      <c r="G33" s="57">
        <f>'Ressourcen-Munition'!G54</f>
        <v>91.26751999999999</v>
      </c>
      <c r="H33" s="57">
        <f>'Ressourcen-Munition'!H54</f>
        <v>456.33759999999995</v>
      </c>
      <c r="I33" s="57">
        <f>'Ressourcen-Munition'!I54</f>
        <v>912.6751999999999</v>
      </c>
    </row>
    <row r="34" spans="1:9" x14ac:dyDescent="0.25">
      <c r="A34" s="162" t="s">
        <v>174</v>
      </c>
      <c r="B34" s="71" t="s">
        <v>175</v>
      </c>
      <c r="C34" s="45">
        <v>11</v>
      </c>
      <c r="D34" s="46">
        <f>'Ressourcen-Munition'!D55</f>
        <v>0.95643359999999999</v>
      </c>
      <c r="E34" s="47">
        <f>'Ressourcen-Munition'!E55</f>
        <v>9.5643360000000008</v>
      </c>
      <c r="F34" s="57">
        <f>'Ressourcen-Munition'!F55</f>
        <v>47.821680000000001</v>
      </c>
      <c r="G34" s="57">
        <f>'Ressourcen-Munition'!G55</f>
        <v>95.643360000000001</v>
      </c>
      <c r="H34" s="57">
        <f>'Ressourcen-Munition'!H55</f>
        <v>478.21679999999998</v>
      </c>
      <c r="I34" s="57">
        <f>'Ressourcen-Munition'!I55</f>
        <v>956.43359999999996</v>
      </c>
    </row>
    <row r="35" spans="1:9" x14ac:dyDescent="0.25">
      <c r="A35" s="162" t="s">
        <v>174</v>
      </c>
      <c r="B35" s="71" t="s">
        <v>175</v>
      </c>
      <c r="C35" s="45">
        <v>12</v>
      </c>
      <c r="D35" s="46">
        <f>'Ressourcen-Munition'!D56</f>
        <v>1.000192</v>
      </c>
      <c r="E35" s="47">
        <f>'Ressourcen-Munition'!E56</f>
        <v>10.00192</v>
      </c>
      <c r="F35" s="57">
        <f>'Ressourcen-Munition'!F56</f>
        <v>50.009599999999999</v>
      </c>
      <c r="G35" s="57">
        <f>'Ressourcen-Munition'!G56</f>
        <v>100.0192</v>
      </c>
      <c r="H35" s="57">
        <f>'Ressourcen-Munition'!H56</f>
        <v>500.096</v>
      </c>
      <c r="I35" s="57">
        <f>'Ressourcen-Munition'!I56</f>
        <v>1000.192</v>
      </c>
    </row>
  </sheetData>
  <autoFilter ref="A1:I1" xr:uid="{00000000-0009-0000-0000-000001000000}"/>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113"/>
  <sheetViews>
    <sheetView zoomScale="91" zoomScaleNormal="91" workbookViewId="0">
      <selection activeCell="B2" sqref="B2"/>
    </sheetView>
  </sheetViews>
  <sheetFormatPr baseColWidth="10" defaultColWidth="9.140625" defaultRowHeight="15" x14ac:dyDescent="0.25"/>
  <cols>
    <col min="1" max="1" width="22.7109375" style="72" customWidth="1"/>
    <col min="2" max="2" width="11.42578125" style="72" customWidth="1"/>
    <col min="3" max="3" width="155.7109375" style="72" customWidth="1"/>
    <col min="4" max="1025" width="11.42578125" style="72" customWidth="1"/>
  </cols>
  <sheetData>
    <row r="1" spans="1:6" ht="28.5" customHeight="1" thickBot="1" x14ac:dyDescent="0.3">
      <c r="A1" s="74" t="s">
        <v>0</v>
      </c>
      <c r="B1" s="75"/>
      <c r="C1" s="75"/>
      <c r="D1" s="75"/>
      <c r="E1" s="75"/>
      <c r="F1" s="75"/>
    </row>
    <row r="2" spans="1:6" x14ac:dyDescent="0.25">
      <c r="A2" s="76"/>
      <c r="B2" s="76" t="s">
        <v>176</v>
      </c>
      <c r="C2" s="76"/>
      <c r="D2" s="76"/>
      <c r="E2" s="76"/>
      <c r="F2" s="76"/>
    </row>
    <row r="3" spans="1:6" ht="28.5" customHeight="1" thickBot="1" x14ac:dyDescent="0.3">
      <c r="A3" s="74" t="s">
        <v>2</v>
      </c>
      <c r="B3" s="75"/>
      <c r="C3" s="75"/>
      <c r="D3" s="75"/>
      <c r="E3" s="75"/>
      <c r="F3" s="75"/>
    </row>
    <row r="4" spans="1:6" x14ac:dyDescent="0.25">
      <c r="A4" s="76"/>
      <c r="B4" s="76" t="s">
        <v>177</v>
      </c>
      <c r="C4" s="76"/>
      <c r="D4" s="76"/>
      <c r="E4" s="76"/>
      <c r="F4" s="76"/>
    </row>
    <row r="5" spans="1:6" ht="30" customHeight="1" x14ac:dyDescent="0.25">
      <c r="A5" s="73"/>
      <c r="B5" s="77" t="s">
        <v>178</v>
      </c>
      <c r="C5" s="78" t="s">
        <v>179</v>
      </c>
      <c r="D5" s="73"/>
      <c r="E5" s="73"/>
      <c r="F5" s="73"/>
    </row>
    <row r="6" spans="1:6" ht="45" customHeight="1" x14ac:dyDescent="0.25">
      <c r="A6" s="73"/>
      <c r="B6" s="77" t="s">
        <v>180</v>
      </c>
      <c r="C6" s="78" t="s">
        <v>181</v>
      </c>
      <c r="D6" s="73"/>
      <c r="E6" s="73"/>
      <c r="F6" s="73"/>
    </row>
    <row r="7" spans="1:6" ht="28.5" customHeight="1" thickBot="1" x14ac:dyDescent="0.3">
      <c r="A7" s="74" t="s">
        <v>3</v>
      </c>
      <c r="B7" s="75"/>
      <c r="C7" s="75"/>
      <c r="D7" s="75"/>
      <c r="E7" s="75"/>
      <c r="F7" s="75"/>
    </row>
    <row r="8" spans="1:6" x14ac:dyDescent="0.25">
      <c r="A8" s="76"/>
      <c r="B8" s="76" t="s">
        <v>182</v>
      </c>
      <c r="C8" s="76"/>
      <c r="D8" s="76"/>
      <c r="E8" s="76"/>
      <c r="F8" s="76"/>
    </row>
    <row r="9" spans="1:6" ht="15.75" customHeight="1" x14ac:dyDescent="0.25">
      <c r="A9" s="73"/>
      <c r="B9" s="77" t="s">
        <v>183</v>
      </c>
      <c r="C9" s="72" t="s">
        <v>184</v>
      </c>
      <c r="D9" s="73"/>
      <c r="E9" s="73"/>
      <c r="F9" s="73"/>
    </row>
    <row r="10" spans="1:6" ht="15.75" customHeight="1" x14ac:dyDescent="0.25">
      <c r="A10" s="73"/>
      <c r="B10" s="77" t="s">
        <v>185</v>
      </c>
      <c r="C10" s="72" t="s">
        <v>186</v>
      </c>
      <c r="D10" s="73"/>
      <c r="E10" s="73"/>
      <c r="F10" s="73"/>
    </row>
    <row r="11" spans="1:6" ht="15.75" customHeight="1" x14ac:dyDescent="0.25">
      <c r="A11" s="73"/>
      <c r="B11" s="77" t="s">
        <v>187</v>
      </c>
      <c r="C11" s="72" t="s">
        <v>188</v>
      </c>
      <c r="D11" s="73"/>
      <c r="E11" s="73"/>
      <c r="F11" s="73"/>
    </row>
    <row r="12" spans="1:6" ht="15.75" customHeight="1" x14ac:dyDescent="0.25">
      <c r="A12" s="73"/>
      <c r="B12" s="77" t="s">
        <v>189</v>
      </c>
      <c r="C12" s="72" t="s">
        <v>190</v>
      </c>
      <c r="D12" s="73"/>
      <c r="E12" s="73"/>
      <c r="F12" s="73"/>
    </row>
    <row r="13" spans="1:6" ht="45" customHeight="1" x14ac:dyDescent="0.25">
      <c r="A13" s="73"/>
      <c r="B13" s="77" t="s">
        <v>191</v>
      </c>
      <c r="C13" s="78" t="s">
        <v>192</v>
      </c>
      <c r="D13" s="73"/>
      <c r="E13" s="73"/>
      <c r="F13" s="73"/>
    </row>
    <row r="14" spans="1:6" ht="15.75" customHeight="1" x14ac:dyDescent="0.25">
      <c r="A14" s="73"/>
      <c r="B14" s="77" t="s">
        <v>193</v>
      </c>
      <c r="C14" s="72" t="s">
        <v>194</v>
      </c>
      <c r="D14" s="73"/>
      <c r="E14" s="73"/>
      <c r="F14" s="73"/>
    </row>
    <row r="15" spans="1:6" ht="15.75" customHeight="1" x14ac:dyDescent="0.25">
      <c r="A15" s="73"/>
      <c r="B15" s="77" t="s">
        <v>195</v>
      </c>
      <c r="C15" s="72" t="s">
        <v>196</v>
      </c>
      <c r="D15" s="73"/>
      <c r="E15" s="73"/>
      <c r="F15" s="73"/>
    </row>
    <row r="16" spans="1:6" ht="15.75" customHeight="1" x14ac:dyDescent="0.25">
      <c r="A16" s="73"/>
      <c r="B16" s="77" t="s">
        <v>197</v>
      </c>
      <c r="C16" s="72" t="s">
        <v>198</v>
      </c>
      <c r="D16" s="73"/>
      <c r="E16" s="73"/>
      <c r="F16" s="73"/>
    </row>
    <row r="17" spans="1:6" ht="30" customHeight="1" x14ac:dyDescent="0.25">
      <c r="A17" s="73"/>
      <c r="B17" s="77" t="s">
        <v>199</v>
      </c>
      <c r="C17" s="78" t="s">
        <v>200</v>
      </c>
      <c r="D17" s="73"/>
      <c r="E17" s="73"/>
      <c r="F17" s="73"/>
    </row>
    <row r="18" spans="1:6" ht="30" customHeight="1" x14ac:dyDescent="0.25">
      <c r="A18" s="73"/>
      <c r="B18" s="77" t="s">
        <v>201</v>
      </c>
      <c r="C18" s="78" t="s">
        <v>202</v>
      </c>
      <c r="D18" s="73"/>
      <c r="E18" s="73"/>
      <c r="F18" s="73"/>
    </row>
    <row r="19" spans="1:6" ht="15.75" customHeight="1" x14ac:dyDescent="0.25">
      <c r="A19" s="73"/>
      <c r="B19" s="77" t="s">
        <v>203</v>
      </c>
      <c r="C19" s="72" t="s">
        <v>204</v>
      </c>
      <c r="D19" s="73"/>
      <c r="E19" s="73"/>
      <c r="F19" s="73"/>
    </row>
    <row r="20" spans="1:6" ht="30" customHeight="1" x14ac:dyDescent="0.25">
      <c r="A20" s="73"/>
      <c r="B20" s="77" t="s">
        <v>205</v>
      </c>
      <c r="C20" s="78" t="s">
        <v>206</v>
      </c>
      <c r="D20" s="73"/>
      <c r="E20" s="73"/>
      <c r="F20" s="73"/>
    </row>
    <row r="21" spans="1:6" ht="30" customHeight="1" x14ac:dyDescent="0.25">
      <c r="A21" s="73"/>
      <c r="B21" s="77" t="s">
        <v>207</v>
      </c>
      <c r="C21" s="78" t="s">
        <v>208</v>
      </c>
      <c r="D21" s="73"/>
      <c r="E21" s="73"/>
      <c r="F21" s="73"/>
    </row>
    <row r="22" spans="1:6" ht="30" customHeight="1" x14ac:dyDescent="0.25">
      <c r="A22" s="73"/>
      <c r="B22" s="77" t="s">
        <v>209</v>
      </c>
      <c r="C22" s="78" t="s">
        <v>210</v>
      </c>
      <c r="D22" s="73"/>
      <c r="E22" s="73"/>
      <c r="F22" s="73"/>
    </row>
    <row r="23" spans="1:6" ht="45" customHeight="1" x14ac:dyDescent="0.25">
      <c r="A23" s="73"/>
      <c r="B23" s="77" t="s">
        <v>211</v>
      </c>
      <c r="C23" s="78" t="s">
        <v>212</v>
      </c>
      <c r="D23" s="73"/>
      <c r="E23" s="73"/>
      <c r="F23" s="73"/>
    </row>
    <row r="24" spans="1:6" ht="28.5" customHeight="1" thickBot="1" x14ac:dyDescent="0.3">
      <c r="A24" s="74" t="s">
        <v>4</v>
      </c>
      <c r="B24" s="75"/>
      <c r="C24" s="75"/>
      <c r="D24" s="75"/>
      <c r="E24" s="75"/>
      <c r="F24" s="75"/>
    </row>
    <row r="25" spans="1:6" x14ac:dyDescent="0.25">
      <c r="A25" s="76"/>
      <c r="B25" s="76" t="s">
        <v>213</v>
      </c>
      <c r="C25" s="76"/>
      <c r="D25" s="76"/>
      <c r="E25" s="76"/>
      <c r="F25" s="76"/>
    </row>
    <row r="26" spans="1:6" x14ac:dyDescent="0.25">
      <c r="A26" s="73"/>
      <c r="B26" s="73"/>
      <c r="C26" s="73"/>
      <c r="D26" s="73"/>
      <c r="E26" s="73"/>
      <c r="F26" s="73"/>
    </row>
    <row r="27" spans="1:6" ht="45" customHeight="1" x14ac:dyDescent="0.25">
      <c r="A27" s="73"/>
      <c r="B27" s="77" t="s">
        <v>214</v>
      </c>
      <c r="C27" s="78" t="s">
        <v>215</v>
      </c>
      <c r="D27" s="73"/>
      <c r="E27" s="73"/>
      <c r="F27" s="73"/>
    </row>
    <row r="28" spans="1:6" ht="45" customHeight="1" x14ac:dyDescent="0.25">
      <c r="A28" s="73"/>
      <c r="B28" s="77" t="s">
        <v>216</v>
      </c>
      <c r="C28" s="78" t="s">
        <v>217</v>
      </c>
      <c r="D28" s="73"/>
      <c r="E28" s="73"/>
      <c r="F28" s="73"/>
    </row>
    <row r="29" spans="1:6" ht="30" customHeight="1" x14ac:dyDescent="0.25">
      <c r="A29" s="73"/>
      <c r="B29" s="77" t="s">
        <v>218</v>
      </c>
      <c r="C29" s="78" t="s">
        <v>219</v>
      </c>
      <c r="D29" s="73"/>
      <c r="E29" s="73"/>
      <c r="F29" s="73"/>
    </row>
    <row r="30" spans="1:6" ht="75" customHeight="1" x14ac:dyDescent="0.25">
      <c r="A30" s="73"/>
      <c r="B30" s="77" t="s">
        <v>220</v>
      </c>
      <c r="C30" s="78" t="s">
        <v>221</v>
      </c>
      <c r="D30" s="73"/>
      <c r="E30" s="73"/>
      <c r="F30" s="73"/>
    </row>
    <row r="31" spans="1:6" ht="28.5" customHeight="1" thickBot="1" x14ac:dyDescent="0.3">
      <c r="A31" s="74" t="s">
        <v>5</v>
      </c>
      <c r="B31" s="75"/>
      <c r="C31" s="75"/>
      <c r="D31" s="75"/>
      <c r="E31" s="75"/>
      <c r="F31" s="75"/>
    </row>
    <row r="32" spans="1:6" x14ac:dyDescent="0.25">
      <c r="A32" s="76"/>
      <c r="B32" s="79" t="s">
        <v>222</v>
      </c>
      <c r="C32" s="76"/>
      <c r="D32" s="76"/>
      <c r="E32" s="76"/>
      <c r="F32" s="76"/>
    </row>
    <row r="33" spans="1:6" x14ac:dyDescent="0.25">
      <c r="A33" s="73"/>
      <c r="B33" s="80"/>
      <c r="C33" s="73"/>
      <c r="D33" s="73"/>
      <c r="E33" s="73"/>
      <c r="F33" s="73"/>
    </row>
    <row r="34" spans="1:6" ht="15.75" customHeight="1" x14ac:dyDescent="0.25">
      <c r="A34" s="73"/>
      <c r="B34" s="77" t="s">
        <v>223</v>
      </c>
      <c r="C34" s="72" t="s">
        <v>224</v>
      </c>
      <c r="D34" s="73"/>
      <c r="E34" s="73"/>
      <c r="F34" s="73"/>
    </row>
    <row r="35" spans="1:6" ht="15.75" customHeight="1" x14ac:dyDescent="0.25">
      <c r="A35" s="73"/>
      <c r="B35" s="77" t="s">
        <v>225</v>
      </c>
      <c r="C35" s="72" t="s">
        <v>226</v>
      </c>
      <c r="D35" s="73"/>
      <c r="E35" s="73"/>
      <c r="F35" s="73"/>
    </row>
    <row r="36" spans="1:6" ht="15.75" customHeight="1" x14ac:dyDescent="0.25">
      <c r="A36" s="73"/>
      <c r="B36" s="77" t="s">
        <v>227</v>
      </c>
      <c r="C36" s="72" t="s">
        <v>228</v>
      </c>
      <c r="D36" s="73"/>
      <c r="E36" s="73"/>
      <c r="F36" s="73"/>
    </row>
    <row r="37" spans="1:6" ht="15.75" customHeight="1" x14ac:dyDescent="0.25">
      <c r="A37" s="73"/>
      <c r="B37" s="77" t="s">
        <v>229</v>
      </c>
      <c r="C37" s="72" t="s">
        <v>230</v>
      </c>
      <c r="D37" s="73"/>
      <c r="E37" s="73"/>
      <c r="F37" s="73"/>
    </row>
    <row r="38" spans="1:6" ht="135" customHeight="1" x14ac:dyDescent="0.25">
      <c r="A38" s="73"/>
      <c r="B38" s="77" t="s">
        <v>231</v>
      </c>
      <c r="C38" s="78" t="s">
        <v>232</v>
      </c>
      <c r="D38" s="73"/>
      <c r="E38" s="73"/>
      <c r="F38" s="73"/>
    </row>
    <row r="39" spans="1:6" ht="45" customHeight="1" x14ac:dyDescent="0.25">
      <c r="A39" s="73"/>
      <c r="B39" s="77" t="s">
        <v>233</v>
      </c>
      <c r="C39" s="78" t="s">
        <v>234</v>
      </c>
      <c r="D39" s="73"/>
      <c r="E39" s="73"/>
      <c r="F39" s="73"/>
    </row>
    <row r="40" spans="1:6" ht="28.5" customHeight="1" thickBot="1" x14ac:dyDescent="0.3">
      <c r="A40" s="74" t="s">
        <v>6</v>
      </c>
      <c r="B40" s="75"/>
      <c r="C40" s="75"/>
      <c r="D40" s="75"/>
      <c r="E40" s="75"/>
      <c r="F40" s="75"/>
    </row>
    <row r="41" spans="1:6" x14ac:dyDescent="0.25">
      <c r="A41" s="76"/>
      <c r="B41" s="76" t="s">
        <v>235</v>
      </c>
      <c r="C41" s="76"/>
      <c r="D41" s="76"/>
      <c r="E41" s="76"/>
      <c r="F41" s="76"/>
    </row>
    <row r="42" spans="1:6" x14ac:dyDescent="0.25">
      <c r="A42" s="73"/>
      <c r="B42" s="72" t="s">
        <v>236</v>
      </c>
      <c r="C42" s="73"/>
      <c r="D42" s="73"/>
      <c r="E42" s="73"/>
      <c r="F42" s="73"/>
    </row>
    <row r="43" spans="1:6" x14ac:dyDescent="0.25">
      <c r="A43" s="73"/>
      <c r="B43" s="72" t="s">
        <v>237</v>
      </c>
      <c r="C43" s="73"/>
      <c r="D43" s="73"/>
      <c r="E43" s="73"/>
      <c r="F43" s="73"/>
    </row>
    <row r="44" spans="1:6" ht="30" customHeight="1" x14ac:dyDescent="0.25">
      <c r="A44" s="73"/>
      <c r="B44" s="77" t="s">
        <v>238</v>
      </c>
      <c r="C44" s="78" t="s">
        <v>239</v>
      </c>
      <c r="D44" s="73"/>
      <c r="E44" s="73"/>
      <c r="F44" s="73"/>
    </row>
    <row r="45" spans="1:6" ht="45" customHeight="1" x14ac:dyDescent="0.25">
      <c r="A45" s="73"/>
      <c r="B45" s="77" t="s">
        <v>240</v>
      </c>
      <c r="C45" s="78" t="s">
        <v>241</v>
      </c>
      <c r="D45" s="73"/>
      <c r="E45" s="73"/>
      <c r="F45" s="73"/>
    </row>
    <row r="46" spans="1:6" ht="28.5" customHeight="1" thickBot="1" x14ac:dyDescent="0.3">
      <c r="A46" s="74" t="s">
        <v>7</v>
      </c>
      <c r="B46" s="75"/>
      <c r="C46" s="75"/>
      <c r="D46" s="75"/>
      <c r="E46" s="75"/>
      <c r="F46" s="75"/>
    </row>
    <row r="47" spans="1:6" x14ac:dyDescent="0.25">
      <c r="A47" s="76"/>
      <c r="B47" s="76" t="s">
        <v>242</v>
      </c>
      <c r="C47" s="76"/>
      <c r="D47" s="76"/>
      <c r="E47" s="76"/>
      <c r="F47" s="76"/>
    </row>
    <row r="48" spans="1:6" ht="15.75" customHeight="1" x14ac:dyDescent="0.25">
      <c r="A48" s="73"/>
      <c r="B48" s="77" t="s">
        <v>243</v>
      </c>
      <c r="C48" s="72" t="s">
        <v>244</v>
      </c>
      <c r="D48" s="73"/>
      <c r="E48" s="73"/>
      <c r="F48" s="73"/>
    </row>
    <row r="49" spans="1:6" ht="105" customHeight="1" x14ac:dyDescent="0.25">
      <c r="A49" s="73"/>
      <c r="B49" s="77" t="s">
        <v>245</v>
      </c>
      <c r="C49" s="78" t="s">
        <v>246</v>
      </c>
      <c r="D49" s="73"/>
      <c r="E49" s="73"/>
      <c r="F49" s="73"/>
    </row>
    <row r="50" spans="1:6" ht="105" customHeight="1" x14ac:dyDescent="0.25">
      <c r="A50" s="73"/>
      <c r="B50" s="77" t="s">
        <v>247</v>
      </c>
      <c r="C50" s="78" t="s">
        <v>248</v>
      </c>
      <c r="D50" s="73"/>
      <c r="E50" s="73"/>
      <c r="F50" s="73"/>
    </row>
    <row r="51" spans="1:6" ht="30" customHeight="1" x14ac:dyDescent="0.25">
      <c r="A51" s="73"/>
      <c r="B51" s="77" t="s">
        <v>249</v>
      </c>
      <c r="C51" s="78" t="s">
        <v>250</v>
      </c>
      <c r="D51" s="73"/>
      <c r="E51" s="73"/>
      <c r="F51" s="73"/>
    </row>
    <row r="52" spans="1:6" ht="28.5" customHeight="1" thickBot="1" x14ac:dyDescent="0.3">
      <c r="A52" s="74" t="s">
        <v>10</v>
      </c>
      <c r="B52" s="75"/>
      <c r="C52" s="75"/>
      <c r="D52" s="75"/>
      <c r="E52" s="75"/>
      <c r="F52" s="75"/>
    </row>
    <row r="53" spans="1:6" x14ac:dyDescent="0.25">
      <c r="A53" s="76"/>
      <c r="B53" s="76" t="s">
        <v>251</v>
      </c>
      <c r="C53" s="76"/>
      <c r="D53" s="76"/>
      <c r="E53" s="76"/>
      <c r="F53" s="76"/>
    </row>
    <row r="54" spans="1:6" x14ac:dyDescent="0.25">
      <c r="A54" s="73"/>
      <c r="B54" s="72" t="s">
        <v>252</v>
      </c>
      <c r="C54" s="73"/>
      <c r="D54" s="73"/>
      <c r="E54" s="73"/>
      <c r="F54" s="73"/>
    </row>
    <row r="55" spans="1:6" ht="28.5" customHeight="1" thickBot="1" x14ac:dyDescent="0.3">
      <c r="A55" s="74" t="s">
        <v>253</v>
      </c>
      <c r="B55" s="75"/>
      <c r="C55" s="75"/>
      <c r="D55" s="75"/>
      <c r="E55" s="75"/>
      <c r="F55" s="75"/>
    </row>
    <row r="56" spans="1:6" x14ac:dyDescent="0.25">
      <c r="A56" s="76"/>
      <c r="B56" s="76" t="s">
        <v>254</v>
      </c>
      <c r="C56" s="76"/>
      <c r="D56" s="76"/>
      <c r="E56" s="76"/>
      <c r="F56" s="76"/>
    </row>
    <row r="57" spans="1:6" x14ac:dyDescent="0.25">
      <c r="A57" s="73"/>
      <c r="B57" s="73"/>
      <c r="C57" s="73"/>
      <c r="D57" s="73"/>
      <c r="E57" s="73"/>
      <c r="F57" s="73"/>
    </row>
    <row r="58" spans="1:6" x14ac:dyDescent="0.25">
      <c r="A58" s="73"/>
      <c r="B58" s="81" t="s">
        <v>255</v>
      </c>
      <c r="C58" s="81" t="s">
        <v>256</v>
      </c>
      <c r="D58" s="73"/>
      <c r="E58" s="73"/>
      <c r="F58" s="73"/>
    </row>
    <row r="59" spans="1:6" x14ac:dyDescent="0.25">
      <c r="A59" s="73"/>
      <c r="B59" s="82" t="s">
        <v>257</v>
      </c>
      <c r="C59" s="72" t="s">
        <v>258</v>
      </c>
      <c r="D59" s="73"/>
      <c r="E59" s="73"/>
      <c r="F59" s="73"/>
    </row>
    <row r="60" spans="1:6" x14ac:dyDescent="0.25">
      <c r="A60" s="73"/>
      <c r="B60" s="82" t="s">
        <v>259</v>
      </c>
      <c r="C60" s="72" t="s">
        <v>260</v>
      </c>
      <c r="D60" s="73"/>
      <c r="E60" s="73"/>
      <c r="F60" s="73"/>
    </row>
    <row r="61" spans="1:6" x14ac:dyDescent="0.25">
      <c r="A61" s="73"/>
      <c r="B61" s="82" t="s">
        <v>261</v>
      </c>
      <c r="C61" s="72" t="s">
        <v>262</v>
      </c>
      <c r="D61" s="73"/>
      <c r="E61" s="73"/>
      <c r="F61" s="73"/>
    </row>
    <row r="62" spans="1:6" x14ac:dyDescent="0.25">
      <c r="A62" s="73"/>
      <c r="B62" s="82" t="s">
        <v>263</v>
      </c>
      <c r="C62" s="72" t="s">
        <v>264</v>
      </c>
      <c r="D62" s="73"/>
      <c r="E62" s="73"/>
      <c r="F62" s="73"/>
    </row>
    <row r="63" spans="1:6" ht="28.5" customHeight="1" thickBot="1" x14ac:dyDescent="0.3">
      <c r="A63" s="74" t="s">
        <v>265</v>
      </c>
      <c r="B63" s="85"/>
      <c r="C63" s="86"/>
      <c r="D63" s="75"/>
      <c r="E63" s="75"/>
      <c r="F63" s="75"/>
    </row>
    <row r="64" spans="1:6" x14ac:dyDescent="0.25">
      <c r="A64" s="76"/>
      <c r="B64" s="87" t="s">
        <v>266</v>
      </c>
      <c r="C64" s="88"/>
      <c r="D64" s="76"/>
      <c r="E64" s="76"/>
      <c r="F64" s="76"/>
    </row>
    <row r="65" spans="1:6" x14ac:dyDescent="0.25">
      <c r="A65" s="73"/>
      <c r="B65" s="72" t="s">
        <v>267</v>
      </c>
      <c r="C65" s="84"/>
      <c r="D65" s="73"/>
      <c r="E65" s="73"/>
      <c r="F65" s="73"/>
    </row>
    <row r="66" spans="1:6" x14ac:dyDescent="0.25">
      <c r="A66" s="73"/>
      <c r="B66" s="72" t="s">
        <v>268</v>
      </c>
      <c r="C66" s="84"/>
      <c r="D66" s="73"/>
      <c r="E66" s="73"/>
      <c r="F66" s="73"/>
    </row>
    <row r="67" spans="1:6" x14ac:dyDescent="0.25">
      <c r="A67" s="73"/>
      <c r="B67" s="72" t="s">
        <v>269</v>
      </c>
      <c r="C67" s="84"/>
      <c r="D67" s="73"/>
      <c r="E67" s="73"/>
      <c r="F67" s="73"/>
    </row>
    <row r="68" spans="1:6" x14ac:dyDescent="0.25">
      <c r="A68" s="73"/>
      <c r="B68" s="72" t="s">
        <v>270</v>
      </c>
      <c r="C68" s="84"/>
      <c r="D68" s="73"/>
      <c r="E68" s="73"/>
      <c r="F68" s="73"/>
    </row>
    <row r="69" spans="1:6" x14ac:dyDescent="0.25">
      <c r="A69" s="73"/>
      <c r="B69" s="72" t="s">
        <v>271</v>
      </c>
      <c r="C69" s="84"/>
      <c r="D69" s="73"/>
      <c r="E69" s="73"/>
      <c r="F69" s="73"/>
    </row>
    <row r="70" spans="1:6" x14ac:dyDescent="0.25">
      <c r="A70" s="73"/>
      <c r="B70" s="72" t="s">
        <v>272</v>
      </c>
      <c r="C70" s="84"/>
      <c r="D70" s="73"/>
      <c r="E70" s="73"/>
      <c r="F70" s="73"/>
    </row>
    <row r="71" spans="1:6" x14ac:dyDescent="0.25">
      <c r="A71" s="73"/>
      <c r="B71" s="72" t="s">
        <v>273</v>
      </c>
      <c r="C71" s="84"/>
      <c r="D71" s="73"/>
      <c r="E71" s="73"/>
      <c r="F71" s="73"/>
    </row>
    <row r="72" spans="1:6" x14ac:dyDescent="0.25">
      <c r="A72" s="73"/>
      <c r="B72" s="72" t="s">
        <v>274</v>
      </c>
      <c r="C72" s="84"/>
      <c r="D72" s="73"/>
      <c r="E72" s="73"/>
      <c r="F72" s="73"/>
    </row>
    <row r="73" spans="1:6" ht="28.5" customHeight="1" thickBot="1" x14ac:dyDescent="0.3">
      <c r="A73" s="74" t="s">
        <v>275</v>
      </c>
      <c r="B73" s="75"/>
      <c r="C73" s="89"/>
      <c r="D73" s="75"/>
      <c r="E73" s="75"/>
      <c r="F73" s="75"/>
    </row>
    <row r="74" spans="1:6" x14ac:dyDescent="0.25">
      <c r="A74" s="76"/>
      <c r="B74" s="76" t="s">
        <v>276</v>
      </c>
      <c r="C74" s="90"/>
      <c r="D74" s="76"/>
      <c r="E74" s="76"/>
      <c r="F74" s="76"/>
    </row>
    <row r="75" spans="1:6" ht="15.75" customHeight="1" x14ac:dyDescent="0.25">
      <c r="A75" s="73"/>
      <c r="B75" s="77" t="s">
        <v>277</v>
      </c>
      <c r="C75" s="82" t="s">
        <v>278</v>
      </c>
      <c r="D75" s="73"/>
      <c r="E75" s="73"/>
      <c r="F75" s="73"/>
    </row>
    <row r="76" spans="1:6" ht="15.75" customHeight="1" x14ac:dyDescent="0.25">
      <c r="A76" s="73"/>
      <c r="B76" s="77" t="s">
        <v>279</v>
      </c>
      <c r="C76" s="82" t="s">
        <v>280</v>
      </c>
      <c r="D76" s="73"/>
      <c r="E76" s="73"/>
      <c r="F76" s="73"/>
    </row>
    <row r="77" spans="1:6" ht="28.5" customHeight="1" thickBot="1" x14ac:dyDescent="0.3">
      <c r="A77" s="74" t="s">
        <v>281</v>
      </c>
      <c r="B77" s="75"/>
      <c r="C77" s="75"/>
      <c r="D77" s="75"/>
      <c r="E77" s="75"/>
      <c r="F77" s="75"/>
    </row>
    <row r="78" spans="1:6" x14ac:dyDescent="0.25">
      <c r="A78" s="76"/>
      <c r="B78" s="76" t="s">
        <v>282</v>
      </c>
      <c r="C78" s="76"/>
      <c r="D78" s="76"/>
      <c r="E78" s="76"/>
      <c r="F78" s="76"/>
    </row>
    <row r="79" spans="1:6" x14ac:dyDescent="0.25">
      <c r="A79" s="73"/>
      <c r="B79" s="72" t="s">
        <v>283</v>
      </c>
      <c r="C79" s="73"/>
      <c r="D79" s="73"/>
      <c r="E79" s="73"/>
      <c r="F79" s="73"/>
    </row>
    <row r="80" spans="1:6" ht="28.5" customHeight="1" thickBot="1" x14ac:dyDescent="0.3">
      <c r="A80" s="74" t="s">
        <v>16</v>
      </c>
      <c r="B80" s="75"/>
      <c r="C80" s="75"/>
      <c r="D80" s="75"/>
      <c r="E80" s="75"/>
      <c r="F80" s="75"/>
    </row>
    <row r="81" spans="1:6" x14ac:dyDescent="0.25">
      <c r="A81" s="76"/>
      <c r="B81" s="76" t="s">
        <v>284</v>
      </c>
      <c r="C81" s="76"/>
      <c r="D81" s="76"/>
      <c r="E81" s="76"/>
      <c r="F81" s="76"/>
    </row>
    <row r="82" spans="1:6" x14ac:dyDescent="0.25">
      <c r="A82" s="73"/>
      <c r="B82" s="72" t="s">
        <v>285</v>
      </c>
      <c r="C82" s="73"/>
      <c r="D82" s="73"/>
      <c r="E82" s="73"/>
      <c r="F82" s="73"/>
    </row>
    <row r="83" spans="1:6" x14ac:dyDescent="0.25">
      <c r="A83" s="73"/>
      <c r="B83" s="72" t="s">
        <v>286</v>
      </c>
      <c r="C83" s="73"/>
      <c r="D83" s="73"/>
      <c r="E83" s="73"/>
      <c r="F83" s="73"/>
    </row>
    <row r="84" spans="1:6" x14ac:dyDescent="0.25">
      <c r="A84" s="73"/>
      <c r="B84" s="72" t="s">
        <v>287</v>
      </c>
      <c r="C84" s="73"/>
      <c r="D84" s="73"/>
      <c r="E84" s="73"/>
      <c r="F84" s="73"/>
    </row>
    <row r="85" spans="1:6" x14ac:dyDescent="0.25">
      <c r="A85" s="73"/>
      <c r="B85" s="81" t="s">
        <v>288</v>
      </c>
      <c r="C85" s="73"/>
      <c r="D85" s="73"/>
      <c r="E85" s="73"/>
      <c r="F85" s="73"/>
    </row>
    <row r="86" spans="1:6" ht="28.5" customHeight="1" thickBot="1" x14ac:dyDescent="0.3">
      <c r="A86" s="74" t="s">
        <v>289</v>
      </c>
      <c r="B86" s="75"/>
      <c r="C86" s="75"/>
      <c r="D86" s="75"/>
      <c r="E86" s="75"/>
      <c r="F86" s="75"/>
    </row>
    <row r="87" spans="1:6" x14ac:dyDescent="0.25">
      <c r="A87" s="76"/>
      <c r="B87" s="76" t="s">
        <v>290</v>
      </c>
      <c r="C87" s="76"/>
      <c r="D87" s="76"/>
      <c r="E87" s="76"/>
      <c r="F87" s="76"/>
    </row>
    <row r="88" spans="1:6" x14ac:dyDescent="0.25">
      <c r="A88" s="73"/>
      <c r="B88" s="72" t="s">
        <v>291</v>
      </c>
      <c r="C88" s="73"/>
      <c r="D88" s="73"/>
      <c r="E88" s="73"/>
      <c r="F88" s="73"/>
    </row>
    <row r="89" spans="1:6" ht="28.5" customHeight="1" thickBot="1" x14ac:dyDescent="0.3">
      <c r="A89" s="74" t="s">
        <v>292</v>
      </c>
      <c r="B89" s="75"/>
      <c r="C89" s="75"/>
      <c r="D89" s="75"/>
      <c r="E89" s="75"/>
      <c r="F89" s="75"/>
    </row>
    <row r="90" spans="1:6" x14ac:dyDescent="0.25">
      <c r="A90" s="76"/>
      <c r="B90" s="76" t="s">
        <v>293</v>
      </c>
      <c r="C90" s="76"/>
      <c r="D90" s="76"/>
      <c r="E90" s="76"/>
      <c r="F90" s="76"/>
    </row>
    <row r="91" spans="1:6" x14ac:dyDescent="0.25">
      <c r="A91" s="73"/>
      <c r="B91" s="72" t="s">
        <v>294</v>
      </c>
      <c r="C91" s="73"/>
      <c r="D91" s="73"/>
      <c r="E91" s="73"/>
      <c r="F91" s="73"/>
    </row>
    <row r="92" spans="1:6" ht="28.5" customHeight="1" thickBot="1" x14ac:dyDescent="0.3">
      <c r="A92" s="74" t="s">
        <v>24</v>
      </c>
      <c r="B92" s="75"/>
      <c r="C92" s="75"/>
      <c r="D92" s="75"/>
      <c r="E92" s="75"/>
      <c r="F92" s="75"/>
    </row>
    <row r="93" spans="1:6" x14ac:dyDescent="0.25">
      <c r="A93" s="76"/>
      <c r="B93" s="76" t="s">
        <v>295</v>
      </c>
      <c r="C93" s="76"/>
      <c r="D93" s="76"/>
      <c r="E93" s="76"/>
      <c r="F93" s="76"/>
    </row>
    <row r="94" spans="1:6" ht="28.5" customHeight="1" thickBot="1" x14ac:dyDescent="0.3">
      <c r="A94" s="74" t="s">
        <v>296</v>
      </c>
      <c r="B94" s="75"/>
      <c r="C94" s="75"/>
      <c r="D94" s="75"/>
      <c r="E94" s="75"/>
      <c r="F94" s="75"/>
    </row>
    <row r="95" spans="1:6" x14ac:dyDescent="0.25">
      <c r="A95" s="76"/>
      <c r="B95" s="76" t="s">
        <v>297</v>
      </c>
      <c r="C95" s="76"/>
      <c r="D95" s="76"/>
      <c r="E95" s="76"/>
      <c r="F95" s="76"/>
    </row>
    <row r="96" spans="1:6" x14ac:dyDescent="0.25">
      <c r="A96" s="73"/>
      <c r="B96" s="72" t="s">
        <v>298</v>
      </c>
      <c r="C96" s="73"/>
      <c r="D96" s="73"/>
      <c r="E96" s="73"/>
      <c r="F96" s="73"/>
    </row>
    <row r="97" spans="1:6" x14ac:dyDescent="0.25">
      <c r="A97" s="73"/>
      <c r="B97" s="72" t="s">
        <v>299</v>
      </c>
      <c r="C97" s="73"/>
      <c r="D97" s="73"/>
      <c r="E97" s="73"/>
      <c r="F97" s="73"/>
    </row>
    <row r="98" spans="1:6" x14ac:dyDescent="0.25">
      <c r="A98" s="73"/>
      <c r="B98" s="73"/>
      <c r="C98" s="72" t="s">
        <v>300</v>
      </c>
      <c r="D98" s="73"/>
      <c r="E98" s="73"/>
      <c r="F98" s="73"/>
    </row>
    <row r="99" spans="1:6" x14ac:dyDescent="0.25">
      <c r="A99" s="73"/>
      <c r="B99" s="73"/>
      <c r="C99" s="72" t="s">
        <v>301</v>
      </c>
      <c r="D99" s="73"/>
      <c r="E99" s="73"/>
      <c r="F99" s="73"/>
    </row>
    <row r="100" spans="1:6" x14ac:dyDescent="0.25">
      <c r="A100" s="73"/>
      <c r="B100" s="73"/>
      <c r="C100" s="72" t="s">
        <v>302</v>
      </c>
      <c r="D100" s="73"/>
      <c r="E100" s="73"/>
      <c r="F100" s="73"/>
    </row>
    <row r="101" spans="1:6" x14ac:dyDescent="0.25">
      <c r="A101" s="73"/>
      <c r="B101" s="73"/>
      <c r="C101" s="72" t="s">
        <v>303</v>
      </c>
      <c r="D101" s="73"/>
      <c r="E101" s="73"/>
      <c r="F101" s="73"/>
    </row>
    <row r="102" spans="1:6" x14ac:dyDescent="0.25">
      <c r="A102" s="73"/>
      <c r="B102" s="73"/>
      <c r="C102" s="72" t="s">
        <v>304</v>
      </c>
      <c r="D102" s="73"/>
      <c r="E102" s="73"/>
      <c r="F102" s="73"/>
    </row>
    <row r="103" spans="1:6" ht="28.5" customHeight="1" thickBot="1" x14ac:dyDescent="0.3">
      <c r="A103" s="74" t="s">
        <v>26</v>
      </c>
      <c r="B103" s="75"/>
      <c r="C103" s="75"/>
      <c r="D103" s="75"/>
      <c r="E103" s="75"/>
      <c r="F103" s="75"/>
    </row>
    <row r="104" spans="1:6" x14ac:dyDescent="0.25">
      <c r="A104" s="76"/>
      <c r="B104" s="76" t="s">
        <v>305</v>
      </c>
      <c r="C104" s="76"/>
      <c r="D104" s="76"/>
      <c r="E104" s="76"/>
      <c r="F104" s="76"/>
    </row>
    <row r="105" spans="1:6" x14ac:dyDescent="0.25">
      <c r="A105" s="73"/>
      <c r="B105" s="83" t="s">
        <v>306</v>
      </c>
      <c r="C105" s="72" t="s">
        <v>307</v>
      </c>
      <c r="D105" s="73"/>
      <c r="E105" s="73"/>
      <c r="F105" s="73"/>
    </row>
    <row r="106" spans="1:6" x14ac:dyDescent="0.25">
      <c r="A106" s="73"/>
      <c r="B106" s="73"/>
      <c r="C106" s="72" t="s">
        <v>308</v>
      </c>
      <c r="D106" s="73"/>
      <c r="E106" s="73"/>
      <c r="F106" s="73"/>
    </row>
    <row r="107" spans="1:6" x14ac:dyDescent="0.25">
      <c r="A107" s="73"/>
      <c r="B107" s="73"/>
      <c r="C107" s="72" t="s">
        <v>309</v>
      </c>
      <c r="D107" s="73"/>
      <c r="E107" s="73"/>
      <c r="F107" s="73"/>
    </row>
    <row r="108" spans="1:6" x14ac:dyDescent="0.25">
      <c r="A108" s="73"/>
      <c r="B108" s="73"/>
      <c r="C108" s="72" t="s">
        <v>310</v>
      </c>
      <c r="D108" s="73"/>
      <c r="E108" s="73"/>
      <c r="F108" s="73"/>
    </row>
    <row r="109" spans="1:6" ht="28.5" customHeight="1" thickBot="1" x14ac:dyDescent="0.3">
      <c r="A109" s="74" t="s">
        <v>28</v>
      </c>
      <c r="B109" s="75"/>
      <c r="C109" s="75"/>
      <c r="D109" s="75"/>
      <c r="E109" s="75"/>
      <c r="F109" s="75"/>
    </row>
    <row r="110" spans="1:6" x14ac:dyDescent="0.25">
      <c r="A110" s="76"/>
      <c r="B110" s="76" t="s">
        <v>311</v>
      </c>
      <c r="C110" s="76"/>
      <c r="D110" s="76"/>
      <c r="E110" s="76"/>
      <c r="F110" s="76"/>
    </row>
    <row r="111" spans="1:6" x14ac:dyDescent="0.25">
      <c r="A111" s="73"/>
      <c r="B111" s="72" t="s">
        <v>312</v>
      </c>
      <c r="C111" s="73"/>
      <c r="D111" s="73"/>
      <c r="E111" s="73"/>
      <c r="F111" s="73"/>
    </row>
    <row r="112" spans="1:6" ht="28.5" customHeight="1" thickBot="1" x14ac:dyDescent="0.3">
      <c r="A112" s="74" t="s">
        <v>29</v>
      </c>
      <c r="B112" s="75"/>
      <c r="C112" s="75"/>
      <c r="D112" s="75"/>
      <c r="E112" s="75"/>
      <c r="F112" s="75"/>
    </row>
    <row r="113" spans="1:6" x14ac:dyDescent="0.25">
      <c r="A113" s="76"/>
      <c r="B113" s="76" t="s">
        <v>313</v>
      </c>
      <c r="C113" s="76"/>
      <c r="D113" s="76"/>
      <c r="E113" s="76"/>
      <c r="F113" s="76"/>
    </row>
  </sheetData>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 &amp;A</oddHeader>
    <oddFooter>&amp;C&amp;"Times New Roman,Regular"&amp;12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54"/>
  <sheetViews>
    <sheetView zoomScale="85" zoomScaleNormal="85" workbookViewId="0">
      <pane xSplit="10" ySplit="1" topLeftCell="AB2" activePane="bottomRight" state="frozen"/>
      <selection pane="topRight" activeCell="K1" sqref="K1"/>
      <selection pane="bottomLeft" activeCell="A2" sqref="A2"/>
      <selection pane="bottomRight" activeCell="K6" sqref="K6"/>
    </sheetView>
  </sheetViews>
  <sheetFormatPr baseColWidth="10" defaultColWidth="9.140625" defaultRowHeight="15" x14ac:dyDescent="0.25"/>
  <cols>
    <col min="1" max="1" width="9.140625" style="161" customWidth="1"/>
    <col min="2" max="2" width="21.140625" style="162" customWidth="1"/>
    <col min="3" max="3" width="18" style="162" customWidth="1"/>
    <col min="4" max="4" width="16.85546875" style="162" customWidth="1"/>
    <col min="5" max="5" width="11.28515625" style="162" customWidth="1"/>
    <col min="6" max="6" width="11.42578125" style="162" customWidth="1"/>
    <col min="7" max="7" width="15.85546875" style="162" customWidth="1"/>
    <col min="8" max="8" width="4.85546875" style="162" customWidth="1"/>
    <col min="9" max="10" width="9.140625" style="162" customWidth="1"/>
    <col min="11" max="11" width="16.5703125" style="162" customWidth="1"/>
    <col min="12" max="12" width="8.42578125" style="162" customWidth="1"/>
    <col min="13" max="14" width="6.7109375" style="162" customWidth="1"/>
    <col min="15" max="17" width="8.140625" style="162" customWidth="1"/>
    <col min="18" max="18" width="10.85546875" style="162" customWidth="1"/>
    <col min="19" max="19" width="16.42578125" style="162" customWidth="1"/>
    <col min="20" max="20" width="8" style="162" customWidth="1"/>
    <col min="21" max="21" width="9" style="162" customWidth="1"/>
    <col min="22" max="22" width="20" style="91" customWidth="1"/>
    <col min="23" max="23" width="14.140625" style="91" customWidth="1"/>
    <col min="24" max="24" width="14.5703125" style="91" customWidth="1"/>
    <col min="25" max="25" width="17.5703125" style="162" customWidth="1"/>
    <col min="26" max="26" width="19" style="162" customWidth="1"/>
    <col min="27" max="27" width="19.140625" style="162" customWidth="1"/>
    <col min="28" max="28" width="6.5703125" style="162" customWidth="1"/>
    <col min="29" max="29" width="12" style="162" customWidth="1"/>
    <col min="30" max="1025" width="11.42578125" style="162" customWidth="1"/>
  </cols>
  <sheetData>
    <row r="1" spans="1:42" x14ac:dyDescent="0.25">
      <c r="A1" s="161" t="s">
        <v>0</v>
      </c>
      <c r="B1" s="162" t="s">
        <v>1</v>
      </c>
      <c r="C1" s="162" t="s">
        <v>2</v>
      </c>
      <c r="D1" s="162" t="s">
        <v>3</v>
      </c>
      <c r="E1" s="162" t="s">
        <v>4</v>
      </c>
      <c r="F1" s="162" t="s">
        <v>5</v>
      </c>
      <c r="G1" s="162" t="s">
        <v>6</v>
      </c>
      <c r="H1" s="162" t="s">
        <v>7</v>
      </c>
      <c r="I1" s="162" t="s">
        <v>8</v>
      </c>
      <c r="J1" s="162" t="s">
        <v>9</v>
      </c>
      <c r="K1" s="162" t="s">
        <v>10</v>
      </c>
      <c r="L1" s="162" t="s">
        <v>253</v>
      </c>
      <c r="M1" s="162" t="s">
        <v>314</v>
      </c>
      <c r="N1" s="162" t="s">
        <v>315</v>
      </c>
      <c r="O1" s="162" t="s">
        <v>14</v>
      </c>
      <c r="P1" s="162" t="s">
        <v>15</v>
      </c>
      <c r="Q1" s="162" t="s">
        <v>16</v>
      </c>
      <c r="R1" s="162" t="s">
        <v>17</v>
      </c>
      <c r="S1" s="162" t="s">
        <v>18</v>
      </c>
      <c r="T1" s="162" t="s">
        <v>19</v>
      </c>
      <c r="U1" s="162" t="s">
        <v>20</v>
      </c>
      <c r="V1" s="91" t="s">
        <v>21</v>
      </c>
      <c r="W1" s="91" t="s">
        <v>22</v>
      </c>
      <c r="X1" s="91" t="s">
        <v>23</v>
      </c>
      <c r="Y1" s="92" t="s">
        <v>24</v>
      </c>
      <c r="Z1" s="162" t="s">
        <v>25</v>
      </c>
      <c r="AA1" s="162" t="s">
        <v>26</v>
      </c>
      <c r="AB1" s="162" t="s">
        <v>27</v>
      </c>
      <c r="AC1" s="162" t="s">
        <v>28</v>
      </c>
      <c r="AD1" s="162" t="s">
        <v>29</v>
      </c>
      <c r="AE1" s="162" t="s">
        <v>316</v>
      </c>
      <c r="AF1" s="162" t="s">
        <v>317</v>
      </c>
      <c r="AG1" s="162" t="s">
        <v>318</v>
      </c>
      <c r="AH1" s="162" t="s">
        <v>319</v>
      </c>
      <c r="AI1" s="162" t="s">
        <v>320</v>
      </c>
    </row>
    <row r="2" spans="1:42" x14ac:dyDescent="0.25">
      <c r="A2" s="101" t="s">
        <v>53</v>
      </c>
      <c r="B2" s="102"/>
      <c r="C2" s="102" t="s">
        <v>34</v>
      </c>
      <c r="D2" s="103" t="s">
        <v>3</v>
      </c>
      <c r="E2" s="102"/>
      <c r="F2" s="102"/>
      <c r="G2" s="102"/>
      <c r="H2" s="102"/>
      <c r="I2" s="102"/>
      <c r="J2" s="102"/>
      <c r="K2" s="102">
        <f t="shared" ref="K2:K29" si="0">AH2+AI2</f>
        <v>-0.9</v>
      </c>
      <c r="L2" s="102">
        <v>-1</v>
      </c>
      <c r="M2" s="102"/>
      <c r="N2" s="102"/>
      <c r="O2" s="102"/>
      <c r="P2" s="102"/>
      <c r="Q2" s="102"/>
      <c r="R2" s="102">
        <v>2</v>
      </c>
      <c r="S2" s="102"/>
      <c r="T2" s="102">
        <v>-2</v>
      </c>
      <c r="U2" s="102">
        <v>-4</v>
      </c>
      <c r="V2" s="102">
        <v>-6</v>
      </c>
      <c r="W2" s="102">
        <v>-8</v>
      </c>
      <c r="X2" s="102">
        <v>-10</v>
      </c>
      <c r="Y2" s="102"/>
      <c r="Z2" s="102"/>
      <c r="AA2" s="102"/>
      <c r="AB2" s="102">
        <v>-20</v>
      </c>
      <c r="AC2" s="102"/>
      <c r="AD2" s="104"/>
      <c r="AE2" s="105"/>
      <c r="AF2" s="105"/>
      <c r="AG2" s="105"/>
      <c r="AH2" s="102">
        <v>-0.8</v>
      </c>
      <c r="AI2" s="102">
        <v>-0.1</v>
      </c>
      <c r="AJ2" s="161" t="s">
        <v>321</v>
      </c>
      <c r="AL2" s="162" t="s">
        <v>322</v>
      </c>
      <c r="AM2" s="162" t="s">
        <v>323</v>
      </c>
      <c r="AO2" t="s">
        <v>324</v>
      </c>
    </row>
    <row r="3" spans="1:42" x14ac:dyDescent="0.25">
      <c r="A3" s="101" t="s">
        <v>80</v>
      </c>
      <c r="B3" s="102"/>
      <c r="C3" s="102" t="s">
        <v>34</v>
      </c>
      <c r="D3" s="103" t="s">
        <v>3</v>
      </c>
      <c r="E3" s="102"/>
      <c r="F3" s="102"/>
      <c r="G3" s="102"/>
      <c r="H3" s="102"/>
      <c r="I3" s="102"/>
      <c r="J3" s="102"/>
      <c r="K3" s="102">
        <f t="shared" si="0"/>
        <v>-0.9</v>
      </c>
      <c r="L3" s="102">
        <v>-1</v>
      </c>
      <c r="M3" s="102"/>
      <c r="N3" s="102"/>
      <c r="O3" s="102"/>
      <c r="P3" s="102"/>
      <c r="Q3" s="102"/>
      <c r="R3" s="102">
        <v>2</v>
      </c>
      <c r="S3" s="102"/>
      <c r="T3" s="102">
        <v>-2</v>
      </c>
      <c r="U3" s="102">
        <v>-4</v>
      </c>
      <c r="V3" s="102">
        <v>-6</v>
      </c>
      <c r="W3" s="102">
        <v>-8</v>
      </c>
      <c r="X3" s="102">
        <v>-10</v>
      </c>
      <c r="Y3" s="102">
        <v>-1</v>
      </c>
      <c r="Z3" s="102"/>
      <c r="AA3" s="102"/>
      <c r="AB3" s="102">
        <v>-10</v>
      </c>
      <c r="AC3" s="102"/>
      <c r="AD3" s="102"/>
      <c r="AE3" s="102"/>
      <c r="AF3" s="102"/>
      <c r="AG3" s="102"/>
      <c r="AH3" s="102">
        <v>-0.8</v>
      </c>
      <c r="AI3" s="102">
        <v>-0.1</v>
      </c>
      <c r="AJ3" s="161">
        <v>-4</v>
      </c>
      <c r="AK3" s="162" t="s">
        <v>325</v>
      </c>
      <c r="AL3" s="161" t="s">
        <v>326</v>
      </c>
      <c r="AM3" s="161" t="s">
        <v>326</v>
      </c>
      <c r="AO3">
        <v>-9999</v>
      </c>
      <c r="AP3">
        <v>7</v>
      </c>
    </row>
    <row r="4" spans="1:42" x14ac:dyDescent="0.25">
      <c r="A4" s="106" t="s">
        <v>87</v>
      </c>
      <c r="B4" s="107" t="s">
        <v>1</v>
      </c>
      <c r="C4" s="108"/>
      <c r="D4" s="108"/>
      <c r="E4" s="108"/>
      <c r="F4" s="108"/>
      <c r="G4" s="108"/>
      <c r="H4" s="108"/>
      <c r="I4" s="108"/>
      <c r="J4" s="108"/>
      <c r="K4" s="108">
        <f t="shared" si="0"/>
        <v>-0.7</v>
      </c>
      <c r="L4" s="108">
        <v>-3</v>
      </c>
      <c r="M4" s="108"/>
      <c r="N4" s="108"/>
      <c r="O4" s="108"/>
      <c r="P4" s="108">
        <v>3</v>
      </c>
      <c r="Q4" s="108">
        <v>-1</v>
      </c>
      <c r="R4" s="108">
        <v>-1</v>
      </c>
      <c r="S4" s="108">
        <v>-1</v>
      </c>
      <c r="T4" s="108">
        <v>-1</v>
      </c>
      <c r="U4" s="108">
        <v>-2</v>
      </c>
      <c r="V4" s="108">
        <v>-2</v>
      </c>
      <c r="W4" s="108">
        <v>-2</v>
      </c>
      <c r="X4" s="108"/>
      <c r="Y4" s="108"/>
      <c r="Z4" s="108"/>
      <c r="AA4" s="108">
        <v>2</v>
      </c>
      <c r="AB4" s="108">
        <v>40</v>
      </c>
      <c r="AC4" s="108"/>
      <c r="AD4" s="109">
        <v>-3</v>
      </c>
      <c r="AE4" s="108"/>
      <c r="AF4" s="108"/>
      <c r="AG4" s="108"/>
      <c r="AH4" s="108">
        <v>-0.5</v>
      </c>
      <c r="AI4" s="108">
        <v>-0.2</v>
      </c>
      <c r="AJ4" s="161">
        <v>-3</v>
      </c>
      <c r="AK4" s="162" t="s">
        <v>327</v>
      </c>
      <c r="AL4" s="161" t="s">
        <v>328</v>
      </c>
      <c r="AM4" s="161" t="s">
        <v>39</v>
      </c>
      <c r="AO4">
        <v>70</v>
      </c>
      <c r="AP4">
        <v>6</v>
      </c>
    </row>
    <row r="5" spans="1:42" x14ac:dyDescent="0.25">
      <c r="A5" s="101" t="s">
        <v>69</v>
      </c>
      <c r="B5" s="102"/>
      <c r="C5" s="102" t="s">
        <v>46</v>
      </c>
      <c r="D5" s="103" t="s">
        <v>3</v>
      </c>
      <c r="E5" s="102"/>
      <c r="F5" s="102"/>
      <c r="G5" s="102"/>
      <c r="H5" s="102"/>
      <c r="I5" s="102"/>
      <c r="J5" s="102"/>
      <c r="K5" s="102">
        <f t="shared" si="0"/>
        <v>-0.7</v>
      </c>
      <c r="L5" s="102">
        <v>-2</v>
      </c>
      <c r="M5" s="102">
        <v>-2</v>
      </c>
      <c r="N5" s="102">
        <v>-2</v>
      </c>
      <c r="O5" s="102"/>
      <c r="P5" s="102">
        <v>3</v>
      </c>
      <c r="Q5" s="102">
        <v>-2</v>
      </c>
      <c r="R5" s="102">
        <v>4</v>
      </c>
      <c r="S5" s="102">
        <v>-5</v>
      </c>
      <c r="T5" s="102">
        <v>-10</v>
      </c>
      <c r="U5" s="102">
        <v>-20</v>
      </c>
      <c r="V5" s="102">
        <v>-40</v>
      </c>
      <c r="W5" s="102">
        <v>-80</v>
      </c>
      <c r="X5" s="102">
        <v>-10</v>
      </c>
      <c r="Y5" s="102">
        <v>-1</v>
      </c>
      <c r="Z5" s="102"/>
      <c r="AA5" s="102">
        <v>-2</v>
      </c>
      <c r="AB5" s="102">
        <v>-15</v>
      </c>
      <c r="AC5" s="102"/>
      <c r="AD5" s="104">
        <v>4</v>
      </c>
      <c r="AE5" s="102"/>
      <c r="AF5" s="102"/>
      <c r="AG5" s="102"/>
      <c r="AH5" s="102">
        <v>-0.5</v>
      </c>
      <c r="AI5" s="102">
        <v>-0.2</v>
      </c>
      <c r="AJ5" s="161">
        <v>-2</v>
      </c>
      <c r="AK5" s="162" t="s">
        <v>329</v>
      </c>
      <c r="AL5" s="161" t="s">
        <v>39</v>
      </c>
      <c r="AM5" s="161" t="s">
        <v>330</v>
      </c>
      <c r="AO5">
        <v>90</v>
      </c>
      <c r="AP5">
        <v>5</v>
      </c>
    </row>
    <row r="6" spans="1:42" x14ac:dyDescent="0.25">
      <c r="A6" s="101" t="s">
        <v>97</v>
      </c>
      <c r="B6" s="102"/>
      <c r="C6" s="102" t="s">
        <v>34</v>
      </c>
      <c r="D6" s="103" t="s">
        <v>3</v>
      </c>
      <c r="E6" s="102"/>
      <c r="F6" s="102"/>
      <c r="G6" s="102"/>
      <c r="H6" s="102"/>
      <c r="I6" s="102"/>
      <c r="J6" s="102"/>
      <c r="K6" s="102">
        <f t="shared" si="0"/>
        <v>-0.5</v>
      </c>
      <c r="L6" s="102">
        <v>-1</v>
      </c>
      <c r="M6" s="102"/>
      <c r="N6" s="102"/>
      <c r="O6" s="102"/>
      <c r="P6" s="102"/>
      <c r="Q6" s="102"/>
      <c r="R6" s="102">
        <v>-1</v>
      </c>
      <c r="S6" s="102">
        <v>-1</v>
      </c>
      <c r="T6" s="102">
        <v>-2</v>
      </c>
      <c r="U6" s="102">
        <v>-2</v>
      </c>
      <c r="V6" s="102">
        <v>-3</v>
      </c>
      <c r="W6" s="102">
        <v>-3</v>
      </c>
      <c r="X6" s="102">
        <v>-10</v>
      </c>
      <c r="Y6" s="102"/>
      <c r="Z6" s="102"/>
      <c r="AA6" s="102">
        <v>1</v>
      </c>
      <c r="AB6" s="102">
        <v>10</v>
      </c>
      <c r="AC6" s="102"/>
      <c r="AD6" s="104">
        <v>-0.5</v>
      </c>
      <c r="AE6" s="102"/>
      <c r="AF6" s="102"/>
      <c r="AG6" s="102"/>
      <c r="AH6" s="102">
        <v>-0.5</v>
      </c>
      <c r="AI6" s="102"/>
      <c r="AJ6" s="161">
        <v>-1</v>
      </c>
      <c r="AK6" s="162" t="s">
        <v>331</v>
      </c>
      <c r="AL6" s="161" t="s">
        <v>330</v>
      </c>
      <c r="AM6" s="161" t="s">
        <v>332</v>
      </c>
      <c r="AO6">
        <v>110</v>
      </c>
      <c r="AP6">
        <v>4</v>
      </c>
    </row>
    <row r="7" spans="1:42" x14ac:dyDescent="0.25">
      <c r="A7" s="101" t="s">
        <v>333</v>
      </c>
      <c r="B7" s="102"/>
      <c r="C7" s="102" t="s">
        <v>46</v>
      </c>
      <c r="D7" s="103" t="s">
        <v>3</v>
      </c>
      <c r="E7" s="102"/>
      <c r="F7" s="102"/>
      <c r="G7" s="102"/>
      <c r="H7" s="102"/>
      <c r="I7" s="102"/>
      <c r="J7" s="102"/>
      <c r="K7" s="102">
        <f t="shared" si="0"/>
        <v>-0.5</v>
      </c>
      <c r="L7" s="102">
        <v>-1</v>
      </c>
      <c r="M7" s="102"/>
      <c r="N7" s="102"/>
      <c r="O7" s="102"/>
      <c r="P7" s="102"/>
      <c r="Q7" s="102"/>
      <c r="R7" s="102">
        <v>-1</v>
      </c>
      <c r="S7" s="102">
        <v>-1</v>
      </c>
      <c r="T7" s="102">
        <v>-2</v>
      </c>
      <c r="U7" s="102">
        <v>-2</v>
      </c>
      <c r="V7" s="102">
        <v>-3</v>
      </c>
      <c r="W7" s="102">
        <v>-3</v>
      </c>
      <c r="X7" s="102">
        <v>-10</v>
      </c>
      <c r="Y7" s="102"/>
      <c r="Z7" s="102"/>
      <c r="AA7" s="102">
        <v>1</v>
      </c>
      <c r="AB7" s="102">
        <v>10</v>
      </c>
      <c r="AC7" s="102"/>
      <c r="AD7" s="104">
        <v>-0.5</v>
      </c>
      <c r="AE7" s="102"/>
      <c r="AF7" s="102"/>
      <c r="AG7" s="102"/>
      <c r="AH7" s="102">
        <v>-0.5</v>
      </c>
      <c r="AI7" s="102"/>
      <c r="AJ7" s="161">
        <v>0</v>
      </c>
      <c r="AK7" s="162" t="s">
        <v>334</v>
      </c>
      <c r="AL7" s="161" t="s">
        <v>332</v>
      </c>
      <c r="AM7" s="161" t="s">
        <v>335</v>
      </c>
      <c r="AO7">
        <v>130</v>
      </c>
      <c r="AP7">
        <v>3</v>
      </c>
    </row>
    <row r="8" spans="1:42" x14ac:dyDescent="0.25">
      <c r="A8" s="98" t="s">
        <v>88</v>
      </c>
      <c r="B8" s="99"/>
      <c r="C8" s="99"/>
      <c r="D8" s="99"/>
      <c r="E8" s="100" t="s">
        <v>336</v>
      </c>
      <c r="F8" s="99"/>
      <c r="G8" s="99"/>
      <c r="H8" s="99"/>
      <c r="I8" s="99"/>
      <c r="J8" s="99"/>
      <c r="K8" s="99">
        <f t="shared" si="0"/>
        <v>0.1</v>
      </c>
      <c r="L8" s="99"/>
      <c r="M8" s="99"/>
      <c r="N8" s="99"/>
      <c r="O8" s="99"/>
      <c r="P8" s="99">
        <v>6</v>
      </c>
      <c r="Q8" s="99">
        <v>-6</v>
      </c>
      <c r="R8" s="99"/>
      <c r="S8" s="99"/>
      <c r="T8" s="99"/>
      <c r="U8" s="99"/>
      <c r="V8" s="99"/>
      <c r="W8" s="99"/>
      <c r="X8" s="99"/>
      <c r="Y8" s="99">
        <v>8</v>
      </c>
      <c r="Z8" s="99">
        <v>6</v>
      </c>
      <c r="AA8" s="99"/>
      <c r="AB8" s="99">
        <v>-30</v>
      </c>
      <c r="AC8" s="99"/>
      <c r="AD8" s="99"/>
      <c r="AE8" s="99"/>
      <c r="AF8" s="99"/>
      <c r="AG8" s="99"/>
      <c r="AH8" s="99">
        <v>0.1</v>
      </c>
      <c r="AI8" s="99"/>
      <c r="AJ8" s="161">
        <v>1</v>
      </c>
      <c r="AK8" s="162" t="s">
        <v>337</v>
      </c>
      <c r="AL8" s="161" t="s">
        <v>335</v>
      </c>
      <c r="AM8" s="161" t="s">
        <v>338</v>
      </c>
      <c r="AO8">
        <v>150</v>
      </c>
      <c r="AP8">
        <v>2</v>
      </c>
    </row>
    <row r="9" spans="1:42" x14ac:dyDescent="0.25">
      <c r="A9" s="98" t="s">
        <v>54</v>
      </c>
      <c r="B9" s="99"/>
      <c r="C9" s="99"/>
      <c r="D9" s="99"/>
      <c r="E9" s="100" t="s">
        <v>336</v>
      </c>
      <c r="F9" s="99"/>
      <c r="G9" s="99"/>
      <c r="H9" s="99"/>
      <c r="I9" s="99"/>
      <c r="J9" s="99"/>
      <c r="K9" s="99">
        <f t="shared" si="0"/>
        <v>0.1</v>
      </c>
      <c r="L9" s="99"/>
      <c r="M9" s="99"/>
      <c r="N9" s="99"/>
      <c r="O9" s="99"/>
      <c r="P9" s="99"/>
      <c r="Q9" s="99"/>
      <c r="R9" s="99"/>
      <c r="S9" s="99"/>
      <c r="T9" s="99"/>
      <c r="U9" s="99"/>
      <c r="V9" s="99"/>
      <c r="W9" s="99"/>
      <c r="X9" s="99"/>
      <c r="Y9" s="99">
        <v>11</v>
      </c>
      <c r="Z9" s="99">
        <v>6</v>
      </c>
      <c r="AA9" s="99"/>
      <c r="AB9" s="99">
        <v>-5</v>
      </c>
      <c r="AC9" s="99"/>
      <c r="AD9" s="99"/>
      <c r="AE9" s="99"/>
      <c r="AF9" s="99"/>
      <c r="AG9" s="99"/>
      <c r="AH9" s="99">
        <v>0.1</v>
      </c>
      <c r="AI9" s="99"/>
      <c r="AJ9" s="161">
        <v>2</v>
      </c>
      <c r="AK9" s="162" t="s">
        <v>339</v>
      </c>
      <c r="AL9" s="161" t="s">
        <v>338</v>
      </c>
      <c r="AO9">
        <v>170</v>
      </c>
      <c r="AP9">
        <v>1</v>
      </c>
    </row>
    <row r="10" spans="1:42" x14ac:dyDescent="0.25">
      <c r="A10" s="98" t="s">
        <v>58</v>
      </c>
      <c r="B10" s="99"/>
      <c r="C10" s="99"/>
      <c r="D10" s="99"/>
      <c r="E10" s="100" t="s">
        <v>336</v>
      </c>
      <c r="F10" s="99"/>
      <c r="G10" s="99"/>
      <c r="H10" s="99"/>
      <c r="I10" s="99"/>
      <c r="J10" s="99"/>
      <c r="K10" s="99">
        <f t="shared" si="0"/>
        <v>0.1</v>
      </c>
      <c r="L10" s="99"/>
      <c r="M10" s="99"/>
      <c r="N10" s="99"/>
      <c r="O10" s="99"/>
      <c r="P10" s="99">
        <v>6</v>
      </c>
      <c r="Q10" s="99">
        <v>-6</v>
      </c>
      <c r="R10" s="99"/>
      <c r="S10" s="99"/>
      <c r="T10" s="99"/>
      <c r="U10" s="99"/>
      <c r="V10" s="99"/>
      <c r="W10" s="99"/>
      <c r="X10" s="99"/>
      <c r="Y10" s="99">
        <v>9</v>
      </c>
      <c r="Z10" s="99">
        <v>6</v>
      </c>
      <c r="AA10" s="99"/>
      <c r="AB10" s="99">
        <v>-20</v>
      </c>
      <c r="AC10" s="99"/>
      <c r="AD10" s="99"/>
      <c r="AE10" s="99"/>
      <c r="AF10" s="99"/>
      <c r="AG10" s="99"/>
      <c r="AH10" s="99">
        <v>0.1</v>
      </c>
      <c r="AI10" s="99"/>
      <c r="AJ10" s="161">
        <v>3</v>
      </c>
      <c r="AK10" s="162" t="s">
        <v>340</v>
      </c>
    </row>
    <row r="11" spans="1:42" x14ac:dyDescent="0.25">
      <c r="A11" s="120" t="s">
        <v>60</v>
      </c>
      <c r="B11" s="123"/>
      <c r="C11" s="123" t="s">
        <v>46</v>
      </c>
      <c r="D11" s="123"/>
      <c r="E11" s="123"/>
      <c r="F11" s="123"/>
      <c r="G11" s="121" t="s">
        <v>6</v>
      </c>
      <c r="H11" s="123"/>
      <c r="I11" s="123"/>
      <c r="J11" s="123"/>
      <c r="K11" s="123">
        <f t="shared" si="0"/>
        <v>0.15</v>
      </c>
      <c r="L11" s="123"/>
      <c r="M11" s="123"/>
      <c r="N11" s="123"/>
      <c r="O11" s="123"/>
      <c r="P11" s="123"/>
      <c r="Q11" s="123"/>
      <c r="R11" s="123">
        <v>2</v>
      </c>
      <c r="S11" s="123">
        <v>3</v>
      </c>
      <c r="T11" s="123">
        <v>3</v>
      </c>
      <c r="U11" s="123">
        <v>2</v>
      </c>
      <c r="V11" s="123">
        <v>1</v>
      </c>
      <c r="W11" s="123">
        <v>1</v>
      </c>
      <c r="X11" s="123">
        <v>30</v>
      </c>
      <c r="Y11" s="123"/>
      <c r="Z11" s="123"/>
      <c r="AA11" s="123"/>
      <c r="AB11" s="123">
        <v>-10</v>
      </c>
      <c r="AC11" s="123"/>
      <c r="AD11" s="122">
        <v>1.5</v>
      </c>
      <c r="AE11" s="123"/>
      <c r="AF11" s="123"/>
      <c r="AG11" s="123"/>
      <c r="AH11" s="123">
        <v>0.15</v>
      </c>
      <c r="AI11" s="123"/>
      <c r="AJ11" s="161">
        <v>4</v>
      </c>
      <c r="AK11" s="162" t="s">
        <v>341</v>
      </c>
    </row>
    <row r="12" spans="1:42" x14ac:dyDescent="0.25">
      <c r="A12" s="101" t="s">
        <v>116</v>
      </c>
      <c r="B12" s="102"/>
      <c r="C12" s="102" t="s">
        <v>46</v>
      </c>
      <c r="D12" s="103" t="s">
        <v>3</v>
      </c>
      <c r="E12" s="102"/>
      <c r="F12" s="102"/>
      <c r="G12" s="102"/>
      <c r="H12" s="102"/>
      <c r="I12" s="102"/>
      <c r="J12" s="102"/>
      <c r="K12" s="102">
        <f t="shared" si="0"/>
        <v>0.3</v>
      </c>
      <c r="L12" s="102">
        <v>2</v>
      </c>
      <c r="M12" s="102">
        <v>1</v>
      </c>
      <c r="N12" s="102">
        <v>1</v>
      </c>
      <c r="O12" s="102">
        <v>3</v>
      </c>
      <c r="P12" s="102">
        <v>-3</v>
      </c>
      <c r="Q12" s="102">
        <v>3</v>
      </c>
      <c r="R12" s="102"/>
      <c r="S12" s="102">
        <v>-5</v>
      </c>
      <c r="T12" s="102">
        <v>-10</v>
      </c>
      <c r="U12" s="102">
        <v>-15</v>
      </c>
      <c r="V12" s="102">
        <v>-20</v>
      </c>
      <c r="W12" s="102">
        <v>-25</v>
      </c>
      <c r="X12" s="102">
        <v>-10</v>
      </c>
      <c r="Y12" s="102">
        <v>2</v>
      </c>
      <c r="Z12" s="102"/>
      <c r="AA12" s="102"/>
      <c r="AB12" s="102">
        <v>-10</v>
      </c>
      <c r="AC12" s="102"/>
      <c r="AD12" s="104">
        <v>1</v>
      </c>
      <c r="AE12" s="102"/>
      <c r="AF12" s="102"/>
      <c r="AG12" s="102"/>
      <c r="AH12" s="102">
        <v>0.3</v>
      </c>
      <c r="AI12" s="102"/>
      <c r="AJ12" s="161">
        <v>5</v>
      </c>
      <c r="AK12" s="162" t="s">
        <v>342</v>
      </c>
    </row>
    <row r="13" spans="1:42" x14ac:dyDescent="0.25">
      <c r="A13" s="101" t="s">
        <v>47</v>
      </c>
      <c r="B13" s="102"/>
      <c r="C13" s="102" t="s">
        <v>46</v>
      </c>
      <c r="D13" s="103" t="s">
        <v>3</v>
      </c>
      <c r="E13" s="102"/>
      <c r="F13" s="102"/>
      <c r="G13" s="102"/>
      <c r="H13" s="102"/>
      <c r="I13" s="102"/>
      <c r="J13" s="102"/>
      <c r="K13" s="102">
        <f t="shared" si="0"/>
        <v>0.3</v>
      </c>
      <c r="L13" s="102"/>
      <c r="M13" s="102"/>
      <c r="N13" s="102">
        <v>1</v>
      </c>
      <c r="O13" s="102">
        <v>1</v>
      </c>
      <c r="P13" s="102"/>
      <c r="Q13" s="102"/>
      <c r="R13" s="102">
        <v>-1</v>
      </c>
      <c r="S13" s="102">
        <v>2</v>
      </c>
      <c r="T13" s="102">
        <v>1</v>
      </c>
      <c r="U13" s="102">
        <v>1</v>
      </c>
      <c r="V13" s="102">
        <v>1</v>
      </c>
      <c r="W13" s="102">
        <v>1</v>
      </c>
      <c r="X13" s="102">
        <v>10</v>
      </c>
      <c r="Y13" s="102"/>
      <c r="Z13" s="102"/>
      <c r="AA13" s="102"/>
      <c r="AB13" s="102">
        <v>-15</v>
      </c>
      <c r="AC13" s="102"/>
      <c r="AD13" s="104">
        <v>0.5</v>
      </c>
      <c r="AE13" s="102"/>
      <c r="AF13" s="102"/>
      <c r="AG13" s="102"/>
      <c r="AH13" s="102">
        <v>0.3</v>
      </c>
      <c r="AI13" s="102"/>
    </row>
    <row r="14" spans="1:42" x14ac:dyDescent="0.25">
      <c r="A14" s="120" t="s">
        <v>60</v>
      </c>
      <c r="B14" s="123"/>
      <c r="C14" s="123" t="s">
        <v>34</v>
      </c>
      <c r="D14" s="123"/>
      <c r="E14" s="123"/>
      <c r="F14" s="123"/>
      <c r="G14" s="121" t="s">
        <v>6</v>
      </c>
      <c r="H14" s="123"/>
      <c r="I14" s="123"/>
      <c r="J14" s="123"/>
      <c r="K14" s="123">
        <f t="shared" si="0"/>
        <v>0.3</v>
      </c>
      <c r="L14" s="123"/>
      <c r="M14" s="123"/>
      <c r="N14" s="123"/>
      <c r="O14" s="123"/>
      <c r="P14" s="123"/>
      <c r="Q14" s="123"/>
      <c r="R14" s="123">
        <v>1</v>
      </c>
      <c r="S14" s="123">
        <v>3</v>
      </c>
      <c r="T14" s="123">
        <v>4</v>
      </c>
      <c r="U14" s="123">
        <v>4</v>
      </c>
      <c r="V14" s="123">
        <v>5</v>
      </c>
      <c r="W14" s="123">
        <v>5</v>
      </c>
      <c r="X14" s="123">
        <v>60</v>
      </c>
      <c r="Y14" s="123"/>
      <c r="Z14" s="123"/>
      <c r="AA14" s="123"/>
      <c r="AB14" s="123">
        <v>-10</v>
      </c>
      <c r="AC14" s="123"/>
      <c r="AD14" s="122">
        <v>2</v>
      </c>
      <c r="AE14" s="123"/>
      <c r="AF14" s="123"/>
      <c r="AG14" s="123"/>
      <c r="AH14" s="123">
        <v>0.3</v>
      </c>
      <c r="AI14" s="123"/>
    </row>
    <row r="15" spans="1:42" x14ac:dyDescent="0.25">
      <c r="A15" s="101" t="s">
        <v>66</v>
      </c>
      <c r="B15" s="102"/>
      <c r="C15" s="102" t="s">
        <v>46</v>
      </c>
      <c r="D15" s="103" t="s">
        <v>3</v>
      </c>
      <c r="E15" s="102"/>
      <c r="F15" s="102"/>
      <c r="G15" s="102"/>
      <c r="H15" s="102"/>
      <c r="I15" s="102"/>
      <c r="J15" s="102"/>
      <c r="K15" s="102">
        <f t="shared" si="0"/>
        <v>0.5</v>
      </c>
      <c r="L15" s="102">
        <v>2</v>
      </c>
      <c r="M15" s="102">
        <v>1</v>
      </c>
      <c r="N15" s="102">
        <v>1</v>
      </c>
      <c r="O15" s="102">
        <v>1</v>
      </c>
      <c r="P15" s="102">
        <v>1</v>
      </c>
      <c r="Q15" s="102">
        <v>1</v>
      </c>
      <c r="R15" s="102">
        <v>-2</v>
      </c>
      <c r="S15" s="102">
        <v>-1</v>
      </c>
      <c r="T15" s="102"/>
      <c r="U15" s="102"/>
      <c r="V15" s="102"/>
      <c r="W15" s="102"/>
      <c r="X15" s="102">
        <v>20</v>
      </c>
      <c r="Y15" s="102">
        <v>2</v>
      </c>
      <c r="Z15" s="102"/>
      <c r="AA15" s="102"/>
      <c r="AB15" s="102">
        <v>-10</v>
      </c>
      <c r="AC15" s="102"/>
      <c r="AD15" s="104">
        <v>0.5</v>
      </c>
      <c r="AE15" s="102"/>
      <c r="AF15" s="102"/>
      <c r="AG15" s="102"/>
      <c r="AH15" s="102">
        <v>0.5</v>
      </c>
      <c r="AI15" s="102"/>
    </row>
    <row r="16" spans="1:42" x14ac:dyDescent="0.25">
      <c r="A16" s="101" t="s">
        <v>118</v>
      </c>
      <c r="B16" s="102"/>
      <c r="C16" s="102" t="s">
        <v>46</v>
      </c>
      <c r="D16" s="103" t="s">
        <v>3</v>
      </c>
      <c r="E16" s="102"/>
      <c r="F16" s="102"/>
      <c r="G16" s="102"/>
      <c r="H16" s="102"/>
      <c r="I16" s="102"/>
      <c r="J16" s="102"/>
      <c r="K16" s="102">
        <f t="shared" si="0"/>
        <v>0.6</v>
      </c>
      <c r="L16" s="102">
        <v>1</v>
      </c>
      <c r="M16" s="102"/>
      <c r="N16" s="102">
        <v>-1</v>
      </c>
      <c r="O16" s="102"/>
      <c r="P16" s="102"/>
      <c r="Q16" s="102">
        <v>-1</v>
      </c>
      <c r="R16" s="102">
        <v>-1</v>
      </c>
      <c r="S16" s="102">
        <v>-1</v>
      </c>
      <c r="T16" s="102">
        <v>-1</v>
      </c>
      <c r="U16" s="102">
        <v>-1</v>
      </c>
      <c r="V16" s="102">
        <v>-1</v>
      </c>
      <c r="W16" s="102">
        <v>-1</v>
      </c>
      <c r="X16" s="102"/>
      <c r="Y16" s="102">
        <v>3</v>
      </c>
      <c r="Z16" s="102"/>
      <c r="AA16" s="102"/>
      <c r="AB16" s="102">
        <v>-30</v>
      </c>
      <c r="AC16" s="102"/>
      <c r="AD16" s="104">
        <v>1</v>
      </c>
      <c r="AE16" s="102"/>
      <c r="AF16" s="102"/>
      <c r="AG16" s="102"/>
      <c r="AH16" s="102">
        <v>0.6</v>
      </c>
      <c r="AI16" s="102"/>
    </row>
    <row r="17" spans="1:35" x14ac:dyDescent="0.25">
      <c r="A17" s="101" t="s">
        <v>77</v>
      </c>
      <c r="B17" s="102"/>
      <c r="C17" s="102" t="s">
        <v>34</v>
      </c>
      <c r="D17" s="103" t="s">
        <v>3</v>
      </c>
      <c r="E17" s="102"/>
      <c r="F17" s="102"/>
      <c r="G17" s="102"/>
      <c r="H17" s="102"/>
      <c r="I17" s="102"/>
      <c r="J17" s="102"/>
      <c r="K17" s="102">
        <f t="shared" si="0"/>
        <v>0.7</v>
      </c>
      <c r="L17" s="102"/>
      <c r="M17" s="102"/>
      <c r="N17" s="102"/>
      <c r="O17" s="102">
        <v>2</v>
      </c>
      <c r="P17" s="102"/>
      <c r="Q17" s="102"/>
      <c r="R17" s="102">
        <v>-2</v>
      </c>
      <c r="S17" s="102"/>
      <c r="T17" s="102">
        <v>2</v>
      </c>
      <c r="U17" s="102">
        <v>3</v>
      </c>
      <c r="V17" s="102">
        <v>4</v>
      </c>
      <c r="W17" s="102">
        <v>5</v>
      </c>
      <c r="X17" s="102">
        <v>30</v>
      </c>
      <c r="Y17" s="102">
        <v>1</v>
      </c>
      <c r="Z17" s="102"/>
      <c r="AA17" s="102"/>
      <c r="AB17" s="102">
        <v>-30</v>
      </c>
      <c r="AC17" s="102"/>
      <c r="AD17" s="104">
        <v>3</v>
      </c>
      <c r="AE17" s="102"/>
      <c r="AF17" s="102"/>
      <c r="AG17" s="102"/>
      <c r="AH17" s="102">
        <v>0.7</v>
      </c>
      <c r="AI17" s="102"/>
    </row>
    <row r="18" spans="1:35" x14ac:dyDescent="0.25">
      <c r="A18" s="106" t="s">
        <v>142</v>
      </c>
      <c r="B18" s="107" t="s">
        <v>1</v>
      </c>
      <c r="C18" s="108"/>
      <c r="D18" s="108"/>
      <c r="E18" s="108"/>
      <c r="F18" s="108"/>
      <c r="G18" s="108"/>
      <c r="H18" s="108"/>
      <c r="I18" s="108"/>
      <c r="J18" s="108"/>
      <c r="K18" s="108">
        <f t="shared" si="0"/>
        <v>1</v>
      </c>
      <c r="L18" s="108">
        <v>1</v>
      </c>
      <c r="M18" s="108">
        <v>1</v>
      </c>
      <c r="N18" s="108">
        <v>1</v>
      </c>
      <c r="O18" s="108"/>
      <c r="P18" s="108">
        <v>2</v>
      </c>
      <c r="Q18" s="108"/>
      <c r="R18" s="108">
        <v>1</v>
      </c>
      <c r="S18" s="108">
        <v>1</v>
      </c>
      <c r="T18" s="108">
        <v>1</v>
      </c>
      <c r="U18" s="108">
        <v>1</v>
      </c>
      <c r="V18" s="108">
        <v>1</v>
      </c>
      <c r="W18" s="108">
        <v>1</v>
      </c>
      <c r="X18" s="108"/>
      <c r="Y18" s="108"/>
      <c r="Z18" s="108"/>
      <c r="AA18" s="108">
        <v>-4</v>
      </c>
      <c r="AB18" s="108">
        <v>20</v>
      </c>
      <c r="AC18" s="108"/>
      <c r="AD18" s="109">
        <v>3</v>
      </c>
      <c r="AE18" s="108"/>
      <c r="AF18" s="108"/>
      <c r="AG18" s="108"/>
      <c r="AH18" s="108">
        <v>1</v>
      </c>
      <c r="AI18" s="108"/>
    </row>
    <row r="19" spans="1:35" x14ac:dyDescent="0.25">
      <c r="A19" s="110" t="s">
        <v>52</v>
      </c>
      <c r="B19" s="107" t="s">
        <v>1</v>
      </c>
      <c r="C19" s="108"/>
      <c r="D19" s="108"/>
      <c r="E19" s="108"/>
      <c r="F19" s="108"/>
      <c r="G19" s="108"/>
      <c r="H19" s="108"/>
      <c r="I19" s="108"/>
      <c r="J19" s="108"/>
      <c r="K19" s="108">
        <f t="shared" si="0"/>
        <v>1</v>
      </c>
      <c r="L19" s="108">
        <v>1</v>
      </c>
      <c r="M19" s="108">
        <v>2</v>
      </c>
      <c r="N19" s="108">
        <v>1</v>
      </c>
      <c r="O19" s="108"/>
      <c r="P19" s="108"/>
      <c r="Q19" s="108">
        <v>1</v>
      </c>
      <c r="R19" s="108">
        <v>2</v>
      </c>
      <c r="S19" s="108">
        <v>1</v>
      </c>
      <c r="T19" s="108"/>
      <c r="U19" s="108"/>
      <c r="V19" s="108">
        <v>-1</v>
      </c>
      <c r="W19" s="108">
        <v>-2</v>
      </c>
      <c r="X19" s="108"/>
      <c r="Y19" s="108"/>
      <c r="Z19" s="108"/>
      <c r="AA19" s="108">
        <v>-1</v>
      </c>
      <c r="AB19" s="108"/>
      <c r="AC19" s="108"/>
      <c r="AD19" s="109">
        <v>2</v>
      </c>
      <c r="AE19" s="108"/>
      <c r="AF19" s="108"/>
      <c r="AG19" s="108"/>
      <c r="AH19" s="108">
        <v>1</v>
      </c>
      <c r="AI19" s="108"/>
    </row>
    <row r="20" spans="1:35" x14ac:dyDescent="0.25">
      <c r="A20" s="101" t="s">
        <v>90</v>
      </c>
      <c r="B20" s="102"/>
      <c r="C20" s="102" t="s">
        <v>34</v>
      </c>
      <c r="D20" s="103" t="s">
        <v>3</v>
      </c>
      <c r="E20" s="102"/>
      <c r="F20" s="102"/>
      <c r="G20" s="102"/>
      <c r="H20" s="102"/>
      <c r="I20" s="102"/>
      <c r="J20" s="102"/>
      <c r="K20" s="102">
        <f t="shared" si="0"/>
        <v>1</v>
      </c>
      <c r="L20" s="102">
        <v>2</v>
      </c>
      <c r="M20" s="102">
        <v>1</v>
      </c>
      <c r="N20" s="102">
        <v>1</v>
      </c>
      <c r="O20" s="102">
        <v>3</v>
      </c>
      <c r="P20" s="102">
        <v>-3</v>
      </c>
      <c r="Q20" s="102">
        <v>3</v>
      </c>
      <c r="R20" s="102"/>
      <c r="S20" s="102">
        <v>-5</v>
      </c>
      <c r="T20" s="102">
        <v>-10</v>
      </c>
      <c r="U20" s="102">
        <v>-15</v>
      </c>
      <c r="V20" s="102">
        <v>-20</v>
      </c>
      <c r="W20" s="102">
        <v>-25</v>
      </c>
      <c r="X20" s="102">
        <v>-20</v>
      </c>
      <c r="Y20" s="102">
        <v>2</v>
      </c>
      <c r="Z20" s="102"/>
      <c r="AA20" s="102"/>
      <c r="AB20" s="102">
        <v>-15</v>
      </c>
      <c r="AC20" s="102"/>
      <c r="AD20" s="104">
        <v>1</v>
      </c>
      <c r="AE20" s="102"/>
      <c r="AF20" s="102"/>
      <c r="AG20" s="102"/>
      <c r="AH20" s="102">
        <v>1</v>
      </c>
      <c r="AI20" s="102"/>
    </row>
    <row r="21" spans="1:35" x14ac:dyDescent="0.25">
      <c r="A21" s="101" t="s">
        <v>44</v>
      </c>
      <c r="B21" s="102"/>
      <c r="C21" s="102" t="s">
        <v>34</v>
      </c>
      <c r="D21" s="103" t="s">
        <v>3</v>
      </c>
      <c r="E21" s="102"/>
      <c r="F21" s="102"/>
      <c r="G21" s="102"/>
      <c r="H21" s="102"/>
      <c r="I21" s="102"/>
      <c r="J21" s="102"/>
      <c r="K21" s="102">
        <f t="shared" si="0"/>
        <v>1</v>
      </c>
      <c r="L21" s="102">
        <v>2</v>
      </c>
      <c r="M21" s="102">
        <v>1</v>
      </c>
      <c r="N21" s="102">
        <v>1</v>
      </c>
      <c r="O21" s="102">
        <v>1</v>
      </c>
      <c r="P21" s="102">
        <v>1</v>
      </c>
      <c r="Q21" s="102">
        <v>1</v>
      </c>
      <c r="R21" s="102">
        <v>-2</v>
      </c>
      <c r="S21" s="102">
        <v>-1</v>
      </c>
      <c r="T21" s="102"/>
      <c r="U21" s="102"/>
      <c r="V21" s="102"/>
      <c r="W21" s="102"/>
      <c r="X21" s="102">
        <v>20</v>
      </c>
      <c r="Y21" s="102">
        <v>2</v>
      </c>
      <c r="Z21" s="102"/>
      <c r="AA21" s="102"/>
      <c r="AB21" s="102">
        <v>-10</v>
      </c>
      <c r="AC21" s="102"/>
      <c r="AD21" s="104">
        <v>1</v>
      </c>
      <c r="AE21" s="102"/>
      <c r="AF21" s="102"/>
      <c r="AG21" s="102"/>
      <c r="AH21" s="102">
        <v>1</v>
      </c>
      <c r="AI21" s="102"/>
    </row>
    <row r="22" spans="1:35" x14ac:dyDescent="0.25">
      <c r="A22" s="101" t="s">
        <v>93</v>
      </c>
      <c r="B22" s="102"/>
      <c r="C22" s="102" t="s">
        <v>34</v>
      </c>
      <c r="D22" s="103" t="s">
        <v>3</v>
      </c>
      <c r="E22" s="102"/>
      <c r="F22" s="102"/>
      <c r="G22" s="102"/>
      <c r="H22" s="102"/>
      <c r="I22" s="102"/>
      <c r="J22" s="102"/>
      <c r="K22" s="102">
        <f t="shared" si="0"/>
        <v>1.5</v>
      </c>
      <c r="L22" s="102">
        <v>1</v>
      </c>
      <c r="M22" s="102"/>
      <c r="N22" s="102">
        <v>-1</v>
      </c>
      <c r="O22" s="102"/>
      <c r="P22" s="102"/>
      <c r="Q22" s="102">
        <v>-1</v>
      </c>
      <c r="R22" s="102">
        <v>-1</v>
      </c>
      <c r="S22" s="102">
        <v>-1</v>
      </c>
      <c r="T22" s="102">
        <v>-1</v>
      </c>
      <c r="U22" s="102">
        <v>-1</v>
      </c>
      <c r="V22" s="102">
        <v>-1</v>
      </c>
      <c r="W22" s="102">
        <v>-1</v>
      </c>
      <c r="X22" s="102"/>
      <c r="Y22" s="102">
        <v>4</v>
      </c>
      <c r="Z22" s="102"/>
      <c r="AA22" s="102"/>
      <c r="AB22" s="102">
        <v>-30</v>
      </c>
      <c r="AC22" s="102"/>
      <c r="AD22" s="104">
        <v>2</v>
      </c>
      <c r="AE22" s="102"/>
      <c r="AF22" s="102"/>
      <c r="AG22" s="102"/>
      <c r="AH22" s="102">
        <v>1.5</v>
      </c>
      <c r="AI22" s="102"/>
    </row>
    <row r="23" spans="1:35" x14ac:dyDescent="0.25">
      <c r="A23" s="111" t="s">
        <v>46</v>
      </c>
      <c r="B23" s="112"/>
      <c r="C23" s="113" t="s">
        <v>343</v>
      </c>
      <c r="D23" s="112"/>
      <c r="E23" s="112"/>
      <c r="F23" s="112"/>
      <c r="G23" s="112"/>
      <c r="H23" s="112"/>
      <c r="I23" s="112"/>
      <c r="J23" s="112"/>
      <c r="K23" s="112">
        <f t="shared" si="0"/>
        <v>1.55</v>
      </c>
      <c r="L23" s="112">
        <v>7</v>
      </c>
      <c r="M23" s="112"/>
      <c r="N23" s="112"/>
      <c r="O23" s="112"/>
      <c r="P23" s="112">
        <v>6</v>
      </c>
      <c r="Q23" s="112">
        <v>14</v>
      </c>
      <c r="R23" s="112">
        <v>7</v>
      </c>
      <c r="S23" s="112">
        <v>-1</v>
      </c>
      <c r="T23" s="112">
        <v>-11</v>
      </c>
      <c r="U23" s="112">
        <v>-23</v>
      </c>
      <c r="V23" s="112">
        <v>-37</v>
      </c>
      <c r="W23" s="112">
        <v>-53</v>
      </c>
      <c r="X23" s="112">
        <v>30</v>
      </c>
      <c r="Y23" s="112"/>
      <c r="Z23" s="112"/>
      <c r="AA23" s="112"/>
      <c r="AB23" s="112">
        <v>100</v>
      </c>
      <c r="AC23" s="112"/>
      <c r="AD23" s="114">
        <v>7</v>
      </c>
      <c r="AE23" s="112"/>
      <c r="AF23" s="115">
        <v>150</v>
      </c>
      <c r="AG23" s="115">
        <v>1</v>
      </c>
      <c r="AH23" s="112">
        <v>1</v>
      </c>
      <c r="AI23" s="112">
        <v>0.55000000000000004</v>
      </c>
    </row>
    <row r="24" spans="1:35" x14ac:dyDescent="0.25">
      <c r="A24" s="106" t="s">
        <v>128</v>
      </c>
      <c r="B24" s="107" t="s">
        <v>1</v>
      </c>
      <c r="C24" s="108"/>
      <c r="D24" s="108"/>
      <c r="E24" s="108"/>
      <c r="F24" s="108"/>
      <c r="G24" s="108"/>
      <c r="H24" s="108"/>
      <c r="I24" s="108"/>
      <c r="J24" s="108"/>
      <c r="K24" s="108">
        <f t="shared" si="0"/>
        <v>2</v>
      </c>
      <c r="L24" s="108">
        <v>3</v>
      </c>
      <c r="M24" s="108">
        <v>2</v>
      </c>
      <c r="N24" s="108">
        <v>2</v>
      </c>
      <c r="O24" s="108">
        <v>1</v>
      </c>
      <c r="P24" s="108">
        <v>-1</v>
      </c>
      <c r="Q24" s="108">
        <v>2</v>
      </c>
      <c r="R24" s="108"/>
      <c r="S24" s="108">
        <v>-1</v>
      </c>
      <c r="T24" s="108">
        <v>-2</v>
      </c>
      <c r="U24" s="108">
        <v>-3</v>
      </c>
      <c r="V24" s="108">
        <v>-4</v>
      </c>
      <c r="W24" s="108">
        <v>-5</v>
      </c>
      <c r="X24" s="108">
        <v>-10</v>
      </c>
      <c r="Y24" s="108"/>
      <c r="Z24" s="108"/>
      <c r="AA24" s="108">
        <v>1</v>
      </c>
      <c r="AB24" s="108"/>
      <c r="AC24" s="108"/>
      <c r="AD24" s="109"/>
      <c r="AE24" s="108"/>
      <c r="AF24" s="108"/>
      <c r="AG24" s="108"/>
      <c r="AH24" s="108">
        <v>1</v>
      </c>
      <c r="AI24" s="108">
        <v>1</v>
      </c>
    </row>
    <row r="25" spans="1:35" x14ac:dyDescent="0.25">
      <c r="A25" s="101" t="s">
        <v>122</v>
      </c>
      <c r="B25" s="102"/>
      <c r="C25" s="102" t="s">
        <v>46</v>
      </c>
      <c r="D25" s="103" t="s">
        <v>3</v>
      </c>
      <c r="E25" s="102"/>
      <c r="F25" s="102"/>
      <c r="G25" s="102"/>
      <c r="H25" s="102"/>
      <c r="I25" s="102"/>
      <c r="J25" s="102"/>
      <c r="K25" s="102">
        <f t="shared" si="0"/>
        <v>2.1</v>
      </c>
      <c r="L25" s="102">
        <v>2</v>
      </c>
      <c r="M25" s="102">
        <v>-1</v>
      </c>
      <c r="N25" s="102">
        <v>-1</v>
      </c>
      <c r="O25" s="102"/>
      <c r="P25" s="102"/>
      <c r="Q25" s="102">
        <v>-1</v>
      </c>
      <c r="R25" s="102">
        <v>-2</v>
      </c>
      <c r="S25" s="102">
        <v>-2</v>
      </c>
      <c r="T25" s="102">
        <v>-2</v>
      </c>
      <c r="U25" s="102">
        <v>-2</v>
      </c>
      <c r="V25" s="102">
        <v>-2</v>
      </c>
      <c r="W25" s="102">
        <v>-2</v>
      </c>
      <c r="X25" s="102"/>
      <c r="Y25" s="102">
        <v>5</v>
      </c>
      <c r="Z25" s="102"/>
      <c r="AA25" s="102"/>
      <c r="AB25" s="102">
        <v>-40</v>
      </c>
      <c r="AC25" s="102"/>
      <c r="AD25" s="104">
        <v>6</v>
      </c>
      <c r="AE25" s="102"/>
      <c r="AF25" s="102"/>
      <c r="AG25" s="102"/>
      <c r="AH25" s="102">
        <v>2.1</v>
      </c>
      <c r="AI25" s="102"/>
    </row>
    <row r="26" spans="1:35" x14ac:dyDescent="0.25">
      <c r="A26" s="101" t="s">
        <v>32</v>
      </c>
      <c r="B26" s="102"/>
      <c r="C26" s="102" t="s">
        <v>34</v>
      </c>
      <c r="D26" s="103" t="s">
        <v>3</v>
      </c>
      <c r="E26" s="102"/>
      <c r="F26" s="102"/>
      <c r="G26" s="102"/>
      <c r="H26" s="102"/>
      <c r="I26" s="102"/>
      <c r="J26" s="102"/>
      <c r="K26" s="102">
        <f t="shared" si="0"/>
        <v>3</v>
      </c>
      <c r="L26" s="102">
        <v>4</v>
      </c>
      <c r="M26" s="102">
        <v>2</v>
      </c>
      <c r="N26" s="102">
        <v>1</v>
      </c>
      <c r="O26" s="102">
        <v>1</v>
      </c>
      <c r="P26" s="102">
        <v>3</v>
      </c>
      <c r="Q26" s="102">
        <v>2</v>
      </c>
      <c r="R26" s="102">
        <v>-4</v>
      </c>
      <c r="S26" s="102">
        <v>-2</v>
      </c>
      <c r="T26" s="102"/>
      <c r="U26" s="102"/>
      <c r="V26" s="102"/>
      <c r="W26" s="102"/>
      <c r="X26" s="102">
        <v>20</v>
      </c>
      <c r="Y26" s="102">
        <v>8</v>
      </c>
      <c r="Z26" s="102"/>
      <c r="AA26" s="102"/>
      <c r="AB26" s="102">
        <v>-25</v>
      </c>
      <c r="AC26" s="102"/>
      <c r="AD26" s="104">
        <v>3</v>
      </c>
      <c r="AE26" s="102"/>
      <c r="AF26" s="102"/>
      <c r="AG26" s="102"/>
      <c r="AH26" s="102">
        <v>3</v>
      </c>
      <c r="AI26" s="102"/>
    </row>
    <row r="27" spans="1:35" x14ac:dyDescent="0.25">
      <c r="A27" s="111" t="s">
        <v>34</v>
      </c>
      <c r="B27" s="112"/>
      <c r="C27" s="113" t="s">
        <v>343</v>
      </c>
      <c r="D27" s="112"/>
      <c r="E27" s="112"/>
      <c r="F27" s="112"/>
      <c r="G27" s="112"/>
      <c r="H27" s="112"/>
      <c r="I27" s="112"/>
      <c r="J27" s="112"/>
      <c r="K27" s="112">
        <f t="shared" si="0"/>
        <v>3.8</v>
      </c>
      <c r="L27" s="112">
        <v>10</v>
      </c>
      <c r="M27" s="112"/>
      <c r="N27" s="112"/>
      <c r="O27" s="112">
        <v>1</v>
      </c>
      <c r="P27" s="112">
        <v>11</v>
      </c>
      <c r="Q27" s="112">
        <v>17</v>
      </c>
      <c r="R27" s="112">
        <v>4</v>
      </c>
      <c r="S27" s="112">
        <v>-1</v>
      </c>
      <c r="T27" s="112">
        <v>-6</v>
      </c>
      <c r="U27" s="112">
        <v>-12</v>
      </c>
      <c r="V27" s="112">
        <v>-19</v>
      </c>
      <c r="W27" s="112">
        <v>-27</v>
      </c>
      <c r="X27" s="112">
        <v>40</v>
      </c>
      <c r="Y27" s="112"/>
      <c r="Z27" s="112"/>
      <c r="AA27" s="112"/>
      <c r="AB27" s="112">
        <v>100</v>
      </c>
      <c r="AC27" s="112"/>
      <c r="AD27" s="114">
        <v>7.2</v>
      </c>
      <c r="AE27" s="112"/>
      <c r="AF27" s="115">
        <v>150</v>
      </c>
      <c r="AG27" s="115">
        <v>1</v>
      </c>
      <c r="AH27" s="112">
        <v>1.9</v>
      </c>
      <c r="AI27" s="112">
        <v>1.9</v>
      </c>
    </row>
    <row r="28" spans="1:35" x14ac:dyDescent="0.25">
      <c r="A28" s="101" t="s">
        <v>344</v>
      </c>
      <c r="B28" s="102"/>
      <c r="C28" s="102" t="s">
        <v>34</v>
      </c>
      <c r="D28" s="103" t="s">
        <v>3</v>
      </c>
      <c r="E28" s="102"/>
      <c r="F28" s="102"/>
      <c r="G28" s="102"/>
      <c r="H28" s="102"/>
      <c r="I28" s="102"/>
      <c r="J28" s="102"/>
      <c r="K28" s="102">
        <f t="shared" si="0"/>
        <v>4.5</v>
      </c>
      <c r="L28" s="102">
        <v>3</v>
      </c>
      <c r="M28" s="102">
        <v>-1</v>
      </c>
      <c r="N28" s="102">
        <v>-1</v>
      </c>
      <c r="O28" s="102"/>
      <c r="P28" s="102"/>
      <c r="Q28" s="102">
        <v>-1</v>
      </c>
      <c r="R28" s="102">
        <v>-2</v>
      </c>
      <c r="S28" s="102">
        <v>-2</v>
      </c>
      <c r="T28" s="102">
        <v>-2</v>
      </c>
      <c r="U28" s="102">
        <v>-2</v>
      </c>
      <c r="V28" s="102">
        <v>-2</v>
      </c>
      <c r="W28" s="102">
        <v>-2</v>
      </c>
      <c r="X28" s="102"/>
      <c r="Y28" s="102">
        <v>6</v>
      </c>
      <c r="Z28" s="102"/>
      <c r="AA28" s="102"/>
      <c r="AB28" s="102">
        <v>-40</v>
      </c>
      <c r="AC28" s="102"/>
      <c r="AD28" s="104">
        <v>8</v>
      </c>
      <c r="AE28" s="102"/>
      <c r="AF28" s="102"/>
      <c r="AG28" s="102"/>
      <c r="AH28" s="102">
        <v>4.5</v>
      </c>
      <c r="AI28" s="102"/>
    </row>
    <row r="29" spans="1:35" x14ac:dyDescent="0.25">
      <c r="A29" s="101" t="s">
        <v>104</v>
      </c>
      <c r="B29" s="102"/>
      <c r="C29" s="102" t="s">
        <v>34</v>
      </c>
      <c r="D29" s="103" t="s">
        <v>3</v>
      </c>
      <c r="E29" s="102"/>
      <c r="F29" s="102"/>
      <c r="G29" s="102"/>
      <c r="H29" s="102"/>
      <c r="I29" s="102"/>
      <c r="J29" s="102"/>
      <c r="K29" s="102">
        <f t="shared" si="0"/>
        <v>8</v>
      </c>
      <c r="L29" s="102">
        <v>8</v>
      </c>
      <c r="M29" s="102">
        <v>2</v>
      </c>
      <c r="N29" s="102">
        <v>2</v>
      </c>
      <c r="O29" s="102">
        <v>2</v>
      </c>
      <c r="P29" s="102">
        <v>4</v>
      </c>
      <c r="Q29" s="102">
        <v>4</v>
      </c>
      <c r="R29" s="102">
        <v>-6</v>
      </c>
      <c r="S29" s="102">
        <v>-3</v>
      </c>
      <c r="T29" s="102">
        <v>-1</v>
      </c>
      <c r="U29" s="102"/>
      <c r="V29" s="102"/>
      <c r="W29" s="102"/>
      <c r="X29" s="102">
        <v>50</v>
      </c>
      <c r="Y29" s="102">
        <v>12</v>
      </c>
      <c r="Z29" s="102"/>
      <c r="AA29" s="102"/>
      <c r="AB29" s="102">
        <v>-25</v>
      </c>
      <c r="AC29" s="102"/>
      <c r="AD29" s="104">
        <v>6</v>
      </c>
      <c r="AE29" s="102"/>
      <c r="AF29" s="102"/>
      <c r="AG29" s="102"/>
      <c r="AH29" s="102">
        <v>8</v>
      </c>
      <c r="AI29" s="102"/>
    </row>
    <row r="30" spans="1:35" x14ac:dyDescent="0.25">
      <c r="A30" s="106" t="s">
        <v>33</v>
      </c>
      <c r="B30" s="107" t="s">
        <v>1</v>
      </c>
      <c r="C30" s="108"/>
      <c r="D30" s="108"/>
      <c r="E30" s="108"/>
      <c r="F30" s="108"/>
      <c r="G30" s="108"/>
      <c r="H30" s="108"/>
      <c r="I30" s="108"/>
      <c r="J30" s="108"/>
      <c r="K30" s="108"/>
      <c r="L30" s="108"/>
      <c r="M30" s="108"/>
      <c r="N30" s="108"/>
      <c r="O30" s="108"/>
      <c r="P30" s="108"/>
      <c r="Q30" s="108"/>
      <c r="R30" s="108">
        <v>1</v>
      </c>
      <c r="S30" s="108"/>
      <c r="T30" s="108">
        <v>-1</v>
      </c>
      <c r="U30" s="108">
        <v>-1</v>
      </c>
      <c r="V30" s="108">
        <v>-2</v>
      </c>
      <c r="W30" s="108">
        <v>-2</v>
      </c>
      <c r="X30" s="108"/>
      <c r="Y30" s="108"/>
      <c r="Z30" s="108"/>
      <c r="AA30" s="108">
        <v>1</v>
      </c>
      <c r="AB30" s="108">
        <v>10</v>
      </c>
      <c r="AC30" s="108"/>
      <c r="AD30" s="109"/>
      <c r="AE30" s="108"/>
      <c r="AF30" s="108"/>
      <c r="AG30" s="108"/>
      <c r="AH30" s="108"/>
      <c r="AI30" s="108"/>
    </row>
    <row r="31" spans="1:35" x14ac:dyDescent="0.25">
      <c r="A31" s="106" t="s">
        <v>71</v>
      </c>
      <c r="B31" s="107" t="s">
        <v>1</v>
      </c>
      <c r="C31" s="108"/>
      <c r="D31" s="108"/>
      <c r="E31" s="108"/>
      <c r="F31" s="108"/>
      <c r="G31" s="108"/>
      <c r="H31" s="108"/>
      <c r="I31" s="108"/>
      <c r="J31" s="108"/>
      <c r="K31" s="108"/>
      <c r="L31" s="108"/>
      <c r="M31" s="108"/>
      <c r="N31" s="108"/>
      <c r="O31" s="108"/>
      <c r="P31" s="108"/>
      <c r="Q31" s="108"/>
      <c r="R31" s="108">
        <v>3</v>
      </c>
      <c r="S31" s="108">
        <v>3</v>
      </c>
      <c r="T31" s="108">
        <v>3</v>
      </c>
      <c r="U31" s="108">
        <v>3</v>
      </c>
      <c r="V31" s="108">
        <v>3</v>
      </c>
      <c r="W31" s="108">
        <v>3</v>
      </c>
      <c r="X31" s="108">
        <v>20</v>
      </c>
      <c r="Y31" s="108"/>
      <c r="Z31" s="108"/>
      <c r="AA31" s="108">
        <v>-1</v>
      </c>
      <c r="AB31" s="108">
        <v>20</v>
      </c>
      <c r="AC31" s="108"/>
      <c r="AD31" s="109">
        <v>2</v>
      </c>
      <c r="AE31" s="108"/>
      <c r="AF31" s="108"/>
      <c r="AG31" s="108"/>
      <c r="AH31" s="108"/>
      <c r="AI31" s="108"/>
    </row>
    <row r="32" spans="1:35" x14ac:dyDescent="0.25">
      <c r="A32" s="93" t="s">
        <v>326</v>
      </c>
      <c r="B32" s="94"/>
      <c r="C32" s="94"/>
      <c r="D32" s="94"/>
      <c r="E32" s="94"/>
      <c r="F32" s="94"/>
      <c r="G32" s="94"/>
      <c r="H32" s="94"/>
      <c r="I32" s="95" t="s">
        <v>8</v>
      </c>
      <c r="J32" s="94"/>
      <c r="K32" s="94"/>
      <c r="L32" s="94"/>
      <c r="M32" s="94"/>
      <c r="N32" s="94"/>
      <c r="O32" s="94"/>
      <c r="P32" s="94"/>
      <c r="Q32" s="94"/>
      <c r="R32" s="94">
        <v>-5</v>
      </c>
      <c r="S32" s="94">
        <v>-5</v>
      </c>
      <c r="T32" s="94">
        <v>-5</v>
      </c>
      <c r="U32" s="94">
        <v>-5</v>
      </c>
      <c r="V32" s="94">
        <v>-5</v>
      </c>
      <c r="W32" s="94">
        <v>-5</v>
      </c>
      <c r="X32" s="94"/>
      <c r="Y32" s="94"/>
      <c r="Z32" s="94"/>
      <c r="AA32" s="94">
        <v>5</v>
      </c>
      <c r="AB32" s="94">
        <v>-20</v>
      </c>
      <c r="AC32" s="94"/>
      <c r="AD32" s="96"/>
      <c r="AE32" s="97">
        <v>1</v>
      </c>
      <c r="AF32" s="94"/>
      <c r="AG32" s="94"/>
      <c r="AH32" s="94"/>
      <c r="AI32" s="94"/>
    </row>
    <row r="33" spans="1:35" x14ac:dyDescent="0.25">
      <c r="A33" s="93" t="s">
        <v>338</v>
      </c>
      <c r="B33" s="94"/>
      <c r="C33" s="94"/>
      <c r="D33" s="94"/>
      <c r="E33" s="94"/>
      <c r="F33" s="94"/>
      <c r="G33" s="94"/>
      <c r="H33" s="94"/>
      <c r="I33" s="95" t="s">
        <v>8</v>
      </c>
      <c r="J33" s="94"/>
      <c r="K33" s="94"/>
      <c r="L33" s="94"/>
      <c r="M33" s="94"/>
      <c r="N33" s="94"/>
      <c r="O33" s="94"/>
      <c r="P33" s="94"/>
      <c r="Q33" s="94"/>
      <c r="R33" s="94">
        <v>3</v>
      </c>
      <c r="S33" s="94">
        <v>3</v>
      </c>
      <c r="T33" s="94">
        <v>3</v>
      </c>
      <c r="U33" s="94">
        <v>3</v>
      </c>
      <c r="V33" s="94">
        <v>3</v>
      </c>
      <c r="W33" s="94">
        <v>3</v>
      </c>
      <c r="X33" s="94"/>
      <c r="Y33" s="94"/>
      <c r="Z33" s="94"/>
      <c r="AA33" s="94">
        <v>-3</v>
      </c>
      <c r="AB33" s="94">
        <v>-30</v>
      </c>
      <c r="AC33" s="94"/>
      <c r="AD33" s="94"/>
      <c r="AE33" s="97">
        <v>142</v>
      </c>
      <c r="AF33" s="94"/>
      <c r="AG33" s="94"/>
      <c r="AH33" s="94"/>
      <c r="AI33" s="94"/>
    </row>
    <row r="34" spans="1:35" x14ac:dyDescent="0.25">
      <c r="A34" s="93" t="s">
        <v>330</v>
      </c>
      <c r="B34" s="94"/>
      <c r="C34" s="94"/>
      <c r="D34" s="94"/>
      <c r="E34" s="94"/>
      <c r="F34" s="94"/>
      <c r="G34" s="94"/>
      <c r="H34" s="94"/>
      <c r="I34" s="95" t="s">
        <v>8</v>
      </c>
      <c r="J34" s="94"/>
      <c r="K34" s="94"/>
      <c r="L34" s="94"/>
      <c r="M34" s="94"/>
      <c r="N34" s="94"/>
      <c r="O34" s="94"/>
      <c r="P34" s="94"/>
      <c r="Q34" s="94"/>
      <c r="R34" s="94"/>
      <c r="S34" s="94"/>
      <c r="T34" s="94"/>
      <c r="U34" s="94"/>
      <c r="V34" s="94"/>
      <c r="W34" s="94"/>
      <c r="X34" s="94"/>
      <c r="Y34" s="94"/>
      <c r="Z34" s="94"/>
      <c r="AA34" s="94"/>
      <c r="AB34" s="94"/>
      <c r="AC34" s="94"/>
      <c r="AD34" s="94"/>
      <c r="AE34" s="97">
        <v>6</v>
      </c>
      <c r="AF34" s="94"/>
      <c r="AG34" s="94"/>
      <c r="AH34" s="94"/>
      <c r="AI34" s="94"/>
    </row>
    <row r="35" spans="1:35" x14ac:dyDescent="0.25">
      <c r="A35" s="93" t="s">
        <v>328</v>
      </c>
      <c r="B35" s="94"/>
      <c r="C35" s="94"/>
      <c r="D35" s="94"/>
      <c r="E35" s="94"/>
      <c r="F35" s="94"/>
      <c r="G35" s="94"/>
      <c r="H35" s="94"/>
      <c r="I35" s="95" t="s">
        <v>8</v>
      </c>
      <c r="J35" s="94"/>
      <c r="K35" s="94"/>
      <c r="L35" s="94"/>
      <c r="M35" s="94"/>
      <c r="N35" s="94"/>
      <c r="O35" s="94"/>
      <c r="P35" s="94"/>
      <c r="Q35" s="94"/>
      <c r="R35" s="94">
        <v>-2</v>
      </c>
      <c r="S35" s="94">
        <v>-2</v>
      </c>
      <c r="T35" s="94">
        <v>-2</v>
      </c>
      <c r="U35" s="94">
        <v>-2</v>
      </c>
      <c r="V35" s="94">
        <v>-2</v>
      </c>
      <c r="W35" s="94">
        <v>-2</v>
      </c>
      <c r="X35" s="94"/>
      <c r="Y35" s="94"/>
      <c r="Z35" s="94"/>
      <c r="AA35" s="94">
        <v>3</v>
      </c>
      <c r="AB35" s="94">
        <v>30</v>
      </c>
      <c r="AC35" s="94"/>
      <c r="AD35" s="96">
        <v>-3.6</v>
      </c>
      <c r="AE35" s="97">
        <v>3</v>
      </c>
      <c r="AF35" s="97">
        <v>-75</v>
      </c>
      <c r="AG35" s="97">
        <v>-0.5</v>
      </c>
      <c r="AH35" s="94"/>
      <c r="AI35" s="94"/>
    </row>
    <row r="36" spans="1:35" x14ac:dyDescent="0.25">
      <c r="A36" s="93" t="s">
        <v>335</v>
      </c>
      <c r="B36" s="94"/>
      <c r="C36" s="94"/>
      <c r="D36" s="94"/>
      <c r="E36" s="94"/>
      <c r="F36" s="94"/>
      <c r="G36" s="94"/>
      <c r="H36" s="94"/>
      <c r="I36" s="95" t="s">
        <v>8</v>
      </c>
      <c r="J36" s="94"/>
      <c r="K36" s="94"/>
      <c r="L36" s="94"/>
      <c r="M36" s="94"/>
      <c r="N36" s="94"/>
      <c r="O36" s="94"/>
      <c r="P36" s="94"/>
      <c r="Q36" s="94"/>
      <c r="R36" s="94">
        <v>2</v>
      </c>
      <c r="S36" s="94">
        <v>2</v>
      </c>
      <c r="T36" s="94">
        <v>2</v>
      </c>
      <c r="U36" s="94">
        <v>2</v>
      </c>
      <c r="V36" s="94">
        <v>2</v>
      </c>
      <c r="W36" s="94">
        <v>2</v>
      </c>
      <c r="X36" s="94"/>
      <c r="Y36" s="94"/>
      <c r="Z36" s="94"/>
      <c r="AA36" s="94">
        <v>-2</v>
      </c>
      <c r="AB36" s="94">
        <v>-20</v>
      </c>
      <c r="AC36" s="94"/>
      <c r="AD36" s="94"/>
      <c r="AE36" s="97">
        <v>71</v>
      </c>
      <c r="AF36" s="94"/>
      <c r="AG36" s="94"/>
      <c r="AH36" s="94"/>
      <c r="AI36" s="94"/>
    </row>
    <row r="37" spans="1:35" x14ac:dyDescent="0.25">
      <c r="A37" s="93" t="s">
        <v>39</v>
      </c>
      <c r="B37" s="94"/>
      <c r="C37" s="94"/>
      <c r="D37" s="94"/>
      <c r="E37" s="94"/>
      <c r="F37" s="94"/>
      <c r="G37" s="94"/>
      <c r="H37" s="94"/>
      <c r="I37" s="95" t="s">
        <v>8</v>
      </c>
      <c r="J37" s="94"/>
      <c r="K37" s="94"/>
      <c r="L37" s="94"/>
      <c r="M37" s="94"/>
      <c r="N37" s="94"/>
      <c r="O37" s="94"/>
      <c r="P37" s="94"/>
      <c r="Q37" s="94"/>
      <c r="R37" s="94">
        <v>-1</v>
      </c>
      <c r="S37" s="94">
        <v>-1</v>
      </c>
      <c r="T37" s="94">
        <v>-1</v>
      </c>
      <c r="U37" s="94">
        <v>-1</v>
      </c>
      <c r="V37" s="94">
        <v>-1</v>
      </c>
      <c r="W37" s="94">
        <v>-1</v>
      </c>
      <c r="X37" s="94"/>
      <c r="Y37" s="94"/>
      <c r="Z37" s="94"/>
      <c r="AA37" s="94">
        <v>2</v>
      </c>
      <c r="AB37" s="94">
        <v>20</v>
      </c>
      <c r="AC37" s="94"/>
      <c r="AD37" s="96">
        <v>-3</v>
      </c>
      <c r="AE37" s="97">
        <v>4</v>
      </c>
      <c r="AF37" s="97">
        <v>-30</v>
      </c>
      <c r="AG37" s="97">
        <v>-0.3</v>
      </c>
      <c r="AH37" s="94"/>
      <c r="AI37" s="94"/>
    </row>
    <row r="38" spans="1:35" x14ac:dyDescent="0.25">
      <c r="A38" s="93" t="s">
        <v>332</v>
      </c>
      <c r="B38" s="94"/>
      <c r="C38" s="94"/>
      <c r="D38" s="94"/>
      <c r="E38" s="94"/>
      <c r="F38" s="94"/>
      <c r="G38" s="94"/>
      <c r="H38" s="94"/>
      <c r="I38" s="95" t="s">
        <v>8</v>
      </c>
      <c r="J38" s="94"/>
      <c r="K38" s="94"/>
      <c r="L38" s="94"/>
      <c r="M38" s="94"/>
      <c r="N38" s="94"/>
      <c r="O38" s="94"/>
      <c r="P38" s="94"/>
      <c r="Q38" s="94"/>
      <c r="R38" s="94">
        <v>1</v>
      </c>
      <c r="S38" s="94">
        <v>1</v>
      </c>
      <c r="T38" s="94">
        <v>1</v>
      </c>
      <c r="U38" s="94">
        <v>1</v>
      </c>
      <c r="V38" s="94">
        <v>1</v>
      </c>
      <c r="W38" s="94">
        <v>1</v>
      </c>
      <c r="X38" s="94"/>
      <c r="Y38" s="94"/>
      <c r="Z38" s="94"/>
      <c r="AA38" s="94">
        <v>-1</v>
      </c>
      <c r="AB38" s="94">
        <v>-10</v>
      </c>
      <c r="AC38" s="94"/>
      <c r="AD38" s="94"/>
      <c r="AE38" s="97">
        <v>65</v>
      </c>
      <c r="AF38" s="94"/>
      <c r="AG38" s="94"/>
      <c r="AH38" s="94"/>
      <c r="AI38" s="94"/>
    </row>
    <row r="39" spans="1:35" x14ac:dyDescent="0.25">
      <c r="A39" s="98" t="s">
        <v>35</v>
      </c>
      <c r="B39" s="99"/>
      <c r="C39" s="99"/>
      <c r="D39" s="99"/>
      <c r="E39" s="100" t="s">
        <v>336</v>
      </c>
      <c r="F39" s="99"/>
      <c r="G39" s="99"/>
      <c r="H39" s="99"/>
      <c r="I39" s="99"/>
      <c r="J39" s="99"/>
      <c r="K39" s="99"/>
      <c r="L39" s="99"/>
      <c r="M39" s="99"/>
      <c r="N39" s="99"/>
      <c r="O39" s="99"/>
      <c r="P39" s="99"/>
      <c r="Q39" s="99"/>
      <c r="R39" s="99"/>
      <c r="S39" s="99"/>
      <c r="T39" s="99"/>
      <c r="U39" s="99"/>
      <c r="V39" s="99"/>
      <c r="W39" s="99"/>
      <c r="X39" s="99"/>
      <c r="Y39" s="99">
        <v>30</v>
      </c>
      <c r="Z39" s="99">
        <v>3</v>
      </c>
      <c r="AA39" s="99"/>
      <c r="AB39" s="99"/>
      <c r="AC39" s="99"/>
      <c r="AD39" s="99"/>
      <c r="AE39" s="99"/>
      <c r="AF39" s="99"/>
      <c r="AG39" s="99"/>
      <c r="AH39" s="99"/>
      <c r="AI39" s="99"/>
    </row>
    <row r="40" spans="1:35" x14ac:dyDescent="0.25">
      <c r="A40" s="101" t="s">
        <v>108</v>
      </c>
      <c r="B40" s="102"/>
      <c r="C40" s="102" t="s">
        <v>34</v>
      </c>
      <c r="D40" s="103" t="s">
        <v>3</v>
      </c>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v>-50</v>
      </c>
      <c r="AC40" s="102"/>
      <c r="AD40" s="102"/>
      <c r="AE40" s="102"/>
      <c r="AF40" s="102"/>
      <c r="AG40" s="102"/>
      <c r="AH40" s="102"/>
      <c r="AI40" s="102"/>
    </row>
    <row r="41" spans="1:35" x14ac:dyDescent="0.25">
      <c r="A41" s="101" t="s">
        <v>74</v>
      </c>
      <c r="B41" s="102"/>
      <c r="C41" s="102" t="s">
        <v>34</v>
      </c>
      <c r="D41" s="103" t="s">
        <v>3</v>
      </c>
      <c r="E41" s="102"/>
      <c r="F41" s="102"/>
      <c r="G41" s="102"/>
      <c r="H41" s="102"/>
      <c r="I41" s="102"/>
      <c r="J41" s="102"/>
      <c r="K41" s="102"/>
      <c r="L41" s="102"/>
      <c r="M41" s="102"/>
      <c r="N41" s="102"/>
      <c r="O41" s="102">
        <v>1</v>
      </c>
      <c r="P41" s="102"/>
      <c r="Q41" s="102"/>
      <c r="R41" s="102">
        <v>-1</v>
      </c>
      <c r="S41" s="102"/>
      <c r="T41" s="102">
        <v>1</v>
      </c>
      <c r="U41" s="102">
        <v>2</v>
      </c>
      <c r="V41" s="102">
        <v>3</v>
      </c>
      <c r="W41" s="102">
        <v>4</v>
      </c>
      <c r="X41" s="102">
        <v>10</v>
      </c>
      <c r="Y41" s="102"/>
      <c r="Z41" s="102"/>
      <c r="AA41" s="102"/>
      <c r="AB41" s="102">
        <v>-15</v>
      </c>
      <c r="AC41" s="102"/>
      <c r="AD41" s="104">
        <v>2</v>
      </c>
      <c r="AE41" s="102"/>
      <c r="AF41" s="102"/>
      <c r="AG41" s="102"/>
      <c r="AH41" s="102"/>
      <c r="AI41" s="102"/>
    </row>
    <row r="42" spans="1:35" x14ac:dyDescent="0.25">
      <c r="A42" s="101" t="s">
        <v>42</v>
      </c>
      <c r="B42" s="102"/>
      <c r="C42" s="102" t="s">
        <v>34</v>
      </c>
      <c r="D42" s="103" t="s">
        <v>3</v>
      </c>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4"/>
      <c r="AE42" s="102"/>
      <c r="AF42" s="102"/>
      <c r="AG42" s="102"/>
      <c r="AH42" s="102"/>
      <c r="AI42" s="102"/>
    </row>
    <row r="43" spans="1:35" x14ac:dyDescent="0.25">
      <c r="A43" s="101" t="s">
        <v>48</v>
      </c>
      <c r="B43" s="102"/>
      <c r="C43" s="102" t="s">
        <v>46</v>
      </c>
      <c r="D43" s="103" t="s">
        <v>3</v>
      </c>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4"/>
      <c r="AE43" s="102"/>
      <c r="AF43" s="102"/>
      <c r="AG43" s="102"/>
      <c r="AH43" s="102"/>
      <c r="AI43" s="102"/>
    </row>
    <row r="44" spans="1:35" x14ac:dyDescent="0.25">
      <c r="A44" s="116" t="s">
        <v>345</v>
      </c>
      <c r="B44" s="117"/>
      <c r="C44" s="117"/>
      <c r="D44" s="117"/>
      <c r="E44" s="117"/>
      <c r="F44" s="117"/>
      <c r="G44" s="117"/>
      <c r="H44" s="117"/>
      <c r="I44" s="117"/>
      <c r="J44" s="118" t="s">
        <v>9</v>
      </c>
      <c r="K44" s="117"/>
      <c r="L44" s="117">
        <v>-1</v>
      </c>
      <c r="M44" s="117"/>
      <c r="N44" s="117"/>
      <c r="O44" s="117"/>
      <c r="P44" s="117"/>
      <c r="Q44" s="117"/>
      <c r="R44" s="117"/>
      <c r="S44" s="117"/>
      <c r="T44" s="117">
        <v>1</v>
      </c>
      <c r="U44" s="117">
        <v>1</v>
      </c>
      <c r="V44" s="117">
        <v>1</v>
      </c>
      <c r="W44" s="117">
        <v>1</v>
      </c>
      <c r="X44" s="117"/>
      <c r="Y44" s="117"/>
      <c r="Z44" s="117"/>
      <c r="AA44" s="117"/>
      <c r="AB44" s="117">
        <v>-2</v>
      </c>
      <c r="AC44" s="117"/>
      <c r="AD44" s="119">
        <v>2</v>
      </c>
      <c r="AE44" s="117"/>
      <c r="AF44" s="117"/>
      <c r="AG44" s="117"/>
      <c r="AH44" s="117"/>
      <c r="AI44" s="117"/>
    </row>
    <row r="45" spans="1:35" x14ac:dyDescent="0.25">
      <c r="A45" s="116" t="s">
        <v>346</v>
      </c>
      <c r="B45" s="117"/>
      <c r="C45" s="117"/>
      <c r="D45" s="117"/>
      <c r="E45" s="117"/>
      <c r="F45" s="117"/>
      <c r="G45" s="117"/>
      <c r="H45" s="117"/>
      <c r="I45" s="117"/>
      <c r="J45" s="118" t="s">
        <v>9</v>
      </c>
      <c r="K45" s="117"/>
      <c r="L45" s="117">
        <v>-2</v>
      </c>
      <c r="M45" s="117"/>
      <c r="N45" s="117"/>
      <c r="O45" s="117"/>
      <c r="P45" s="117"/>
      <c r="Q45" s="117"/>
      <c r="R45" s="117"/>
      <c r="S45" s="117">
        <v>1</v>
      </c>
      <c r="T45" s="117">
        <v>2</v>
      </c>
      <c r="U45" s="117">
        <v>2</v>
      </c>
      <c r="V45" s="117">
        <v>2</v>
      </c>
      <c r="W45" s="117">
        <v>2</v>
      </c>
      <c r="X45" s="117"/>
      <c r="Y45" s="117"/>
      <c r="Z45" s="117"/>
      <c r="AA45" s="117"/>
      <c r="AB45" s="117">
        <v>-4</v>
      </c>
      <c r="AC45" s="117"/>
      <c r="AD45" s="119">
        <v>4</v>
      </c>
      <c r="AE45" s="117"/>
      <c r="AF45" s="117"/>
      <c r="AG45" s="117"/>
      <c r="AH45" s="117"/>
      <c r="AI45" s="117"/>
    </row>
    <row r="46" spans="1:35" x14ac:dyDescent="0.25">
      <c r="A46" s="116" t="s">
        <v>40</v>
      </c>
      <c r="B46" s="117"/>
      <c r="C46" s="117"/>
      <c r="D46" s="117"/>
      <c r="E46" s="117"/>
      <c r="F46" s="117"/>
      <c r="G46" s="117"/>
      <c r="H46" s="117"/>
      <c r="I46" s="117"/>
      <c r="J46" s="118" t="s">
        <v>9</v>
      </c>
      <c r="K46" s="117"/>
      <c r="L46" s="117"/>
      <c r="M46" s="117"/>
      <c r="N46" s="117"/>
      <c r="O46" s="117"/>
      <c r="P46" s="117"/>
      <c r="Q46" s="117"/>
      <c r="R46" s="117"/>
      <c r="S46" s="117"/>
      <c r="T46" s="117"/>
      <c r="U46" s="117"/>
      <c r="V46" s="117"/>
      <c r="W46" s="117"/>
      <c r="X46" s="117"/>
      <c r="Y46" s="117"/>
      <c r="Z46" s="117"/>
      <c r="AA46" s="117"/>
      <c r="AB46" s="117"/>
      <c r="AC46" s="117"/>
      <c r="AD46" s="119"/>
      <c r="AE46" s="117"/>
      <c r="AF46" s="117"/>
      <c r="AG46" s="117"/>
      <c r="AH46" s="117"/>
      <c r="AI46" s="117"/>
    </row>
    <row r="47" spans="1:35" x14ac:dyDescent="0.25">
      <c r="A47" s="120" t="s">
        <v>37</v>
      </c>
      <c r="B47" s="123"/>
      <c r="C47" s="123" t="s">
        <v>34</v>
      </c>
      <c r="D47" s="123"/>
      <c r="E47" s="123"/>
      <c r="F47" s="123"/>
      <c r="G47" s="121" t="s">
        <v>6</v>
      </c>
      <c r="H47" s="123"/>
      <c r="I47" s="123"/>
      <c r="J47" s="123"/>
      <c r="K47" s="123"/>
      <c r="L47" s="123"/>
      <c r="M47" s="123"/>
      <c r="N47" s="123"/>
      <c r="O47" s="123"/>
      <c r="P47" s="123"/>
      <c r="Q47" s="123"/>
      <c r="R47" s="123"/>
      <c r="S47" s="123"/>
      <c r="T47" s="123"/>
      <c r="U47" s="123"/>
      <c r="V47" s="123"/>
      <c r="W47" s="123"/>
      <c r="X47" s="123"/>
      <c r="Y47" s="123"/>
      <c r="Z47" s="123"/>
      <c r="AA47" s="123"/>
      <c r="AB47" s="123"/>
      <c r="AC47" s="123"/>
      <c r="AD47" s="122"/>
      <c r="AE47" s="123"/>
      <c r="AF47" s="123"/>
      <c r="AG47" s="123"/>
      <c r="AH47" s="123"/>
      <c r="AI47" s="123"/>
    </row>
    <row r="48" spans="1:35" x14ac:dyDescent="0.25">
      <c r="A48" s="120" t="s">
        <v>37</v>
      </c>
      <c r="B48" s="123"/>
      <c r="C48" s="123" t="s">
        <v>46</v>
      </c>
      <c r="D48" s="123"/>
      <c r="E48" s="123"/>
      <c r="F48" s="123"/>
      <c r="G48" s="121" t="s">
        <v>6</v>
      </c>
      <c r="H48" s="123"/>
      <c r="I48" s="123"/>
      <c r="J48" s="123"/>
      <c r="K48" s="123"/>
      <c r="L48" s="123"/>
      <c r="M48" s="123"/>
      <c r="N48" s="123"/>
      <c r="O48" s="123"/>
      <c r="P48" s="123"/>
      <c r="Q48" s="123"/>
      <c r="R48" s="123"/>
      <c r="S48" s="123"/>
      <c r="T48" s="123"/>
      <c r="U48" s="123"/>
      <c r="V48" s="123"/>
      <c r="W48" s="123"/>
      <c r="X48" s="123"/>
      <c r="Y48" s="123"/>
      <c r="Z48" s="123"/>
      <c r="AA48" s="123"/>
      <c r="AB48" s="123"/>
      <c r="AC48" s="123"/>
      <c r="AD48" s="122"/>
      <c r="AE48" s="123"/>
      <c r="AF48" s="123"/>
      <c r="AG48" s="123"/>
      <c r="AH48" s="123"/>
      <c r="AI48" s="123"/>
    </row>
    <row r="49" spans="1:35" x14ac:dyDescent="0.25">
      <c r="A49" s="124" t="s">
        <v>36</v>
      </c>
      <c r="B49" s="125"/>
      <c r="C49" s="125"/>
      <c r="D49" s="125"/>
      <c r="E49" s="125"/>
      <c r="F49" s="126" t="s">
        <v>5</v>
      </c>
      <c r="G49" s="125"/>
      <c r="H49" s="125"/>
      <c r="I49" s="125"/>
      <c r="J49" s="125"/>
      <c r="K49" s="125"/>
      <c r="L49" s="125"/>
      <c r="M49" s="125"/>
      <c r="N49" s="125"/>
      <c r="O49" s="125"/>
      <c r="P49" s="125"/>
      <c r="Q49" s="125"/>
      <c r="R49" s="125">
        <v>-1</v>
      </c>
      <c r="S49" s="125">
        <v>-1</v>
      </c>
      <c r="T49" s="125">
        <v>-1</v>
      </c>
      <c r="U49" s="125">
        <v>-1</v>
      </c>
      <c r="V49" s="125">
        <v>-1</v>
      </c>
      <c r="W49" s="125">
        <v>-1</v>
      </c>
      <c r="X49" s="125"/>
      <c r="Y49" s="125">
        <v>1</v>
      </c>
      <c r="Z49" s="125"/>
      <c r="AA49" s="125">
        <v>1</v>
      </c>
      <c r="AB49" s="125"/>
      <c r="AC49" s="125"/>
      <c r="AD49" s="127">
        <v>-1</v>
      </c>
      <c r="AE49" s="125"/>
      <c r="AF49" s="125"/>
      <c r="AG49" s="125"/>
      <c r="AH49" s="125"/>
      <c r="AI49" s="125"/>
    </row>
    <row r="50" spans="1:35" x14ac:dyDescent="0.25">
      <c r="A50" s="124" t="s">
        <v>55</v>
      </c>
      <c r="B50" s="125"/>
      <c r="C50" s="125"/>
      <c r="D50" s="125"/>
      <c r="E50" s="125"/>
      <c r="F50" s="126" t="s">
        <v>5</v>
      </c>
      <c r="G50" s="125"/>
      <c r="H50" s="125"/>
      <c r="I50" s="125"/>
      <c r="J50" s="125"/>
      <c r="K50" s="125"/>
      <c r="L50" s="125"/>
      <c r="M50" s="125"/>
      <c r="N50" s="125"/>
      <c r="O50" s="125"/>
      <c r="P50" s="125"/>
      <c r="Q50" s="125"/>
      <c r="R50" s="125">
        <v>2</v>
      </c>
      <c r="S50" s="125">
        <v>2</v>
      </c>
      <c r="T50" s="125">
        <v>2</v>
      </c>
      <c r="U50" s="125">
        <v>2</v>
      </c>
      <c r="V50" s="125">
        <v>2</v>
      </c>
      <c r="W50" s="125">
        <v>2</v>
      </c>
      <c r="X50" s="125"/>
      <c r="Y50" s="125"/>
      <c r="Z50" s="125"/>
      <c r="AA50" s="125">
        <v>-2</v>
      </c>
      <c r="AB50" s="125">
        <v>-15</v>
      </c>
      <c r="AC50" s="125"/>
      <c r="AD50" s="127">
        <v>2</v>
      </c>
      <c r="AE50" s="125"/>
      <c r="AF50" s="125"/>
      <c r="AG50" s="125"/>
      <c r="AH50" s="125"/>
      <c r="AI50" s="125"/>
    </row>
    <row r="51" spans="1:35" x14ac:dyDescent="0.25">
      <c r="A51" s="124" t="s">
        <v>75</v>
      </c>
      <c r="B51" s="125"/>
      <c r="C51" s="125"/>
      <c r="D51" s="125"/>
      <c r="E51" s="125"/>
      <c r="F51" s="126" t="s">
        <v>5</v>
      </c>
      <c r="G51" s="125"/>
      <c r="H51" s="125"/>
      <c r="I51" s="125"/>
      <c r="J51" s="125"/>
      <c r="K51" s="125"/>
      <c r="L51" s="125"/>
      <c r="M51" s="125"/>
      <c r="N51" s="125"/>
      <c r="O51" s="125"/>
      <c r="P51" s="125"/>
      <c r="Q51" s="125"/>
      <c r="R51" s="125">
        <v>1</v>
      </c>
      <c r="S51" s="125">
        <v>1</v>
      </c>
      <c r="T51" s="125">
        <v>1</v>
      </c>
      <c r="U51" s="125">
        <v>1</v>
      </c>
      <c r="V51" s="125">
        <v>1</v>
      </c>
      <c r="W51" s="125">
        <v>1</v>
      </c>
      <c r="X51" s="125"/>
      <c r="Y51" s="125">
        <v>-1</v>
      </c>
      <c r="Z51" s="125"/>
      <c r="AA51" s="125">
        <v>-1</v>
      </c>
      <c r="AB51" s="125">
        <v>-10</v>
      </c>
      <c r="AC51" s="125"/>
      <c r="AD51" s="127">
        <v>1</v>
      </c>
      <c r="AE51" s="125"/>
      <c r="AF51" s="125"/>
      <c r="AG51" s="125"/>
      <c r="AH51" s="125"/>
      <c r="AI51" s="125"/>
    </row>
    <row r="52" spans="1:35" x14ac:dyDescent="0.25">
      <c r="A52" s="124" t="s">
        <v>83</v>
      </c>
      <c r="B52" s="125"/>
      <c r="C52" s="125"/>
      <c r="D52" s="125"/>
      <c r="E52" s="125"/>
      <c r="F52" s="126" t="s">
        <v>5</v>
      </c>
      <c r="G52" s="125"/>
      <c r="H52" s="125"/>
      <c r="I52" s="125"/>
      <c r="J52" s="125"/>
      <c r="K52" s="125"/>
      <c r="L52" s="125"/>
      <c r="M52" s="125"/>
      <c r="N52" s="125"/>
      <c r="O52" s="125"/>
      <c r="P52" s="125"/>
      <c r="Q52" s="125"/>
      <c r="R52" s="125">
        <v>2</v>
      </c>
      <c r="S52" s="125">
        <v>2</v>
      </c>
      <c r="T52" s="125">
        <v>2</v>
      </c>
      <c r="U52" s="125">
        <v>2</v>
      </c>
      <c r="V52" s="125">
        <v>2</v>
      </c>
      <c r="W52" s="125">
        <v>2</v>
      </c>
      <c r="X52" s="125"/>
      <c r="Y52" s="125">
        <v>3</v>
      </c>
      <c r="Z52" s="125"/>
      <c r="AA52" s="125"/>
      <c r="AB52" s="125">
        <v>-30</v>
      </c>
      <c r="AC52" s="125"/>
      <c r="AD52" s="127">
        <v>10</v>
      </c>
      <c r="AE52" s="125"/>
      <c r="AF52" s="125"/>
      <c r="AG52" s="125"/>
      <c r="AH52" s="125"/>
      <c r="AI52" s="125"/>
    </row>
    <row r="53" spans="1:35" x14ac:dyDescent="0.25">
      <c r="A53" s="124" t="s">
        <v>59</v>
      </c>
      <c r="B53" s="125"/>
      <c r="C53" s="125"/>
      <c r="D53" s="125"/>
      <c r="E53" s="125"/>
      <c r="F53" s="126" t="s">
        <v>5</v>
      </c>
      <c r="G53" s="125"/>
      <c r="H53" s="125"/>
      <c r="I53" s="125"/>
      <c r="J53" s="125"/>
      <c r="K53" s="125"/>
      <c r="L53" s="125"/>
      <c r="M53" s="125"/>
      <c r="N53" s="125"/>
      <c r="O53" s="125"/>
      <c r="P53" s="125"/>
      <c r="Q53" s="125"/>
      <c r="R53" s="125">
        <v>2</v>
      </c>
      <c r="S53" s="125">
        <v>2</v>
      </c>
      <c r="T53" s="125">
        <v>2</v>
      </c>
      <c r="U53" s="125">
        <v>2</v>
      </c>
      <c r="V53" s="125">
        <v>2</v>
      </c>
      <c r="W53" s="125">
        <v>2</v>
      </c>
      <c r="X53" s="125"/>
      <c r="Y53" s="125"/>
      <c r="Z53" s="125"/>
      <c r="AA53" s="125">
        <v>-3</v>
      </c>
      <c r="AB53" s="125">
        <v>-20</v>
      </c>
      <c r="AC53" s="125"/>
      <c r="AD53" s="127">
        <v>3</v>
      </c>
      <c r="AE53" s="125"/>
      <c r="AF53" s="125"/>
      <c r="AG53" s="125"/>
      <c r="AH53" s="125"/>
      <c r="AI53" s="125"/>
    </row>
    <row r="54" spans="1:35" x14ac:dyDescent="0.25">
      <c r="A54" s="124" t="s">
        <v>50</v>
      </c>
      <c r="B54" s="125"/>
      <c r="C54" s="125"/>
      <c r="D54" s="125"/>
      <c r="E54" s="125"/>
      <c r="F54" s="126" t="s">
        <v>5</v>
      </c>
      <c r="G54" s="125"/>
      <c r="H54" s="125"/>
      <c r="I54" s="125"/>
      <c r="J54" s="125"/>
      <c r="K54" s="125"/>
      <c r="L54" s="125"/>
      <c r="M54" s="125"/>
      <c r="N54" s="125"/>
      <c r="O54" s="125"/>
      <c r="P54" s="125"/>
      <c r="Q54" s="125"/>
      <c r="R54" s="125"/>
      <c r="S54" s="125"/>
      <c r="T54" s="125"/>
      <c r="U54" s="125"/>
      <c r="V54" s="125"/>
      <c r="W54" s="125"/>
      <c r="X54" s="125"/>
      <c r="Y54" s="125"/>
      <c r="Z54" s="125"/>
      <c r="AA54" s="125"/>
      <c r="AB54" s="125"/>
      <c r="AC54" s="125"/>
      <c r="AD54" s="127"/>
      <c r="AE54" s="125"/>
      <c r="AF54" s="125"/>
      <c r="AG54" s="125"/>
      <c r="AH54" s="125"/>
      <c r="AI54" s="125"/>
    </row>
  </sheetData>
  <autoFilter ref="A1:AI65" xr:uid="{00000000-0009-0000-0000-000003000000}">
    <sortState xmlns:xlrd2="http://schemas.microsoft.com/office/spreadsheetml/2017/richdata2" ref="A2:AI54">
      <sortCondition ref="K1:K65"/>
    </sortState>
  </autoFilter>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56"/>
  <sheetViews>
    <sheetView topLeftCell="A19" zoomScaleNormal="100" workbookViewId="0">
      <selection activeCell="D22" sqref="D22"/>
    </sheetView>
  </sheetViews>
  <sheetFormatPr baseColWidth="10" defaultColWidth="9.140625" defaultRowHeight="15" x14ac:dyDescent="0.25"/>
  <cols>
    <col min="1" max="1025" width="11.42578125" style="59" customWidth="1"/>
  </cols>
  <sheetData>
    <row r="1" spans="1:15" x14ac:dyDescent="0.25">
      <c r="A1" t="s">
        <v>347</v>
      </c>
      <c r="C1" s="128" t="s">
        <v>348</v>
      </c>
      <c r="D1" t="s">
        <v>349</v>
      </c>
      <c r="F1" s="129" t="s">
        <v>350</v>
      </c>
      <c r="L1" s="130"/>
      <c r="N1" s="131"/>
    </row>
    <row r="2" spans="1:15" x14ac:dyDescent="0.25">
      <c r="B2" t="s">
        <v>351</v>
      </c>
      <c r="C2" s="132">
        <v>32</v>
      </c>
      <c r="D2" s="133">
        <f>C2*0.8</f>
        <v>25.6</v>
      </c>
      <c r="E2" t="s">
        <v>352</v>
      </c>
      <c r="F2" s="152">
        <v>1</v>
      </c>
      <c r="L2" s="130"/>
      <c r="N2" s="131"/>
    </row>
    <row r="3" spans="1:15" x14ac:dyDescent="0.25">
      <c r="B3" t="s">
        <v>38</v>
      </c>
      <c r="C3" s="132">
        <v>12</v>
      </c>
      <c r="D3" s="133">
        <f>C3*0.8</f>
        <v>9.6000000000000014</v>
      </c>
      <c r="E3" t="s">
        <v>353</v>
      </c>
      <c r="F3" s="152">
        <v>1.5</v>
      </c>
      <c r="L3" s="130"/>
      <c r="N3" s="131"/>
    </row>
    <row r="4" spans="1:15" x14ac:dyDescent="0.25">
      <c r="B4" t="s">
        <v>354</v>
      </c>
      <c r="C4" s="132">
        <v>85</v>
      </c>
      <c r="D4" s="133">
        <f>C4*0.8</f>
        <v>68</v>
      </c>
      <c r="E4" t="s">
        <v>355</v>
      </c>
      <c r="F4" s="152">
        <v>20</v>
      </c>
      <c r="G4" t="s">
        <v>356</v>
      </c>
      <c r="L4" s="130"/>
      <c r="N4" s="131"/>
    </row>
    <row r="5" spans="1:15" x14ac:dyDescent="0.25">
      <c r="B5" t="s">
        <v>357</v>
      </c>
      <c r="C5" s="132">
        <f>(1.2/80)*1000</f>
        <v>15</v>
      </c>
      <c r="D5" s="133">
        <f>C5*0.8</f>
        <v>12</v>
      </c>
      <c r="L5" s="130"/>
      <c r="N5" s="131"/>
    </row>
    <row r="6" spans="1:15" x14ac:dyDescent="0.25">
      <c r="E6" t="s">
        <v>358</v>
      </c>
      <c r="F6" s="154">
        <f>F4+(F3*6)+(F2*9)</f>
        <v>38</v>
      </c>
      <c r="G6" t="s">
        <v>359</v>
      </c>
      <c r="L6" s="130"/>
      <c r="N6" s="131"/>
    </row>
    <row r="7" spans="1:15" x14ac:dyDescent="0.25">
      <c r="L7" s="130"/>
      <c r="N7" s="131"/>
    </row>
    <row r="8" spans="1:15" x14ac:dyDescent="0.25">
      <c r="L8" s="130"/>
      <c r="N8" s="131"/>
    </row>
    <row r="9" spans="1:15" x14ac:dyDescent="0.25">
      <c r="F9" s="134"/>
      <c r="H9" t="s">
        <v>360</v>
      </c>
      <c r="L9" s="130"/>
      <c r="N9" s="131"/>
    </row>
    <row r="10" spans="1:15" x14ac:dyDescent="0.25">
      <c r="F10" s="134"/>
      <c r="G10" t="s">
        <v>354</v>
      </c>
      <c r="H10" t="s">
        <v>38</v>
      </c>
      <c r="I10" t="s">
        <v>357</v>
      </c>
      <c r="J10" t="s">
        <v>351</v>
      </c>
      <c r="L10" s="130"/>
      <c r="N10" s="131"/>
    </row>
    <row r="11" spans="1:15" x14ac:dyDescent="0.25">
      <c r="F11" s="134"/>
      <c r="G11" s="154">
        <f>D4</f>
        <v>68</v>
      </c>
      <c r="H11" s="154">
        <f>D3</f>
        <v>9.6000000000000014</v>
      </c>
      <c r="I11" s="154">
        <f>D5</f>
        <v>12</v>
      </c>
      <c r="J11" s="154">
        <f>D2</f>
        <v>25.6</v>
      </c>
      <c r="L11" s="130"/>
      <c r="N11" s="131"/>
    </row>
    <row r="12" spans="1:15" x14ac:dyDescent="0.25">
      <c r="F12" s="134"/>
      <c r="L12" s="130"/>
      <c r="N12" s="131"/>
    </row>
    <row r="13" spans="1:15" x14ac:dyDescent="0.25">
      <c r="A13" s="135" t="s">
        <v>0</v>
      </c>
      <c r="B13" s="135" t="s">
        <v>361</v>
      </c>
      <c r="C13" s="135" t="s">
        <v>362</v>
      </c>
      <c r="D13" s="135" t="s">
        <v>363</v>
      </c>
      <c r="E13" s="136" t="s">
        <v>364</v>
      </c>
      <c r="F13" s="137" t="s">
        <v>365</v>
      </c>
      <c r="G13" s="138" t="s">
        <v>366</v>
      </c>
      <c r="H13" s="135" t="s">
        <v>367</v>
      </c>
      <c r="I13" s="135" t="s">
        <v>368</v>
      </c>
      <c r="J13" s="136" t="s">
        <v>369</v>
      </c>
      <c r="K13" s="139" t="s">
        <v>370</v>
      </c>
      <c r="L13" s="140" t="s">
        <v>371</v>
      </c>
      <c r="M13" s="141" t="s">
        <v>372</v>
      </c>
      <c r="N13" s="167" t="s">
        <v>373</v>
      </c>
      <c r="O13" s="168"/>
    </row>
    <row r="14" spans="1:15" x14ac:dyDescent="0.25">
      <c r="A14" s="142" t="s">
        <v>374</v>
      </c>
      <c r="B14" s="143">
        <v>5.0000000000000001E-3</v>
      </c>
      <c r="C14" s="143">
        <v>4.0000000000000001E-3</v>
      </c>
      <c r="D14" s="143"/>
      <c r="E14" s="144"/>
      <c r="F14" s="145">
        <f>B14+C14+D14+E14</f>
        <v>9.0000000000000011E-3</v>
      </c>
      <c r="G14" s="146">
        <f>(B14*G11)</f>
        <v>0.34</v>
      </c>
      <c r="H14" s="147">
        <f>(C14*H11)</f>
        <v>3.8400000000000004E-2</v>
      </c>
      <c r="I14" s="147">
        <f>(D14*I11)</f>
        <v>0</v>
      </c>
      <c r="J14" s="148">
        <f>(E14*J11)</f>
        <v>0</v>
      </c>
      <c r="K14" s="149">
        <f>G14+H14+I14+J14</f>
        <v>0.37840000000000001</v>
      </c>
      <c r="L14" s="150">
        <v>10000</v>
      </c>
      <c r="M14" s="151">
        <f>F6/L14</f>
        <v>3.8E-3</v>
      </c>
      <c r="N14" s="169">
        <f>M14+K14</f>
        <v>0.38220000000000004</v>
      </c>
      <c r="O14" s="170"/>
    </row>
    <row r="15" spans="1:15" x14ac:dyDescent="0.25">
      <c r="A15" t="s">
        <v>375</v>
      </c>
      <c r="B15" s="152">
        <v>5.0000000000000001E-3</v>
      </c>
      <c r="C15" s="152">
        <v>4.0000000000000001E-3</v>
      </c>
      <c r="D15" s="152">
        <v>2E-3</v>
      </c>
      <c r="E15" s="152"/>
      <c r="F15" s="153">
        <f>B15+C15+D15+E15</f>
        <v>1.1000000000000001E-2</v>
      </c>
      <c r="G15" s="154">
        <f>B15*G11</f>
        <v>0.34</v>
      </c>
      <c r="H15" s="154">
        <f>B15*H11</f>
        <v>4.8000000000000008E-2</v>
      </c>
      <c r="I15" s="154">
        <f>D15*I11</f>
        <v>2.4E-2</v>
      </c>
      <c r="J15" s="154">
        <f>E15*J11</f>
        <v>0</v>
      </c>
      <c r="K15" s="155">
        <f>G15+H15+I15+J15</f>
        <v>0.41200000000000003</v>
      </c>
      <c r="L15" s="150">
        <v>4000</v>
      </c>
      <c r="M15" s="156">
        <f>F6/L15</f>
        <v>9.4999999999999998E-3</v>
      </c>
      <c r="N15" s="165">
        <f>M15+K15</f>
        <v>0.42150000000000004</v>
      </c>
      <c r="O15" s="166"/>
    </row>
    <row r="16" spans="1:15" x14ac:dyDescent="0.25">
      <c r="A16" t="s">
        <v>173</v>
      </c>
      <c r="B16" s="152">
        <v>5.0000000000000001E-3</v>
      </c>
      <c r="C16" s="152">
        <v>5.0000000000000001E-3</v>
      </c>
      <c r="D16" s="152">
        <v>2E-3</v>
      </c>
      <c r="E16" s="152">
        <v>0.01</v>
      </c>
      <c r="F16" s="153">
        <f>B16+C16+D16+E16</f>
        <v>2.1999999999999999E-2</v>
      </c>
      <c r="G16" s="154">
        <f>(B16*G11)</f>
        <v>0.34</v>
      </c>
      <c r="H16" s="154">
        <f>(C16*H11)</f>
        <v>4.8000000000000008E-2</v>
      </c>
      <c r="I16" s="154">
        <f>(D16*I11)</f>
        <v>2.4E-2</v>
      </c>
      <c r="J16" s="154">
        <f>(E16*J11)</f>
        <v>0.25600000000000001</v>
      </c>
      <c r="K16" s="155">
        <f>G16+H16+I16+J16</f>
        <v>0.66800000000000004</v>
      </c>
      <c r="L16" s="150">
        <v>3000</v>
      </c>
      <c r="M16" s="156">
        <f>F6/L16</f>
        <v>1.2666666666666666E-2</v>
      </c>
      <c r="N16" s="165">
        <f>M16+K16</f>
        <v>0.68066666666666675</v>
      </c>
      <c r="O16" s="166"/>
    </row>
    <row r="17" spans="1:15" x14ac:dyDescent="0.25">
      <c r="A17" t="s">
        <v>61</v>
      </c>
      <c r="B17" s="152">
        <v>5.0000000000000001E-3</v>
      </c>
      <c r="C17" s="152">
        <v>4.0000000000000001E-3</v>
      </c>
      <c r="D17" s="152"/>
      <c r="E17" s="152">
        <v>1.4999999999999999E-2</v>
      </c>
      <c r="F17" s="157">
        <f>B17+C17+D17+E17</f>
        <v>2.4E-2</v>
      </c>
      <c r="G17" s="154">
        <f>(B17*G11)</f>
        <v>0.34</v>
      </c>
      <c r="H17" s="154">
        <f>(C17*H11)</f>
        <v>3.8400000000000004E-2</v>
      </c>
      <c r="I17" s="154">
        <f>(D17*I11)</f>
        <v>0</v>
      </c>
      <c r="J17" s="154">
        <f>(E17*J11)</f>
        <v>0.38400000000000001</v>
      </c>
      <c r="K17" s="158">
        <f>G17+H17+I17+J17</f>
        <v>0.76239999999999997</v>
      </c>
      <c r="L17" s="150">
        <v>2000</v>
      </c>
      <c r="M17" s="159">
        <f>F6/L17</f>
        <v>1.9E-2</v>
      </c>
      <c r="N17" s="163">
        <f>M17+K17</f>
        <v>0.78139999999999998</v>
      </c>
      <c r="O17" s="164"/>
    </row>
    <row r="22" spans="1:15" x14ac:dyDescent="0.25">
      <c r="A22" t="s">
        <v>0</v>
      </c>
      <c r="B22" t="s">
        <v>162</v>
      </c>
      <c r="C22" s="128" t="s">
        <v>16</v>
      </c>
      <c r="D22" t="s">
        <v>163</v>
      </c>
      <c r="E22" t="s">
        <v>164</v>
      </c>
      <c r="F22" t="s">
        <v>376</v>
      </c>
      <c r="G22" t="s">
        <v>377</v>
      </c>
      <c r="H22" t="s">
        <v>378</v>
      </c>
      <c r="I22" t="s">
        <v>379</v>
      </c>
    </row>
    <row r="23" spans="1:15" x14ac:dyDescent="0.25">
      <c r="B23" t="s">
        <v>170</v>
      </c>
      <c r="C23">
        <v>12</v>
      </c>
      <c r="D23" s="131">
        <f>N14*0.96</f>
        <v>0.36691200000000002</v>
      </c>
      <c r="E23" s="131">
        <f t="shared" ref="E23:E56" si="0">D23*10</f>
        <v>3.6691200000000004</v>
      </c>
      <c r="F23" s="131">
        <f t="shared" ref="F23:F56" si="1">D23*50</f>
        <v>18.345600000000001</v>
      </c>
      <c r="G23" s="131">
        <f t="shared" ref="G23:G56" si="2">D23*100</f>
        <v>36.691200000000002</v>
      </c>
      <c r="H23" s="131">
        <f t="shared" ref="H23:H56" si="3">D23*500</f>
        <v>183.45600000000002</v>
      </c>
      <c r="I23" s="131">
        <f t="shared" ref="I23:I56" si="4">D23*1000</f>
        <v>366.91200000000003</v>
      </c>
    </row>
    <row r="24" spans="1:15" x14ac:dyDescent="0.25">
      <c r="B24" t="s">
        <v>170</v>
      </c>
      <c r="C24">
        <v>13</v>
      </c>
      <c r="D24" s="131">
        <f>N14*0.98</f>
        <v>0.37455600000000006</v>
      </c>
      <c r="E24" s="131">
        <f t="shared" si="0"/>
        <v>3.7455600000000007</v>
      </c>
      <c r="F24" s="131">
        <f t="shared" si="1"/>
        <v>18.727800000000002</v>
      </c>
      <c r="G24" s="131">
        <f t="shared" si="2"/>
        <v>37.455600000000004</v>
      </c>
      <c r="H24" s="131">
        <f t="shared" si="3"/>
        <v>187.27800000000002</v>
      </c>
      <c r="I24" s="131">
        <f t="shared" si="4"/>
        <v>374.55600000000004</v>
      </c>
    </row>
    <row r="25" spans="1:15" x14ac:dyDescent="0.25">
      <c r="B25" t="s">
        <v>170</v>
      </c>
      <c r="C25">
        <v>14</v>
      </c>
      <c r="D25" s="131">
        <f>N14</f>
        <v>0.38220000000000004</v>
      </c>
      <c r="E25" s="131">
        <f t="shared" si="0"/>
        <v>3.8220000000000005</v>
      </c>
      <c r="F25" s="131">
        <f t="shared" si="1"/>
        <v>19.110000000000003</v>
      </c>
      <c r="G25" s="131">
        <f t="shared" si="2"/>
        <v>38.220000000000006</v>
      </c>
      <c r="H25" s="131">
        <f t="shared" si="3"/>
        <v>191.10000000000002</v>
      </c>
      <c r="I25" s="131">
        <f t="shared" si="4"/>
        <v>382.20000000000005</v>
      </c>
    </row>
    <row r="26" spans="1:15" x14ac:dyDescent="0.25">
      <c r="B26" t="s">
        <v>170</v>
      </c>
      <c r="C26">
        <v>15</v>
      </c>
      <c r="D26" s="131">
        <f>N14*1.02</f>
        <v>0.38984400000000002</v>
      </c>
      <c r="E26" s="131">
        <f t="shared" si="0"/>
        <v>3.8984400000000003</v>
      </c>
      <c r="F26" s="131">
        <f t="shared" si="1"/>
        <v>19.4922</v>
      </c>
      <c r="G26" s="131">
        <f t="shared" si="2"/>
        <v>38.984400000000001</v>
      </c>
      <c r="H26" s="131">
        <f t="shared" si="3"/>
        <v>194.92200000000003</v>
      </c>
      <c r="I26" s="131">
        <f t="shared" si="4"/>
        <v>389.84400000000005</v>
      </c>
    </row>
    <row r="27" spans="1:15" x14ac:dyDescent="0.25">
      <c r="B27" t="s">
        <v>170</v>
      </c>
      <c r="C27">
        <v>16</v>
      </c>
      <c r="D27" s="131">
        <f>N14*1.04</f>
        <v>0.39748800000000006</v>
      </c>
      <c r="E27" s="131">
        <f t="shared" si="0"/>
        <v>3.9748800000000006</v>
      </c>
      <c r="F27" s="131">
        <f t="shared" si="1"/>
        <v>19.874400000000001</v>
      </c>
      <c r="G27" s="131">
        <f t="shared" si="2"/>
        <v>39.748800000000003</v>
      </c>
      <c r="H27" s="131">
        <f t="shared" si="3"/>
        <v>198.74400000000003</v>
      </c>
      <c r="I27" s="131">
        <f t="shared" si="4"/>
        <v>397.48800000000006</v>
      </c>
    </row>
    <row r="28" spans="1:15" x14ac:dyDescent="0.25">
      <c r="B28" t="s">
        <v>170</v>
      </c>
      <c r="C28">
        <v>17</v>
      </c>
      <c r="D28" s="131">
        <f>N14*1.06</f>
        <v>0.40513200000000005</v>
      </c>
      <c r="E28" s="131">
        <f t="shared" si="0"/>
        <v>4.0513200000000005</v>
      </c>
      <c r="F28" s="131">
        <f t="shared" si="1"/>
        <v>20.256600000000002</v>
      </c>
      <c r="G28" s="131">
        <f t="shared" si="2"/>
        <v>40.513200000000005</v>
      </c>
      <c r="H28" s="131">
        <f t="shared" si="3"/>
        <v>202.56600000000003</v>
      </c>
      <c r="I28" s="131">
        <f t="shared" si="4"/>
        <v>405.13200000000006</v>
      </c>
    </row>
    <row r="29" spans="1:15" x14ac:dyDescent="0.25">
      <c r="B29" t="s">
        <v>170</v>
      </c>
      <c r="C29">
        <v>18</v>
      </c>
      <c r="D29" s="131">
        <f>N14*1.08</f>
        <v>0.41277600000000009</v>
      </c>
      <c r="E29" s="131">
        <f t="shared" si="0"/>
        <v>4.1277600000000012</v>
      </c>
      <c r="F29" s="131">
        <f t="shared" si="1"/>
        <v>20.638800000000003</v>
      </c>
      <c r="G29" s="131">
        <f t="shared" si="2"/>
        <v>41.277600000000007</v>
      </c>
      <c r="H29" s="131">
        <f t="shared" si="3"/>
        <v>206.38800000000003</v>
      </c>
      <c r="I29" s="131">
        <f t="shared" si="4"/>
        <v>412.77600000000007</v>
      </c>
    </row>
    <row r="30" spans="1:15" x14ac:dyDescent="0.25">
      <c r="B30" t="s">
        <v>170</v>
      </c>
      <c r="C30">
        <v>19</v>
      </c>
      <c r="D30" s="131">
        <f>N14*1.1</f>
        <v>0.42042000000000007</v>
      </c>
      <c r="E30" s="131">
        <f t="shared" si="0"/>
        <v>4.204200000000001</v>
      </c>
      <c r="F30" s="131">
        <f t="shared" si="1"/>
        <v>21.021000000000004</v>
      </c>
      <c r="G30" s="131">
        <f t="shared" si="2"/>
        <v>42.042000000000009</v>
      </c>
      <c r="H30" s="131">
        <f t="shared" si="3"/>
        <v>210.21000000000004</v>
      </c>
      <c r="I30" s="131">
        <f t="shared" si="4"/>
        <v>420.42000000000007</v>
      </c>
    </row>
    <row r="31" spans="1:15" x14ac:dyDescent="0.25">
      <c r="B31" t="s">
        <v>170</v>
      </c>
      <c r="C31">
        <v>20</v>
      </c>
      <c r="D31" s="131">
        <f>N14*1.12</f>
        <v>0.42806400000000011</v>
      </c>
      <c r="E31" s="131">
        <f t="shared" si="0"/>
        <v>4.2806400000000009</v>
      </c>
      <c r="F31" s="131">
        <f t="shared" si="1"/>
        <v>21.403200000000005</v>
      </c>
      <c r="G31" s="131">
        <f t="shared" si="2"/>
        <v>42.806400000000011</v>
      </c>
      <c r="H31" s="131">
        <f t="shared" si="3"/>
        <v>214.03200000000007</v>
      </c>
      <c r="I31" s="131">
        <f t="shared" si="4"/>
        <v>428.06400000000014</v>
      </c>
    </row>
    <row r="32" spans="1:15" x14ac:dyDescent="0.25">
      <c r="B32" t="s">
        <v>170</v>
      </c>
      <c r="C32">
        <v>21</v>
      </c>
      <c r="D32" s="131">
        <f>N14*1.14</f>
        <v>0.43570799999999998</v>
      </c>
      <c r="E32" s="131">
        <f t="shared" si="0"/>
        <v>4.3570799999999998</v>
      </c>
      <c r="F32" s="131">
        <f t="shared" si="1"/>
        <v>21.785399999999999</v>
      </c>
      <c r="G32" s="131">
        <f t="shared" si="2"/>
        <v>43.570799999999998</v>
      </c>
      <c r="H32" s="131">
        <f t="shared" si="3"/>
        <v>217.85399999999998</v>
      </c>
      <c r="I32" s="131">
        <f t="shared" si="4"/>
        <v>435.70799999999997</v>
      </c>
    </row>
    <row r="33" spans="2:9" x14ac:dyDescent="0.25">
      <c r="B33" t="s">
        <v>170</v>
      </c>
      <c r="C33">
        <v>22</v>
      </c>
      <c r="D33" s="131">
        <f>N14*1.16</f>
        <v>0.44335200000000002</v>
      </c>
      <c r="E33" s="131">
        <f t="shared" si="0"/>
        <v>4.4335200000000006</v>
      </c>
      <c r="F33" s="131">
        <f t="shared" si="1"/>
        <v>22.1676</v>
      </c>
      <c r="G33" s="131">
        <f t="shared" si="2"/>
        <v>44.3352</v>
      </c>
      <c r="H33" s="131">
        <f t="shared" si="3"/>
        <v>221.67600000000002</v>
      </c>
      <c r="I33" s="131">
        <f t="shared" si="4"/>
        <v>443.35200000000003</v>
      </c>
    </row>
    <row r="34" spans="2:9" x14ac:dyDescent="0.25">
      <c r="B34" t="s">
        <v>170</v>
      </c>
      <c r="C34">
        <v>23</v>
      </c>
      <c r="D34" s="131">
        <f>N14*1.18</f>
        <v>0.45099600000000001</v>
      </c>
      <c r="E34" s="131">
        <f t="shared" si="0"/>
        <v>4.5099600000000004</v>
      </c>
      <c r="F34" s="131">
        <f t="shared" si="1"/>
        <v>22.549800000000001</v>
      </c>
      <c r="G34" s="131">
        <f t="shared" si="2"/>
        <v>45.099600000000002</v>
      </c>
      <c r="H34" s="131">
        <f t="shared" si="3"/>
        <v>225.49799999999999</v>
      </c>
      <c r="I34" s="131">
        <f t="shared" si="4"/>
        <v>450.99599999999998</v>
      </c>
    </row>
    <row r="35" spans="2:9" x14ac:dyDescent="0.25">
      <c r="B35" t="s">
        <v>375</v>
      </c>
      <c r="C35">
        <v>12</v>
      </c>
      <c r="D35" s="131">
        <f>N15*0.97</f>
        <v>0.40885500000000002</v>
      </c>
      <c r="E35" s="131">
        <f t="shared" si="0"/>
        <v>4.0885500000000006</v>
      </c>
      <c r="F35" s="131">
        <f t="shared" si="1"/>
        <v>20.44275</v>
      </c>
      <c r="G35" s="131">
        <f t="shared" si="2"/>
        <v>40.8855</v>
      </c>
      <c r="H35" s="131">
        <f t="shared" si="3"/>
        <v>204.42750000000001</v>
      </c>
      <c r="I35" s="131">
        <f t="shared" si="4"/>
        <v>408.85500000000002</v>
      </c>
    </row>
    <row r="36" spans="2:9" x14ac:dyDescent="0.25">
      <c r="B36" t="s">
        <v>375</v>
      </c>
      <c r="C36">
        <v>13</v>
      </c>
      <c r="D36" s="131">
        <f>N15*0.985</f>
        <v>0.41517750000000003</v>
      </c>
      <c r="E36" s="131">
        <f t="shared" si="0"/>
        <v>4.1517750000000007</v>
      </c>
      <c r="F36" s="131">
        <f t="shared" si="1"/>
        <v>20.758875000000003</v>
      </c>
      <c r="G36" s="131">
        <f t="shared" si="2"/>
        <v>41.517750000000007</v>
      </c>
      <c r="H36" s="131">
        <f t="shared" si="3"/>
        <v>207.58875</v>
      </c>
      <c r="I36" s="131">
        <f t="shared" si="4"/>
        <v>415.17750000000001</v>
      </c>
    </row>
    <row r="37" spans="2:9" x14ac:dyDescent="0.25">
      <c r="B37" t="s">
        <v>375</v>
      </c>
      <c r="C37">
        <v>14</v>
      </c>
      <c r="D37" s="131">
        <f>N15</f>
        <v>0.42150000000000004</v>
      </c>
      <c r="E37" s="131">
        <f t="shared" si="0"/>
        <v>4.2150000000000007</v>
      </c>
      <c r="F37" s="131">
        <f t="shared" si="1"/>
        <v>21.075000000000003</v>
      </c>
      <c r="G37" s="131">
        <f t="shared" si="2"/>
        <v>42.150000000000006</v>
      </c>
      <c r="H37" s="131">
        <f t="shared" si="3"/>
        <v>210.75000000000003</v>
      </c>
      <c r="I37" s="131">
        <f t="shared" si="4"/>
        <v>421.50000000000006</v>
      </c>
    </row>
    <row r="38" spans="2:9" x14ac:dyDescent="0.25">
      <c r="B38" t="s">
        <v>375</v>
      </c>
      <c r="C38">
        <v>15</v>
      </c>
      <c r="D38" s="131">
        <f>N15*1.015</f>
        <v>0.42782249999999999</v>
      </c>
      <c r="E38" s="131">
        <f t="shared" si="0"/>
        <v>4.2782249999999999</v>
      </c>
      <c r="F38" s="131">
        <f t="shared" si="1"/>
        <v>21.391124999999999</v>
      </c>
      <c r="G38" s="131">
        <f t="shared" si="2"/>
        <v>42.782249999999998</v>
      </c>
      <c r="H38" s="131">
        <f t="shared" si="3"/>
        <v>213.91125</v>
      </c>
      <c r="I38" s="131">
        <f t="shared" si="4"/>
        <v>427.82249999999999</v>
      </c>
    </row>
    <row r="39" spans="2:9" x14ac:dyDescent="0.25">
      <c r="B39" t="s">
        <v>375</v>
      </c>
      <c r="C39">
        <v>16</v>
      </c>
      <c r="D39" s="131">
        <f>N15*1.03</f>
        <v>0.43414500000000006</v>
      </c>
      <c r="E39" s="131">
        <f t="shared" si="0"/>
        <v>4.3414500000000009</v>
      </c>
      <c r="F39" s="131">
        <f t="shared" si="1"/>
        <v>21.707250000000002</v>
      </c>
      <c r="G39" s="131">
        <f t="shared" si="2"/>
        <v>43.414500000000004</v>
      </c>
      <c r="H39" s="131">
        <f t="shared" si="3"/>
        <v>217.07250000000002</v>
      </c>
      <c r="I39" s="131">
        <f t="shared" si="4"/>
        <v>434.14500000000004</v>
      </c>
    </row>
    <row r="40" spans="2:9" x14ac:dyDescent="0.25">
      <c r="B40" t="s">
        <v>375</v>
      </c>
      <c r="C40">
        <v>17</v>
      </c>
      <c r="D40" s="131">
        <f>N15*1.045</f>
        <v>0.44046750000000001</v>
      </c>
      <c r="E40" s="131">
        <f t="shared" si="0"/>
        <v>4.4046750000000001</v>
      </c>
      <c r="F40" s="131">
        <f t="shared" si="1"/>
        <v>22.023375000000001</v>
      </c>
      <c r="G40" s="131">
        <f t="shared" si="2"/>
        <v>44.046750000000003</v>
      </c>
      <c r="H40" s="131">
        <f t="shared" si="3"/>
        <v>220.23375000000001</v>
      </c>
      <c r="I40" s="131">
        <f t="shared" si="4"/>
        <v>440.46750000000003</v>
      </c>
    </row>
    <row r="41" spans="2:9" x14ac:dyDescent="0.25">
      <c r="B41" t="s">
        <v>375</v>
      </c>
      <c r="C41">
        <v>18</v>
      </c>
      <c r="D41" s="131">
        <f>N15*1.06</f>
        <v>0.44679000000000008</v>
      </c>
      <c r="E41" s="131">
        <f t="shared" si="0"/>
        <v>4.4679000000000011</v>
      </c>
      <c r="F41" s="131">
        <f t="shared" si="1"/>
        <v>22.339500000000005</v>
      </c>
      <c r="G41" s="131">
        <f t="shared" si="2"/>
        <v>44.679000000000009</v>
      </c>
      <c r="H41" s="131">
        <f t="shared" si="3"/>
        <v>223.39500000000004</v>
      </c>
      <c r="I41" s="131">
        <f t="shared" si="4"/>
        <v>446.79000000000008</v>
      </c>
    </row>
    <row r="42" spans="2:9" x14ac:dyDescent="0.25">
      <c r="B42" t="s">
        <v>375</v>
      </c>
      <c r="C42">
        <v>19</v>
      </c>
      <c r="D42" s="131">
        <f>N15*1.075</f>
        <v>0.45311250000000003</v>
      </c>
      <c r="E42" s="131">
        <f t="shared" si="0"/>
        <v>4.5311250000000003</v>
      </c>
      <c r="F42" s="131">
        <f t="shared" si="1"/>
        <v>22.655625000000001</v>
      </c>
      <c r="G42" s="131">
        <f t="shared" si="2"/>
        <v>45.311250000000001</v>
      </c>
      <c r="H42" s="131">
        <f t="shared" si="3"/>
        <v>226.55625000000001</v>
      </c>
      <c r="I42" s="131">
        <f t="shared" si="4"/>
        <v>453.11250000000001</v>
      </c>
    </row>
    <row r="43" spans="2:9" x14ac:dyDescent="0.25">
      <c r="B43" t="s">
        <v>375</v>
      </c>
      <c r="C43">
        <v>20</v>
      </c>
      <c r="D43" s="131">
        <f>N15*1.09</f>
        <v>0.45943500000000009</v>
      </c>
      <c r="E43" s="131">
        <f t="shared" si="0"/>
        <v>4.5943500000000013</v>
      </c>
      <c r="F43" s="131">
        <f t="shared" si="1"/>
        <v>22.971750000000004</v>
      </c>
      <c r="G43" s="131">
        <f t="shared" si="2"/>
        <v>45.943500000000007</v>
      </c>
      <c r="H43" s="131">
        <f t="shared" si="3"/>
        <v>229.71750000000006</v>
      </c>
      <c r="I43" s="131">
        <f t="shared" si="4"/>
        <v>459.43500000000012</v>
      </c>
    </row>
    <row r="44" spans="2:9" x14ac:dyDescent="0.25">
      <c r="B44" t="s">
        <v>375</v>
      </c>
      <c r="C44">
        <v>21</v>
      </c>
      <c r="D44" s="131">
        <f>N15*1.105</f>
        <v>0.46575750000000005</v>
      </c>
      <c r="E44" s="131">
        <f t="shared" si="0"/>
        <v>4.6575750000000005</v>
      </c>
      <c r="F44" s="131">
        <f t="shared" si="1"/>
        <v>23.287875000000003</v>
      </c>
      <c r="G44" s="131">
        <f t="shared" si="2"/>
        <v>46.575750000000006</v>
      </c>
      <c r="H44" s="131">
        <f t="shared" si="3"/>
        <v>232.87875000000003</v>
      </c>
      <c r="I44" s="131">
        <f t="shared" si="4"/>
        <v>465.75750000000005</v>
      </c>
    </row>
    <row r="45" spans="2:9" x14ac:dyDescent="0.25">
      <c r="B45" t="s">
        <v>375</v>
      </c>
      <c r="C45">
        <v>22</v>
      </c>
      <c r="D45" s="131">
        <f>N15*1.12</f>
        <v>0.47208000000000011</v>
      </c>
      <c r="E45" s="131">
        <f t="shared" si="0"/>
        <v>4.7208000000000014</v>
      </c>
      <c r="F45" s="131">
        <f t="shared" si="1"/>
        <v>23.604000000000006</v>
      </c>
      <c r="G45" s="131">
        <f t="shared" si="2"/>
        <v>47.208000000000013</v>
      </c>
      <c r="H45" s="131">
        <f t="shared" si="3"/>
        <v>236.04000000000005</v>
      </c>
      <c r="I45" s="131">
        <f t="shared" si="4"/>
        <v>472.0800000000001</v>
      </c>
    </row>
    <row r="46" spans="2:9" x14ac:dyDescent="0.25">
      <c r="B46" t="s">
        <v>375</v>
      </c>
      <c r="C46">
        <v>23</v>
      </c>
      <c r="D46" s="131">
        <f>N15*1.135</f>
        <v>0.47840250000000006</v>
      </c>
      <c r="E46" s="131">
        <f t="shared" si="0"/>
        <v>4.7840250000000006</v>
      </c>
      <c r="F46" s="131">
        <f t="shared" si="1"/>
        <v>23.920125000000002</v>
      </c>
      <c r="G46" s="131">
        <f t="shared" si="2"/>
        <v>47.840250000000005</v>
      </c>
      <c r="H46" s="131">
        <f t="shared" si="3"/>
        <v>239.20125000000004</v>
      </c>
      <c r="I46" s="131">
        <f t="shared" si="4"/>
        <v>478.40250000000009</v>
      </c>
    </row>
    <row r="47" spans="2:9" x14ac:dyDescent="0.25">
      <c r="B47" t="s">
        <v>56</v>
      </c>
      <c r="C47">
        <v>16</v>
      </c>
      <c r="D47" s="131">
        <f>N16</f>
        <v>0.68066666666666675</v>
      </c>
      <c r="E47" s="131">
        <f t="shared" si="0"/>
        <v>6.8066666666666675</v>
      </c>
      <c r="F47" s="131">
        <f t="shared" si="1"/>
        <v>34.033333333333339</v>
      </c>
      <c r="G47" s="131">
        <f t="shared" si="2"/>
        <v>68.066666666666677</v>
      </c>
      <c r="H47" s="131">
        <f t="shared" si="3"/>
        <v>340.33333333333337</v>
      </c>
      <c r="I47" s="131">
        <f t="shared" si="4"/>
        <v>680.66666666666674</v>
      </c>
    </row>
    <row r="48" spans="2:9" x14ac:dyDescent="0.25">
      <c r="B48" t="s">
        <v>56</v>
      </c>
      <c r="C48">
        <v>17</v>
      </c>
      <c r="D48" s="131">
        <f>N16*1.03</f>
        <v>0.70108666666666675</v>
      </c>
      <c r="E48" s="131">
        <f t="shared" si="0"/>
        <v>7.0108666666666677</v>
      </c>
      <c r="F48" s="131">
        <f t="shared" si="1"/>
        <v>35.054333333333339</v>
      </c>
      <c r="G48" s="131">
        <f t="shared" si="2"/>
        <v>70.108666666666679</v>
      </c>
      <c r="H48" s="131">
        <f t="shared" si="3"/>
        <v>350.54333333333335</v>
      </c>
      <c r="I48" s="131">
        <f t="shared" si="4"/>
        <v>701.0866666666667</v>
      </c>
    </row>
    <row r="49" spans="2:9" x14ac:dyDescent="0.25">
      <c r="B49" t="s">
        <v>56</v>
      </c>
      <c r="C49">
        <v>18</v>
      </c>
      <c r="D49" s="131">
        <f>N16*1.06</f>
        <v>0.72150666666666674</v>
      </c>
      <c r="E49" s="131">
        <f t="shared" si="0"/>
        <v>7.215066666666667</v>
      </c>
      <c r="F49" s="131">
        <f t="shared" si="1"/>
        <v>36.07533333333334</v>
      </c>
      <c r="G49" s="131">
        <f t="shared" si="2"/>
        <v>72.15066666666668</v>
      </c>
      <c r="H49" s="131">
        <f t="shared" si="3"/>
        <v>360.75333333333339</v>
      </c>
      <c r="I49" s="131">
        <f t="shared" si="4"/>
        <v>721.50666666666677</v>
      </c>
    </row>
    <row r="50" spans="2:9" x14ac:dyDescent="0.25">
      <c r="B50" t="s">
        <v>56</v>
      </c>
      <c r="C50">
        <v>19</v>
      </c>
      <c r="D50" s="131">
        <f>N16*1.09</f>
        <v>0.74192666666666685</v>
      </c>
      <c r="E50" s="131">
        <f t="shared" si="0"/>
        <v>7.4192666666666689</v>
      </c>
      <c r="F50" s="131">
        <f t="shared" si="1"/>
        <v>37.096333333333341</v>
      </c>
      <c r="G50" s="131">
        <f t="shared" si="2"/>
        <v>74.192666666666682</v>
      </c>
      <c r="H50" s="131">
        <f t="shared" si="3"/>
        <v>370.96333333333342</v>
      </c>
      <c r="I50" s="131">
        <f t="shared" si="4"/>
        <v>741.92666666666685</v>
      </c>
    </row>
    <row r="51" spans="2:9" x14ac:dyDescent="0.25">
      <c r="B51" t="s">
        <v>61</v>
      </c>
      <c r="C51">
        <v>7</v>
      </c>
      <c r="D51" s="131">
        <f>N17</f>
        <v>0.78139999999999998</v>
      </c>
      <c r="E51" s="131">
        <f t="shared" si="0"/>
        <v>7.8140000000000001</v>
      </c>
      <c r="F51" s="131">
        <f t="shared" si="1"/>
        <v>39.07</v>
      </c>
      <c r="G51" s="131">
        <f t="shared" si="2"/>
        <v>78.14</v>
      </c>
      <c r="H51" s="131">
        <f t="shared" si="3"/>
        <v>390.7</v>
      </c>
      <c r="I51" s="131">
        <f t="shared" si="4"/>
        <v>781.4</v>
      </c>
    </row>
    <row r="52" spans="2:9" x14ac:dyDescent="0.25">
      <c r="B52" t="s">
        <v>61</v>
      </c>
      <c r="C52">
        <v>8</v>
      </c>
      <c r="D52" s="131">
        <f>N17*1.056</f>
        <v>0.82515840000000007</v>
      </c>
      <c r="E52" s="131">
        <f t="shared" si="0"/>
        <v>8.2515840000000011</v>
      </c>
      <c r="F52" s="131">
        <f t="shared" si="1"/>
        <v>41.257920000000006</v>
      </c>
      <c r="G52" s="131">
        <f t="shared" si="2"/>
        <v>82.515840000000011</v>
      </c>
      <c r="H52" s="131">
        <f t="shared" si="3"/>
        <v>412.57920000000001</v>
      </c>
      <c r="I52" s="131">
        <f t="shared" si="4"/>
        <v>825.15840000000003</v>
      </c>
    </row>
    <row r="53" spans="2:9" x14ac:dyDescent="0.25">
      <c r="B53" t="s">
        <v>61</v>
      </c>
      <c r="C53">
        <v>9</v>
      </c>
      <c r="D53" s="131">
        <f>N17*1.112</f>
        <v>0.86891680000000004</v>
      </c>
      <c r="E53" s="131">
        <f t="shared" si="0"/>
        <v>8.6891680000000004</v>
      </c>
      <c r="F53" s="131">
        <f t="shared" si="1"/>
        <v>43.445840000000004</v>
      </c>
      <c r="G53" s="131">
        <f t="shared" si="2"/>
        <v>86.891680000000008</v>
      </c>
      <c r="H53" s="131">
        <f t="shared" si="3"/>
        <v>434.45840000000004</v>
      </c>
      <c r="I53" s="131">
        <f t="shared" si="4"/>
        <v>868.91680000000008</v>
      </c>
    </row>
    <row r="54" spans="2:9" x14ac:dyDescent="0.25">
      <c r="B54" t="s">
        <v>61</v>
      </c>
      <c r="C54">
        <v>10</v>
      </c>
      <c r="D54" s="131">
        <f>N17*1.168</f>
        <v>0.91267519999999991</v>
      </c>
      <c r="E54" s="131">
        <f t="shared" si="0"/>
        <v>9.1267519999999998</v>
      </c>
      <c r="F54" s="131">
        <f t="shared" si="1"/>
        <v>45.633759999999995</v>
      </c>
      <c r="G54" s="131">
        <f t="shared" si="2"/>
        <v>91.26751999999999</v>
      </c>
      <c r="H54" s="131">
        <f t="shared" si="3"/>
        <v>456.33759999999995</v>
      </c>
      <c r="I54" s="131">
        <f t="shared" si="4"/>
        <v>912.6751999999999</v>
      </c>
    </row>
    <row r="55" spans="2:9" x14ac:dyDescent="0.25">
      <c r="B55" t="s">
        <v>61</v>
      </c>
      <c r="C55">
        <v>11</v>
      </c>
      <c r="D55" s="131">
        <f>N17*1.224</f>
        <v>0.95643359999999999</v>
      </c>
      <c r="E55" s="131">
        <f t="shared" si="0"/>
        <v>9.5643360000000008</v>
      </c>
      <c r="F55" s="131">
        <f t="shared" si="1"/>
        <v>47.821680000000001</v>
      </c>
      <c r="G55" s="131">
        <f t="shared" si="2"/>
        <v>95.643360000000001</v>
      </c>
      <c r="H55" s="131">
        <f t="shared" si="3"/>
        <v>478.21679999999998</v>
      </c>
      <c r="I55" s="131">
        <f t="shared" si="4"/>
        <v>956.43359999999996</v>
      </c>
    </row>
    <row r="56" spans="2:9" x14ac:dyDescent="0.25">
      <c r="B56" t="s">
        <v>61</v>
      </c>
      <c r="C56">
        <v>12</v>
      </c>
      <c r="D56" s="131">
        <f>N17*1.28</f>
        <v>1.000192</v>
      </c>
      <c r="E56" s="131">
        <f t="shared" si="0"/>
        <v>10.00192</v>
      </c>
      <c r="F56" s="131">
        <f t="shared" si="1"/>
        <v>50.009599999999999</v>
      </c>
      <c r="G56" s="131">
        <f t="shared" si="2"/>
        <v>100.0192</v>
      </c>
      <c r="H56" s="131">
        <f t="shared" si="3"/>
        <v>500.096</v>
      </c>
      <c r="I56" s="131">
        <f t="shared" si="4"/>
        <v>1000.192</v>
      </c>
    </row>
  </sheetData>
  <mergeCells count="5">
    <mergeCell ref="N17:O17"/>
    <mergeCell ref="N15:O15"/>
    <mergeCell ref="N16:O16"/>
    <mergeCell ref="N13:O13"/>
    <mergeCell ref="N14:O14"/>
  </mergeCells>
  <pageMargins left="0.7" right="0.7" top="0.78749999999999998" bottom="0.78749999999999998" header="0.51180555555555496" footer="0.51180555555555496"/>
  <pageSetup paperSize="0" scale="0" firstPageNumber="0" orientation="portrait" usePrinterDefaults="0"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13</vt:i4>
      </vt:variant>
    </vt:vector>
  </HeadingPairs>
  <TitlesOfParts>
    <vt:vector size="18" baseType="lpstr">
      <vt:lpstr>Waffen</vt:lpstr>
      <vt:lpstr>Munition</vt:lpstr>
      <vt:lpstr>Legende</vt:lpstr>
      <vt:lpstr>Ressourcen-Waffen</vt:lpstr>
      <vt:lpstr>Ressourcen-Munition</vt:lpstr>
      <vt:lpstr>Munition!_FilterDatabase_0</vt:lpstr>
      <vt:lpstr>'Ressourcen-Waffen'!_FilterDatabase_0</vt:lpstr>
      <vt:lpstr>Waffen!_FilterDatabase_0</vt:lpstr>
      <vt:lpstr>Anpassung</vt:lpstr>
      <vt:lpstr>gobherstellung</vt:lpstr>
      <vt:lpstr>Herstellung</vt:lpstr>
      <vt:lpstr>Modifikatoren</vt:lpstr>
      <vt:lpstr>Res</vt:lpstr>
      <vt:lpstr>Ressourcen</vt:lpstr>
      <vt:lpstr>Verarb</vt:lpstr>
      <vt:lpstr>verarbeitung</vt:lpstr>
      <vt:lpstr>verftab</vt:lpstr>
      <vt:lpstr>wtab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Jöran;Dennis</dc:creator>
  <cp:lastModifiedBy>Le Jö</cp:lastModifiedBy>
  <cp:revision>3</cp:revision>
  <dcterms:created xsi:type="dcterms:W3CDTF">2014-10-12T16:21:36Z</dcterms:created>
  <dcterms:modified xsi:type="dcterms:W3CDTF">2026-07-18T23:40:38Z</dcterms:modified>
</cp:coreProperties>
</file>